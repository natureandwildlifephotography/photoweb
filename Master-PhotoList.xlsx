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imacpro-denis/src/photoweb/"/>
    </mc:Choice>
  </mc:AlternateContent>
  <xr:revisionPtr revIDLastSave="0" documentId="13_ncr:1_{9AAF1F5C-83CE-8340-A636-1163C4927F58}" xr6:coauthVersionLast="47" xr6:coauthVersionMax="47" xr10:uidLastSave="{00000000-0000-0000-0000-000000000000}"/>
  <bookViews>
    <workbookView xWindow="0" yWindow="520" windowWidth="21960" windowHeight="27000" xr2:uid="{00000000-000D-0000-FFFF-FFFF00000000}"/>
  </bookViews>
  <sheets>
    <sheet name="BirdPhotos" sheetId="1" r:id="rId1"/>
    <sheet name="Life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29" i="1" l="1"/>
  <c r="G4329" i="1"/>
  <c r="F4329" i="1"/>
  <c r="E4329" i="1"/>
  <c r="D4329" i="1"/>
  <c r="C4329" i="1"/>
  <c r="H4328" i="1"/>
  <c r="G4328" i="1"/>
  <c r="F4328" i="1"/>
  <c r="E4328" i="1"/>
  <c r="D4328" i="1"/>
  <c r="C4328" i="1"/>
  <c r="H4327" i="1"/>
  <c r="G4327" i="1"/>
  <c r="F4327" i="1"/>
  <c r="E4327" i="1"/>
  <c r="D4327" i="1"/>
  <c r="C4327" i="1"/>
  <c r="H4326" i="1"/>
  <c r="G4326" i="1"/>
  <c r="F4326" i="1"/>
  <c r="E4326" i="1"/>
  <c r="D4326" i="1"/>
  <c r="C4326" i="1"/>
  <c r="H4325" i="1"/>
  <c r="G4325" i="1"/>
  <c r="F4325" i="1"/>
  <c r="E4325" i="1"/>
  <c r="D4325" i="1"/>
  <c r="C4325" i="1"/>
  <c r="H4324" i="1"/>
  <c r="G4324" i="1"/>
  <c r="F4324" i="1"/>
  <c r="E4324" i="1"/>
  <c r="D4324" i="1"/>
  <c r="C4324" i="1"/>
  <c r="H4323" i="1"/>
  <c r="G4323" i="1"/>
  <c r="F4323" i="1"/>
  <c r="E4323" i="1"/>
  <c r="D4323" i="1"/>
  <c r="C4323" i="1"/>
  <c r="H4322" i="1"/>
  <c r="G4322" i="1"/>
  <c r="F4322" i="1"/>
  <c r="E4322" i="1"/>
  <c r="D4322" i="1"/>
  <c r="C4322" i="1"/>
  <c r="H4321" i="1"/>
  <c r="G4321" i="1"/>
  <c r="F4321" i="1"/>
  <c r="E4321" i="1"/>
  <c r="D4321" i="1"/>
  <c r="C4321" i="1"/>
  <c r="H4320" i="1"/>
  <c r="G4320" i="1"/>
  <c r="F4320" i="1"/>
  <c r="E4320" i="1"/>
  <c r="D4320" i="1"/>
  <c r="C4320" i="1"/>
  <c r="H4319" i="1"/>
  <c r="G4319" i="1"/>
  <c r="F4319" i="1"/>
  <c r="E4319" i="1"/>
  <c r="D4319" i="1"/>
  <c r="C4319" i="1"/>
  <c r="H4318" i="1"/>
  <c r="G4318" i="1"/>
  <c r="F4318" i="1"/>
  <c r="E4318" i="1"/>
  <c r="D4318" i="1"/>
  <c r="C4318" i="1"/>
  <c r="H4317" i="1"/>
  <c r="G4317" i="1"/>
  <c r="F4317" i="1"/>
  <c r="E4317" i="1"/>
  <c r="D4317" i="1"/>
  <c r="C4317" i="1"/>
  <c r="H4316" i="1"/>
  <c r="G4316" i="1"/>
  <c r="F4316" i="1"/>
  <c r="E4316" i="1"/>
  <c r="D4316" i="1"/>
  <c r="C4316" i="1"/>
  <c r="H4315" i="1"/>
  <c r="G4315" i="1"/>
  <c r="F4315" i="1"/>
  <c r="E4315" i="1"/>
  <c r="D4315" i="1"/>
  <c r="C4315" i="1"/>
  <c r="H4314" i="1"/>
  <c r="G4314" i="1"/>
  <c r="F4314" i="1"/>
  <c r="E4314" i="1"/>
  <c r="D4314" i="1"/>
  <c r="C4314" i="1"/>
  <c r="H4313" i="1"/>
  <c r="G4313" i="1"/>
  <c r="F4313" i="1"/>
  <c r="E4313" i="1"/>
  <c r="D4313" i="1"/>
  <c r="C4313" i="1"/>
  <c r="H4312" i="1"/>
  <c r="G4312" i="1"/>
  <c r="F4312" i="1"/>
  <c r="E4312" i="1"/>
  <c r="D4312" i="1"/>
  <c r="C4312" i="1"/>
  <c r="H4311" i="1"/>
  <c r="G4311" i="1"/>
  <c r="F4311" i="1"/>
  <c r="E4311" i="1"/>
  <c r="D4311" i="1"/>
  <c r="C4311" i="1"/>
  <c r="H4310" i="1"/>
  <c r="G4310" i="1"/>
  <c r="F4310" i="1"/>
  <c r="E4310" i="1"/>
  <c r="D4310" i="1"/>
  <c r="C4310" i="1"/>
  <c r="H4309" i="1"/>
  <c r="G4309" i="1"/>
  <c r="F4309" i="1"/>
  <c r="E4309" i="1"/>
  <c r="D4309" i="1"/>
  <c r="C4309" i="1"/>
  <c r="H4308" i="1"/>
  <c r="G4308" i="1"/>
  <c r="F4308" i="1"/>
  <c r="E4308" i="1"/>
  <c r="D4308" i="1"/>
  <c r="C4308" i="1"/>
  <c r="H4307" i="1"/>
  <c r="G4307" i="1"/>
  <c r="F4307" i="1"/>
  <c r="E4307" i="1"/>
  <c r="D4307" i="1"/>
  <c r="C4307" i="1"/>
  <c r="H4306" i="1"/>
  <c r="G4306" i="1"/>
  <c r="F4306" i="1"/>
  <c r="E4306" i="1"/>
  <c r="D4306" i="1"/>
  <c r="C4306" i="1"/>
  <c r="H4305" i="1"/>
  <c r="G4305" i="1"/>
  <c r="F4305" i="1"/>
  <c r="E4305" i="1"/>
  <c r="D4305" i="1"/>
  <c r="C4305" i="1"/>
  <c r="H4304" i="1"/>
  <c r="G4304" i="1"/>
  <c r="F4304" i="1"/>
  <c r="E4304" i="1"/>
  <c r="D4304" i="1"/>
  <c r="C4304" i="1"/>
  <c r="H4303" i="1"/>
  <c r="G4303" i="1"/>
  <c r="F4303" i="1"/>
  <c r="E4303" i="1"/>
  <c r="D4303" i="1"/>
  <c r="C4303" i="1"/>
  <c r="H4302" i="1"/>
  <c r="G4302" i="1"/>
  <c r="F4302" i="1"/>
  <c r="E4302" i="1"/>
  <c r="D4302" i="1"/>
  <c r="C4302" i="1"/>
  <c r="H4301" i="1"/>
  <c r="G4301" i="1"/>
  <c r="F4301" i="1"/>
  <c r="E4301" i="1"/>
  <c r="D4301" i="1"/>
  <c r="C4301" i="1"/>
  <c r="H4300" i="1"/>
  <c r="G4300" i="1"/>
  <c r="F4300" i="1"/>
  <c r="E4300" i="1"/>
  <c r="D4300" i="1"/>
  <c r="C4300" i="1"/>
  <c r="H4299" i="1"/>
  <c r="G4299" i="1"/>
  <c r="F4299" i="1"/>
  <c r="E4299" i="1"/>
  <c r="D4299" i="1"/>
  <c r="C4299" i="1"/>
  <c r="H4298" i="1"/>
  <c r="G4298" i="1"/>
  <c r="F4298" i="1"/>
  <c r="E4298" i="1"/>
  <c r="D4298" i="1"/>
  <c r="C4298" i="1"/>
  <c r="H4297" i="1"/>
  <c r="G4297" i="1"/>
  <c r="F4297" i="1"/>
  <c r="E4297" i="1"/>
  <c r="D4297" i="1"/>
  <c r="C4297" i="1"/>
  <c r="H4296" i="1"/>
  <c r="G4296" i="1"/>
  <c r="F4296" i="1"/>
  <c r="E4296" i="1"/>
  <c r="D4296" i="1"/>
  <c r="C4296" i="1"/>
  <c r="H4295" i="1"/>
  <c r="G4295" i="1"/>
  <c r="F4295" i="1"/>
  <c r="E4295" i="1"/>
  <c r="D4295" i="1"/>
  <c r="C4295" i="1"/>
  <c r="H4294" i="1"/>
  <c r="G4294" i="1"/>
  <c r="F4294" i="1"/>
  <c r="E4294" i="1"/>
  <c r="D4294" i="1"/>
  <c r="C4294" i="1"/>
  <c r="H4293" i="1"/>
  <c r="G4293" i="1"/>
  <c r="F4293" i="1"/>
  <c r="E4293" i="1"/>
  <c r="D4293" i="1"/>
  <c r="C4293" i="1"/>
  <c r="H4292" i="1"/>
  <c r="G4292" i="1"/>
  <c r="F4292" i="1"/>
  <c r="E4292" i="1"/>
  <c r="D4292" i="1"/>
  <c r="C4292" i="1"/>
  <c r="H4291" i="1"/>
  <c r="G4291" i="1"/>
  <c r="F4291" i="1"/>
  <c r="E4291" i="1"/>
  <c r="D4291" i="1"/>
  <c r="C4291" i="1"/>
  <c r="H4290" i="1"/>
  <c r="G4290" i="1"/>
  <c r="F4290" i="1"/>
  <c r="E4290" i="1"/>
  <c r="D4290" i="1"/>
  <c r="C4290" i="1"/>
  <c r="H4289" i="1"/>
  <c r="G4289" i="1"/>
  <c r="F4289" i="1"/>
  <c r="E4289" i="1"/>
  <c r="D4289" i="1"/>
  <c r="C4289" i="1"/>
  <c r="H4288" i="1"/>
  <c r="G4288" i="1"/>
  <c r="F4288" i="1"/>
  <c r="E4288" i="1"/>
  <c r="D4288" i="1"/>
  <c r="C4288" i="1"/>
  <c r="H4287" i="1"/>
  <c r="G4287" i="1"/>
  <c r="F4287" i="1"/>
  <c r="E4287" i="1"/>
  <c r="D4287" i="1"/>
  <c r="C4287" i="1"/>
  <c r="H4286" i="1"/>
  <c r="G4286" i="1"/>
  <c r="F4286" i="1"/>
  <c r="E4286" i="1"/>
  <c r="D4286" i="1"/>
  <c r="C4286" i="1"/>
  <c r="H4285" i="1"/>
  <c r="G4285" i="1"/>
  <c r="F4285" i="1"/>
  <c r="E4285" i="1"/>
  <c r="D4285" i="1"/>
  <c r="C4285" i="1"/>
  <c r="H4284" i="1"/>
  <c r="G4284" i="1"/>
  <c r="F4284" i="1"/>
  <c r="E4284" i="1"/>
  <c r="D4284" i="1"/>
  <c r="C4284" i="1"/>
  <c r="H4283" i="1"/>
  <c r="G4283" i="1"/>
  <c r="F4283" i="1"/>
  <c r="E4283" i="1"/>
  <c r="D4283" i="1"/>
  <c r="C4283" i="1"/>
  <c r="H4282" i="1"/>
  <c r="G4282" i="1"/>
  <c r="F4282" i="1"/>
  <c r="E4282" i="1"/>
  <c r="D4282" i="1"/>
  <c r="C4282" i="1"/>
  <c r="H4281" i="1"/>
  <c r="G4281" i="1"/>
  <c r="F4281" i="1"/>
  <c r="E4281" i="1"/>
  <c r="D4281" i="1"/>
  <c r="C4281" i="1"/>
  <c r="H4280" i="1"/>
  <c r="G4280" i="1"/>
  <c r="F4280" i="1"/>
  <c r="E4280" i="1"/>
  <c r="D4280" i="1"/>
  <c r="C4280" i="1"/>
  <c r="H4279" i="1"/>
  <c r="G4279" i="1"/>
  <c r="F4279" i="1"/>
  <c r="E4279" i="1"/>
  <c r="D4279" i="1"/>
  <c r="C4279" i="1"/>
  <c r="H4278" i="1"/>
  <c r="G4278" i="1"/>
  <c r="F4278" i="1"/>
  <c r="E4278" i="1"/>
  <c r="D4278" i="1"/>
  <c r="C4278" i="1"/>
  <c r="H4277" i="1"/>
  <c r="G4277" i="1"/>
  <c r="F4277" i="1"/>
  <c r="E4277" i="1"/>
  <c r="D4277" i="1"/>
  <c r="C4277" i="1"/>
  <c r="H4276" i="1"/>
  <c r="G4276" i="1"/>
  <c r="F4276" i="1"/>
  <c r="E4276" i="1"/>
  <c r="D4276" i="1"/>
  <c r="C4276" i="1"/>
  <c r="H4275" i="1"/>
  <c r="G4275" i="1"/>
  <c r="F4275" i="1"/>
  <c r="E4275" i="1"/>
  <c r="D4275" i="1"/>
  <c r="C4275" i="1"/>
  <c r="H4274" i="1"/>
  <c r="G4274" i="1"/>
  <c r="F4274" i="1"/>
  <c r="E4274" i="1"/>
  <c r="D4274" i="1"/>
  <c r="C4274" i="1"/>
  <c r="H4273" i="1"/>
  <c r="G4273" i="1"/>
  <c r="F4273" i="1"/>
  <c r="E4273" i="1"/>
  <c r="D4273" i="1"/>
  <c r="C4273" i="1"/>
  <c r="H4272" i="1"/>
  <c r="G4272" i="1"/>
  <c r="F4272" i="1"/>
  <c r="E4272" i="1"/>
  <c r="D4272" i="1"/>
  <c r="C4272" i="1"/>
  <c r="H4271" i="1"/>
  <c r="G4271" i="1"/>
  <c r="F4271" i="1"/>
  <c r="E4271" i="1"/>
  <c r="D4271" i="1"/>
  <c r="C4271" i="1"/>
  <c r="H4270" i="1"/>
  <c r="G4270" i="1"/>
  <c r="F4270" i="1"/>
  <c r="E4270" i="1"/>
  <c r="D4270" i="1"/>
  <c r="C4270" i="1"/>
  <c r="H4269" i="1"/>
  <c r="G4269" i="1"/>
  <c r="F4269" i="1"/>
  <c r="E4269" i="1"/>
  <c r="D4269" i="1"/>
  <c r="C4269" i="1"/>
  <c r="H4268" i="1"/>
  <c r="G4268" i="1"/>
  <c r="F4268" i="1"/>
  <c r="E4268" i="1"/>
  <c r="D4268" i="1"/>
  <c r="C4268" i="1"/>
  <c r="H4267" i="1"/>
  <c r="G4267" i="1"/>
  <c r="F4267" i="1"/>
  <c r="E4267" i="1"/>
  <c r="D4267" i="1"/>
  <c r="C4267" i="1"/>
  <c r="H4266" i="1"/>
  <c r="G4266" i="1"/>
  <c r="F4266" i="1"/>
  <c r="E4266" i="1"/>
  <c r="D4266" i="1"/>
  <c r="C4266" i="1"/>
  <c r="H4265" i="1"/>
  <c r="G4265" i="1"/>
  <c r="F4265" i="1"/>
  <c r="E4265" i="1"/>
  <c r="D4265" i="1"/>
  <c r="C4265" i="1"/>
  <c r="H4264" i="1"/>
  <c r="G4264" i="1"/>
  <c r="F4264" i="1"/>
  <c r="E4264" i="1"/>
  <c r="D4264" i="1"/>
  <c r="C4264" i="1"/>
  <c r="H4263" i="1"/>
  <c r="G4263" i="1"/>
  <c r="F4263" i="1"/>
  <c r="E4263" i="1"/>
  <c r="D4263" i="1"/>
  <c r="C4263" i="1"/>
  <c r="H4262" i="1"/>
  <c r="G4262" i="1"/>
  <c r="F4262" i="1"/>
  <c r="E4262" i="1"/>
  <c r="D4262" i="1"/>
  <c r="C4262" i="1"/>
  <c r="H4261" i="1"/>
  <c r="G4261" i="1"/>
  <c r="F4261" i="1"/>
  <c r="E4261" i="1"/>
  <c r="D4261" i="1"/>
  <c r="C4261" i="1"/>
  <c r="H4260" i="1"/>
  <c r="G4260" i="1"/>
  <c r="F4260" i="1"/>
  <c r="E4260" i="1"/>
  <c r="D4260" i="1"/>
  <c r="C4260" i="1"/>
  <c r="H4259" i="1"/>
  <c r="G4259" i="1"/>
  <c r="F4259" i="1"/>
  <c r="E4259" i="1"/>
  <c r="D4259" i="1"/>
  <c r="C4259" i="1"/>
  <c r="H4258" i="1"/>
  <c r="G4258" i="1"/>
  <c r="F4258" i="1"/>
  <c r="E4258" i="1"/>
  <c r="D4258" i="1"/>
  <c r="C4258" i="1"/>
  <c r="H4257" i="1"/>
  <c r="G4257" i="1"/>
  <c r="F4257" i="1"/>
  <c r="E4257" i="1"/>
  <c r="D4257" i="1"/>
  <c r="C4257" i="1"/>
  <c r="H4256" i="1"/>
  <c r="G4256" i="1"/>
  <c r="F4256" i="1"/>
  <c r="E4256" i="1"/>
  <c r="D4256" i="1"/>
  <c r="C4256" i="1"/>
  <c r="H4255" i="1"/>
  <c r="G4255" i="1"/>
  <c r="F4255" i="1"/>
  <c r="E4255" i="1"/>
  <c r="D4255" i="1"/>
  <c r="C4255" i="1"/>
  <c r="H4254" i="1"/>
  <c r="G4254" i="1"/>
  <c r="F4254" i="1"/>
  <c r="E4254" i="1"/>
  <c r="D4254" i="1"/>
  <c r="C4254" i="1"/>
  <c r="H4253" i="1"/>
  <c r="G4253" i="1"/>
  <c r="F4253" i="1"/>
  <c r="E4253" i="1"/>
  <c r="D4253" i="1"/>
  <c r="C4253" i="1"/>
  <c r="H4252" i="1"/>
  <c r="G4252" i="1"/>
  <c r="F4252" i="1"/>
  <c r="E4252" i="1"/>
  <c r="D4252" i="1"/>
  <c r="C4252" i="1"/>
  <c r="H4251" i="1"/>
  <c r="G4251" i="1"/>
  <c r="F4251" i="1"/>
  <c r="E4251" i="1"/>
  <c r="D4251" i="1"/>
  <c r="C4251" i="1"/>
  <c r="H4250" i="1"/>
  <c r="G4250" i="1"/>
  <c r="F4250" i="1"/>
  <c r="E4250" i="1"/>
  <c r="D4250" i="1"/>
  <c r="C4250" i="1"/>
  <c r="H4249" i="1"/>
  <c r="G4249" i="1"/>
  <c r="F4249" i="1"/>
  <c r="E4249" i="1"/>
  <c r="D4249" i="1"/>
  <c r="C4249" i="1"/>
  <c r="H4248" i="1"/>
  <c r="G4248" i="1"/>
  <c r="F4248" i="1"/>
  <c r="E4248" i="1"/>
  <c r="D4248" i="1"/>
  <c r="C4248" i="1"/>
  <c r="H4247" i="1"/>
  <c r="G4247" i="1"/>
  <c r="F4247" i="1"/>
  <c r="E4247" i="1"/>
  <c r="D4247" i="1"/>
  <c r="C4247" i="1"/>
  <c r="H4246" i="1"/>
  <c r="G4246" i="1"/>
  <c r="F4246" i="1"/>
  <c r="E4246" i="1"/>
  <c r="D4246" i="1"/>
  <c r="C4246" i="1"/>
  <c r="H4245" i="1"/>
  <c r="G4245" i="1"/>
  <c r="F4245" i="1"/>
  <c r="E4245" i="1"/>
  <c r="D4245" i="1"/>
  <c r="C4245" i="1"/>
  <c r="H4244" i="1"/>
  <c r="G4244" i="1"/>
  <c r="F4244" i="1"/>
  <c r="E4244" i="1"/>
  <c r="D4244" i="1"/>
  <c r="C4244" i="1"/>
  <c r="H4243" i="1"/>
  <c r="G4243" i="1"/>
  <c r="F4243" i="1"/>
  <c r="E4243" i="1"/>
  <c r="D4243" i="1"/>
  <c r="C4243" i="1"/>
  <c r="H4242" i="1"/>
  <c r="G4242" i="1"/>
  <c r="F4242" i="1"/>
  <c r="E4242" i="1"/>
  <c r="D4242" i="1"/>
  <c r="C4242" i="1"/>
  <c r="H4241" i="1"/>
  <c r="G4241" i="1"/>
  <c r="F4241" i="1"/>
  <c r="E4241" i="1"/>
  <c r="D4241" i="1"/>
  <c r="C4241" i="1"/>
  <c r="H4240" i="1"/>
  <c r="G4240" i="1"/>
  <c r="F4240" i="1"/>
  <c r="E4240" i="1"/>
  <c r="D4240" i="1"/>
  <c r="C4240" i="1"/>
  <c r="H4239" i="1"/>
  <c r="G4239" i="1"/>
  <c r="F4239" i="1"/>
  <c r="E4239" i="1"/>
  <c r="D4239" i="1"/>
  <c r="C4239" i="1"/>
  <c r="H4238" i="1"/>
  <c r="G4238" i="1"/>
  <c r="F4238" i="1"/>
  <c r="E4238" i="1"/>
  <c r="D4238" i="1"/>
  <c r="C4238" i="1"/>
  <c r="H4237" i="1"/>
  <c r="G4237" i="1"/>
  <c r="F4237" i="1"/>
  <c r="E4237" i="1"/>
  <c r="D4237" i="1"/>
  <c r="C4237" i="1"/>
  <c r="H4236" i="1"/>
  <c r="G4236" i="1"/>
  <c r="F4236" i="1"/>
  <c r="E4236" i="1"/>
  <c r="D4236" i="1"/>
  <c r="C4236" i="1"/>
  <c r="H4235" i="1"/>
  <c r="G4235" i="1"/>
  <c r="F4235" i="1"/>
  <c r="E4235" i="1"/>
  <c r="D4235" i="1"/>
  <c r="C4235" i="1"/>
  <c r="H4234" i="1"/>
  <c r="G4234" i="1"/>
  <c r="F4234" i="1"/>
  <c r="E4234" i="1"/>
  <c r="D4234" i="1"/>
  <c r="C4234" i="1"/>
  <c r="H4233" i="1"/>
  <c r="G4233" i="1"/>
  <c r="F4233" i="1"/>
  <c r="E4233" i="1"/>
  <c r="D4233" i="1"/>
  <c r="C4233" i="1"/>
  <c r="H4232" i="1"/>
  <c r="G4232" i="1"/>
  <c r="F4232" i="1"/>
  <c r="E4232" i="1"/>
  <c r="D4232" i="1"/>
  <c r="C4232" i="1"/>
  <c r="H4231" i="1"/>
  <c r="G4231" i="1"/>
  <c r="F4231" i="1"/>
  <c r="E4231" i="1"/>
  <c r="D4231" i="1"/>
  <c r="C4231" i="1"/>
  <c r="H4230" i="1"/>
  <c r="G4230" i="1"/>
  <c r="F4230" i="1"/>
  <c r="E4230" i="1"/>
  <c r="D4230" i="1"/>
  <c r="C4230" i="1"/>
  <c r="H4229" i="1"/>
  <c r="G4229" i="1"/>
  <c r="F4229" i="1"/>
  <c r="E4229" i="1"/>
  <c r="D4229" i="1"/>
  <c r="C4229" i="1"/>
  <c r="H4228" i="1"/>
  <c r="G4228" i="1"/>
  <c r="F4228" i="1"/>
  <c r="E4228" i="1"/>
  <c r="D4228" i="1"/>
  <c r="C4228" i="1"/>
  <c r="H4227" i="1"/>
  <c r="G4227" i="1"/>
  <c r="F4227" i="1"/>
  <c r="E4227" i="1"/>
  <c r="D4227" i="1"/>
  <c r="C4227" i="1"/>
  <c r="H4226" i="1"/>
  <c r="G4226" i="1"/>
  <c r="F4226" i="1"/>
  <c r="E4226" i="1"/>
  <c r="D4226" i="1"/>
  <c r="C4226" i="1"/>
  <c r="H4225" i="1"/>
  <c r="G4225" i="1"/>
  <c r="F4225" i="1"/>
  <c r="E4225" i="1"/>
  <c r="D4225" i="1"/>
  <c r="C4225" i="1"/>
  <c r="H4224" i="1"/>
  <c r="G4224" i="1"/>
  <c r="F4224" i="1"/>
  <c r="E4224" i="1"/>
  <c r="D4224" i="1"/>
  <c r="C4224" i="1"/>
  <c r="H4223" i="1"/>
  <c r="G4223" i="1"/>
  <c r="F4223" i="1"/>
  <c r="E4223" i="1"/>
  <c r="D4223" i="1"/>
  <c r="C4223" i="1"/>
  <c r="H4222" i="1"/>
  <c r="G4222" i="1"/>
  <c r="F4222" i="1"/>
  <c r="E4222" i="1"/>
  <c r="D4222" i="1"/>
  <c r="C4222" i="1"/>
  <c r="H4221" i="1"/>
  <c r="G4221" i="1"/>
  <c r="F4221" i="1"/>
  <c r="E4221" i="1"/>
  <c r="D4221" i="1"/>
  <c r="C4221" i="1"/>
  <c r="H4220" i="1"/>
  <c r="G4220" i="1"/>
  <c r="F4220" i="1"/>
  <c r="E4220" i="1"/>
  <c r="D4220" i="1"/>
  <c r="C4220" i="1"/>
  <c r="H4219" i="1"/>
  <c r="G4219" i="1"/>
  <c r="F4219" i="1"/>
  <c r="E4219" i="1"/>
  <c r="D4219" i="1"/>
  <c r="C4219" i="1"/>
  <c r="H4218" i="1"/>
  <c r="G4218" i="1"/>
  <c r="F4218" i="1"/>
  <c r="E4218" i="1"/>
  <c r="D4218" i="1"/>
  <c r="C4218" i="1"/>
  <c r="H4217" i="1"/>
  <c r="G4217" i="1"/>
  <c r="F4217" i="1"/>
  <c r="E4217" i="1"/>
  <c r="D4217" i="1"/>
  <c r="C4217" i="1"/>
  <c r="H4216" i="1"/>
  <c r="G4216" i="1"/>
  <c r="F4216" i="1"/>
  <c r="E4216" i="1"/>
  <c r="D4216" i="1"/>
  <c r="C4216" i="1"/>
  <c r="H4215" i="1"/>
  <c r="G4215" i="1"/>
  <c r="F4215" i="1"/>
  <c r="E4215" i="1"/>
  <c r="D4215" i="1"/>
  <c r="C4215" i="1"/>
  <c r="H4214" i="1"/>
  <c r="G4214" i="1"/>
  <c r="F4214" i="1"/>
  <c r="E4214" i="1"/>
  <c r="D4214" i="1"/>
  <c r="C4214" i="1"/>
  <c r="H4213" i="1"/>
  <c r="G4213" i="1"/>
  <c r="F4213" i="1"/>
  <c r="E4213" i="1"/>
  <c r="D4213" i="1"/>
  <c r="C4213" i="1"/>
  <c r="H4212" i="1"/>
  <c r="G4212" i="1"/>
  <c r="F4212" i="1"/>
  <c r="E4212" i="1"/>
  <c r="D4212" i="1"/>
  <c r="C4212" i="1"/>
  <c r="H4211" i="1"/>
  <c r="G4211" i="1"/>
  <c r="F4211" i="1"/>
  <c r="E4211" i="1"/>
  <c r="D4211" i="1"/>
  <c r="C4211" i="1"/>
  <c r="H4210" i="1"/>
  <c r="G4210" i="1"/>
  <c r="F4210" i="1"/>
  <c r="E4210" i="1"/>
  <c r="D4210" i="1"/>
  <c r="C4210" i="1"/>
  <c r="H4209" i="1"/>
  <c r="G4209" i="1"/>
  <c r="F4209" i="1"/>
  <c r="E4209" i="1"/>
  <c r="D4209" i="1"/>
  <c r="C4209" i="1"/>
  <c r="H4208" i="1"/>
  <c r="G4208" i="1"/>
  <c r="F4208" i="1"/>
  <c r="E4208" i="1"/>
  <c r="D4208" i="1"/>
  <c r="C4208" i="1"/>
  <c r="H4207" i="1"/>
  <c r="G4207" i="1"/>
  <c r="F4207" i="1"/>
  <c r="E4207" i="1"/>
  <c r="D4207" i="1"/>
  <c r="C4207" i="1"/>
  <c r="H4206" i="1"/>
  <c r="G4206" i="1"/>
  <c r="F4206" i="1"/>
  <c r="E4206" i="1"/>
  <c r="D4206" i="1"/>
  <c r="C4206" i="1"/>
  <c r="H4205" i="1"/>
  <c r="G4205" i="1"/>
  <c r="F4205" i="1"/>
  <c r="E4205" i="1"/>
  <c r="D4205" i="1"/>
  <c r="C4205" i="1"/>
  <c r="H4204" i="1"/>
  <c r="G4204" i="1"/>
  <c r="F4204" i="1"/>
  <c r="E4204" i="1"/>
  <c r="D4204" i="1"/>
  <c r="C4204" i="1"/>
  <c r="H4203" i="1"/>
  <c r="G4203" i="1"/>
  <c r="F4203" i="1"/>
  <c r="E4203" i="1"/>
  <c r="D4203" i="1"/>
  <c r="C4203" i="1"/>
  <c r="H4202" i="1"/>
  <c r="G4202" i="1"/>
  <c r="F4202" i="1"/>
  <c r="E4202" i="1"/>
  <c r="D4202" i="1"/>
  <c r="C4202" i="1"/>
  <c r="H4201" i="1"/>
  <c r="G4201" i="1"/>
  <c r="F4201" i="1"/>
  <c r="E4201" i="1"/>
  <c r="D4201" i="1"/>
  <c r="C4201" i="1"/>
  <c r="H4200" i="1"/>
  <c r="G4200" i="1"/>
  <c r="F4200" i="1"/>
  <c r="E4200" i="1"/>
  <c r="D4200" i="1"/>
  <c r="C4200" i="1"/>
  <c r="H4199" i="1"/>
  <c r="G4199" i="1"/>
  <c r="F4199" i="1"/>
  <c r="E4199" i="1"/>
  <c r="D4199" i="1"/>
  <c r="C4199" i="1"/>
  <c r="H4198" i="1"/>
  <c r="G4198" i="1"/>
  <c r="F4198" i="1"/>
  <c r="E4198" i="1"/>
  <c r="D4198" i="1"/>
  <c r="C4198" i="1"/>
  <c r="H4197" i="1"/>
  <c r="G4197" i="1"/>
  <c r="F4197" i="1"/>
  <c r="E4197" i="1"/>
  <c r="D4197" i="1"/>
  <c r="C4197" i="1"/>
  <c r="H4196" i="1"/>
  <c r="G4196" i="1"/>
  <c r="F4196" i="1"/>
  <c r="E4196" i="1"/>
  <c r="D4196" i="1"/>
  <c r="C4196" i="1"/>
  <c r="H4195" i="1"/>
  <c r="G4195" i="1"/>
  <c r="F4195" i="1"/>
  <c r="E4195" i="1"/>
  <c r="D4195" i="1"/>
  <c r="C4195" i="1"/>
  <c r="H4194" i="1"/>
  <c r="G4194" i="1"/>
  <c r="F4194" i="1"/>
  <c r="E4194" i="1"/>
  <c r="D4194" i="1"/>
  <c r="C4194" i="1"/>
  <c r="H4193" i="1"/>
  <c r="G4193" i="1"/>
  <c r="F4193" i="1"/>
  <c r="E4193" i="1"/>
  <c r="D4193" i="1"/>
  <c r="C4193" i="1"/>
  <c r="H4192" i="1"/>
  <c r="G4192" i="1"/>
  <c r="F4192" i="1"/>
  <c r="E4192" i="1"/>
  <c r="D4192" i="1"/>
  <c r="C4192" i="1"/>
  <c r="H4191" i="1"/>
  <c r="G4191" i="1"/>
  <c r="F4191" i="1"/>
  <c r="E4191" i="1"/>
  <c r="D4191" i="1"/>
  <c r="C4191" i="1"/>
  <c r="H4190" i="1"/>
  <c r="G4190" i="1"/>
  <c r="F4190" i="1"/>
  <c r="E4190" i="1"/>
  <c r="D4190" i="1"/>
  <c r="C4190" i="1"/>
  <c r="H4189" i="1"/>
  <c r="G4189" i="1"/>
  <c r="F4189" i="1"/>
  <c r="E4189" i="1"/>
  <c r="D4189" i="1"/>
  <c r="C4189" i="1"/>
  <c r="H4188" i="1"/>
  <c r="G4188" i="1"/>
  <c r="F4188" i="1"/>
  <c r="E4188" i="1"/>
  <c r="D4188" i="1"/>
  <c r="C4188" i="1"/>
  <c r="H4187" i="1"/>
  <c r="G4187" i="1"/>
  <c r="F4187" i="1"/>
  <c r="E4187" i="1"/>
  <c r="D4187" i="1"/>
  <c r="C4187" i="1"/>
  <c r="H4186" i="1"/>
  <c r="G4186" i="1"/>
  <c r="F4186" i="1"/>
  <c r="E4186" i="1"/>
  <c r="D4186" i="1"/>
  <c r="C4186" i="1"/>
  <c r="H4185" i="1"/>
  <c r="G4185" i="1"/>
  <c r="F4185" i="1"/>
  <c r="E4185" i="1"/>
  <c r="D4185" i="1"/>
  <c r="C4185" i="1"/>
  <c r="H4184" i="1"/>
  <c r="G4184" i="1"/>
  <c r="F4184" i="1"/>
  <c r="E4184" i="1"/>
  <c r="D4184" i="1"/>
  <c r="C4184" i="1"/>
  <c r="H4183" i="1"/>
  <c r="G4183" i="1"/>
  <c r="F4183" i="1"/>
  <c r="E4183" i="1"/>
  <c r="D4183" i="1"/>
  <c r="C4183" i="1"/>
  <c r="H4182" i="1"/>
  <c r="G4182" i="1"/>
  <c r="F4182" i="1"/>
  <c r="E4182" i="1"/>
  <c r="D4182" i="1"/>
  <c r="C4182" i="1"/>
  <c r="H4181" i="1"/>
  <c r="G4181" i="1"/>
  <c r="F4181" i="1"/>
  <c r="E4181" i="1"/>
  <c r="D4181" i="1"/>
  <c r="C4181" i="1"/>
  <c r="H4180" i="1"/>
  <c r="G4180" i="1"/>
  <c r="F4180" i="1"/>
  <c r="E4180" i="1"/>
  <c r="D4180" i="1"/>
  <c r="C4180" i="1"/>
  <c r="H4179" i="1"/>
  <c r="G4179" i="1"/>
  <c r="F4179" i="1"/>
  <c r="E4179" i="1"/>
  <c r="D4179" i="1"/>
  <c r="C4179" i="1"/>
  <c r="H4178" i="1"/>
  <c r="G4178" i="1"/>
  <c r="F4178" i="1"/>
  <c r="E4178" i="1"/>
  <c r="D4178" i="1"/>
  <c r="C4178" i="1"/>
  <c r="H4177" i="1"/>
  <c r="G4177" i="1"/>
  <c r="F4177" i="1"/>
  <c r="E4177" i="1"/>
  <c r="D4177" i="1"/>
  <c r="C4177" i="1"/>
  <c r="H4176" i="1"/>
  <c r="G4176" i="1"/>
  <c r="F4176" i="1"/>
  <c r="E4176" i="1"/>
  <c r="D4176" i="1"/>
  <c r="C4176" i="1"/>
  <c r="H4175" i="1"/>
  <c r="G4175" i="1"/>
  <c r="F4175" i="1"/>
  <c r="E4175" i="1"/>
  <c r="D4175" i="1"/>
  <c r="C4175" i="1"/>
  <c r="H4174" i="1"/>
  <c r="G4174" i="1"/>
  <c r="F4174" i="1"/>
  <c r="E4174" i="1"/>
  <c r="D4174" i="1"/>
  <c r="C4174" i="1"/>
  <c r="H4173" i="1"/>
  <c r="G4173" i="1"/>
  <c r="F4173" i="1"/>
  <c r="E4173" i="1"/>
  <c r="D4173" i="1"/>
  <c r="C4173" i="1"/>
  <c r="H4172" i="1"/>
  <c r="G4172" i="1"/>
  <c r="F4172" i="1"/>
  <c r="E4172" i="1"/>
  <c r="D4172" i="1"/>
  <c r="C4172" i="1"/>
  <c r="H4171" i="1"/>
  <c r="G4171" i="1"/>
  <c r="F4171" i="1"/>
  <c r="E4171" i="1"/>
  <c r="D4171" i="1"/>
  <c r="C4171" i="1"/>
  <c r="H4170" i="1"/>
  <c r="G4170" i="1"/>
  <c r="F4170" i="1"/>
  <c r="E4170" i="1"/>
  <c r="D4170" i="1"/>
  <c r="C4170" i="1"/>
  <c r="H4169" i="1"/>
  <c r="G4169" i="1"/>
  <c r="F4169" i="1"/>
  <c r="E4169" i="1"/>
  <c r="D4169" i="1"/>
  <c r="C4169" i="1"/>
  <c r="H4168" i="1"/>
  <c r="G4168" i="1"/>
  <c r="F4168" i="1"/>
  <c r="E4168" i="1"/>
  <c r="D4168" i="1"/>
  <c r="C4168" i="1"/>
  <c r="H4167" i="1"/>
  <c r="G4167" i="1"/>
  <c r="F4167" i="1"/>
  <c r="E4167" i="1"/>
  <c r="D4167" i="1"/>
  <c r="C4167" i="1"/>
  <c r="H4166" i="1"/>
  <c r="G4166" i="1"/>
  <c r="F4166" i="1"/>
  <c r="E4166" i="1"/>
  <c r="D4166" i="1"/>
  <c r="C4166" i="1"/>
  <c r="H4165" i="1"/>
  <c r="G4165" i="1"/>
  <c r="F4165" i="1"/>
  <c r="E4165" i="1"/>
  <c r="D4165" i="1"/>
  <c r="C4165" i="1"/>
  <c r="H4164" i="1"/>
  <c r="G4164" i="1"/>
  <c r="F4164" i="1"/>
  <c r="E4164" i="1"/>
  <c r="D4164" i="1"/>
  <c r="C4164" i="1"/>
  <c r="H4163" i="1"/>
  <c r="G4163" i="1"/>
  <c r="F4163" i="1"/>
  <c r="E4163" i="1"/>
  <c r="D4163" i="1"/>
  <c r="C4163" i="1"/>
  <c r="H4162" i="1"/>
  <c r="G4162" i="1"/>
  <c r="F4162" i="1"/>
  <c r="E4162" i="1"/>
  <c r="D4162" i="1"/>
  <c r="C4162" i="1"/>
  <c r="H4161" i="1"/>
  <c r="G4161" i="1"/>
  <c r="F4161" i="1"/>
  <c r="E4161" i="1"/>
  <c r="D4161" i="1"/>
  <c r="C4161" i="1"/>
  <c r="H4160" i="1"/>
  <c r="G4160" i="1"/>
  <c r="F4160" i="1"/>
  <c r="E4160" i="1"/>
  <c r="D4160" i="1"/>
  <c r="C4160" i="1"/>
  <c r="H4159" i="1"/>
  <c r="G4159" i="1"/>
  <c r="F4159" i="1"/>
  <c r="E4159" i="1"/>
  <c r="D4159" i="1"/>
  <c r="C4159" i="1"/>
  <c r="H4158" i="1"/>
  <c r="G4158" i="1"/>
  <c r="F4158" i="1"/>
  <c r="E4158" i="1"/>
  <c r="D4158" i="1"/>
  <c r="C4158" i="1"/>
  <c r="H4157" i="1"/>
  <c r="G4157" i="1"/>
  <c r="F4157" i="1"/>
  <c r="E4157" i="1"/>
  <c r="D4157" i="1"/>
  <c r="C4157" i="1"/>
  <c r="H4156" i="1"/>
  <c r="G4156" i="1"/>
  <c r="F4156" i="1"/>
  <c r="E4156" i="1"/>
  <c r="D4156" i="1"/>
  <c r="C4156" i="1"/>
  <c r="H4155" i="1"/>
  <c r="G4155" i="1"/>
  <c r="F4155" i="1"/>
  <c r="E4155" i="1"/>
  <c r="D4155" i="1"/>
  <c r="C4155" i="1"/>
  <c r="H4154" i="1"/>
  <c r="G4154" i="1"/>
  <c r="F4154" i="1"/>
  <c r="E4154" i="1"/>
  <c r="D4154" i="1"/>
  <c r="C4154" i="1"/>
  <c r="H4153" i="1"/>
  <c r="G4153" i="1"/>
  <c r="F4153" i="1"/>
  <c r="E4153" i="1"/>
  <c r="D4153" i="1"/>
  <c r="C4153" i="1"/>
  <c r="H4152" i="1"/>
  <c r="G4152" i="1"/>
  <c r="F4152" i="1"/>
  <c r="E4152" i="1"/>
  <c r="D4152" i="1"/>
  <c r="C4152" i="1"/>
  <c r="H4151" i="1"/>
  <c r="G4151" i="1"/>
  <c r="F4151" i="1"/>
  <c r="E4151" i="1"/>
  <c r="D4151" i="1"/>
  <c r="C4151" i="1"/>
  <c r="H4150" i="1"/>
  <c r="G4150" i="1"/>
  <c r="F4150" i="1"/>
  <c r="E4150" i="1"/>
  <c r="D4150" i="1"/>
  <c r="C4150" i="1"/>
  <c r="H4149" i="1"/>
  <c r="G4149" i="1"/>
  <c r="F4149" i="1"/>
  <c r="E4149" i="1"/>
  <c r="D4149" i="1"/>
  <c r="C4149" i="1"/>
  <c r="H4148" i="1"/>
  <c r="G4148" i="1"/>
  <c r="F4148" i="1"/>
  <c r="E4148" i="1"/>
  <c r="D4148" i="1"/>
  <c r="C4148" i="1"/>
  <c r="H4147" i="1"/>
  <c r="G4147" i="1"/>
  <c r="F4147" i="1"/>
  <c r="E4147" i="1"/>
  <c r="D4147" i="1"/>
  <c r="C4147" i="1"/>
  <c r="H4146" i="1"/>
  <c r="G4146" i="1"/>
  <c r="F4146" i="1"/>
  <c r="E4146" i="1"/>
  <c r="D4146" i="1"/>
  <c r="C4146" i="1"/>
  <c r="H4145" i="1"/>
  <c r="G4145" i="1"/>
  <c r="F4145" i="1"/>
  <c r="E4145" i="1"/>
  <c r="D4145" i="1"/>
  <c r="C4145" i="1"/>
  <c r="H4144" i="1"/>
  <c r="G4144" i="1"/>
  <c r="F4144" i="1"/>
  <c r="E4144" i="1"/>
  <c r="D4144" i="1"/>
  <c r="C4144" i="1"/>
  <c r="H4143" i="1"/>
  <c r="G4143" i="1"/>
  <c r="F4143" i="1"/>
  <c r="E4143" i="1"/>
  <c r="D4143" i="1"/>
  <c r="C4143" i="1"/>
  <c r="H4142" i="1"/>
  <c r="G4142" i="1"/>
  <c r="F4142" i="1"/>
  <c r="E4142" i="1"/>
  <c r="D4142" i="1"/>
  <c r="C4142" i="1"/>
  <c r="H4141" i="1"/>
  <c r="G4141" i="1"/>
  <c r="F4141" i="1"/>
  <c r="E4141" i="1"/>
  <c r="D4141" i="1"/>
  <c r="C4141" i="1"/>
  <c r="H4140" i="1"/>
  <c r="G4140" i="1"/>
  <c r="F4140" i="1"/>
  <c r="E4140" i="1"/>
  <c r="D4140" i="1"/>
  <c r="C4140" i="1"/>
  <c r="H4139" i="1"/>
  <c r="G4139" i="1"/>
  <c r="F4139" i="1"/>
  <c r="E4139" i="1"/>
  <c r="D4139" i="1"/>
  <c r="C4139" i="1"/>
  <c r="H4138" i="1"/>
  <c r="G4138" i="1"/>
  <c r="F4138" i="1"/>
  <c r="E4138" i="1"/>
  <c r="D4138" i="1"/>
  <c r="C4138" i="1"/>
  <c r="H4137" i="1"/>
  <c r="G4137" i="1"/>
  <c r="F4137" i="1"/>
  <c r="E4137" i="1"/>
  <c r="D4137" i="1"/>
  <c r="C4137" i="1"/>
  <c r="H4136" i="1"/>
  <c r="G4136" i="1"/>
  <c r="F4136" i="1"/>
  <c r="E4136" i="1"/>
  <c r="D4136" i="1"/>
  <c r="C4136" i="1"/>
  <c r="H4135" i="1"/>
  <c r="G4135" i="1"/>
  <c r="F4135" i="1"/>
  <c r="E4135" i="1"/>
  <c r="D4135" i="1"/>
  <c r="C4135" i="1"/>
  <c r="H4134" i="1"/>
  <c r="G4134" i="1"/>
  <c r="F4134" i="1"/>
  <c r="E4134" i="1"/>
  <c r="D4134" i="1"/>
  <c r="C4134" i="1"/>
  <c r="H4133" i="1"/>
  <c r="G4133" i="1"/>
  <c r="F4133" i="1"/>
  <c r="E4133" i="1"/>
  <c r="D4133" i="1"/>
  <c r="C4133" i="1"/>
  <c r="H4132" i="1"/>
  <c r="G4132" i="1"/>
  <c r="F4132" i="1"/>
  <c r="E4132" i="1"/>
  <c r="D4132" i="1"/>
  <c r="C4132" i="1"/>
  <c r="H4131" i="1"/>
  <c r="G4131" i="1"/>
  <c r="F4131" i="1"/>
  <c r="E4131" i="1"/>
  <c r="D4131" i="1"/>
  <c r="C4131" i="1"/>
  <c r="H4130" i="1"/>
  <c r="G4130" i="1"/>
  <c r="F4130" i="1"/>
  <c r="E4130" i="1"/>
  <c r="D4130" i="1"/>
  <c r="C4130" i="1"/>
  <c r="H4129" i="1"/>
  <c r="G4129" i="1"/>
  <c r="F4129" i="1"/>
  <c r="E4129" i="1"/>
  <c r="D4129" i="1"/>
  <c r="C4129" i="1"/>
  <c r="H4128" i="1"/>
  <c r="G4128" i="1"/>
  <c r="F4128" i="1"/>
  <c r="E4128" i="1"/>
  <c r="D4128" i="1"/>
  <c r="C4128" i="1"/>
  <c r="H4127" i="1"/>
  <c r="G4127" i="1"/>
  <c r="F4127" i="1"/>
  <c r="E4127" i="1"/>
  <c r="D4127" i="1"/>
  <c r="C4127" i="1"/>
  <c r="H4126" i="1"/>
  <c r="G4126" i="1"/>
  <c r="F4126" i="1"/>
  <c r="E4126" i="1"/>
  <c r="D4126" i="1"/>
  <c r="C4126" i="1"/>
  <c r="H4125" i="1"/>
  <c r="G4125" i="1"/>
  <c r="F4125" i="1"/>
  <c r="E4125" i="1"/>
  <c r="D4125" i="1"/>
  <c r="C4125" i="1"/>
  <c r="H4124" i="1"/>
  <c r="G4124" i="1"/>
  <c r="F4124" i="1"/>
  <c r="E4124" i="1"/>
  <c r="D4124" i="1"/>
  <c r="C4124" i="1"/>
  <c r="H4123" i="1"/>
  <c r="G4123" i="1"/>
  <c r="F4123" i="1"/>
  <c r="E4123" i="1"/>
  <c r="D4123" i="1"/>
  <c r="C4123" i="1"/>
  <c r="H4122" i="1"/>
  <c r="G4122" i="1"/>
  <c r="F4122" i="1"/>
  <c r="E4122" i="1"/>
  <c r="D4122" i="1"/>
  <c r="C4122" i="1"/>
  <c r="H4121" i="1"/>
  <c r="G4121" i="1"/>
  <c r="F4121" i="1"/>
  <c r="E4121" i="1"/>
  <c r="D4121" i="1"/>
  <c r="C4121" i="1"/>
  <c r="H4120" i="1"/>
  <c r="G4120" i="1"/>
  <c r="F4120" i="1"/>
  <c r="E4120" i="1"/>
  <c r="D4120" i="1"/>
  <c r="C4120" i="1"/>
  <c r="H4119" i="1"/>
  <c r="G4119" i="1"/>
  <c r="F4119" i="1"/>
  <c r="E4119" i="1"/>
  <c r="D4119" i="1"/>
  <c r="C4119" i="1"/>
  <c r="H4118" i="1"/>
  <c r="G4118" i="1"/>
  <c r="F4118" i="1"/>
  <c r="E4118" i="1"/>
  <c r="D4118" i="1"/>
  <c r="C4118" i="1"/>
  <c r="H4117" i="1"/>
  <c r="G4117" i="1"/>
  <c r="F4117" i="1"/>
  <c r="E4117" i="1"/>
  <c r="D4117" i="1"/>
  <c r="C4117" i="1"/>
  <c r="H4116" i="1"/>
  <c r="G4116" i="1"/>
  <c r="F4116" i="1"/>
  <c r="E4116" i="1"/>
  <c r="D4116" i="1"/>
  <c r="C4116" i="1"/>
  <c r="H4115" i="1"/>
  <c r="G4115" i="1"/>
  <c r="F4115" i="1"/>
  <c r="E4115" i="1"/>
  <c r="D4115" i="1"/>
  <c r="C4115" i="1"/>
  <c r="H4114" i="1"/>
  <c r="G4114" i="1"/>
  <c r="F4114" i="1"/>
  <c r="E4114" i="1"/>
  <c r="D4114" i="1"/>
  <c r="C4114" i="1"/>
  <c r="H4113" i="1"/>
  <c r="G4113" i="1"/>
  <c r="F4113" i="1"/>
  <c r="E4113" i="1"/>
  <c r="D4113" i="1"/>
  <c r="C4113" i="1"/>
  <c r="H4112" i="1"/>
  <c r="G4112" i="1"/>
  <c r="F4112" i="1"/>
  <c r="E4112" i="1"/>
  <c r="D4112" i="1"/>
  <c r="C4112" i="1"/>
  <c r="H4111" i="1"/>
  <c r="G4111" i="1"/>
  <c r="F4111" i="1"/>
  <c r="E4111" i="1"/>
  <c r="D4111" i="1"/>
  <c r="C4111" i="1"/>
  <c r="H4110" i="1"/>
  <c r="G4110" i="1"/>
  <c r="F4110" i="1"/>
  <c r="E4110" i="1"/>
  <c r="D4110" i="1"/>
  <c r="C4110" i="1"/>
  <c r="H4109" i="1"/>
  <c r="G4109" i="1"/>
  <c r="F4109" i="1"/>
  <c r="E4109" i="1"/>
  <c r="D4109" i="1"/>
  <c r="C4109" i="1"/>
  <c r="H4108" i="1"/>
  <c r="G4108" i="1"/>
  <c r="F4108" i="1"/>
  <c r="E4108" i="1"/>
  <c r="D4108" i="1"/>
  <c r="C4108" i="1"/>
  <c r="H4107" i="1"/>
  <c r="G4107" i="1"/>
  <c r="F4107" i="1"/>
  <c r="E4107" i="1"/>
  <c r="D4107" i="1"/>
  <c r="C4107" i="1"/>
  <c r="H4106" i="1"/>
  <c r="G4106" i="1"/>
  <c r="F4106" i="1"/>
  <c r="E4106" i="1"/>
  <c r="D4106" i="1"/>
  <c r="C4106" i="1"/>
  <c r="H4105" i="1"/>
  <c r="G4105" i="1"/>
  <c r="F4105" i="1"/>
  <c r="E4105" i="1"/>
  <c r="D4105" i="1"/>
  <c r="C4105" i="1"/>
  <c r="H4104" i="1"/>
  <c r="G4104" i="1"/>
  <c r="F4104" i="1"/>
  <c r="E4104" i="1"/>
  <c r="D4104" i="1"/>
  <c r="C4104" i="1"/>
  <c r="H4103" i="1"/>
  <c r="G4103" i="1"/>
  <c r="F4103" i="1"/>
  <c r="E4103" i="1"/>
  <c r="D4103" i="1"/>
  <c r="C4103" i="1"/>
  <c r="H4102" i="1"/>
  <c r="G4102" i="1"/>
  <c r="F4102" i="1"/>
  <c r="E4102" i="1"/>
  <c r="D4102" i="1"/>
  <c r="C4102" i="1"/>
  <c r="H4101" i="1"/>
  <c r="G4101" i="1"/>
  <c r="F4101" i="1"/>
  <c r="E4101" i="1"/>
  <c r="D4101" i="1"/>
  <c r="C4101" i="1"/>
  <c r="H4100" i="1"/>
  <c r="G4100" i="1"/>
  <c r="F4100" i="1"/>
  <c r="E4100" i="1"/>
  <c r="D4100" i="1"/>
  <c r="C4100" i="1"/>
  <c r="H4099" i="1"/>
  <c r="G4099" i="1"/>
  <c r="F4099" i="1"/>
  <c r="E4099" i="1"/>
  <c r="D4099" i="1"/>
  <c r="C4099" i="1"/>
  <c r="H4098" i="1"/>
  <c r="G4098" i="1"/>
  <c r="F4098" i="1"/>
  <c r="E4098" i="1"/>
  <c r="D4098" i="1"/>
  <c r="C4098" i="1"/>
  <c r="H4097" i="1"/>
  <c r="G4097" i="1"/>
  <c r="F4097" i="1"/>
  <c r="E4097" i="1"/>
  <c r="D4097" i="1"/>
  <c r="C4097" i="1"/>
  <c r="H4096" i="1"/>
  <c r="G4096" i="1"/>
  <c r="F4096" i="1"/>
  <c r="E4096" i="1"/>
  <c r="D4096" i="1"/>
  <c r="C4096" i="1"/>
  <c r="H4095" i="1"/>
  <c r="G4095" i="1"/>
  <c r="F4095" i="1"/>
  <c r="E4095" i="1"/>
  <c r="D4095" i="1"/>
  <c r="C4095" i="1"/>
  <c r="H4094" i="1"/>
  <c r="G4094" i="1"/>
  <c r="F4094" i="1"/>
  <c r="E4094" i="1"/>
  <c r="D4094" i="1"/>
  <c r="C4094" i="1"/>
  <c r="H4093" i="1"/>
  <c r="G4093" i="1"/>
  <c r="F4093" i="1"/>
  <c r="E4093" i="1"/>
  <c r="D4093" i="1"/>
  <c r="C4093" i="1"/>
  <c r="H4092" i="1"/>
  <c r="G4092" i="1"/>
  <c r="F4092" i="1"/>
  <c r="E4092" i="1"/>
  <c r="D4092" i="1"/>
  <c r="C4092" i="1"/>
  <c r="H4091" i="1"/>
  <c r="G4091" i="1"/>
  <c r="F4091" i="1"/>
  <c r="E4091" i="1"/>
  <c r="D4091" i="1"/>
  <c r="C4091" i="1"/>
  <c r="H4090" i="1"/>
  <c r="G4090" i="1"/>
  <c r="F4090" i="1"/>
  <c r="E4090" i="1"/>
  <c r="D4090" i="1"/>
  <c r="C4090" i="1"/>
  <c r="H4089" i="1"/>
  <c r="G4089" i="1"/>
  <c r="F4089" i="1"/>
  <c r="E4089" i="1"/>
  <c r="D4089" i="1"/>
  <c r="C4089" i="1"/>
  <c r="H4088" i="1"/>
  <c r="G4088" i="1"/>
  <c r="F4088" i="1"/>
  <c r="E4088" i="1"/>
  <c r="D4088" i="1"/>
  <c r="C4088" i="1"/>
  <c r="H4087" i="1"/>
  <c r="G4087" i="1"/>
  <c r="F4087" i="1"/>
  <c r="E4087" i="1"/>
  <c r="D4087" i="1"/>
  <c r="C4087" i="1"/>
  <c r="H4086" i="1"/>
  <c r="G4086" i="1"/>
  <c r="F4086" i="1"/>
  <c r="E4086" i="1"/>
  <c r="D4086" i="1"/>
  <c r="C4086" i="1"/>
  <c r="H4085" i="1"/>
  <c r="G4085" i="1"/>
  <c r="F4085" i="1"/>
  <c r="E4085" i="1"/>
  <c r="D4085" i="1"/>
  <c r="C4085" i="1"/>
  <c r="H4084" i="1"/>
  <c r="G4084" i="1"/>
  <c r="F4084" i="1"/>
  <c r="E4084" i="1"/>
  <c r="D4084" i="1"/>
  <c r="C4084" i="1"/>
  <c r="H4083" i="1"/>
  <c r="G4083" i="1"/>
  <c r="F4083" i="1"/>
  <c r="E4083" i="1"/>
  <c r="D4083" i="1"/>
  <c r="C4083" i="1"/>
  <c r="H4082" i="1"/>
  <c r="G4082" i="1"/>
  <c r="F4082" i="1"/>
  <c r="E4082" i="1"/>
  <c r="D4082" i="1"/>
  <c r="C4082" i="1"/>
  <c r="H4081" i="1"/>
  <c r="G4081" i="1"/>
  <c r="F4081" i="1"/>
  <c r="E4081" i="1"/>
  <c r="D4081" i="1"/>
  <c r="C4081" i="1"/>
  <c r="H4080" i="1"/>
  <c r="G4080" i="1"/>
  <c r="F4080" i="1"/>
  <c r="E4080" i="1"/>
  <c r="D4080" i="1"/>
  <c r="C4080" i="1"/>
  <c r="H4079" i="1"/>
  <c r="G4079" i="1"/>
  <c r="F4079" i="1"/>
  <c r="E4079" i="1"/>
  <c r="D4079" i="1"/>
  <c r="C4079" i="1"/>
  <c r="H4078" i="1"/>
  <c r="G4078" i="1"/>
  <c r="F4078" i="1"/>
  <c r="E4078" i="1"/>
  <c r="D4078" i="1"/>
  <c r="C4078" i="1"/>
  <c r="H4077" i="1"/>
  <c r="G4077" i="1"/>
  <c r="F4077" i="1"/>
  <c r="E4077" i="1"/>
  <c r="D4077" i="1"/>
  <c r="C4077" i="1"/>
  <c r="H4076" i="1"/>
  <c r="G4076" i="1"/>
  <c r="F4076" i="1"/>
  <c r="E4076" i="1"/>
  <c r="D4076" i="1"/>
  <c r="C4076" i="1"/>
  <c r="H4075" i="1"/>
  <c r="G4075" i="1"/>
  <c r="F4075" i="1"/>
  <c r="E4075" i="1"/>
  <c r="D4075" i="1"/>
  <c r="C4075" i="1"/>
  <c r="H4074" i="1"/>
  <c r="G4074" i="1"/>
  <c r="F4074" i="1"/>
  <c r="E4074" i="1"/>
  <c r="D4074" i="1"/>
  <c r="C4074" i="1"/>
  <c r="H4073" i="1"/>
  <c r="G4073" i="1"/>
  <c r="F4073" i="1"/>
  <c r="E4073" i="1"/>
  <c r="D4073" i="1"/>
  <c r="C4073" i="1"/>
  <c r="H4072" i="1"/>
  <c r="G4072" i="1"/>
  <c r="F4072" i="1"/>
  <c r="E4072" i="1"/>
  <c r="D4072" i="1"/>
  <c r="C4072" i="1"/>
  <c r="H4071" i="1"/>
  <c r="G4071" i="1"/>
  <c r="F4071" i="1"/>
  <c r="E4071" i="1"/>
  <c r="D4071" i="1"/>
  <c r="C4071" i="1"/>
  <c r="H4070" i="1"/>
  <c r="G4070" i="1"/>
  <c r="F4070" i="1"/>
  <c r="E4070" i="1"/>
  <c r="D4070" i="1"/>
  <c r="C4070" i="1"/>
  <c r="H4069" i="1"/>
  <c r="G4069" i="1"/>
  <c r="F4069" i="1"/>
  <c r="E4069" i="1"/>
  <c r="D4069" i="1"/>
  <c r="C4069" i="1"/>
  <c r="H4068" i="1"/>
  <c r="G4068" i="1"/>
  <c r="F4068" i="1"/>
  <c r="E4068" i="1"/>
  <c r="D4068" i="1"/>
  <c r="C4068" i="1"/>
  <c r="H4067" i="1"/>
  <c r="G4067" i="1"/>
  <c r="F4067" i="1"/>
  <c r="E4067" i="1"/>
  <c r="D4067" i="1"/>
  <c r="C4067" i="1"/>
  <c r="H4066" i="1"/>
  <c r="G4066" i="1"/>
  <c r="F4066" i="1"/>
  <c r="E4066" i="1"/>
  <c r="D4066" i="1"/>
  <c r="C4066" i="1"/>
  <c r="H4065" i="1"/>
  <c r="G4065" i="1"/>
  <c r="F4065" i="1"/>
  <c r="E4065" i="1"/>
  <c r="D4065" i="1"/>
  <c r="C4065" i="1"/>
  <c r="H4064" i="1"/>
  <c r="G4064" i="1"/>
  <c r="F4064" i="1"/>
  <c r="E4064" i="1"/>
  <c r="D4064" i="1"/>
  <c r="C4064" i="1"/>
  <c r="H4063" i="1"/>
  <c r="G4063" i="1"/>
  <c r="F4063" i="1"/>
  <c r="E4063" i="1"/>
  <c r="D4063" i="1"/>
  <c r="C4063" i="1"/>
  <c r="H4062" i="1"/>
  <c r="G4062" i="1"/>
  <c r="F4062" i="1"/>
  <c r="E4062" i="1"/>
  <c r="D4062" i="1"/>
  <c r="C4062" i="1"/>
  <c r="H4061" i="1"/>
  <c r="G4061" i="1"/>
  <c r="F4061" i="1"/>
  <c r="E4061" i="1"/>
  <c r="D4061" i="1"/>
  <c r="C4061" i="1"/>
  <c r="H4060" i="1"/>
  <c r="G4060" i="1"/>
  <c r="F4060" i="1"/>
  <c r="E4060" i="1"/>
  <c r="D4060" i="1"/>
  <c r="C4060" i="1"/>
  <c r="H4059" i="1"/>
  <c r="G4059" i="1"/>
  <c r="F4059" i="1"/>
  <c r="E4059" i="1"/>
  <c r="D4059" i="1"/>
  <c r="C4059" i="1"/>
  <c r="H4058" i="1"/>
  <c r="G4058" i="1"/>
  <c r="F4058" i="1"/>
  <c r="E4058" i="1"/>
  <c r="D4058" i="1"/>
  <c r="C4058" i="1"/>
  <c r="H4057" i="1"/>
  <c r="G4057" i="1"/>
  <c r="F4057" i="1"/>
  <c r="E4057" i="1"/>
  <c r="D4057" i="1"/>
  <c r="C4057" i="1"/>
  <c r="H4056" i="1"/>
  <c r="G4056" i="1"/>
  <c r="F4056" i="1"/>
  <c r="E4056" i="1"/>
  <c r="D4056" i="1"/>
  <c r="C4056" i="1"/>
  <c r="H4055" i="1"/>
  <c r="G4055" i="1"/>
  <c r="F4055" i="1"/>
  <c r="E4055" i="1"/>
  <c r="D4055" i="1"/>
  <c r="C4055" i="1"/>
  <c r="H4054" i="1"/>
  <c r="G4054" i="1"/>
  <c r="F4054" i="1"/>
  <c r="E4054" i="1"/>
  <c r="D4054" i="1"/>
  <c r="C4054" i="1"/>
  <c r="H4053" i="1"/>
  <c r="G4053" i="1"/>
  <c r="F4053" i="1"/>
  <c r="E4053" i="1"/>
  <c r="D4053" i="1"/>
  <c r="C4053" i="1"/>
  <c r="H4052" i="1"/>
  <c r="G4052" i="1"/>
  <c r="F4052" i="1"/>
  <c r="E4052" i="1"/>
  <c r="D4052" i="1"/>
  <c r="C4052" i="1"/>
  <c r="H4051" i="1"/>
  <c r="G4051" i="1"/>
  <c r="F4051" i="1"/>
  <c r="E4051" i="1"/>
  <c r="D4051" i="1"/>
  <c r="C4051" i="1"/>
  <c r="H4050" i="1"/>
  <c r="G4050" i="1"/>
  <c r="F4050" i="1"/>
  <c r="E4050" i="1"/>
  <c r="D4050" i="1"/>
  <c r="C4050" i="1"/>
  <c r="H4049" i="1"/>
  <c r="G4049" i="1"/>
  <c r="F4049" i="1"/>
  <c r="E4049" i="1"/>
  <c r="D4049" i="1"/>
  <c r="C4049" i="1"/>
  <c r="H4048" i="1"/>
  <c r="G4048" i="1"/>
  <c r="F4048" i="1"/>
  <c r="E4048" i="1"/>
  <c r="D4048" i="1"/>
  <c r="C4048" i="1"/>
  <c r="H4047" i="1"/>
  <c r="G4047" i="1"/>
  <c r="F4047" i="1"/>
  <c r="E4047" i="1"/>
  <c r="D4047" i="1"/>
  <c r="C4047" i="1"/>
  <c r="H4046" i="1"/>
  <c r="G4046" i="1"/>
  <c r="F4046" i="1"/>
  <c r="E4046" i="1"/>
  <c r="D4046" i="1"/>
  <c r="C4046" i="1"/>
  <c r="H4045" i="1"/>
  <c r="G4045" i="1"/>
  <c r="F4045" i="1"/>
  <c r="E4045" i="1"/>
  <c r="D4045" i="1"/>
  <c r="C4045" i="1"/>
  <c r="H4044" i="1"/>
  <c r="G4044" i="1"/>
  <c r="F4044" i="1"/>
  <c r="E4044" i="1"/>
  <c r="D4044" i="1"/>
  <c r="C4044" i="1"/>
  <c r="H4043" i="1"/>
  <c r="G4043" i="1"/>
  <c r="F4043" i="1"/>
  <c r="E4043" i="1"/>
  <c r="D4043" i="1"/>
  <c r="C4043" i="1"/>
  <c r="H4042" i="1"/>
  <c r="G4042" i="1"/>
  <c r="F4042" i="1"/>
  <c r="E4042" i="1"/>
  <c r="D4042" i="1"/>
  <c r="C4042" i="1"/>
  <c r="H4041" i="1"/>
  <c r="G4041" i="1"/>
  <c r="F4041" i="1"/>
  <c r="E4041" i="1"/>
  <c r="D4041" i="1"/>
  <c r="C4041" i="1"/>
  <c r="H4040" i="1"/>
  <c r="G4040" i="1"/>
  <c r="F4040" i="1"/>
  <c r="E4040" i="1"/>
  <c r="D4040" i="1"/>
  <c r="C4040" i="1"/>
  <c r="H4039" i="1"/>
  <c r="G4039" i="1"/>
  <c r="F4039" i="1"/>
  <c r="E4039" i="1"/>
  <c r="D4039" i="1"/>
  <c r="C4039" i="1"/>
  <c r="H4038" i="1"/>
  <c r="G4038" i="1"/>
  <c r="F4038" i="1"/>
  <c r="E4038" i="1"/>
  <c r="D4038" i="1"/>
  <c r="C4038" i="1"/>
  <c r="H4037" i="1"/>
  <c r="G4037" i="1"/>
  <c r="F4037" i="1"/>
  <c r="E4037" i="1"/>
  <c r="D4037" i="1"/>
  <c r="C4037" i="1"/>
  <c r="H4036" i="1"/>
  <c r="G4036" i="1"/>
  <c r="F4036" i="1"/>
  <c r="E4036" i="1"/>
  <c r="D4036" i="1"/>
  <c r="C4036" i="1"/>
  <c r="H4035" i="1"/>
  <c r="G4035" i="1"/>
  <c r="F4035" i="1"/>
  <c r="E4035" i="1"/>
  <c r="D4035" i="1"/>
  <c r="C4035" i="1"/>
  <c r="H4034" i="1"/>
  <c r="G4034" i="1"/>
  <c r="F4034" i="1"/>
  <c r="E4034" i="1"/>
  <c r="D4034" i="1"/>
  <c r="C4034" i="1"/>
  <c r="H4033" i="1"/>
  <c r="G4033" i="1"/>
  <c r="F4033" i="1"/>
  <c r="E4033" i="1"/>
  <c r="D4033" i="1"/>
  <c r="C4033" i="1"/>
  <c r="H4032" i="1"/>
  <c r="G4032" i="1"/>
  <c r="F4032" i="1"/>
  <c r="E4032" i="1"/>
  <c r="D4032" i="1"/>
  <c r="C4032" i="1"/>
  <c r="H4031" i="1"/>
  <c r="G4031" i="1"/>
  <c r="F4031" i="1"/>
  <c r="E4031" i="1"/>
  <c r="D4031" i="1"/>
  <c r="C4031" i="1"/>
  <c r="H4030" i="1"/>
  <c r="G4030" i="1"/>
  <c r="F4030" i="1"/>
  <c r="E4030" i="1"/>
  <c r="D4030" i="1"/>
  <c r="C4030" i="1"/>
  <c r="H4029" i="1"/>
  <c r="G4029" i="1"/>
  <c r="F4029" i="1"/>
  <c r="E4029" i="1"/>
  <c r="D4029" i="1"/>
  <c r="C4029" i="1"/>
  <c r="H4028" i="1"/>
  <c r="G4028" i="1"/>
  <c r="F4028" i="1"/>
  <c r="E4028" i="1"/>
  <c r="D4028" i="1"/>
  <c r="C4028" i="1"/>
  <c r="H4027" i="1"/>
  <c r="G4027" i="1"/>
  <c r="F4027" i="1"/>
  <c r="E4027" i="1"/>
  <c r="D4027" i="1"/>
  <c r="C4027" i="1"/>
  <c r="H4026" i="1"/>
  <c r="G4026" i="1"/>
  <c r="F4026" i="1"/>
  <c r="E4026" i="1"/>
  <c r="D4026" i="1"/>
  <c r="C4026" i="1"/>
  <c r="H4025" i="1"/>
  <c r="G4025" i="1"/>
  <c r="F4025" i="1"/>
  <c r="E4025" i="1"/>
  <c r="D4025" i="1"/>
  <c r="C4025" i="1"/>
  <c r="H4024" i="1"/>
  <c r="G4024" i="1"/>
  <c r="F4024" i="1"/>
  <c r="E4024" i="1"/>
  <c r="D4024" i="1"/>
  <c r="C4024" i="1"/>
  <c r="H4023" i="1"/>
  <c r="G4023" i="1"/>
  <c r="F4023" i="1"/>
  <c r="E4023" i="1"/>
  <c r="D4023" i="1"/>
  <c r="C4023" i="1"/>
  <c r="H4022" i="1"/>
  <c r="G4022" i="1"/>
  <c r="F4022" i="1"/>
  <c r="E4022" i="1"/>
  <c r="D4022" i="1"/>
  <c r="C4022" i="1"/>
  <c r="H4021" i="1"/>
  <c r="G4021" i="1"/>
  <c r="F4021" i="1"/>
  <c r="E4021" i="1"/>
  <c r="D4021" i="1"/>
  <c r="C4021" i="1"/>
  <c r="H4020" i="1"/>
  <c r="G4020" i="1"/>
  <c r="F4020" i="1"/>
  <c r="E4020" i="1"/>
  <c r="D4020" i="1"/>
  <c r="C4020" i="1"/>
  <c r="H4019" i="1"/>
  <c r="G4019" i="1"/>
  <c r="F4019" i="1"/>
  <c r="E4019" i="1"/>
  <c r="D4019" i="1"/>
  <c r="C4019" i="1"/>
  <c r="H4018" i="1"/>
  <c r="G4018" i="1"/>
  <c r="F4018" i="1"/>
  <c r="E4018" i="1"/>
  <c r="D4018" i="1"/>
  <c r="C4018" i="1"/>
  <c r="H4017" i="1"/>
  <c r="G4017" i="1"/>
  <c r="F4017" i="1"/>
  <c r="E4017" i="1"/>
  <c r="D4017" i="1"/>
  <c r="C4017" i="1"/>
  <c r="H4016" i="1"/>
  <c r="G4016" i="1"/>
  <c r="F4016" i="1"/>
  <c r="E4016" i="1"/>
  <c r="D4016" i="1"/>
  <c r="C4016" i="1"/>
  <c r="H4015" i="1"/>
  <c r="G4015" i="1"/>
  <c r="F4015" i="1"/>
  <c r="E4015" i="1"/>
  <c r="D4015" i="1"/>
  <c r="C4015" i="1"/>
  <c r="H4014" i="1"/>
  <c r="G4014" i="1"/>
  <c r="F4014" i="1"/>
  <c r="E4014" i="1"/>
  <c r="D4014" i="1"/>
  <c r="C4014" i="1"/>
  <c r="H4013" i="1"/>
  <c r="G4013" i="1"/>
  <c r="F4013" i="1"/>
  <c r="E4013" i="1"/>
  <c r="D4013" i="1"/>
  <c r="C4013" i="1"/>
  <c r="H4012" i="1"/>
  <c r="G4012" i="1"/>
  <c r="F4012" i="1"/>
  <c r="E4012" i="1"/>
  <c r="D4012" i="1"/>
  <c r="C4012" i="1"/>
  <c r="H4011" i="1"/>
  <c r="G4011" i="1"/>
  <c r="F4011" i="1"/>
  <c r="E4011" i="1"/>
  <c r="D4011" i="1"/>
  <c r="C4011" i="1"/>
  <c r="H4010" i="1"/>
  <c r="G4010" i="1"/>
  <c r="F4010" i="1"/>
  <c r="E4010" i="1"/>
  <c r="D4010" i="1"/>
  <c r="C4010" i="1"/>
  <c r="H4009" i="1"/>
  <c r="G4009" i="1"/>
  <c r="F4009" i="1"/>
  <c r="E4009" i="1"/>
  <c r="D4009" i="1"/>
  <c r="C4009" i="1"/>
  <c r="H4008" i="1"/>
  <c r="G4008" i="1"/>
  <c r="F4008" i="1"/>
  <c r="E4008" i="1"/>
  <c r="D4008" i="1"/>
  <c r="C4008" i="1"/>
  <c r="H4007" i="1"/>
  <c r="G4007" i="1"/>
  <c r="F4007" i="1"/>
  <c r="E4007" i="1"/>
  <c r="D4007" i="1"/>
  <c r="C4007" i="1"/>
  <c r="H4006" i="1"/>
  <c r="G4006" i="1"/>
  <c r="F4006" i="1"/>
  <c r="E4006" i="1"/>
  <c r="D4006" i="1"/>
  <c r="C4006" i="1"/>
  <c r="H4005" i="1"/>
  <c r="G4005" i="1"/>
  <c r="F4005" i="1"/>
  <c r="E4005" i="1"/>
  <c r="D4005" i="1"/>
  <c r="C4005" i="1"/>
  <c r="H4004" i="1"/>
  <c r="G4004" i="1"/>
  <c r="F4004" i="1"/>
  <c r="E4004" i="1"/>
  <c r="D4004" i="1"/>
  <c r="C4004" i="1"/>
  <c r="H4003" i="1"/>
  <c r="G4003" i="1"/>
  <c r="F4003" i="1"/>
  <c r="E4003" i="1"/>
  <c r="D4003" i="1"/>
  <c r="C4003" i="1"/>
  <c r="H4002" i="1"/>
  <c r="G4002" i="1"/>
  <c r="F4002" i="1"/>
  <c r="E4002" i="1"/>
  <c r="D4002" i="1"/>
  <c r="C4002" i="1"/>
  <c r="H4001" i="1"/>
  <c r="G4001" i="1"/>
  <c r="F4001" i="1"/>
  <c r="E4001" i="1"/>
  <c r="D4001" i="1"/>
  <c r="C4001" i="1"/>
  <c r="H4000" i="1"/>
  <c r="G4000" i="1"/>
  <c r="F4000" i="1"/>
  <c r="E4000" i="1"/>
  <c r="D4000" i="1"/>
  <c r="C4000" i="1"/>
  <c r="H3999" i="1"/>
  <c r="G3999" i="1"/>
  <c r="F3999" i="1"/>
  <c r="E3999" i="1"/>
  <c r="D3999" i="1"/>
  <c r="C3999" i="1"/>
  <c r="H3998" i="1"/>
  <c r="G3998" i="1"/>
  <c r="F3998" i="1"/>
  <c r="E3998" i="1"/>
  <c r="D3998" i="1"/>
  <c r="C3998" i="1"/>
  <c r="H3997" i="1"/>
  <c r="G3997" i="1"/>
  <c r="F3997" i="1"/>
  <c r="E3997" i="1"/>
  <c r="D3997" i="1"/>
  <c r="C3997" i="1"/>
  <c r="H3996" i="1"/>
  <c r="G3996" i="1"/>
  <c r="F3996" i="1"/>
  <c r="E3996" i="1"/>
  <c r="D3996" i="1"/>
  <c r="C3996" i="1"/>
  <c r="H3995" i="1"/>
  <c r="G3995" i="1"/>
  <c r="F3995" i="1"/>
  <c r="E3995" i="1"/>
  <c r="D3995" i="1"/>
  <c r="C3995" i="1"/>
  <c r="H3994" i="1"/>
  <c r="G3994" i="1"/>
  <c r="F3994" i="1"/>
  <c r="E3994" i="1"/>
  <c r="D3994" i="1"/>
  <c r="C3994" i="1"/>
  <c r="H3993" i="1"/>
  <c r="G3993" i="1"/>
  <c r="F3993" i="1"/>
  <c r="E3993" i="1"/>
  <c r="D3993" i="1"/>
  <c r="C3993" i="1"/>
  <c r="H3992" i="1"/>
  <c r="G3992" i="1"/>
  <c r="F3992" i="1"/>
  <c r="E3992" i="1"/>
  <c r="D3992" i="1"/>
  <c r="C3992" i="1"/>
  <c r="H3991" i="1"/>
  <c r="G3991" i="1"/>
  <c r="F3991" i="1"/>
  <c r="E3991" i="1"/>
  <c r="D3991" i="1"/>
  <c r="C3991" i="1"/>
  <c r="H3990" i="1"/>
  <c r="G3990" i="1"/>
  <c r="F3990" i="1"/>
  <c r="E3990" i="1"/>
  <c r="D3990" i="1"/>
  <c r="C3990" i="1"/>
  <c r="H3989" i="1"/>
  <c r="G3989" i="1"/>
  <c r="F3989" i="1"/>
  <c r="E3989" i="1"/>
  <c r="D3989" i="1"/>
  <c r="C3989" i="1"/>
  <c r="H3988" i="1"/>
  <c r="G3988" i="1"/>
  <c r="F3988" i="1"/>
  <c r="E3988" i="1"/>
  <c r="D3988" i="1"/>
  <c r="C3988" i="1"/>
  <c r="H3987" i="1"/>
  <c r="G3987" i="1"/>
  <c r="F3987" i="1"/>
  <c r="E3987" i="1"/>
  <c r="D3987" i="1"/>
  <c r="C3987" i="1"/>
  <c r="H3986" i="1"/>
  <c r="G3986" i="1"/>
  <c r="F3986" i="1"/>
  <c r="E3986" i="1"/>
  <c r="D3986" i="1"/>
  <c r="C3986" i="1"/>
  <c r="H3985" i="1"/>
  <c r="G3985" i="1"/>
  <c r="F3985" i="1"/>
  <c r="E3985" i="1"/>
  <c r="D3985" i="1"/>
  <c r="C3985" i="1"/>
  <c r="H3984" i="1"/>
  <c r="G3984" i="1"/>
  <c r="F3984" i="1"/>
  <c r="E3984" i="1"/>
  <c r="D3984" i="1"/>
  <c r="C3984" i="1"/>
  <c r="H3983" i="1"/>
  <c r="G3983" i="1"/>
  <c r="F3983" i="1"/>
  <c r="E3983" i="1"/>
  <c r="D3983" i="1"/>
  <c r="C3983" i="1"/>
  <c r="H3982" i="1"/>
  <c r="G3982" i="1"/>
  <c r="F3982" i="1"/>
  <c r="E3982" i="1"/>
  <c r="D3982" i="1"/>
  <c r="C3982" i="1"/>
  <c r="H3981" i="1"/>
  <c r="G3981" i="1"/>
  <c r="F3981" i="1"/>
  <c r="E3981" i="1"/>
  <c r="D3981" i="1"/>
  <c r="C3981" i="1"/>
  <c r="H3980" i="1"/>
  <c r="G3980" i="1"/>
  <c r="F3980" i="1"/>
  <c r="E3980" i="1"/>
  <c r="D3980" i="1"/>
  <c r="C3980" i="1"/>
  <c r="H3979" i="1"/>
  <c r="G3979" i="1"/>
  <c r="F3979" i="1"/>
  <c r="E3979" i="1"/>
  <c r="D3979" i="1"/>
  <c r="C3979" i="1"/>
  <c r="H3978" i="1"/>
  <c r="G3978" i="1"/>
  <c r="F3978" i="1"/>
  <c r="E3978" i="1"/>
  <c r="D3978" i="1"/>
  <c r="C3978" i="1"/>
  <c r="H3977" i="1"/>
  <c r="G3977" i="1"/>
  <c r="F3977" i="1"/>
  <c r="E3977" i="1"/>
  <c r="D3977" i="1"/>
  <c r="C3977" i="1"/>
  <c r="H3976" i="1"/>
  <c r="G3976" i="1"/>
  <c r="F3976" i="1"/>
  <c r="E3976" i="1"/>
  <c r="D3976" i="1"/>
  <c r="C3976" i="1"/>
  <c r="H3975" i="1"/>
  <c r="G3975" i="1"/>
  <c r="F3975" i="1"/>
  <c r="E3975" i="1"/>
  <c r="D3975" i="1"/>
  <c r="C3975" i="1"/>
  <c r="H3974" i="1"/>
  <c r="G3974" i="1"/>
  <c r="F3974" i="1"/>
  <c r="E3974" i="1"/>
  <c r="D3974" i="1"/>
  <c r="C3974" i="1"/>
  <c r="H3973" i="1"/>
  <c r="G3973" i="1"/>
  <c r="F3973" i="1"/>
  <c r="E3973" i="1"/>
  <c r="D3973" i="1"/>
  <c r="C3973" i="1"/>
  <c r="H3972" i="1"/>
  <c r="G3972" i="1"/>
  <c r="F3972" i="1"/>
  <c r="E3972" i="1"/>
  <c r="D3972" i="1"/>
  <c r="C3972" i="1"/>
  <c r="H3971" i="1"/>
  <c r="G3971" i="1"/>
  <c r="F3971" i="1"/>
  <c r="E3971" i="1"/>
  <c r="D3971" i="1"/>
  <c r="C3971" i="1"/>
  <c r="H3970" i="1"/>
  <c r="G3970" i="1"/>
  <c r="F3970" i="1"/>
  <c r="E3970" i="1"/>
  <c r="D3970" i="1"/>
  <c r="C3970" i="1"/>
  <c r="H3969" i="1"/>
  <c r="G3969" i="1"/>
  <c r="F3969" i="1"/>
  <c r="E3969" i="1"/>
  <c r="D3969" i="1"/>
  <c r="C3969" i="1"/>
  <c r="H3968" i="1"/>
  <c r="G3968" i="1"/>
  <c r="F3968" i="1"/>
  <c r="E3968" i="1"/>
  <c r="D3968" i="1"/>
  <c r="C3968" i="1"/>
  <c r="H3967" i="1"/>
  <c r="G3967" i="1"/>
  <c r="F3967" i="1"/>
  <c r="E3967" i="1"/>
  <c r="D3967" i="1"/>
  <c r="C3967" i="1"/>
  <c r="H3966" i="1"/>
  <c r="G3966" i="1"/>
  <c r="F3966" i="1"/>
  <c r="E3966" i="1"/>
  <c r="D3966" i="1"/>
  <c r="C3966" i="1"/>
  <c r="H3965" i="1"/>
  <c r="G3965" i="1"/>
  <c r="F3965" i="1"/>
  <c r="E3965" i="1"/>
  <c r="D3965" i="1"/>
  <c r="C3965" i="1"/>
  <c r="H3964" i="1"/>
  <c r="G3964" i="1"/>
  <c r="F3964" i="1"/>
  <c r="E3964" i="1"/>
  <c r="D3964" i="1"/>
  <c r="C3964" i="1"/>
  <c r="H3963" i="1"/>
  <c r="G3963" i="1"/>
  <c r="F3963" i="1"/>
  <c r="E3963" i="1"/>
  <c r="D3963" i="1"/>
  <c r="C3963" i="1"/>
  <c r="H3962" i="1"/>
  <c r="G3962" i="1"/>
  <c r="F3962" i="1"/>
  <c r="E3962" i="1"/>
  <c r="D3962" i="1"/>
  <c r="C3962" i="1"/>
  <c r="H3961" i="1"/>
  <c r="G3961" i="1"/>
  <c r="F3961" i="1"/>
  <c r="E3961" i="1"/>
  <c r="D3961" i="1"/>
  <c r="C3961" i="1"/>
  <c r="H3960" i="1"/>
  <c r="G3960" i="1"/>
  <c r="F3960" i="1"/>
  <c r="E3960" i="1"/>
  <c r="D3960" i="1"/>
  <c r="C3960" i="1"/>
  <c r="H3959" i="1"/>
  <c r="G3959" i="1"/>
  <c r="F3959" i="1"/>
  <c r="E3959" i="1"/>
  <c r="D3959" i="1"/>
  <c r="C3959" i="1"/>
  <c r="H3958" i="1"/>
  <c r="G3958" i="1"/>
  <c r="F3958" i="1"/>
  <c r="E3958" i="1"/>
  <c r="D3958" i="1"/>
  <c r="C3958" i="1"/>
  <c r="H3957" i="1"/>
  <c r="G3957" i="1"/>
  <c r="F3957" i="1"/>
  <c r="E3957" i="1"/>
  <c r="D3957" i="1"/>
  <c r="C3957" i="1"/>
  <c r="H3956" i="1"/>
  <c r="G3956" i="1"/>
  <c r="F3956" i="1"/>
  <c r="E3956" i="1"/>
  <c r="D3956" i="1"/>
  <c r="C3956" i="1"/>
  <c r="H3955" i="1"/>
  <c r="G3955" i="1"/>
  <c r="F3955" i="1"/>
  <c r="E3955" i="1"/>
  <c r="D3955" i="1"/>
  <c r="C3955" i="1"/>
  <c r="H3954" i="1"/>
  <c r="G3954" i="1"/>
  <c r="F3954" i="1"/>
  <c r="E3954" i="1"/>
  <c r="D3954" i="1"/>
  <c r="C3954" i="1"/>
  <c r="H3953" i="1"/>
  <c r="G3953" i="1"/>
  <c r="F3953" i="1"/>
  <c r="E3953" i="1"/>
  <c r="D3953" i="1"/>
  <c r="C3953" i="1"/>
  <c r="H3952" i="1"/>
  <c r="G3952" i="1"/>
  <c r="F3952" i="1"/>
  <c r="E3952" i="1"/>
  <c r="D3952" i="1"/>
  <c r="C3952" i="1"/>
  <c r="H3951" i="1"/>
  <c r="G3951" i="1"/>
  <c r="F3951" i="1"/>
  <c r="E3951" i="1"/>
  <c r="D3951" i="1"/>
  <c r="C3951" i="1"/>
  <c r="H3950" i="1"/>
  <c r="G3950" i="1"/>
  <c r="F3950" i="1"/>
  <c r="E3950" i="1"/>
  <c r="D3950" i="1"/>
  <c r="C3950" i="1"/>
  <c r="H3949" i="1"/>
  <c r="G3949" i="1"/>
  <c r="F3949" i="1"/>
  <c r="E3949" i="1"/>
  <c r="D3949" i="1"/>
  <c r="C3949" i="1"/>
  <c r="H3948" i="1"/>
  <c r="G3948" i="1"/>
  <c r="F3948" i="1"/>
  <c r="E3948" i="1"/>
  <c r="D3948" i="1"/>
  <c r="C3948" i="1"/>
  <c r="H3947" i="1"/>
  <c r="G3947" i="1"/>
  <c r="F3947" i="1"/>
  <c r="E3947" i="1"/>
  <c r="D3947" i="1"/>
  <c r="C3947" i="1"/>
  <c r="H3946" i="1"/>
  <c r="G3946" i="1"/>
  <c r="F3946" i="1"/>
  <c r="E3946" i="1"/>
  <c r="D3946" i="1"/>
  <c r="C3946" i="1"/>
  <c r="H3945" i="1"/>
  <c r="G3945" i="1"/>
  <c r="F3945" i="1"/>
  <c r="E3945" i="1"/>
  <c r="D3945" i="1"/>
  <c r="C3945" i="1"/>
  <c r="H3944" i="1"/>
  <c r="G3944" i="1"/>
  <c r="F3944" i="1"/>
  <c r="E3944" i="1"/>
  <c r="D3944" i="1"/>
  <c r="C3944" i="1"/>
  <c r="H3943" i="1"/>
  <c r="G3943" i="1"/>
  <c r="F3943" i="1"/>
  <c r="E3943" i="1"/>
  <c r="D3943" i="1"/>
  <c r="C3943" i="1"/>
  <c r="H3942" i="1"/>
  <c r="G3942" i="1"/>
  <c r="F3942" i="1"/>
  <c r="E3942" i="1"/>
  <c r="D3942" i="1"/>
  <c r="C3942" i="1"/>
  <c r="H3941" i="1"/>
  <c r="G3941" i="1"/>
  <c r="F3941" i="1"/>
  <c r="E3941" i="1"/>
  <c r="D3941" i="1"/>
  <c r="C3941" i="1"/>
  <c r="H3940" i="1"/>
  <c r="G3940" i="1"/>
  <c r="F3940" i="1"/>
  <c r="E3940" i="1"/>
  <c r="D3940" i="1"/>
  <c r="C3940" i="1"/>
  <c r="H3939" i="1"/>
  <c r="G3939" i="1"/>
  <c r="F3939" i="1"/>
  <c r="E3939" i="1"/>
  <c r="D3939" i="1"/>
  <c r="C3939" i="1"/>
  <c r="H3938" i="1"/>
  <c r="G3938" i="1"/>
  <c r="F3938" i="1"/>
  <c r="E3938" i="1"/>
  <c r="D3938" i="1"/>
  <c r="C3938" i="1"/>
  <c r="H3937" i="1"/>
  <c r="G3937" i="1"/>
  <c r="F3937" i="1"/>
  <c r="E3937" i="1"/>
  <c r="D3937" i="1"/>
  <c r="C3937" i="1"/>
  <c r="H3936" i="1"/>
  <c r="G3936" i="1"/>
  <c r="F3936" i="1"/>
  <c r="E3936" i="1"/>
  <c r="D3936" i="1"/>
  <c r="C3936" i="1"/>
  <c r="H3935" i="1"/>
  <c r="G3935" i="1"/>
  <c r="F3935" i="1"/>
  <c r="E3935" i="1"/>
  <c r="D3935" i="1"/>
  <c r="C3935" i="1"/>
  <c r="H3934" i="1"/>
  <c r="G3934" i="1"/>
  <c r="F3934" i="1"/>
  <c r="E3934" i="1"/>
  <c r="D3934" i="1"/>
  <c r="C3934" i="1"/>
  <c r="H3933" i="1"/>
  <c r="G3933" i="1"/>
  <c r="F3933" i="1"/>
  <c r="E3933" i="1"/>
  <c r="D3933" i="1"/>
  <c r="C3933" i="1"/>
  <c r="H3932" i="1"/>
  <c r="G3932" i="1"/>
  <c r="F3932" i="1"/>
  <c r="E3932" i="1"/>
  <c r="D3932" i="1"/>
  <c r="C3932" i="1"/>
  <c r="H3931" i="1"/>
  <c r="G3931" i="1"/>
  <c r="F3931" i="1"/>
  <c r="E3931" i="1"/>
  <c r="D3931" i="1"/>
  <c r="C3931" i="1"/>
  <c r="H3930" i="1"/>
  <c r="G3930" i="1"/>
  <c r="F3930" i="1"/>
  <c r="E3930" i="1"/>
  <c r="D3930" i="1"/>
  <c r="C3930" i="1"/>
  <c r="H3929" i="1"/>
  <c r="G3929" i="1"/>
  <c r="F3929" i="1"/>
  <c r="E3929" i="1"/>
  <c r="D3929" i="1"/>
  <c r="C3929" i="1"/>
  <c r="H3928" i="1"/>
  <c r="G3928" i="1"/>
  <c r="F3928" i="1"/>
  <c r="E3928" i="1"/>
  <c r="D3928" i="1"/>
  <c r="C3928" i="1"/>
  <c r="H3927" i="1"/>
  <c r="G3927" i="1"/>
  <c r="F3927" i="1"/>
  <c r="E3927" i="1"/>
  <c r="D3927" i="1"/>
  <c r="C3927" i="1"/>
  <c r="H3926" i="1"/>
  <c r="G3926" i="1"/>
  <c r="F3926" i="1"/>
  <c r="E3926" i="1"/>
  <c r="D3926" i="1"/>
  <c r="C3926" i="1"/>
  <c r="H3925" i="1"/>
  <c r="G3925" i="1"/>
  <c r="F3925" i="1"/>
  <c r="E3925" i="1"/>
  <c r="D3925" i="1"/>
  <c r="C3925" i="1"/>
  <c r="H3924" i="1"/>
  <c r="G3924" i="1"/>
  <c r="F3924" i="1"/>
  <c r="E3924" i="1"/>
  <c r="D3924" i="1"/>
  <c r="C3924" i="1"/>
  <c r="H3923" i="1"/>
  <c r="G3923" i="1"/>
  <c r="F3923" i="1"/>
  <c r="E3923" i="1"/>
  <c r="D3923" i="1"/>
  <c r="C3923" i="1"/>
  <c r="H3922" i="1"/>
  <c r="G3922" i="1"/>
  <c r="F3922" i="1"/>
  <c r="E3922" i="1"/>
  <c r="D3922" i="1"/>
  <c r="C3922" i="1"/>
  <c r="H3921" i="1"/>
  <c r="G3921" i="1"/>
  <c r="F3921" i="1"/>
  <c r="E3921" i="1"/>
  <c r="D3921" i="1"/>
  <c r="C3921" i="1"/>
  <c r="H3920" i="1"/>
  <c r="G3920" i="1"/>
  <c r="F3920" i="1"/>
  <c r="E3920" i="1"/>
  <c r="D3920" i="1"/>
  <c r="C3920" i="1"/>
  <c r="H3919" i="1"/>
  <c r="G3919" i="1"/>
  <c r="F3919" i="1"/>
  <c r="E3919" i="1"/>
  <c r="D3919" i="1"/>
  <c r="C3919" i="1"/>
  <c r="H3918" i="1"/>
  <c r="G3918" i="1"/>
  <c r="F3918" i="1"/>
  <c r="E3918" i="1"/>
  <c r="D3918" i="1"/>
  <c r="C3918" i="1"/>
  <c r="H3917" i="1"/>
  <c r="G3917" i="1"/>
  <c r="F3917" i="1"/>
  <c r="E3917" i="1"/>
  <c r="D3917" i="1"/>
  <c r="C3917" i="1"/>
  <c r="H3916" i="1"/>
  <c r="G3916" i="1"/>
  <c r="F3916" i="1"/>
  <c r="E3916" i="1"/>
  <c r="D3916" i="1"/>
  <c r="C3916" i="1"/>
  <c r="H3915" i="1"/>
  <c r="G3915" i="1"/>
  <c r="F3915" i="1"/>
  <c r="E3915" i="1"/>
  <c r="D3915" i="1"/>
  <c r="C3915" i="1"/>
  <c r="H3914" i="1"/>
  <c r="G3914" i="1"/>
  <c r="F3914" i="1"/>
  <c r="E3914" i="1"/>
  <c r="D3914" i="1"/>
  <c r="C3914" i="1"/>
  <c r="H3913" i="1"/>
  <c r="G3913" i="1"/>
  <c r="F3913" i="1"/>
  <c r="E3913" i="1"/>
  <c r="D3913" i="1"/>
  <c r="C3913" i="1"/>
  <c r="H3912" i="1"/>
  <c r="G3912" i="1"/>
  <c r="F3912" i="1"/>
  <c r="E3912" i="1"/>
  <c r="D3912" i="1"/>
  <c r="C3912" i="1"/>
  <c r="H3911" i="1"/>
  <c r="G3911" i="1"/>
  <c r="F3911" i="1"/>
  <c r="E3911" i="1"/>
  <c r="D3911" i="1"/>
  <c r="C3911" i="1"/>
  <c r="H3910" i="1"/>
  <c r="G3910" i="1"/>
  <c r="F3910" i="1"/>
  <c r="E3910" i="1"/>
  <c r="D3910" i="1"/>
  <c r="C3910" i="1"/>
  <c r="H3909" i="1"/>
  <c r="G3909" i="1"/>
  <c r="F3909" i="1"/>
  <c r="E3909" i="1"/>
  <c r="D3909" i="1"/>
  <c r="C3909" i="1"/>
  <c r="H3908" i="1"/>
  <c r="G3908" i="1"/>
  <c r="F3908" i="1"/>
  <c r="E3908" i="1"/>
  <c r="D3908" i="1"/>
  <c r="C3908" i="1"/>
  <c r="H3907" i="1"/>
  <c r="G3907" i="1"/>
  <c r="F3907" i="1"/>
  <c r="E3907" i="1"/>
  <c r="D3907" i="1"/>
  <c r="C3907" i="1"/>
  <c r="H3906" i="1"/>
  <c r="G3906" i="1"/>
  <c r="F3906" i="1"/>
  <c r="E3906" i="1"/>
  <c r="D3906" i="1"/>
  <c r="C3906" i="1"/>
  <c r="H3905" i="1"/>
  <c r="G3905" i="1"/>
  <c r="F3905" i="1"/>
  <c r="E3905" i="1"/>
  <c r="D3905" i="1"/>
  <c r="C3905" i="1"/>
  <c r="H3904" i="1"/>
  <c r="G3904" i="1"/>
  <c r="F3904" i="1"/>
  <c r="E3904" i="1"/>
  <c r="D3904" i="1"/>
  <c r="C3904" i="1"/>
  <c r="H3903" i="1"/>
  <c r="G3903" i="1"/>
  <c r="F3903" i="1"/>
  <c r="E3903" i="1"/>
  <c r="D3903" i="1"/>
  <c r="C3903" i="1"/>
  <c r="H3902" i="1"/>
  <c r="G3902" i="1"/>
  <c r="F3902" i="1"/>
  <c r="E3902" i="1"/>
  <c r="D3902" i="1"/>
  <c r="C3902" i="1"/>
  <c r="H3901" i="1"/>
  <c r="G3901" i="1"/>
  <c r="F3901" i="1"/>
  <c r="E3901" i="1"/>
  <c r="D3901" i="1"/>
  <c r="C3901" i="1"/>
  <c r="H3900" i="1"/>
  <c r="G3900" i="1"/>
  <c r="F3900" i="1"/>
  <c r="E3900" i="1"/>
  <c r="D3900" i="1"/>
  <c r="C3900" i="1"/>
  <c r="H3899" i="1"/>
  <c r="G3899" i="1"/>
  <c r="F3899" i="1"/>
  <c r="E3899" i="1"/>
  <c r="D3899" i="1"/>
  <c r="C3899" i="1"/>
  <c r="H3898" i="1"/>
  <c r="G3898" i="1"/>
  <c r="F3898" i="1"/>
  <c r="E3898" i="1"/>
  <c r="D3898" i="1"/>
  <c r="C3898" i="1"/>
  <c r="H3897" i="1"/>
  <c r="G3897" i="1"/>
  <c r="F3897" i="1"/>
  <c r="E3897" i="1"/>
  <c r="D3897" i="1"/>
  <c r="C3897" i="1"/>
  <c r="H3896" i="1"/>
  <c r="G3896" i="1"/>
  <c r="F3896" i="1"/>
  <c r="E3896" i="1"/>
  <c r="D3896" i="1"/>
  <c r="C3896" i="1"/>
  <c r="H3895" i="1"/>
  <c r="G3895" i="1"/>
  <c r="F3895" i="1"/>
  <c r="E3895" i="1"/>
  <c r="D3895" i="1"/>
  <c r="C3895" i="1"/>
  <c r="H3894" i="1"/>
  <c r="G3894" i="1"/>
  <c r="F3894" i="1"/>
  <c r="E3894" i="1"/>
  <c r="D3894" i="1"/>
  <c r="C3894" i="1"/>
  <c r="H3893" i="1"/>
  <c r="G3893" i="1"/>
  <c r="F3893" i="1"/>
  <c r="E3893" i="1"/>
  <c r="D3893" i="1"/>
  <c r="C3893" i="1"/>
  <c r="H3892" i="1"/>
  <c r="G3892" i="1"/>
  <c r="F3892" i="1"/>
  <c r="E3892" i="1"/>
  <c r="D3892" i="1"/>
  <c r="C3892" i="1"/>
  <c r="H3891" i="1"/>
  <c r="G3891" i="1"/>
  <c r="F3891" i="1"/>
  <c r="E3891" i="1"/>
  <c r="D3891" i="1"/>
  <c r="C3891" i="1"/>
  <c r="H3890" i="1"/>
  <c r="G3890" i="1"/>
  <c r="F3890" i="1"/>
  <c r="E3890" i="1"/>
  <c r="D3890" i="1"/>
  <c r="C3890" i="1"/>
  <c r="H3889" i="1"/>
  <c r="G3889" i="1"/>
  <c r="F3889" i="1"/>
  <c r="E3889" i="1"/>
  <c r="D3889" i="1"/>
  <c r="C3889" i="1"/>
  <c r="H3888" i="1"/>
  <c r="G3888" i="1"/>
  <c r="F3888" i="1"/>
  <c r="E3888" i="1"/>
  <c r="D3888" i="1"/>
  <c r="C3888" i="1"/>
  <c r="H3887" i="1"/>
  <c r="G3887" i="1"/>
  <c r="F3887" i="1"/>
  <c r="E3887" i="1"/>
  <c r="D3887" i="1"/>
  <c r="C3887" i="1"/>
  <c r="H3886" i="1"/>
  <c r="G3886" i="1"/>
  <c r="F3886" i="1"/>
  <c r="E3886" i="1"/>
  <c r="D3886" i="1"/>
  <c r="C3886" i="1"/>
  <c r="H3885" i="1"/>
  <c r="G3885" i="1"/>
  <c r="F3885" i="1"/>
  <c r="E3885" i="1"/>
  <c r="D3885" i="1"/>
  <c r="C3885" i="1"/>
  <c r="H3884" i="1"/>
  <c r="G3884" i="1"/>
  <c r="F3884" i="1"/>
  <c r="E3884" i="1"/>
  <c r="D3884" i="1"/>
  <c r="C3884" i="1"/>
  <c r="H3883" i="1"/>
  <c r="G3883" i="1"/>
  <c r="F3883" i="1"/>
  <c r="E3883" i="1"/>
  <c r="D3883" i="1"/>
  <c r="C3883" i="1"/>
  <c r="H3882" i="1"/>
  <c r="G3882" i="1"/>
  <c r="F3882" i="1"/>
  <c r="E3882" i="1"/>
  <c r="D3882" i="1"/>
  <c r="C3882" i="1"/>
  <c r="H3881" i="1"/>
  <c r="G3881" i="1"/>
  <c r="F3881" i="1"/>
  <c r="E3881" i="1"/>
  <c r="D3881" i="1"/>
  <c r="C3881" i="1"/>
  <c r="H3880" i="1"/>
  <c r="G3880" i="1"/>
  <c r="F3880" i="1"/>
  <c r="E3880" i="1"/>
  <c r="D3880" i="1"/>
  <c r="C3880" i="1"/>
  <c r="H3879" i="1"/>
  <c r="G3879" i="1"/>
  <c r="F3879" i="1"/>
  <c r="E3879" i="1"/>
  <c r="D3879" i="1"/>
  <c r="C3879" i="1"/>
  <c r="H3878" i="1"/>
  <c r="G3878" i="1"/>
  <c r="F3878" i="1"/>
  <c r="E3878" i="1"/>
  <c r="D3878" i="1"/>
  <c r="C3878" i="1"/>
  <c r="H3877" i="1"/>
  <c r="G3877" i="1"/>
  <c r="F3877" i="1"/>
  <c r="E3877" i="1"/>
  <c r="D3877" i="1"/>
  <c r="C3877" i="1"/>
  <c r="H3876" i="1"/>
  <c r="G3876" i="1"/>
  <c r="F3876" i="1"/>
  <c r="E3876" i="1"/>
  <c r="D3876" i="1"/>
  <c r="C3876" i="1"/>
  <c r="H3875" i="1"/>
  <c r="G3875" i="1"/>
  <c r="F3875" i="1"/>
  <c r="E3875" i="1"/>
  <c r="D3875" i="1"/>
  <c r="C3875" i="1"/>
  <c r="H3874" i="1"/>
  <c r="G3874" i="1"/>
  <c r="F3874" i="1"/>
  <c r="E3874" i="1"/>
  <c r="D3874" i="1"/>
  <c r="C3874" i="1"/>
  <c r="H3873" i="1"/>
  <c r="G3873" i="1"/>
  <c r="F3873" i="1"/>
  <c r="E3873" i="1"/>
  <c r="D3873" i="1"/>
  <c r="C3873" i="1"/>
  <c r="H3872" i="1"/>
  <c r="G3872" i="1"/>
  <c r="F3872" i="1"/>
  <c r="E3872" i="1"/>
  <c r="D3872" i="1"/>
  <c r="C3872" i="1"/>
  <c r="H3871" i="1"/>
  <c r="G3871" i="1"/>
  <c r="F3871" i="1"/>
  <c r="E3871" i="1"/>
  <c r="D3871" i="1"/>
  <c r="C3871" i="1"/>
  <c r="H3870" i="1"/>
  <c r="G3870" i="1"/>
  <c r="F3870" i="1"/>
  <c r="E3870" i="1"/>
  <c r="D3870" i="1"/>
  <c r="C3870" i="1"/>
  <c r="H3869" i="1"/>
  <c r="G3869" i="1"/>
  <c r="F3869" i="1"/>
  <c r="E3869" i="1"/>
  <c r="D3869" i="1"/>
  <c r="C3869" i="1"/>
  <c r="H3868" i="1"/>
  <c r="G3868" i="1"/>
  <c r="F3868" i="1"/>
  <c r="E3868" i="1"/>
  <c r="D3868" i="1"/>
  <c r="C3868" i="1"/>
  <c r="H3867" i="1"/>
  <c r="G3867" i="1"/>
  <c r="F3867" i="1"/>
  <c r="E3867" i="1"/>
  <c r="D3867" i="1"/>
  <c r="C3867" i="1"/>
  <c r="H3866" i="1"/>
  <c r="G3866" i="1"/>
  <c r="F3866" i="1"/>
  <c r="E3866" i="1"/>
  <c r="D3866" i="1"/>
  <c r="C3866" i="1"/>
  <c r="H3865" i="1"/>
  <c r="G3865" i="1"/>
  <c r="F3865" i="1"/>
  <c r="E3865" i="1"/>
  <c r="D3865" i="1"/>
  <c r="C3865" i="1"/>
  <c r="H3864" i="1"/>
  <c r="G3864" i="1"/>
  <c r="F3864" i="1"/>
  <c r="E3864" i="1"/>
  <c r="D3864" i="1"/>
  <c r="C3864" i="1"/>
  <c r="H3863" i="1"/>
  <c r="G3863" i="1"/>
  <c r="F3863" i="1"/>
  <c r="E3863" i="1"/>
  <c r="D3863" i="1"/>
  <c r="C3863" i="1"/>
  <c r="H3862" i="1"/>
  <c r="G3862" i="1"/>
  <c r="F3862" i="1"/>
  <c r="E3862" i="1"/>
  <c r="D3862" i="1"/>
  <c r="C3862" i="1"/>
  <c r="H3861" i="1"/>
  <c r="G3861" i="1"/>
  <c r="F3861" i="1"/>
  <c r="E3861" i="1"/>
  <c r="D3861" i="1"/>
  <c r="C3861" i="1"/>
  <c r="H3860" i="1"/>
  <c r="G3860" i="1"/>
  <c r="F3860" i="1"/>
  <c r="E3860" i="1"/>
  <c r="D3860" i="1"/>
  <c r="C3860" i="1"/>
  <c r="H3859" i="1"/>
  <c r="G3859" i="1"/>
  <c r="F3859" i="1"/>
  <c r="E3859" i="1"/>
  <c r="D3859" i="1"/>
  <c r="C3859" i="1"/>
  <c r="H3858" i="1"/>
  <c r="G3858" i="1"/>
  <c r="F3858" i="1"/>
  <c r="E3858" i="1"/>
  <c r="D3858" i="1"/>
  <c r="C3858" i="1"/>
  <c r="H3857" i="1"/>
  <c r="G3857" i="1"/>
  <c r="F3857" i="1"/>
  <c r="E3857" i="1"/>
  <c r="D3857" i="1"/>
  <c r="C3857" i="1"/>
  <c r="H3856" i="1"/>
  <c r="G3856" i="1"/>
  <c r="F3856" i="1"/>
  <c r="E3856" i="1"/>
  <c r="D3856" i="1"/>
  <c r="C3856" i="1"/>
  <c r="H3855" i="1"/>
  <c r="G3855" i="1"/>
  <c r="F3855" i="1"/>
  <c r="E3855" i="1"/>
  <c r="D3855" i="1"/>
  <c r="C3855" i="1"/>
  <c r="H3854" i="1"/>
  <c r="G3854" i="1"/>
  <c r="F3854" i="1"/>
  <c r="E3854" i="1"/>
  <c r="D3854" i="1"/>
  <c r="C3854" i="1"/>
  <c r="H3853" i="1"/>
  <c r="G3853" i="1"/>
  <c r="F3853" i="1"/>
  <c r="E3853" i="1"/>
  <c r="D3853" i="1"/>
  <c r="C3853" i="1"/>
  <c r="H3852" i="1"/>
  <c r="G3852" i="1"/>
  <c r="F3852" i="1"/>
  <c r="E3852" i="1"/>
  <c r="D3852" i="1"/>
  <c r="C3852" i="1"/>
  <c r="H3851" i="1"/>
  <c r="G3851" i="1"/>
  <c r="F3851" i="1"/>
  <c r="E3851" i="1"/>
  <c r="D3851" i="1"/>
  <c r="C3851" i="1"/>
  <c r="H3850" i="1"/>
  <c r="G3850" i="1"/>
  <c r="F3850" i="1"/>
  <c r="E3850" i="1"/>
  <c r="D3850" i="1"/>
  <c r="C3850" i="1"/>
  <c r="H3849" i="1"/>
  <c r="G3849" i="1"/>
  <c r="F3849" i="1"/>
  <c r="E3849" i="1"/>
  <c r="D3849" i="1"/>
  <c r="C3849" i="1"/>
  <c r="H3848" i="1"/>
  <c r="G3848" i="1"/>
  <c r="F3848" i="1"/>
  <c r="E3848" i="1"/>
  <c r="D3848" i="1"/>
  <c r="C3848" i="1"/>
  <c r="H3847" i="1"/>
  <c r="G3847" i="1"/>
  <c r="F3847" i="1"/>
  <c r="E3847" i="1"/>
  <c r="D3847" i="1"/>
  <c r="C3847" i="1"/>
  <c r="H3846" i="1"/>
  <c r="G3846" i="1"/>
  <c r="F3846" i="1"/>
  <c r="E3846" i="1"/>
  <c r="D3846" i="1"/>
  <c r="C3846" i="1"/>
  <c r="H3845" i="1"/>
  <c r="G3845" i="1"/>
  <c r="F3845" i="1"/>
  <c r="E3845" i="1"/>
  <c r="D3845" i="1"/>
  <c r="C3845" i="1"/>
  <c r="H3844" i="1"/>
  <c r="G3844" i="1"/>
  <c r="F3844" i="1"/>
  <c r="E3844" i="1"/>
  <c r="D3844" i="1"/>
  <c r="C3844" i="1"/>
  <c r="H3843" i="1"/>
  <c r="G3843" i="1"/>
  <c r="F3843" i="1"/>
  <c r="E3843" i="1"/>
  <c r="D3843" i="1"/>
  <c r="C3843" i="1"/>
  <c r="H3842" i="1"/>
  <c r="G3842" i="1"/>
  <c r="F3842" i="1"/>
  <c r="E3842" i="1"/>
  <c r="D3842" i="1"/>
  <c r="C3842" i="1"/>
  <c r="H3841" i="1"/>
  <c r="G3841" i="1"/>
  <c r="F3841" i="1"/>
  <c r="E3841" i="1"/>
  <c r="D3841" i="1"/>
  <c r="C3841" i="1"/>
  <c r="H3840" i="1"/>
  <c r="G3840" i="1"/>
  <c r="F3840" i="1"/>
  <c r="E3840" i="1"/>
  <c r="D3840" i="1"/>
  <c r="C3840" i="1"/>
  <c r="H3839" i="1"/>
  <c r="G3839" i="1"/>
  <c r="F3839" i="1"/>
  <c r="E3839" i="1"/>
  <c r="D3839" i="1"/>
  <c r="C3839" i="1"/>
  <c r="H3838" i="1"/>
  <c r="G3838" i="1"/>
  <c r="F3838" i="1"/>
  <c r="E3838" i="1"/>
  <c r="D3838" i="1"/>
  <c r="C3838" i="1"/>
  <c r="H3837" i="1"/>
  <c r="G3837" i="1"/>
  <c r="F3837" i="1"/>
  <c r="E3837" i="1"/>
  <c r="D3837" i="1"/>
  <c r="C3837" i="1"/>
  <c r="H3836" i="1"/>
  <c r="G3836" i="1"/>
  <c r="F3836" i="1"/>
  <c r="E3836" i="1"/>
  <c r="D3836" i="1"/>
  <c r="C3836" i="1"/>
  <c r="H3835" i="1"/>
  <c r="G3835" i="1"/>
  <c r="F3835" i="1"/>
  <c r="E3835" i="1"/>
  <c r="D3835" i="1"/>
  <c r="C3835" i="1"/>
  <c r="H3834" i="1"/>
  <c r="G3834" i="1"/>
  <c r="F3834" i="1"/>
  <c r="E3834" i="1"/>
  <c r="D3834" i="1"/>
  <c r="C3834" i="1"/>
  <c r="H3833" i="1"/>
  <c r="G3833" i="1"/>
  <c r="F3833" i="1"/>
  <c r="E3833" i="1"/>
  <c r="D3833" i="1"/>
  <c r="C3833" i="1"/>
  <c r="H3832" i="1"/>
  <c r="G3832" i="1"/>
  <c r="F3832" i="1"/>
  <c r="E3832" i="1"/>
  <c r="D3832" i="1"/>
  <c r="C3832" i="1"/>
  <c r="H3831" i="1"/>
  <c r="G3831" i="1"/>
  <c r="F3831" i="1"/>
  <c r="E3831" i="1"/>
  <c r="D3831" i="1"/>
  <c r="C3831" i="1"/>
  <c r="H3830" i="1"/>
  <c r="G3830" i="1"/>
  <c r="F3830" i="1"/>
  <c r="E3830" i="1"/>
  <c r="D3830" i="1"/>
  <c r="C3830" i="1"/>
  <c r="H3829" i="1"/>
  <c r="G3829" i="1"/>
  <c r="F3829" i="1"/>
  <c r="E3829" i="1"/>
  <c r="D3829" i="1"/>
  <c r="C3829" i="1"/>
  <c r="H3828" i="1"/>
  <c r="G3828" i="1"/>
  <c r="F3828" i="1"/>
  <c r="E3828" i="1"/>
  <c r="D3828" i="1"/>
  <c r="C3828" i="1"/>
  <c r="H3827" i="1"/>
  <c r="G3827" i="1"/>
  <c r="F3827" i="1"/>
  <c r="E3827" i="1"/>
  <c r="D3827" i="1"/>
  <c r="C3827" i="1"/>
  <c r="H3826" i="1"/>
  <c r="G3826" i="1"/>
  <c r="F3826" i="1"/>
  <c r="E3826" i="1"/>
  <c r="D3826" i="1"/>
  <c r="C3826" i="1"/>
  <c r="H3825" i="1"/>
  <c r="G3825" i="1"/>
  <c r="F3825" i="1"/>
  <c r="E3825" i="1"/>
  <c r="D3825" i="1"/>
  <c r="C3825" i="1"/>
  <c r="H3824" i="1"/>
  <c r="G3824" i="1"/>
  <c r="F3824" i="1"/>
  <c r="E3824" i="1"/>
  <c r="D3824" i="1"/>
  <c r="C3824" i="1"/>
  <c r="H3823" i="1"/>
  <c r="G3823" i="1"/>
  <c r="F3823" i="1"/>
  <c r="E3823" i="1"/>
  <c r="D3823" i="1"/>
  <c r="C3823" i="1"/>
  <c r="H3822" i="1"/>
  <c r="G3822" i="1"/>
  <c r="F3822" i="1"/>
  <c r="E3822" i="1"/>
  <c r="D3822" i="1"/>
  <c r="C3822" i="1"/>
  <c r="H3821" i="1"/>
  <c r="G3821" i="1"/>
  <c r="F3821" i="1"/>
  <c r="E3821" i="1"/>
  <c r="D3821" i="1"/>
  <c r="C3821" i="1"/>
  <c r="H3820" i="1"/>
  <c r="G3820" i="1"/>
  <c r="F3820" i="1"/>
  <c r="E3820" i="1"/>
  <c r="D3820" i="1"/>
  <c r="C3820" i="1"/>
  <c r="H3819" i="1"/>
  <c r="G3819" i="1"/>
  <c r="F3819" i="1"/>
  <c r="E3819" i="1"/>
  <c r="D3819" i="1"/>
  <c r="C3819" i="1"/>
  <c r="H3818" i="1"/>
  <c r="G3818" i="1"/>
  <c r="F3818" i="1"/>
  <c r="E3818" i="1"/>
  <c r="D3818" i="1"/>
  <c r="C3818" i="1"/>
  <c r="H3817" i="1"/>
  <c r="G3817" i="1"/>
  <c r="F3817" i="1"/>
  <c r="E3817" i="1"/>
  <c r="D3817" i="1"/>
  <c r="C3817" i="1"/>
  <c r="H3816" i="1"/>
  <c r="G3816" i="1"/>
  <c r="F3816" i="1"/>
  <c r="E3816" i="1"/>
  <c r="D3816" i="1"/>
  <c r="C3816" i="1"/>
  <c r="H3815" i="1"/>
  <c r="G3815" i="1"/>
  <c r="F3815" i="1"/>
  <c r="E3815" i="1"/>
  <c r="D3815" i="1"/>
  <c r="C3815" i="1"/>
  <c r="H3814" i="1"/>
  <c r="G3814" i="1"/>
  <c r="F3814" i="1"/>
  <c r="E3814" i="1"/>
  <c r="D3814" i="1"/>
  <c r="C3814" i="1"/>
  <c r="H3813" i="1"/>
  <c r="G3813" i="1"/>
  <c r="F3813" i="1"/>
  <c r="E3813" i="1"/>
  <c r="D3813" i="1"/>
  <c r="C3813" i="1"/>
  <c r="H3812" i="1"/>
  <c r="G3812" i="1"/>
  <c r="F3812" i="1"/>
  <c r="E3812" i="1"/>
  <c r="D3812" i="1"/>
  <c r="C3812" i="1"/>
  <c r="H3811" i="1"/>
  <c r="G3811" i="1"/>
  <c r="F3811" i="1"/>
  <c r="E3811" i="1"/>
  <c r="D3811" i="1"/>
  <c r="C3811" i="1"/>
  <c r="H3810" i="1"/>
  <c r="G3810" i="1"/>
  <c r="F3810" i="1"/>
  <c r="E3810" i="1"/>
  <c r="D3810" i="1"/>
  <c r="C3810" i="1"/>
  <c r="H3809" i="1"/>
  <c r="G3809" i="1"/>
  <c r="F3809" i="1"/>
  <c r="E3809" i="1"/>
  <c r="D3809" i="1"/>
  <c r="C3809" i="1"/>
  <c r="H3808" i="1"/>
  <c r="G3808" i="1"/>
  <c r="F3808" i="1"/>
  <c r="E3808" i="1"/>
  <c r="D3808" i="1"/>
  <c r="C3808" i="1"/>
  <c r="H3807" i="1"/>
  <c r="G3807" i="1"/>
  <c r="F3807" i="1"/>
  <c r="E3807" i="1"/>
  <c r="D3807" i="1"/>
  <c r="C3807" i="1"/>
  <c r="H3806" i="1"/>
  <c r="G3806" i="1"/>
  <c r="F3806" i="1"/>
  <c r="E3806" i="1"/>
  <c r="D3806" i="1"/>
  <c r="C3806" i="1"/>
  <c r="H3805" i="1"/>
  <c r="G3805" i="1"/>
  <c r="F3805" i="1"/>
  <c r="E3805" i="1"/>
  <c r="D3805" i="1"/>
  <c r="C3805" i="1"/>
  <c r="H3804" i="1"/>
  <c r="G3804" i="1"/>
  <c r="F3804" i="1"/>
  <c r="E3804" i="1"/>
  <c r="D3804" i="1"/>
  <c r="C3804" i="1"/>
  <c r="H3803" i="1"/>
  <c r="G3803" i="1"/>
  <c r="F3803" i="1"/>
  <c r="E3803" i="1"/>
  <c r="D3803" i="1"/>
  <c r="C3803" i="1"/>
  <c r="H3802" i="1"/>
  <c r="G3802" i="1"/>
  <c r="F3802" i="1"/>
  <c r="E3802" i="1"/>
  <c r="D3802" i="1"/>
  <c r="C3802" i="1"/>
  <c r="H3801" i="1"/>
  <c r="G3801" i="1"/>
  <c r="F3801" i="1"/>
  <c r="E3801" i="1"/>
  <c r="D3801" i="1"/>
  <c r="C3801" i="1"/>
  <c r="H3800" i="1"/>
  <c r="G3800" i="1"/>
  <c r="F3800" i="1"/>
  <c r="E3800" i="1"/>
  <c r="D3800" i="1"/>
  <c r="C3800" i="1"/>
  <c r="H3799" i="1"/>
  <c r="G3799" i="1"/>
  <c r="F3799" i="1"/>
  <c r="E3799" i="1"/>
  <c r="D3799" i="1"/>
  <c r="C3799" i="1"/>
  <c r="H3798" i="1"/>
  <c r="G3798" i="1"/>
  <c r="F3798" i="1"/>
  <c r="E3798" i="1"/>
  <c r="D3798" i="1"/>
  <c r="C3798" i="1"/>
  <c r="H3797" i="1"/>
  <c r="G3797" i="1"/>
  <c r="F3797" i="1"/>
  <c r="E3797" i="1"/>
  <c r="D3797" i="1"/>
  <c r="C3797" i="1"/>
  <c r="H3796" i="1"/>
  <c r="G3796" i="1"/>
  <c r="F3796" i="1"/>
  <c r="E3796" i="1"/>
  <c r="D3796" i="1"/>
  <c r="C3796" i="1"/>
  <c r="H3795" i="1"/>
  <c r="G3795" i="1"/>
  <c r="F3795" i="1"/>
  <c r="E3795" i="1"/>
  <c r="D3795" i="1"/>
  <c r="C3795" i="1"/>
  <c r="H3794" i="1"/>
  <c r="G3794" i="1"/>
  <c r="F3794" i="1"/>
  <c r="E3794" i="1"/>
  <c r="D3794" i="1"/>
  <c r="C3794" i="1"/>
  <c r="H3793" i="1"/>
  <c r="G3793" i="1"/>
  <c r="F3793" i="1"/>
  <c r="E3793" i="1"/>
  <c r="D3793" i="1"/>
  <c r="C3793" i="1"/>
  <c r="H3792" i="1"/>
  <c r="G3792" i="1"/>
  <c r="F3792" i="1"/>
  <c r="E3792" i="1"/>
  <c r="D3792" i="1"/>
  <c r="C3792" i="1"/>
  <c r="H3791" i="1"/>
  <c r="G3791" i="1"/>
  <c r="F3791" i="1"/>
  <c r="E3791" i="1"/>
  <c r="D3791" i="1"/>
  <c r="C3791" i="1"/>
  <c r="H3790" i="1"/>
  <c r="G3790" i="1"/>
  <c r="F3790" i="1"/>
  <c r="E3790" i="1"/>
  <c r="D3790" i="1"/>
  <c r="C3790" i="1"/>
  <c r="H3789" i="1"/>
  <c r="G3789" i="1"/>
  <c r="F3789" i="1"/>
  <c r="E3789" i="1"/>
  <c r="D3789" i="1"/>
  <c r="C3789" i="1"/>
  <c r="H3788" i="1"/>
  <c r="G3788" i="1"/>
  <c r="F3788" i="1"/>
  <c r="E3788" i="1"/>
  <c r="D3788" i="1"/>
  <c r="C3788" i="1"/>
  <c r="H3787" i="1"/>
  <c r="G3787" i="1"/>
  <c r="F3787" i="1"/>
  <c r="E3787" i="1"/>
  <c r="D3787" i="1"/>
  <c r="C3787" i="1"/>
  <c r="H3786" i="1"/>
  <c r="G3786" i="1"/>
  <c r="F3786" i="1"/>
  <c r="E3786" i="1"/>
  <c r="D3786" i="1"/>
  <c r="C3786" i="1"/>
  <c r="H3785" i="1"/>
  <c r="G3785" i="1"/>
  <c r="F3785" i="1"/>
  <c r="E3785" i="1"/>
  <c r="D3785" i="1"/>
  <c r="C3785" i="1"/>
  <c r="H3784" i="1"/>
  <c r="G3784" i="1"/>
  <c r="F3784" i="1"/>
  <c r="E3784" i="1"/>
  <c r="D3784" i="1"/>
  <c r="C3784" i="1"/>
  <c r="H3783" i="1"/>
  <c r="G3783" i="1"/>
  <c r="F3783" i="1"/>
  <c r="E3783" i="1"/>
  <c r="D3783" i="1"/>
  <c r="C3783" i="1"/>
  <c r="H3782" i="1"/>
  <c r="G3782" i="1"/>
  <c r="F3782" i="1"/>
  <c r="E3782" i="1"/>
  <c r="D3782" i="1"/>
  <c r="C3782" i="1"/>
  <c r="H3781" i="1"/>
  <c r="G3781" i="1"/>
  <c r="F3781" i="1"/>
  <c r="E3781" i="1"/>
  <c r="D3781" i="1"/>
  <c r="C3781" i="1"/>
  <c r="H3780" i="1"/>
  <c r="G3780" i="1"/>
  <c r="F3780" i="1"/>
  <c r="E3780" i="1"/>
  <c r="D3780" i="1"/>
  <c r="C3780" i="1"/>
  <c r="H3779" i="1"/>
  <c r="G3779" i="1"/>
  <c r="F3779" i="1"/>
  <c r="E3779" i="1"/>
  <c r="D3779" i="1"/>
  <c r="C3779" i="1"/>
  <c r="H3778" i="1"/>
  <c r="G3778" i="1"/>
  <c r="F3778" i="1"/>
  <c r="E3778" i="1"/>
  <c r="D3778" i="1"/>
  <c r="C3778" i="1"/>
  <c r="H3777" i="1"/>
  <c r="G3777" i="1"/>
  <c r="F3777" i="1"/>
  <c r="E3777" i="1"/>
  <c r="D3777" i="1"/>
  <c r="C3777" i="1"/>
  <c r="H3776" i="1"/>
  <c r="G3776" i="1"/>
  <c r="F3776" i="1"/>
  <c r="E3776" i="1"/>
  <c r="D3776" i="1"/>
  <c r="C3776" i="1"/>
  <c r="H3775" i="1"/>
  <c r="G3775" i="1"/>
  <c r="F3775" i="1"/>
  <c r="E3775" i="1"/>
  <c r="D3775" i="1"/>
  <c r="C3775" i="1"/>
  <c r="H3774" i="1"/>
  <c r="G3774" i="1"/>
  <c r="F3774" i="1"/>
  <c r="E3774" i="1"/>
  <c r="D3774" i="1"/>
  <c r="C3774" i="1"/>
  <c r="H3773" i="1"/>
  <c r="G3773" i="1"/>
  <c r="F3773" i="1"/>
  <c r="E3773" i="1"/>
  <c r="D3773" i="1"/>
  <c r="C3773" i="1"/>
  <c r="H3772" i="1"/>
  <c r="G3772" i="1"/>
  <c r="F3772" i="1"/>
  <c r="E3772" i="1"/>
  <c r="D3772" i="1"/>
  <c r="C3772" i="1"/>
  <c r="H3771" i="1"/>
  <c r="G3771" i="1"/>
  <c r="F3771" i="1"/>
  <c r="E3771" i="1"/>
  <c r="D3771" i="1"/>
  <c r="C3771" i="1"/>
  <c r="H3770" i="1"/>
  <c r="G3770" i="1"/>
  <c r="F3770" i="1"/>
  <c r="E3770" i="1"/>
  <c r="D3770" i="1"/>
  <c r="C3770" i="1"/>
  <c r="H3769" i="1"/>
  <c r="G3769" i="1"/>
  <c r="F3769" i="1"/>
  <c r="E3769" i="1"/>
  <c r="D3769" i="1"/>
  <c r="C3769" i="1"/>
  <c r="H3768" i="1"/>
  <c r="G3768" i="1"/>
  <c r="F3768" i="1"/>
  <c r="E3768" i="1"/>
  <c r="D3768" i="1"/>
  <c r="C3768" i="1"/>
  <c r="H3767" i="1"/>
  <c r="G3767" i="1"/>
  <c r="F3767" i="1"/>
  <c r="E3767" i="1"/>
  <c r="D3767" i="1"/>
  <c r="C3767" i="1"/>
  <c r="H3766" i="1"/>
  <c r="G3766" i="1"/>
  <c r="F3766" i="1"/>
  <c r="E3766" i="1"/>
  <c r="D3766" i="1"/>
  <c r="C3766" i="1"/>
  <c r="H3765" i="1"/>
  <c r="G3765" i="1"/>
  <c r="F3765" i="1"/>
  <c r="E3765" i="1"/>
  <c r="D3765" i="1"/>
  <c r="C3765" i="1"/>
  <c r="H3764" i="1"/>
  <c r="G3764" i="1"/>
  <c r="F3764" i="1"/>
  <c r="E3764" i="1"/>
  <c r="D3764" i="1"/>
  <c r="C3764" i="1"/>
  <c r="H3763" i="1"/>
  <c r="G3763" i="1"/>
  <c r="F3763" i="1"/>
  <c r="E3763" i="1"/>
  <c r="D3763" i="1"/>
  <c r="C3763" i="1"/>
  <c r="H3762" i="1"/>
  <c r="G3762" i="1"/>
  <c r="F3762" i="1"/>
  <c r="E3762" i="1"/>
  <c r="D3762" i="1"/>
  <c r="C3762" i="1"/>
  <c r="H3761" i="1"/>
  <c r="G3761" i="1"/>
  <c r="F3761" i="1"/>
  <c r="E3761" i="1"/>
  <c r="D3761" i="1"/>
  <c r="C3761" i="1"/>
  <c r="H3760" i="1"/>
  <c r="G3760" i="1"/>
  <c r="F3760" i="1"/>
  <c r="E3760" i="1"/>
  <c r="D3760" i="1"/>
  <c r="C3760" i="1"/>
  <c r="H3759" i="1"/>
  <c r="G3759" i="1"/>
  <c r="F3759" i="1"/>
  <c r="E3759" i="1"/>
  <c r="D3759" i="1"/>
  <c r="C3759" i="1"/>
  <c r="H3758" i="1"/>
  <c r="G3758" i="1"/>
  <c r="F3758" i="1"/>
  <c r="E3758" i="1"/>
  <c r="D3758" i="1"/>
  <c r="C3758" i="1"/>
  <c r="H3757" i="1"/>
  <c r="G3757" i="1"/>
  <c r="F3757" i="1"/>
  <c r="E3757" i="1"/>
  <c r="D3757" i="1"/>
  <c r="C3757" i="1"/>
  <c r="H3756" i="1"/>
  <c r="G3756" i="1"/>
  <c r="F3756" i="1"/>
  <c r="E3756" i="1"/>
  <c r="D3756" i="1"/>
  <c r="C3756" i="1"/>
  <c r="H3755" i="1"/>
  <c r="G3755" i="1"/>
  <c r="F3755" i="1"/>
  <c r="E3755" i="1"/>
  <c r="D3755" i="1"/>
  <c r="C3755" i="1"/>
  <c r="H3754" i="1"/>
  <c r="G3754" i="1"/>
  <c r="F3754" i="1"/>
  <c r="E3754" i="1"/>
  <c r="D3754" i="1"/>
  <c r="C3754" i="1"/>
  <c r="H3753" i="1"/>
  <c r="G3753" i="1"/>
  <c r="F3753" i="1"/>
  <c r="E3753" i="1"/>
  <c r="D3753" i="1"/>
  <c r="C3753" i="1"/>
  <c r="H3752" i="1"/>
  <c r="G3752" i="1"/>
  <c r="F3752" i="1"/>
  <c r="E3752" i="1"/>
  <c r="D3752" i="1"/>
  <c r="C3752" i="1"/>
  <c r="H3751" i="1"/>
  <c r="G3751" i="1"/>
  <c r="F3751" i="1"/>
  <c r="E3751" i="1"/>
  <c r="D3751" i="1"/>
  <c r="C3751" i="1"/>
  <c r="H3750" i="1"/>
  <c r="G3750" i="1"/>
  <c r="F3750" i="1"/>
  <c r="E3750" i="1"/>
  <c r="D3750" i="1"/>
  <c r="C3750" i="1"/>
  <c r="H3749" i="1"/>
  <c r="G3749" i="1"/>
  <c r="F3749" i="1"/>
  <c r="E3749" i="1"/>
  <c r="D3749" i="1"/>
  <c r="C3749" i="1"/>
  <c r="H3748" i="1"/>
  <c r="G3748" i="1"/>
  <c r="F3748" i="1"/>
  <c r="E3748" i="1"/>
  <c r="D3748" i="1"/>
  <c r="C3748" i="1"/>
  <c r="H3747" i="1"/>
  <c r="G3747" i="1"/>
  <c r="F3747" i="1"/>
  <c r="E3747" i="1"/>
  <c r="D3747" i="1"/>
  <c r="C3747" i="1"/>
  <c r="H3746" i="1"/>
  <c r="G3746" i="1"/>
  <c r="F3746" i="1"/>
  <c r="E3746" i="1"/>
  <c r="D3746" i="1"/>
  <c r="C3746" i="1"/>
  <c r="H3745" i="1"/>
  <c r="G3745" i="1"/>
  <c r="F3745" i="1"/>
  <c r="E3745" i="1"/>
  <c r="D3745" i="1"/>
  <c r="C3745" i="1"/>
  <c r="H3744" i="1"/>
  <c r="G3744" i="1"/>
  <c r="F3744" i="1"/>
  <c r="E3744" i="1"/>
  <c r="D3744" i="1"/>
  <c r="C3744" i="1"/>
  <c r="H3743" i="1"/>
  <c r="G3743" i="1"/>
  <c r="F3743" i="1"/>
  <c r="E3743" i="1"/>
  <c r="D3743" i="1"/>
  <c r="C3743" i="1"/>
  <c r="H3742" i="1"/>
  <c r="G3742" i="1"/>
  <c r="F3742" i="1"/>
  <c r="E3742" i="1"/>
  <c r="D3742" i="1"/>
  <c r="C3742" i="1"/>
  <c r="H3741" i="1"/>
  <c r="G3741" i="1"/>
  <c r="F3741" i="1"/>
  <c r="E3741" i="1"/>
  <c r="D3741" i="1"/>
  <c r="C3741" i="1"/>
  <c r="H3740" i="1"/>
  <c r="G3740" i="1"/>
  <c r="F3740" i="1"/>
  <c r="E3740" i="1"/>
  <c r="D3740" i="1"/>
  <c r="C3740" i="1"/>
  <c r="H3739" i="1"/>
  <c r="G3739" i="1"/>
  <c r="F3739" i="1"/>
  <c r="E3739" i="1"/>
  <c r="D3739" i="1"/>
  <c r="C3739" i="1"/>
  <c r="H3738" i="1"/>
  <c r="G3738" i="1"/>
  <c r="F3738" i="1"/>
  <c r="E3738" i="1"/>
  <c r="D3738" i="1"/>
  <c r="C3738" i="1"/>
  <c r="H3737" i="1"/>
  <c r="G3737" i="1"/>
  <c r="F3737" i="1"/>
  <c r="E3737" i="1"/>
  <c r="D3737" i="1"/>
  <c r="C3737" i="1"/>
  <c r="H3736" i="1"/>
  <c r="G3736" i="1"/>
  <c r="F3736" i="1"/>
  <c r="E3736" i="1"/>
  <c r="D3736" i="1"/>
  <c r="C3736" i="1"/>
  <c r="H3735" i="1"/>
  <c r="G3735" i="1"/>
  <c r="F3735" i="1"/>
  <c r="E3735" i="1"/>
  <c r="D3735" i="1"/>
  <c r="C3735" i="1"/>
  <c r="H3734" i="1"/>
  <c r="G3734" i="1"/>
  <c r="F3734" i="1"/>
  <c r="E3734" i="1"/>
  <c r="D3734" i="1"/>
  <c r="C3734" i="1"/>
  <c r="H3733" i="1"/>
  <c r="G3733" i="1"/>
  <c r="F3733" i="1"/>
  <c r="E3733" i="1"/>
  <c r="D3733" i="1"/>
  <c r="C3733" i="1"/>
  <c r="H3732" i="1"/>
  <c r="G3732" i="1"/>
  <c r="F3732" i="1"/>
  <c r="E3732" i="1"/>
  <c r="D3732" i="1"/>
  <c r="C3732" i="1"/>
  <c r="H3731" i="1"/>
  <c r="G3731" i="1"/>
  <c r="F3731" i="1"/>
  <c r="E3731" i="1"/>
  <c r="D3731" i="1"/>
  <c r="C3731" i="1"/>
  <c r="H3730" i="1"/>
  <c r="G3730" i="1"/>
  <c r="F3730" i="1"/>
  <c r="E3730" i="1"/>
  <c r="D3730" i="1"/>
  <c r="C3730" i="1"/>
  <c r="H3729" i="1"/>
  <c r="G3729" i="1"/>
  <c r="F3729" i="1"/>
  <c r="E3729" i="1"/>
  <c r="D3729" i="1"/>
  <c r="C3729" i="1"/>
  <c r="H3728" i="1"/>
  <c r="G3728" i="1"/>
  <c r="F3728" i="1"/>
  <c r="E3728" i="1"/>
  <c r="D3728" i="1"/>
  <c r="C3728" i="1"/>
  <c r="H3727" i="1"/>
  <c r="G3727" i="1"/>
  <c r="F3727" i="1"/>
  <c r="E3727" i="1"/>
  <c r="D3727" i="1"/>
  <c r="C3727" i="1"/>
  <c r="H3726" i="1"/>
  <c r="G3726" i="1"/>
  <c r="F3726" i="1"/>
  <c r="E3726" i="1"/>
  <c r="D3726" i="1"/>
  <c r="C3726" i="1"/>
  <c r="H3725" i="1"/>
  <c r="G3725" i="1"/>
  <c r="F3725" i="1"/>
  <c r="E3725" i="1"/>
  <c r="D3725" i="1"/>
  <c r="C3725" i="1"/>
  <c r="H3724" i="1"/>
  <c r="G3724" i="1"/>
  <c r="F3724" i="1"/>
  <c r="E3724" i="1"/>
  <c r="D3724" i="1"/>
  <c r="C3724" i="1"/>
  <c r="H3723" i="1"/>
  <c r="G3723" i="1"/>
  <c r="F3723" i="1"/>
  <c r="E3723" i="1"/>
  <c r="D3723" i="1"/>
  <c r="C3723" i="1"/>
  <c r="H3722" i="1"/>
  <c r="G3722" i="1"/>
  <c r="F3722" i="1"/>
  <c r="E3722" i="1"/>
  <c r="D3722" i="1"/>
  <c r="C3722" i="1"/>
  <c r="H3721" i="1"/>
  <c r="G3721" i="1"/>
  <c r="F3721" i="1"/>
  <c r="E3721" i="1"/>
  <c r="D3721" i="1"/>
  <c r="C3721" i="1"/>
  <c r="H3720" i="1"/>
  <c r="G3720" i="1"/>
  <c r="F3720" i="1"/>
  <c r="E3720" i="1"/>
  <c r="D3720" i="1"/>
  <c r="C3720" i="1"/>
  <c r="H3719" i="1"/>
  <c r="G3719" i="1"/>
  <c r="F3719" i="1"/>
  <c r="E3719" i="1"/>
  <c r="D3719" i="1"/>
  <c r="C3719" i="1"/>
  <c r="H3718" i="1"/>
  <c r="G3718" i="1"/>
  <c r="F3718" i="1"/>
  <c r="E3718" i="1"/>
  <c r="D3718" i="1"/>
  <c r="C3718" i="1"/>
  <c r="H3717" i="1"/>
  <c r="G3717" i="1"/>
  <c r="F3717" i="1"/>
  <c r="E3717" i="1"/>
  <c r="D3717" i="1"/>
  <c r="C3717" i="1"/>
  <c r="H3716" i="1"/>
  <c r="G3716" i="1"/>
  <c r="F3716" i="1"/>
  <c r="E3716" i="1"/>
  <c r="D3716" i="1"/>
  <c r="C3716" i="1"/>
  <c r="H3715" i="1"/>
  <c r="G3715" i="1"/>
  <c r="F3715" i="1"/>
  <c r="E3715" i="1"/>
  <c r="D3715" i="1"/>
  <c r="C3715" i="1"/>
  <c r="H3714" i="1"/>
  <c r="G3714" i="1"/>
  <c r="F3714" i="1"/>
  <c r="E3714" i="1"/>
  <c r="D3714" i="1"/>
  <c r="C3714" i="1"/>
  <c r="H3713" i="1"/>
  <c r="G3713" i="1"/>
  <c r="F3713" i="1"/>
  <c r="E3713" i="1"/>
  <c r="D3713" i="1"/>
  <c r="C3713" i="1"/>
  <c r="H3712" i="1"/>
  <c r="G3712" i="1"/>
  <c r="F3712" i="1"/>
  <c r="E3712" i="1"/>
  <c r="D3712" i="1"/>
  <c r="C3712" i="1"/>
  <c r="H3711" i="1"/>
  <c r="G3711" i="1"/>
  <c r="F3711" i="1"/>
  <c r="E3711" i="1"/>
  <c r="D3711" i="1"/>
  <c r="C3711" i="1"/>
  <c r="H3710" i="1"/>
  <c r="G3710" i="1"/>
  <c r="F3710" i="1"/>
  <c r="E3710" i="1"/>
  <c r="D3710" i="1"/>
  <c r="C3710" i="1"/>
  <c r="H3709" i="1"/>
  <c r="G3709" i="1"/>
  <c r="F3709" i="1"/>
  <c r="E3709" i="1"/>
  <c r="D3709" i="1"/>
  <c r="C3709" i="1"/>
  <c r="H3708" i="1"/>
  <c r="G3708" i="1"/>
  <c r="F3708" i="1"/>
  <c r="E3708" i="1"/>
  <c r="D3708" i="1"/>
  <c r="C3708" i="1"/>
  <c r="H3707" i="1"/>
  <c r="G3707" i="1"/>
  <c r="F3707" i="1"/>
  <c r="E3707" i="1"/>
  <c r="D3707" i="1"/>
  <c r="C3707" i="1"/>
  <c r="H3706" i="1"/>
  <c r="G3706" i="1"/>
  <c r="F3706" i="1"/>
  <c r="E3706" i="1"/>
  <c r="D3706" i="1"/>
  <c r="C3706" i="1"/>
  <c r="H3705" i="1"/>
  <c r="G3705" i="1"/>
  <c r="F3705" i="1"/>
  <c r="E3705" i="1"/>
  <c r="D3705" i="1"/>
  <c r="C3705" i="1"/>
  <c r="H3704" i="1"/>
  <c r="G3704" i="1"/>
  <c r="F3704" i="1"/>
  <c r="E3704" i="1"/>
  <c r="D3704" i="1"/>
  <c r="C3704" i="1"/>
  <c r="H3703" i="1"/>
  <c r="G3703" i="1"/>
  <c r="F3703" i="1"/>
  <c r="E3703" i="1"/>
  <c r="D3703" i="1"/>
  <c r="C3703" i="1"/>
  <c r="H3702" i="1"/>
  <c r="G3702" i="1"/>
  <c r="F3702" i="1"/>
  <c r="E3702" i="1"/>
  <c r="D3702" i="1"/>
  <c r="C3702" i="1"/>
  <c r="H3701" i="1"/>
  <c r="G3701" i="1"/>
  <c r="F3701" i="1"/>
  <c r="E3701" i="1"/>
  <c r="D3701" i="1"/>
  <c r="C3701" i="1"/>
  <c r="H3700" i="1"/>
  <c r="G3700" i="1"/>
  <c r="F3700" i="1"/>
  <c r="E3700" i="1"/>
  <c r="D3700" i="1"/>
  <c r="C3700" i="1"/>
  <c r="H3699" i="1"/>
  <c r="G3699" i="1"/>
  <c r="F3699" i="1"/>
  <c r="E3699" i="1"/>
  <c r="D3699" i="1"/>
  <c r="C3699" i="1"/>
  <c r="H3698" i="1"/>
  <c r="G3698" i="1"/>
  <c r="F3698" i="1"/>
  <c r="E3698" i="1"/>
  <c r="D3698" i="1"/>
  <c r="C3698" i="1"/>
  <c r="H3697" i="1"/>
  <c r="G3697" i="1"/>
  <c r="F3697" i="1"/>
  <c r="E3697" i="1"/>
  <c r="D3697" i="1"/>
  <c r="C3697" i="1"/>
  <c r="H3696" i="1"/>
  <c r="G3696" i="1"/>
  <c r="F3696" i="1"/>
  <c r="E3696" i="1"/>
  <c r="D3696" i="1"/>
  <c r="C3696" i="1"/>
  <c r="H3695" i="1"/>
  <c r="G3695" i="1"/>
  <c r="F3695" i="1"/>
  <c r="E3695" i="1"/>
  <c r="D3695" i="1"/>
  <c r="C3695" i="1"/>
  <c r="H3694" i="1"/>
  <c r="G3694" i="1"/>
  <c r="F3694" i="1"/>
  <c r="E3694" i="1"/>
  <c r="D3694" i="1"/>
  <c r="C3694" i="1"/>
  <c r="H3693" i="1"/>
  <c r="G3693" i="1"/>
  <c r="F3693" i="1"/>
  <c r="E3693" i="1"/>
  <c r="D3693" i="1"/>
  <c r="C3693" i="1"/>
  <c r="H3692" i="1"/>
  <c r="G3692" i="1"/>
  <c r="F3692" i="1"/>
  <c r="E3692" i="1"/>
  <c r="D3692" i="1"/>
  <c r="C3692" i="1"/>
  <c r="H3691" i="1"/>
  <c r="G3691" i="1"/>
  <c r="F3691" i="1"/>
  <c r="E3691" i="1"/>
  <c r="D3691" i="1"/>
  <c r="C3691" i="1"/>
  <c r="H3690" i="1"/>
  <c r="G3690" i="1"/>
  <c r="F3690" i="1"/>
  <c r="E3690" i="1"/>
  <c r="D3690" i="1"/>
  <c r="C3690" i="1"/>
  <c r="H3689" i="1"/>
  <c r="G3689" i="1"/>
  <c r="F3689" i="1"/>
  <c r="E3689" i="1"/>
  <c r="D3689" i="1"/>
  <c r="C3689" i="1"/>
  <c r="H3688" i="1"/>
  <c r="G3688" i="1"/>
  <c r="F3688" i="1"/>
  <c r="E3688" i="1"/>
  <c r="D3688" i="1"/>
  <c r="C3688" i="1"/>
  <c r="H3687" i="1"/>
  <c r="G3687" i="1"/>
  <c r="F3687" i="1"/>
  <c r="E3687" i="1"/>
  <c r="D3687" i="1"/>
  <c r="C3687" i="1"/>
  <c r="H3686" i="1"/>
  <c r="G3686" i="1"/>
  <c r="F3686" i="1"/>
  <c r="E3686" i="1"/>
  <c r="D3686" i="1"/>
  <c r="C3686" i="1"/>
  <c r="H3685" i="1"/>
  <c r="G3685" i="1"/>
  <c r="F3685" i="1"/>
  <c r="E3685" i="1"/>
  <c r="D3685" i="1"/>
  <c r="C3685" i="1"/>
  <c r="H3684" i="1"/>
  <c r="G3684" i="1"/>
  <c r="F3684" i="1"/>
  <c r="E3684" i="1"/>
  <c r="D3684" i="1"/>
  <c r="C3684" i="1"/>
  <c r="H3683" i="1"/>
  <c r="G3683" i="1"/>
  <c r="F3683" i="1"/>
  <c r="E3683" i="1"/>
  <c r="D3683" i="1"/>
  <c r="C3683" i="1"/>
  <c r="H3682" i="1"/>
  <c r="G3682" i="1"/>
  <c r="F3682" i="1"/>
  <c r="E3682" i="1"/>
  <c r="D3682" i="1"/>
  <c r="C3682" i="1"/>
  <c r="H3681" i="1"/>
  <c r="G3681" i="1"/>
  <c r="F3681" i="1"/>
  <c r="E3681" i="1"/>
  <c r="D3681" i="1"/>
  <c r="C3681" i="1"/>
  <c r="H3680" i="1"/>
  <c r="G3680" i="1"/>
  <c r="F3680" i="1"/>
  <c r="E3680" i="1"/>
  <c r="D3680" i="1"/>
  <c r="C3680" i="1"/>
  <c r="H3679" i="1"/>
  <c r="G3679" i="1"/>
  <c r="F3679" i="1"/>
  <c r="E3679" i="1"/>
  <c r="D3679" i="1"/>
  <c r="C3679" i="1"/>
  <c r="H3678" i="1"/>
  <c r="G3678" i="1"/>
  <c r="F3678" i="1"/>
  <c r="E3678" i="1"/>
  <c r="D3678" i="1"/>
  <c r="C3678" i="1"/>
  <c r="H3677" i="1"/>
  <c r="G3677" i="1"/>
  <c r="F3677" i="1"/>
  <c r="E3677" i="1"/>
  <c r="D3677" i="1"/>
  <c r="C3677" i="1"/>
  <c r="H3676" i="1"/>
  <c r="G3676" i="1"/>
  <c r="F3676" i="1"/>
  <c r="E3676" i="1"/>
  <c r="D3676" i="1"/>
  <c r="C3676" i="1"/>
  <c r="H3675" i="1"/>
  <c r="G3675" i="1"/>
  <c r="F3675" i="1"/>
  <c r="E3675" i="1"/>
  <c r="D3675" i="1"/>
  <c r="C3675" i="1"/>
  <c r="H3674" i="1"/>
  <c r="G3674" i="1"/>
  <c r="F3674" i="1"/>
  <c r="E3674" i="1"/>
  <c r="D3674" i="1"/>
  <c r="C3674" i="1"/>
  <c r="H3673" i="1"/>
  <c r="G3673" i="1"/>
  <c r="F3673" i="1"/>
  <c r="E3673" i="1"/>
  <c r="D3673" i="1"/>
  <c r="C3673" i="1"/>
  <c r="H3672" i="1"/>
  <c r="G3672" i="1"/>
  <c r="F3672" i="1"/>
  <c r="E3672" i="1"/>
  <c r="D3672" i="1"/>
  <c r="C3672" i="1"/>
  <c r="H3671" i="1"/>
  <c r="G3671" i="1"/>
  <c r="F3671" i="1"/>
  <c r="E3671" i="1"/>
  <c r="D3671" i="1"/>
  <c r="C3671" i="1"/>
  <c r="H3670" i="1"/>
  <c r="G3670" i="1"/>
  <c r="F3670" i="1"/>
  <c r="E3670" i="1"/>
  <c r="D3670" i="1"/>
  <c r="C3670" i="1"/>
  <c r="H3669" i="1"/>
  <c r="G3669" i="1"/>
  <c r="F3669" i="1"/>
  <c r="E3669" i="1"/>
  <c r="D3669" i="1"/>
  <c r="C3669" i="1"/>
  <c r="H3668" i="1"/>
  <c r="G3668" i="1"/>
  <c r="F3668" i="1"/>
  <c r="E3668" i="1"/>
  <c r="D3668" i="1"/>
  <c r="C3668" i="1"/>
  <c r="H3667" i="1"/>
  <c r="G3667" i="1"/>
  <c r="F3667" i="1"/>
  <c r="E3667" i="1"/>
  <c r="D3667" i="1"/>
  <c r="C3667" i="1"/>
  <c r="H3666" i="1"/>
  <c r="G3666" i="1"/>
  <c r="F3666" i="1"/>
  <c r="E3666" i="1"/>
  <c r="D3666" i="1"/>
  <c r="C3666" i="1"/>
  <c r="H3665" i="1"/>
  <c r="G3665" i="1"/>
  <c r="F3665" i="1"/>
  <c r="E3665" i="1"/>
  <c r="D3665" i="1"/>
  <c r="C3665" i="1"/>
  <c r="H3664" i="1"/>
  <c r="G3664" i="1"/>
  <c r="F3664" i="1"/>
  <c r="E3664" i="1"/>
  <c r="D3664" i="1"/>
  <c r="C3664" i="1"/>
  <c r="H3663" i="1"/>
  <c r="G3663" i="1"/>
  <c r="F3663" i="1"/>
  <c r="E3663" i="1"/>
  <c r="D3663" i="1"/>
  <c r="C3663" i="1"/>
  <c r="H3662" i="1"/>
  <c r="G3662" i="1"/>
  <c r="F3662" i="1"/>
  <c r="E3662" i="1"/>
  <c r="D3662" i="1"/>
  <c r="C3662" i="1"/>
  <c r="H3661" i="1"/>
  <c r="G3661" i="1"/>
  <c r="F3661" i="1"/>
  <c r="E3661" i="1"/>
  <c r="D3661" i="1"/>
  <c r="C3661" i="1"/>
  <c r="H3660" i="1"/>
  <c r="G3660" i="1"/>
  <c r="F3660" i="1"/>
  <c r="E3660" i="1"/>
  <c r="D3660" i="1"/>
  <c r="C3660" i="1"/>
  <c r="H3659" i="1"/>
  <c r="G3659" i="1"/>
  <c r="F3659" i="1"/>
  <c r="E3659" i="1"/>
  <c r="D3659" i="1"/>
  <c r="C3659" i="1"/>
  <c r="H3658" i="1"/>
  <c r="G3658" i="1"/>
  <c r="F3658" i="1"/>
  <c r="E3658" i="1"/>
  <c r="D3658" i="1"/>
  <c r="C3658" i="1"/>
  <c r="H3657" i="1"/>
  <c r="G3657" i="1"/>
  <c r="F3657" i="1"/>
  <c r="E3657" i="1"/>
  <c r="D3657" i="1"/>
  <c r="C3657" i="1"/>
  <c r="H3656" i="1"/>
  <c r="G3656" i="1"/>
  <c r="F3656" i="1"/>
  <c r="E3656" i="1"/>
  <c r="D3656" i="1"/>
  <c r="C3656" i="1"/>
  <c r="H3655" i="1"/>
  <c r="G3655" i="1"/>
  <c r="F3655" i="1"/>
  <c r="E3655" i="1"/>
  <c r="D3655" i="1"/>
  <c r="C3655" i="1"/>
  <c r="H3654" i="1"/>
  <c r="G3654" i="1"/>
  <c r="F3654" i="1"/>
  <c r="E3654" i="1"/>
  <c r="D3654" i="1"/>
  <c r="C3654" i="1"/>
  <c r="H3653" i="1"/>
  <c r="G3653" i="1"/>
  <c r="F3653" i="1"/>
  <c r="E3653" i="1"/>
  <c r="D3653" i="1"/>
  <c r="C3653" i="1"/>
  <c r="H3652" i="1"/>
  <c r="G3652" i="1"/>
  <c r="F3652" i="1"/>
  <c r="E3652" i="1"/>
  <c r="D3652" i="1"/>
  <c r="C3652" i="1"/>
  <c r="H3651" i="1"/>
  <c r="G3651" i="1"/>
  <c r="F3651" i="1"/>
  <c r="E3651" i="1"/>
  <c r="D3651" i="1"/>
  <c r="C3651" i="1"/>
  <c r="H3650" i="1"/>
  <c r="G3650" i="1"/>
  <c r="F3650" i="1"/>
  <c r="E3650" i="1"/>
  <c r="D3650" i="1"/>
  <c r="C3650" i="1"/>
  <c r="H3649" i="1"/>
  <c r="G3649" i="1"/>
  <c r="F3649" i="1"/>
  <c r="E3649" i="1"/>
  <c r="D3649" i="1"/>
  <c r="C3649" i="1"/>
  <c r="H3648" i="1"/>
  <c r="G3648" i="1"/>
  <c r="F3648" i="1"/>
  <c r="E3648" i="1"/>
  <c r="D3648" i="1"/>
  <c r="C3648" i="1"/>
  <c r="H3647" i="1"/>
  <c r="G3647" i="1"/>
  <c r="F3647" i="1"/>
  <c r="E3647" i="1"/>
  <c r="D3647" i="1"/>
  <c r="C3647" i="1"/>
  <c r="H3646" i="1"/>
  <c r="G3646" i="1"/>
  <c r="F3646" i="1"/>
  <c r="E3646" i="1"/>
  <c r="D3646" i="1"/>
  <c r="C3646" i="1"/>
  <c r="H3645" i="1"/>
  <c r="G3645" i="1"/>
  <c r="F3645" i="1"/>
  <c r="E3645" i="1"/>
  <c r="D3645" i="1"/>
  <c r="C3645" i="1"/>
  <c r="H3644" i="1"/>
  <c r="G3644" i="1"/>
  <c r="F3644" i="1"/>
  <c r="E3644" i="1"/>
  <c r="D3644" i="1"/>
  <c r="C3644" i="1"/>
  <c r="H3643" i="1"/>
  <c r="G3643" i="1"/>
  <c r="F3643" i="1"/>
  <c r="E3643" i="1"/>
  <c r="D3643" i="1"/>
  <c r="C3643" i="1"/>
  <c r="H3642" i="1"/>
  <c r="G3642" i="1"/>
  <c r="F3642" i="1"/>
  <c r="E3642" i="1"/>
  <c r="D3642" i="1"/>
  <c r="C3642" i="1"/>
  <c r="H3641" i="1"/>
  <c r="G3641" i="1"/>
  <c r="F3641" i="1"/>
  <c r="E3641" i="1"/>
  <c r="D3641" i="1"/>
  <c r="C3641" i="1"/>
  <c r="H3640" i="1"/>
  <c r="G3640" i="1"/>
  <c r="F3640" i="1"/>
  <c r="E3640" i="1"/>
  <c r="D3640" i="1"/>
  <c r="C3640" i="1"/>
  <c r="H3639" i="1"/>
  <c r="G3639" i="1"/>
  <c r="F3639" i="1"/>
  <c r="E3639" i="1"/>
  <c r="D3639" i="1"/>
  <c r="C3639" i="1"/>
  <c r="H3638" i="1"/>
  <c r="G3638" i="1"/>
  <c r="F3638" i="1"/>
  <c r="E3638" i="1"/>
  <c r="D3638" i="1"/>
  <c r="C3638" i="1"/>
  <c r="H3637" i="1"/>
  <c r="G3637" i="1"/>
  <c r="F3637" i="1"/>
  <c r="E3637" i="1"/>
  <c r="D3637" i="1"/>
  <c r="C3637" i="1"/>
  <c r="H3636" i="1"/>
  <c r="G3636" i="1"/>
  <c r="F3636" i="1"/>
  <c r="E3636" i="1"/>
  <c r="D3636" i="1"/>
  <c r="C3636" i="1"/>
  <c r="H3635" i="1"/>
  <c r="G3635" i="1"/>
  <c r="F3635" i="1"/>
  <c r="E3635" i="1"/>
  <c r="D3635" i="1"/>
  <c r="C3635" i="1"/>
  <c r="H3634" i="1"/>
  <c r="G3634" i="1"/>
  <c r="F3634" i="1"/>
  <c r="E3634" i="1"/>
  <c r="D3634" i="1"/>
  <c r="C3634" i="1"/>
  <c r="H3633" i="1"/>
  <c r="G3633" i="1"/>
  <c r="F3633" i="1"/>
  <c r="E3633" i="1"/>
  <c r="D3633" i="1"/>
  <c r="C3633" i="1"/>
  <c r="H3632" i="1"/>
  <c r="G3632" i="1"/>
  <c r="F3632" i="1"/>
  <c r="E3632" i="1"/>
  <c r="D3632" i="1"/>
  <c r="C3632" i="1"/>
  <c r="H3631" i="1"/>
  <c r="G3631" i="1"/>
  <c r="F3631" i="1"/>
  <c r="E3631" i="1"/>
  <c r="D3631" i="1"/>
  <c r="C3631" i="1"/>
  <c r="H3630" i="1"/>
  <c r="G3630" i="1"/>
  <c r="F3630" i="1"/>
  <c r="E3630" i="1"/>
  <c r="D3630" i="1"/>
  <c r="C3630" i="1"/>
  <c r="H3629" i="1"/>
  <c r="G3629" i="1"/>
  <c r="F3629" i="1"/>
  <c r="E3629" i="1"/>
  <c r="D3629" i="1"/>
  <c r="C3629" i="1"/>
  <c r="H3628" i="1"/>
  <c r="G3628" i="1"/>
  <c r="F3628" i="1"/>
  <c r="E3628" i="1"/>
  <c r="D3628" i="1"/>
  <c r="C3628" i="1"/>
  <c r="H3627" i="1"/>
  <c r="G3627" i="1"/>
  <c r="F3627" i="1"/>
  <c r="E3627" i="1"/>
  <c r="D3627" i="1"/>
  <c r="C3627" i="1"/>
  <c r="H3626" i="1"/>
  <c r="G3626" i="1"/>
  <c r="F3626" i="1"/>
  <c r="E3626" i="1"/>
  <c r="D3626" i="1"/>
  <c r="C3626" i="1"/>
  <c r="H3625" i="1"/>
  <c r="G3625" i="1"/>
  <c r="F3625" i="1"/>
  <c r="E3625" i="1"/>
  <c r="D3625" i="1"/>
  <c r="C3625" i="1"/>
  <c r="H3624" i="1"/>
  <c r="G3624" i="1"/>
  <c r="F3624" i="1"/>
  <c r="E3624" i="1"/>
  <c r="D3624" i="1"/>
  <c r="C3624" i="1"/>
  <c r="H3623" i="1"/>
  <c r="G3623" i="1"/>
  <c r="F3623" i="1"/>
  <c r="E3623" i="1"/>
  <c r="D3623" i="1"/>
  <c r="C3623" i="1"/>
  <c r="H3622" i="1"/>
  <c r="G3622" i="1"/>
  <c r="F3622" i="1"/>
  <c r="E3622" i="1"/>
  <c r="D3622" i="1"/>
  <c r="C3622" i="1"/>
  <c r="H3621" i="1"/>
  <c r="G3621" i="1"/>
  <c r="F3621" i="1"/>
  <c r="E3621" i="1"/>
  <c r="D3621" i="1"/>
  <c r="C3621" i="1"/>
  <c r="H3620" i="1"/>
  <c r="G3620" i="1"/>
  <c r="F3620" i="1"/>
  <c r="E3620" i="1"/>
  <c r="D3620" i="1"/>
  <c r="C3620" i="1"/>
  <c r="H3619" i="1"/>
  <c r="G3619" i="1"/>
  <c r="F3619" i="1"/>
  <c r="E3619" i="1"/>
  <c r="D3619" i="1"/>
  <c r="C3619" i="1"/>
  <c r="H3618" i="1"/>
  <c r="G3618" i="1"/>
  <c r="F3618" i="1"/>
  <c r="E3618" i="1"/>
  <c r="D3618" i="1"/>
  <c r="C3618" i="1"/>
  <c r="H3617" i="1"/>
  <c r="G3617" i="1"/>
  <c r="F3617" i="1"/>
  <c r="E3617" i="1"/>
  <c r="D3617" i="1"/>
  <c r="C3617" i="1"/>
  <c r="H3616" i="1"/>
  <c r="G3616" i="1"/>
  <c r="F3616" i="1"/>
  <c r="E3616" i="1"/>
  <c r="D3616" i="1"/>
  <c r="C3616" i="1"/>
  <c r="H3615" i="1"/>
  <c r="G3615" i="1"/>
  <c r="F3615" i="1"/>
  <c r="E3615" i="1"/>
  <c r="D3615" i="1"/>
  <c r="C3615" i="1"/>
  <c r="H3614" i="1"/>
  <c r="G3614" i="1"/>
  <c r="F3614" i="1"/>
  <c r="E3614" i="1"/>
  <c r="D3614" i="1"/>
  <c r="C3614" i="1"/>
  <c r="H3613" i="1"/>
  <c r="G3613" i="1"/>
  <c r="F3613" i="1"/>
  <c r="E3613" i="1"/>
  <c r="D3613" i="1"/>
  <c r="C3613" i="1"/>
  <c r="H3612" i="1"/>
  <c r="G3612" i="1"/>
  <c r="F3612" i="1"/>
  <c r="E3612" i="1"/>
  <c r="D3612" i="1"/>
  <c r="C3612" i="1"/>
  <c r="H3611" i="1"/>
  <c r="G3611" i="1"/>
  <c r="F3611" i="1"/>
  <c r="E3611" i="1"/>
  <c r="D3611" i="1"/>
  <c r="C3611" i="1"/>
  <c r="H3610" i="1"/>
  <c r="G3610" i="1"/>
  <c r="F3610" i="1"/>
  <c r="E3610" i="1"/>
  <c r="D3610" i="1"/>
  <c r="C3610" i="1"/>
  <c r="H3609" i="1"/>
  <c r="G3609" i="1"/>
  <c r="F3609" i="1"/>
  <c r="E3609" i="1"/>
  <c r="D3609" i="1"/>
  <c r="C3609" i="1"/>
  <c r="H3608" i="1"/>
  <c r="G3608" i="1"/>
  <c r="F3608" i="1"/>
  <c r="E3608" i="1"/>
  <c r="D3608" i="1"/>
  <c r="C3608" i="1"/>
  <c r="H3607" i="1"/>
  <c r="G3607" i="1"/>
  <c r="F3607" i="1"/>
  <c r="E3607" i="1"/>
  <c r="D3607" i="1"/>
  <c r="C3607" i="1"/>
  <c r="H3606" i="1"/>
  <c r="G3606" i="1"/>
  <c r="F3606" i="1"/>
  <c r="E3606" i="1"/>
  <c r="D3606" i="1"/>
  <c r="C3606" i="1"/>
  <c r="H3605" i="1"/>
  <c r="G3605" i="1"/>
  <c r="F3605" i="1"/>
  <c r="E3605" i="1"/>
  <c r="D3605" i="1"/>
  <c r="C3605" i="1"/>
  <c r="H3604" i="1"/>
  <c r="G3604" i="1"/>
  <c r="F3604" i="1"/>
  <c r="E3604" i="1"/>
  <c r="D3604" i="1"/>
  <c r="C3604" i="1"/>
  <c r="H3603" i="1"/>
  <c r="G3603" i="1"/>
  <c r="F3603" i="1"/>
  <c r="E3603" i="1"/>
  <c r="D3603" i="1"/>
  <c r="C3603" i="1"/>
  <c r="H3602" i="1"/>
  <c r="G3602" i="1"/>
  <c r="F3602" i="1"/>
  <c r="E3602" i="1"/>
  <c r="D3602" i="1"/>
  <c r="C3602" i="1"/>
  <c r="H3601" i="1"/>
  <c r="G3601" i="1"/>
  <c r="F3601" i="1"/>
  <c r="E3601" i="1"/>
  <c r="D3601" i="1"/>
  <c r="C3601" i="1"/>
  <c r="H3600" i="1"/>
  <c r="G3600" i="1"/>
  <c r="F3600" i="1"/>
  <c r="E3600" i="1"/>
  <c r="D3600" i="1"/>
  <c r="C3600" i="1"/>
  <c r="H3599" i="1"/>
  <c r="G3599" i="1"/>
  <c r="F3599" i="1"/>
  <c r="E3599" i="1"/>
  <c r="D3599" i="1"/>
  <c r="C3599" i="1"/>
  <c r="H3598" i="1"/>
  <c r="G3598" i="1"/>
  <c r="F3598" i="1"/>
  <c r="E3598" i="1"/>
  <c r="D3598" i="1"/>
  <c r="C3598" i="1"/>
  <c r="H3597" i="1"/>
  <c r="G3597" i="1"/>
  <c r="F3597" i="1"/>
  <c r="E3597" i="1"/>
  <c r="D3597" i="1"/>
  <c r="C3597" i="1"/>
  <c r="H3596" i="1"/>
  <c r="G3596" i="1"/>
  <c r="F3596" i="1"/>
  <c r="E3596" i="1"/>
  <c r="D3596" i="1"/>
  <c r="C3596" i="1"/>
  <c r="H3595" i="1"/>
  <c r="G3595" i="1"/>
  <c r="F3595" i="1"/>
  <c r="E3595" i="1"/>
  <c r="D3595" i="1"/>
  <c r="C3595" i="1"/>
  <c r="H3594" i="1"/>
  <c r="G3594" i="1"/>
  <c r="F3594" i="1"/>
  <c r="E3594" i="1"/>
  <c r="D3594" i="1"/>
  <c r="C3594" i="1"/>
  <c r="H3593" i="1"/>
  <c r="G3593" i="1"/>
  <c r="F3593" i="1"/>
  <c r="E3593" i="1"/>
  <c r="D3593" i="1"/>
  <c r="C3593" i="1"/>
  <c r="H3592" i="1"/>
  <c r="G3592" i="1"/>
  <c r="F3592" i="1"/>
  <c r="E3592" i="1"/>
  <c r="D3592" i="1"/>
  <c r="C3592" i="1"/>
  <c r="H3591" i="1"/>
  <c r="G3591" i="1"/>
  <c r="F3591" i="1"/>
  <c r="E3591" i="1"/>
  <c r="D3591" i="1"/>
  <c r="C3591" i="1"/>
  <c r="H3590" i="1"/>
  <c r="G3590" i="1"/>
  <c r="F3590" i="1"/>
  <c r="E3590" i="1"/>
  <c r="D3590" i="1"/>
  <c r="C3590" i="1"/>
  <c r="H3589" i="1"/>
  <c r="G3589" i="1"/>
  <c r="F3589" i="1"/>
  <c r="E3589" i="1"/>
  <c r="D3589" i="1"/>
  <c r="C3589" i="1"/>
  <c r="H3588" i="1"/>
  <c r="G3588" i="1"/>
  <c r="F3588" i="1"/>
  <c r="E3588" i="1"/>
  <c r="D3588" i="1"/>
  <c r="C3588" i="1"/>
  <c r="H3587" i="1"/>
  <c r="G3587" i="1"/>
  <c r="F3587" i="1"/>
  <c r="E3587" i="1"/>
  <c r="D3587" i="1"/>
  <c r="C3587" i="1"/>
  <c r="H3586" i="1"/>
  <c r="G3586" i="1"/>
  <c r="F3586" i="1"/>
  <c r="E3586" i="1"/>
  <c r="D3586" i="1"/>
  <c r="C3586" i="1"/>
  <c r="H3585" i="1"/>
  <c r="G3585" i="1"/>
  <c r="F3585" i="1"/>
  <c r="E3585" i="1"/>
  <c r="D3585" i="1"/>
  <c r="C3585" i="1"/>
  <c r="H3584" i="1"/>
  <c r="G3584" i="1"/>
  <c r="F3584" i="1"/>
  <c r="E3584" i="1"/>
  <c r="D3584" i="1"/>
  <c r="C3584" i="1"/>
  <c r="H3583" i="1"/>
  <c r="G3583" i="1"/>
  <c r="F3583" i="1"/>
  <c r="E3583" i="1"/>
  <c r="D3583" i="1"/>
  <c r="C3583" i="1"/>
  <c r="H3582" i="1"/>
  <c r="G3582" i="1"/>
  <c r="F3582" i="1"/>
  <c r="E3582" i="1"/>
  <c r="D3582" i="1"/>
  <c r="C3582" i="1"/>
  <c r="H3581" i="1"/>
  <c r="G3581" i="1"/>
  <c r="F3581" i="1"/>
  <c r="E3581" i="1"/>
  <c r="D3581" i="1"/>
  <c r="C3581" i="1"/>
  <c r="H3580" i="1"/>
  <c r="G3580" i="1"/>
  <c r="F3580" i="1"/>
  <c r="E3580" i="1"/>
  <c r="D3580" i="1"/>
  <c r="C3580" i="1"/>
  <c r="H3579" i="1"/>
  <c r="G3579" i="1"/>
  <c r="F3579" i="1"/>
  <c r="E3579" i="1"/>
  <c r="D3579" i="1"/>
  <c r="C3579" i="1"/>
  <c r="H3578" i="1"/>
  <c r="G3578" i="1"/>
  <c r="F3578" i="1"/>
  <c r="E3578" i="1"/>
  <c r="D3578" i="1"/>
  <c r="C3578" i="1"/>
  <c r="H3577" i="1"/>
  <c r="G3577" i="1"/>
  <c r="F3577" i="1"/>
  <c r="E3577" i="1"/>
  <c r="D3577" i="1"/>
  <c r="C3577" i="1"/>
  <c r="H3576" i="1"/>
  <c r="G3576" i="1"/>
  <c r="F3576" i="1"/>
  <c r="E3576" i="1"/>
  <c r="D3576" i="1"/>
  <c r="C3576" i="1"/>
  <c r="H3575" i="1"/>
  <c r="G3575" i="1"/>
  <c r="F3575" i="1"/>
  <c r="E3575" i="1"/>
  <c r="D3575" i="1"/>
  <c r="C3575" i="1"/>
  <c r="H3574" i="1"/>
  <c r="G3574" i="1"/>
  <c r="F3574" i="1"/>
  <c r="E3574" i="1"/>
  <c r="D3574" i="1"/>
  <c r="C3574" i="1"/>
  <c r="H3573" i="1"/>
  <c r="G3573" i="1"/>
  <c r="F3573" i="1"/>
  <c r="E3573" i="1"/>
  <c r="D3573" i="1"/>
  <c r="C3573" i="1"/>
  <c r="H3572" i="1"/>
  <c r="G3572" i="1"/>
  <c r="F3572" i="1"/>
  <c r="E3572" i="1"/>
  <c r="D3572" i="1"/>
  <c r="C3572" i="1"/>
  <c r="H3571" i="1"/>
  <c r="G3571" i="1"/>
  <c r="F3571" i="1"/>
  <c r="E3571" i="1"/>
  <c r="D3571" i="1"/>
  <c r="C3571" i="1"/>
  <c r="H3570" i="1"/>
  <c r="G3570" i="1"/>
  <c r="F3570" i="1"/>
  <c r="E3570" i="1"/>
  <c r="D3570" i="1"/>
  <c r="C3570" i="1"/>
  <c r="H3569" i="1"/>
  <c r="G3569" i="1"/>
  <c r="F3569" i="1"/>
  <c r="E3569" i="1"/>
  <c r="D3569" i="1"/>
  <c r="C3569" i="1"/>
  <c r="H3568" i="1"/>
  <c r="G3568" i="1"/>
  <c r="F3568" i="1"/>
  <c r="E3568" i="1"/>
  <c r="D3568" i="1"/>
  <c r="C3568" i="1"/>
  <c r="H3567" i="1"/>
  <c r="G3567" i="1"/>
  <c r="F3567" i="1"/>
  <c r="E3567" i="1"/>
  <c r="D3567" i="1"/>
  <c r="C3567" i="1"/>
  <c r="H3566" i="1"/>
  <c r="G3566" i="1"/>
  <c r="F3566" i="1"/>
  <c r="E3566" i="1"/>
  <c r="D3566" i="1"/>
  <c r="C3566" i="1"/>
  <c r="H3565" i="1"/>
  <c r="G3565" i="1"/>
  <c r="F3565" i="1"/>
  <c r="E3565" i="1"/>
  <c r="D3565" i="1"/>
  <c r="C3565" i="1"/>
  <c r="H3564" i="1"/>
  <c r="G3564" i="1"/>
  <c r="F3564" i="1"/>
  <c r="E3564" i="1"/>
  <c r="D3564" i="1"/>
  <c r="C3564" i="1"/>
  <c r="H3563" i="1"/>
  <c r="G3563" i="1"/>
  <c r="F3563" i="1"/>
  <c r="E3563" i="1"/>
  <c r="D3563" i="1"/>
  <c r="C3563" i="1"/>
  <c r="H3562" i="1"/>
  <c r="G3562" i="1"/>
  <c r="F3562" i="1"/>
  <c r="E3562" i="1"/>
  <c r="D3562" i="1"/>
  <c r="C3562" i="1"/>
  <c r="H3561" i="1"/>
  <c r="G3561" i="1"/>
  <c r="F3561" i="1"/>
  <c r="E3561" i="1"/>
  <c r="D3561" i="1"/>
  <c r="C3561" i="1"/>
  <c r="H3560" i="1"/>
  <c r="G3560" i="1"/>
  <c r="F3560" i="1"/>
  <c r="E3560" i="1"/>
  <c r="D3560" i="1"/>
  <c r="C3560" i="1"/>
  <c r="H3559" i="1"/>
  <c r="G3559" i="1"/>
  <c r="F3559" i="1"/>
  <c r="E3559" i="1"/>
  <c r="D3559" i="1"/>
  <c r="C3559" i="1"/>
  <c r="H3558" i="1"/>
  <c r="G3558" i="1"/>
  <c r="F3558" i="1"/>
  <c r="E3558" i="1"/>
  <c r="D3558" i="1"/>
  <c r="C3558" i="1"/>
  <c r="H3557" i="1"/>
  <c r="G3557" i="1"/>
  <c r="F3557" i="1"/>
  <c r="E3557" i="1"/>
  <c r="D3557" i="1"/>
  <c r="C3557" i="1"/>
  <c r="H3556" i="1"/>
  <c r="G3556" i="1"/>
  <c r="F3556" i="1"/>
  <c r="E3556" i="1"/>
  <c r="D3556" i="1"/>
  <c r="C3556" i="1"/>
  <c r="H3555" i="1"/>
  <c r="G3555" i="1"/>
  <c r="F3555" i="1"/>
  <c r="E3555" i="1"/>
  <c r="D3555" i="1"/>
  <c r="C3555" i="1"/>
  <c r="H3554" i="1"/>
  <c r="G3554" i="1"/>
  <c r="F3554" i="1"/>
  <c r="E3554" i="1"/>
  <c r="D3554" i="1"/>
  <c r="C3554" i="1"/>
  <c r="H3553" i="1"/>
  <c r="G3553" i="1"/>
  <c r="F3553" i="1"/>
  <c r="E3553" i="1"/>
  <c r="D3553" i="1"/>
  <c r="C3553" i="1"/>
  <c r="H3552" i="1"/>
  <c r="G3552" i="1"/>
  <c r="F3552" i="1"/>
  <c r="E3552" i="1"/>
  <c r="D3552" i="1"/>
  <c r="C3552" i="1"/>
  <c r="H3551" i="1"/>
  <c r="G3551" i="1"/>
  <c r="F3551" i="1"/>
  <c r="E3551" i="1"/>
  <c r="D3551" i="1"/>
  <c r="C3551" i="1"/>
  <c r="H3550" i="1"/>
  <c r="G3550" i="1"/>
  <c r="F3550" i="1"/>
  <c r="E3550" i="1"/>
  <c r="D3550" i="1"/>
  <c r="C3550" i="1"/>
  <c r="H3549" i="1"/>
  <c r="G3549" i="1"/>
  <c r="F3549" i="1"/>
  <c r="E3549" i="1"/>
  <c r="D3549" i="1"/>
  <c r="C3549" i="1"/>
  <c r="H3548" i="1"/>
  <c r="G3548" i="1"/>
  <c r="F3548" i="1"/>
  <c r="E3548" i="1"/>
  <c r="D3548" i="1"/>
  <c r="C3548" i="1"/>
  <c r="H3547" i="1"/>
  <c r="G3547" i="1"/>
  <c r="F3547" i="1"/>
  <c r="E3547" i="1"/>
  <c r="D3547" i="1"/>
  <c r="C3547" i="1"/>
  <c r="H3546" i="1"/>
  <c r="G3546" i="1"/>
  <c r="F3546" i="1"/>
  <c r="E3546" i="1"/>
  <c r="D3546" i="1"/>
  <c r="C3546" i="1"/>
  <c r="H3545" i="1"/>
  <c r="G3545" i="1"/>
  <c r="F3545" i="1"/>
  <c r="E3545" i="1"/>
  <c r="D3545" i="1"/>
  <c r="C3545" i="1"/>
  <c r="H3544" i="1"/>
  <c r="G3544" i="1"/>
  <c r="F3544" i="1"/>
  <c r="E3544" i="1"/>
  <c r="D3544" i="1"/>
  <c r="C3544" i="1"/>
  <c r="H3543" i="1"/>
  <c r="G3543" i="1"/>
  <c r="F3543" i="1"/>
  <c r="E3543" i="1"/>
  <c r="D3543" i="1"/>
  <c r="C3543" i="1"/>
  <c r="H3542" i="1"/>
  <c r="G3542" i="1"/>
  <c r="F3542" i="1"/>
  <c r="E3542" i="1"/>
  <c r="D3542" i="1"/>
  <c r="C3542" i="1"/>
  <c r="H3541" i="1"/>
  <c r="G3541" i="1"/>
  <c r="F3541" i="1"/>
  <c r="E3541" i="1"/>
  <c r="D3541" i="1"/>
  <c r="C3541" i="1"/>
  <c r="H3540" i="1"/>
  <c r="G3540" i="1"/>
  <c r="F3540" i="1"/>
  <c r="E3540" i="1"/>
  <c r="D3540" i="1"/>
  <c r="C3540" i="1"/>
  <c r="H3539" i="1"/>
  <c r="G3539" i="1"/>
  <c r="F3539" i="1"/>
  <c r="E3539" i="1"/>
  <c r="D3539" i="1"/>
  <c r="C3539" i="1"/>
  <c r="H3538" i="1"/>
  <c r="G3538" i="1"/>
  <c r="F3538" i="1"/>
  <c r="E3538" i="1"/>
  <c r="D3538" i="1"/>
  <c r="C3538" i="1"/>
  <c r="H3537" i="1"/>
  <c r="G3537" i="1"/>
  <c r="F3537" i="1"/>
  <c r="E3537" i="1"/>
  <c r="D3537" i="1"/>
  <c r="C3537" i="1"/>
  <c r="H3536" i="1"/>
  <c r="G3536" i="1"/>
  <c r="F3536" i="1"/>
  <c r="E3536" i="1"/>
  <c r="D3536" i="1"/>
  <c r="C3536" i="1"/>
  <c r="H3535" i="1"/>
  <c r="G3535" i="1"/>
  <c r="F3535" i="1"/>
  <c r="E3535" i="1"/>
  <c r="D3535" i="1"/>
  <c r="C3535" i="1"/>
  <c r="H3534" i="1"/>
  <c r="G3534" i="1"/>
  <c r="F3534" i="1"/>
  <c r="E3534" i="1"/>
  <c r="D3534" i="1"/>
  <c r="C3534" i="1"/>
  <c r="H3533" i="1"/>
  <c r="G3533" i="1"/>
  <c r="F3533" i="1"/>
  <c r="E3533" i="1"/>
  <c r="D3533" i="1"/>
  <c r="C3533" i="1"/>
  <c r="H3532" i="1"/>
  <c r="G3532" i="1"/>
  <c r="F3532" i="1"/>
  <c r="E3532" i="1"/>
  <c r="D3532" i="1"/>
  <c r="C3532" i="1"/>
  <c r="H3531" i="1"/>
  <c r="G3531" i="1"/>
  <c r="F3531" i="1"/>
  <c r="E3531" i="1"/>
  <c r="D3531" i="1"/>
  <c r="C3531" i="1"/>
  <c r="H3530" i="1"/>
  <c r="G3530" i="1"/>
  <c r="F3530" i="1"/>
  <c r="E3530" i="1"/>
  <c r="D3530" i="1"/>
  <c r="C3530" i="1"/>
  <c r="H3529" i="1"/>
  <c r="G3529" i="1"/>
  <c r="F3529" i="1"/>
  <c r="E3529" i="1"/>
  <c r="D3529" i="1"/>
  <c r="C3529" i="1"/>
  <c r="H3528" i="1"/>
  <c r="G3528" i="1"/>
  <c r="F3528" i="1"/>
  <c r="E3528" i="1"/>
  <c r="D3528" i="1"/>
  <c r="C3528" i="1"/>
  <c r="H3527" i="1"/>
  <c r="G3527" i="1"/>
  <c r="F3527" i="1"/>
  <c r="E3527" i="1"/>
  <c r="D3527" i="1"/>
  <c r="C3527" i="1"/>
  <c r="H3526" i="1"/>
  <c r="G3526" i="1"/>
  <c r="F3526" i="1"/>
  <c r="E3526" i="1"/>
  <c r="D3526" i="1"/>
  <c r="C3526" i="1"/>
  <c r="H3525" i="1"/>
  <c r="G3525" i="1"/>
  <c r="F3525" i="1"/>
  <c r="E3525" i="1"/>
  <c r="D3525" i="1"/>
  <c r="C3525" i="1"/>
  <c r="H3524" i="1"/>
  <c r="G3524" i="1"/>
  <c r="F3524" i="1"/>
  <c r="E3524" i="1"/>
  <c r="D3524" i="1"/>
  <c r="C3524" i="1"/>
  <c r="H3523" i="1"/>
  <c r="G3523" i="1"/>
  <c r="F3523" i="1"/>
  <c r="E3523" i="1"/>
  <c r="D3523" i="1"/>
  <c r="C3523" i="1"/>
  <c r="H3522" i="1"/>
  <c r="G3522" i="1"/>
  <c r="F3522" i="1"/>
  <c r="E3522" i="1"/>
  <c r="D3522" i="1"/>
  <c r="C3522" i="1"/>
  <c r="H3521" i="1"/>
  <c r="G3521" i="1"/>
  <c r="F3521" i="1"/>
  <c r="E3521" i="1"/>
  <c r="D3521" i="1"/>
  <c r="C3521" i="1"/>
  <c r="H3520" i="1"/>
  <c r="G3520" i="1"/>
  <c r="F3520" i="1"/>
  <c r="E3520" i="1"/>
  <c r="D3520" i="1"/>
  <c r="C3520" i="1"/>
  <c r="H3519" i="1"/>
  <c r="G3519" i="1"/>
  <c r="F3519" i="1"/>
  <c r="E3519" i="1"/>
  <c r="D3519" i="1"/>
  <c r="C3519" i="1"/>
  <c r="H3518" i="1"/>
  <c r="G3518" i="1"/>
  <c r="F3518" i="1"/>
  <c r="E3518" i="1"/>
  <c r="D3518" i="1"/>
  <c r="C3518" i="1"/>
  <c r="H3517" i="1"/>
  <c r="G3517" i="1"/>
  <c r="F3517" i="1"/>
  <c r="E3517" i="1"/>
  <c r="D3517" i="1"/>
  <c r="C3517" i="1"/>
  <c r="H3516" i="1"/>
  <c r="G3516" i="1"/>
  <c r="F3516" i="1"/>
  <c r="E3516" i="1"/>
  <c r="D3516" i="1"/>
  <c r="C3516" i="1"/>
  <c r="H3515" i="1"/>
  <c r="G3515" i="1"/>
  <c r="F3515" i="1"/>
  <c r="E3515" i="1"/>
  <c r="D3515" i="1"/>
  <c r="C3515" i="1"/>
  <c r="H3514" i="1"/>
  <c r="G3514" i="1"/>
  <c r="F3514" i="1"/>
  <c r="E3514" i="1"/>
  <c r="D3514" i="1"/>
  <c r="C3514" i="1"/>
  <c r="H3513" i="1"/>
  <c r="G3513" i="1"/>
  <c r="F3513" i="1"/>
  <c r="E3513" i="1"/>
  <c r="D3513" i="1"/>
  <c r="C3513" i="1"/>
  <c r="H3512" i="1"/>
  <c r="G3512" i="1"/>
  <c r="F3512" i="1"/>
  <c r="E3512" i="1"/>
  <c r="D3512" i="1"/>
  <c r="C3512" i="1"/>
  <c r="H3511" i="1"/>
  <c r="G3511" i="1"/>
  <c r="F3511" i="1"/>
  <c r="E3511" i="1"/>
  <c r="D3511" i="1"/>
  <c r="C3511" i="1"/>
  <c r="H3510" i="1"/>
  <c r="G3510" i="1"/>
  <c r="F3510" i="1"/>
  <c r="E3510" i="1"/>
  <c r="D3510" i="1"/>
  <c r="C3510" i="1"/>
  <c r="H3509" i="1"/>
  <c r="G3509" i="1"/>
  <c r="F3509" i="1"/>
  <c r="E3509" i="1"/>
  <c r="D3509" i="1"/>
  <c r="C3509" i="1"/>
  <c r="H3508" i="1"/>
  <c r="G3508" i="1"/>
  <c r="F3508" i="1"/>
  <c r="E3508" i="1"/>
  <c r="D3508" i="1"/>
  <c r="C3508" i="1"/>
  <c r="H3507" i="1"/>
  <c r="G3507" i="1"/>
  <c r="F3507" i="1"/>
  <c r="E3507" i="1"/>
  <c r="D3507" i="1"/>
  <c r="C3507" i="1"/>
  <c r="H3506" i="1"/>
  <c r="G3506" i="1"/>
  <c r="F3506" i="1"/>
  <c r="E3506" i="1"/>
  <c r="D3506" i="1"/>
  <c r="C3506" i="1"/>
  <c r="H3505" i="1"/>
  <c r="G3505" i="1"/>
  <c r="F3505" i="1"/>
  <c r="E3505" i="1"/>
  <c r="D3505" i="1"/>
  <c r="C3505" i="1"/>
  <c r="H3504" i="1"/>
  <c r="G3504" i="1"/>
  <c r="F3504" i="1"/>
  <c r="E3504" i="1"/>
  <c r="D3504" i="1"/>
  <c r="C3504" i="1"/>
  <c r="H3503" i="1"/>
  <c r="G3503" i="1"/>
  <c r="F3503" i="1"/>
  <c r="E3503" i="1"/>
  <c r="D3503" i="1"/>
  <c r="C3503" i="1"/>
  <c r="H3502" i="1"/>
  <c r="G3502" i="1"/>
  <c r="F3502" i="1"/>
  <c r="E3502" i="1"/>
  <c r="D3502" i="1"/>
  <c r="C3502" i="1"/>
  <c r="H3501" i="1"/>
  <c r="G3501" i="1"/>
  <c r="F3501" i="1"/>
  <c r="E3501" i="1"/>
  <c r="D3501" i="1"/>
  <c r="C3501" i="1"/>
  <c r="H3500" i="1"/>
  <c r="G3500" i="1"/>
  <c r="F3500" i="1"/>
  <c r="E3500" i="1"/>
  <c r="D3500" i="1"/>
  <c r="C3500" i="1"/>
  <c r="H3499" i="1"/>
  <c r="G3499" i="1"/>
  <c r="F3499" i="1"/>
  <c r="E3499" i="1"/>
  <c r="D3499" i="1"/>
  <c r="C3499" i="1"/>
  <c r="H3498" i="1"/>
  <c r="G3498" i="1"/>
  <c r="F3498" i="1"/>
  <c r="E3498" i="1"/>
  <c r="D3498" i="1"/>
  <c r="C3498" i="1"/>
  <c r="H3497" i="1"/>
  <c r="G3497" i="1"/>
  <c r="F3497" i="1"/>
  <c r="E3497" i="1"/>
  <c r="D3497" i="1"/>
  <c r="C3497" i="1"/>
  <c r="H3496" i="1"/>
  <c r="G3496" i="1"/>
  <c r="F3496" i="1"/>
  <c r="E3496" i="1"/>
  <c r="D3496" i="1"/>
  <c r="C3496" i="1"/>
  <c r="H3495" i="1"/>
  <c r="G3495" i="1"/>
  <c r="F3495" i="1"/>
  <c r="E3495" i="1"/>
  <c r="D3495" i="1"/>
  <c r="C3495" i="1"/>
  <c r="H3494" i="1"/>
  <c r="G3494" i="1"/>
  <c r="F3494" i="1"/>
  <c r="E3494" i="1"/>
  <c r="D3494" i="1"/>
  <c r="C3494" i="1"/>
  <c r="H3493" i="1"/>
  <c r="G3493" i="1"/>
  <c r="F3493" i="1"/>
  <c r="E3493" i="1"/>
  <c r="D3493" i="1"/>
  <c r="C3493" i="1"/>
  <c r="H3492" i="1"/>
  <c r="G3492" i="1"/>
  <c r="F3492" i="1"/>
  <c r="E3492" i="1"/>
  <c r="D3492" i="1"/>
  <c r="C3492" i="1"/>
  <c r="H3491" i="1"/>
  <c r="G3491" i="1"/>
  <c r="F3491" i="1"/>
  <c r="E3491" i="1"/>
  <c r="D3491" i="1"/>
  <c r="C3491" i="1"/>
  <c r="H3490" i="1"/>
  <c r="G3490" i="1"/>
  <c r="F3490" i="1"/>
  <c r="E3490" i="1"/>
  <c r="D3490" i="1"/>
  <c r="C3490" i="1"/>
  <c r="H3489" i="1"/>
  <c r="G3489" i="1"/>
  <c r="F3489" i="1"/>
  <c r="E3489" i="1"/>
  <c r="D3489" i="1"/>
  <c r="C3489" i="1"/>
  <c r="H3488" i="1"/>
  <c r="G3488" i="1"/>
  <c r="F3488" i="1"/>
  <c r="E3488" i="1"/>
  <c r="D3488" i="1"/>
  <c r="C3488" i="1"/>
  <c r="H3487" i="1"/>
  <c r="G3487" i="1"/>
  <c r="F3487" i="1"/>
  <c r="E3487" i="1"/>
  <c r="D3487" i="1"/>
  <c r="C3487" i="1"/>
  <c r="H3486" i="1"/>
  <c r="G3486" i="1"/>
  <c r="F3486" i="1"/>
  <c r="E3486" i="1"/>
  <c r="D3486" i="1"/>
  <c r="C3486" i="1"/>
  <c r="H3485" i="1"/>
  <c r="G3485" i="1"/>
  <c r="F3485" i="1"/>
  <c r="E3485" i="1"/>
  <c r="D3485" i="1"/>
  <c r="C3485" i="1"/>
  <c r="H3484" i="1"/>
  <c r="G3484" i="1"/>
  <c r="F3484" i="1"/>
  <c r="E3484" i="1"/>
  <c r="D3484" i="1"/>
  <c r="C3484" i="1"/>
  <c r="H3483" i="1"/>
  <c r="G3483" i="1"/>
  <c r="F3483" i="1"/>
  <c r="E3483" i="1"/>
  <c r="D3483" i="1"/>
  <c r="C3483" i="1"/>
  <c r="H3482" i="1"/>
  <c r="G3482" i="1"/>
  <c r="F3482" i="1"/>
  <c r="E3482" i="1"/>
  <c r="D3482" i="1"/>
  <c r="C3482" i="1"/>
  <c r="H3481" i="1"/>
  <c r="G3481" i="1"/>
  <c r="F3481" i="1"/>
  <c r="E3481" i="1"/>
  <c r="D3481" i="1"/>
  <c r="C3481" i="1"/>
  <c r="H3480" i="1"/>
  <c r="G3480" i="1"/>
  <c r="F3480" i="1"/>
  <c r="E3480" i="1"/>
  <c r="D3480" i="1"/>
  <c r="C3480" i="1"/>
  <c r="H3479" i="1"/>
  <c r="G3479" i="1"/>
  <c r="F3479" i="1"/>
  <c r="E3479" i="1"/>
  <c r="D3479" i="1"/>
  <c r="C3479" i="1"/>
  <c r="H3478" i="1"/>
  <c r="G3478" i="1"/>
  <c r="F3478" i="1"/>
  <c r="E3478" i="1"/>
  <c r="D3478" i="1"/>
  <c r="C3478" i="1"/>
  <c r="H3477" i="1"/>
  <c r="G3477" i="1"/>
  <c r="F3477" i="1"/>
  <c r="E3477" i="1"/>
  <c r="D3477" i="1"/>
  <c r="C3477" i="1"/>
  <c r="H3476" i="1"/>
  <c r="G3476" i="1"/>
  <c r="F3476" i="1"/>
  <c r="E3476" i="1"/>
  <c r="D3476" i="1"/>
  <c r="C3476" i="1"/>
  <c r="H3475" i="1"/>
  <c r="G3475" i="1"/>
  <c r="F3475" i="1"/>
  <c r="E3475" i="1"/>
  <c r="D3475" i="1"/>
  <c r="C3475" i="1"/>
  <c r="H3474" i="1"/>
  <c r="G3474" i="1"/>
  <c r="F3474" i="1"/>
  <c r="E3474" i="1"/>
  <c r="D3474" i="1"/>
  <c r="C3474" i="1"/>
  <c r="H3473" i="1"/>
  <c r="G3473" i="1"/>
  <c r="F3473" i="1"/>
  <c r="E3473" i="1"/>
  <c r="D3473" i="1"/>
  <c r="C3473" i="1"/>
  <c r="H3472" i="1"/>
  <c r="G3472" i="1"/>
  <c r="F3472" i="1"/>
  <c r="E3472" i="1"/>
  <c r="D3472" i="1"/>
  <c r="C3472" i="1"/>
  <c r="H3471" i="1"/>
  <c r="G3471" i="1"/>
  <c r="F3471" i="1"/>
  <c r="E3471" i="1"/>
  <c r="D3471" i="1"/>
  <c r="C3471" i="1"/>
  <c r="H3470" i="1"/>
  <c r="G3470" i="1"/>
  <c r="F3470" i="1"/>
  <c r="E3470" i="1"/>
  <c r="D3470" i="1"/>
  <c r="C3470" i="1"/>
  <c r="H3469" i="1"/>
  <c r="G3469" i="1"/>
  <c r="F3469" i="1"/>
  <c r="E3469" i="1"/>
  <c r="D3469" i="1"/>
  <c r="C3469" i="1"/>
  <c r="H3468" i="1"/>
  <c r="G3468" i="1"/>
  <c r="F3468" i="1"/>
  <c r="E3468" i="1"/>
  <c r="D3468" i="1"/>
  <c r="C3468" i="1"/>
  <c r="H3467" i="1"/>
  <c r="G3467" i="1"/>
  <c r="F3467" i="1"/>
  <c r="E3467" i="1"/>
  <c r="D3467" i="1"/>
  <c r="C3467" i="1"/>
  <c r="H3466" i="1"/>
  <c r="G3466" i="1"/>
  <c r="F3466" i="1"/>
  <c r="E3466" i="1"/>
  <c r="D3466" i="1"/>
  <c r="C3466" i="1"/>
  <c r="H3465" i="1"/>
  <c r="G3465" i="1"/>
  <c r="F3465" i="1"/>
  <c r="E3465" i="1"/>
  <c r="D3465" i="1"/>
  <c r="C3465" i="1"/>
  <c r="H3464" i="1"/>
  <c r="G3464" i="1"/>
  <c r="F3464" i="1"/>
  <c r="E3464" i="1"/>
  <c r="D3464" i="1"/>
  <c r="C3464" i="1"/>
  <c r="H3463" i="1"/>
  <c r="G3463" i="1"/>
  <c r="F3463" i="1"/>
  <c r="E3463" i="1"/>
  <c r="D3463" i="1"/>
  <c r="C3463" i="1"/>
  <c r="H3462" i="1"/>
  <c r="G3462" i="1"/>
  <c r="F3462" i="1"/>
  <c r="E3462" i="1"/>
  <c r="D3462" i="1"/>
  <c r="C3462" i="1"/>
  <c r="H3461" i="1"/>
  <c r="G3461" i="1"/>
  <c r="F3461" i="1"/>
  <c r="E3461" i="1"/>
  <c r="D3461" i="1"/>
  <c r="C3461" i="1"/>
  <c r="H3460" i="1"/>
  <c r="G3460" i="1"/>
  <c r="F3460" i="1"/>
  <c r="E3460" i="1"/>
  <c r="D3460" i="1"/>
  <c r="C3460" i="1"/>
  <c r="H3459" i="1"/>
  <c r="G3459" i="1"/>
  <c r="F3459" i="1"/>
  <c r="E3459" i="1"/>
  <c r="D3459" i="1"/>
  <c r="C3459" i="1"/>
  <c r="H3458" i="1"/>
  <c r="G3458" i="1"/>
  <c r="F3458" i="1"/>
  <c r="E3458" i="1"/>
  <c r="D3458" i="1"/>
  <c r="C3458" i="1"/>
  <c r="H3457" i="1"/>
  <c r="G3457" i="1"/>
  <c r="F3457" i="1"/>
  <c r="E3457" i="1"/>
  <c r="D3457" i="1"/>
  <c r="C3457" i="1"/>
  <c r="H3456" i="1"/>
  <c r="G3456" i="1"/>
  <c r="F3456" i="1"/>
  <c r="E3456" i="1"/>
  <c r="D3456" i="1"/>
  <c r="C3456" i="1"/>
  <c r="H3455" i="1"/>
  <c r="G3455" i="1"/>
  <c r="F3455" i="1"/>
  <c r="E3455" i="1"/>
  <c r="D3455" i="1"/>
  <c r="C3455" i="1"/>
  <c r="H3454" i="1"/>
  <c r="G3454" i="1"/>
  <c r="F3454" i="1"/>
  <c r="E3454" i="1"/>
  <c r="D3454" i="1"/>
  <c r="C3454" i="1"/>
  <c r="H3453" i="1"/>
  <c r="G3453" i="1"/>
  <c r="F3453" i="1"/>
  <c r="E3453" i="1"/>
  <c r="D3453" i="1"/>
  <c r="C3453" i="1"/>
  <c r="H3452" i="1"/>
  <c r="G3452" i="1"/>
  <c r="F3452" i="1"/>
  <c r="E3452" i="1"/>
  <c r="D3452" i="1"/>
  <c r="C3452" i="1"/>
  <c r="H3451" i="1"/>
  <c r="G3451" i="1"/>
  <c r="F3451" i="1"/>
  <c r="E3451" i="1"/>
  <c r="D3451" i="1"/>
  <c r="C3451" i="1"/>
  <c r="H3450" i="1"/>
  <c r="G3450" i="1"/>
  <c r="F3450" i="1"/>
  <c r="E3450" i="1"/>
  <c r="D3450" i="1"/>
  <c r="C3450" i="1"/>
  <c r="H3449" i="1"/>
  <c r="G3449" i="1"/>
  <c r="F3449" i="1"/>
  <c r="E3449" i="1"/>
  <c r="D3449" i="1"/>
  <c r="C3449" i="1"/>
  <c r="H3448" i="1"/>
  <c r="G3448" i="1"/>
  <c r="F3448" i="1"/>
  <c r="E3448" i="1"/>
  <c r="D3448" i="1"/>
  <c r="C3448" i="1"/>
  <c r="H3447" i="1"/>
  <c r="G3447" i="1"/>
  <c r="F3447" i="1"/>
  <c r="E3447" i="1"/>
  <c r="D3447" i="1"/>
  <c r="C3447" i="1"/>
  <c r="H3446" i="1"/>
  <c r="G3446" i="1"/>
  <c r="F3446" i="1"/>
  <c r="E3446" i="1"/>
  <c r="D3446" i="1"/>
  <c r="C3446" i="1"/>
  <c r="H3445" i="1"/>
  <c r="G3445" i="1"/>
  <c r="F3445" i="1"/>
  <c r="E3445" i="1"/>
  <c r="D3445" i="1"/>
  <c r="C3445" i="1"/>
  <c r="H3444" i="1"/>
  <c r="G3444" i="1"/>
  <c r="F3444" i="1"/>
  <c r="E3444" i="1"/>
  <c r="D3444" i="1"/>
  <c r="C3444" i="1"/>
  <c r="H3443" i="1"/>
  <c r="G3443" i="1"/>
  <c r="F3443" i="1"/>
  <c r="E3443" i="1"/>
  <c r="D3443" i="1"/>
  <c r="C3443" i="1"/>
  <c r="H3442" i="1"/>
  <c r="G3442" i="1"/>
  <c r="F3442" i="1"/>
  <c r="E3442" i="1"/>
  <c r="D3442" i="1"/>
  <c r="C3442" i="1"/>
  <c r="H3441" i="1"/>
  <c r="G3441" i="1"/>
  <c r="F3441" i="1"/>
  <c r="E3441" i="1"/>
  <c r="D3441" i="1"/>
  <c r="C3441" i="1"/>
  <c r="H3440" i="1"/>
  <c r="G3440" i="1"/>
  <c r="F3440" i="1"/>
  <c r="E3440" i="1"/>
  <c r="D3440" i="1"/>
  <c r="C3440" i="1"/>
  <c r="H3439" i="1"/>
  <c r="G3439" i="1"/>
  <c r="F3439" i="1"/>
  <c r="E3439" i="1"/>
  <c r="D3439" i="1"/>
  <c r="C3439" i="1"/>
  <c r="H3438" i="1"/>
  <c r="G3438" i="1"/>
  <c r="F3438" i="1"/>
  <c r="E3438" i="1"/>
  <c r="D3438" i="1"/>
  <c r="C3438" i="1"/>
  <c r="H3437" i="1"/>
  <c r="G3437" i="1"/>
  <c r="F3437" i="1"/>
  <c r="E3437" i="1"/>
  <c r="D3437" i="1"/>
  <c r="C3437" i="1"/>
  <c r="H3436" i="1"/>
  <c r="G3436" i="1"/>
  <c r="F3436" i="1"/>
  <c r="E3436" i="1"/>
  <c r="D3436" i="1"/>
  <c r="C3436" i="1"/>
  <c r="H3435" i="1"/>
  <c r="G3435" i="1"/>
  <c r="F3435" i="1"/>
  <c r="E3435" i="1"/>
  <c r="D3435" i="1"/>
  <c r="C3435" i="1"/>
  <c r="H3434" i="1"/>
  <c r="G3434" i="1"/>
  <c r="F3434" i="1"/>
  <c r="E3434" i="1"/>
  <c r="D3434" i="1"/>
  <c r="C3434" i="1"/>
  <c r="H3433" i="1"/>
  <c r="G3433" i="1"/>
  <c r="F3433" i="1"/>
  <c r="E3433" i="1"/>
  <c r="D3433" i="1"/>
  <c r="C3433" i="1"/>
  <c r="H3432" i="1"/>
  <c r="G3432" i="1"/>
  <c r="F3432" i="1"/>
  <c r="E3432" i="1"/>
  <c r="D3432" i="1"/>
  <c r="C3432" i="1"/>
  <c r="H3431" i="1"/>
  <c r="G3431" i="1"/>
  <c r="F3431" i="1"/>
  <c r="E3431" i="1"/>
  <c r="D3431" i="1"/>
  <c r="C3431" i="1"/>
  <c r="H3430" i="1"/>
  <c r="G3430" i="1"/>
  <c r="F3430" i="1"/>
  <c r="E3430" i="1"/>
  <c r="D3430" i="1"/>
  <c r="C3430" i="1"/>
  <c r="H3429" i="1"/>
  <c r="G3429" i="1"/>
  <c r="F3429" i="1"/>
  <c r="E3429" i="1"/>
  <c r="D3429" i="1"/>
  <c r="C3429" i="1"/>
  <c r="H3428" i="1"/>
  <c r="G3428" i="1"/>
  <c r="F3428" i="1"/>
  <c r="E3428" i="1"/>
  <c r="D3428" i="1"/>
  <c r="C3428" i="1"/>
  <c r="H3427" i="1"/>
  <c r="G3427" i="1"/>
  <c r="F3427" i="1"/>
  <c r="E3427" i="1"/>
  <c r="D3427" i="1"/>
  <c r="C3427" i="1"/>
  <c r="H3426" i="1"/>
  <c r="G3426" i="1"/>
  <c r="F3426" i="1"/>
  <c r="E3426" i="1"/>
  <c r="D3426" i="1"/>
  <c r="C3426" i="1"/>
  <c r="H3425" i="1"/>
  <c r="G3425" i="1"/>
  <c r="F3425" i="1"/>
  <c r="E3425" i="1"/>
  <c r="D3425" i="1"/>
  <c r="C3425" i="1"/>
  <c r="H3424" i="1"/>
  <c r="G3424" i="1"/>
  <c r="F3424" i="1"/>
  <c r="E3424" i="1"/>
  <c r="D3424" i="1"/>
  <c r="C3424" i="1"/>
  <c r="H3423" i="1"/>
  <c r="G3423" i="1"/>
  <c r="F3423" i="1"/>
  <c r="E3423" i="1"/>
  <c r="D3423" i="1"/>
  <c r="C3423" i="1"/>
  <c r="H3422" i="1"/>
  <c r="G3422" i="1"/>
  <c r="F3422" i="1"/>
  <c r="E3422" i="1"/>
  <c r="D3422" i="1"/>
  <c r="C3422" i="1"/>
  <c r="H3421" i="1"/>
  <c r="G3421" i="1"/>
  <c r="F3421" i="1"/>
  <c r="E3421" i="1"/>
  <c r="D3421" i="1"/>
  <c r="C3421" i="1"/>
  <c r="H3420" i="1"/>
  <c r="G3420" i="1"/>
  <c r="F3420" i="1"/>
  <c r="E3420" i="1"/>
  <c r="D3420" i="1"/>
  <c r="C3420" i="1"/>
  <c r="H3419" i="1"/>
  <c r="G3419" i="1"/>
  <c r="F3419" i="1"/>
  <c r="E3419" i="1"/>
  <c r="D3419" i="1"/>
  <c r="C3419" i="1"/>
  <c r="H3418" i="1"/>
  <c r="G3418" i="1"/>
  <c r="F3418" i="1"/>
  <c r="E3418" i="1"/>
  <c r="D3418" i="1"/>
  <c r="C3418" i="1"/>
  <c r="H3417" i="1"/>
  <c r="G3417" i="1"/>
  <c r="F3417" i="1"/>
  <c r="E3417" i="1"/>
  <c r="D3417" i="1"/>
  <c r="C3417" i="1"/>
  <c r="H3416" i="1"/>
  <c r="G3416" i="1"/>
  <c r="F3416" i="1"/>
  <c r="E3416" i="1"/>
  <c r="D3416" i="1"/>
  <c r="C3416" i="1"/>
  <c r="H3415" i="1"/>
  <c r="G3415" i="1"/>
  <c r="F3415" i="1"/>
  <c r="E3415" i="1"/>
  <c r="D3415" i="1"/>
  <c r="C3415" i="1"/>
  <c r="H3414" i="1"/>
  <c r="G3414" i="1"/>
  <c r="F3414" i="1"/>
  <c r="E3414" i="1"/>
  <c r="D3414" i="1"/>
  <c r="C3414" i="1"/>
  <c r="H3413" i="1"/>
  <c r="G3413" i="1"/>
  <c r="F3413" i="1"/>
  <c r="E3413" i="1"/>
  <c r="D3413" i="1"/>
  <c r="C3413" i="1"/>
  <c r="H3412" i="1"/>
  <c r="G3412" i="1"/>
  <c r="F3412" i="1"/>
  <c r="E3412" i="1"/>
  <c r="D3412" i="1"/>
  <c r="C3412" i="1"/>
  <c r="H3411" i="1"/>
  <c r="G3411" i="1"/>
  <c r="F3411" i="1"/>
  <c r="E3411" i="1"/>
  <c r="D3411" i="1"/>
  <c r="C3411" i="1"/>
  <c r="H3410" i="1"/>
  <c r="G3410" i="1"/>
  <c r="F3410" i="1"/>
  <c r="E3410" i="1"/>
  <c r="D3410" i="1"/>
  <c r="C3410" i="1"/>
  <c r="H3409" i="1"/>
  <c r="G3409" i="1"/>
  <c r="F3409" i="1"/>
  <c r="E3409" i="1"/>
  <c r="D3409" i="1"/>
  <c r="C3409" i="1"/>
  <c r="H3408" i="1"/>
  <c r="G3408" i="1"/>
  <c r="F3408" i="1"/>
  <c r="E3408" i="1"/>
  <c r="D3408" i="1"/>
  <c r="C3408" i="1"/>
  <c r="H3407" i="1"/>
  <c r="G3407" i="1"/>
  <c r="F3407" i="1"/>
  <c r="E3407" i="1"/>
  <c r="D3407" i="1"/>
  <c r="C3407" i="1"/>
  <c r="H3406" i="1"/>
  <c r="G3406" i="1"/>
  <c r="F3406" i="1"/>
  <c r="E3406" i="1"/>
  <c r="D3406" i="1"/>
  <c r="C3406" i="1"/>
  <c r="H3405" i="1"/>
  <c r="G3405" i="1"/>
  <c r="F3405" i="1"/>
  <c r="E3405" i="1"/>
  <c r="D3405" i="1"/>
  <c r="C3405" i="1"/>
  <c r="H3404" i="1"/>
  <c r="G3404" i="1"/>
  <c r="F3404" i="1"/>
  <c r="E3404" i="1"/>
  <c r="D3404" i="1"/>
  <c r="C3404" i="1"/>
  <c r="H3403" i="1"/>
  <c r="G3403" i="1"/>
  <c r="F3403" i="1"/>
  <c r="E3403" i="1"/>
  <c r="D3403" i="1"/>
  <c r="C3403" i="1"/>
  <c r="H3402" i="1"/>
  <c r="G3402" i="1"/>
  <c r="F3402" i="1"/>
  <c r="E3402" i="1"/>
  <c r="D3402" i="1"/>
  <c r="C3402" i="1"/>
  <c r="H3401" i="1"/>
  <c r="G3401" i="1"/>
  <c r="F3401" i="1"/>
  <c r="E3401" i="1"/>
  <c r="D3401" i="1"/>
  <c r="C3401" i="1"/>
  <c r="H3400" i="1"/>
  <c r="G3400" i="1"/>
  <c r="F3400" i="1"/>
  <c r="E3400" i="1"/>
  <c r="D3400" i="1"/>
  <c r="C3400" i="1"/>
  <c r="H3399" i="1"/>
  <c r="G3399" i="1"/>
  <c r="F3399" i="1"/>
  <c r="E3399" i="1"/>
  <c r="D3399" i="1"/>
  <c r="C3399" i="1"/>
  <c r="H3398" i="1"/>
  <c r="G3398" i="1"/>
  <c r="F3398" i="1"/>
  <c r="E3398" i="1"/>
  <c r="D3398" i="1"/>
  <c r="C3398" i="1"/>
  <c r="H3397" i="1"/>
  <c r="G3397" i="1"/>
  <c r="F3397" i="1"/>
  <c r="E3397" i="1"/>
  <c r="D3397" i="1"/>
  <c r="C3397" i="1"/>
  <c r="H3396" i="1"/>
  <c r="G3396" i="1"/>
  <c r="F3396" i="1"/>
  <c r="E3396" i="1"/>
  <c r="D3396" i="1"/>
  <c r="C3396" i="1"/>
  <c r="H3395" i="1"/>
  <c r="G3395" i="1"/>
  <c r="F3395" i="1"/>
  <c r="E3395" i="1"/>
  <c r="D3395" i="1"/>
  <c r="C3395" i="1"/>
  <c r="H3394" i="1"/>
  <c r="G3394" i="1"/>
  <c r="F3394" i="1"/>
  <c r="E3394" i="1"/>
  <c r="D3394" i="1"/>
  <c r="C3394" i="1"/>
  <c r="H3393" i="1"/>
  <c r="G3393" i="1"/>
  <c r="F3393" i="1"/>
  <c r="E3393" i="1"/>
  <c r="D3393" i="1"/>
  <c r="C3393" i="1"/>
  <c r="H3392" i="1"/>
  <c r="G3392" i="1"/>
  <c r="F3392" i="1"/>
  <c r="E3392" i="1"/>
  <c r="D3392" i="1"/>
  <c r="C3392" i="1"/>
  <c r="H3391" i="1"/>
  <c r="G3391" i="1"/>
  <c r="F3391" i="1"/>
  <c r="E3391" i="1"/>
  <c r="D3391" i="1"/>
  <c r="C3391" i="1"/>
  <c r="H3390" i="1"/>
  <c r="G3390" i="1"/>
  <c r="F3390" i="1"/>
  <c r="E3390" i="1"/>
  <c r="D3390" i="1"/>
  <c r="C3390" i="1"/>
  <c r="H3389" i="1"/>
  <c r="G3389" i="1"/>
  <c r="F3389" i="1"/>
  <c r="E3389" i="1"/>
  <c r="D3389" i="1"/>
  <c r="C3389" i="1"/>
  <c r="H3388" i="1"/>
  <c r="G3388" i="1"/>
  <c r="F3388" i="1"/>
  <c r="E3388" i="1"/>
  <c r="D3388" i="1"/>
  <c r="C3388" i="1"/>
  <c r="H3387" i="1"/>
  <c r="G3387" i="1"/>
  <c r="F3387" i="1"/>
  <c r="E3387" i="1"/>
  <c r="D3387" i="1"/>
  <c r="C3387" i="1"/>
  <c r="H3386" i="1"/>
  <c r="G3386" i="1"/>
  <c r="F3386" i="1"/>
  <c r="E3386" i="1"/>
  <c r="D3386" i="1"/>
  <c r="C3386" i="1"/>
  <c r="H3385" i="1"/>
  <c r="G3385" i="1"/>
  <c r="F3385" i="1"/>
  <c r="E3385" i="1"/>
  <c r="D3385" i="1"/>
  <c r="C3385" i="1"/>
  <c r="H3384" i="1"/>
  <c r="G3384" i="1"/>
  <c r="F3384" i="1"/>
  <c r="E3384" i="1"/>
  <c r="D3384" i="1"/>
  <c r="C3384" i="1"/>
  <c r="H3383" i="1"/>
  <c r="G3383" i="1"/>
  <c r="F3383" i="1"/>
  <c r="E3383" i="1"/>
  <c r="D3383" i="1"/>
  <c r="C3383" i="1"/>
  <c r="H3382" i="1"/>
  <c r="G3382" i="1"/>
  <c r="F3382" i="1"/>
  <c r="E3382" i="1"/>
  <c r="D3382" i="1"/>
  <c r="C3382" i="1"/>
  <c r="H3381" i="1"/>
  <c r="G3381" i="1"/>
  <c r="F3381" i="1"/>
  <c r="E3381" i="1"/>
  <c r="D3381" i="1"/>
  <c r="C3381" i="1"/>
  <c r="H3380" i="1"/>
  <c r="G3380" i="1"/>
  <c r="F3380" i="1"/>
  <c r="E3380" i="1"/>
  <c r="D3380" i="1"/>
  <c r="C3380" i="1"/>
  <c r="H3379" i="1"/>
  <c r="G3379" i="1"/>
  <c r="F3379" i="1"/>
  <c r="E3379" i="1"/>
  <c r="D3379" i="1"/>
  <c r="C3379" i="1"/>
  <c r="H3378" i="1"/>
  <c r="G3378" i="1"/>
  <c r="F3378" i="1"/>
  <c r="E3378" i="1"/>
  <c r="D3378" i="1"/>
  <c r="C3378" i="1"/>
  <c r="H3377" i="1"/>
  <c r="G3377" i="1"/>
  <c r="F3377" i="1"/>
  <c r="E3377" i="1"/>
  <c r="D3377" i="1"/>
  <c r="C3377" i="1"/>
  <c r="H3376" i="1"/>
  <c r="G3376" i="1"/>
  <c r="F3376" i="1"/>
  <c r="E3376" i="1"/>
  <c r="D3376" i="1"/>
  <c r="C3376" i="1"/>
  <c r="H3375" i="1"/>
  <c r="G3375" i="1"/>
  <c r="F3375" i="1"/>
  <c r="E3375" i="1"/>
  <c r="D3375" i="1"/>
  <c r="C3375" i="1"/>
  <c r="H3374" i="1"/>
  <c r="G3374" i="1"/>
  <c r="F3374" i="1"/>
  <c r="E3374" i="1"/>
  <c r="D3374" i="1"/>
  <c r="C3374" i="1"/>
  <c r="H3373" i="1"/>
  <c r="G3373" i="1"/>
  <c r="F3373" i="1"/>
  <c r="E3373" i="1"/>
  <c r="D3373" i="1"/>
  <c r="C3373" i="1"/>
  <c r="H3372" i="1"/>
  <c r="G3372" i="1"/>
  <c r="F3372" i="1"/>
  <c r="E3372" i="1"/>
  <c r="D3372" i="1"/>
  <c r="C3372" i="1"/>
  <c r="H3371" i="1"/>
  <c r="G3371" i="1"/>
  <c r="F3371" i="1"/>
  <c r="E3371" i="1"/>
  <c r="D3371" i="1"/>
  <c r="C3371" i="1"/>
  <c r="H3370" i="1"/>
  <c r="G3370" i="1"/>
  <c r="F3370" i="1"/>
  <c r="E3370" i="1"/>
  <c r="D3370" i="1"/>
  <c r="C3370" i="1"/>
  <c r="H3369" i="1"/>
  <c r="G3369" i="1"/>
  <c r="F3369" i="1"/>
  <c r="E3369" i="1"/>
  <c r="D3369" i="1"/>
  <c r="C3369" i="1"/>
  <c r="H3368" i="1"/>
  <c r="G3368" i="1"/>
  <c r="F3368" i="1"/>
  <c r="E3368" i="1"/>
  <c r="D3368" i="1"/>
  <c r="C3368" i="1"/>
  <c r="H3367" i="1"/>
  <c r="G3367" i="1"/>
  <c r="F3367" i="1"/>
  <c r="E3367" i="1"/>
  <c r="D3367" i="1"/>
  <c r="C3367" i="1"/>
  <c r="H3366" i="1"/>
  <c r="G3366" i="1"/>
  <c r="F3366" i="1"/>
  <c r="E3366" i="1"/>
  <c r="D3366" i="1"/>
  <c r="C3366" i="1"/>
  <c r="H3365" i="1"/>
  <c r="G3365" i="1"/>
  <c r="F3365" i="1"/>
  <c r="E3365" i="1"/>
  <c r="D3365" i="1"/>
  <c r="C3365" i="1"/>
  <c r="H3364" i="1"/>
  <c r="G3364" i="1"/>
  <c r="F3364" i="1"/>
  <c r="E3364" i="1"/>
  <c r="D3364" i="1"/>
  <c r="C3364" i="1"/>
  <c r="H3363" i="1"/>
  <c r="G3363" i="1"/>
  <c r="F3363" i="1"/>
  <c r="E3363" i="1"/>
  <c r="D3363" i="1"/>
  <c r="C3363" i="1"/>
  <c r="H3362" i="1"/>
  <c r="G3362" i="1"/>
  <c r="F3362" i="1"/>
  <c r="E3362" i="1"/>
  <c r="D3362" i="1"/>
  <c r="C3362" i="1"/>
  <c r="H3361" i="1"/>
  <c r="G3361" i="1"/>
  <c r="F3361" i="1"/>
  <c r="E3361" i="1"/>
  <c r="D3361" i="1"/>
  <c r="C3361" i="1"/>
  <c r="H3360" i="1"/>
  <c r="G3360" i="1"/>
  <c r="F3360" i="1"/>
  <c r="E3360" i="1"/>
  <c r="D3360" i="1"/>
  <c r="C3360" i="1"/>
  <c r="H3359" i="1"/>
  <c r="G3359" i="1"/>
  <c r="F3359" i="1"/>
  <c r="E3359" i="1"/>
  <c r="D3359" i="1"/>
  <c r="C3359" i="1"/>
  <c r="H3358" i="1"/>
  <c r="G3358" i="1"/>
  <c r="F3358" i="1"/>
  <c r="E3358" i="1"/>
  <c r="D3358" i="1"/>
  <c r="C3358" i="1"/>
  <c r="H3357" i="1"/>
  <c r="G3357" i="1"/>
  <c r="F3357" i="1"/>
  <c r="E3357" i="1"/>
  <c r="D3357" i="1"/>
  <c r="C3357" i="1"/>
  <c r="H3356" i="1"/>
  <c r="G3356" i="1"/>
  <c r="F3356" i="1"/>
  <c r="E3356" i="1"/>
  <c r="D3356" i="1"/>
  <c r="C3356" i="1"/>
  <c r="H3355" i="1"/>
  <c r="G3355" i="1"/>
  <c r="F3355" i="1"/>
  <c r="E3355" i="1"/>
  <c r="D3355" i="1"/>
  <c r="C3355" i="1"/>
  <c r="H3354" i="1"/>
  <c r="G3354" i="1"/>
  <c r="F3354" i="1"/>
  <c r="E3354" i="1"/>
  <c r="D3354" i="1"/>
  <c r="C3354" i="1"/>
  <c r="H3353" i="1"/>
  <c r="G3353" i="1"/>
  <c r="F3353" i="1"/>
  <c r="E3353" i="1"/>
  <c r="D3353" i="1"/>
  <c r="C3353" i="1"/>
  <c r="H3352" i="1"/>
  <c r="G3352" i="1"/>
  <c r="F3352" i="1"/>
  <c r="E3352" i="1"/>
  <c r="D3352" i="1"/>
  <c r="C3352" i="1"/>
  <c r="H3351" i="1"/>
  <c r="G3351" i="1"/>
  <c r="F3351" i="1"/>
  <c r="E3351" i="1"/>
  <c r="D3351" i="1"/>
  <c r="C3351" i="1"/>
  <c r="H3350" i="1"/>
  <c r="G3350" i="1"/>
  <c r="F3350" i="1"/>
  <c r="E3350" i="1"/>
  <c r="D3350" i="1"/>
  <c r="C3350" i="1"/>
  <c r="H3349" i="1"/>
  <c r="G3349" i="1"/>
  <c r="F3349" i="1"/>
  <c r="E3349" i="1"/>
  <c r="D3349" i="1"/>
  <c r="C3349" i="1"/>
  <c r="H3348" i="1"/>
  <c r="G3348" i="1"/>
  <c r="F3348" i="1"/>
  <c r="E3348" i="1"/>
  <c r="D3348" i="1"/>
  <c r="C3348" i="1"/>
  <c r="H3347" i="1"/>
  <c r="G3347" i="1"/>
  <c r="F3347" i="1"/>
  <c r="E3347" i="1"/>
  <c r="D3347" i="1"/>
  <c r="C3347" i="1"/>
  <c r="H3346" i="1"/>
  <c r="G3346" i="1"/>
  <c r="F3346" i="1"/>
  <c r="E3346" i="1"/>
  <c r="D3346" i="1"/>
  <c r="C3346" i="1"/>
  <c r="H3345" i="1"/>
  <c r="G3345" i="1"/>
  <c r="F3345" i="1"/>
  <c r="E3345" i="1"/>
  <c r="D3345" i="1"/>
  <c r="C3345" i="1"/>
  <c r="H3344" i="1"/>
  <c r="G3344" i="1"/>
  <c r="F3344" i="1"/>
  <c r="E3344" i="1"/>
  <c r="D3344" i="1"/>
  <c r="C3344" i="1"/>
  <c r="H3343" i="1"/>
  <c r="G3343" i="1"/>
  <c r="F3343" i="1"/>
  <c r="E3343" i="1"/>
  <c r="D3343" i="1"/>
  <c r="C3343" i="1"/>
  <c r="H3342" i="1"/>
  <c r="G3342" i="1"/>
  <c r="F3342" i="1"/>
  <c r="E3342" i="1"/>
  <c r="D3342" i="1"/>
  <c r="C3342" i="1"/>
  <c r="H3341" i="1"/>
  <c r="G3341" i="1"/>
  <c r="F3341" i="1"/>
  <c r="E3341" i="1"/>
  <c r="D3341" i="1"/>
  <c r="C3341" i="1"/>
  <c r="H3340" i="1"/>
  <c r="G3340" i="1"/>
  <c r="F3340" i="1"/>
  <c r="E3340" i="1"/>
  <c r="D3340" i="1"/>
  <c r="C3340" i="1"/>
  <c r="H3339" i="1"/>
  <c r="G3339" i="1"/>
  <c r="F3339" i="1"/>
  <c r="E3339" i="1"/>
  <c r="D3339" i="1"/>
  <c r="C3339" i="1"/>
  <c r="H3338" i="1"/>
  <c r="G3338" i="1"/>
  <c r="F3338" i="1"/>
  <c r="E3338" i="1"/>
  <c r="D3338" i="1"/>
  <c r="C3338" i="1"/>
  <c r="H3337" i="1"/>
  <c r="G3337" i="1"/>
  <c r="F3337" i="1"/>
  <c r="E3337" i="1"/>
  <c r="D3337" i="1"/>
  <c r="C3337" i="1"/>
  <c r="H3336" i="1"/>
  <c r="G3336" i="1"/>
  <c r="F3336" i="1"/>
  <c r="E3336" i="1"/>
  <c r="D3336" i="1"/>
  <c r="C3336" i="1"/>
  <c r="H3335" i="1"/>
  <c r="G3335" i="1"/>
  <c r="F3335" i="1"/>
  <c r="E3335" i="1"/>
  <c r="D3335" i="1"/>
  <c r="C3335" i="1"/>
  <c r="H3334" i="1"/>
  <c r="G3334" i="1"/>
  <c r="F3334" i="1"/>
  <c r="E3334" i="1"/>
  <c r="D3334" i="1"/>
  <c r="C3334" i="1"/>
  <c r="H3333" i="1"/>
  <c r="G3333" i="1"/>
  <c r="F3333" i="1"/>
  <c r="E3333" i="1"/>
  <c r="D3333" i="1"/>
  <c r="C3333" i="1"/>
  <c r="H3332" i="1"/>
  <c r="G3332" i="1"/>
  <c r="F3332" i="1"/>
  <c r="E3332" i="1"/>
  <c r="D3332" i="1"/>
  <c r="C3332" i="1"/>
  <c r="H3331" i="1"/>
  <c r="G3331" i="1"/>
  <c r="F3331" i="1"/>
  <c r="E3331" i="1"/>
  <c r="D3331" i="1"/>
  <c r="C3331" i="1"/>
  <c r="H3330" i="1"/>
  <c r="G3330" i="1"/>
  <c r="F3330" i="1"/>
  <c r="E3330" i="1"/>
  <c r="D3330" i="1"/>
  <c r="C3330" i="1"/>
  <c r="H3329" i="1"/>
  <c r="G3329" i="1"/>
  <c r="F3329" i="1"/>
  <c r="E3329" i="1"/>
  <c r="D3329" i="1"/>
  <c r="C3329" i="1"/>
  <c r="H3328" i="1"/>
  <c r="G3328" i="1"/>
  <c r="F3328" i="1"/>
  <c r="E3328" i="1"/>
  <c r="D3328" i="1"/>
  <c r="C3328" i="1"/>
  <c r="H3327" i="1"/>
  <c r="G3327" i="1"/>
  <c r="F3327" i="1"/>
  <c r="E3327" i="1"/>
  <c r="D3327" i="1"/>
  <c r="C3327" i="1"/>
  <c r="H3326" i="1"/>
  <c r="G3326" i="1"/>
  <c r="F3326" i="1"/>
  <c r="E3326" i="1"/>
  <c r="D3326" i="1"/>
  <c r="C3326" i="1"/>
  <c r="H3325" i="1"/>
  <c r="G3325" i="1"/>
  <c r="F3325" i="1"/>
  <c r="E3325" i="1"/>
  <c r="D3325" i="1"/>
  <c r="C3325" i="1"/>
  <c r="H3324" i="1"/>
  <c r="G3324" i="1"/>
  <c r="F3324" i="1"/>
  <c r="E3324" i="1"/>
  <c r="D3324" i="1"/>
  <c r="C3324" i="1"/>
  <c r="H3323" i="1"/>
  <c r="G3323" i="1"/>
  <c r="F3323" i="1"/>
  <c r="E3323" i="1"/>
  <c r="D3323" i="1"/>
  <c r="C3323" i="1"/>
  <c r="H3322" i="1"/>
  <c r="G3322" i="1"/>
  <c r="F3322" i="1"/>
  <c r="E3322" i="1"/>
  <c r="D3322" i="1"/>
  <c r="C3322" i="1"/>
  <c r="H3321" i="1"/>
  <c r="G3321" i="1"/>
  <c r="F3321" i="1"/>
  <c r="E3321" i="1"/>
  <c r="D3321" i="1"/>
  <c r="C3321" i="1"/>
  <c r="H3320" i="1"/>
  <c r="G3320" i="1"/>
  <c r="F3320" i="1"/>
  <c r="E3320" i="1"/>
  <c r="D3320" i="1"/>
  <c r="C3320" i="1"/>
  <c r="H3319" i="1"/>
  <c r="G3319" i="1"/>
  <c r="F3319" i="1"/>
  <c r="E3319" i="1"/>
  <c r="D3319" i="1"/>
  <c r="C3319" i="1"/>
  <c r="H3318" i="1"/>
  <c r="G3318" i="1"/>
  <c r="F3318" i="1"/>
  <c r="E3318" i="1"/>
  <c r="D3318" i="1"/>
  <c r="C3318" i="1"/>
  <c r="H3317" i="1"/>
  <c r="G3317" i="1"/>
  <c r="F3317" i="1"/>
  <c r="E3317" i="1"/>
  <c r="D3317" i="1"/>
  <c r="C3317" i="1"/>
  <c r="H3316" i="1"/>
  <c r="G3316" i="1"/>
  <c r="F3316" i="1"/>
  <c r="E3316" i="1"/>
  <c r="D3316" i="1"/>
  <c r="C3316" i="1"/>
  <c r="H3315" i="1"/>
  <c r="G3315" i="1"/>
  <c r="F3315" i="1"/>
  <c r="E3315" i="1"/>
  <c r="D3315" i="1"/>
  <c r="C3315" i="1"/>
  <c r="H3314" i="1"/>
  <c r="G3314" i="1"/>
  <c r="F3314" i="1"/>
  <c r="E3314" i="1"/>
  <c r="D3314" i="1"/>
  <c r="C3314" i="1"/>
  <c r="H3313" i="1"/>
  <c r="G3313" i="1"/>
  <c r="F3313" i="1"/>
  <c r="E3313" i="1"/>
  <c r="D3313" i="1"/>
  <c r="C3313" i="1"/>
  <c r="H3312" i="1"/>
  <c r="G3312" i="1"/>
  <c r="F3312" i="1"/>
  <c r="E3312" i="1"/>
  <c r="D3312" i="1"/>
  <c r="C3312" i="1"/>
  <c r="H3311" i="1"/>
  <c r="G3311" i="1"/>
  <c r="F3311" i="1"/>
  <c r="E3311" i="1"/>
  <c r="D3311" i="1"/>
  <c r="C3311" i="1"/>
  <c r="H3310" i="1"/>
  <c r="G3310" i="1"/>
  <c r="F3310" i="1"/>
  <c r="E3310" i="1"/>
  <c r="D3310" i="1"/>
  <c r="C3310" i="1"/>
  <c r="H3309" i="1"/>
  <c r="G3309" i="1"/>
  <c r="F3309" i="1"/>
  <c r="E3309" i="1"/>
  <c r="D3309" i="1"/>
  <c r="C3309" i="1"/>
  <c r="H3308" i="1"/>
  <c r="G3308" i="1"/>
  <c r="F3308" i="1"/>
  <c r="E3308" i="1"/>
  <c r="D3308" i="1"/>
  <c r="C3308" i="1"/>
  <c r="H3307" i="1"/>
  <c r="G3307" i="1"/>
  <c r="F3307" i="1"/>
  <c r="E3307" i="1"/>
  <c r="D3307" i="1"/>
  <c r="C3307" i="1"/>
  <c r="H3306" i="1"/>
  <c r="G3306" i="1"/>
  <c r="F3306" i="1"/>
  <c r="E3306" i="1"/>
  <c r="D3306" i="1"/>
  <c r="C3306" i="1"/>
  <c r="H3305" i="1"/>
  <c r="G3305" i="1"/>
  <c r="F3305" i="1"/>
  <c r="E3305" i="1"/>
  <c r="D3305" i="1"/>
  <c r="C3305" i="1"/>
  <c r="H3304" i="1"/>
  <c r="G3304" i="1"/>
  <c r="F3304" i="1"/>
  <c r="E3304" i="1"/>
  <c r="D3304" i="1"/>
  <c r="C3304" i="1"/>
  <c r="H3303" i="1"/>
  <c r="G3303" i="1"/>
  <c r="F3303" i="1"/>
  <c r="E3303" i="1"/>
  <c r="D3303" i="1"/>
  <c r="C3303" i="1"/>
  <c r="H3302" i="1"/>
  <c r="G3302" i="1"/>
  <c r="F3302" i="1"/>
  <c r="E3302" i="1"/>
  <c r="D3302" i="1"/>
  <c r="C3302" i="1"/>
  <c r="H3301" i="1"/>
  <c r="G3301" i="1"/>
  <c r="F3301" i="1"/>
  <c r="E3301" i="1"/>
  <c r="D3301" i="1"/>
  <c r="C3301" i="1"/>
  <c r="H3300" i="1"/>
  <c r="G3300" i="1"/>
  <c r="F3300" i="1"/>
  <c r="E3300" i="1"/>
  <c r="D3300" i="1"/>
  <c r="C3300" i="1"/>
  <c r="H3299" i="1"/>
  <c r="G3299" i="1"/>
  <c r="F3299" i="1"/>
  <c r="E3299" i="1"/>
  <c r="D3299" i="1"/>
  <c r="C3299" i="1"/>
  <c r="H3298" i="1"/>
  <c r="G3298" i="1"/>
  <c r="F3298" i="1"/>
  <c r="E3298" i="1"/>
  <c r="D3298" i="1"/>
  <c r="C3298" i="1"/>
  <c r="H3297" i="1"/>
  <c r="G3297" i="1"/>
  <c r="F3297" i="1"/>
  <c r="E3297" i="1"/>
  <c r="D3297" i="1"/>
  <c r="C3297" i="1"/>
  <c r="H3296" i="1"/>
  <c r="G3296" i="1"/>
  <c r="F3296" i="1"/>
  <c r="E3296" i="1"/>
  <c r="D3296" i="1"/>
  <c r="C3296" i="1"/>
  <c r="H3295" i="1"/>
  <c r="G3295" i="1"/>
  <c r="F3295" i="1"/>
  <c r="E3295" i="1"/>
  <c r="D3295" i="1"/>
  <c r="C3295" i="1"/>
  <c r="H3294" i="1"/>
  <c r="G3294" i="1"/>
  <c r="F3294" i="1"/>
  <c r="E3294" i="1"/>
  <c r="D3294" i="1"/>
  <c r="C3294" i="1"/>
  <c r="H3293" i="1"/>
  <c r="G3293" i="1"/>
  <c r="F3293" i="1"/>
  <c r="E3293" i="1"/>
  <c r="D3293" i="1"/>
  <c r="C3293" i="1"/>
  <c r="H3292" i="1"/>
  <c r="G3292" i="1"/>
  <c r="F3292" i="1"/>
  <c r="E3292" i="1"/>
  <c r="D3292" i="1"/>
  <c r="C3292" i="1"/>
  <c r="H3291" i="1"/>
  <c r="G3291" i="1"/>
  <c r="F3291" i="1"/>
  <c r="E3291" i="1"/>
  <c r="D3291" i="1"/>
  <c r="C3291" i="1"/>
  <c r="H3290" i="1"/>
  <c r="G3290" i="1"/>
  <c r="F3290" i="1"/>
  <c r="E3290" i="1"/>
  <c r="D3290" i="1"/>
  <c r="C3290" i="1"/>
  <c r="H3289" i="1"/>
  <c r="G3289" i="1"/>
  <c r="F3289" i="1"/>
  <c r="E3289" i="1"/>
  <c r="D3289" i="1"/>
  <c r="C3289" i="1"/>
  <c r="H3288" i="1"/>
  <c r="G3288" i="1"/>
  <c r="F3288" i="1"/>
  <c r="E3288" i="1"/>
  <c r="D3288" i="1"/>
  <c r="C3288" i="1"/>
  <c r="H3287" i="1"/>
  <c r="G3287" i="1"/>
  <c r="F3287" i="1"/>
  <c r="E3287" i="1"/>
  <c r="D3287" i="1"/>
  <c r="C3287" i="1"/>
  <c r="H3286" i="1"/>
  <c r="G3286" i="1"/>
  <c r="F3286" i="1"/>
  <c r="E3286" i="1"/>
  <c r="D3286" i="1"/>
  <c r="C3286" i="1"/>
  <c r="H3285" i="1"/>
  <c r="G3285" i="1"/>
  <c r="F3285" i="1"/>
  <c r="E3285" i="1"/>
  <c r="D3285" i="1"/>
  <c r="C3285" i="1"/>
  <c r="H3284" i="1"/>
  <c r="G3284" i="1"/>
  <c r="F3284" i="1"/>
  <c r="E3284" i="1"/>
  <c r="D3284" i="1"/>
  <c r="C3284" i="1"/>
  <c r="H3283" i="1"/>
  <c r="G3283" i="1"/>
  <c r="F3283" i="1"/>
  <c r="E3283" i="1"/>
  <c r="D3283" i="1"/>
  <c r="C3283" i="1"/>
  <c r="H3282" i="1"/>
  <c r="G3282" i="1"/>
  <c r="F3282" i="1"/>
  <c r="E3282" i="1"/>
  <c r="D3282" i="1"/>
  <c r="C3282" i="1"/>
  <c r="H3281" i="1"/>
  <c r="G3281" i="1"/>
  <c r="F3281" i="1"/>
  <c r="E3281" i="1"/>
  <c r="D3281" i="1"/>
  <c r="C3281" i="1"/>
  <c r="H3280" i="1"/>
  <c r="G3280" i="1"/>
  <c r="F3280" i="1"/>
  <c r="E3280" i="1"/>
  <c r="D3280" i="1"/>
  <c r="C3280" i="1"/>
  <c r="H3279" i="1"/>
  <c r="G3279" i="1"/>
  <c r="F3279" i="1"/>
  <c r="E3279" i="1"/>
  <c r="D3279" i="1"/>
  <c r="C3279" i="1"/>
  <c r="H3278" i="1"/>
  <c r="G3278" i="1"/>
  <c r="F3278" i="1"/>
  <c r="E3278" i="1"/>
  <c r="D3278" i="1"/>
  <c r="C3278" i="1"/>
  <c r="H3277" i="1"/>
  <c r="G3277" i="1"/>
  <c r="F3277" i="1"/>
  <c r="E3277" i="1"/>
  <c r="D3277" i="1"/>
  <c r="C3277" i="1"/>
  <c r="H3276" i="1"/>
  <c r="G3276" i="1"/>
  <c r="F3276" i="1"/>
  <c r="E3276" i="1"/>
  <c r="D3276" i="1"/>
  <c r="C3276" i="1"/>
  <c r="H3275" i="1"/>
  <c r="G3275" i="1"/>
  <c r="F3275" i="1"/>
  <c r="E3275" i="1"/>
  <c r="D3275" i="1"/>
  <c r="C3275" i="1"/>
  <c r="H3274" i="1"/>
  <c r="G3274" i="1"/>
  <c r="F3274" i="1"/>
  <c r="E3274" i="1"/>
  <c r="D3274" i="1"/>
  <c r="C3274" i="1"/>
  <c r="H3273" i="1"/>
  <c r="G3273" i="1"/>
  <c r="F3273" i="1"/>
  <c r="E3273" i="1"/>
  <c r="D3273" i="1"/>
  <c r="C3273" i="1"/>
  <c r="H3272" i="1"/>
  <c r="G3272" i="1"/>
  <c r="F3272" i="1"/>
  <c r="E3272" i="1"/>
  <c r="D3272" i="1"/>
  <c r="C3272" i="1"/>
  <c r="H3271" i="1"/>
  <c r="G3271" i="1"/>
  <c r="F3271" i="1"/>
  <c r="E3271" i="1"/>
  <c r="D3271" i="1"/>
  <c r="C3271" i="1"/>
  <c r="H3270" i="1"/>
  <c r="G3270" i="1"/>
  <c r="F3270" i="1"/>
  <c r="E3270" i="1"/>
  <c r="D3270" i="1"/>
  <c r="C3270" i="1"/>
  <c r="H3269" i="1"/>
  <c r="G3269" i="1"/>
  <c r="F3269" i="1"/>
  <c r="E3269" i="1"/>
  <c r="D3269" i="1"/>
  <c r="C3269" i="1"/>
  <c r="H3268" i="1"/>
  <c r="G3268" i="1"/>
  <c r="F3268" i="1"/>
  <c r="E3268" i="1"/>
  <c r="D3268" i="1"/>
  <c r="C3268" i="1"/>
  <c r="H3267" i="1"/>
  <c r="G3267" i="1"/>
  <c r="F3267" i="1"/>
  <c r="E3267" i="1"/>
  <c r="D3267" i="1"/>
  <c r="C3267" i="1"/>
  <c r="H3266" i="1"/>
  <c r="G3266" i="1"/>
  <c r="F3266" i="1"/>
  <c r="E3266" i="1"/>
  <c r="D3266" i="1"/>
  <c r="C3266" i="1"/>
  <c r="H3265" i="1"/>
  <c r="G3265" i="1"/>
  <c r="F3265" i="1"/>
  <c r="E3265" i="1"/>
  <c r="D3265" i="1"/>
  <c r="C3265" i="1"/>
  <c r="H3264" i="1"/>
  <c r="G3264" i="1"/>
  <c r="F3264" i="1"/>
  <c r="E3264" i="1"/>
  <c r="D3264" i="1"/>
  <c r="C3264" i="1"/>
  <c r="H3263" i="1"/>
  <c r="G3263" i="1"/>
  <c r="F3263" i="1"/>
  <c r="E3263" i="1"/>
  <c r="D3263" i="1"/>
  <c r="C3263" i="1"/>
  <c r="H3262" i="1"/>
  <c r="G3262" i="1"/>
  <c r="F3262" i="1"/>
  <c r="E3262" i="1"/>
  <c r="D3262" i="1"/>
  <c r="C3262" i="1"/>
  <c r="H3261" i="1"/>
  <c r="G3261" i="1"/>
  <c r="F3261" i="1"/>
  <c r="E3261" i="1"/>
  <c r="D3261" i="1"/>
  <c r="C3261" i="1"/>
  <c r="H3260" i="1"/>
  <c r="G3260" i="1"/>
  <c r="F3260" i="1"/>
  <c r="E3260" i="1"/>
  <c r="D3260" i="1"/>
  <c r="C3260" i="1"/>
  <c r="H3259" i="1"/>
  <c r="G3259" i="1"/>
  <c r="F3259" i="1"/>
  <c r="E3259" i="1"/>
  <c r="D3259" i="1"/>
  <c r="C3259" i="1"/>
  <c r="H3258" i="1"/>
  <c r="G3258" i="1"/>
  <c r="F3258" i="1"/>
  <c r="E3258" i="1"/>
  <c r="D3258" i="1"/>
  <c r="C3258" i="1"/>
  <c r="H3257" i="1"/>
  <c r="G3257" i="1"/>
  <c r="F3257" i="1"/>
  <c r="E3257" i="1"/>
  <c r="D3257" i="1"/>
  <c r="C3257" i="1"/>
  <c r="H3256" i="1"/>
  <c r="G3256" i="1"/>
  <c r="F3256" i="1"/>
  <c r="E3256" i="1"/>
  <c r="D3256" i="1"/>
  <c r="C3256" i="1"/>
  <c r="H3255" i="1"/>
  <c r="G3255" i="1"/>
  <c r="F3255" i="1"/>
  <c r="E3255" i="1"/>
  <c r="D3255" i="1"/>
  <c r="C3255" i="1"/>
  <c r="H3254" i="1"/>
  <c r="G3254" i="1"/>
  <c r="F3254" i="1"/>
  <c r="E3254" i="1"/>
  <c r="D3254" i="1"/>
  <c r="C3254" i="1"/>
  <c r="H3253" i="1"/>
  <c r="G3253" i="1"/>
  <c r="F3253" i="1"/>
  <c r="E3253" i="1"/>
  <c r="D3253" i="1"/>
  <c r="C3253" i="1"/>
  <c r="H3252" i="1"/>
  <c r="G3252" i="1"/>
  <c r="F3252" i="1"/>
  <c r="E3252" i="1"/>
  <c r="D3252" i="1"/>
  <c r="C3252" i="1"/>
  <c r="H3251" i="1"/>
  <c r="G3251" i="1"/>
  <c r="F3251" i="1"/>
  <c r="E3251" i="1"/>
  <c r="D3251" i="1"/>
  <c r="C3251" i="1"/>
  <c r="H3250" i="1"/>
  <c r="G3250" i="1"/>
  <c r="F3250" i="1"/>
  <c r="E3250" i="1"/>
  <c r="D3250" i="1"/>
  <c r="C3250" i="1"/>
  <c r="H3249" i="1"/>
  <c r="G3249" i="1"/>
  <c r="F3249" i="1"/>
  <c r="E3249" i="1"/>
  <c r="D3249" i="1"/>
  <c r="C3249" i="1"/>
  <c r="H3248" i="1"/>
  <c r="G3248" i="1"/>
  <c r="F3248" i="1"/>
  <c r="E3248" i="1"/>
  <c r="D3248" i="1"/>
  <c r="C3248" i="1"/>
  <c r="H3247" i="1"/>
  <c r="G3247" i="1"/>
  <c r="F3247" i="1"/>
  <c r="E3247" i="1"/>
  <c r="D3247" i="1"/>
  <c r="C3247" i="1"/>
  <c r="H3246" i="1"/>
  <c r="G3246" i="1"/>
  <c r="F3246" i="1"/>
  <c r="E3246" i="1"/>
  <c r="D3246" i="1"/>
  <c r="C3246" i="1"/>
  <c r="H3245" i="1"/>
  <c r="G3245" i="1"/>
  <c r="F3245" i="1"/>
  <c r="E3245" i="1"/>
  <c r="D3245" i="1"/>
  <c r="C3245" i="1"/>
  <c r="H3244" i="1"/>
  <c r="G3244" i="1"/>
  <c r="F3244" i="1"/>
  <c r="E3244" i="1"/>
  <c r="D3244" i="1"/>
  <c r="C3244" i="1"/>
  <c r="H3243" i="1"/>
  <c r="G3243" i="1"/>
  <c r="F3243" i="1"/>
  <c r="E3243" i="1"/>
  <c r="D3243" i="1"/>
  <c r="C3243" i="1"/>
  <c r="H3242" i="1"/>
  <c r="G3242" i="1"/>
  <c r="F3242" i="1"/>
  <c r="E3242" i="1"/>
  <c r="D3242" i="1"/>
  <c r="C3242" i="1"/>
  <c r="H3241" i="1"/>
  <c r="G3241" i="1"/>
  <c r="F3241" i="1"/>
  <c r="E3241" i="1"/>
  <c r="D3241" i="1"/>
  <c r="C3241" i="1"/>
  <c r="H3240" i="1"/>
  <c r="G3240" i="1"/>
  <c r="F3240" i="1"/>
  <c r="E3240" i="1"/>
  <c r="D3240" i="1"/>
  <c r="C3240" i="1"/>
  <c r="H3239" i="1"/>
  <c r="G3239" i="1"/>
  <c r="F3239" i="1"/>
  <c r="E3239" i="1"/>
  <c r="D3239" i="1"/>
  <c r="C3239" i="1"/>
  <c r="H3238" i="1"/>
  <c r="G3238" i="1"/>
  <c r="F3238" i="1"/>
  <c r="E3238" i="1"/>
  <c r="D3238" i="1"/>
  <c r="C3238" i="1"/>
  <c r="H3237" i="1"/>
  <c r="G3237" i="1"/>
  <c r="F3237" i="1"/>
  <c r="E3237" i="1"/>
  <c r="D3237" i="1"/>
  <c r="C3237" i="1"/>
  <c r="H3236" i="1"/>
  <c r="G3236" i="1"/>
  <c r="F3236" i="1"/>
  <c r="E3236" i="1"/>
  <c r="D3236" i="1"/>
  <c r="C3236" i="1"/>
  <c r="H3235" i="1"/>
  <c r="G3235" i="1"/>
  <c r="F3235" i="1"/>
  <c r="E3235" i="1"/>
  <c r="D3235" i="1"/>
  <c r="C3235" i="1"/>
  <c r="H3234" i="1"/>
  <c r="G3234" i="1"/>
  <c r="F3234" i="1"/>
  <c r="E3234" i="1"/>
  <c r="D3234" i="1"/>
  <c r="C3234" i="1"/>
  <c r="H3233" i="1"/>
  <c r="G3233" i="1"/>
  <c r="F3233" i="1"/>
  <c r="E3233" i="1"/>
  <c r="D3233" i="1"/>
  <c r="C3233" i="1"/>
  <c r="H3232" i="1"/>
  <c r="G3232" i="1"/>
  <c r="F3232" i="1"/>
  <c r="E3232" i="1"/>
  <c r="D3232" i="1"/>
  <c r="C3232" i="1"/>
  <c r="H3231" i="1"/>
  <c r="G3231" i="1"/>
  <c r="F3231" i="1"/>
  <c r="E3231" i="1"/>
  <c r="D3231" i="1"/>
  <c r="C3231" i="1"/>
  <c r="H3230" i="1"/>
  <c r="G3230" i="1"/>
  <c r="F3230" i="1"/>
  <c r="E3230" i="1"/>
  <c r="D3230" i="1"/>
  <c r="C3230" i="1"/>
  <c r="H3229" i="1"/>
  <c r="G3229" i="1"/>
  <c r="F3229" i="1"/>
  <c r="E3229" i="1"/>
  <c r="D3229" i="1"/>
  <c r="C3229" i="1"/>
  <c r="H3228" i="1"/>
  <c r="G3228" i="1"/>
  <c r="F3228" i="1"/>
  <c r="E3228" i="1"/>
  <c r="D3228" i="1"/>
  <c r="C3228" i="1"/>
  <c r="H3227" i="1"/>
  <c r="G3227" i="1"/>
  <c r="F3227" i="1"/>
  <c r="E3227" i="1"/>
  <c r="D3227" i="1"/>
  <c r="C3227" i="1"/>
  <c r="H3226" i="1"/>
  <c r="G3226" i="1"/>
  <c r="F3226" i="1"/>
  <c r="E3226" i="1"/>
  <c r="D3226" i="1"/>
  <c r="C3226" i="1"/>
  <c r="H3225" i="1"/>
  <c r="G3225" i="1"/>
  <c r="F3225" i="1"/>
  <c r="E3225" i="1"/>
  <c r="D3225" i="1"/>
  <c r="C3225" i="1"/>
  <c r="H3224" i="1"/>
  <c r="G3224" i="1"/>
  <c r="F3224" i="1"/>
  <c r="E3224" i="1"/>
  <c r="D3224" i="1"/>
  <c r="C3224" i="1"/>
  <c r="H3223" i="1"/>
  <c r="G3223" i="1"/>
  <c r="F3223" i="1"/>
  <c r="E3223" i="1"/>
  <c r="D3223" i="1"/>
  <c r="C3223" i="1"/>
  <c r="H3222" i="1"/>
  <c r="G3222" i="1"/>
  <c r="F3222" i="1"/>
  <c r="E3222" i="1"/>
  <c r="D3222" i="1"/>
  <c r="C3222" i="1"/>
  <c r="H3221" i="1"/>
  <c r="G3221" i="1"/>
  <c r="F3221" i="1"/>
  <c r="E3221" i="1"/>
  <c r="D3221" i="1"/>
  <c r="C3221" i="1"/>
  <c r="H3220" i="1"/>
  <c r="G3220" i="1"/>
  <c r="F3220" i="1"/>
  <c r="E3220" i="1"/>
  <c r="D3220" i="1"/>
  <c r="C3220" i="1"/>
  <c r="H3219" i="1"/>
  <c r="G3219" i="1"/>
  <c r="F3219" i="1"/>
  <c r="E3219" i="1"/>
  <c r="D3219" i="1"/>
  <c r="C3219" i="1"/>
  <c r="H3218" i="1"/>
  <c r="G3218" i="1"/>
  <c r="F3218" i="1"/>
  <c r="E3218" i="1"/>
  <c r="D3218" i="1"/>
  <c r="C3218" i="1"/>
  <c r="H3217" i="1"/>
  <c r="G3217" i="1"/>
  <c r="F3217" i="1"/>
  <c r="E3217" i="1"/>
  <c r="D3217" i="1"/>
  <c r="C3217" i="1"/>
  <c r="H3216" i="1"/>
  <c r="G3216" i="1"/>
  <c r="F3216" i="1"/>
  <c r="E3216" i="1"/>
  <c r="D3216" i="1"/>
  <c r="C3216" i="1"/>
  <c r="H3215" i="1"/>
  <c r="G3215" i="1"/>
  <c r="F3215" i="1"/>
  <c r="E3215" i="1"/>
  <c r="D3215" i="1"/>
  <c r="C3215" i="1"/>
  <c r="H3214" i="1"/>
  <c r="G3214" i="1"/>
  <c r="F3214" i="1"/>
  <c r="E3214" i="1"/>
  <c r="D3214" i="1"/>
  <c r="C3214" i="1"/>
  <c r="H3213" i="1"/>
  <c r="G3213" i="1"/>
  <c r="F3213" i="1"/>
  <c r="E3213" i="1"/>
  <c r="D3213" i="1"/>
  <c r="C3213" i="1"/>
  <c r="H3212" i="1"/>
  <c r="G3212" i="1"/>
  <c r="F3212" i="1"/>
  <c r="E3212" i="1"/>
  <c r="D3212" i="1"/>
  <c r="C3212" i="1"/>
  <c r="H3211" i="1"/>
  <c r="G3211" i="1"/>
  <c r="F3211" i="1"/>
  <c r="E3211" i="1"/>
  <c r="D3211" i="1"/>
  <c r="C3211" i="1"/>
  <c r="H3210" i="1"/>
  <c r="G3210" i="1"/>
  <c r="F3210" i="1"/>
  <c r="E3210" i="1"/>
  <c r="D3210" i="1"/>
  <c r="C3210" i="1"/>
  <c r="H3209" i="1"/>
  <c r="G3209" i="1"/>
  <c r="F3209" i="1"/>
  <c r="E3209" i="1"/>
  <c r="D3209" i="1"/>
  <c r="C3209" i="1"/>
  <c r="H3208" i="1"/>
  <c r="G3208" i="1"/>
  <c r="F3208" i="1"/>
  <c r="E3208" i="1"/>
  <c r="D3208" i="1"/>
  <c r="C3208" i="1"/>
  <c r="H3207" i="1"/>
  <c r="G3207" i="1"/>
  <c r="F3207" i="1"/>
  <c r="E3207" i="1"/>
  <c r="D3207" i="1"/>
  <c r="C3207" i="1"/>
  <c r="H3206" i="1"/>
  <c r="G3206" i="1"/>
  <c r="F3206" i="1"/>
  <c r="E3206" i="1"/>
  <c r="D3206" i="1"/>
  <c r="C3206" i="1"/>
  <c r="H3205" i="1"/>
  <c r="G3205" i="1"/>
  <c r="F3205" i="1"/>
  <c r="E3205" i="1"/>
  <c r="D3205" i="1"/>
  <c r="C3205" i="1"/>
  <c r="H3204" i="1"/>
  <c r="G3204" i="1"/>
  <c r="F3204" i="1"/>
  <c r="E3204" i="1"/>
  <c r="D3204" i="1"/>
  <c r="C3204" i="1"/>
  <c r="H3203" i="1"/>
  <c r="G3203" i="1"/>
  <c r="F3203" i="1"/>
  <c r="E3203" i="1"/>
  <c r="D3203" i="1"/>
  <c r="C3203" i="1"/>
  <c r="H3202" i="1"/>
  <c r="G3202" i="1"/>
  <c r="F3202" i="1"/>
  <c r="E3202" i="1"/>
  <c r="D3202" i="1"/>
  <c r="C3202" i="1"/>
  <c r="H3201" i="1"/>
  <c r="G3201" i="1"/>
  <c r="F3201" i="1"/>
  <c r="E3201" i="1"/>
  <c r="D3201" i="1"/>
  <c r="C3201" i="1"/>
  <c r="H3200" i="1"/>
  <c r="G3200" i="1"/>
  <c r="F3200" i="1"/>
  <c r="E3200" i="1"/>
  <c r="D3200" i="1"/>
  <c r="C3200" i="1"/>
  <c r="H3199" i="1"/>
  <c r="G3199" i="1"/>
  <c r="F3199" i="1"/>
  <c r="E3199" i="1"/>
  <c r="D3199" i="1"/>
  <c r="C3199" i="1"/>
  <c r="H3198" i="1"/>
  <c r="G3198" i="1"/>
  <c r="F3198" i="1"/>
  <c r="E3198" i="1"/>
  <c r="D3198" i="1"/>
  <c r="C3198" i="1"/>
  <c r="H3197" i="1"/>
  <c r="G3197" i="1"/>
  <c r="F3197" i="1"/>
  <c r="E3197" i="1"/>
  <c r="D3197" i="1"/>
  <c r="C3197" i="1"/>
  <c r="H3196" i="1"/>
  <c r="G3196" i="1"/>
  <c r="F3196" i="1"/>
  <c r="E3196" i="1"/>
  <c r="D3196" i="1"/>
  <c r="C3196" i="1"/>
  <c r="H3195" i="1"/>
  <c r="G3195" i="1"/>
  <c r="F3195" i="1"/>
  <c r="E3195" i="1"/>
  <c r="D3195" i="1"/>
  <c r="C3195" i="1"/>
  <c r="H3194" i="1"/>
  <c r="G3194" i="1"/>
  <c r="F3194" i="1"/>
  <c r="E3194" i="1"/>
  <c r="D3194" i="1"/>
  <c r="C3194" i="1"/>
  <c r="H3193" i="1"/>
  <c r="G3193" i="1"/>
  <c r="F3193" i="1"/>
  <c r="E3193" i="1"/>
  <c r="D3193" i="1"/>
  <c r="C3193" i="1"/>
  <c r="H3192" i="1"/>
  <c r="G3192" i="1"/>
  <c r="F3192" i="1"/>
  <c r="E3192" i="1"/>
  <c r="D3192" i="1"/>
  <c r="C3192" i="1"/>
  <c r="H3191" i="1"/>
  <c r="G3191" i="1"/>
  <c r="F3191" i="1"/>
  <c r="E3191" i="1"/>
  <c r="D3191" i="1"/>
  <c r="C3191" i="1"/>
  <c r="H3190" i="1"/>
  <c r="G3190" i="1"/>
  <c r="F3190" i="1"/>
  <c r="E3190" i="1"/>
  <c r="D3190" i="1"/>
  <c r="C3190" i="1"/>
  <c r="H3189" i="1"/>
  <c r="G3189" i="1"/>
  <c r="F3189" i="1"/>
  <c r="E3189" i="1"/>
  <c r="D3189" i="1"/>
  <c r="C3189" i="1"/>
  <c r="H3188" i="1"/>
  <c r="G3188" i="1"/>
  <c r="F3188" i="1"/>
  <c r="E3188" i="1"/>
  <c r="D3188" i="1"/>
  <c r="C3188" i="1"/>
  <c r="H3187" i="1"/>
  <c r="G3187" i="1"/>
  <c r="F3187" i="1"/>
  <c r="E3187" i="1"/>
  <c r="D3187" i="1"/>
  <c r="C3187" i="1"/>
  <c r="H3186" i="1"/>
  <c r="G3186" i="1"/>
  <c r="F3186" i="1"/>
  <c r="E3186" i="1"/>
  <c r="D3186" i="1"/>
  <c r="C3186" i="1"/>
  <c r="H3185" i="1"/>
  <c r="G3185" i="1"/>
  <c r="F3185" i="1"/>
  <c r="E3185" i="1"/>
  <c r="D3185" i="1"/>
  <c r="C3185" i="1"/>
  <c r="H3184" i="1"/>
  <c r="G3184" i="1"/>
  <c r="F3184" i="1"/>
  <c r="E3184" i="1"/>
  <c r="D3184" i="1"/>
  <c r="C3184" i="1"/>
  <c r="H3183" i="1"/>
  <c r="G3183" i="1"/>
  <c r="F3183" i="1"/>
  <c r="E3183" i="1"/>
  <c r="D3183" i="1"/>
  <c r="C3183" i="1"/>
  <c r="H3182" i="1"/>
  <c r="G3182" i="1"/>
  <c r="F3182" i="1"/>
  <c r="E3182" i="1"/>
  <c r="D3182" i="1"/>
  <c r="C3182" i="1"/>
  <c r="H3181" i="1"/>
  <c r="G3181" i="1"/>
  <c r="F3181" i="1"/>
  <c r="E3181" i="1"/>
  <c r="D3181" i="1"/>
  <c r="C3181" i="1"/>
  <c r="H3180" i="1"/>
  <c r="G3180" i="1"/>
  <c r="F3180" i="1"/>
  <c r="E3180" i="1"/>
  <c r="D3180" i="1"/>
  <c r="C3180" i="1"/>
  <c r="H3179" i="1"/>
  <c r="G3179" i="1"/>
  <c r="F3179" i="1"/>
  <c r="E3179" i="1"/>
  <c r="D3179" i="1"/>
  <c r="C3179" i="1"/>
  <c r="H3178" i="1"/>
  <c r="G3178" i="1"/>
  <c r="F3178" i="1"/>
  <c r="E3178" i="1"/>
  <c r="D3178" i="1"/>
  <c r="C3178" i="1"/>
  <c r="H3177" i="1"/>
  <c r="G3177" i="1"/>
  <c r="F3177" i="1"/>
  <c r="E3177" i="1"/>
  <c r="D3177" i="1"/>
  <c r="C3177" i="1"/>
  <c r="H3176" i="1"/>
  <c r="G3176" i="1"/>
  <c r="F3176" i="1"/>
  <c r="E3176" i="1"/>
  <c r="D3176" i="1"/>
  <c r="C3176" i="1"/>
  <c r="H3175" i="1"/>
  <c r="G3175" i="1"/>
  <c r="F3175" i="1"/>
  <c r="E3175" i="1"/>
  <c r="D3175" i="1"/>
  <c r="C3175" i="1"/>
  <c r="H3174" i="1"/>
  <c r="G3174" i="1"/>
  <c r="F3174" i="1"/>
  <c r="E3174" i="1"/>
  <c r="D3174" i="1"/>
  <c r="C3174" i="1"/>
  <c r="H3173" i="1"/>
  <c r="G3173" i="1"/>
  <c r="F3173" i="1"/>
  <c r="E3173" i="1"/>
  <c r="D3173" i="1"/>
  <c r="C3173" i="1"/>
  <c r="H3172" i="1"/>
  <c r="G3172" i="1"/>
  <c r="F3172" i="1"/>
  <c r="E3172" i="1"/>
  <c r="D3172" i="1"/>
  <c r="C3172" i="1"/>
  <c r="H3171" i="1"/>
  <c r="G3171" i="1"/>
  <c r="F3171" i="1"/>
  <c r="E3171" i="1"/>
  <c r="D3171" i="1"/>
  <c r="C3171" i="1"/>
  <c r="H3170" i="1"/>
  <c r="G3170" i="1"/>
  <c r="F3170" i="1"/>
  <c r="E3170" i="1"/>
  <c r="D3170" i="1"/>
  <c r="C3170" i="1"/>
  <c r="H3169" i="1"/>
  <c r="G3169" i="1"/>
  <c r="F3169" i="1"/>
  <c r="E3169" i="1"/>
  <c r="D3169" i="1"/>
  <c r="C3169" i="1"/>
  <c r="H3168" i="1"/>
  <c r="G3168" i="1"/>
  <c r="F3168" i="1"/>
  <c r="E3168" i="1"/>
  <c r="D3168" i="1"/>
  <c r="C3168" i="1"/>
  <c r="H3167" i="1"/>
  <c r="G3167" i="1"/>
  <c r="F3167" i="1"/>
  <c r="E3167" i="1"/>
  <c r="D3167" i="1"/>
  <c r="C3167" i="1"/>
  <c r="H3166" i="1"/>
  <c r="G3166" i="1"/>
  <c r="F3166" i="1"/>
  <c r="E3166" i="1"/>
  <c r="D3166" i="1"/>
  <c r="C3166" i="1"/>
  <c r="H3165" i="1"/>
  <c r="G3165" i="1"/>
  <c r="F3165" i="1"/>
  <c r="E3165" i="1"/>
  <c r="D3165" i="1"/>
  <c r="C3165" i="1"/>
  <c r="H3164" i="1"/>
  <c r="G3164" i="1"/>
  <c r="F3164" i="1"/>
  <c r="E3164" i="1"/>
  <c r="D3164" i="1"/>
  <c r="C3164" i="1"/>
  <c r="H3163" i="1"/>
  <c r="G3163" i="1"/>
  <c r="F3163" i="1"/>
  <c r="E3163" i="1"/>
  <c r="D3163" i="1"/>
  <c r="C3163" i="1"/>
  <c r="H3162" i="1"/>
  <c r="G3162" i="1"/>
  <c r="F3162" i="1"/>
  <c r="E3162" i="1"/>
  <c r="D3162" i="1"/>
  <c r="C3162" i="1"/>
  <c r="H3161" i="1"/>
  <c r="G3161" i="1"/>
  <c r="F3161" i="1"/>
  <c r="E3161" i="1"/>
  <c r="D3161" i="1"/>
  <c r="C3161" i="1"/>
  <c r="H3160" i="1"/>
  <c r="G3160" i="1"/>
  <c r="F3160" i="1"/>
  <c r="E3160" i="1"/>
  <c r="D3160" i="1"/>
  <c r="C3160" i="1"/>
  <c r="H3159" i="1"/>
  <c r="G3159" i="1"/>
  <c r="F3159" i="1"/>
  <c r="E3159" i="1"/>
  <c r="D3159" i="1"/>
  <c r="C3159" i="1"/>
  <c r="H3158" i="1"/>
  <c r="G3158" i="1"/>
  <c r="F3158" i="1"/>
  <c r="E3158" i="1"/>
  <c r="D3158" i="1"/>
  <c r="C3158" i="1"/>
  <c r="H3157" i="1"/>
  <c r="G3157" i="1"/>
  <c r="F3157" i="1"/>
  <c r="E3157" i="1"/>
  <c r="D3157" i="1"/>
  <c r="C3157" i="1"/>
  <c r="H3156" i="1"/>
  <c r="G3156" i="1"/>
  <c r="F3156" i="1"/>
  <c r="E3156" i="1"/>
  <c r="D3156" i="1"/>
  <c r="C3156" i="1"/>
  <c r="H3155" i="1"/>
  <c r="G3155" i="1"/>
  <c r="F3155" i="1"/>
  <c r="E3155" i="1"/>
  <c r="D3155" i="1"/>
  <c r="C3155" i="1"/>
  <c r="H3154" i="1"/>
  <c r="G3154" i="1"/>
  <c r="F3154" i="1"/>
  <c r="E3154" i="1"/>
  <c r="D3154" i="1"/>
  <c r="C3154" i="1"/>
  <c r="H3153" i="1"/>
  <c r="G3153" i="1"/>
  <c r="F3153" i="1"/>
  <c r="E3153" i="1"/>
  <c r="D3153" i="1"/>
  <c r="C3153" i="1"/>
  <c r="H3152" i="1"/>
  <c r="G3152" i="1"/>
  <c r="F3152" i="1"/>
  <c r="E3152" i="1"/>
  <c r="D3152" i="1"/>
  <c r="C3152" i="1"/>
  <c r="H3151" i="1"/>
  <c r="G3151" i="1"/>
  <c r="F3151" i="1"/>
  <c r="E3151" i="1"/>
  <c r="D3151" i="1"/>
  <c r="C3151" i="1"/>
  <c r="H3150" i="1"/>
  <c r="G3150" i="1"/>
  <c r="F3150" i="1"/>
  <c r="E3150" i="1"/>
  <c r="D3150" i="1"/>
  <c r="C3150" i="1"/>
  <c r="H3149" i="1"/>
  <c r="G3149" i="1"/>
  <c r="F3149" i="1"/>
  <c r="E3149" i="1"/>
  <c r="D3149" i="1"/>
  <c r="C3149" i="1"/>
  <c r="H3148" i="1"/>
  <c r="G3148" i="1"/>
  <c r="F3148" i="1"/>
  <c r="E3148" i="1"/>
  <c r="D3148" i="1"/>
  <c r="C3148" i="1"/>
  <c r="H3147" i="1"/>
  <c r="G3147" i="1"/>
  <c r="F3147" i="1"/>
  <c r="E3147" i="1"/>
  <c r="D3147" i="1"/>
  <c r="C3147" i="1"/>
  <c r="H3146" i="1"/>
  <c r="G3146" i="1"/>
  <c r="F3146" i="1"/>
  <c r="E3146" i="1"/>
  <c r="D3146" i="1"/>
  <c r="C3146" i="1"/>
  <c r="H3145" i="1"/>
  <c r="G3145" i="1"/>
  <c r="F3145" i="1"/>
  <c r="E3145" i="1"/>
  <c r="D3145" i="1"/>
  <c r="C3145" i="1"/>
  <c r="H3144" i="1"/>
  <c r="G3144" i="1"/>
  <c r="F3144" i="1"/>
  <c r="E3144" i="1"/>
  <c r="D3144" i="1"/>
  <c r="C3144" i="1"/>
  <c r="H3143" i="1"/>
  <c r="G3143" i="1"/>
  <c r="F3143" i="1"/>
  <c r="E3143" i="1"/>
  <c r="D3143" i="1"/>
  <c r="C3143" i="1"/>
  <c r="H3142" i="1"/>
  <c r="G3142" i="1"/>
  <c r="F3142" i="1"/>
  <c r="E3142" i="1"/>
  <c r="D3142" i="1"/>
  <c r="C3142" i="1"/>
  <c r="H3141" i="1"/>
  <c r="G3141" i="1"/>
  <c r="F3141" i="1"/>
  <c r="E3141" i="1"/>
  <c r="D3141" i="1"/>
  <c r="C3141" i="1"/>
  <c r="H3140" i="1"/>
  <c r="G3140" i="1"/>
  <c r="F3140" i="1"/>
  <c r="E3140" i="1"/>
  <c r="D3140" i="1"/>
  <c r="C3140" i="1"/>
  <c r="H3139" i="1"/>
  <c r="G3139" i="1"/>
  <c r="F3139" i="1"/>
  <c r="E3139" i="1"/>
  <c r="D3139" i="1"/>
  <c r="C3139" i="1"/>
  <c r="H3138" i="1"/>
  <c r="G3138" i="1"/>
  <c r="F3138" i="1"/>
  <c r="E3138" i="1"/>
  <c r="D3138" i="1"/>
  <c r="C3138" i="1"/>
  <c r="H3137" i="1"/>
  <c r="G3137" i="1"/>
  <c r="F3137" i="1"/>
  <c r="E3137" i="1"/>
  <c r="D3137" i="1"/>
  <c r="C3137" i="1"/>
  <c r="H3136" i="1"/>
  <c r="G3136" i="1"/>
  <c r="F3136" i="1"/>
  <c r="E3136" i="1"/>
  <c r="D3136" i="1"/>
  <c r="C3136" i="1"/>
  <c r="H3135" i="1"/>
  <c r="G3135" i="1"/>
  <c r="F3135" i="1"/>
  <c r="E3135" i="1"/>
  <c r="D3135" i="1"/>
  <c r="C3135" i="1"/>
  <c r="H3134" i="1"/>
  <c r="G3134" i="1"/>
  <c r="F3134" i="1"/>
  <c r="E3134" i="1"/>
  <c r="D3134" i="1"/>
  <c r="C3134" i="1"/>
  <c r="H3133" i="1"/>
  <c r="G3133" i="1"/>
  <c r="F3133" i="1"/>
  <c r="E3133" i="1"/>
  <c r="D3133" i="1"/>
  <c r="C3133" i="1"/>
  <c r="H3132" i="1"/>
  <c r="G3132" i="1"/>
  <c r="F3132" i="1"/>
  <c r="E3132" i="1"/>
  <c r="D3132" i="1"/>
  <c r="C3132" i="1"/>
  <c r="H3131" i="1"/>
  <c r="G3131" i="1"/>
  <c r="F3131" i="1"/>
  <c r="E3131" i="1"/>
  <c r="D3131" i="1"/>
  <c r="C3131" i="1"/>
  <c r="H3130" i="1"/>
  <c r="G3130" i="1"/>
  <c r="F3130" i="1"/>
  <c r="E3130" i="1"/>
  <c r="D3130" i="1"/>
  <c r="C3130" i="1"/>
  <c r="H3129" i="1"/>
  <c r="G3129" i="1"/>
  <c r="F3129" i="1"/>
  <c r="E3129" i="1"/>
  <c r="D3129" i="1"/>
  <c r="C3129" i="1"/>
  <c r="H3128" i="1"/>
  <c r="G3128" i="1"/>
  <c r="F3128" i="1"/>
  <c r="E3128" i="1"/>
  <c r="D3128" i="1"/>
  <c r="C3128" i="1"/>
  <c r="H3127" i="1"/>
  <c r="G3127" i="1"/>
  <c r="F3127" i="1"/>
  <c r="E3127" i="1"/>
  <c r="D3127" i="1"/>
  <c r="C3127" i="1"/>
  <c r="H3126" i="1"/>
  <c r="G3126" i="1"/>
  <c r="F3126" i="1"/>
  <c r="E3126" i="1"/>
  <c r="D3126" i="1"/>
  <c r="C3126" i="1"/>
  <c r="H3125" i="1"/>
  <c r="G3125" i="1"/>
  <c r="F3125" i="1"/>
  <c r="E3125" i="1"/>
  <c r="D3125" i="1"/>
  <c r="C3125" i="1"/>
  <c r="H3124" i="1"/>
  <c r="G3124" i="1"/>
  <c r="F3124" i="1"/>
  <c r="E3124" i="1"/>
  <c r="D3124" i="1"/>
  <c r="C3124" i="1"/>
  <c r="H3123" i="1"/>
  <c r="G3123" i="1"/>
  <c r="F3123" i="1"/>
  <c r="E3123" i="1"/>
  <c r="D3123" i="1"/>
  <c r="C3123" i="1"/>
  <c r="H3122" i="1"/>
  <c r="G3122" i="1"/>
  <c r="F3122" i="1"/>
  <c r="E3122" i="1"/>
  <c r="D3122" i="1"/>
  <c r="C3122" i="1"/>
  <c r="H3121" i="1"/>
  <c r="G3121" i="1"/>
  <c r="F3121" i="1"/>
  <c r="E3121" i="1"/>
  <c r="D3121" i="1"/>
  <c r="C3121" i="1"/>
  <c r="H3120" i="1"/>
  <c r="G3120" i="1"/>
  <c r="F3120" i="1"/>
  <c r="E3120" i="1"/>
  <c r="D3120" i="1"/>
  <c r="C3120" i="1"/>
  <c r="H3119" i="1"/>
  <c r="G3119" i="1"/>
  <c r="F3119" i="1"/>
  <c r="E3119" i="1"/>
  <c r="D3119" i="1"/>
  <c r="C3119" i="1"/>
  <c r="H3118" i="1"/>
  <c r="G3118" i="1"/>
  <c r="F3118" i="1"/>
  <c r="E3118" i="1"/>
  <c r="D3118" i="1"/>
  <c r="C3118" i="1"/>
  <c r="H3117" i="1"/>
  <c r="G3117" i="1"/>
  <c r="F3117" i="1"/>
  <c r="E3117" i="1"/>
  <c r="D3117" i="1"/>
  <c r="C3117" i="1"/>
  <c r="H3116" i="1"/>
  <c r="G3116" i="1"/>
  <c r="F3116" i="1"/>
  <c r="E3116" i="1"/>
  <c r="D3116" i="1"/>
  <c r="C3116" i="1"/>
  <c r="H3115" i="1"/>
  <c r="G3115" i="1"/>
  <c r="F3115" i="1"/>
  <c r="E3115" i="1"/>
  <c r="D3115" i="1"/>
  <c r="C3115" i="1"/>
  <c r="H3114" i="1"/>
  <c r="G3114" i="1"/>
  <c r="F3114" i="1"/>
  <c r="E3114" i="1"/>
  <c r="D3114" i="1"/>
  <c r="C3114" i="1"/>
  <c r="H3113" i="1"/>
  <c r="G3113" i="1"/>
  <c r="F3113" i="1"/>
  <c r="E3113" i="1"/>
  <c r="D3113" i="1"/>
  <c r="C3113" i="1"/>
  <c r="H3112" i="1"/>
  <c r="G3112" i="1"/>
  <c r="F3112" i="1"/>
  <c r="E3112" i="1"/>
  <c r="D3112" i="1"/>
  <c r="C3112" i="1"/>
  <c r="H3111" i="1"/>
  <c r="G3111" i="1"/>
  <c r="F3111" i="1"/>
  <c r="E3111" i="1"/>
  <c r="D3111" i="1"/>
  <c r="C3111" i="1"/>
  <c r="H3110" i="1"/>
  <c r="G3110" i="1"/>
  <c r="F3110" i="1"/>
  <c r="E3110" i="1"/>
  <c r="D3110" i="1"/>
  <c r="C3110" i="1"/>
  <c r="H3109" i="1"/>
  <c r="G3109" i="1"/>
  <c r="F3109" i="1"/>
  <c r="E3109" i="1"/>
  <c r="D3109" i="1"/>
  <c r="C3109" i="1"/>
  <c r="H3108" i="1"/>
  <c r="G3108" i="1"/>
  <c r="F3108" i="1"/>
  <c r="E3108" i="1"/>
  <c r="D3108" i="1"/>
  <c r="C3108" i="1"/>
  <c r="H3107" i="1"/>
  <c r="G3107" i="1"/>
  <c r="F3107" i="1"/>
  <c r="E3107" i="1"/>
  <c r="D3107" i="1"/>
  <c r="C3107" i="1"/>
  <c r="H3106" i="1"/>
  <c r="G3106" i="1"/>
  <c r="F3106" i="1"/>
  <c r="E3106" i="1"/>
  <c r="D3106" i="1"/>
  <c r="C3106" i="1"/>
  <c r="H3105" i="1"/>
  <c r="G3105" i="1"/>
  <c r="F3105" i="1"/>
  <c r="E3105" i="1"/>
  <c r="D3105" i="1"/>
  <c r="C3105" i="1"/>
  <c r="H3104" i="1"/>
  <c r="G3104" i="1"/>
  <c r="F3104" i="1"/>
  <c r="E3104" i="1"/>
  <c r="D3104" i="1"/>
  <c r="C3104" i="1"/>
  <c r="H3103" i="1"/>
  <c r="G3103" i="1"/>
  <c r="F3103" i="1"/>
  <c r="E3103" i="1"/>
  <c r="D3103" i="1"/>
  <c r="C3103" i="1"/>
  <c r="H3102" i="1"/>
  <c r="G3102" i="1"/>
  <c r="F3102" i="1"/>
  <c r="E3102" i="1"/>
  <c r="D3102" i="1"/>
  <c r="C3102" i="1"/>
  <c r="H3101" i="1"/>
  <c r="G3101" i="1"/>
  <c r="F3101" i="1"/>
  <c r="E3101" i="1"/>
  <c r="D3101" i="1"/>
  <c r="C3101" i="1"/>
  <c r="H3100" i="1"/>
  <c r="G3100" i="1"/>
  <c r="F3100" i="1"/>
  <c r="E3100" i="1"/>
  <c r="D3100" i="1"/>
  <c r="C3100" i="1"/>
  <c r="H3099" i="1"/>
  <c r="G3099" i="1"/>
  <c r="F3099" i="1"/>
  <c r="E3099" i="1"/>
  <c r="D3099" i="1"/>
  <c r="C3099" i="1"/>
  <c r="H3098" i="1"/>
  <c r="G3098" i="1"/>
  <c r="F3098" i="1"/>
  <c r="E3098" i="1"/>
  <c r="D3098" i="1"/>
  <c r="C3098" i="1"/>
  <c r="H3097" i="1"/>
  <c r="G3097" i="1"/>
  <c r="F3097" i="1"/>
  <c r="E3097" i="1"/>
  <c r="D3097" i="1"/>
  <c r="C3097" i="1"/>
  <c r="H3096" i="1"/>
  <c r="G3096" i="1"/>
  <c r="F3096" i="1"/>
  <c r="E3096" i="1"/>
  <c r="D3096" i="1"/>
  <c r="C3096" i="1"/>
  <c r="H3095" i="1"/>
  <c r="G3095" i="1"/>
  <c r="F3095" i="1"/>
  <c r="E3095" i="1"/>
  <c r="D3095" i="1"/>
  <c r="C3095" i="1"/>
  <c r="H3094" i="1"/>
  <c r="G3094" i="1"/>
  <c r="F3094" i="1"/>
  <c r="E3094" i="1"/>
  <c r="D3094" i="1"/>
  <c r="C3094" i="1"/>
  <c r="H3093" i="1"/>
  <c r="G3093" i="1"/>
  <c r="F3093" i="1"/>
  <c r="E3093" i="1"/>
  <c r="D3093" i="1"/>
  <c r="C3093" i="1"/>
  <c r="H3092" i="1"/>
  <c r="G3092" i="1"/>
  <c r="F3092" i="1"/>
  <c r="E3092" i="1"/>
  <c r="D3092" i="1"/>
  <c r="C3092" i="1"/>
  <c r="H3091" i="1"/>
  <c r="G3091" i="1"/>
  <c r="F3091" i="1"/>
  <c r="E3091" i="1"/>
  <c r="D3091" i="1"/>
  <c r="C3091" i="1"/>
  <c r="H3090" i="1"/>
  <c r="G3090" i="1"/>
  <c r="F3090" i="1"/>
  <c r="E3090" i="1"/>
  <c r="D3090" i="1"/>
  <c r="C3090" i="1"/>
  <c r="H3089" i="1"/>
  <c r="G3089" i="1"/>
  <c r="F3089" i="1"/>
  <c r="E3089" i="1"/>
  <c r="D3089" i="1"/>
  <c r="C3089" i="1"/>
  <c r="H3088" i="1"/>
  <c r="G3088" i="1"/>
  <c r="F3088" i="1"/>
  <c r="E3088" i="1"/>
  <c r="D3088" i="1"/>
  <c r="C3088" i="1"/>
  <c r="H3087" i="1"/>
  <c r="G3087" i="1"/>
  <c r="F3087" i="1"/>
  <c r="E3087" i="1"/>
  <c r="D3087" i="1"/>
  <c r="C3087" i="1"/>
  <c r="H3086" i="1"/>
  <c r="G3086" i="1"/>
  <c r="F3086" i="1"/>
  <c r="E3086" i="1"/>
  <c r="D3086" i="1"/>
  <c r="C3086" i="1"/>
  <c r="H3085" i="1"/>
  <c r="G3085" i="1"/>
  <c r="F3085" i="1"/>
  <c r="E3085" i="1"/>
  <c r="D3085" i="1"/>
  <c r="C3085" i="1"/>
  <c r="H3084" i="1"/>
  <c r="G3084" i="1"/>
  <c r="F3084" i="1"/>
  <c r="E3084" i="1"/>
  <c r="D3084" i="1"/>
  <c r="C3084" i="1"/>
  <c r="H3083" i="1"/>
  <c r="G3083" i="1"/>
  <c r="F3083" i="1"/>
  <c r="E3083" i="1"/>
  <c r="D3083" i="1"/>
  <c r="C3083" i="1"/>
  <c r="H3082" i="1"/>
  <c r="G3082" i="1"/>
  <c r="F3082" i="1"/>
  <c r="E3082" i="1"/>
  <c r="D3082" i="1"/>
  <c r="C3082" i="1"/>
  <c r="H3081" i="1"/>
  <c r="G3081" i="1"/>
  <c r="F3081" i="1"/>
  <c r="E3081" i="1"/>
  <c r="D3081" i="1"/>
  <c r="C3081" i="1"/>
  <c r="H3080" i="1"/>
  <c r="G3080" i="1"/>
  <c r="F3080" i="1"/>
  <c r="E3080" i="1"/>
  <c r="D3080" i="1"/>
  <c r="C3080" i="1"/>
  <c r="H3079" i="1"/>
  <c r="G3079" i="1"/>
  <c r="F3079" i="1"/>
  <c r="E3079" i="1"/>
  <c r="D3079" i="1"/>
  <c r="C3079" i="1"/>
  <c r="H3078" i="1"/>
  <c r="G3078" i="1"/>
  <c r="F3078" i="1"/>
  <c r="E3078" i="1"/>
  <c r="D3078" i="1"/>
  <c r="C3078" i="1"/>
  <c r="H3077" i="1"/>
  <c r="G3077" i="1"/>
  <c r="F3077" i="1"/>
  <c r="E3077" i="1"/>
  <c r="D3077" i="1"/>
  <c r="C3077" i="1"/>
  <c r="H3076" i="1"/>
  <c r="G3076" i="1"/>
  <c r="F3076" i="1"/>
  <c r="E3076" i="1"/>
  <c r="D3076" i="1"/>
  <c r="C3076" i="1"/>
  <c r="H3075" i="1"/>
  <c r="G3075" i="1"/>
  <c r="F3075" i="1"/>
  <c r="E3075" i="1"/>
  <c r="D3075" i="1"/>
  <c r="C3075" i="1"/>
  <c r="H3074" i="1"/>
  <c r="G3074" i="1"/>
  <c r="F3074" i="1"/>
  <c r="E3074" i="1"/>
  <c r="D3074" i="1"/>
  <c r="C3074" i="1"/>
  <c r="H3073" i="1"/>
  <c r="G3073" i="1"/>
  <c r="F3073" i="1"/>
  <c r="E3073" i="1"/>
  <c r="D3073" i="1"/>
  <c r="C3073" i="1"/>
  <c r="H3072" i="1"/>
  <c r="G3072" i="1"/>
  <c r="F3072" i="1"/>
  <c r="E3072" i="1"/>
  <c r="D3072" i="1"/>
  <c r="C3072" i="1"/>
  <c r="H3071" i="1"/>
  <c r="G3071" i="1"/>
  <c r="F3071" i="1"/>
  <c r="E3071" i="1"/>
  <c r="D3071" i="1"/>
  <c r="C3071" i="1"/>
  <c r="H3070" i="1"/>
  <c r="G3070" i="1"/>
  <c r="F3070" i="1"/>
  <c r="E3070" i="1"/>
  <c r="D3070" i="1"/>
  <c r="C3070" i="1"/>
  <c r="H3069" i="1"/>
  <c r="G3069" i="1"/>
  <c r="F3069" i="1"/>
  <c r="E3069" i="1"/>
  <c r="D3069" i="1"/>
  <c r="C3069" i="1"/>
  <c r="H3068" i="1"/>
  <c r="G3068" i="1"/>
  <c r="F3068" i="1"/>
  <c r="E3068" i="1"/>
  <c r="D3068" i="1"/>
  <c r="C3068" i="1"/>
  <c r="H3067" i="1"/>
  <c r="G3067" i="1"/>
  <c r="F3067" i="1"/>
  <c r="E3067" i="1"/>
  <c r="D3067" i="1"/>
  <c r="C3067" i="1"/>
  <c r="H3066" i="1"/>
  <c r="G3066" i="1"/>
  <c r="F3066" i="1"/>
  <c r="E3066" i="1"/>
  <c r="D3066" i="1"/>
  <c r="C3066" i="1"/>
  <c r="H3065" i="1"/>
  <c r="G3065" i="1"/>
  <c r="F3065" i="1"/>
  <c r="E3065" i="1"/>
  <c r="D3065" i="1"/>
  <c r="C3065" i="1"/>
  <c r="H3064" i="1"/>
  <c r="G3064" i="1"/>
  <c r="F3064" i="1"/>
  <c r="E3064" i="1"/>
  <c r="D3064" i="1"/>
  <c r="C3064" i="1"/>
  <c r="H3063" i="1"/>
  <c r="G3063" i="1"/>
  <c r="F3063" i="1"/>
  <c r="E3063" i="1"/>
  <c r="D3063" i="1"/>
  <c r="C3063" i="1"/>
  <c r="H3062" i="1"/>
  <c r="G3062" i="1"/>
  <c r="F3062" i="1"/>
  <c r="E3062" i="1"/>
  <c r="D3062" i="1"/>
  <c r="C3062" i="1"/>
  <c r="H3061" i="1"/>
  <c r="G3061" i="1"/>
  <c r="F3061" i="1"/>
  <c r="E3061" i="1"/>
  <c r="D3061" i="1"/>
  <c r="C3061" i="1"/>
  <c r="H3060" i="1"/>
  <c r="G3060" i="1"/>
  <c r="F3060" i="1"/>
  <c r="E3060" i="1"/>
  <c r="D3060" i="1"/>
  <c r="C3060" i="1"/>
  <c r="H3059" i="1"/>
  <c r="G3059" i="1"/>
  <c r="F3059" i="1"/>
  <c r="E3059" i="1"/>
  <c r="D3059" i="1"/>
  <c r="C3059" i="1"/>
  <c r="H3058" i="1"/>
  <c r="G3058" i="1"/>
  <c r="F3058" i="1"/>
  <c r="E3058" i="1"/>
  <c r="D3058" i="1"/>
  <c r="C3058" i="1"/>
  <c r="H3057" i="1"/>
  <c r="G3057" i="1"/>
  <c r="F3057" i="1"/>
  <c r="E3057" i="1"/>
  <c r="D3057" i="1"/>
  <c r="C3057" i="1"/>
  <c r="H3056" i="1"/>
  <c r="G3056" i="1"/>
  <c r="F3056" i="1"/>
  <c r="E3056" i="1"/>
  <c r="D3056" i="1"/>
  <c r="C3056" i="1"/>
  <c r="H3055" i="1"/>
  <c r="G3055" i="1"/>
  <c r="F3055" i="1"/>
  <c r="E3055" i="1"/>
  <c r="D3055" i="1"/>
  <c r="C3055" i="1"/>
  <c r="H3054" i="1"/>
  <c r="G3054" i="1"/>
  <c r="F3054" i="1"/>
  <c r="E3054" i="1"/>
  <c r="D3054" i="1"/>
  <c r="C3054" i="1"/>
  <c r="H3053" i="1"/>
  <c r="G3053" i="1"/>
  <c r="F3053" i="1"/>
  <c r="E3053" i="1"/>
  <c r="D3053" i="1"/>
  <c r="C3053" i="1"/>
  <c r="H3052" i="1"/>
  <c r="G3052" i="1"/>
  <c r="F3052" i="1"/>
  <c r="E3052" i="1"/>
  <c r="D3052" i="1"/>
  <c r="C3052" i="1"/>
  <c r="H3051" i="1"/>
  <c r="G3051" i="1"/>
  <c r="F3051" i="1"/>
  <c r="E3051" i="1"/>
  <c r="D3051" i="1"/>
  <c r="C3051" i="1"/>
  <c r="H3050" i="1"/>
  <c r="G3050" i="1"/>
  <c r="F3050" i="1"/>
  <c r="E3050" i="1"/>
  <c r="D3050" i="1"/>
  <c r="C3050" i="1"/>
  <c r="H3049" i="1"/>
  <c r="G3049" i="1"/>
  <c r="F3049" i="1"/>
  <c r="E3049" i="1"/>
  <c r="D3049" i="1"/>
  <c r="C3049" i="1"/>
  <c r="H3048" i="1"/>
  <c r="G3048" i="1"/>
  <c r="F3048" i="1"/>
  <c r="E3048" i="1"/>
  <c r="D3048" i="1"/>
  <c r="C3048" i="1"/>
  <c r="H3047" i="1"/>
  <c r="G3047" i="1"/>
  <c r="F3047" i="1"/>
  <c r="E3047" i="1"/>
  <c r="D3047" i="1"/>
  <c r="C3047" i="1"/>
  <c r="H3046" i="1"/>
  <c r="G3046" i="1"/>
  <c r="F3046" i="1"/>
  <c r="E3046" i="1"/>
  <c r="D3046" i="1"/>
  <c r="C3046" i="1"/>
  <c r="H3045" i="1"/>
  <c r="G3045" i="1"/>
  <c r="F3045" i="1"/>
  <c r="E3045" i="1"/>
  <c r="D3045" i="1"/>
  <c r="C3045" i="1"/>
  <c r="H3044" i="1"/>
  <c r="G3044" i="1"/>
  <c r="F3044" i="1"/>
  <c r="E3044" i="1"/>
  <c r="D3044" i="1"/>
  <c r="C3044" i="1"/>
  <c r="H3043" i="1"/>
  <c r="G3043" i="1"/>
  <c r="F3043" i="1"/>
  <c r="E3043" i="1"/>
  <c r="D3043" i="1"/>
  <c r="C3043" i="1"/>
  <c r="H3042" i="1"/>
  <c r="G3042" i="1"/>
  <c r="F3042" i="1"/>
  <c r="E3042" i="1"/>
  <c r="D3042" i="1"/>
  <c r="C3042" i="1"/>
  <c r="H3041" i="1"/>
  <c r="G3041" i="1"/>
  <c r="F3041" i="1"/>
  <c r="E3041" i="1"/>
  <c r="D3041" i="1"/>
  <c r="C3041" i="1"/>
  <c r="H3040" i="1"/>
  <c r="G3040" i="1"/>
  <c r="F3040" i="1"/>
  <c r="E3040" i="1"/>
  <c r="D3040" i="1"/>
  <c r="C3040" i="1"/>
  <c r="H3039" i="1"/>
  <c r="G3039" i="1"/>
  <c r="F3039" i="1"/>
  <c r="E3039" i="1"/>
  <c r="D3039" i="1"/>
  <c r="C3039" i="1"/>
  <c r="H3038" i="1"/>
  <c r="G3038" i="1"/>
  <c r="F3038" i="1"/>
  <c r="E3038" i="1"/>
  <c r="D3038" i="1"/>
  <c r="C3038" i="1"/>
  <c r="H3037" i="1"/>
  <c r="G3037" i="1"/>
  <c r="F3037" i="1"/>
  <c r="E3037" i="1"/>
  <c r="D3037" i="1"/>
  <c r="C3037" i="1"/>
  <c r="H3036" i="1"/>
  <c r="G3036" i="1"/>
  <c r="F3036" i="1"/>
  <c r="E3036" i="1"/>
  <c r="D3036" i="1"/>
  <c r="C3036" i="1"/>
  <c r="H3035" i="1"/>
  <c r="G3035" i="1"/>
  <c r="F3035" i="1"/>
  <c r="E3035" i="1"/>
  <c r="D3035" i="1"/>
  <c r="C3035" i="1"/>
  <c r="H3034" i="1"/>
  <c r="G3034" i="1"/>
  <c r="F3034" i="1"/>
  <c r="E3034" i="1"/>
  <c r="D3034" i="1"/>
  <c r="C3034" i="1"/>
  <c r="H3033" i="1"/>
  <c r="G3033" i="1"/>
  <c r="F3033" i="1"/>
  <c r="E3033" i="1"/>
  <c r="D3033" i="1"/>
  <c r="C3033" i="1"/>
  <c r="H3032" i="1"/>
  <c r="G3032" i="1"/>
  <c r="F3032" i="1"/>
  <c r="E3032" i="1"/>
  <c r="D3032" i="1"/>
  <c r="C3032" i="1"/>
  <c r="H3031" i="1"/>
  <c r="G3031" i="1"/>
  <c r="F3031" i="1"/>
  <c r="E3031" i="1"/>
  <c r="D3031" i="1"/>
  <c r="C3031" i="1"/>
  <c r="H3030" i="1"/>
  <c r="G3030" i="1"/>
  <c r="F3030" i="1"/>
  <c r="E3030" i="1"/>
  <c r="D3030" i="1"/>
  <c r="C3030" i="1"/>
  <c r="H3029" i="1"/>
  <c r="G3029" i="1"/>
  <c r="F3029" i="1"/>
  <c r="E3029" i="1"/>
  <c r="D3029" i="1"/>
  <c r="C3029" i="1"/>
  <c r="H3028" i="1"/>
  <c r="G3028" i="1"/>
  <c r="F3028" i="1"/>
  <c r="E3028" i="1"/>
  <c r="D3028" i="1"/>
  <c r="C3028" i="1"/>
  <c r="H3027" i="1"/>
  <c r="G3027" i="1"/>
  <c r="F3027" i="1"/>
  <c r="E3027" i="1"/>
  <c r="D3027" i="1"/>
  <c r="C3027" i="1"/>
  <c r="H3026" i="1"/>
  <c r="G3026" i="1"/>
  <c r="F3026" i="1"/>
  <c r="E3026" i="1"/>
  <c r="D3026" i="1"/>
  <c r="C3026" i="1"/>
  <c r="H3025" i="1"/>
  <c r="G3025" i="1"/>
  <c r="F3025" i="1"/>
  <c r="E3025" i="1"/>
  <c r="D3025" i="1"/>
  <c r="C3025" i="1"/>
  <c r="H3024" i="1"/>
  <c r="G3024" i="1"/>
  <c r="F3024" i="1"/>
  <c r="E3024" i="1"/>
  <c r="D3024" i="1"/>
  <c r="C3024" i="1"/>
  <c r="H3023" i="1"/>
  <c r="G3023" i="1"/>
  <c r="F3023" i="1"/>
  <c r="E3023" i="1"/>
  <c r="D3023" i="1"/>
  <c r="C3023" i="1"/>
  <c r="H3022" i="1"/>
  <c r="G3022" i="1"/>
  <c r="F3022" i="1"/>
  <c r="E3022" i="1"/>
  <c r="D3022" i="1"/>
  <c r="C3022" i="1"/>
  <c r="H3021" i="1"/>
  <c r="G3021" i="1"/>
  <c r="F3021" i="1"/>
  <c r="E3021" i="1"/>
  <c r="D3021" i="1"/>
  <c r="C3021" i="1"/>
  <c r="H3020" i="1"/>
  <c r="G3020" i="1"/>
  <c r="F3020" i="1"/>
  <c r="E3020" i="1"/>
  <c r="D3020" i="1"/>
  <c r="C3020" i="1"/>
  <c r="H3019" i="1"/>
  <c r="G3019" i="1"/>
  <c r="F3019" i="1"/>
  <c r="E3019" i="1"/>
  <c r="D3019" i="1"/>
  <c r="C3019" i="1"/>
  <c r="H3018" i="1"/>
  <c r="G3018" i="1"/>
  <c r="F3018" i="1"/>
  <c r="E3018" i="1"/>
  <c r="D3018" i="1"/>
  <c r="C3018" i="1"/>
  <c r="H3017" i="1"/>
  <c r="G3017" i="1"/>
  <c r="F3017" i="1"/>
  <c r="E3017" i="1"/>
  <c r="D3017" i="1"/>
  <c r="C3017" i="1"/>
  <c r="H3016" i="1"/>
  <c r="G3016" i="1"/>
  <c r="F3016" i="1"/>
  <c r="E3016" i="1"/>
  <c r="D3016" i="1"/>
  <c r="C3016" i="1"/>
  <c r="H3015" i="1"/>
  <c r="G3015" i="1"/>
  <c r="F3015" i="1"/>
  <c r="E3015" i="1"/>
  <c r="D3015" i="1"/>
  <c r="C3015" i="1"/>
  <c r="H3014" i="1"/>
  <c r="G3014" i="1"/>
  <c r="F3014" i="1"/>
  <c r="E3014" i="1"/>
  <c r="D3014" i="1"/>
  <c r="C3014" i="1"/>
  <c r="H3013" i="1"/>
  <c r="G3013" i="1"/>
  <c r="F3013" i="1"/>
  <c r="E3013" i="1"/>
  <c r="D3013" i="1"/>
  <c r="C3013" i="1"/>
  <c r="H3012" i="1"/>
  <c r="G3012" i="1"/>
  <c r="F3012" i="1"/>
  <c r="E3012" i="1"/>
  <c r="D3012" i="1"/>
  <c r="C3012" i="1"/>
  <c r="H3011" i="1"/>
  <c r="G3011" i="1"/>
  <c r="F3011" i="1"/>
  <c r="E3011" i="1"/>
  <c r="D3011" i="1"/>
  <c r="C3011" i="1"/>
  <c r="H3010" i="1"/>
  <c r="G3010" i="1"/>
  <c r="F3010" i="1"/>
  <c r="E3010" i="1"/>
  <c r="D3010" i="1"/>
  <c r="C3010" i="1"/>
  <c r="H3009" i="1"/>
  <c r="G3009" i="1"/>
  <c r="F3009" i="1"/>
  <c r="E3009" i="1"/>
  <c r="D3009" i="1"/>
  <c r="C3009" i="1"/>
  <c r="H3008" i="1"/>
  <c r="G3008" i="1"/>
  <c r="F3008" i="1"/>
  <c r="E3008" i="1"/>
  <c r="D3008" i="1"/>
  <c r="C3008" i="1"/>
  <c r="H3007" i="1"/>
  <c r="G3007" i="1"/>
  <c r="F3007" i="1"/>
  <c r="E3007" i="1"/>
  <c r="D3007" i="1"/>
  <c r="C3007" i="1"/>
  <c r="H3006" i="1"/>
  <c r="G3006" i="1"/>
  <c r="F3006" i="1"/>
  <c r="E3006" i="1"/>
  <c r="D3006" i="1"/>
  <c r="C3006" i="1"/>
  <c r="H3005" i="1"/>
  <c r="G3005" i="1"/>
  <c r="F3005" i="1"/>
  <c r="E3005" i="1"/>
  <c r="D3005" i="1"/>
  <c r="C3005" i="1"/>
  <c r="H3004" i="1"/>
  <c r="G3004" i="1"/>
  <c r="F3004" i="1"/>
  <c r="E3004" i="1"/>
  <c r="D3004" i="1"/>
  <c r="C3004" i="1"/>
  <c r="H3003" i="1"/>
  <c r="G3003" i="1"/>
  <c r="F3003" i="1"/>
  <c r="E3003" i="1"/>
  <c r="D3003" i="1"/>
  <c r="C3003" i="1"/>
  <c r="H3002" i="1"/>
  <c r="G3002" i="1"/>
  <c r="F3002" i="1"/>
  <c r="E3002" i="1"/>
  <c r="D3002" i="1"/>
  <c r="C3002" i="1"/>
  <c r="H3001" i="1"/>
  <c r="G3001" i="1"/>
  <c r="F3001" i="1"/>
  <c r="E3001" i="1"/>
  <c r="D3001" i="1"/>
  <c r="C3001" i="1"/>
  <c r="H3000" i="1"/>
  <c r="G3000" i="1"/>
  <c r="F3000" i="1"/>
  <c r="E3000" i="1"/>
  <c r="D3000" i="1"/>
  <c r="C3000" i="1"/>
  <c r="H2999" i="1"/>
  <c r="G2999" i="1"/>
  <c r="F2999" i="1"/>
  <c r="E2999" i="1"/>
  <c r="D2999" i="1"/>
  <c r="C2999" i="1"/>
  <c r="H2998" i="1"/>
  <c r="G2998" i="1"/>
  <c r="F2998" i="1"/>
  <c r="E2998" i="1"/>
  <c r="D2998" i="1"/>
  <c r="C2998" i="1"/>
  <c r="H2997" i="1"/>
  <c r="G2997" i="1"/>
  <c r="F2997" i="1"/>
  <c r="E2997" i="1"/>
  <c r="D2997" i="1"/>
  <c r="C2997" i="1"/>
  <c r="H2996" i="1"/>
  <c r="G2996" i="1"/>
  <c r="F2996" i="1"/>
  <c r="E2996" i="1"/>
  <c r="D2996" i="1"/>
  <c r="C2996" i="1"/>
  <c r="H2995" i="1"/>
  <c r="G2995" i="1"/>
  <c r="F2995" i="1"/>
  <c r="E2995" i="1"/>
  <c r="D2995" i="1"/>
  <c r="C2995" i="1"/>
  <c r="H2994" i="1"/>
  <c r="G2994" i="1"/>
  <c r="F2994" i="1"/>
  <c r="E2994" i="1"/>
  <c r="D2994" i="1"/>
  <c r="C2994" i="1"/>
  <c r="H2993" i="1"/>
  <c r="G2993" i="1"/>
  <c r="F2993" i="1"/>
  <c r="E2993" i="1"/>
  <c r="D2993" i="1"/>
  <c r="C2993" i="1"/>
  <c r="H2992" i="1"/>
  <c r="G2992" i="1"/>
  <c r="F2992" i="1"/>
  <c r="E2992" i="1"/>
  <c r="D2992" i="1"/>
  <c r="C2992" i="1"/>
  <c r="H2991" i="1"/>
  <c r="G2991" i="1"/>
  <c r="F2991" i="1"/>
  <c r="E2991" i="1"/>
  <c r="D2991" i="1"/>
  <c r="C2991" i="1"/>
  <c r="H2990" i="1"/>
  <c r="G2990" i="1"/>
  <c r="F2990" i="1"/>
  <c r="E2990" i="1"/>
  <c r="D2990" i="1"/>
  <c r="C2990" i="1"/>
  <c r="H2989" i="1"/>
  <c r="G2989" i="1"/>
  <c r="F2989" i="1"/>
  <c r="E2989" i="1"/>
  <c r="D2989" i="1"/>
  <c r="C2989" i="1"/>
  <c r="H2988" i="1"/>
  <c r="G2988" i="1"/>
  <c r="F2988" i="1"/>
  <c r="E2988" i="1"/>
  <c r="D2988" i="1"/>
  <c r="C2988" i="1"/>
  <c r="H2987" i="1"/>
  <c r="G2987" i="1"/>
  <c r="F2987" i="1"/>
  <c r="E2987" i="1"/>
  <c r="D2987" i="1"/>
  <c r="C2987" i="1"/>
  <c r="H2986" i="1"/>
  <c r="G2986" i="1"/>
  <c r="F2986" i="1"/>
  <c r="E2986" i="1"/>
  <c r="D2986" i="1"/>
  <c r="C2986" i="1"/>
  <c r="H2985" i="1"/>
  <c r="G2985" i="1"/>
  <c r="F2985" i="1"/>
  <c r="E2985" i="1"/>
  <c r="D2985" i="1"/>
  <c r="C2985" i="1"/>
  <c r="H2984" i="1"/>
  <c r="G2984" i="1"/>
  <c r="F2984" i="1"/>
  <c r="E2984" i="1"/>
  <c r="D2984" i="1"/>
  <c r="C2984" i="1"/>
  <c r="H2983" i="1"/>
  <c r="G2983" i="1"/>
  <c r="F2983" i="1"/>
  <c r="E2983" i="1"/>
  <c r="D2983" i="1"/>
  <c r="C2983" i="1"/>
  <c r="H2982" i="1"/>
  <c r="G2982" i="1"/>
  <c r="F2982" i="1"/>
  <c r="E2982" i="1"/>
  <c r="D2982" i="1"/>
  <c r="C2982" i="1"/>
  <c r="H2981" i="1"/>
  <c r="G2981" i="1"/>
  <c r="F2981" i="1"/>
  <c r="E2981" i="1"/>
  <c r="D2981" i="1"/>
  <c r="C2981" i="1"/>
  <c r="H2980" i="1"/>
  <c r="G2980" i="1"/>
  <c r="F2980" i="1"/>
  <c r="E2980" i="1"/>
  <c r="D2980" i="1"/>
  <c r="C2980" i="1"/>
  <c r="H2979" i="1"/>
  <c r="G2979" i="1"/>
  <c r="F2979" i="1"/>
  <c r="E2979" i="1"/>
  <c r="D2979" i="1"/>
  <c r="C2979" i="1"/>
  <c r="H2978" i="1"/>
  <c r="G2978" i="1"/>
  <c r="F2978" i="1"/>
  <c r="E2978" i="1"/>
  <c r="D2978" i="1"/>
  <c r="C2978" i="1"/>
  <c r="H2977" i="1"/>
  <c r="G2977" i="1"/>
  <c r="F2977" i="1"/>
  <c r="E2977" i="1"/>
  <c r="D2977" i="1"/>
  <c r="C2977" i="1"/>
  <c r="H2976" i="1"/>
  <c r="G2976" i="1"/>
  <c r="F2976" i="1"/>
  <c r="E2976" i="1"/>
  <c r="D2976" i="1"/>
  <c r="C2976" i="1"/>
  <c r="H2975" i="1"/>
  <c r="G2975" i="1"/>
  <c r="F2975" i="1"/>
  <c r="E2975" i="1"/>
  <c r="D2975" i="1"/>
  <c r="C2975" i="1"/>
  <c r="H2974" i="1"/>
  <c r="G2974" i="1"/>
  <c r="F2974" i="1"/>
  <c r="E2974" i="1"/>
  <c r="D2974" i="1"/>
  <c r="C2974" i="1"/>
  <c r="H2973" i="1"/>
  <c r="G2973" i="1"/>
  <c r="F2973" i="1"/>
  <c r="E2973" i="1"/>
  <c r="D2973" i="1"/>
  <c r="C2973" i="1"/>
  <c r="H2972" i="1"/>
  <c r="G2972" i="1"/>
  <c r="F2972" i="1"/>
  <c r="E2972" i="1"/>
  <c r="D2972" i="1"/>
  <c r="C2972" i="1"/>
  <c r="H2971" i="1"/>
  <c r="G2971" i="1"/>
  <c r="F2971" i="1"/>
  <c r="E2971" i="1"/>
  <c r="D2971" i="1"/>
  <c r="C2971" i="1"/>
  <c r="H2970" i="1"/>
  <c r="G2970" i="1"/>
  <c r="F2970" i="1"/>
  <c r="E2970" i="1"/>
  <c r="D2970" i="1"/>
  <c r="C2970" i="1"/>
  <c r="H2969" i="1"/>
  <c r="G2969" i="1"/>
  <c r="F2969" i="1"/>
  <c r="E2969" i="1"/>
  <c r="D2969" i="1"/>
  <c r="C2969" i="1"/>
  <c r="H2968" i="1"/>
  <c r="G2968" i="1"/>
  <c r="F2968" i="1"/>
  <c r="E2968" i="1"/>
  <c r="D2968" i="1"/>
  <c r="C2968" i="1"/>
  <c r="H2967" i="1"/>
  <c r="G2967" i="1"/>
  <c r="F2967" i="1"/>
  <c r="E2967" i="1"/>
  <c r="D2967" i="1"/>
  <c r="C2967" i="1"/>
  <c r="H2966" i="1"/>
  <c r="G2966" i="1"/>
  <c r="F2966" i="1"/>
  <c r="E2966" i="1"/>
  <c r="D2966" i="1"/>
  <c r="C2966" i="1"/>
  <c r="H2965" i="1"/>
  <c r="G2965" i="1"/>
  <c r="F2965" i="1"/>
  <c r="E2965" i="1"/>
  <c r="D2965" i="1"/>
  <c r="C2965" i="1"/>
  <c r="H2964" i="1"/>
  <c r="G2964" i="1"/>
  <c r="F2964" i="1"/>
  <c r="E2964" i="1"/>
  <c r="D2964" i="1"/>
  <c r="C2964" i="1"/>
  <c r="H2963" i="1"/>
  <c r="G2963" i="1"/>
  <c r="F2963" i="1"/>
  <c r="E2963" i="1"/>
  <c r="D2963" i="1"/>
  <c r="C2963" i="1"/>
  <c r="H2962" i="1"/>
  <c r="G2962" i="1"/>
  <c r="F2962" i="1"/>
  <c r="E2962" i="1"/>
  <c r="D2962" i="1"/>
  <c r="C2962" i="1"/>
  <c r="H2961" i="1"/>
  <c r="G2961" i="1"/>
  <c r="F2961" i="1"/>
  <c r="E2961" i="1"/>
  <c r="D2961" i="1"/>
  <c r="C2961" i="1"/>
  <c r="H2960" i="1"/>
  <c r="G2960" i="1"/>
  <c r="F2960" i="1"/>
  <c r="E2960" i="1"/>
  <c r="D2960" i="1"/>
  <c r="C2960" i="1"/>
  <c r="H2959" i="1"/>
  <c r="G2959" i="1"/>
  <c r="F2959" i="1"/>
  <c r="E2959" i="1"/>
  <c r="D2959" i="1"/>
  <c r="C2959" i="1"/>
  <c r="H2958" i="1"/>
  <c r="G2958" i="1"/>
  <c r="F2958" i="1"/>
  <c r="E2958" i="1"/>
  <c r="D2958" i="1"/>
  <c r="C2958" i="1"/>
  <c r="H2957" i="1"/>
  <c r="G2957" i="1"/>
  <c r="F2957" i="1"/>
  <c r="E2957" i="1"/>
  <c r="D2957" i="1"/>
  <c r="C2957" i="1"/>
  <c r="H2956" i="1"/>
  <c r="G2956" i="1"/>
  <c r="F2956" i="1"/>
  <c r="E2956" i="1"/>
  <c r="D2956" i="1"/>
  <c r="C2956" i="1"/>
  <c r="H2955" i="1"/>
  <c r="G2955" i="1"/>
  <c r="F2955" i="1"/>
  <c r="E2955" i="1"/>
  <c r="D2955" i="1"/>
  <c r="C2955" i="1"/>
  <c r="H2954" i="1"/>
  <c r="G2954" i="1"/>
  <c r="F2954" i="1"/>
  <c r="E2954" i="1"/>
  <c r="D2954" i="1"/>
  <c r="C2954" i="1"/>
  <c r="H2953" i="1"/>
  <c r="G2953" i="1"/>
  <c r="F2953" i="1"/>
  <c r="E2953" i="1"/>
  <c r="D2953" i="1"/>
  <c r="C2953" i="1"/>
  <c r="H2952" i="1"/>
  <c r="G2952" i="1"/>
  <c r="F2952" i="1"/>
  <c r="E2952" i="1"/>
  <c r="D2952" i="1"/>
  <c r="C2952" i="1"/>
  <c r="H2951" i="1"/>
  <c r="G2951" i="1"/>
  <c r="F2951" i="1"/>
  <c r="E2951" i="1"/>
  <c r="D2951" i="1"/>
  <c r="C2951" i="1"/>
  <c r="H2950" i="1"/>
  <c r="G2950" i="1"/>
  <c r="F2950" i="1"/>
  <c r="E2950" i="1"/>
  <c r="D2950" i="1"/>
  <c r="C2950" i="1"/>
  <c r="H2949" i="1"/>
  <c r="G2949" i="1"/>
  <c r="F2949" i="1"/>
  <c r="E2949" i="1"/>
  <c r="D2949" i="1"/>
  <c r="C2949" i="1"/>
  <c r="H2948" i="1"/>
  <c r="G2948" i="1"/>
  <c r="F2948" i="1"/>
  <c r="E2948" i="1"/>
  <c r="D2948" i="1"/>
  <c r="C2948" i="1"/>
  <c r="H2947" i="1"/>
  <c r="G2947" i="1"/>
  <c r="F2947" i="1"/>
  <c r="E2947" i="1"/>
  <c r="D2947" i="1"/>
  <c r="C2947" i="1"/>
  <c r="H2946" i="1"/>
  <c r="G2946" i="1"/>
  <c r="F2946" i="1"/>
  <c r="E2946" i="1"/>
  <c r="D2946" i="1"/>
  <c r="C2946" i="1"/>
  <c r="H2945" i="1"/>
  <c r="G2945" i="1"/>
  <c r="F2945" i="1"/>
  <c r="E2945" i="1"/>
  <c r="D2945" i="1"/>
  <c r="C2945" i="1"/>
  <c r="H2944" i="1"/>
  <c r="G2944" i="1"/>
  <c r="F2944" i="1"/>
  <c r="E2944" i="1"/>
  <c r="D2944" i="1"/>
  <c r="C2944" i="1"/>
  <c r="H2943" i="1"/>
  <c r="G2943" i="1"/>
  <c r="F2943" i="1"/>
  <c r="E2943" i="1"/>
  <c r="D2943" i="1"/>
  <c r="C2943" i="1"/>
  <c r="H2942" i="1"/>
  <c r="G2942" i="1"/>
  <c r="F2942" i="1"/>
  <c r="E2942" i="1"/>
  <c r="D2942" i="1"/>
  <c r="C2942" i="1"/>
  <c r="H2941" i="1"/>
  <c r="G2941" i="1"/>
  <c r="F2941" i="1"/>
  <c r="E2941" i="1"/>
  <c r="D2941" i="1"/>
  <c r="C2941" i="1"/>
  <c r="H2940" i="1"/>
  <c r="G2940" i="1"/>
  <c r="F2940" i="1"/>
  <c r="E2940" i="1"/>
  <c r="D2940" i="1"/>
  <c r="C2940" i="1"/>
  <c r="H2939" i="1"/>
  <c r="G2939" i="1"/>
  <c r="F2939" i="1"/>
  <c r="E2939" i="1"/>
  <c r="D2939" i="1"/>
  <c r="C2939" i="1"/>
  <c r="H2938" i="1"/>
  <c r="G2938" i="1"/>
  <c r="F2938" i="1"/>
  <c r="E2938" i="1"/>
  <c r="D2938" i="1"/>
  <c r="C2938" i="1"/>
  <c r="H2937" i="1"/>
  <c r="G2937" i="1"/>
  <c r="F2937" i="1"/>
  <c r="E2937" i="1"/>
  <c r="D2937" i="1"/>
  <c r="C2937" i="1"/>
  <c r="H2936" i="1"/>
  <c r="G2936" i="1"/>
  <c r="F2936" i="1"/>
  <c r="E2936" i="1"/>
  <c r="D2936" i="1"/>
  <c r="C2936" i="1"/>
  <c r="H2935" i="1"/>
  <c r="G2935" i="1"/>
  <c r="F2935" i="1"/>
  <c r="E2935" i="1"/>
  <c r="D2935" i="1"/>
  <c r="C2935" i="1"/>
  <c r="H2934" i="1"/>
  <c r="G2934" i="1"/>
  <c r="F2934" i="1"/>
  <c r="E2934" i="1"/>
  <c r="D2934" i="1"/>
  <c r="C2934" i="1"/>
  <c r="H2933" i="1"/>
  <c r="G2933" i="1"/>
  <c r="F2933" i="1"/>
  <c r="E2933" i="1"/>
  <c r="D2933" i="1"/>
  <c r="C2933" i="1"/>
  <c r="H2932" i="1"/>
  <c r="G2932" i="1"/>
  <c r="F2932" i="1"/>
  <c r="E2932" i="1"/>
  <c r="D2932" i="1"/>
  <c r="C2932" i="1"/>
  <c r="H2931" i="1"/>
  <c r="G2931" i="1"/>
  <c r="F2931" i="1"/>
  <c r="E2931" i="1"/>
  <c r="D2931" i="1"/>
  <c r="C2931" i="1"/>
  <c r="H2930" i="1"/>
  <c r="G2930" i="1"/>
  <c r="F2930" i="1"/>
  <c r="E2930" i="1"/>
  <c r="D2930" i="1"/>
  <c r="C2930" i="1"/>
  <c r="H2929" i="1"/>
  <c r="G2929" i="1"/>
  <c r="F2929" i="1"/>
  <c r="E2929" i="1"/>
  <c r="D2929" i="1"/>
  <c r="C2929" i="1"/>
  <c r="H2928" i="1"/>
  <c r="G2928" i="1"/>
  <c r="F2928" i="1"/>
  <c r="E2928" i="1"/>
  <c r="D2928" i="1"/>
  <c r="C2928" i="1"/>
  <c r="H2927" i="1"/>
  <c r="G2927" i="1"/>
  <c r="F2927" i="1"/>
  <c r="E2927" i="1"/>
  <c r="D2927" i="1"/>
  <c r="C2927" i="1"/>
  <c r="H2926" i="1"/>
  <c r="G2926" i="1"/>
  <c r="F2926" i="1"/>
  <c r="E2926" i="1"/>
  <c r="D2926" i="1"/>
  <c r="C2926" i="1"/>
  <c r="H2925" i="1"/>
  <c r="G2925" i="1"/>
  <c r="F2925" i="1"/>
  <c r="E2925" i="1"/>
  <c r="D2925" i="1"/>
  <c r="C2925" i="1"/>
  <c r="H2924" i="1"/>
  <c r="G2924" i="1"/>
  <c r="F2924" i="1"/>
  <c r="E2924" i="1"/>
  <c r="D2924" i="1"/>
  <c r="C2924" i="1"/>
  <c r="H2923" i="1"/>
  <c r="G2923" i="1"/>
  <c r="F2923" i="1"/>
  <c r="E2923" i="1"/>
  <c r="D2923" i="1"/>
  <c r="C2923" i="1"/>
  <c r="H2922" i="1"/>
  <c r="G2922" i="1"/>
  <c r="F2922" i="1"/>
  <c r="E2922" i="1"/>
  <c r="D2922" i="1"/>
  <c r="C2922" i="1"/>
  <c r="H2921" i="1"/>
  <c r="G2921" i="1"/>
  <c r="F2921" i="1"/>
  <c r="E2921" i="1"/>
  <c r="D2921" i="1"/>
  <c r="C2921" i="1"/>
  <c r="H2920" i="1"/>
  <c r="G2920" i="1"/>
  <c r="F2920" i="1"/>
  <c r="E2920" i="1"/>
  <c r="D2920" i="1"/>
  <c r="C2920" i="1"/>
  <c r="H2919" i="1"/>
  <c r="G2919" i="1"/>
  <c r="F2919" i="1"/>
  <c r="E2919" i="1"/>
  <c r="D2919" i="1"/>
  <c r="C2919" i="1"/>
  <c r="H2918" i="1"/>
  <c r="G2918" i="1"/>
  <c r="F2918" i="1"/>
  <c r="E2918" i="1"/>
  <c r="D2918" i="1"/>
  <c r="C2918" i="1"/>
  <c r="H2917" i="1"/>
  <c r="G2917" i="1"/>
  <c r="F2917" i="1"/>
  <c r="E2917" i="1"/>
  <c r="D2917" i="1"/>
  <c r="C2917" i="1"/>
  <c r="H2916" i="1"/>
  <c r="G2916" i="1"/>
  <c r="F2916" i="1"/>
  <c r="E2916" i="1"/>
  <c r="D2916" i="1"/>
  <c r="C2916" i="1"/>
  <c r="H2915" i="1"/>
  <c r="G2915" i="1"/>
  <c r="F2915" i="1"/>
  <c r="E2915" i="1"/>
  <c r="D2915" i="1"/>
  <c r="C2915" i="1"/>
  <c r="H2914" i="1"/>
  <c r="G2914" i="1"/>
  <c r="F2914" i="1"/>
  <c r="E2914" i="1"/>
  <c r="D2914" i="1"/>
  <c r="C2914" i="1"/>
  <c r="H2913" i="1"/>
  <c r="G2913" i="1"/>
  <c r="F2913" i="1"/>
  <c r="E2913" i="1"/>
  <c r="D2913" i="1"/>
  <c r="C2913" i="1"/>
  <c r="H2912" i="1"/>
  <c r="G2912" i="1"/>
  <c r="F2912" i="1"/>
  <c r="E2912" i="1"/>
  <c r="D2912" i="1"/>
  <c r="C2912" i="1"/>
  <c r="H2911" i="1"/>
  <c r="G2911" i="1"/>
  <c r="F2911" i="1"/>
  <c r="E2911" i="1"/>
  <c r="D2911" i="1"/>
  <c r="C2911" i="1"/>
  <c r="H2910" i="1"/>
  <c r="G2910" i="1"/>
  <c r="F2910" i="1"/>
  <c r="E2910" i="1"/>
  <c r="D2910" i="1"/>
  <c r="C2910" i="1"/>
  <c r="H2909" i="1"/>
  <c r="G2909" i="1"/>
  <c r="F2909" i="1"/>
  <c r="E2909" i="1"/>
  <c r="D2909" i="1"/>
  <c r="C2909" i="1"/>
  <c r="H2908" i="1"/>
  <c r="G2908" i="1"/>
  <c r="F2908" i="1"/>
  <c r="E2908" i="1"/>
  <c r="D2908" i="1"/>
  <c r="C2908" i="1"/>
  <c r="H2907" i="1"/>
  <c r="G2907" i="1"/>
  <c r="F2907" i="1"/>
  <c r="E2907" i="1"/>
  <c r="D2907" i="1"/>
  <c r="C2907" i="1"/>
  <c r="H2906" i="1"/>
  <c r="G2906" i="1"/>
  <c r="F2906" i="1"/>
  <c r="E2906" i="1"/>
  <c r="D2906" i="1"/>
  <c r="C2906" i="1"/>
  <c r="H2905" i="1"/>
  <c r="G2905" i="1"/>
  <c r="F2905" i="1"/>
  <c r="E2905" i="1"/>
  <c r="D2905" i="1"/>
  <c r="C2905" i="1"/>
  <c r="H2904" i="1"/>
  <c r="G2904" i="1"/>
  <c r="F2904" i="1"/>
  <c r="E2904" i="1"/>
  <c r="D2904" i="1"/>
  <c r="C2904" i="1"/>
  <c r="H2903" i="1"/>
  <c r="G2903" i="1"/>
  <c r="F2903" i="1"/>
  <c r="E2903" i="1"/>
  <c r="D2903" i="1"/>
  <c r="C2903" i="1"/>
  <c r="H2902" i="1"/>
  <c r="G2902" i="1"/>
  <c r="F2902" i="1"/>
  <c r="E2902" i="1"/>
  <c r="D2902" i="1"/>
  <c r="C2902" i="1"/>
  <c r="H2901" i="1"/>
  <c r="G2901" i="1"/>
  <c r="F2901" i="1"/>
  <c r="E2901" i="1"/>
  <c r="D2901" i="1"/>
  <c r="C2901" i="1"/>
  <c r="H2900" i="1"/>
  <c r="G2900" i="1"/>
  <c r="F2900" i="1"/>
  <c r="E2900" i="1"/>
  <c r="D2900" i="1"/>
  <c r="C2900" i="1"/>
  <c r="H2899" i="1"/>
  <c r="G2899" i="1"/>
  <c r="F2899" i="1"/>
  <c r="E2899" i="1"/>
  <c r="D2899" i="1"/>
  <c r="C2899" i="1"/>
  <c r="H2898" i="1"/>
  <c r="G2898" i="1"/>
  <c r="F2898" i="1"/>
  <c r="E2898" i="1"/>
  <c r="D2898" i="1"/>
  <c r="C2898" i="1"/>
  <c r="H2897" i="1"/>
  <c r="G2897" i="1"/>
  <c r="F2897" i="1"/>
  <c r="E2897" i="1"/>
  <c r="D2897" i="1"/>
  <c r="C2897" i="1"/>
  <c r="H2896" i="1"/>
  <c r="G2896" i="1"/>
  <c r="F2896" i="1"/>
  <c r="E2896" i="1"/>
  <c r="D2896" i="1"/>
  <c r="C2896" i="1"/>
  <c r="H2895" i="1"/>
  <c r="G2895" i="1"/>
  <c r="F2895" i="1"/>
  <c r="E2895" i="1"/>
  <c r="D2895" i="1"/>
  <c r="C2895" i="1"/>
  <c r="H2894" i="1"/>
  <c r="G2894" i="1"/>
  <c r="F2894" i="1"/>
  <c r="E2894" i="1"/>
  <c r="D2894" i="1"/>
  <c r="C2894" i="1"/>
  <c r="H2893" i="1"/>
  <c r="G2893" i="1"/>
  <c r="F2893" i="1"/>
  <c r="E2893" i="1"/>
  <c r="D2893" i="1"/>
  <c r="C2893" i="1"/>
  <c r="H2892" i="1"/>
  <c r="G2892" i="1"/>
  <c r="F2892" i="1"/>
  <c r="E2892" i="1"/>
  <c r="D2892" i="1"/>
  <c r="C2892" i="1"/>
  <c r="H2891" i="1"/>
  <c r="G2891" i="1"/>
  <c r="F2891" i="1"/>
  <c r="E2891" i="1"/>
  <c r="D2891" i="1"/>
  <c r="C2891" i="1"/>
  <c r="H2890" i="1"/>
  <c r="G2890" i="1"/>
  <c r="F2890" i="1"/>
  <c r="E2890" i="1"/>
  <c r="D2890" i="1"/>
  <c r="C2890" i="1"/>
  <c r="H2889" i="1"/>
  <c r="G2889" i="1"/>
  <c r="F2889" i="1"/>
  <c r="E2889" i="1"/>
  <c r="D2889" i="1"/>
  <c r="C2889" i="1"/>
  <c r="H2888" i="1"/>
  <c r="G2888" i="1"/>
  <c r="F2888" i="1"/>
  <c r="E2888" i="1"/>
  <c r="D2888" i="1"/>
  <c r="C2888" i="1"/>
  <c r="H2887" i="1"/>
  <c r="G2887" i="1"/>
  <c r="F2887" i="1"/>
  <c r="E2887" i="1"/>
  <c r="D2887" i="1"/>
  <c r="C2887" i="1"/>
  <c r="H2886" i="1"/>
  <c r="G2886" i="1"/>
  <c r="F2886" i="1"/>
  <c r="E2886" i="1"/>
  <c r="D2886" i="1"/>
  <c r="C2886" i="1"/>
  <c r="H2885" i="1"/>
  <c r="G2885" i="1"/>
  <c r="F2885" i="1"/>
  <c r="E2885" i="1"/>
  <c r="D2885" i="1"/>
  <c r="C2885" i="1"/>
  <c r="H2884" i="1"/>
  <c r="G2884" i="1"/>
  <c r="F2884" i="1"/>
  <c r="E2884" i="1"/>
  <c r="D2884" i="1"/>
  <c r="C2884" i="1"/>
  <c r="H2883" i="1"/>
  <c r="G2883" i="1"/>
  <c r="F2883" i="1"/>
  <c r="E2883" i="1"/>
  <c r="D2883" i="1"/>
  <c r="C2883" i="1"/>
  <c r="H2882" i="1"/>
  <c r="G2882" i="1"/>
  <c r="F2882" i="1"/>
  <c r="E2882" i="1"/>
  <c r="D2882" i="1"/>
  <c r="C2882" i="1"/>
  <c r="H2881" i="1"/>
  <c r="G2881" i="1"/>
  <c r="F2881" i="1"/>
  <c r="E2881" i="1"/>
  <c r="D2881" i="1"/>
  <c r="C2881" i="1"/>
  <c r="H2880" i="1"/>
  <c r="G2880" i="1"/>
  <c r="F2880" i="1"/>
  <c r="E2880" i="1"/>
  <c r="D2880" i="1"/>
  <c r="C2880" i="1"/>
  <c r="H2879" i="1"/>
  <c r="G2879" i="1"/>
  <c r="F2879" i="1"/>
  <c r="E2879" i="1"/>
  <c r="D2879" i="1"/>
  <c r="C2879" i="1"/>
  <c r="H2878" i="1"/>
  <c r="G2878" i="1"/>
  <c r="F2878" i="1"/>
  <c r="E2878" i="1"/>
  <c r="D2878" i="1"/>
  <c r="C2878" i="1"/>
  <c r="H2877" i="1"/>
  <c r="G2877" i="1"/>
  <c r="F2877" i="1"/>
  <c r="E2877" i="1"/>
  <c r="D2877" i="1"/>
  <c r="C2877" i="1"/>
  <c r="H2876" i="1"/>
  <c r="G2876" i="1"/>
  <c r="F2876" i="1"/>
  <c r="E2876" i="1"/>
  <c r="D2876" i="1"/>
  <c r="C2876" i="1"/>
  <c r="H2875" i="1"/>
  <c r="G2875" i="1"/>
  <c r="F2875" i="1"/>
  <c r="E2875" i="1"/>
  <c r="D2875" i="1"/>
  <c r="C2875" i="1"/>
  <c r="H2874" i="1"/>
  <c r="G2874" i="1"/>
  <c r="F2874" i="1"/>
  <c r="E2874" i="1"/>
  <c r="D2874" i="1"/>
  <c r="C2874" i="1"/>
  <c r="H2873" i="1"/>
  <c r="G2873" i="1"/>
  <c r="F2873" i="1"/>
  <c r="E2873" i="1"/>
  <c r="D2873" i="1"/>
  <c r="C2873" i="1"/>
  <c r="H2872" i="1"/>
  <c r="G2872" i="1"/>
  <c r="F2872" i="1"/>
  <c r="E2872" i="1"/>
  <c r="D2872" i="1"/>
  <c r="C2872" i="1"/>
  <c r="H2871" i="1"/>
  <c r="G2871" i="1"/>
  <c r="F2871" i="1"/>
  <c r="E2871" i="1"/>
  <c r="D2871" i="1"/>
  <c r="C2871" i="1"/>
  <c r="H2870" i="1"/>
  <c r="G2870" i="1"/>
  <c r="F2870" i="1"/>
  <c r="E2870" i="1"/>
  <c r="D2870" i="1"/>
  <c r="C2870" i="1"/>
  <c r="H2869" i="1"/>
  <c r="G2869" i="1"/>
  <c r="F2869" i="1"/>
  <c r="E2869" i="1"/>
  <c r="D2869" i="1"/>
  <c r="C2869" i="1"/>
  <c r="H2868" i="1"/>
  <c r="G2868" i="1"/>
  <c r="F2868" i="1"/>
  <c r="E2868" i="1"/>
  <c r="D2868" i="1"/>
  <c r="C2868" i="1"/>
  <c r="H2867" i="1"/>
  <c r="G2867" i="1"/>
  <c r="F2867" i="1"/>
  <c r="E2867" i="1"/>
  <c r="D2867" i="1"/>
  <c r="C2867" i="1"/>
  <c r="H2866" i="1"/>
  <c r="G2866" i="1"/>
  <c r="F2866" i="1"/>
  <c r="E2866" i="1"/>
  <c r="D2866" i="1"/>
  <c r="C2866" i="1"/>
  <c r="H2865" i="1"/>
  <c r="G2865" i="1"/>
  <c r="F2865" i="1"/>
  <c r="E2865" i="1"/>
  <c r="D2865" i="1"/>
  <c r="C2865" i="1"/>
  <c r="H2864" i="1"/>
  <c r="G2864" i="1"/>
  <c r="F2864" i="1"/>
  <c r="E2864" i="1"/>
  <c r="D2864" i="1"/>
  <c r="C2864" i="1"/>
  <c r="H2863" i="1"/>
  <c r="G2863" i="1"/>
  <c r="F2863" i="1"/>
  <c r="E2863" i="1"/>
  <c r="D2863" i="1"/>
  <c r="C2863" i="1"/>
  <c r="H2862" i="1"/>
  <c r="G2862" i="1"/>
  <c r="F2862" i="1"/>
  <c r="E2862" i="1"/>
  <c r="D2862" i="1"/>
  <c r="C2862" i="1"/>
  <c r="H2861" i="1"/>
  <c r="G2861" i="1"/>
  <c r="F2861" i="1"/>
  <c r="E2861" i="1"/>
  <c r="D2861" i="1"/>
  <c r="C2861" i="1"/>
  <c r="H2860" i="1"/>
  <c r="G2860" i="1"/>
  <c r="F2860" i="1"/>
  <c r="E2860" i="1"/>
  <c r="D2860" i="1"/>
  <c r="C2860" i="1"/>
  <c r="H2859" i="1"/>
  <c r="G2859" i="1"/>
  <c r="F2859" i="1"/>
  <c r="E2859" i="1"/>
  <c r="D2859" i="1"/>
  <c r="C2859" i="1"/>
  <c r="H2858" i="1"/>
  <c r="G2858" i="1"/>
  <c r="F2858" i="1"/>
  <c r="E2858" i="1"/>
  <c r="D2858" i="1"/>
  <c r="C2858" i="1"/>
  <c r="H2857" i="1"/>
  <c r="G2857" i="1"/>
  <c r="F2857" i="1"/>
  <c r="E2857" i="1"/>
  <c r="D2857" i="1"/>
  <c r="C2857" i="1"/>
  <c r="H2856" i="1"/>
  <c r="G2856" i="1"/>
  <c r="F2856" i="1"/>
  <c r="E2856" i="1"/>
  <c r="D2856" i="1"/>
  <c r="C2856" i="1"/>
  <c r="H2855" i="1"/>
  <c r="G2855" i="1"/>
  <c r="F2855" i="1"/>
  <c r="E2855" i="1"/>
  <c r="D2855" i="1"/>
  <c r="C2855" i="1"/>
  <c r="H2854" i="1"/>
  <c r="G2854" i="1"/>
  <c r="F2854" i="1"/>
  <c r="E2854" i="1"/>
  <c r="D2854" i="1"/>
  <c r="C2854" i="1"/>
  <c r="H2853" i="1"/>
  <c r="G2853" i="1"/>
  <c r="F2853" i="1"/>
  <c r="E2853" i="1"/>
  <c r="D2853" i="1"/>
  <c r="C2853" i="1"/>
  <c r="H2852" i="1"/>
  <c r="G2852" i="1"/>
  <c r="F2852" i="1"/>
  <c r="E2852" i="1"/>
  <c r="D2852" i="1"/>
  <c r="C2852" i="1"/>
  <c r="H2851" i="1"/>
  <c r="G2851" i="1"/>
  <c r="F2851" i="1"/>
  <c r="E2851" i="1"/>
  <c r="D2851" i="1"/>
  <c r="C2851" i="1"/>
  <c r="H2850" i="1"/>
  <c r="G2850" i="1"/>
  <c r="F2850" i="1"/>
  <c r="E2850" i="1"/>
  <c r="D2850" i="1"/>
  <c r="C2850" i="1"/>
  <c r="H2849" i="1"/>
  <c r="G2849" i="1"/>
  <c r="F2849" i="1"/>
  <c r="E2849" i="1"/>
  <c r="D2849" i="1"/>
  <c r="C2849" i="1"/>
  <c r="H2848" i="1"/>
  <c r="G2848" i="1"/>
  <c r="F2848" i="1"/>
  <c r="E2848" i="1"/>
  <c r="D2848" i="1"/>
  <c r="C2848" i="1"/>
  <c r="H2847" i="1"/>
  <c r="G2847" i="1"/>
  <c r="F2847" i="1"/>
  <c r="E2847" i="1"/>
  <c r="D2847" i="1"/>
  <c r="C2847" i="1"/>
  <c r="H2846" i="1"/>
  <c r="G2846" i="1"/>
  <c r="F2846" i="1"/>
  <c r="E2846" i="1"/>
  <c r="D2846" i="1"/>
  <c r="C2846" i="1"/>
  <c r="H2845" i="1"/>
  <c r="G2845" i="1"/>
  <c r="F2845" i="1"/>
  <c r="E2845" i="1"/>
  <c r="D2845" i="1"/>
  <c r="C2845" i="1"/>
  <c r="H2844" i="1"/>
  <c r="G2844" i="1"/>
  <c r="F2844" i="1"/>
  <c r="E2844" i="1"/>
  <c r="D2844" i="1"/>
  <c r="C2844" i="1"/>
  <c r="H2843" i="1"/>
  <c r="G2843" i="1"/>
  <c r="F2843" i="1"/>
  <c r="E2843" i="1"/>
  <c r="D2843" i="1"/>
  <c r="C2843" i="1"/>
  <c r="H2842" i="1"/>
  <c r="G2842" i="1"/>
  <c r="F2842" i="1"/>
  <c r="E2842" i="1"/>
  <c r="D2842" i="1"/>
  <c r="C2842" i="1"/>
  <c r="H2841" i="1"/>
  <c r="G2841" i="1"/>
  <c r="F2841" i="1"/>
  <c r="E2841" i="1"/>
  <c r="D2841" i="1"/>
  <c r="C2841" i="1"/>
  <c r="H2840" i="1"/>
  <c r="G2840" i="1"/>
  <c r="F2840" i="1"/>
  <c r="E2840" i="1"/>
  <c r="D2840" i="1"/>
  <c r="C2840" i="1"/>
  <c r="H2839" i="1"/>
  <c r="G2839" i="1"/>
  <c r="F2839" i="1"/>
  <c r="E2839" i="1"/>
  <c r="D2839" i="1"/>
  <c r="C2839" i="1"/>
  <c r="H2838" i="1"/>
  <c r="G2838" i="1"/>
  <c r="F2838" i="1"/>
  <c r="E2838" i="1"/>
  <c r="D2838" i="1"/>
  <c r="C2838" i="1"/>
  <c r="H2837" i="1"/>
  <c r="G2837" i="1"/>
  <c r="F2837" i="1"/>
  <c r="E2837" i="1"/>
  <c r="D2837" i="1"/>
  <c r="C2837" i="1"/>
  <c r="H2836" i="1"/>
  <c r="G2836" i="1"/>
  <c r="F2836" i="1"/>
  <c r="E2836" i="1"/>
  <c r="D2836" i="1"/>
  <c r="C2836" i="1"/>
  <c r="H2835" i="1"/>
  <c r="G2835" i="1"/>
  <c r="F2835" i="1"/>
  <c r="E2835" i="1"/>
  <c r="D2835" i="1"/>
  <c r="C2835" i="1"/>
  <c r="H2834" i="1"/>
  <c r="G2834" i="1"/>
  <c r="F2834" i="1"/>
  <c r="E2834" i="1"/>
  <c r="D2834" i="1"/>
  <c r="C2834" i="1"/>
  <c r="H2833" i="1"/>
  <c r="G2833" i="1"/>
  <c r="F2833" i="1"/>
  <c r="E2833" i="1"/>
  <c r="D2833" i="1"/>
  <c r="C2833" i="1"/>
  <c r="H2832" i="1"/>
  <c r="G2832" i="1"/>
  <c r="F2832" i="1"/>
  <c r="E2832" i="1"/>
  <c r="D2832" i="1"/>
  <c r="C2832" i="1"/>
  <c r="H2831" i="1"/>
  <c r="G2831" i="1"/>
  <c r="F2831" i="1"/>
  <c r="E2831" i="1"/>
  <c r="D2831" i="1"/>
  <c r="C2831" i="1"/>
  <c r="H2830" i="1"/>
  <c r="G2830" i="1"/>
  <c r="F2830" i="1"/>
  <c r="E2830" i="1"/>
  <c r="D2830" i="1"/>
  <c r="C2830" i="1"/>
  <c r="H2829" i="1"/>
  <c r="G2829" i="1"/>
  <c r="F2829" i="1"/>
  <c r="E2829" i="1"/>
  <c r="D2829" i="1"/>
  <c r="C2829" i="1"/>
  <c r="H2828" i="1"/>
  <c r="G2828" i="1"/>
  <c r="F2828" i="1"/>
  <c r="E2828" i="1"/>
  <c r="D2828" i="1"/>
  <c r="C2828" i="1"/>
  <c r="H2827" i="1"/>
  <c r="G2827" i="1"/>
  <c r="F2827" i="1"/>
  <c r="E2827" i="1"/>
  <c r="D2827" i="1"/>
  <c r="C2827" i="1"/>
  <c r="H2826" i="1"/>
  <c r="G2826" i="1"/>
  <c r="F2826" i="1"/>
  <c r="E2826" i="1"/>
  <c r="D2826" i="1"/>
  <c r="C2826" i="1"/>
  <c r="H2825" i="1"/>
  <c r="G2825" i="1"/>
  <c r="F2825" i="1"/>
  <c r="E2825" i="1"/>
  <c r="D2825" i="1"/>
  <c r="C2825" i="1"/>
  <c r="H2824" i="1"/>
  <c r="G2824" i="1"/>
  <c r="F2824" i="1"/>
  <c r="E2824" i="1"/>
  <c r="D2824" i="1"/>
  <c r="C2824" i="1"/>
  <c r="H2823" i="1"/>
  <c r="G2823" i="1"/>
  <c r="F2823" i="1"/>
  <c r="E2823" i="1"/>
  <c r="D2823" i="1"/>
  <c r="C2823" i="1"/>
  <c r="H2822" i="1"/>
  <c r="G2822" i="1"/>
  <c r="F2822" i="1"/>
  <c r="E2822" i="1"/>
  <c r="D2822" i="1"/>
  <c r="C2822" i="1"/>
  <c r="H2821" i="1"/>
  <c r="G2821" i="1"/>
  <c r="F2821" i="1"/>
  <c r="E2821" i="1"/>
  <c r="D2821" i="1"/>
  <c r="C2821" i="1"/>
  <c r="H2820" i="1"/>
  <c r="G2820" i="1"/>
  <c r="F2820" i="1"/>
  <c r="E2820" i="1"/>
  <c r="D2820" i="1"/>
  <c r="C2820" i="1"/>
  <c r="H2819" i="1"/>
  <c r="G2819" i="1"/>
  <c r="F2819" i="1"/>
  <c r="E2819" i="1"/>
  <c r="D2819" i="1"/>
  <c r="C2819" i="1"/>
  <c r="H2818" i="1"/>
  <c r="G2818" i="1"/>
  <c r="F2818" i="1"/>
  <c r="E2818" i="1"/>
  <c r="D2818" i="1"/>
  <c r="C2818" i="1"/>
  <c r="H2817" i="1"/>
  <c r="G2817" i="1"/>
  <c r="F2817" i="1"/>
  <c r="E2817" i="1"/>
  <c r="D2817" i="1"/>
  <c r="C2817" i="1"/>
  <c r="H2816" i="1"/>
  <c r="G2816" i="1"/>
  <c r="F2816" i="1"/>
  <c r="E2816" i="1"/>
  <c r="D2816" i="1"/>
  <c r="C2816" i="1"/>
  <c r="H2815" i="1"/>
  <c r="G2815" i="1"/>
  <c r="F2815" i="1"/>
  <c r="E2815" i="1"/>
  <c r="D2815" i="1"/>
  <c r="C2815" i="1"/>
  <c r="H2814" i="1"/>
  <c r="G2814" i="1"/>
  <c r="F2814" i="1"/>
  <c r="E2814" i="1"/>
  <c r="D2814" i="1"/>
  <c r="C2814" i="1"/>
  <c r="H2813" i="1"/>
  <c r="G2813" i="1"/>
  <c r="F2813" i="1"/>
  <c r="E2813" i="1"/>
  <c r="D2813" i="1"/>
  <c r="C2813" i="1"/>
  <c r="H2812" i="1"/>
  <c r="G2812" i="1"/>
  <c r="F2812" i="1"/>
  <c r="E2812" i="1"/>
  <c r="D2812" i="1"/>
  <c r="C2812" i="1"/>
  <c r="H2811" i="1"/>
  <c r="G2811" i="1"/>
  <c r="F2811" i="1"/>
  <c r="E2811" i="1"/>
  <c r="D2811" i="1"/>
  <c r="C2811" i="1"/>
  <c r="H2810" i="1"/>
  <c r="G2810" i="1"/>
  <c r="F2810" i="1"/>
  <c r="E2810" i="1"/>
  <c r="D2810" i="1"/>
  <c r="C2810" i="1"/>
  <c r="H2809" i="1"/>
  <c r="G2809" i="1"/>
  <c r="F2809" i="1"/>
  <c r="E2809" i="1"/>
  <c r="D2809" i="1"/>
  <c r="C2809" i="1"/>
  <c r="H2808" i="1"/>
  <c r="G2808" i="1"/>
  <c r="F2808" i="1"/>
  <c r="E2808" i="1"/>
  <c r="D2808" i="1"/>
  <c r="C2808" i="1"/>
  <c r="H2807" i="1"/>
  <c r="G2807" i="1"/>
  <c r="F2807" i="1"/>
  <c r="E2807" i="1"/>
  <c r="D2807" i="1"/>
  <c r="C2807" i="1"/>
  <c r="H2806" i="1"/>
  <c r="G2806" i="1"/>
  <c r="F2806" i="1"/>
  <c r="E2806" i="1"/>
  <c r="D2806" i="1"/>
  <c r="C2806" i="1"/>
  <c r="H2805" i="1"/>
  <c r="G2805" i="1"/>
  <c r="F2805" i="1"/>
  <c r="E2805" i="1"/>
  <c r="D2805" i="1"/>
  <c r="C2805" i="1"/>
  <c r="H2804" i="1"/>
  <c r="G2804" i="1"/>
  <c r="F2804" i="1"/>
  <c r="E2804" i="1"/>
  <c r="D2804" i="1"/>
  <c r="C2804" i="1"/>
  <c r="H2803" i="1"/>
  <c r="G2803" i="1"/>
  <c r="F2803" i="1"/>
  <c r="E2803" i="1"/>
  <c r="D2803" i="1"/>
  <c r="C2803" i="1"/>
  <c r="H2802" i="1"/>
  <c r="G2802" i="1"/>
  <c r="F2802" i="1"/>
  <c r="E2802" i="1"/>
  <c r="D2802" i="1"/>
  <c r="C2802" i="1"/>
  <c r="H2801" i="1"/>
  <c r="G2801" i="1"/>
  <c r="F2801" i="1"/>
  <c r="E2801" i="1"/>
  <c r="D2801" i="1"/>
  <c r="C2801" i="1"/>
  <c r="H2800" i="1"/>
  <c r="G2800" i="1"/>
  <c r="F2800" i="1"/>
  <c r="E2800" i="1"/>
  <c r="D2800" i="1"/>
  <c r="C2800" i="1"/>
  <c r="H2799" i="1"/>
  <c r="G2799" i="1"/>
  <c r="F2799" i="1"/>
  <c r="E2799" i="1"/>
  <c r="D2799" i="1"/>
  <c r="C2799" i="1"/>
  <c r="H2798" i="1"/>
  <c r="G2798" i="1"/>
  <c r="F2798" i="1"/>
  <c r="E2798" i="1"/>
  <c r="D2798" i="1"/>
  <c r="C2798" i="1"/>
  <c r="H2797" i="1"/>
  <c r="G2797" i="1"/>
  <c r="F2797" i="1"/>
  <c r="E2797" i="1"/>
  <c r="D2797" i="1"/>
  <c r="C2797" i="1"/>
  <c r="H2796" i="1"/>
  <c r="G2796" i="1"/>
  <c r="F2796" i="1"/>
  <c r="E2796" i="1"/>
  <c r="D2796" i="1"/>
  <c r="C2796" i="1"/>
  <c r="H2795" i="1"/>
  <c r="G2795" i="1"/>
  <c r="F2795" i="1"/>
  <c r="E2795" i="1"/>
  <c r="D2795" i="1"/>
  <c r="C2795" i="1"/>
  <c r="H2794" i="1"/>
  <c r="G2794" i="1"/>
  <c r="F2794" i="1"/>
  <c r="E2794" i="1"/>
  <c r="D2794" i="1"/>
  <c r="C2794" i="1"/>
  <c r="H2793" i="1"/>
  <c r="G2793" i="1"/>
  <c r="F2793" i="1"/>
  <c r="E2793" i="1"/>
  <c r="D2793" i="1"/>
  <c r="C2793" i="1"/>
  <c r="H2792" i="1"/>
  <c r="G2792" i="1"/>
  <c r="F2792" i="1"/>
  <c r="E2792" i="1"/>
  <c r="D2792" i="1"/>
  <c r="C2792" i="1"/>
  <c r="H2791" i="1"/>
  <c r="G2791" i="1"/>
  <c r="F2791" i="1"/>
  <c r="E2791" i="1"/>
  <c r="D2791" i="1"/>
  <c r="C2791" i="1"/>
  <c r="H2790" i="1"/>
  <c r="G2790" i="1"/>
  <c r="F2790" i="1"/>
  <c r="E2790" i="1"/>
  <c r="D2790" i="1"/>
  <c r="C2790" i="1"/>
  <c r="H2789" i="1"/>
  <c r="G2789" i="1"/>
  <c r="F2789" i="1"/>
  <c r="E2789" i="1"/>
  <c r="D2789" i="1"/>
  <c r="C2789" i="1"/>
  <c r="H2788" i="1"/>
  <c r="G2788" i="1"/>
  <c r="F2788" i="1"/>
  <c r="E2788" i="1"/>
  <c r="D2788" i="1"/>
  <c r="C2788" i="1"/>
  <c r="H2787" i="1"/>
  <c r="G2787" i="1"/>
  <c r="F2787" i="1"/>
  <c r="E2787" i="1"/>
  <c r="D2787" i="1"/>
  <c r="C2787" i="1"/>
  <c r="H2786" i="1"/>
  <c r="G2786" i="1"/>
  <c r="F2786" i="1"/>
  <c r="E2786" i="1"/>
  <c r="D2786" i="1"/>
  <c r="C2786" i="1"/>
  <c r="H2785" i="1"/>
  <c r="G2785" i="1"/>
  <c r="F2785" i="1"/>
  <c r="E2785" i="1"/>
  <c r="D2785" i="1"/>
  <c r="C2785" i="1"/>
  <c r="H2784" i="1"/>
  <c r="G2784" i="1"/>
  <c r="F2784" i="1"/>
  <c r="E2784" i="1"/>
  <c r="D2784" i="1"/>
  <c r="C2784" i="1"/>
  <c r="H2783" i="1"/>
  <c r="G2783" i="1"/>
  <c r="F2783" i="1"/>
  <c r="E2783" i="1"/>
  <c r="D2783" i="1"/>
  <c r="C2783" i="1"/>
  <c r="H2782" i="1"/>
  <c r="G2782" i="1"/>
  <c r="F2782" i="1"/>
  <c r="E2782" i="1"/>
  <c r="D2782" i="1"/>
  <c r="C2782" i="1"/>
  <c r="H2781" i="1"/>
  <c r="G2781" i="1"/>
  <c r="F2781" i="1"/>
  <c r="E2781" i="1"/>
  <c r="D2781" i="1"/>
  <c r="C2781" i="1"/>
  <c r="H2780" i="1"/>
  <c r="G2780" i="1"/>
  <c r="F2780" i="1"/>
  <c r="E2780" i="1"/>
  <c r="D2780" i="1"/>
  <c r="C2780" i="1"/>
  <c r="H2779" i="1"/>
  <c r="G2779" i="1"/>
  <c r="F2779" i="1"/>
  <c r="E2779" i="1"/>
  <c r="D2779" i="1"/>
  <c r="C2779" i="1"/>
  <c r="H2778" i="1"/>
  <c r="G2778" i="1"/>
  <c r="F2778" i="1"/>
  <c r="E2778" i="1"/>
  <c r="D2778" i="1"/>
  <c r="C2778" i="1"/>
  <c r="H2777" i="1"/>
  <c r="G2777" i="1"/>
  <c r="F2777" i="1"/>
  <c r="E2777" i="1"/>
  <c r="D2777" i="1"/>
  <c r="C2777" i="1"/>
  <c r="H2776" i="1"/>
  <c r="G2776" i="1"/>
  <c r="F2776" i="1"/>
  <c r="E2776" i="1"/>
  <c r="D2776" i="1"/>
  <c r="C2776" i="1"/>
  <c r="H2775" i="1"/>
  <c r="G2775" i="1"/>
  <c r="F2775" i="1"/>
  <c r="E2775" i="1"/>
  <c r="D2775" i="1"/>
  <c r="C2775" i="1"/>
  <c r="H2774" i="1"/>
  <c r="G2774" i="1"/>
  <c r="F2774" i="1"/>
  <c r="E2774" i="1"/>
  <c r="D2774" i="1"/>
  <c r="C2774" i="1"/>
  <c r="H2773" i="1"/>
  <c r="G2773" i="1"/>
  <c r="F2773" i="1"/>
  <c r="E2773" i="1"/>
  <c r="D2773" i="1"/>
  <c r="C2773" i="1"/>
  <c r="H2772" i="1"/>
  <c r="G2772" i="1"/>
  <c r="F2772" i="1"/>
  <c r="E2772" i="1"/>
  <c r="D2772" i="1"/>
  <c r="C2772" i="1"/>
  <c r="H2771" i="1"/>
  <c r="G2771" i="1"/>
  <c r="F2771" i="1"/>
  <c r="E2771" i="1"/>
  <c r="D2771" i="1"/>
  <c r="C2771" i="1"/>
  <c r="H2770" i="1"/>
  <c r="G2770" i="1"/>
  <c r="F2770" i="1"/>
  <c r="E2770" i="1"/>
  <c r="D2770" i="1"/>
  <c r="C2770" i="1"/>
  <c r="H2769" i="1"/>
  <c r="G2769" i="1"/>
  <c r="F2769" i="1"/>
  <c r="E2769" i="1"/>
  <c r="D2769" i="1"/>
  <c r="C2769" i="1"/>
  <c r="H2768" i="1"/>
  <c r="G2768" i="1"/>
  <c r="F2768" i="1"/>
  <c r="E2768" i="1"/>
  <c r="D2768" i="1"/>
  <c r="C2768" i="1"/>
  <c r="H2767" i="1"/>
  <c r="G2767" i="1"/>
  <c r="F2767" i="1"/>
  <c r="E2767" i="1"/>
  <c r="D2767" i="1"/>
  <c r="C2767" i="1"/>
  <c r="H2766" i="1"/>
  <c r="G2766" i="1"/>
  <c r="F2766" i="1"/>
  <c r="E2766" i="1"/>
  <c r="D2766" i="1"/>
  <c r="C2766" i="1"/>
  <c r="H2765" i="1"/>
  <c r="G2765" i="1"/>
  <c r="F2765" i="1"/>
  <c r="E2765" i="1"/>
  <c r="D2765" i="1"/>
  <c r="C2765" i="1"/>
  <c r="H2764" i="1"/>
  <c r="G2764" i="1"/>
  <c r="F2764" i="1"/>
  <c r="E2764" i="1"/>
  <c r="D2764" i="1"/>
  <c r="C2764" i="1"/>
  <c r="H2763" i="1"/>
  <c r="G2763" i="1"/>
  <c r="F2763" i="1"/>
  <c r="E2763" i="1"/>
  <c r="D2763" i="1"/>
  <c r="C2763" i="1"/>
  <c r="H2762" i="1"/>
  <c r="G2762" i="1"/>
  <c r="F2762" i="1"/>
  <c r="E2762" i="1"/>
  <c r="D2762" i="1"/>
  <c r="C2762" i="1"/>
  <c r="H2761" i="1"/>
  <c r="G2761" i="1"/>
  <c r="F2761" i="1"/>
  <c r="E2761" i="1"/>
  <c r="D2761" i="1"/>
  <c r="C2761" i="1"/>
  <c r="H2760" i="1"/>
  <c r="G2760" i="1"/>
  <c r="F2760" i="1"/>
  <c r="E2760" i="1"/>
  <c r="D2760" i="1"/>
  <c r="C2760" i="1"/>
  <c r="H2759" i="1"/>
  <c r="G2759" i="1"/>
  <c r="F2759" i="1"/>
  <c r="E2759" i="1"/>
  <c r="D2759" i="1"/>
  <c r="C2759" i="1"/>
  <c r="H2758" i="1"/>
  <c r="G2758" i="1"/>
  <c r="F2758" i="1"/>
  <c r="E2758" i="1"/>
  <c r="D2758" i="1"/>
  <c r="C2758" i="1"/>
  <c r="H2757" i="1"/>
  <c r="G2757" i="1"/>
  <c r="F2757" i="1"/>
  <c r="E2757" i="1"/>
  <c r="D2757" i="1"/>
  <c r="C2757" i="1"/>
  <c r="H2756" i="1"/>
  <c r="G2756" i="1"/>
  <c r="F2756" i="1"/>
  <c r="E2756" i="1"/>
  <c r="D2756" i="1"/>
  <c r="C2756" i="1"/>
  <c r="H2755" i="1"/>
  <c r="G2755" i="1"/>
  <c r="F2755" i="1"/>
  <c r="E2755" i="1"/>
  <c r="D2755" i="1"/>
  <c r="C2755" i="1"/>
  <c r="H2754" i="1"/>
  <c r="G2754" i="1"/>
  <c r="F2754" i="1"/>
  <c r="E2754" i="1"/>
  <c r="D2754" i="1"/>
  <c r="C2754" i="1"/>
  <c r="H2753" i="1"/>
  <c r="G2753" i="1"/>
  <c r="F2753" i="1"/>
  <c r="E2753" i="1"/>
  <c r="D2753" i="1"/>
  <c r="C2753" i="1"/>
  <c r="H2752" i="1"/>
  <c r="G2752" i="1"/>
  <c r="F2752" i="1"/>
  <c r="E2752" i="1"/>
  <c r="D2752" i="1"/>
  <c r="C2752" i="1"/>
  <c r="H2751" i="1"/>
  <c r="G2751" i="1"/>
  <c r="F2751" i="1"/>
  <c r="E2751" i="1"/>
  <c r="D2751" i="1"/>
  <c r="C2751" i="1"/>
  <c r="H2750" i="1"/>
  <c r="G2750" i="1"/>
  <c r="F2750" i="1"/>
  <c r="E2750" i="1"/>
  <c r="D2750" i="1"/>
  <c r="C2750" i="1"/>
  <c r="H2749" i="1"/>
  <c r="G2749" i="1"/>
  <c r="F2749" i="1"/>
  <c r="E2749" i="1"/>
  <c r="D2749" i="1"/>
  <c r="C2749" i="1"/>
  <c r="H2748" i="1"/>
  <c r="G2748" i="1"/>
  <c r="F2748" i="1"/>
  <c r="E2748" i="1"/>
  <c r="D2748" i="1"/>
  <c r="C2748" i="1"/>
  <c r="H2747" i="1"/>
  <c r="G2747" i="1"/>
  <c r="F2747" i="1"/>
  <c r="E2747" i="1"/>
  <c r="D2747" i="1"/>
  <c r="C2747" i="1"/>
  <c r="H2746" i="1"/>
  <c r="G2746" i="1"/>
  <c r="F2746" i="1"/>
  <c r="E2746" i="1"/>
  <c r="D2746" i="1"/>
  <c r="C2746" i="1"/>
  <c r="H2745" i="1"/>
  <c r="G2745" i="1"/>
  <c r="F2745" i="1"/>
  <c r="E2745" i="1"/>
  <c r="D2745" i="1"/>
  <c r="C2745" i="1"/>
  <c r="H2744" i="1"/>
  <c r="G2744" i="1"/>
  <c r="F2744" i="1"/>
  <c r="E2744" i="1"/>
  <c r="D2744" i="1"/>
  <c r="C2744" i="1"/>
  <c r="H2743" i="1"/>
  <c r="G2743" i="1"/>
  <c r="F2743" i="1"/>
  <c r="E2743" i="1"/>
  <c r="D2743" i="1"/>
  <c r="C2743" i="1"/>
  <c r="H2742" i="1"/>
  <c r="G2742" i="1"/>
  <c r="F2742" i="1"/>
  <c r="E2742" i="1"/>
  <c r="D2742" i="1"/>
  <c r="C2742" i="1"/>
  <c r="H2741" i="1"/>
  <c r="G2741" i="1"/>
  <c r="F2741" i="1"/>
  <c r="E2741" i="1"/>
  <c r="D2741" i="1"/>
  <c r="C2741" i="1"/>
  <c r="H2740" i="1"/>
  <c r="G2740" i="1"/>
  <c r="F2740" i="1"/>
  <c r="E2740" i="1"/>
  <c r="D2740" i="1"/>
  <c r="C2740" i="1"/>
  <c r="H2739" i="1"/>
  <c r="G2739" i="1"/>
  <c r="F2739" i="1"/>
  <c r="E2739" i="1"/>
  <c r="D2739" i="1"/>
  <c r="C2739" i="1"/>
  <c r="H2738" i="1"/>
  <c r="G2738" i="1"/>
  <c r="F2738" i="1"/>
  <c r="E2738" i="1"/>
  <c r="D2738" i="1"/>
  <c r="C2738" i="1"/>
  <c r="H2737" i="1"/>
  <c r="G2737" i="1"/>
  <c r="F2737" i="1"/>
  <c r="E2737" i="1"/>
  <c r="D2737" i="1"/>
  <c r="C2737" i="1"/>
  <c r="H2736" i="1"/>
  <c r="G2736" i="1"/>
  <c r="F2736" i="1"/>
  <c r="E2736" i="1"/>
  <c r="D2736" i="1"/>
  <c r="C2736" i="1"/>
  <c r="H2735" i="1"/>
  <c r="G2735" i="1"/>
  <c r="F2735" i="1"/>
  <c r="E2735" i="1"/>
  <c r="D2735" i="1"/>
  <c r="C2735" i="1"/>
  <c r="H2734" i="1"/>
  <c r="G2734" i="1"/>
  <c r="F2734" i="1"/>
  <c r="E2734" i="1"/>
  <c r="D2734" i="1"/>
  <c r="C2734" i="1"/>
  <c r="H2733" i="1"/>
  <c r="G2733" i="1"/>
  <c r="F2733" i="1"/>
  <c r="E2733" i="1"/>
  <c r="D2733" i="1"/>
  <c r="C2733" i="1"/>
  <c r="H2732" i="1"/>
  <c r="G2732" i="1"/>
  <c r="F2732" i="1"/>
  <c r="E2732" i="1"/>
  <c r="D2732" i="1"/>
  <c r="C2732" i="1"/>
  <c r="H2731" i="1"/>
  <c r="G2731" i="1"/>
  <c r="F2731" i="1"/>
  <c r="E2731" i="1"/>
  <c r="D2731" i="1"/>
  <c r="C2731" i="1"/>
  <c r="H2730" i="1"/>
  <c r="G2730" i="1"/>
  <c r="F2730" i="1"/>
  <c r="E2730" i="1"/>
  <c r="D2730" i="1"/>
  <c r="C2730" i="1"/>
  <c r="H2729" i="1"/>
  <c r="G2729" i="1"/>
  <c r="F2729" i="1"/>
  <c r="E2729" i="1"/>
  <c r="D2729" i="1"/>
  <c r="C2729" i="1"/>
  <c r="H2728" i="1"/>
  <c r="G2728" i="1"/>
  <c r="F2728" i="1"/>
  <c r="E2728" i="1"/>
  <c r="D2728" i="1"/>
  <c r="C2728" i="1"/>
  <c r="H2727" i="1"/>
  <c r="G2727" i="1"/>
  <c r="F2727" i="1"/>
  <c r="E2727" i="1"/>
  <c r="D2727" i="1"/>
  <c r="C2727" i="1"/>
  <c r="H2726" i="1"/>
  <c r="G2726" i="1"/>
  <c r="F2726" i="1"/>
  <c r="E2726" i="1"/>
  <c r="D2726" i="1"/>
  <c r="C2726" i="1"/>
  <c r="H2725" i="1"/>
  <c r="G2725" i="1"/>
  <c r="F2725" i="1"/>
  <c r="E2725" i="1"/>
  <c r="D2725" i="1"/>
  <c r="C2725" i="1"/>
  <c r="H2724" i="1"/>
  <c r="G2724" i="1"/>
  <c r="F2724" i="1"/>
  <c r="E2724" i="1"/>
  <c r="D2724" i="1"/>
  <c r="C2724" i="1"/>
  <c r="H2723" i="1"/>
  <c r="G2723" i="1"/>
  <c r="F2723" i="1"/>
  <c r="E2723" i="1"/>
  <c r="D2723" i="1"/>
  <c r="C2723" i="1"/>
  <c r="H2722" i="1"/>
  <c r="G2722" i="1"/>
  <c r="F2722" i="1"/>
  <c r="E2722" i="1"/>
  <c r="D2722" i="1"/>
  <c r="C2722" i="1"/>
  <c r="H2721" i="1"/>
  <c r="G2721" i="1"/>
  <c r="F2721" i="1"/>
  <c r="E2721" i="1"/>
  <c r="D2721" i="1"/>
  <c r="C2721" i="1"/>
  <c r="H2720" i="1"/>
  <c r="G2720" i="1"/>
  <c r="F2720" i="1"/>
  <c r="E2720" i="1"/>
  <c r="D2720" i="1"/>
  <c r="C2720" i="1"/>
  <c r="H2719" i="1"/>
  <c r="G2719" i="1"/>
  <c r="F2719" i="1"/>
  <c r="E2719" i="1"/>
  <c r="D2719" i="1"/>
  <c r="C2719" i="1"/>
  <c r="H2718" i="1"/>
  <c r="G2718" i="1"/>
  <c r="F2718" i="1"/>
  <c r="E2718" i="1"/>
  <c r="D2718" i="1"/>
  <c r="C2718" i="1"/>
  <c r="H2717" i="1"/>
  <c r="G2717" i="1"/>
  <c r="F2717" i="1"/>
  <c r="E2717" i="1"/>
  <c r="D2717" i="1"/>
  <c r="C2717" i="1"/>
  <c r="H2716" i="1"/>
  <c r="G2716" i="1"/>
  <c r="F2716" i="1"/>
  <c r="E2716" i="1"/>
  <c r="D2716" i="1"/>
  <c r="C2716" i="1"/>
  <c r="H2715" i="1"/>
  <c r="G2715" i="1"/>
  <c r="F2715" i="1"/>
  <c r="E2715" i="1"/>
  <c r="D2715" i="1"/>
  <c r="C2715" i="1"/>
  <c r="H2714" i="1"/>
  <c r="G2714" i="1"/>
  <c r="F2714" i="1"/>
  <c r="E2714" i="1"/>
  <c r="D2714" i="1"/>
  <c r="C2714" i="1"/>
  <c r="H2713" i="1"/>
  <c r="G2713" i="1"/>
  <c r="F2713" i="1"/>
  <c r="E2713" i="1"/>
  <c r="D2713" i="1"/>
  <c r="C2713" i="1"/>
  <c r="H2712" i="1"/>
  <c r="G2712" i="1"/>
  <c r="F2712" i="1"/>
  <c r="E2712" i="1"/>
  <c r="D2712" i="1"/>
  <c r="C2712" i="1"/>
  <c r="H2711" i="1"/>
  <c r="G2711" i="1"/>
  <c r="F2711" i="1"/>
  <c r="E2711" i="1"/>
  <c r="D2711" i="1"/>
  <c r="C2711" i="1"/>
  <c r="H2710" i="1"/>
  <c r="G2710" i="1"/>
  <c r="F2710" i="1"/>
  <c r="E2710" i="1"/>
  <c r="D2710" i="1"/>
  <c r="C2710" i="1"/>
  <c r="H2709" i="1"/>
  <c r="G2709" i="1"/>
  <c r="F2709" i="1"/>
  <c r="E2709" i="1"/>
  <c r="D2709" i="1"/>
  <c r="C2709" i="1"/>
  <c r="H2708" i="1"/>
  <c r="G2708" i="1"/>
  <c r="F2708" i="1"/>
  <c r="E2708" i="1"/>
  <c r="D2708" i="1"/>
  <c r="C2708" i="1"/>
  <c r="H2707" i="1"/>
  <c r="G2707" i="1"/>
  <c r="F2707" i="1"/>
  <c r="E2707" i="1"/>
  <c r="D2707" i="1"/>
  <c r="C2707" i="1"/>
  <c r="H2706" i="1"/>
  <c r="G2706" i="1"/>
  <c r="F2706" i="1"/>
  <c r="E2706" i="1"/>
  <c r="D2706" i="1"/>
  <c r="C2706" i="1"/>
  <c r="H2705" i="1"/>
  <c r="G2705" i="1"/>
  <c r="F2705" i="1"/>
  <c r="E2705" i="1"/>
  <c r="D2705" i="1"/>
  <c r="C2705" i="1"/>
  <c r="H2704" i="1"/>
  <c r="G2704" i="1"/>
  <c r="F2704" i="1"/>
  <c r="E2704" i="1"/>
  <c r="D2704" i="1"/>
  <c r="C2704" i="1"/>
  <c r="H2703" i="1"/>
  <c r="G2703" i="1"/>
  <c r="F2703" i="1"/>
  <c r="E2703" i="1"/>
  <c r="D2703" i="1"/>
  <c r="C2703" i="1"/>
  <c r="H2702" i="1"/>
  <c r="G2702" i="1"/>
  <c r="F2702" i="1"/>
  <c r="E2702" i="1"/>
  <c r="D2702" i="1"/>
  <c r="C2702" i="1"/>
  <c r="H2701" i="1"/>
  <c r="G2701" i="1"/>
  <c r="F2701" i="1"/>
  <c r="E2701" i="1"/>
  <c r="D2701" i="1"/>
  <c r="C2701" i="1"/>
  <c r="H2700" i="1"/>
  <c r="G2700" i="1"/>
  <c r="F2700" i="1"/>
  <c r="E2700" i="1"/>
  <c r="D2700" i="1"/>
  <c r="C2700" i="1"/>
  <c r="H2699" i="1"/>
  <c r="G2699" i="1"/>
  <c r="F2699" i="1"/>
  <c r="E2699" i="1"/>
  <c r="D2699" i="1"/>
  <c r="C2699" i="1"/>
  <c r="H2698" i="1"/>
  <c r="G2698" i="1"/>
  <c r="F2698" i="1"/>
  <c r="E2698" i="1"/>
  <c r="D2698" i="1"/>
  <c r="C2698" i="1"/>
  <c r="H2697" i="1"/>
  <c r="G2697" i="1"/>
  <c r="F2697" i="1"/>
  <c r="E2697" i="1"/>
  <c r="D2697" i="1"/>
  <c r="C2697" i="1"/>
  <c r="H2696" i="1"/>
  <c r="G2696" i="1"/>
  <c r="F2696" i="1"/>
  <c r="E2696" i="1"/>
  <c r="D2696" i="1"/>
  <c r="C2696" i="1"/>
  <c r="H2695" i="1"/>
  <c r="G2695" i="1"/>
  <c r="F2695" i="1"/>
  <c r="E2695" i="1"/>
  <c r="D2695" i="1"/>
  <c r="C2695" i="1"/>
  <c r="H2694" i="1"/>
  <c r="G2694" i="1"/>
  <c r="F2694" i="1"/>
  <c r="E2694" i="1"/>
  <c r="D2694" i="1"/>
  <c r="C2694" i="1"/>
  <c r="H2693" i="1"/>
  <c r="G2693" i="1"/>
  <c r="F2693" i="1"/>
  <c r="E2693" i="1"/>
  <c r="D2693" i="1"/>
  <c r="C2693" i="1"/>
  <c r="H2692" i="1"/>
  <c r="G2692" i="1"/>
  <c r="F2692" i="1"/>
  <c r="E2692" i="1"/>
  <c r="D2692" i="1"/>
  <c r="C2692" i="1"/>
  <c r="H2691" i="1"/>
  <c r="G2691" i="1"/>
  <c r="F2691" i="1"/>
  <c r="E2691" i="1"/>
  <c r="D2691" i="1"/>
  <c r="C2691" i="1"/>
  <c r="H2690" i="1"/>
  <c r="G2690" i="1"/>
  <c r="F2690" i="1"/>
  <c r="E2690" i="1"/>
  <c r="D2690" i="1"/>
  <c r="C2690" i="1"/>
  <c r="H2689" i="1"/>
  <c r="G2689" i="1"/>
  <c r="F2689" i="1"/>
  <c r="E2689" i="1"/>
  <c r="D2689" i="1"/>
  <c r="C2689" i="1"/>
  <c r="H2688" i="1"/>
  <c r="G2688" i="1"/>
  <c r="F2688" i="1"/>
  <c r="E2688" i="1"/>
  <c r="D2688" i="1"/>
  <c r="C2688" i="1"/>
  <c r="H2687" i="1"/>
  <c r="G2687" i="1"/>
  <c r="F2687" i="1"/>
  <c r="E2687" i="1"/>
  <c r="D2687" i="1"/>
  <c r="C2687" i="1"/>
  <c r="H2686" i="1"/>
  <c r="G2686" i="1"/>
  <c r="F2686" i="1"/>
  <c r="E2686" i="1"/>
  <c r="D2686" i="1"/>
  <c r="C2686" i="1"/>
  <c r="H2685" i="1"/>
  <c r="G2685" i="1"/>
  <c r="F2685" i="1"/>
  <c r="E2685" i="1"/>
  <c r="D2685" i="1"/>
  <c r="C2685" i="1"/>
  <c r="H2684" i="1"/>
  <c r="G2684" i="1"/>
  <c r="F2684" i="1"/>
  <c r="E2684" i="1"/>
  <c r="D2684" i="1"/>
  <c r="C2684" i="1"/>
  <c r="H2683" i="1"/>
  <c r="G2683" i="1"/>
  <c r="F2683" i="1"/>
  <c r="E2683" i="1"/>
  <c r="D2683" i="1"/>
  <c r="C2683" i="1"/>
  <c r="H2682" i="1"/>
  <c r="G2682" i="1"/>
  <c r="F2682" i="1"/>
  <c r="E2682" i="1"/>
  <c r="D2682" i="1"/>
  <c r="C2682" i="1"/>
  <c r="H2681" i="1"/>
  <c r="G2681" i="1"/>
  <c r="F2681" i="1"/>
  <c r="E2681" i="1"/>
  <c r="D2681" i="1"/>
  <c r="C2681" i="1"/>
  <c r="H2680" i="1"/>
  <c r="G2680" i="1"/>
  <c r="F2680" i="1"/>
  <c r="E2680" i="1"/>
  <c r="D2680" i="1"/>
  <c r="C2680" i="1"/>
  <c r="H2679" i="1"/>
  <c r="G2679" i="1"/>
  <c r="F2679" i="1"/>
  <c r="E2679" i="1"/>
  <c r="D2679" i="1"/>
  <c r="C2679" i="1"/>
  <c r="H2678" i="1"/>
  <c r="G2678" i="1"/>
  <c r="F2678" i="1"/>
  <c r="E2678" i="1"/>
  <c r="D2678" i="1"/>
  <c r="C2678" i="1"/>
  <c r="H2677" i="1"/>
  <c r="G2677" i="1"/>
  <c r="F2677" i="1"/>
  <c r="E2677" i="1"/>
  <c r="D2677" i="1"/>
  <c r="C2677" i="1"/>
  <c r="H2676" i="1"/>
  <c r="G2676" i="1"/>
  <c r="F2676" i="1"/>
  <c r="E2676" i="1"/>
  <c r="D2676" i="1"/>
  <c r="C2676" i="1"/>
  <c r="H2675" i="1"/>
  <c r="G2675" i="1"/>
  <c r="F2675" i="1"/>
  <c r="E2675" i="1"/>
  <c r="D2675" i="1"/>
  <c r="C2675" i="1"/>
  <c r="H2674" i="1"/>
  <c r="G2674" i="1"/>
  <c r="F2674" i="1"/>
  <c r="E2674" i="1"/>
  <c r="D2674" i="1"/>
  <c r="C2674" i="1"/>
  <c r="H2673" i="1"/>
  <c r="G2673" i="1"/>
  <c r="F2673" i="1"/>
  <c r="E2673" i="1"/>
  <c r="D2673" i="1"/>
  <c r="C2673" i="1"/>
  <c r="H2672" i="1"/>
  <c r="G2672" i="1"/>
  <c r="F2672" i="1"/>
  <c r="E2672" i="1"/>
  <c r="D2672" i="1"/>
  <c r="C2672" i="1"/>
  <c r="H2671" i="1"/>
  <c r="G2671" i="1"/>
  <c r="F2671" i="1"/>
  <c r="E2671" i="1"/>
  <c r="D2671" i="1"/>
  <c r="C2671" i="1"/>
  <c r="H2670" i="1"/>
  <c r="G2670" i="1"/>
  <c r="F2670" i="1"/>
  <c r="E2670" i="1"/>
  <c r="D2670" i="1"/>
  <c r="C2670" i="1"/>
  <c r="H2669" i="1"/>
  <c r="G2669" i="1"/>
  <c r="F2669" i="1"/>
  <c r="E2669" i="1"/>
  <c r="D2669" i="1"/>
  <c r="C2669" i="1"/>
  <c r="H2668" i="1"/>
  <c r="G2668" i="1"/>
  <c r="F2668" i="1"/>
  <c r="E2668" i="1"/>
  <c r="D2668" i="1"/>
  <c r="C2668" i="1"/>
  <c r="H2667" i="1"/>
  <c r="G2667" i="1"/>
  <c r="F2667" i="1"/>
  <c r="E2667" i="1"/>
  <c r="D2667" i="1"/>
  <c r="C2667" i="1"/>
  <c r="H2666" i="1"/>
  <c r="G2666" i="1"/>
  <c r="F2666" i="1"/>
  <c r="E2666" i="1"/>
  <c r="D2666" i="1"/>
  <c r="C2666" i="1"/>
  <c r="H2665" i="1"/>
  <c r="G2665" i="1"/>
  <c r="F2665" i="1"/>
  <c r="E2665" i="1"/>
  <c r="D2665" i="1"/>
  <c r="C2665" i="1"/>
  <c r="H2664" i="1"/>
  <c r="G2664" i="1"/>
  <c r="F2664" i="1"/>
  <c r="E2664" i="1"/>
  <c r="D2664" i="1"/>
  <c r="C2664" i="1"/>
  <c r="H2663" i="1"/>
  <c r="G2663" i="1"/>
  <c r="F2663" i="1"/>
  <c r="E2663" i="1"/>
  <c r="D2663" i="1"/>
  <c r="C2663" i="1"/>
  <c r="H2662" i="1"/>
  <c r="G2662" i="1"/>
  <c r="F2662" i="1"/>
  <c r="E2662" i="1"/>
  <c r="D2662" i="1"/>
  <c r="C2662" i="1"/>
  <c r="H2661" i="1"/>
  <c r="G2661" i="1"/>
  <c r="F2661" i="1"/>
  <c r="E2661" i="1"/>
  <c r="D2661" i="1"/>
  <c r="C2661" i="1"/>
  <c r="H2660" i="1"/>
  <c r="G2660" i="1"/>
  <c r="F2660" i="1"/>
  <c r="E2660" i="1"/>
  <c r="D2660" i="1"/>
  <c r="C2660" i="1"/>
  <c r="H2659" i="1"/>
  <c r="G2659" i="1"/>
  <c r="F2659" i="1"/>
  <c r="E2659" i="1"/>
  <c r="D2659" i="1"/>
  <c r="C2659" i="1"/>
  <c r="H2658" i="1"/>
  <c r="G2658" i="1"/>
  <c r="F2658" i="1"/>
  <c r="E2658" i="1"/>
  <c r="D2658" i="1"/>
  <c r="C2658" i="1"/>
  <c r="H2657" i="1"/>
  <c r="G2657" i="1"/>
  <c r="F2657" i="1"/>
  <c r="E2657" i="1"/>
  <c r="D2657" i="1"/>
  <c r="C2657" i="1"/>
  <c r="H2656" i="1"/>
  <c r="G2656" i="1"/>
  <c r="F2656" i="1"/>
  <c r="E2656" i="1"/>
  <c r="D2656" i="1"/>
  <c r="C2656" i="1"/>
  <c r="H2655" i="1"/>
  <c r="G2655" i="1"/>
  <c r="F2655" i="1"/>
  <c r="E2655" i="1"/>
  <c r="D2655" i="1"/>
  <c r="C2655" i="1"/>
  <c r="H2654" i="1"/>
  <c r="G2654" i="1"/>
  <c r="F2654" i="1"/>
  <c r="E2654" i="1"/>
  <c r="D2654" i="1"/>
  <c r="C2654" i="1"/>
  <c r="H2653" i="1"/>
  <c r="G2653" i="1"/>
  <c r="F2653" i="1"/>
  <c r="E2653" i="1"/>
  <c r="D2653" i="1"/>
  <c r="C2653" i="1"/>
  <c r="H2652" i="1"/>
  <c r="G2652" i="1"/>
  <c r="F2652" i="1"/>
  <c r="E2652" i="1"/>
  <c r="D2652" i="1"/>
  <c r="C2652" i="1"/>
  <c r="H2651" i="1"/>
  <c r="G2651" i="1"/>
  <c r="F2651" i="1"/>
  <c r="E2651" i="1"/>
  <c r="D2651" i="1"/>
  <c r="C2651" i="1"/>
  <c r="H2650" i="1"/>
  <c r="G2650" i="1"/>
  <c r="F2650" i="1"/>
  <c r="E2650" i="1"/>
  <c r="D2650" i="1"/>
  <c r="C2650" i="1"/>
  <c r="H2649" i="1"/>
  <c r="G2649" i="1"/>
  <c r="F2649" i="1"/>
  <c r="E2649" i="1"/>
  <c r="D2649" i="1"/>
  <c r="C2649" i="1"/>
  <c r="H2648" i="1"/>
  <c r="G2648" i="1"/>
  <c r="F2648" i="1"/>
  <c r="E2648" i="1"/>
  <c r="D2648" i="1"/>
  <c r="C2648" i="1"/>
  <c r="H2647" i="1"/>
  <c r="G2647" i="1"/>
  <c r="F2647" i="1"/>
  <c r="E2647" i="1"/>
  <c r="D2647" i="1"/>
  <c r="C2647" i="1"/>
  <c r="H2646" i="1"/>
  <c r="G2646" i="1"/>
  <c r="F2646" i="1"/>
  <c r="E2646" i="1"/>
  <c r="D2646" i="1"/>
  <c r="C2646" i="1"/>
  <c r="H2645" i="1"/>
  <c r="G2645" i="1"/>
  <c r="F2645" i="1"/>
  <c r="E2645" i="1"/>
  <c r="D2645" i="1"/>
  <c r="C2645" i="1"/>
  <c r="H2644" i="1"/>
  <c r="G2644" i="1"/>
  <c r="F2644" i="1"/>
  <c r="E2644" i="1"/>
  <c r="D2644" i="1"/>
  <c r="C2644" i="1"/>
  <c r="H2643" i="1"/>
  <c r="G2643" i="1"/>
  <c r="F2643" i="1"/>
  <c r="E2643" i="1"/>
  <c r="D2643" i="1"/>
  <c r="C2643" i="1"/>
  <c r="H2642" i="1"/>
  <c r="G2642" i="1"/>
  <c r="F2642" i="1"/>
  <c r="E2642" i="1"/>
  <c r="D2642" i="1"/>
  <c r="C2642" i="1"/>
  <c r="H2641" i="1"/>
  <c r="G2641" i="1"/>
  <c r="F2641" i="1"/>
  <c r="E2641" i="1"/>
  <c r="D2641" i="1"/>
  <c r="C2641" i="1"/>
  <c r="H2640" i="1"/>
  <c r="G2640" i="1"/>
  <c r="F2640" i="1"/>
  <c r="E2640" i="1"/>
  <c r="D2640" i="1"/>
  <c r="C2640" i="1"/>
  <c r="H2639" i="1"/>
  <c r="G2639" i="1"/>
  <c r="F2639" i="1"/>
  <c r="E2639" i="1"/>
  <c r="D2639" i="1"/>
  <c r="C2639" i="1"/>
  <c r="H2638" i="1"/>
  <c r="G2638" i="1"/>
  <c r="F2638" i="1"/>
  <c r="E2638" i="1"/>
  <c r="D2638" i="1"/>
  <c r="C2638" i="1"/>
  <c r="H2637" i="1"/>
  <c r="G2637" i="1"/>
  <c r="F2637" i="1"/>
  <c r="E2637" i="1"/>
  <c r="D2637" i="1"/>
  <c r="C2637" i="1"/>
  <c r="H2636" i="1"/>
  <c r="G2636" i="1"/>
  <c r="F2636" i="1"/>
  <c r="E2636" i="1"/>
  <c r="D2636" i="1"/>
  <c r="C2636" i="1"/>
  <c r="H2635" i="1"/>
  <c r="G2635" i="1"/>
  <c r="F2635" i="1"/>
  <c r="E2635" i="1"/>
  <c r="D2635" i="1"/>
  <c r="C2635" i="1"/>
  <c r="H2634" i="1"/>
  <c r="G2634" i="1"/>
  <c r="F2634" i="1"/>
  <c r="E2634" i="1"/>
  <c r="D2634" i="1"/>
  <c r="C2634" i="1"/>
  <c r="H2633" i="1"/>
  <c r="G2633" i="1"/>
  <c r="F2633" i="1"/>
  <c r="E2633" i="1"/>
  <c r="D2633" i="1"/>
  <c r="C2633" i="1"/>
  <c r="H2632" i="1"/>
  <c r="G2632" i="1"/>
  <c r="F2632" i="1"/>
  <c r="E2632" i="1"/>
  <c r="D2632" i="1"/>
  <c r="C2632" i="1"/>
  <c r="H2631" i="1"/>
  <c r="G2631" i="1"/>
  <c r="F2631" i="1"/>
  <c r="E2631" i="1"/>
  <c r="D2631" i="1"/>
  <c r="C2631" i="1"/>
  <c r="H2630" i="1"/>
  <c r="G2630" i="1"/>
  <c r="F2630" i="1"/>
  <c r="E2630" i="1"/>
  <c r="D2630" i="1"/>
  <c r="C2630" i="1"/>
  <c r="H2629" i="1"/>
  <c r="G2629" i="1"/>
  <c r="F2629" i="1"/>
  <c r="E2629" i="1"/>
  <c r="D2629" i="1"/>
  <c r="C2629" i="1"/>
  <c r="H2628" i="1"/>
  <c r="G2628" i="1"/>
  <c r="F2628" i="1"/>
  <c r="E2628" i="1"/>
  <c r="D2628" i="1"/>
  <c r="C2628" i="1"/>
  <c r="H2627" i="1"/>
  <c r="G2627" i="1"/>
  <c r="F2627" i="1"/>
  <c r="E2627" i="1"/>
  <c r="D2627" i="1"/>
  <c r="C2627" i="1"/>
  <c r="H2626" i="1"/>
  <c r="G2626" i="1"/>
  <c r="F2626" i="1"/>
  <c r="E2626" i="1"/>
  <c r="D2626" i="1"/>
  <c r="C2626" i="1"/>
  <c r="H2625" i="1"/>
  <c r="G2625" i="1"/>
  <c r="F2625" i="1"/>
  <c r="E2625" i="1"/>
  <c r="D2625" i="1"/>
  <c r="C2625" i="1"/>
  <c r="H2624" i="1"/>
  <c r="G2624" i="1"/>
  <c r="F2624" i="1"/>
  <c r="E2624" i="1"/>
  <c r="D2624" i="1"/>
  <c r="C2624" i="1"/>
  <c r="H2623" i="1"/>
  <c r="G2623" i="1"/>
  <c r="F2623" i="1"/>
  <c r="E2623" i="1"/>
  <c r="D2623" i="1"/>
  <c r="C2623" i="1"/>
  <c r="H2622" i="1"/>
  <c r="G2622" i="1"/>
  <c r="F2622" i="1"/>
  <c r="E2622" i="1"/>
  <c r="D2622" i="1"/>
  <c r="C2622" i="1"/>
  <c r="H2621" i="1"/>
  <c r="G2621" i="1"/>
  <c r="F2621" i="1"/>
  <c r="E2621" i="1"/>
  <c r="D2621" i="1"/>
  <c r="C2621" i="1"/>
  <c r="H2620" i="1"/>
  <c r="G2620" i="1"/>
  <c r="F2620" i="1"/>
  <c r="E2620" i="1"/>
  <c r="D2620" i="1"/>
  <c r="C2620" i="1"/>
  <c r="H2619" i="1"/>
  <c r="G2619" i="1"/>
  <c r="F2619" i="1"/>
  <c r="E2619" i="1"/>
  <c r="D2619" i="1"/>
  <c r="C2619" i="1"/>
  <c r="H2618" i="1"/>
  <c r="G2618" i="1"/>
  <c r="F2618" i="1"/>
  <c r="E2618" i="1"/>
  <c r="D2618" i="1"/>
  <c r="C2618" i="1"/>
  <c r="H2617" i="1"/>
  <c r="G2617" i="1"/>
  <c r="F2617" i="1"/>
  <c r="E2617" i="1"/>
  <c r="D2617" i="1"/>
  <c r="C2617" i="1"/>
  <c r="H2616" i="1"/>
  <c r="G2616" i="1"/>
  <c r="F2616" i="1"/>
  <c r="E2616" i="1"/>
  <c r="D2616" i="1"/>
  <c r="C2616" i="1"/>
  <c r="H2615" i="1"/>
  <c r="G2615" i="1"/>
  <c r="F2615" i="1"/>
  <c r="E2615" i="1"/>
  <c r="D2615" i="1"/>
  <c r="C2615" i="1"/>
  <c r="H2614" i="1"/>
  <c r="G2614" i="1"/>
  <c r="F2614" i="1"/>
  <c r="E2614" i="1"/>
  <c r="D2614" i="1"/>
  <c r="C2614" i="1"/>
  <c r="H2613" i="1"/>
  <c r="G2613" i="1"/>
  <c r="F2613" i="1"/>
  <c r="E2613" i="1"/>
  <c r="D2613" i="1"/>
  <c r="C2613" i="1"/>
  <c r="H2612" i="1"/>
  <c r="G2612" i="1"/>
  <c r="F2612" i="1"/>
  <c r="E2612" i="1"/>
  <c r="D2612" i="1"/>
  <c r="C2612" i="1"/>
  <c r="H2611" i="1"/>
  <c r="G2611" i="1"/>
  <c r="F2611" i="1"/>
  <c r="E2611" i="1"/>
  <c r="D2611" i="1"/>
  <c r="C2611" i="1"/>
  <c r="H2610" i="1"/>
  <c r="G2610" i="1"/>
  <c r="F2610" i="1"/>
  <c r="E2610" i="1"/>
  <c r="D2610" i="1"/>
  <c r="C2610" i="1"/>
  <c r="H2609" i="1"/>
  <c r="G2609" i="1"/>
  <c r="F2609" i="1"/>
  <c r="E2609" i="1"/>
  <c r="D2609" i="1"/>
  <c r="C2609" i="1"/>
  <c r="H2608" i="1"/>
  <c r="G2608" i="1"/>
  <c r="F2608" i="1"/>
  <c r="E2608" i="1"/>
  <c r="D2608" i="1"/>
  <c r="C2608" i="1"/>
  <c r="H2607" i="1"/>
  <c r="G2607" i="1"/>
  <c r="F2607" i="1"/>
  <c r="E2607" i="1"/>
  <c r="D2607" i="1"/>
  <c r="C2607" i="1"/>
  <c r="H2606" i="1"/>
  <c r="G2606" i="1"/>
  <c r="F2606" i="1"/>
  <c r="E2606" i="1"/>
  <c r="D2606" i="1"/>
  <c r="C2606" i="1"/>
  <c r="H2605" i="1"/>
  <c r="G2605" i="1"/>
  <c r="F2605" i="1"/>
  <c r="E2605" i="1"/>
  <c r="D2605" i="1"/>
  <c r="C2605" i="1"/>
  <c r="H2604" i="1"/>
  <c r="G2604" i="1"/>
  <c r="F2604" i="1"/>
  <c r="E2604" i="1"/>
  <c r="D2604" i="1"/>
  <c r="C2604" i="1"/>
  <c r="H2603" i="1"/>
  <c r="G2603" i="1"/>
  <c r="F2603" i="1"/>
  <c r="E2603" i="1"/>
  <c r="D2603" i="1"/>
  <c r="C2603" i="1"/>
  <c r="H2602" i="1"/>
  <c r="G2602" i="1"/>
  <c r="F2602" i="1"/>
  <c r="E2602" i="1"/>
  <c r="D2602" i="1"/>
  <c r="C2602" i="1"/>
  <c r="H2601" i="1"/>
  <c r="G2601" i="1"/>
  <c r="F2601" i="1"/>
  <c r="E2601" i="1"/>
  <c r="D2601" i="1"/>
  <c r="C2601" i="1"/>
  <c r="H2600" i="1"/>
  <c r="G2600" i="1"/>
  <c r="F2600" i="1"/>
  <c r="E2600" i="1"/>
  <c r="D2600" i="1"/>
  <c r="C2600" i="1"/>
  <c r="H2599" i="1"/>
  <c r="G2599" i="1"/>
  <c r="F2599" i="1"/>
  <c r="E2599" i="1"/>
  <c r="D2599" i="1"/>
  <c r="C2599" i="1"/>
  <c r="H2598" i="1"/>
  <c r="G2598" i="1"/>
  <c r="F2598" i="1"/>
  <c r="E2598" i="1"/>
  <c r="D2598" i="1"/>
  <c r="C2598" i="1"/>
  <c r="H2597" i="1"/>
  <c r="G2597" i="1"/>
  <c r="F2597" i="1"/>
  <c r="E2597" i="1"/>
  <c r="D2597" i="1"/>
  <c r="C2597" i="1"/>
  <c r="H2596" i="1"/>
  <c r="G2596" i="1"/>
  <c r="F2596" i="1"/>
  <c r="E2596" i="1"/>
  <c r="D2596" i="1"/>
  <c r="C2596" i="1"/>
  <c r="H2595" i="1"/>
  <c r="G2595" i="1"/>
  <c r="F2595" i="1"/>
  <c r="E2595" i="1"/>
  <c r="D2595" i="1"/>
  <c r="C2595" i="1"/>
  <c r="H2594" i="1"/>
  <c r="G2594" i="1"/>
  <c r="F2594" i="1"/>
  <c r="E2594" i="1"/>
  <c r="D2594" i="1"/>
  <c r="C2594" i="1"/>
  <c r="H2593" i="1"/>
  <c r="G2593" i="1"/>
  <c r="F2593" i="1"/>
  <c r="E2593" i="1"/>
  <c r="D2593" i="1"/>
  <c r="C2593" i="1"/>
  <c r="H2592" i="1"/>
  <c r="G2592" i="1"/>
  <c r="F2592" i="1"/>
  <c r="E2592" i="1"/>
  <c r="D2592" i="1"/>
  <c r="C2592" i="1"/>
  <c r="H2591" i="1"/>
  <c r="G2591" i="1"/>
  <c r="F2591" i="1"/>
  <c r="E2591" i="1"/>
  <c r="D2591" i="1"/>
  <c r="C2591" i="1"/>
  <c r="H2590" i="1"/>
  <c r="G2590" i="1"/>
  <c r="F2590" i="1"/>
  <c r="E2590" i="1"/>
  <c r="D2590" i="1"/>
  <c r="C2590" i="1"/>
  <c r="H2589" i="1"/>
  <c r="G2589" i="1"/>
  <c r="F2589" i="1"/>
  <c r="E2589" i="1"/>
  <c r="D2589" i="1"/>
  <c r="C2589" i="1"/>
  <c r="H2588" i="1"/>
  <c r="G2588" i="1"/>
  <c r="F2588" i="1"/>
  <c r="E2588" i="1"/>
  <c r="D2588" i="1"/>
  <c r="C2588" i="1"/>
  <c r="H2587" i="1"/>
  <c r="G2587" i="1"/>
  <c r="F2587" i="1"/>
  <c r="E2587" i="1"/>
  <c r="D2587" i="1"/>
  <c r="C2587" i="1"/>
  <c r="H2586" i="1"/>
  <c r="G2586" i="1"/>
  <c r="F2586" i="1"/>
  <c r="E2586" i="1"/>
  <c r="D2586" i="1"/>
  <c r="C2586" i="1"/>
  <c r="H2585" i="1"/>
  <c r="G2585" i="1"/>
  <c r="F2585" i="1"/>
  <c r="E2585" i="1"/>
  <c r="D2585" i="1"/>
  <c r="C2585" i="1"/>
  <c r="H2584" i="1"/>
  <c r="G2584" i="1"/>
  <c r="F2584" i="1"/>
  <c r="E2584" i="1"/>
  <c r="D2584" i="1"/>
  <c r="C2584" i="1"/>
  <c r="H2583" i="1"/>
  <c r="G2583" i="1"/>
  <c r="F2583" i="1"/>
  <c r="E2583" i="1"/>
  <c r="D2583" i="1"/>
  <c r="C2583" i="1"/>
  <c r="H2582" i="1"/>
  <c r="G2582" i="1"/>
  <c r="F2582" i="1"/>
  <c r="E2582" i="1"/>
  <c r="D2582" i="1"/>
  <c r="C2582" i="1"/>
  <c r="H2581" i="1"/>
  <c r="G2581" i="1"/>
  <c r="F2581" i="1"/>
  <c r="E2581" i="1"/>
  <c r="D2581" i="1"/>
  <c r="C2581" i="1"/>
  <c r="H2580" i="1"/>
  <c r="G2580" i="1"/>
  <c r="F2580" i="1"/>
  <c r="E2580" i="1"/>
  <c r="D2580" i="1"/>
  <c r="C2580" i="1"/>
  <c r="H2579" i="1"/>
  <c r="G2579" i="1"/>
  <c r="F2579" i="1"/>
  <c r="E2579" i="1"/>
  <c r="D2579" i="1"/>
  <c r="C2579" i="1"/>
  <c r="H2578" i="1"/>
  <c r="G2578" i="1"/>
  <c r="F2578" i="1"/>
  <c r="E2578" i="1"/>
  <c r="D2578" i="1"/>
  <c r="C2578" i="1"/>
  <c r="H2577" i="1"/>
  <c r="G2577" i="1"/>
  <c r="F2577" i="1"/>
  <c r="E2577" i="1"/>
  <c r="D2577" i="1"/>
  <c r="C2577" i="1"/>
  <c r="H2576" i="1"/>
  <c r="G2576" i="1"/>
  <c r="F2576" i="1"/>
  <c r="E2576" i="1"/>
  <c r="D2576" i="1"/>
  <c r="C2576" i="1"/>
  <c r="H2575" i="1"/>
  <c r="G2575" i="1"/>
  <c r="F2575" i="1"/>
  <c r="E2575" i="1"/>
  <c r="D2575" i="1"/>
  <c r="C2575" i="1"/>
  <c r="H2574" i="1"/>
  <c r="G2574" i="1"/>
  <c r="F2574" i="1"/>
  <c r="E2574" i="1"/>
  <c r="D2574" i="1"/>
  <c r="C2574" i="1"/>
  <c r="H2573" i="1"/>
  <c r="G2573" i="1"/>
  <c r="F2573" i="1"/>
  <c r="E2573" i="1"/>
  <c r="D2573" i="1"/>
  <c r="C2573" i="1"/>
  <c r="H2572" i="1"/>
  <c r="G2572" i="1"/>
  <c r="F2572" i="1"/>
  <c r="E2572" i="1"/>
  <c r="D2572" i="1"/>
  <c r="C2572" i="1"/>
  <c r="H2571" i="1"/>
  <c r="G2571" i="1"/>
  <c r="F2571" i="1"/>
  <c r="E2571" i="1"/>
  <c r="D2571" i="1"/>
  <c r="C2571" i="1"/>
  <c r="H2570" i="1"/>
  <c r="G2570" i="1"/>
  <c r="F2570" i="1"/>
  <c r="E2570" i="1"/>
  <c r="D2570" i="1"/>
  <c r="C2570" i="1"/>
  <c r="H2569" i="1"/>
  <c r="G2569" i="1"/>
  <c r="F2569" i="1"/>
  <c r="E2569" i="1"/>
  <c r="D2569" i="1"/>
  <c r="C2569" i="1"/>
  <c r="H2568" i="1"/>
  <c r="G2568" i="1"/>
  <c r="F2568" i="1"/>
  <c r="E2568" i="1"/>
  <c r="D2568" i="1"/>
  <c r="C2568" i="1"/>
  <c r="H2567" i="1"/>
  <c r="G2567" i="1"/>
  <c r="F2567" i="1"/>
  <c r="E2567" i="1"/>
  <c r="D2567" i="1"/>
  <c r="C2567" i="1"/>
  <c r="H2566" i="1"/>
  <c r="G2566" i="1"/>
  <c r="F2566" i="1"/>
  <c r="E2566" i="1"/>
  <c r="D2566" i="1"/>
  <c r="C2566" i="1"/>
  <c r="H2565" i="1"/>
  <c r="G2565" i="1"/>
  <c r="F2565" i="1"/>
  <c r="E2565" i="1"/>
  <c r="D2565" i="1"/>
  <c r="C2565" i="1"/>
  <c r="H2564" i="1"/>
  <c r="G2564" i="1"/>
  <c r="F2564" i="1"/>
  <c r="E2564" i="1"/>
  <c r="D2564" i="1"/>
  <c r="C2564" i="1"/>
  <c r="H2563" i="1"/>
  <c r="G2563" i="1"/>
  <c r="F2563" i="1"/>
  <c r="E2563" i="1"/>
  <c r="D2563" i="1"/>
  <c r="C2563" i="1"/>
  <c r="H2562" i="1"/>
  <c r="G2562" i="1"/>
  <c r="F2562" i="1"/>
  <c r="E2562" i="1"/>
  <c r="D2562" i="1"/>
  <c r="C2562" i="1"/>
  <c r="H2561" i="1"/>
  <c r="G2561" i="1"/>
  <c r="F2561" i="1"/>
  <c r="E2561" i="1"/>
  <c r="D2561" i="1"/>
  <c r="C2561" i="1"/>
  <c r="H2560" i="1"/>
  <c r="G2560" i="1"/>
  <c r="F2560" i="1"/>
  <c r="E2560" i="1"/>
  <c r="D2560" i="1"/>
  <c r="C2560" i="1"/>
  <c r="H2559" i="1"/>
  <c r="G2559" i="1"/>
  <c r="F2559" i="1"/>
  <c r="E2559" i="1"/>
  <c r="D2559" i="1"/>
  <c r="C2559" i="1"/>
  <c r="H2558" i="1"/>
  <c r="G2558" i="1"/>
  <c r="F2558" i="1"/>
  <c r="E2558" i="1"/>
  <c r="D2558" i="1"/>
  <c r="C2558" i="1"/>
  <c r="H2557" i="1"/>
  <c r="G2557" i="1"/>
  <c r="F2557" i="1"/>
  <c r="E2557" i="1"/>
  <c r="D2557" i="1"/>
  <c r="C2557" i="1"/>
  <c r="H2556" i="1"/>
  <c r="G2556" i="1"/>
  <c r="F2556" i="1"/>
  <c r="E2556" i="1"/>
  <c r="D2556" i="1"/>
  <c r="C2556" i="1"/>
  <c r="H2555" i="1"/>
  <c r="G2555" i="1"/>
  <c r="F2555" i="1"/>
  <c r="E2555" i="1"/>
  <c r="D2555" i="1"/>
  <c r="C2555" i="1"/>
  <c r="H2554" i="1"/>
  <c r="G2554" i="1"/>
  <c r="F2554" i="1"/>
  <c r="E2554" i="1"/>
  <c r="D2554" i="1"/>
  <c r="C2554" i="1"/>
  <c r="H2553" i="1"/>
  <c r="G2553" i="1"/>
  <c r="F2553" i="1"/>
  <c r="E2553" i="1"/>
  <c r="D2553" i="1"/>
  <c r="C2553" i="1"/>
  <c r="H2552" i="1"/>
  <c r="G2552" i="1"/>
  <c r="F2552" i="1"/>
  <c r="E2552" i="1"/>
  <c r="D2552" i="1"/>
  <c r="C2552" i="1"/>
  <c r="H2551" i="1"/>
  <c r="G2551" i="1"/>
  <c r="F2551" i="1"/>
  <c r="E2551" i="1"/>
  <c r="D2551" i="1"/>
  <c r="C2551" i="1"/>
  <c r="H2550" i="1"/>
  <c r="G2550" i="1"/>
  <c r="F2550" i="1"/>
  <c r="E2550" i="1"/>
  <c r="D2550" i="1"/>
  <c r="C2550" i="1"/>
  <c r="H2549" i="1"/>
  <c r="G2549" i="1"/>
  <c r="F2549" i="1"/>
  <c r="E2549" i="1"/>
  <c r="D2549" i="1"/>
  <c r="C2549" i="1"/>
  <c r="H2548" i="1"/>
  <c r="G2548" i="1"/>
  <c r="F2548" i="1"/>
  <c r="E2548" i="1"/>
  <c r="D2548" i="1"/>
  <c r="C2548" i="1"/>
  <c r="H2547" i="1"/>
  <c r="G2547" i="1"/>
  <c r="F2547" i="1"/>
  <c r="E2547" i="1"/>
  <c r="D2547" i="1"/>
  <c r="C2547" i="1"/>
  <c r="H2546" i="1"/>
  <c r="G2546" i="1"/>
  <c r="F2546" i="1"/>
  <c r="E2546" i="1"/>
  <c r="D2546" i="1"/>
  <c r="C2546" i="1"/>
  <c r="H2545" i="1"/>
  <c r="G2545" i="1"/>
  <c r="F2545" i="1"/>
  <c r="E2545" i="1"/>
  <c r="D2545" i="1"/>
  <c r="C2545" i="1"/>
  <c r="H2544" i="1"/>
  <c r="G2544" i="1"/>
  <c r="F2544" i="1"/>
  <c r="E2544" i="1"/>
  <c r="D2544" i="1"/>
  <c r="C2544" i="1"/>
  <c r="H2543" i="1"/>
  <c r="G2543" i="1"/>
  <c r="F2543" i="1"/>
  <c r="E2543" i="1"/>
  <c r="D2543" i="1"/>
  <c r="C2543" i="1"/>
  <c r="H2542" i="1"/>
  <c r="G2542" i="1"/>
  <c r="F2542" i="1"/>
  <c r="E2542" i="1"/>
  <c r="D2542" i="1"/>
  <c r="C2542" i="1"/>
  <c r="H2541" i="1"/>
  <c r="G2541" i="1"/>
  <c r="F2541" i="1"/>
  <c r="E2541" i="1"/>
  <c r="D2541" i="1"/>
  <c r="C2541" i="1"/>
  <c r="H2540" i="1"/>
  <c r="G2540" i="1"/>
  <c r="F2540" i="1"/>
  <c r="E2540" i="1"/>
  <c r="D2540" i="1"/>
  <c r="C2540" i="1"/>
  <c r="H2539" i="1"/>
  <c r="G2539" i="1"/>
  <c r="F2539" i="1"/>
  <c r="E2539" i="1"/>
  <c r="D2539" i="1"/>
  <c r="C2539" i="1"/>
  <c r="H2538" i="1"/>
  <c r="G2538" i="1"/>
  <c r="F2538" i="1"/>
  <c r="E2538" i="1"/>
  <c r="D2538" i="1"/>
  <c r="C2538" i="1"/>
  <c r="H2537" i="1"/>
  <c r="G2537" i="1"/>
  <c r="F2537" i="1"/>
  <c r="E2537" i="1"/>
  <c r="D2537" i="1"/>
  <c r="C2537" i="1"/>
  <c r="H2536" i="1"/>
  <c r="G2536" i="1"/>
  <c r="F2536" i="1"/>
  <c r="E2536" i="1"/>
  <c r="D2536" i="1"/>
  <c r="C2536" i="1"/>
  <c r="H2535" i="1"/>
  <c r="G2535" i="1"/>
  <c r="F2535" i="1"/>
  <c r="E2535" i="1"/>
  <c r="D2535" i="1"/>
  <c r="C2535" i="1"/>
  <c r="H2534" i="1"/>
  <c r="G2534" i="1"/>
  <c r="F2534" i="1"/>
  <c r="E2534" i="1"/>
  <c r="D2534" i="1"/>
  <c r="C2534" i="1"/>
  <c r="H2533" i="1"/>
  <c r="G2533" i="1"/>
  <c r="F2533" i="1"/>
  <c r="E2533" i="1"/>
  <c r="D2533" i="1"/>
  <c r="C2533" i="1"/>
  <c r="H2532" i="1"/>
  <c r="G2532" i="1"/>
  <c r="F2532" i="1"/>
  <c r="E2532" i="1"/>
  <c r="D2532" i="1"/>
  <c r="C2532" i="1"/>
  <c r="H2531" i="1"/>
  <c r="G2531" i="1"/>
  <c r="F2531" i="1"/>
  <c r="E2531" i="1"/>
  <c r="D2531" i="1"/>
  <c r="C2531" i="1"/>
  <c r="H2530" i="1"/>
  <c r="G2530" i="1"/>
  <c r="F2530" i="1"/>
  <c r="E2530" i="1"/>
  <c r="D2530" i="1"/>
  <c r="C2530" i="1"/>
  <c r="H2529" i="1"/>
  <c r="G2529" i="1"/>
  <c r="F2529" i="1"/>
  <c r="E2529" i="1"/>
  <c r="D2529" i="1"/>
  <c r="C2529" i="1"/>
  <c r="H2528" i="1"/>
  <c r="G2528" i="1"/>
  <c r="F2528" i="1"/>
  <c r="E2528" i="1"/>
  <c r="D2528" i="1"/>
  <c r="C2528" i="1"/>
  <c r="H2527" i="1"/>
  <c r="G2527" i="1"/>
  <c r="F2527" i="1"/>
  <c r="E2527" i="1"/>
  <c r="D2527" i="1"/>
  <c r="C2527" i="1"/>
  <c r="H2526" i="1"/>
  <c r="G2526" i="1"/>
  <c r="F2526" i="1"/>
  <c r="E2526" i="1"/>
  <c r="D2526" i="1"/>
  <c r="C2526" i="1"/>
  <c r="H2525" i="1"/>
  <c r="G2525" i="1"/>
  <c r="F2525" i="1"/>
  <c r="E2525" i="1"/>
  <c r="D2525" i="1"/>
  <c r="C2525" i="1"/>
  <c r="H2524" i="1"/>
  <c r="G2524" i="1"/>
  <c r="F2524" i="1"/>
  <c r="E2524" i="1"/>
  <c r="D2524" i="1"/>
  <c r="C2524" i="1"/>
  <c r="H2523" i="1"/>
  <c r="G2523" i="1"/>
  <c r="F2523" i="1"/>
  <c r="E2523" i="1"/>
  <c r="D2523" i="1"/>
  <c r="C2523" i="1"/>
  <c r="H2522" i="1"/>
  <c r="G2522" i="1"/>
  <c r="F2522" i="1"/>
  <c r="E2522" i="1"/>
  <c r="D2522" i="1"/>
  <c r="C2522" i="1"/>
  <c r="H2521" i="1"/>
  <c r="G2521" i="1"/>
  <c r="F2521" i="1"/>
  <c r="E2521" i="1"/>
  <c r="D2521" i="1"/>
  <c r="C2521" i="1"/>
  <c r="H2520" i="1"/>
  <c r="G2520" i="1"/>
  <c r="F2520" i="1"/>
  <c r="E2520" i="1"/>
  <c r="D2520" i="1"/>
  <c r="C2520" i="1"/>
  <c r="H2519" i="1"/>
  <c r="G2519" i="1"/>
  <c r="F2519" i="1"/>
  <c r="E2519" i="1"/>
  <c r="D2519" i="1"/>
  <c r="C2519" i="1"/>
  <c r="H2518" i="1"/>
  <c r="G2518" i="1"/>
  <c r="F2518" i="1"/>
  <c r="E2518" i="1"/>
  <c r="D2518" i="1"/>
  <c r="C2518" i="1"/>
  <c r="H2517" i="1"/>
  <c r="G2517" i="1"/>
  <c r="F2517" i="1"/>
  <c r="E2517" i="1"/>
  <c r="D2517" i="1"/>
  <c r="C2517" i="1"/>
  <c r="H2516" i="1"/>
  <c r="G2516" i="1"/>
  <c r="F2516" i="1"/>
  <c r="E2516" i="1"/>
  <c r="D2516" i="1"/>
  <c r="C2516" i="1"/>
  <c r="H2515" i="1"/>
  <c r="G2515" i="1"/>
  <c r="F2515" i="1"/>
  <c r="E2515" i="1"/>
  <c r="D2515" i="1"/>
  <c r="C2515" i="1"/>
  <c r="H2514" i="1"/>
  <c r="G2514" i="1"/>
  <c r="F2514" i="1"/>
  <c r="E2514" i="1"/>
  <c r="D2514" i="1"/>
  <c r="C2514" i="1"/>
  <c r="H2513" i="1"/>
  <c r="G2513" i="1"/>
  <c r="F2513" i="1"/>
  <c r="E2513" i="1"/>
  <c r="D2513" i="1"/>
  <c r="C2513" i="1"/>
  <c r="H2512" i="1"/>
  <c r="G2512" i="1"/>
  <c r="F2512" i="1"/>
  <c r="E2512" i="1"/>
  <c r="D2512" i="1"/>
  <c r="C2512" i="1"/>
  <c r="H2511" i="1"/>
  <c r="G2511" i="1"/>
  <c r="F2511" i="1"/>
  <c r="E2511" i="1"/>
  <c r="D2511" i="1"/>
  <c r="C2511" i="1"/>
  <c r="H2510" i="1"/>
  <c r="G2510" i="1"/>
  <c r="F2510" i="1"/>
  <c r="E2510" i="1"/>
  <c r="D2510" i="1"/>
  <c r="C2510" i="1"/>
  <c r="H2509" i="1"/>
  <c r="G2509" i="1"/>
  <c r="F2509" i="1"/>
  <c r="E2509" i="1"/>
  <c r="D2509" i="1"/>
  <c r="C2509" i="1"/>
  <c r="H2508" i="1"/>
  <c r="G2508" i="1"/>
  <c r="F2508" i="1"/>
  <c r="E2508" i="1"/>
  <c r="D2508" i="1"/>
  <c r="C2508" i="1"/>
  <c r="H2507" i="1"/>
  <c r="G2507" i="1"/>
  <c r="F2507" i="1"/>
  <c r="E2507" i="1"/>
  <c r="D2507" i="1"/>
  <c r="C2507" i="1"/>
  <c r="H2506" i="1"/>
  <c r="G2506" i="1"/>
  <c r="F2506" i="1"/>
  <c r="E2506" i="1"/>
  <c r="D2506" i="1"/>
  <c r="C2506" i="1"/>
  <c r="H2505" i="1"/>
  <c r="G2505" i="1"/>
  <c r="F2505" i="1"/>
  <c r="E2505" i="1"/>
  <c r="D2505" i="1"/>
  <c r="C2505" i="1"/>
  <c r="H2504" i="1"/>
  <c r="G2504" i="1"/>
  <c r="F2504" i="1"/>
  <c r="E2504" i="1"/>
  <c r="D2504" i="1"/>
  <c r="C2504" i="1"/>
  <c r="H2503" i="1"/>
  <c r="G2503" i="1"/>
  <c r="F2503" i="1"/>
  <c r="E2503" i="1"/>
  <c r="D2503" i="1"/>
  <c r="C2503" i="1"/>
  <c r="H2502" i="1"/>
  <c r="G2502" i="1"/>
  <c r="F2502" i="1"/>
  <c r="E2502" i="1"/>
  <c r="D2502" i="1"/>
  <c r="C2502" i="1"/>
  <c r="H2501" i="1"/>
  <c r="G2501" i="1"/>
  <c r="F2501" i="1"/>
  <c r="E2501" i="1"/>
  <c r="D2501" i="1"/>
  <c r="C2501" i="1"/>
  <c r="H2500" i="1"/>
  <c r="G2500" i="1"/>
  <c r="F2500" i="1"/>
  <c r="E2500" i="1"/>
  <c r="D2500" i="1"/>
  <c r="C2500" i="1"/>
  <c r="H2499" i="1"/>
  <c r="G2499" i="1"/>
  <c r="F2499" i="1"/>
  <c r="E2499" i="1"/>
  <c r="D2499" i="1"/>
  <c r="C2499" i="1"/>
  <c r="H2498" i="1"/>
  <c r="G2498" i="1"/>
  <c r="F2498" i="1"/>
  <c r="E2498" i="1"/>
  <c r="D2498" i="1"/>
  <c r="C2498" i="1"/>
  <c r="H2497" i="1"/>
  <c r="G2497" i="1"/>
  <c r="F2497" i="1"/>
  <c r="E2497" i="1"/>
  <c r="D2497" i="1"/>
  <c r="C2497" i="1"/>
  <c r="H2496" i="1"/>
  <c r="G2496" i="1"/>
  <c r="F2496" i="1"/>
  <c r="E2496" i="1"/>
  <c r="D2496" i="1"/>
  <c r="C2496" i="1"/>
  <c r="H2495" i="1"/>
  <c r="G2495" i="1"/>
  <c r="F2495" i="1"/>
  <c r="E2495" i="1"/>
  <c r="D2495" i="1"/>
  <c r="C2495" i="1"/>
  <c r="H2494" i="1"/>
  <c r="G2494" i="1"/>
  <c r="F2494" i="1"/>
  <c r="E2494" i="1"/>
  <c r="D2494" i="1"/>
  <c r="C2494" i="1"/>
  <c r="H2493" i="1"/>
  <c r="G2493" i="1"/>
  <c r="F2493" i="1"/>
  <c r="E2493" i="1"/>
  <c r="D2493" i="1"/>
  <c r="C2493" i="1"/>
  <c r="H2492" i="1"/>
  <c r="G2492" i="1"/>
  <c r="F2492" i="1"/>
  <c r="E2492" i="1"/>
  <c r="D2492" i="1"/>
  <c r="C2492" i="1"/>
  <c r="H2491" i="1"/>
  <c r="G2491" i="1"/>
  <c r="F2491" i="1"/>
  <c r="E2491" i="1"/>
  <c r="D2491" i="1"/>
  <c r="C2491" i="1"/>
  <c r="H2490" i="1"/>
  <c r="G2490" i="1"/>
  <c r="F2490" i="1"/>
  <c r="E2490" i="1"/>
  <c r="D2490" i="1"/>
  <c r="C2490" i="1"/>
  <c r="H2489" i="1"/>
  <c r="G2489" i="1"/>
  <c r="F2489" i="1"/>
  <c r="E2489" i="1"/>
  <c r="D2489" i="1"/>
  <c r="C2489" i="1"/>
  <c r="H2488" i="1"/>
  <c r="G2488" i="1"/>
  <c r="F2488" i="1"/>
  <c r="E2488" i="1"/>
  <c r="D2488" i="1"/>
  <c r="C2488" i="1"/>
  <c r="H2487" i="1"/>
  <c r="G2487" i="1"/>
  <c r="F2487" i="1"/>
  <c r="E2487" i="1"/>
  <c r="D2487" i="1"/>
  <c r="C2487" i="1"/>
  <c r="H2486" i="1"/>
  <c r="G2486" i="1"/>
  <c r="F2486" i="1"/>
  <c r="E2486" i="1"/>
  <c r="D2486" i="1"/>
  <c r="C2486" i="1"/>
  <c r="H2485" i="1"/>
  <c r="G2485" i="1"/>
  <c r="F2485" i="1"/>
  <c r="E2485" i="1"/>
  <c r="D2485" i="1"/>
  <c r="C2485" i="1"/>
  <c r="H2484" i="1"/>
  <c r="G2484" i="1"/>
  <c r="F2484" i="1"/>
  <c r="E2484" i="1"/>
  <c r="D2484" i="1"/>
  <c r="C2484" i="1"/>
  <c r="H2483" i="1"/>
  <c r="G2483" i="1"/>
  <c r="F2483" i="1"/>
  <c r="E2483" i="1"/>
  <c r="D2483" i="1"/>
  <c r="C2483" i="1"/>
  <c r="H2482" i="1"/>
  <c r="G2482" i="1"/>
  <c r="F2482" i="1"/>
  <c r="E2482" i="1"/>
  <c r="D2482" i="1"/>
  <c r="C2482" i="1"/>
  <c r="H2481" i="1"/>
  <c r="G2481" i="1"/>
  <c r="F2481" i="1"/>
  <c r="E2481" i="1"/>
  <c r="D2481" i="1"/>
  <c r="C2481" i="1"/>
  <c r="H2480" i="1"/>
  <c r="G2480" i="1"/>
  <c r="F2480" i="1"/>
  <c r="E2480" i="1"/>
  <c r="D2480" i="1"/>
  <c r="C2480" i="1"/>
  <c r="H2479" i="1"/>
  <c r="G2479" i="1"/>
  <c r="F2479" i="1"/>
  <c r="E2479" i="1"/>
  <c r="D2479" i="1"/>
  <c r="C2479" i="1"/>
  <c r="H2478" i="1"/>
  <c r="G2478" i="1"/>
  <c r="F2478" i="1"/>
  <c r="E2478" i="1"/>
  <c r="D2478" i="1"/>
  <c r="C2478" i="1"/>
  <c r="H2477" i="1"/>
  <c r="G2477" i="1"/>
  <c r="F2477" i="1"/>
  <c r="E2477" i="1"/>
  <c r="D2477" i="1"/>
  <c r="C2477" i="1"/>
  <c r="H2476" i="1"/>
  <c r="G2476" i="1"/>
  <c r="F2476" i="1"/>
  <c r="E2476" i="1"/>
  <c r="D2476" i="1"/>
  <c r="C2476" i="1"/>
  <c r="H2475" i="1"/>
  <c r="G2475" i="1"/>
  <c r="F2475" i="1"/>
  <c r="E2475" i="1"/>
  <c r="D2475" i="1"/>
  <c r="C2475" i="1"/>
  <c r="H2474" i="1"/>
  <c r="G2474" i="1"/>
  <c r="F2474" i="1"/>
  <c r="E2474" i="1"/>
  <c r="D2474" i="1"/>
  <c r="C2474" i="1"/>
  <c r="H2473" i="1"/>
  <c r="G2473" i="1"/>
  <c r="F2473" i="1"/>
  <c r="E2473" i="1"/>
  <c r="D2473" i="1"/>
  <c r="C2473" i="1"/>
  <c r="H2472" i="1"/>
  <c r="G2472" i="1"/>
  <c r="F2472" i="1"/>
  <c r="E2472" i="1"/>
  <c r="D2472" i="1"/>
  <c r="C2472" i="1"/>
  <c r="H2471" i="1"/>
  <c r="G2471" i="1"/>
  <c r="F2471" i="1"/>
  <c r="E2471" i="1"/>
  <c r="D2471" i="1"/>
  <c r="C2471" i="1"/>
  <c r="H2470" i="1"/>
  <c r="G2470" i="1"/>
  <c r="F2470" i="1"/>
  <c r="E2470" i="1"/>
  <c r="D2470" i="1"/>
  <c r="C2470" i="1"/>
  <c r="H2469" i="1"/>
  <c r="G2469" i="1"/>
  <c r="F2469" i="1"/>
  <c r="E2469" i="1"/>
  <c r="D2469" i="1"/>
  <c r="C2469" i="1"/>
  <c r="H2468" i="1"/>
  <c r="G2468" i="1"/>
  <c r="F2468" i="1"/>
  <c r="E2468" i="1"/>
  <c r="D2468" i="1"/>
  <c r="C2468" i="1"/>
  <c r="H2467" i="1"/>
  <c r="G2467" i="1"/>
  <c r="F2467" i="1"/>
  <c r="E2467" i="1"/>
  <c r="D2467" i="1"/>
  <c r="C2467" i="1"/>
  <c r="H2466" i="1"/>
  <c r="G2466" i="1"/>
  <c r="F2466" i="1"/>
  <c r="E2466" i="1"/>
  <c r="D2466" i="1"/>
  <c r="C2466" i="1"/>
  <c r="H2465" i="1"/>
  <c r="G2465" i="1"/>
  <c r="F2465" i="1"/>
  <c r="E2465" i="1"/>
  <c r="D2465" i="1"/>
  <c r="C2465" i="1"/>
  <c r="H2464" i="1"/>
  <c r="G2464" i="1"/>
  <c r="F2464" i="1"/>
  <c r="E2464" i="1"/>
  <c r="D2464" i="1"/>
  <c r="C2464" i="1"/>
  <c r="H2463" i="1"/>
  <c r="G2463" i="1"/>
  <c r="F2463" i="1"/>
  <c r="E2463" i="1"/>
  <c r="D2463" i="1"/>
  <c r="C2463" i="1"/>
  <c r="H2462" i="1"/>
  <c r="G2462" i="1"/>
  <c r="F2462" i="1"/>
  <c r="E2462" i="1"/>
  <c r="D2462" i="1"/>
  <c r="C2462" i="1"/>
  <c r="H2461" i="1"/>
  <c r="G2461" i="1"/>
  <c r="F2461" i="1"/>
  <c r="E2461" i="1"/>
  <c r="D2461" i="1"/>
  <c r="C2461" i="1"/>
  <c r="H2460" i="1"/>
  <c r="G2460" i="1"/>
  <c r="F2460" i="1"/>
  <c r="E2460" i="1"/>
  <c r="D2460" i="1"/>
  <c r="C2460" i="1"/>
  <c r="H2459" i="1"/>
  <c r="G2459" i="1"/>
  <c r="F2459" i="1"/>
  <c r="E2459" i="1"/>
  <c r="D2459" i="1"/>
  <c r="C2459" i="1"/>
  <c r="H2458" i="1"/>
  <c r="G2458" i="1"/>
  <c r="F2458" i="1"/>
  <c r="E2458" i="1"/>
  <c r="D2458" i="1"/>
  <c r="C2458" i="1"/>
  <c r="H2457" i="1"/>
  <c r="G2457" i="1"/>
  <c r="F2457" i="1"/>
  <c r="E2457" i="1"/>
  <c r="D2457" i="1"/>
  <c r="C2457" i="1"/>
  <c r="H2456" i="1"/>
  <c r="G2456" i="1"/>
  <c r="F2456" i="1"/>
  <c r="E2456" i="1"/>
  <c r="D2456" i="1"/>
  <c r="C2456" i="1"/>
  <c r="H2455" i="1"/>
  <c r="G2455" i="1"/>
  <c r="F2455" i="1"/>
  <c r="E2455" i="1"/>
  <c r="D2455" i="1"/>
  <c r="C2455" i="1"/>
  <c r="H2454" i="1"/>
  <c r="G2454" i="1"/>
  <c r="F2454" i="1"/>
  <c r="E2454" i="1"/>
  <c r="D2454" i="1"/>
  <c r="C2454" i="1"/>
  <c r="H2453" i="1"/>
  <c r="G2453" i="1"/>
  <c r="F2453" i="1"/>
  <c r="E2453" i="1"/>
  <c r="D2453" i="1"/>
  <c r="C2453" i="1"/>
  <c r="H2452" i="1"/>
  <c r="G2452" i="1"/>
  <c r="F2452" i="1"/>
  <c r="E2452" i="1"/>
  <c r="D2452" i="1"/>
  <c r="C2452" i="1"/>
  <c r="H2451" i="1"/>
  <c r="G2451" i="1"/>
  <c r="F2451" i="1"/>
  <c r="E2451" i="1"/>
  <c r="D2451" i="1"/>
  <c r="C2451" i="1"/>
  <c r="H2450" i="1"/>
  <c r="G2450" i="1"/>
  <c r="F2450" i="1"/>
  <c r="E2450" i="1"/>
  <c r="D2450" i="1"/>
  <c r="C2450" i="1"/>
  <c r="H2449" i="1"/>
  <c r="G2449" i="1"/>
  <c r="F2449" i="1"/>
  <c r="E2449" i="1"/>
  <c r="D2449" i="1"/>
  <c r="C2449" i="1"/>
  <c r="H2448" i="1"/>
  <c r="G2448" i="1"/>
  <c r="F2448" i="1"/>
  <c r="E2448" i="1"/>
  <c r="D2448" i="1"/>
  <c r="C2448" i="1"/>
  <c r="H2447" i="1"/>
  <c r="G2447" i="1"/>
  <c r="F2447" i="1"/>
  <c r="E2447" i="1"/>
  <c r="D2447" i="1"/>
  <c r="C2447" i="1"/>
  <c r="H2446" i="1"/>
  <c r="G2446" i="1"/>
  <c r="F2446" i="1"/>
  <c r="E2446" i="1"/>
  <c r="D2446" i="1"/>
  <c r="C2446" i="1"/>
  <c r="H2445" i="1"/>
  <c r="G2445" i="1"/>
  <c r="F2445" i="1"/>
  <c r="E2445" i="1"/>
  <c r="D2445" i="1"/>
  <c r="C2445" i="1"/>
  <c r="H2444" i="1"/>
  <c r="G2444" i="1"/>
  <c r="F2444" i="1"/>
  <c r="E2444" i="1"/>
  <c r="D2444" i="1"/>
  <c r="C2444" i="1"/>
  <c r="H2443" i="1"/>
  <c r="G2443" i="1"/>
  <c r="F2443" i="1"/>
  <c r="E2443" i="1"/>
  <c r="D2443" i="1"/>
  <c r="C2443" i="1"/>
  <c r="H2442" i="1"/>
  <c r="G2442" i="1"/>
  <c r="F2442" i="1"/>
  <c r="E2442" i="1"/>
  <c r="D2442" i="1"/>
  <c r="C2442" i="1"/>
  <c r="H2441" i="1"/>
  <c r="G2441" i="1"/>
  <c r="F2441" i="1"/>
  <c r="E2441" i="1"/>
  <c r="D2441" i="1"/>
  <c r="C2441" i="1"/>
  <c r="H2440" i="1"/>
  <c r="G2440" i="1"/>
  <c r="F2440" i="1"/>
  <c r="E2440" i="1"/>
  <c r="D2440" i="1"/>
  <c r="C2440" i="1"/>
  <c r="H2439" i="1"/>
  <c r="G2439" i="1"/>
  <c r="F2439" i="1"/>
  <c r="E2439" i="1"/>
  <c r="D2439" i="1"/>
  <c r="C2439" i="1"/>
  <c r="H2438" i="1"/>
  <c r="G2438" i="1"/>
  <c r="F2438" i="1"/>
  <c r="E2438" i="1"/>
  <c r="D2438" i="1"/>
  <c r="C2438" i="1"/>
  <c r="H2437" i="1"/>
  <c r="G2437" i="1"/>
  <c r="F2437" i="1"/>
  <c r="E2437" i="1"/>
  <c r="D2437" i="1"/>
  <c r="C2437" i="1"/>
  <c r="H2436" i="1"/>
  <c r="G2436" i="1"/>
  <c r="F2436" i="1"/>
  <c r="E2436" i="1"/>
  <c r="D2436" i="1"/>
  <c r="C2436" i="1"/>
  <c r="H2435" i="1"/>
  <c r="G2435" i="1"/>
  <c r="F2435" i="1"/>
  <c r="E2435" i="1"/>
  <c r="D2435" i="1"/>
  <c r="C2435" i="1"/>
  <c r="H2434" i="1"/>
  <c r="G2434" i="1"/>
  <c r="F2434" i="1"/>
  <c r="E2434" i="1"/>
  <c r="D2434" i="1"/>
  <c r="C2434" i="1"/>
  <c r="H2433" i="1"/>
  <c r="G2433" i="1"/>
  <c r="F2433" i="1"/>
  <c r="E2433" i="1"/>
  <c r="D2433" i="1"/>
  <c r="C2433" i="1"/>
  <c r="H2432" i="1"/>
  <c r="G2432" i="1"/>
  <c r="F2432" i="1"/>
  <c r="E2432" i="1"/>
  <c r="D2432" i="1"/>
  <c r="C2432" i="1"/>
  <c r="H2431" i="1"/>
  <c r="G2431" i="1"/>
  <c r="F2431" i="1"/>
  <c r="E2431" i="1"/>
  <c r="D2431" i="1"/>
  <c r="C2431" i="1"/>
  <c r="H2430" i="1"/>
  <c r="G2430" i="1"/>
  <c r="F2430" i="1"/>
  <c r="E2430" i="1"/>
  <c r="D2430" i="1"/>
  <c r="C2430" i="1"/>
  <c r="H2429" i="1"/>
  <c r="G2429" i="1"/>
  <c r="F2429" i="1"/>
  <c r="E2429" i="1"/>
  <c r="D2429" i="1"/>
  <c r="C2429" i="1"/>
  <c r="H2428" i="1"/>
  <c r="G2428" i="1"/>
  <c r="F2428" i="1"/>
  <c r="E2428" i="1"/>
  <c r="D2428" i="1"/>
  <c r="C2428" i="1"/>
  <c r="H2427" i="1"/>
  <c r="G2427" i="1"/>
  <c r="F2427" i="1"/>
  <c r="E2427" i="1"/>
  <c r="D2427" i="1"/>
  <c r="C2427" i="1"/>
  <c r="H2426" i="1"/>
  <c r="G2426" i="1"/>
  <c r="F2426" i="1"/>
  <c r="E2426" i="1"/>
  <c r="D2426" i="1"/>
  <c r="C2426" i="1"/>
  <c r="H2425" i="1"/>
  <c r="G2425" i="1"/>
  <c r="F2425" i="1"/>
  <c r="E2425" i="1"/>
  <c r="D2425" i="1"/>
  <c r="C2425" i="1"/>
  <c r="H2424" i="1"/>
  <c r="G2424" i="1"/>
  <c r="F2424" i="1"/>
  <c r="E2424" i="1"/>
  <c r="D2424" i="1"/>
  <c r="C2424" i="1"/>
  <c r="H2423" i="1"/>
  <c r="G2423" i="1"/>
  <c r="F2423" i="1"/>
  <c r="E2423" i="1"/>
  <c r="D2423" i="1"/>
  <c r="C2423" i="1"/>
  <c r="H2422" i="1"/>
  <c r="G2422" i="1"/>
  <c r="F2422" i="1"/>
  <c r="E2422" i="1"/>
  <c r="D2422" i="1"/>
  <c r="C2422" i="1"/>
  <c r="H2421" i="1"/>
  <c r="G2421" i="1"/>
  <c r="F2421" i="1"/>
  <c r="E2421" i="1"/>
  <c r="D2421" i="1"/>
  <c r="C2421" i="1"/>
  <c r="H2420" i="1"/>
  <c r="G2420" i="1"/>
  <c r="F2420" i="1"/>
  <c r="E2420" i="1"/>
  <c r="D2420" i="1"/>
  <c r="C2420" i="1"/>
  <c r="H2419" i="1"/>
  <c r="G2419" i="1"/>
  <c r="F2419" i="1"/>
  <c r="E2419" i="1"/>
  <c r="D2419" i="1"/>
  <c r="C2419" i="1"/>
  <c r="H2418" i="1"/>
  <c r="G2418" i="1"/>
  <c r="F2418" i="1"/>
  <c r="E2418" i="1"/>
  <c r="D2418" i="1"/>
  <c r="C2418" i="1"/>
  <c r="H2417" i="1"/>
  <c r="G2417" i="1"/>
  <c r="F2417" i="1"/>
  <c r="E2417" i="1"/>
  <c r="D2417" i="1"/>
  <c r="C2417" i="1"/>
  <c r="H2416" i="1"/>
  <c r="G2416" i="1"/>
  <c r="F2416" i="1"/>
  <c r="E2416" i="1"/>
  <c r="D2416" i="1"/>
  <c r="C2416" i="1"/>
  <c r="H2415" i="1"/>
  <c r="G2415" i="1"/>
  <c r="F2415" i="1"/>
  <c r="E2415" i="1"/>
  <c r="D2415" i="1"/>
  <c r="C2415" i="1"/>
  <c r="H2414" i="1"/>
  <c r="G2414" i="1"/>
  <c r="F2414" i="1"/>
  <c r="E2414" i="1"/>
  <c r="D2414" i="1"/>
  <c r="C2414" i="1"/>
  <c r="H2413" i="1"/>
  <c r="G2413" i="1"/>
  <c r="F2413" i="1"/>
  <c r="E2413" i="1"/>
  <c r="D2413" i="1"/>
  <c r="C2413" i="1"/>
  <c r="H2412" i="1"/>
  <c r="G2412" i="1"/>
  <c r="F2412" i="1"/>
  <c r="E2412" i="1"/>
  <c r="D2412" i="1"/>
  <c r="C2412" i="1"/>
  <c r="H2411" i="1"/>
  <c r="G2411" i="1"/>
  <c r="F2411" i="1"/>
  <c r="E2411" i="1"/>
  <c r="D2411" i="1"/>
  <c r="C2411" i="1"/>
  <c r="H2410" i="1"/>
  <c r="G2410" i="1"/>
  <c r="F2410" i="1"/>
  <c r="E2410" i="1"/>
  <c r="D2410" i="1"/>
  <c r="C2410" i="1"/>
  <c r="H2409" i="1"/>
  <c r="G2409" i="1"/>
  <c r="F2409" i="1"/>
  <c r="E2409" i="1"/>
  <c r="D2409" i="1"/>
  <c r="C2409" i="1"/>
  <c r="H2408" i="1"/>
  <c r="G2408" i="1"/>
  <c r="F2408" i="1"/>
  <c r="E2408" i="1"/>
  <c r="D2408" i="1"/>
  <c r="C2408" i="1"/>
  <c r="H2407" i="1"/>
  <c r="G2407" i="1"/>
  <c r="F2407" i="1"/>
  <c r="E2407" i="1"/>
  <c r="D2407" i="1"/>
  <c r="C2407" i="1"/>
  <c r="H2406" i="1"/>
  <c r="G2406" i="1"/>
  <c r="F2406" i="1"/>
  <c r="E2406" i="1"/>
  <c r="D2406" i="1"/>
  <c r="C2406" i="1"/>
  <c r="H2405" i="1"/>
  <c r="G2405" i="1"/>
  <c r="F2405" i="1"/>
  <c r="E2405" i="1"/>
  <c r="D2405" i="1"/>
  <c r="C2405" i="1"/>
  <c r="H2404" i="1"/>
  <c r="G2404" i="1"/>
  <c r="F2404" i="1"/>
  <c r="E2404" i="1"/>
  <c r="D2404" i="1"/>
  <c r="C2404" i="1"/>
  <c r="H2403" i="1"/>
  <c r="G2403" i="1"/>
  <c r="F2403" i="1"/>
  <c r="E2403" i="1"/>
  <c r="D2403" i="1"/>
  <c r="C2403" i="1"/>
  <c r="H2402" i="1"/>
  <c r="G2402" i="1"/>
  <c r="F2402" i="1"/>
  <c r="E2402" i="1"/>
  <c r="D2402" i="1"/>
  <c r="C2402" i="1"/>
  <c r="H2401" i="1"/>
  <c r="G2401" i="1"/>
  <c r="F2401" i="1"/>
  <c r="E2401" i="1"/>
  <c r="D2401" i="1"/>
  <c r="C2401" i="1"/>
  <c r="H2400" i="1"/>
  <c r="G2400" i="1"/>
  <c r="F2400" i="1"/>
  <c r="E2400" i="1"/>
  <c r="D2400" i="1"/>
  <c r="C2400" i="1"/>
  <c r="H2399" i="1"/>
  <c r="G2399" i="1"/>
  <c r="F2399" i="1"/>
  <c r="E2399" i="1"/>
  <c r="D2399" i="1"/>
  <c r="C2399" i="1"/>
  <c r="H2398" i="1"/>
  <c r="G2398" i="1"/>
  <c r="F2398" i="1"/>
  <c r="E2398" i="1"/>
  <c r="D2398" i="1"/>
  <c r="C2398" i="1"/>
  <c r="H2397" i="1"/>
  <c r="G2397" i="1"/>
  <c r="F2397" i="1"/>
  <c r="E2397" i="1"/>
  <c r="D2397" i="1"/>
  <c r="C2397" i="1"/>
  <c r="H2396" i="1"/>
  <c r="G2396" i="1"/>
  <c r="F2396" i="1"/>
  <c r="E2396" i="1"/>
  <c r="D2396" i="1"/>
  <c r="C2396" i="1"/>
  <c r="H2395" i="1"/>
  <c r="G2395" i="1"/>
  <c r="F2395" i="1"/>
  <c r="E2395" i="1"/>
  <c r="D2395" i="1"/>
  <c r="C2395" i="1"/>
  <c r="H2394" i="1"/>
  <c r="G2394" i="1"/>
  <c r="F2394" i="1"/>
  <c r="E2394" i="1"/>
  <c r="D2394" i="1"/>
  <c r="C2394" i="1"/>
  <c r="H2393" i="1"/>
  <c r="G2393" i="1"/>
  <c r="F2393" i="1"/>
  <c r="E2393" i="1"/>
  <c r="D2393" i="1"/>
  <c r="C2393" i="1"/>
  <c r="H2392" i="1"/>
  <c r="G2392" i="1"/>
  <c r="F2392" i="1"/>
  <c r="E2392" i="1"/>
  <c r="D2392" i="1"/>
  <c r="C2392" i="1"/>
  <c r="H2391" i="1"/>
  <c r="G2391" i="1"/>
  <c r="F2391" i="1"/>
  <c r="E2391" i="1"/>
  <c r="D2391" i="1"/>
  <c r="C2391" i="1"/>
  <c r="H2390" i="1"/>
  <c r="G2390" i="1"/>
  <c r="F2390" i="1"/>
  <c r="E2390" i="1"/>
  <c r="D2390" i="1"/>
  <c r="C2390" i="1"/>
  <c r="H2389" i="1"/>
  <c r="G2389" i="1"/>
  <c r="F2389" i="1"/>
  <c r="E2389" i="1"/>
  <c r="D2389" i="1"/>
  <c r="C2389" i="1"/>
  <c r="H2388" i="1"/>
  <c r="G2388" i="1"/>
  <c r="F2388" i="1"/>
  <c r="E2388" i="1"/>
  <c r="D2388" i="1"/>
  <c r="C2388" i="1"/>
  <c r="H2387" i="1"/>
  <c r="G2387" i="1"/>
  <c r="F2387" i="1"/>
  <c r="E2387" i="1"/>
  <c r="D2387" i="1"/>
  <c r="C2387" i="1"/>
  <c r="H2386" i="1"/>
  <c r="G2386" i="1"/>
  <c r="F2386" i="1"/>
  <c r="E2386" i="1"/>
  <c r="D2386" i="1"/>
  <c r="C2386" i="1"/>
  <c r="H2385" i="1"/>
  <c r="G2385" i="1"/>
  <c r="F2385" i="1"/>
  <c r="E2385" i="1"/>
  <c r="D2385" i="1"/>
  <c r="C2385" i="1"/>
  <c r="H2384" i="1"/>
  <c r="G2384" i="1"/>
  <c r="F2384" i="1"/>
  <c r="E2384" i="1"/>
  <c r="D2384" i="1"/>
  <c r="C2384" i="1"/>
  <c r="H2383" i="1"/>
  <c r="G2383" i="1"/>
  <c r="F2383" i="1"/>
  <c r="E2383" i="1"/>
  <c r="D2383" i="1"/>
  <c r="C2383" i="1"/>
  <c r="H2382" i="1"/>
  <c r="G2382" i="1"/>
  <c r="F2382" i="1"/>
  <c r="E2382" i="1"/>
  <c r="D2382" i="1"/>
  <c r="C2382" i="1"/>
  <c r="H2381" i="1"/>
  <c r="G2381" i="1"/>
  <c r="F2381" i="1"/>
  <c r="E2381" i="1"/>
  <c r="D2381" i="1"/>
  <c r="C2381" i="1"/>
  <c r="H2380" i="1"/>
  <c r="G2380" i="1"/>
  <c r="F2380" i="1"/>
  <c r="E2380" i="1"/>
  <c r="D2380" i="1"/>
  <c r="C2380" i="1"/>
  <c r="H2379" i="1"/>
  <c r="G2379" i="1"/>
  <c r="F2379" i="1"/>
  <c r="E2379" i="1"/>
  <c r="D2379" i="1"/>
  <c r="C2379" i="1"/>
  <c r="H2378" i="1"/>
  <c r="G2378" i="1"/>
  <c r="F2378" i="1"/>
  <c r="E2378" i="1"/>
  <c r="D2378" i="1"/>
  <c r="C2378" i="1"/>
  <c r="H2377" i="1"/>
  <c r="G2377" i="1"/>
  <c r="F2377" i="1"/>
  <c r="E2377" i="1"/>
  <c r="D2377" i="1"/>
  <c r="C2377" i="1"/>
  <c r="H2376" i="1"/>
  <c r="G2376" i="1"/>
  <c r="F2376" i="1"/>
  <c r="E2376" i="1"/>
  <c r="D2376" i="1"/>
  <c r="C2376" i="1"/>
  <c r="H2375" i="1"/>
  <c r="G2375" i="1"/>
  <c r="F2375" i="1"/>
  <c r="E2375" i="1"/>
  <c r="D2375" i="1"/>
  <c r="C2375" i="1"/>
  <c r="H2374" i="1"/>
  <c r="G2374" i="1"/>
  <c r="F2374" i="1"/>
  <c r="E2374" i="1"/>
  <c r="D2374" i="1"/>
  <c r="C2374" i="1"/>
  <c r="H2373" i="1"/>
  <c r="G2373" i="1"/>
  <c r="F2373" i="1"/>
  <c r="E2373" i="1"/>
  <c r="D2373" i="1"/>
  <c r="C2373" i="1"/>
  <c r="H2372" i="1"/>
  <c r="G2372" i="1"/>
  <c r="F2372" i="1"/>
  <c r="E2372" i="1"/>
  <c r="D2372" i="1"/>
  <c r="C2372" i="1"/>
  <c r="H2371" i="1"/>
  <c r="G2371" i="1"/>
  <c r="F2371" i="1"/>
  <c r="E2371" i="1"/>
  <c r="D2371" i="1"/>
  <c r="C2371" i="1"/>
  <c r="H2370" i="1"/>
  <c r="G2370" i="1"/>
  <c r="F2370" i="1"/>
  <c r="E2370" i="1"/>
  <c r="D2370" i="1"/>
  <c r="C2370" i="1"/>
  <c r="H2369" i="1"/>
  <c r="G2369" i="1"/>
  <c r="F2369" i="1"/>
  <c r="E2369" i="1"/>
  <c r="D2369" i="1"/>
  <c r="C2369" i="1"/>
  <c r="H2368" i="1"/>
  <c r="G2368" i="1"/>
  <c r="F2368" i="1"/>
  <c r="E2368" i="1"/>
  <c r="D2368" i="1"/>
  <c r="C2368" i="1"/>
  <c r="H2367" i="1"/>
  <c r="G2367" i="1"/>
  <c r="F2367" i="1"/>
  <c r="E2367" i="1"/>
  <c r="D2367" i="1"/>
  <c r="C2367" i="1"/>
  <c r="H2366" i="1"/>
  <c r="G2366" i="1"/>
  <c r="F2366" i="1"/>
  <c r="E2366" i="1"/>
  <c r="D2366" i="1"/>
  <c r="C2366" i="1"/>
  <c r="H2365" i="1"/>
  <c r="G2365" i="1"/>
  <c r="F2365" i="1"/>
  <c r="E2365" i="1"/>
  <c r="D2365" i="1"/>
  <c r="C2365" i="1"/>
  <c r="H2364" i="1"/>
  <c r="G2364" i="1"/>
  <c r="F2364" i="1"/>
  <c r="E2364" i="1"/>
  <c r="D2364" i="1"/>
  <c r="C2364" i="1"/>
  <c r="H2363" i="1"/>
  <c r="G2363" i="1"/>
  <c r="F2363" i="1"/>
  <c r="E2363" i="1"/>
  <c r="D2363" i="1"/>
  <c r="C2363" i="1"/>
  <c r="H2362" i="1"/>
  <c r="G2362" i="1"/>
  <c r="F2362" i="1"/>
  <c r="E2362" i="1"/>
  <c r="D2362" i="1"/>
  <c r="C2362" i="1"/>
  <c r="H2361" i="1"/>
  <c r="G2361" i="1"/>
  <c r="F2361" i="1"/>
  <c r="E2361" i="1"/>
  <c r="D2361" i="1"/>
  <c r="C2361" i="1"/>
  <c r="H2360" i="1"/>
  <c r="G2360" i="1"/>
  <c r="F2360" i="1"/>
  <c r="E2360" i="1"/>
  <c r="D2360" i="1"/>
  <c r="C2360" i="1"/>
  <c r="H2359" i="1"/>
  <c r="G2359" i="1"/>
  <c r="F2359" i="1"/>
  <c r="E2359" i="1"/>
  <c r="D2359" i="1"/>
  <c r="C2359" i="1"/>
  <c r="H2358" i="1"/>
  <c r="G2358" i="1"/>
  <c r="F2358" i="1"/>
  <c r="E2358" i="1"/>
  <c r="D2358" i="1"/>
  <c r="C2358" i="1"/>
  <c r="H2357" i="1"/>
  <c r="G2357" i="1"/>
  <c r="F2357" i="1"/>
  <c r="E2357" i="1"/>
  <c r="D2357" i="1"/>
  <c r="C2357" i="1"/>
  <c r="H2356" i="1"/>
  <c r="G2356" i="1"/>
  <c r="F2356" i="1"/>
  <c r="E2356" i="1"/>
  <c r="D2356" i="1"/>
  <c r="C2356" i="1"/>
  <c r="H2355" i="1"/>
  <c r="G2355" i="1"/>
  <c r="F2355" i="1"/>
  <c r="E2355" i="1"/>
  <c r="D2355" i="1"/>
  <c r="C2355" i="1"/>
  <c r="H2354" i="1"/>
  <c r="G2354" i="1"/>
  <c r="F2354" i="1"/>
  <c r="E2354" i="1"/>
  <c r="D2354" i="1"/>
  <c r="C2354" i="1"/>
  <c r="H2353" i="1"/>
  <c r="G2353" i="1"/>
  <c r="F2353" i="1"/>
  <c r="E2353" i="1"/>
  <c r="D2353" i="1"/>
  <c r="C2353" i="1"/>
  <c r="H2352" i="1"/>
  <c r="G2352" i="1"/>
  <c r="F2352" i="1"/>
  <c r="E2352" i="1"/>
  <c r="D2352" i="1"/>
  <c r="C2352" i="1"/>
  <c r="H2351" i="1"/>
  <c r="G2351" i="1"/>
  <c r="F2351" i="1"/>
  <c r="E2351" i="1"/>
  <c r="D2351" i="1"/>
  <c r="C2351" i="1"/>
  <c r="H2350" i="1"/>
  <c r="G2350" i="1"/>
  <c r="F2350" i="1"/>
  <c r="E2350" i="1"/>
  <c r="D2350" i="1"/>
  <c r="C2350" i="1"/>
  <c r="H2349" i="1"/>
  <c r="G2349" i="1"/>
  <c r="F2349" i="1"/>
  <c r="E2349" i="1"/>
  <c r="D2349" i="1"/>
  <c r="C2349" i="1"/>
  <c r="H2348" i="1"/>
  <c r="G2348" i="1"/>
  <c r="F2348" i="1"/>
  <c r="E2348" i="1"/>
  <c r="D2348" i="1"/>
  <c r="C2348" i="1"/>
  <c r="H2347" i="1"/>
  <c r="G2347" i="1"/>
  <c r="F2347" i="1"/>
  <c r="E2347" i="1"/>
  <c r="D2347" i="1"/>
  <c r="C2347" i="1"/>
  <c r="H2346" i="1"/>
  <c r="G2346" i="1"/>
  <c r="F2346" i="1"/>
  <c r="E2346" i="1"/>
  <c r="D2346" i="1"/>
  <c r="C2346" i="1"/>
  <c r="H2345" i="1"/>
  <c r="G2345" i="1"/>
  <c r="F2345" i="1"/>
  <c r="E2345" i="1"/>
  <c r="D2345" i="1"/>
  <c r="C2345" i="1"/>
  <c r="H2344" i="1"/>
  <c r="G2344" i="1"/>
  <c r="F2344" i="1"/>
  <c r="E2344" i="1"/>
  <c r="D2344" i="1"/>
  <c r="C2344" i="1"/>
  <c r="H2343" i="1"/>
  <c r="G2343" i="1"/>
  <c r="F2343" i="1"/>
  <c r="E2343" i="1"/>
  <c r="D2343" i="1"/>
  <c r="C2343" i="1"/>
  <c r="H2342" i="1"/>
  <c r="G2342" i="1"/>
  <c r="F2342" i="1"/>
  <c r="E2342" i="1"/>
  <c r="D2342" i="1"/>
  <c r="C2342" i="1"/>
  <c r="H2341" i="1"/>
  <c r="G2341" i="1"/>
  <c r="F2341" i="1"/>
  <c r="E2341" i="1"/>
  <c r="D2341" i="1"/>
  <c r="C2341" i="1"/>
  <c r="H2340" i="1"/>
  <c r="G2340" i="1"/>
  <c r="F2340" i="1"/>
  <c r="E2340" i="1"/>
  <c r="D2340" i="1"/>
  <c r="C2340" i="1"/>
  <c r="H2339" i="1"/>
  <c r="G2339" i="1"/>
  <c r="F2339" i="1"/>
  <c r="E2339" i="1"/>
  <c r="D2339" i="1"/>
  <c r="C2339" i="1"/>
  <c r="H2338" i="1"/>
  <c r="G2338" i="1"/>
  <c r="F2338" i="1"/>
  <c r="E2338" i="1"/>
  <c r="D2338" i="1"/>
  <c r="C2338" i="1"/>
  <c r="H2337" i="1"/>
  <c r="G2337" i="1"/>
  <c r="F2337" i="1"/>
  <c r="E2337" i="1"/>
  <c r="D2337" i="1"/>
  <c r="C2337" i="1"/>
  <c r="H2336" i="1"/>
  <c r="G2336" i="1"/>
  <c r="F2336" i="1"/>
  <c r="E2336" i="1"/>
  <c r="D2336" i="1"/>
  <c r="C2336" i="1"/>
  <c r="H2335" i="1"/>
  <c r="G2335" i="1"/>
  <c r="F2335" i="1"/>
  <c r="E2335" i="1"/>
  <c r="D2335" i="1"/>
  <c r="C2335" i="1"/>
  <c r="H2334" i="1"/>
  <c r="G2334" i="1"/>
  <c r="F2334" i="1"/>
  <c r="E2334" i="1"/>
  <c r="D2334" i="1"/>
  <c r="C2334" i="1"/>
  <c r="H2333" i="1"/>
  <c r="G2333" i="1"/>
  <c r="F2333" i="1"/>
  <c r="E2333" i="1"/>
  <c r="D2333" i="1"/>
  <c r="C2333" i="1"/>
  <c r="H2332" i="1"/>
  <c r="G2332" i="1"/>
  <c r="F2332" i="1"/>
  <c r="E2332" i="1"/>
  <c r="D2332" i="1"/>
  <c r="C2332" i="1"/>
  <c r="H2331" i="1"/>
  <c r="G2331" i="1"/>
  <c r="F2331" i="1"/>
  <c r="E2331" i="1"/>
  <c r="D2331" i="1"/>
  <c r="C2331" i="1"/>
  <c r="H2330" i="1"/>
  <c r="G2330" i="1"/>
  <c r="F2330" i="1"/>
  <c r="E2330" i="1"/>
  <c r="D2330" i="1"/>
  <c r="C2330" i="1"/>
  <c r="H2329" i="1"/>
  <c r="G2329" i="1"/>
  <c r="F2329" i="1"/>
  <c r="E2329" i="1"/>
  <c r="D2329" i="1"/>
  <c r="C2329" i="1"/>
  <c r="H2328" i="1"/>
  <c r="G2328" i="1"/>
  <c r="F2328" i="1"/>
  <c r="E2328" i="1"/>
  <c r="D2328" i="1"/>
  <c r="C2328" i="1"/>
  <c r="H2327" i="1"/>
  <c r="G2327" i="1"/>
  <c r="F2327" i="1"/>
  <c r="E2327" i="1"/>
  <c r="D2327" i="1"/>
  <c r="C2327" i="1"/>
  <c r="H2326" i="1"/>
  <c r="G2326" i="1"/>
  <c r="F2326" i="1"/>
  <c r="E2326" i="1"/>
  <c r="D2326" i="1"/>
  <c r="C2326" i="1"/>
  <c r="H2325" i="1"/>
  <c r="G2325" i="1"/>
  <c r="F2325" i="1"/>
  <c r="E2325" i="1"/>
  <c r="D2325" i="1"/>
  <c r="C2325" i="1"/>
  <c r="H2324" i="1"/>
  <c r="G2324" i="1"/>
  <c r="F2324" i="1"/>
  <c r="E2324" i="1"/>
  <c r="D2324" i="1"/>
  <c r="C2324" i="1"/>
  <c r="H2323" i="1"/>
  <c r="G2323" i="1"/>
  <c r="F2323" i="1"/>
  <c r="E2323" i="1"/>
  <c r="D2323" i="1"/>
  <c r="C2323" i="1"/>
  <c r="H2322" i="1"/>
  <c r="G2322" i="1"/>
  <c r="F2322" i="1"/>
  <c r="E2322" i="1"/>
  <c r="D2322" i="1"/>
  <c r="C2322" i="1"/>
  <c r="H2321" i="1"/>
  <c r="G2321" i="1"/>
  <c r="F2321" i="1"/>
  <c r="E2321" i="1"/>
  <c r="D2321" i="1"/>
  <c r="C2321" i="1"/>
  <c r="H2320" i="1"/>
  <c r="G2320" i="1"/>
  <c r="F2320" i="1"/>
  <c r="E2320" i="1"/>
  <c r="D2320" i="1"/>
  <c r="C2320" i="1"/>
  <c r="H2319" i="1"/>
  <c r="G2319" i="1"/>
  <c r="F2319" i="1"/>
  <c r="E2319" i="1"/>
  <c r="D2319" i="1"/>
  <c r="C2319" i="1"/>
  <c r="H2318" i="1"/>
  <c r="G2318" i="1"/>
  <c r="F2318" i="1"/>
  <c r="E2318" i="1"/>
  <c r="D2318" i="1"/>
  <c r="C2318" i="1"/>
  <c r="H2317" i="1"/>
  <c r="G2317" i="1"/>
  <c r="F2317" i="1"/>
  <c r="E2317" i="1"/>
  <c r="D2317" i="1"/>
  <c r="C2317" i="1"/>
  <c r="H2316" i="1"/>
  <c r="G2316" i="1"/>
  <c r="F2316" i="1"/>
  <c r="E2316" i="1"/>
  <c r="D2316" i="1"/>
  <c r="C2316" i="1"/>
  <c r="H2315" i="1"/>
  <c r="G2315" i="1"/>
  <c r="F2315" i="1"/>
  <c r="E2315" i="1"/>
  <c r="D2315" i="1"/>
  <c r="C2315" i="1"/>
  <c r="H2314" i="1"/>
  <c r="G2314" i="1"/>
  <c r="F2314" i="1"/>
  <c r="E2314" i="1"/>
  <c r="D2314" i="1"/>
  <c r="C2314" i="1"/>
  <c r="H2313" i="1"/>
  <c r="G2313" i="1"/>
  <c r="F2313" i="1"/>
  <c r="E2313" i="1"/>
  <c r="D2313" i="1"/>
  <c r="C2313" i="1"/>
  <c r="H2312" i="1"/>
  <c r="G2312" i="1"/>
  <c r="F2312" i="1"/>
  <c r="E2312" i="1"/>
  <c r="D2312" i="1"/>
  <c r="C2312" i="1"/>
  <c r="H2311" i="1"/>
  <c r="G2311" i="1"/>
  <c r="F2311" i="1"/>
  <c r="E2311" i="1"/>
  <c r="D2311" i="1"/>
  <c r="C2311" i="1"/>
  <c r="H2310" i="1"/>
  <c r="G2310" i="1"/>
  <c r="F2310" i="1"/>
  <c r="E2310" i="1"/>
  <c r="D2310" i="1"/>
  <c r="C2310" i="1"/>
  <c r="H2309" i="1"/>
  <c r="G2309" i="1"/>
  <c r="F2309" i="1"/>
  <c r="E2309" i="1"/>
  <c r="D2309" i="1"/>
  <c r="C2309" i="1"/>
  <c r="H2308" i="1"/>
  <c r="G2308" i="1"/>
  <c r="F2308" i="1"/>
  <c r="E2308" i="1"/>
  <c r="D2308" i="1"/>
  <c r="C2308" i="1"/>
  <c r="H2307" i="1"/>
  <c r="G2307" i="1"/>
  <c r="F2307" i="1"/>
  <c r="E2307" i="1"/>
  <c r="D2307" i="1"/>
  <c r="C2307" i="1"/>
  <c r="H2306" i="1"/>
  <c r="G2306" i="1"/>
  <c r="F2306" i="1"/>
  <c r="E2306" i="1"/>
  <c r="D2306" i="1"/>
  <c r="C2306" i="1"/>
  <c r="H2305" i="1"/>
  <c r="G2305" i="1"/>
  <c r="F2305" i="1"/>
  <c r="E2305" i="1"/>
  <c r="D2305" i="1"/>
  <c r="C2305" i="1"/>
  <c r="H2304" i="1"/>
  <c r="G2304" i="1"/>
  <c r="F2304" i="1"/>
  <c r="E2304" i="1"/>
  <c r="D2304" i="1"/>
  <c r="C2304" i="1"/>
  <c r="H2303" i="1"/>
  <c r="G2303" i="1"/>
  <c r="F2303" i="1"/>
  <c r="E2303" i="1"/>
  <c r="D2303" i="1"/>
  <c r="C2303" i="1"/>
  <c r="H2302" i="1"/>
  <c r="G2302" i="1"/>
  <c r="F2302" i="1"/>
  <c r="E2302" i="1"/>
  <c r="D2302" i="1"/>
  <c r="C2302" i="1"/>
  <c r="H2301" i="1"/>
  <c r="G2301" i="1"/>
  <c r="F2301" i="1"/>
  <c r="E2301" i="1"/>
  <c r="D2301" i="1"/>
  <c r="C2301" i="1"/>
  <c r="H2300" i="1"/>
  <c r="G2300" i="1"/>
  <c r="F2300" i="1"/>
  <c r="E2300" i="1"/>
  <c r="D2300" i="1"/>
  <c r="C2300" i="1"/>
  <c r="H2299" i="1"/>
  <c r="G2299" i="1"/>
  <c r="F2299" i="1"/>
  <c r="E2299" i="1"/>
  <c r="D2299" i="1"/>
  <c r="C2299" i="1"/>
  <c r="H2298" i="1"/>
  <c r="G2298" i="1"/>
  <c r="F2298" i="1"/>
  <c r="E2298" i="1"/>
  <c r="D2298" i="1"/>
  <c r="C2298" i="1"/>
  <c r="H2297" i="1"/>
  <c r="G2297" i="1"/>
  <c r="F2297" i="1"/>
  <c r="E2297" i="1"/>
  <c r="D2297" i="1"/>
  <c r="C2297" i="1"/>
  <c r="H2296" i="1"/>
  <c r="G2296" i="1"/>
  <c r="F2296" i="1"/>
  <c r="E2296" i="1"/>
  <c r="D2296" i="1"/>
  <c r="C2296" i="1"/>
  <c r="H2295" i="1"/>
  <c r="G2295" i="1"/>
  <c r="F2295" i="1"/>
  <c r="E2295" i="1"/>
  <c r="D2295" i="1"/>
  <c r="C2295" i="1"/>
  <c r="H2294" i="1"/>
  <c r="G2294" i="1"/>
  <c r="F2294" i="1"/>
  <c r="E2294" i="1"/>
  <c r="D2294" i="1"/>
  <c r="C2294" i="1"/>
  <c r="H2293" i="1"/>
  <c r="G2293" i="1"/>
  <c r="F2293" i="1"/>
  <c r="E2293" i="1"/>
  <c r="D2293" i="1"/>
  <c r="C2293" i="1"/>
  <c r="H2292" i="1"/>
  <c r="G2292" i="1"/>
  <c r="F2292" i="1"/>
  <c r="E2292" i="1"/>
  <c r="D2292" i="1"/>
  <c r="C2292" i="1"/>
  <c r="H2291" i="1"/>
  <c r="G2291" i="1"/>
  <c r="F2291" i="1"/>
  <c r="E2291" i="1"/>
  <c r="D2291" i="1"/>
  <c r="C2291" i="1"/>
  <c r="H2290" i="1"/>
  <c r="G2290" i="1"/>
  <c r="F2290" i="1"/>
  <c r="E2290" i="1"/>
  <c r="D2290" i="1"/>
  <c r="C2290" i="1"/>
  <c r="H2289" i="1"/>
  <c r="G2289" i="1"/>
  <c r="F2289" i="1"/>
  <c r="E2289" i="1"/>
  <c r="D2289" i="1"/>
  <c r="C2289" i="1"/>
  <c r="H2288" i="1"/>
  <c r="G2288" i="1"/>
  <c r="F2288" i="1"/>
  <c r="E2288" i="1"/>
  <c r="D2288" i="1"/>
  <c r="C2288" i="1"/>
  <c r="H2287" i="1"/>
  <c r="G2287" i="1"/>
  <c r="F2287" i="1"/>
  <c r="E2287" i="1"/>
  <c r="D2287" i="1"/>
  <c r="C2287" i="1"/>
  <c r="H2286" i="1"/>
  <c r="G2286" i="1"/>
  <c r="F2286" i="1"/>
  <c r="E2286" i="1"/>
  <c r="D2286" i="1"/>
  <c r="C2286" i="1"/>
  <c r="H2285" i="1"/>
  <c r="G2285" i="1"/>
  <c r="F2285" i="1"/>
  <c r="E2285" i="1"/>
  <c r="D2285" i="1"/>
  <c r="C2285" i="1"/>
  <c r="H2284" i="1"/>
  <c r="G2284" i="1"/>
  <c r="F2284" i="1"/>
  <c r="E2284" i="1"/>
  <c r="D2284" i="1"/>
  <c r="C2284" i="1"/>
  <c r="H2283" i="1"/>
  <c r="G2283" i="1"/>
  <c r="F2283" i="1"/>
  <c r="E2283" i="1"/>
  <c r="D2283" i="1"/>
  <c r="C2283" i="1"/>
  <c r="H2282" i="1"/>
  <c r="G2282" i="1"/>
  <c r="F2282" i="1"/>
  <c r="E2282" i="1"/>
  <c r="D2282" i="1"/>
  <c r="C2282" i="1"/>
  <c r="H2281" i="1"/>
  <c r="G2281" i="1"/>
  <c r="F2281" i="1"/>
  <c r="E2281" i="1"/>
  <c r="D2281" i="1"/>
  <c r="C2281" i="1"/>
  <c r="H2280" i="1"/>
  <c r="G2280" i="1"/>
  <c r="F2280" i="1"/>
  <c r="E2280" i="1"/>
  <c r="D2280" i="1"/>
  <c r="C2280" i="1"/>
  <c r="H2279" i="1"/>
  <c r="G2279" i="1"/>
  <c r="F2279" i="1"/>
  <c r="E2279" i="1"/>
  <c r="D2279" i="1"/>
  <c r="C2279" i="1"/>
  <c r="H2278" i="1"/>
  <c r="G2278" i="1"/>
  <c r="F2278" i="1"/>
  <c r="E2278" i="1"/>
  <c r="D2278" i="1"/>
  <c r="C2278" i="1"/>
  <c r="H2277" i="1"/>
  <c r="G2277" i="1"/>
  <c r="F2277" i="1"/>
  <c r="E2277" i="1"/>
  <c r="D2277" i="1"/>
  <c r="C2277" i="1"/>
  <c r="H2276" i="1"/>
  <c r="G2276" i="1"/>
  <c r="F2276" i="1"/>
  <c r="E2276" i="1"/>
  <c r="D2276" i="1"/>
  <c r="C2276" i="1"/>
  <c r="H2275" i="1"/>
  <c r="G2275" i="1"/>
  <c r="F2275" i="1"/>
  <c r="E2275" i="1"/>
  <c r="D2275" i="1"/>
  <c r="C2275" i="1"/>
  <c r="H2274" i="1"/>
  <c r="G2274" i="1"/>
  <c r="F2274" i="1"/>
  <c r="E2274" i="1"/>
  <c r="D2274" i="1"/>
  <c r="C2274" i="1"/>
  <c r="H2273" i="1"/>
  <c r="G2273" i="1"/>
  <c r="F2273" i="1"/>
  <c r="E2273" i="1"/>
  <c r="D2273" i="1"/>
  <c r="C2273" i="1"/>
  <c r="H2272" i="1"/>
  <c r="G2272" i="1"/>
  <c r="F2272" i="1"/>
  <c r="E2272" i="1"/>
  <c r="D2272" i="1"/>
  <c r="C2272" i="1"/>
  <c r="H2271" i="1"/>
  <c r="G2271" i="1"/>
  <c r="F2271" i="1"/>
  <c r="E2271" i="1"/>
  <c r="D2271" i="1"/>
  <c r="C2271" i="1"/>
  <c r="H2270" i="1"/>
  <c r="G2270" i="1"/>
  <c r="F2270" i="1"/>
  <c r="E2270" i="1"/>
  <c r="D2270" i="1"/>
  <c r="C2270" i="1"/>
  <c r="H2269" i="1"/>
  <c r="G2269" i="1"/>
  <c r="F2269" i="1"/>
  <c r="E2269" i="1"/>
  <c r="D2269" i="1"/>
  <c r="C2269" i="1"/>
  <c r="H2268" i="1"/>
  <c r="G2268" i="1"/>
  <c r="F2268" i="1"/>
  <c r="E2268" i="1"/>
  <c r="D2268" i="1"/>
  <c r="C2268" i="1"/>
  <c r="H2267" i="1"/>
  <c r="G2267" i="1"/>
  <c r="F2267" i="1"/>
  <c r="E2267" i="1"/>
  <c r="D2267" i="1"/>
  <c r="C2267" i="1"/>
  <c r="H2266" i="1"/>
  <c r="G2266" i="1"/>
  <c r="F2266" i="1"/>
  <c r="E2266" i="1"/>
  <c r="D2266" i="1"/>
  <c r="C2266" i="1"/>
  <c r="H2265" i="1"/>
  <c r="G2265" i="1"/>
  <c r="F2265" i="1"/>
  <c r="E2265" i="1"/>
  <c r="D2265" i="1"/>
  <c r="C2265" i="1"/>
  <c r="H2264" i="1"/>
  <c r="G2264" i="1"/>
  <c r="F2264" i="1"/>
  <c r="E2264" i="1"/>
  <c r="D2264" i="1"/>
  <c r="C2264" i="1"/>
  <c r="H2263" i="1"/>
  <c r="G2263" i="1"/>
  <c r="F2263" i="1"/>
  <c r="E2263" i="1"/>
  <c r="D2263" i="1"/>
  <c r="C2263" i="1"/>
  <c r="H2262" i="1"/>
  <c r="G2262" i="1"/>
  <c r="F2262" i="1"/>
  <c r="E2262" i="1"/>
  <c r="D2262" i="1"/>
  <c r="C2262" i="1"/>
  <c r="H2261" i="1"/>
  <c r="G2261" i="1"/>
  <c r="F2261" i="1"/>
  <c r="E2261" i="1"/>
  <c r="D2261" i="1"/>
  <c r="C2261" i="1"/>
  <c r="H2260" i="1"/>
  <c r="G2260" i="1"/>
  <c r="F2260" i="1"/>
  <c r="E2260" i="1"/>
  <c r="D2260" i="1"/>
  <c r="C2260" i="1"/>
  <c r="H2259" i="1"/>
  <c r="G2259" i="1"/>
  <c r="F2259" i="1"/>
  <c r="E2259" i="1"/>
  <c r="D2259" i="1"/>
  <c r="C2259" i="1"/>
  <c r="H2258" i="1"/>
  <c r="G2258" i="1"/>
  <c r="F2258" i="1"/>
  <c r="E2258" i="1"/>
  <c r="D2258" i="1"/>
  <c r="C2258" i="1"/>
  <c r="H2257" i="1"/>
  <c r="G2257" i="1"/>
  <c r="F2257" i="1"/>
  <c r="E2257" i="1"/>
  <c r="D2257" i="1"/>
  <c r="C2257" i="1"/>
  <c r="H2256" i="1"/>
  <c r="G2256" i="1"/>
  <c r="F2256" i="1"/>
  <c r="E2256" i="1"/>
  <c r="D2256" i="1"/>
  <c r="C2256" i="1"/>
  <c r="H2255" i="1"/>
  <c r="G2255" i="1"/>
  <c r="F2255" i="1"/>
  <c r="E2255" i="1"/>
  <c r="D2255" i="1"/>
  <c r="C2255" i="1"/>
  <c r="H2254" i="1"/>
  <c r="G2254" i="1"/>
  <c r="F2254" i="1"/>
  <c r="E2254" i="1"/>
  <c r="D2254" i="1"/>
  <c r="C2254" i="1"/>
  <c r="H2253" i="1"/>
  <c r="G2253" i="1"/>
  <c r="F2253" i="1"/>
  <c r="E2253" i="1"/>
  <c r="D2253" i="1"/>
  <c r="C2253" i="1"/>
  <c r="H2252" i="1"/>
  <c r="G2252" i="1"/>
  <c r="F2252" i="1"/>
  <c r="E2252" i="1"/>
  <c r="D2252" i="1"/>
  <c r="C2252" i="1"/>
  <c r="H2251" i="1"/>
  <c r="G2251" i="1"/>
  <c r="F2251" i="1"/>
  <c r="E2251" i="1"/>
  <c r="D2251" i="1"/>
  <c r="C2251" i="1"/>
  <c r="H2250" i="1"/>
  <c r="G2250" i="1"/>
  <c r="F2250" i="1"/>
  <c r="E2250" i="1"/>
  <c r="D2250" i="1"/>
  <c r="C2250" i="1"/>
  <c r="H2249" i="1"/>
  <c r="G2249" i="1"/>
  <c r="F2249" i="1"/>
  <c r="E2249" i="1"/>
  <c r="D2249" i="1"/>
  <c r="C2249" i="1"/>
  <c r="H2248" i="1"/>
  <c r="G2248" i="1"/>
  <c r="F2248" i="1"/>
  <c r="E2248" i="1"/>
  <c r="D2248" i="1"/>
  <c r="C2248" i="1"/>
  <c r="H2247" i="1"/>
  <c r="G2247" i="1"/>
  <c r="F2247" i="1"/>
  <c r="E2247" i="1"/>
  <c r="D2247" i="1"/>
  <c r="C2247" i="1"/>
  <c r="H2246" i="1"/>
  <c r="G2246" i="1"/>
  <c r="F2246" i="1"/>
  <c r="E2246" i="1"/>
  <c r="D2246" i="1"/>
  <c r="C2246" i="1"/>
  <c r="H2245" i="1"/>
  <c r="G2245" i="1"/>
  <c r="F2245" i="1"/>
  <c r="E2245" i="1"/>
  <c r="D2245" i="1"/>
  <c r="C2245" i="1"/>
  <c r="H2244" i="1"/>
  <c r="G2244" i="1"/>
  <c r="F2244" i="1"/>
  <c r="E2244" i="1"/>
  <c r="D2244" i="1"/>
  <c r="C2244" i="1"/>
  <c r="H2243" i="1"/>
  <c r="G2243" i="1"/>
  <c r="F2243" i="1"/>
  <c r="E2243" i="1"/>
  <c r="D2243" i="1"/>
  <c r="C2243" i="1"/>
  <c r="H2242" i="1"/>
  <c r="G2242" i="1"/>
  <c r="F2242" i="1"/>
  <c r="E2242" i="1"/>
  <c r="D2242" i="1"/>
  <c r="C2242" i="1"/>
  <c r="H2241" i="1"/>
  <c r="G2241" i="1"/>
  <c r="F2241" i="1"/>
  <c r="E2241" i="1"/>
  <c r="D2241" i="1"/>
  <c r="C2241" i="1"/>
  <c r="H2240" i="1"/>
  <c r="G2240" i="1"/>
  <c r="F2240" i="1"/>
  <c r="E2240" i="1"/>
  <c r="D2240" i="1"/>
  <c r="C2240" i="1"/>
  <c r="H2239" i="1"/>
  <c r="G2239" i="1"/>
  <c r="F2239" i="1"/>
  <c r="E2239" i="1"/>
  <c r="D2239" i="1"/>
  <c r="C2239" i="1"/>
  <c r="H2238" i="1"/>
  <c r="G2238" i="1"/>
  <c r="F2238" i="1"/>
  <c r="E2238" i="1"/>
  <c r="D2238" i="1"/>
  <c r="C2238" i="1"/>
  <c r="H2237" i="1"/>
  <c r="G2237" i="1"/>
  <c r="F2237" i="1"/>
  <c r="E2237" i="1"/>
  <c r="D2237" i="1"/>
  <c r="C2237" i="1"/>
  <c r="H2236" i="1"/>
  <c r="G2236" i="1"/>
  <c r="F2236" i="1"/>
  <c r="E2236" i="1"/>
  <c r="D2236" i="1"/>
  <c r="C2236" i="1"/>
  <c r="H2235" i="1"/>
  <c r="G2235" i="1"/>
  <c r="F2235" i="1"/>
  <c r="E2235" i="1"/>
  <c r="D2235" i="1"/>
  <c r="C2235" i="1"/>
  <c r="H2234" i="1"/>
  <c r="G2234" i="1"/>
  <c r="F2234" i="1"/>
  <c r="E2234" i="1"/>
  <c r="D2234" i="1"/>
  <c r="C2234" i="1"/>
  <c r="H2233" i="1"/>
  <c r="G2233" i="1"/>
  <c r="F2233" i="1"/>
  <c r="E2233" i="1"/>
  <c r="D2233" i="1"/>
  <c r="C2233" i="1"/>
  <c r="H2232" i="1"/>
  <c r="G2232" i="1"/>
  <c r="F2232" i="1"/>
  <c r="E2232" i="1"/>
  <c r="D2232" i="1"/>
  <c r="C2232" i="1"/>
  <c r="H2231" i="1"/>
  <c r="G2231" i="1"/>
  <c r="F2231" i="1"/>
  <c r="E2231" i="1"/>
  <c r="D2231" i="1"/>
  <c r="C2231" i="1"/>
  <c r="H2230" i="1"/>
  <c r="G2230" i="1"/>
  <c r="F2230" i="1"/>
  <c r="E2230" i="1"/>
  <c r="D2230" i="1"/>
  <c r="C2230" i="1"/>
  <c r="H2229" i="1"/>
  <c r="G2229" i="1"/>
  <c r="F2229" i="1"/>
  <c r="E2229" i="1"/>
  <c r="D2229" i="1"/>
  <c r="C2229" i="1"/>
  <c r="H2228" i="1"/>
  <c r="G2228" i="1"/>
  <c r="F2228" i="1"/>
  <c r="E2228" i="1"/>
  <c r="D2228" i="1"/>
  <c r="C2228" i="1"/>
  <c r="H2227" i="1"/>
  <c r="G2227" i="1"/>
  <c r="F2227" i="1"/>
  <c r="E2227" i="1"/>
  <c r="D2227" i="1"/>
  <c r="C2227" i="1"/>
  <c r="H2226" i="1"/>
  <c r="G2226" i="1"/>
  <c r="F2226" i="1"/>
  <c r="E2226" i="1"/>
  <c r="D2226" i="1"/>
  <c r="C2226" i="1"/>
  <c r="H2225" i="1"/>
  <c r="G2225" i="1"/>
  <c r="F2225" i="1"/>
  <c r="E2225" i="1"/>
  <c r="D2225" i="1"/>
  <c r="C2225" i="1"/>
  <c r="H2224" i="1"/>
  <c r="G2224" i="1"/>
  <c r="F2224" i="1"/>
  <c r="E2224" i="1"/>
  <c r="D2224" i="1"/>
  <c r="C2224" i="1"/>
  <c r="H2223" i="1"/>
  <c r="G2223" i="1"/>
  <c r="F2223" i="1"/>
  <c r="E2223" i="1"/>
  <c r="D2223" i="1"/>
  <c r="C2223" i="1"/>
  <c r="H2222" i="1"/>
  <c r="G2222" i="1"/>
  <c r="F2222" i="1"/>
  <c r="E2222" i="1"/>
  <c r="D2222" i="1"/>
  <c r="C2222" i="1"/>
  <c r="H2221" i="1"/>
  <c r="G2221" i="1"/>
  <c r="F2221" i="1"/>
  <c r="E2221" i="1"/>
  <c r="D2221" i="1"/>
  <c r="C2221" i="1"/>
  <c r="H2220" i="1"/>
  <c r="G2220" i="1"/>
  <c r="F2220" i="1"/>
  <c r="E2220" i="1"/>
  <c r="D2220" i="1"/>
  <c r="C2220" i="1"/>
  <c r="H2219" i="1"/>
  <c r="G2219" i="1"/>
  <c r="F2219" i="1"/>
  <c r="E2219" i="1"/>
  <c r="D2219" i="1"/>
  <c r="C2219" i="1"/>
  <c r="H2218" i="1"/>
  <c r="G2218" i="1"/>
  <c r="F2218" i="1"/>
  <c r="E2218" i="1"/>
  <c r="D2218" i="1"/>
  <c r="C2218" i="1"/>
  <c r="H2217" i="1"/>
  <c r="G2217" i="1"/>
  <c r="F2217" i="1"/>
  <c r="E2217" i="1"/>
  <c r="D2217" i="1"/>
  <c r="C2217" i="1"/>
  <c r="H2216" i="1"/>
  <c r="G2216" i="1"/>
  <c r="F2216" i="1"/>
  <c r="E2216" i="1"/>
  <c r="D2216" i="1"/>
  <c r="C2216" i="1"/>
  <c r="H2215" i="1"/>
  <c r="G2215" i="1"/>
  <c r="F2215" i="1"/>
  <c r="E2215" i="1"/>
  <c r="D2215" i="1"/>
  <c r="C2215" i="1"/>
  <c r="H2214" i="1"/>
  <c r="G2214" i="1"/>
  <c r="F2214" i="1"/>
  <c r="E2214" i="1"/>
  <c r="D2214" i="1"/>
  <c r="C2214" i="1"/>
  <c r="H2213" i="1"/>
  <c r="G2213" i="1"/>
  <c r="F2213" i="1"/>
  <c r="E2213" i="1"/>
  <c r="D2213" i="1"/>
  <c r="C2213" i="1"/>
  <c r="H2212" i="1"/>
  <c r="G2212" i="1"/>
  <c r="F2212" i="1"/>
  <c r="E2212" i="1"/>
  <c r="D2212" i="1"/>
  <c r="C2212" i="1"/>
  <c r="H2211" i="1"/>
  <c r="G2211" i="1"/>
  <c r="F2211" i="1"/>
  <c r="E2211" i="1"/>
  <c r="D2211" i="1"/>
  <c r="C2211" i="1"/>
  <c r="H2210" i="1"/>
  <c r="G2210" i="1"/>
  <c r="F2210" i="1"/>
  <c r="E2210" i="1"/>
  <c r="D2210" i="1"/>
  <c r="C2210" i="1"/>
  <c r="H2209" i="1"/>
  <c r="G2209" i="1"/>
  <c r="F2209" i="1"/>
  <c r="E2209" i="1"/>
  <c r="D2209" i="1"/>
  <c r="C2209" i="1"/>
  <c r="H2208" i="1"/>
  <c r="G2208" i="1"/>
  <c r="F2208" i="1"/>
  <c r="E2208" i="1"/>
  <c r="D2208" i="1"/>
  <c r="C2208" i="1"/>
  <c r="H2207" i="1"/>
  <c r="G2207" i="1"/>
  <c r="F2207" i="1"/>
  <c r="E2207" i="1"/>
  <c r="D2207" i="1"/>
  <c r="C2207" i="1"/>
  <c r="H2206" i="1"/>
  <c r="G2206" i="1"/>
  <c r="F2206" i="1"/>
  <c r="E2206" i="1"/>
  <c r="D2206" i="1"/>
  <c r="C2206" i="1"/>
  <c r="H2205" i="1"/>
  <c r="G2205" i="1"/>
  <c r="F2205" i="1"/>
  <c r="E2205" i="1"/>
  <c r="D2205" i="1"/>
  <c r="C2205" i="1"/>
  <c r="H2204" i="1"/>
  <c r="G2204" i="1"/>
  <c r="F2204" i="1"/>
  <c r="E2204" i="1"/>
  <c r="D2204" i="1"/>
  <c r="C2204" i="1"/>
  <c r="H2203" i="1"/>
  <c r="G2203" i="1"/>
  <c r="F2203" i="1"/>
  <c r="E2203" i="1"/>
  <c r="D2203" i="1"/>
  <c r="C2203" i="1"/>
  <c r="H2202" i="1"/>
  <c r="G2202" i="1"/>
  <c r="F2202" i="1"/>
  <c r="E2202" i="1"/>
  <c r="D2202" i="1"/>
  <c r="C2202" i="1"/>
  <c r="H2201" i="1"/>
  <c r="G2201" i="1"/>
  <c r="F2201" i="1"/>
  <c r="E2201" i="1"/>
  <c r="D2201" i="1"/>
  <c r="C2201" i="1"/>
  <c r="H2200" i="1"/>
  <c r="G2200" i="1"/>
  <c r="F2200" i="1"/>
  <c r="E2200" i="1"/>
  <c r="D2200" i="1"/>
  <c r="C2200" i="1"/>
  <c r="H2199" i="1"/>
  <c r="G2199" i="1"/>
  <c r="F2199" i="1"/>
  <c r="E2199" i="1"/>
  <c r="D2199" i="1"/>
  <c r="C2199" i="1"/>
  <c r="H2198" i="1"/>
  <c r="G2198" i="1"/>
  <c r="F2198" i="1"/>
  <c r="E2198" i="1"/>
  <c r="D2198" i="1"/>
  <c r="C2198" i="1"/>
  <c r="H2197" i="1"/>
  <c r="G2197" i="1"/>
  <c r="F2197" i="1"/>
  <c r="E2197" i="1"/>
  <c r="D2197" i="1"/>
  <c r="C2197" i="1"/>
  <c r="H2196" i="1"/>
  <c r="G2196" i="1"/>
  <c r="F2196" i="1"/>
  <c r="E2196" i="1"/>
  <c r="D2196" i="1"/>
  <c r="C2196" i="1"/>
  <c r="H2195" i="1"/>
  <c r="G2195" i="1"/>
  <c r="F2195" i="1"/>
  <c r="E2195" i="1"/>
  <c r="D2195" i="1"/>
  <c r="C2195" i="1"/>
  <c r="H2194" i="1"/>
  <c r="G2194" i="1"/>
  <c r="F2194" i="1"/>
  <c r="E2194" i="1"/>
  <c r="D2194" i="1"/>
  <c r="C2194" i="1"/>
  <c r="H2193" i="1"/>
  <c r="G2193" i="1"/>
  <c r="F2193" i="1"/>
  <c r="E2193" i="1"/>
  <c r="D2193" i="1"/>
  <c r="C2193" i="1"/>
  <c r="H2192" i="1"/>
  <c r="G2192" i="1"/>
  <c r="F2192" i="1"/>
  <c r="E2192" i="1"/>
  <c r="D2192" i="1"/>
  <c r="C2192" i="1"/>
  <c r="H2191" i="1"/>
  <c r="G2191" i="1"/>
  <c r="F2191" i="1"/>
  <c r="E2191" i="1"/>
  <c r="D2191" i="1"/>
  <c r="C2191" i="1"/>
  <c r="H2190" i="1"/>
  <c r="G2190" i="1"/>
  <c r="F2190" i="1"/>
  <c r="E2190" i="1"/>
  <c r="D2190" i="1"/>
  <c r="C2190" i="1"/>
  <c r="H2189" i="1"/>
  <c r="G2189" i="1"/>
  <c r="F2189" i="1"/>
  <c r="E2189" i="1"/>
  <c r="D2189" i="1"/>
  <c r="C2189" i="1"/>
  <c r="H2188" i="1"/>
  <c r="G2188" i="1"/>
  <c r="F2188" i="1"/>
  <c r="E2188" i="1"/>
  <c r="D2188" i="1"/>
  <c r="C2188" i="1"/>
  <c r="H2187" i="1"/>
  <c r="G2187" i="1"/>
  <c r="F2187" i="1"/>
  <c r="E2187" i="1"/>
  <c r="D2187" i="1"/>
  <c r="C2187" i="1"/>
  <c r="H2186" i="1"/>
  <c r="G2186" i="1"/>
  <c r="F2186" i="1"/>
  <c r="E2186" i="1"/>
  <c r="D2186" i="1"/>
  <c r="C2186" i="1"/>
  <c r="H2185" i="1"/>
  <c r="G2185" i="1"/>
  <c r="F2185" i="1"/>
  <c r="E2185" i="1"/>
  <c r="D2185" i="1"/>
  <c r="C2185" i="1"/>
  <c r="H2184" i="1"/>
  <c r="G2184" i="1"/>
  <c r="F2184" i="1"/>
  <c r="E2184" i="1"/>
  <c r="D2184" i="1"/>
  <c r="C2184" i="1"/>
  <c r="H2183" i="1"/>
  <c r="G2183" i="1"/>
  <c r="F2183" i="1"/>
  <c r="E2183" i="1"/>
  <c r="D2183" i="1"/>
  <c r="C2183" i="1"/>
  <c r="H2182" i="1"/>
  <c r="G2182" i="1"/>
  <c r="F2182" i="1"/>
  <c r="E2182" i="1"/>
  <c r="D2182" i="1"/>
  <c r="C2182" i="1"/>
  <c r="H2181" i="1"/>
  <c r="G2181" i="1"/>
  <c r="F2181" i="1"/>
  <c r="E2181" i="1"/>
  <c r="D2181" i="1"/>
  <c r="C2181" i="1"/>
  <c r="H2180" i="1"/>
  <c r="G2180" i="1"/>
  <c r="F2180" i="1"/>
  <c r="E2180" i="1"/>
  <c r="D2180" i="1"/>
  <c r="C2180" i="1"/>
  <c r="H2179" i="1"/>
  <c r="G2179" i="1"/>
  <c r="F2179" i="1"/>
  <c r="E2179" i="1"/>
  <c r="D2179" i="1"/>
  <c r="C2179" i="1"/>
  <c r="H2178" i="1"/>
  <c r="G2178" i="1"/>
  <c r="F2178" i="1"/>
  <c r="E2178" i="1"/>
  <c r="D2178" i="1"/>
  <c r="C2178" i="1"/>
  <c r="H2177" i="1"/>
  <c r="G2177" i="1"/>
  <c r="F2177" i="1"/>
  <c r="E2177" i="1"/>
  <c r="D2177" i="1"/>
  <c r="C2177" i="1"/>
  <c r="H2176" i="1"/>
  <c r="G2176" i="1"/>
  <c r="F2176" i="1"/>
  <c r="E2176" i="1"/>
  <c r="D2176" i="1"/>
  <c r="C2176" i="1"/>
  <c r="H2175" i="1"/>
  <c r="G2175" i="1"/>
  <c r="F2175" i="1"/>
  <c r="E2175" i="1"/>
  <c r="D2175" i="1"/>
  <c r="C2175" i="1"/>
  <c r="H2174" i="1"/>
  <c r="G2174" i="1"/>
  <c r="F2174" i="1"/>
  <c r="E2174" i="1"/>
  <c r="D2174" i="1"/>
  <c r="C2174" i="1"/>
  <c r="H2173" i="1"/>
  <c r="G2173" i="1"/>
  <c r="F2173" i="1"/>
  <c r="E2173" i="1"/>
  <c r="D2173" i="1"/>
  <c r="C2173" i="1"/>
  <c r="H2172" i="1"/>
  <c r="G2172" i="1"/>
  <c r="F2172" i="1"/>
  <c r="E2172" i="1"/>
  <c r="D2172" i="1"/>
  <c r="C2172" i="1"/>
  <c r="H2171" i="1"/>
  <c r="G2171" i="1"/>
  <c r="F2171" i="1"/>
  <c r="E2171" i="1"/>
  <c r="D2171" i="1"/>
  <c r="C2171" i="1"/>
  <c r="H2170" i="1"/>
  <c r="G2170" i="1"/>
  <c r="F2170" i="1"/>
  <c r="E2170" i="1"/>
  <c r="D2170" i="1"/>
  <c r="C2170" i="1"/>
  <c r="H2169" i="1"/>
  <c r="G2169" i="1"/>
  <c r="F2169" i="1"/>
  <c r="E2169" i="1"/>
  <c r="D2169" i="1"/>
  <c r="C2169" i="1"/>
  <c r="H2168" i="1"/>
  <c r="G2168" i="1"/>
  <c r="F2168" i="1"/>
  <c r="E2168" i="1"/>
  <c r="D2168" i="1"/>
  <c r="C2168" i="1"/>
  <c r="H2167" i="1"/>
  <c r="G2167" i="1"/>
  <c r="F2167" i="1"/>
  <c r="E2167" i="1"/>
  <c r="D2167" i="1"/>
  <c r="C2167" i="1"/>
  <c r="H2166" i="1"/>
  <c r="G2166" i="1"/>
  <c r="F2166" i="1"/>
  <c r="E2166" i="1"/>
  <c r="D2166" i="1"/>
  <c r="C2166" i="1"/>
  <c r="H2165" i="1"/>
  <c r="G2165" i="1"/>
  <c r="F2165" i="1"/>
  <c r="E2165" i="1"/>
  <c r="D2165" i="1"/>
  <c r="C2165" i="1"/>
  <c r="H2164" i="1"/>
  <c r="G2164" i="1"/>
  <c r="F2164" i="1"/>
  <c r="E2164" i="1"/>
  <c r="D2164" i="1"/>
  <c r="C2164" i="1"/>
  <c r="H2163" i="1"/>
  <c r="G2163" i="1"/>
  <c r="F2163" i="1"/>
  <c r="E2163" i="1"/>
  <c r="D2163" i="1"/>
  <c r="C2163" i="1"/>
  <c r="H2162" i="1"/>
  <c r="G2162" i="1"/>
  <c r="F2162" i="1"/>
  <c r="E2162" i="1"/>
  <c r="D2162" i="1"/>
  <c r="C2162" i="1"/>
  <c r="H2161" i="1"/>
  <c r="G2161" i="1"/>
  <c r="F2161" i="1"/>
  <c r="E2161" i="1"/>
  <c r="D2161" i="1"/>
  <c r="C2161" i="1"/>
  <c r="H2160" i="1"/>
  <c r="G2160" i="1"/>
  <c r="F2160" i="1"/>
  <c r="E2160" i="1"/>
  <c r="D2160" i="1"/>
  <c r="C2160" i="1"/>
  <c r="H2159" i="1"/>
  <c r="G2159" i="1"/>
  <c r="F2159" i="1"/>
  <c r="E2159" i="1"/>
  <c r="D2159" i="1"/>
  <c r="C2159" i="1"/>
  <c r="H2158" i="1"/>
  <c r="G2158" i="1"/>
  <c r="F2158" i="1"/>
  <c r="E2158" i="1"/>
  <c r="D2158" i="1"/>
  <c r="C2158" i="1"/>
  <c r="H2157" i="1"/>
  <c r="G2157" i="1"/>
  <c r="F2157" i="1"/>
  <c r="E2157" i="1"/>
  <c r="D2157" i="1"/>
  <c r="C2157" i="1"/>
  <c r="H2156" i="1"/>
  <c r="G2156" i="1"/>
  <c r="F2156" i="1"/>
  <c r="E2156" i="1"/>
  <c r="D2156" i="1"/>
  <c r="C2156" i="1"/>
  <c r="H2155" i="1"/>
  <c r="G2155" i="1"/>
  <c r="F2155" i="1"/>
  <c r="E2155" i="1"/>
  <c r="D2155" i="1"/>
  <c r="C2155" i="1"/>
  <c r="H2154" i="1"/>
  <c r="G2154" i="1"/>
  <c r="F2154" i="1"/>
  <c r="E2154" i="1"/>
  <c r="D2154" i="1"/>
  <c r="C2154" i="1"/>
  <c r="H2153" i="1"/>
  <c r="G2153" i="1"/>
  <c r="F2153" i="1"/>
  <c r="E2153" i="1"/>
  <c r="D2153" i="1"/>
  <c r="C2153" i="1"/>
  <c r="H2152" i="1"/>
  <c r="G2152" i="1"/>
  <c r="F2152" i="1"/>
  <c r="E2152" i="1"/>
  <c r="D2152" i="1"/>
  <c r="C2152" i="1"/>
  <c r="H2151" i="1"/>
  <c r="G2151" i="1"/>
  <c r="F2151" i="1"/>
  <c r="E2151" i="1"/>
  <c r="D2151" i="1"/>
  <c r="C2151" i="1"/>
  <c r="H2150" i="1"/>
  <c r="G2150" i="1"/>
  <c r="F2150" i="1"/>
  <c r="E2150" i="1"/>
  <c r="D2150" i="1"/>
  <c r="C2150" i="1"/>
  <c r="H2149" i="1"/>
  <c r="G2149" i="1"/>
  <c r="F2149" i="1"/>
  <c r="E2149" i="1"/>
  <c r="D2149" i="1"/>
  <c r="C2149" i="1"/>
  <c r="H2148" i="1"/>
  <c r="G2148" i="1"/>
  <c r="F2148" i="1"/>
  <c r="E2148" i="1"/>
  <c r="D2148" i="1"/>
  <c r="C2148" i="1"/>
  <c r="H2147" i="1"/>
  <c r="G2147" i="1"/>
  <c r="F2147" i="1"/>
  <c r="E2147" i="1"/>
  <c r="D2147" i="1"/>
  <c r="C2147" i="1"/>
  <c r="H2146" i="1"/>
  <c r="G2146" i="1"/>
  <c r="F2146" i="1"/>
  <c r="E2146" i="1"/>
  <c r="D2146" i="1"/>
  <c r="C2146" i="1"/>
  <c r="H2145" i="1"/>
  <c r="G2145" i="1"/>
  <c r="F2145" i="1"/>
  <c r="E2145" i="1"/>
  <c r="D2145" i="1"/>
  <c r="C2145" i="1"/>
  <c r="H2144" i="1"/>
  <c r="G2144" i="1"/>
  <c r="F2144" i="1"/>
  <c r="E2144" i="1"/>
  <c r="D2144" i="1"/>
  <c r="C2144" i="1"/>
  <c r="H2143" i="1"/>
  <c r="G2143" i="1"/>
  <c r="F2143" i="1"/>
  <c r="E2143" i="1"/>
  <c r="D2143" i="1"/>
  <c r="C2143" i="1"/>
  <c r="H2142" i="1"/>
  <c r="G2142" i="1"/>
  <c r="F2142" i="1"/>
  <c r="E2142" i="1"/>
  <c r="D2142" i="1"/>
  <c r="C2142" i="1"/>
  <c r="H2141" i="1"/>
  <c r="G2141" i="1"/>
  <c r="F2141" i="1"/>
  <c r="E2141" i="1"/>
  <c r="D2141" i="1"/>
  <c r="C2141" i="1"/>
  <c r="H2140" i="1"/>
  <c r="G2140" i="1"/>
  <c r="F2140" i="1"/>
  <c r="E2140" i="1"/>
  <c r="D2140" i="1"/>
  <c r="C2140" i="1"/>
  <c r="H2139" i="1"/>
  <c r="G2139" i="1"/>
  <c r="F2139" i="1"/>
  <c r="E2139" i="1"/>
  <c r="D2139" i="1"/>
  <c r="C2139" i="1"/>
  <c r="H2138" i="1"/>
  <c r="G2138" i="1"/>
  <c r="F2138" i="1"/>
  <c r="E2138" i="1"/>
  <c r="D2138" i="1"/>
  <c r="C2138" i="1"/>
  <c r="H2137" i="1"/>
  <c r="G2137" i="1"/>
  <c r="F2137" i="1"/>
  <c r="E2137" i="1"/>
  <c r="D2137" i="1"/>
  <c r="C2137" i="1"/>
  <c r="H2136" i="1"/>
  <c r="G2136" i="1"/>
  <c r="F2136" i="1"/>
  <c r="E2136" i="1"/>
  <c r="D2136" i="1"/>
  <c r="C2136" i="1"/>
  <c r="H2135" i="1"/>
  <c r="G2135" i="1"/>
  <c r="F2135" i="1"/>
  <c r="E2135" i="1"/>
  <c r="D2135" i="1"/>
  <c r="C2135" i="1"/>
  <c r="H2134" i="1"/>
  <c r="G2134" i="1"/>
  <c r="F2134" i="1"/>
  <c r="E2134" i="1"/>
  <c r="D2134" i="1"/>
  <c r="C2134" i="1"/>
  <c r="H2133" i="1"/>
  <c r="G2133" i="1"/>
  <c r="F2133" i="1"/>
  <c r="E2133" i="1"/>
  <c r="D2133" i="1"/>
  <c r="C2133" i="1"/>
  <c r="H2132" i="1"/>
  <c r="G2132" i="1"/>
  <c r="F2132" i="1"/>
  <c r="E2132" i="1"/>
  <c r="D2132" i="1"/>
  <c r="C2132" i="1"/>
  <c r="H2131" i="1"/>
  <c r="G2131" i="1"/>
  <c r="F2131" i="1"/>
  <c r="E2131" i="1"/>
  <c r="D2131" i="1"/>
  <c r="C2131" i="1"/>
  <c r="H2130" i="1"/>
  <c r="G2130" i="1"/>
  <c r="F2130" i="1"/>
  <c r="E2130" i="1"/>
  <c r="D2130" i="1"/>
  <c r="C2130" i="1"/>
  <c r="H2129" i="1"/>
  <c r="G2129" i="1"/>
  <c r="F2129" i="1"/>
  <c r="E2129" i="1"/>
  <c r="D2129" i="1"/>
  <c r="C2129" i="1"/>
  <c r="H2128" i="1"/>
  <c r="G2128" i="1"/>
  <c r="F2128" i="1"/>
  <c r="E2128" i="1"/>
  <c r="D2128" i="1"/>
  <c r="C2128" i="1"/>
  <c r="H2127" i="1"/>
  <c r="G2127" i="1"/>
  <c r="F2127" i="1"/>
  <c r="E2127" i="1"/>
  <c r="D2127" i="1"/>
  <c r="C2127" i="1"/>
  <c r="H2126" i="1"/>
  <c r="G2126" i="1"/>
  <c r="F2126" i="1"/>
  <c r="E2126" i="1"/>
  <c r="D2126" i="1"/>
  <c r="C2126" i="1"/>
  <c r="H2125" i="1"/>
  <c r="G2125" i="1"/>
  <c r="F2125" i="1"/>
  <c r="E2125" i="1"/>
  <c r="D2125" i="1"/>
  <c r="C2125" i="1"/>
  <c r="H2124" i="1"/>
  <c r="G2124" i="1"/>
  <c r="F2124" i="1"/>
  <c r="E2124" i="1"/>
  <c r="D2124" i="1"/>
  <c r="C2124" i="1"/>
  <c r="H2123" i="1"/>
  <c r="G2123" i="1"/>
  <c r="F2123" i="1"/>
  <c r="E2123" i="1"/>
  <c r="D2123" i="1"/>
  <c r="C2123" i="1"/>
  <c r="H2122" i="1"/>
  <c r="G2122" i="1"/>
  <c r="F2122" i="1"/>
  <c r="E2122" i="1"/>
  <c r="D2122" i="1"/>
  <c r="C2122" i="1"/>
  <c r="H2121" i="1"/>
  <c r="G2121" i="1"/>
  <c r="F2121" i="1"/>
  <c r="E2121" i="1"/>
  <c r="D2121" i="1"/>
  <c r="C2121" i="1"/>
  <c r="H2120" i="1"/>
  <c r="G2120" i="1"/>
  <c r="F2120" i="1"/>
  <c r="E2120" i="1"/>
  <c r="D2120" i="1"/>
  <c r="C2120" i="1"/>
  <c r="H2119" i="1"/>
  <c r="G2119" i="1"/>
  <c r="F2119" i="1"/>
  <c r="E2119" i="1"/>
  <c r="D2119" i="1"/>
  <c r="C2119" i="1"/>
  <c r="H2118" i="1"/>
  <c r="G2118" i="1"/>
  <c r="F2118" i="1"/>
  <c r="E2118" i="1"/>
  <c r="D2118" i="1"/>
  <c r="C2118" i="1"/>
  <c r="H2117" i="1"/>
  <c r="G2117" i="1"/>
  <c r="F2117" i="1"/>
  <c r="E2117" i="1"/>
  <c r="D2117" i="1"/>
  <c r="C2117" i="1"/>
  <c r="H2116" i="1"/>
  <c r="G2116" i="1"/>
  <c r="F2116" i="1"/>
  <c r="E2116" i="1"/>
  <c r="D2116" i="1"/>
  <c r="C2116" i="1"/>
  <c r="H2115" i="1"/>
  <c r="G2115" i="1"/>
  <c r="F2115" i="1"/>
  <c r="E2115" i="1"/>
  <c r="D2115" i="1"/>
  <c r="C2115" i="1"/>
  <c r="H2114" i="1"/>
  <c r="G2114" i="1"/>
  <c r="F2114" i="1"/>
  <c r="E2114" i="1"/>
  <c r="D2114" i="1"/>
  <c r="C2114" i="1"/>
  <c r="H2113" i="1"/>
  <c r="G2113" i="1"/>
  <c r="F2113" i="1"/>
  <c r="E2113" i="1"/>
  <c r="D2113" i="1"/>
  <c r="C2113" i="1"/>
  <c r="H2112" i="1"/>
  <c r="G2112" i="1"/>
  <c r="F2112" i="1"/>
  <c r="E2112" i="1"/>
  <c r="D2112" i="1"/>
  <c r="C2112" i="1"/>
  <c r="H2111" i="1"/>
  <c r="G2111" i="1"/>
  <c r="F2111" i="1"/>
  <c r="E2111" i="1"/>
  <c r="D2111" i="1"/>
  <c r="C2111" i="1"/>
  <c r="H2110" i="1"/>
  <c r="G2110" i="1"/>
  <c r="F2110" i="1"/>
  <c r="E2110" i="1"/>
  <c r="D2110" i="1"/>
  <c r="C2110" i="1"/>
  <c r="H2109" i="1"/>
  <c r="G2109" i="1"/>
  <c r="F2109" i="1"/>
  <c r="E2109" i="1"/>
  <c r="D2109" i="1"/>
  <c r="C2109" i="1"/>
  <c r="H2108" i="1"/>
  <c r="G2108" i="1"/>
  <c r="F2108" i="1"/>
  <c r="E2108" i="1"/>
  <c r="D2108" i="1"/>
  <c r="C2108" i="1"/>
  <c r="H2107" i="1"/>
  <c r="G2107" i="1"/>
  <c r="F2107" i="1"/>
  <c r="E2107" i="1"/>
  <c r="D2107" i="1"/>
  <c r="C2107" i="1"/>
  <c r="H2106" i="1"/>
  <c r="G2106" i="1"/>
  <c r="F2106" i="1"/>
  <c r="E2106" i="1"/>
  <c r="D2106" i="1"/>
  <c r="C2106" i="1"/>
  <c r="H2105" i="1"/>
  <c r="G2105" i="1"/>
  <c r="F2105" i="1"/>
  <c r="E2105" i="1"/>
  <c r="D2105" i="1"/>
  <c r="C2105" i="1"/>
  <c r="H2104" i="1"/>
  <c r="G2104" i="1"/>
  <c r="F2104" i="1"/>
  <c r="E2104" i="1"/>
  <c r="D2104" i="1"/>
  <c r="C2104" i="1"/>
  <c r="H2103" i="1"/>
  <c r="G2103" i="1"/>
  <c r="F2103" i="1"/>
  <c r="E2103" i="1"/>
  <c r="D2103" i="1"/>
  <c r="C2103" i="1"/>
  <c r="H2102" i="1"/>
  <c r="G2102" i="1"/>
  <c r="F2102" i="1"/>
  <c r="E2102" i="1"/>
  <c r="D2102" i="1"/>
  <c r="C2102" i="1"/>
  <c r="H2101" i="1"/>
  <c r="G2101" i="1"/>
  <c r="F2101" i="1"/>
  <c r="E2101" i="1"/>
  <c r="D2101" i="1"/>
  <c r="C2101" i="1"/>
  <c r="H2100" i="1"/>
  <c r="G2100" i="1"/>
  <c r="F2100" i="1"/>
  <c r="E2100" i="1"/>
  <c r="D2100" i="1"/>
  <c r="C2100" i="1"/>
  <c r="H2099" i="1"/>
  <c r="G2099" i="1"/>
  <c r="F2099" i="1"/>
  <c r="E2099" i="1"/>
  <c r="D2099" i="1"/>
  <c r="C2099" i="1"/>
  <c r="H2098" i="1"/>
  <c r="G2098" i="1"/>
  <c r="F2098" i="1"/>
  <c r="E2098" i="1"/>
  <c r="D2098" i="1"/>
  <c r="C2098" i="1"/>
  <c r="H2097" i="1"/>
  <c r="G2097" i="1"/>
  <c r="F2097" i="1"/>
  <c r="E2097" i="1"/>
  <c r="D2097" i="1"/>
  <c r="C2097" i="1"/>
  <c r="H2096" i="1"/>
  <c r="G2096" i="1"/>
  <c r="F2096" i="1"/>
  <c r="E2096" i="1"/>
  <c r="D2096" i="1"/>
  <c r="C2096" i="1"/>
  <c r="H2095" i="1"/>
  <c r="G2095" i="1"/>
  <c r="F2095" i="1"/>
  <c r="E2095" i="1"/>
  <c r="D2095" i="1"/>
  <c r="C2095" i="1"/>
  <c r="H2094" i="1"/>
  <c r="G2094" i="1"/>
  <c r="F2094" i="1"/>
  <c r="E2094" i="1"/>
  <c r="D2094" i="1"/>
  <c r="C2094" i="1"/>
  <c r="H2093" i="1"/>
  <c r="G2093" i="1"/>
  <c r="F2093" i="1"/>
  <c r="E2093" i="1"/>
  <c r="D2093" i="1"/>
  <c r="C2093" i="1"/>
  <c r="H2092" i="1"/>
  <c r="G2092" i="1"/>
  <c r="F2092" i="1"/>
  <c r="E2092" i="1"/>
  <c r="D2092" i="1"/>
  <c r="C2092" i="1"/>
  <c r="H2091" i="1"/>
  <c r="G2091" i="1"/>
  <c r="F2091" i="1"/>
  <c r="E2091" i="1"/>
  <c r="D2091" i="1"/>
  <c r="C2091" i="1"/>
  <c r="H2090" i="1"/>
  <c r="G2090" i="1"/>
  <c r="F2090" i="1"/>
  <c r="E2090" i="1"/>
  <c r="D2090" i="1"/>
  <c r="C2090" i="1"/>
  <c r="H2089" i="1"/>
  <c r="G2089" i="1"/>
  <c r="F2089" i="1"/>
  <c r="E2089" i="1"/>
  <c r="D2089" i="1"/>
  <c r="C2089" i="1"/>
  <c r="H2088" i="1"/>
  <c r="G2088" i="1"/>
  <c r="F2088" i="1"/>
  <c r="E2088" i="1"/>
  <c r="D2088" i="1"/>
  <c r="C2088" i="1"/>
  <c r="H2087" i="1"/>
  <c r="G2087" i="1"/>
  <c r="F2087" i="1"/>
  <c r="E2087" i="1"/>
  <c r="D2087" i="1"/>
  <c r="C2087" i="1"/>
  <c r="H2086" i="1"/>
  <c r="G2086" i="1"/>
  <c r="F2086" i="1"/>
  <c r="E2086" i="1"/>
  <c r="D2086" i="1"/>
  <c r="C2086" i="1"/>
  <c r="H2085" i="1"/>
  <c r="G2085" i="1"/>
  <c r="F2085" i="1"/>
  <c r="E2085" i="1"/>
  <c r="D2085" i="1"/>
  <c r="C2085" i="1"/>
  <c r="H2084" i="1"/>
  <c r="G2084" i="1"/>
  <c r="F2084" i="1"/>
  <c r="E2084" i="1"/>
  <c r="D2084" i="1"/>
  <c r="C2084" i="1"/>
  <c r="H2083" i="1"/>
  <c r="G2083" i="1"/>
  <c r="F2083" i="1"/>
  <c r="E2083" i="1"/>
  <c r="D2083" i="1"/>
  <c r="C2083" i="1"/>
  <c r="H2082" i="1"/>
  <c r="G2082" i="1"/>
  <c r="F2082" i="1"/>
  <c r="E2082" i="1"/>
  <c r="D2082" i="1"/>
  <c r="C2082" i="1"/>
  <c r="H2081" i="1"/>
  <c r="G2081" i="1"/>
  <c r="F2081" i="1"/>
  <c r="E2081" i="1"/>
  <c r="D2081" i="1"/>
  <c r="C2081" i="1"/>
  <c r="H2080" i="1"/>
  <c r="G2080" i="1"/>
  <c r="F2080" i="1"/>
  <c r="E2080" i="1"/>
  <c r="D2080" i="1"/>
  <c r="C2080" i="1"/>
  <c r="H2079" i="1"/>
  <c r="G2079" i="1"/>
  <c r="F2079" i="1"/>
  <c r="E2079" i="1"/>
  <c r="D2079" i="1"/>
  <c r="C2079" i="1"/>
  <c r="H2078" i="1"/>
  <c r="G2078" i="1"/>
  <c r="F2078" i="1"/>
  <c r="E2078" i="1"/>
  <c r="D2078" i="1"/>
  <c r="C2078" i="1"/>
  <c r="H2077" i="1"/>
  <c r="G2077" i="1"/>
  <c r="F2077" i="1"/>
  <c r="E2077" i="1"/>
  <c r="D2077" i="1"/>
  <c r="C2077" i="1"/>
  <c r="H2076" i="1"/>
  <c r="G2076" i="1"/>
  <c r="F2076" i="1"/>
  <c r="E2076" i="1"/>
  <c r="D2076" i="1"/>
  <c r="C2076" i="1"/>
  <c r="H2075" i="1"/>
  <c r="G2075" i="1"/>
  <c r="F2075" i="1"/>
  <c r="E2075" i="1"/>
  <c r="D2075" i="1"/>
  <c r="C2075" i="1"/>
  <c r="H2074" i="1"/>
  <c r="G2074" i="1"/>
  <c r="F2074" i="1"/>
  <c r="E2074" i="1"/>
  <c r="D2074" i="1"/>
  <c r="C2074" i="1"/>
  <c r="H2073" i="1"/>
  <c r="G2073" i="1"/>
  <c r="F2073" i="1"/>
  <c r="E2073" i="1"/>
  <c r="D2073" i="1"/>
  <c r="C2073" i="1"/>
  <c r="H2072" i="1"/>
  <c r="G2072" i="1"/>
  <c r="F2072" i="1"/>
  <c r="E2072" i="1"/>
  <c r="D2072" i="1"/>
  <c r="C2072" i="1"/>
  <c r="H2071" i="1"/>
  <c r="G2071" i="1"/>
  <c r="F2071" i="1"/>
  <c r="E2071" i="1"/>
  <c r="D2071" i="1"/>
  <c r="C2071" i="1"/>
  <c r="H2070" i="1"/>
  <c r="G2070" i="1"/>
  <c r="F2070" i="1"/>
  <c r="E2070" i="1"/>
  <c r="D2070" i="1"/>
  <c r="C2070" i="1"/>
  <c r="H2069" i="1"/>
  <c r="G2069" i="1"/>
  <c r="F2069" i="1"/>
  <c r="E2069" i="1"/>
  <c r="D2069" i="1"/>
  <c r="C2069" i="1"/>
  <c r="H2068" i="1"/>
  <c r="G2068" i="1"/>
  <c r="F2068" i="1"/>
  <c r="E2068" i="1"/>
  <c r="D2068" i="1"/>
  <c r="C2068" i="1"/>
  <c r="H2067" i="1"/>
  <c r="G2067" i="1"/>
  <c r="F2067" i="1"/>
  <c r="E2067" i="1"/>
  <c r="D2067" i="1"/>
  <c r="C2067" i="1"/>
  <c r="H2066" i="1"/>
  <c r="G2066" i="1"/>
  <c r="F2066" i="1"/>
  <c r="E2066" i="1"/>
  <c r="D2066" i="1"/>
  <c r="C2066" i="1"/>
  <c r="H2065" i="1"/>
  <c r="G2065" i="1"/>
  <c r="F2065" i="1"/>
  <c r="E2065" i="1"/>
  <c r="D2065" i="1"/>
  <c r="C2065" i="1"/>
  <c r="H2064" i="1"/>
  <c r="G2064" i="1"/>
  <c r="F2064" i="1"/>
  <c r="E2064" i="1"/>
  <c r="D2064" i="1"/>
  <c r="C2064" i="1"/>
  <c r="H2063" i="1"/>
  <c r="G2063" i="1"/>
  <c r="F2063" i="1"/>
  <c r="E2063" i="1"/>
  <c r="D2063" i="1"/>
  <c r="C2063" i="1"/>
  <c r="H2062" i="1"/>
  <c r="G2062" i="1"/>
  <c r="F2062" i="1"/>
  <c r="E2062" i="1"/>
  <c r="D2062" i="1"/>
  <c r="C2062" i="1"/>
  <c r="H2061" i="1"/>
  <c r="G2061" i="1"/>
  <c r="F2061" i="1"/>
  <c r="E2061" i="1"/>
  <c r="D2061" i="1"/>
  <c r="C2061" i="1"/>
  <c r="H2060" i="1"/>
  <c r="G2060" i="1"/>
  <c r="F2060" i="1"/>
  <c r="E2060" i="1"/>
  <c r="D2060" i="1"/>
  <c r="C2060" i="1"/>
  <c r="H2059" i="1"/>
  <c r="G2059" i="1"/>
  <c r="F2059" i="1"/>
  <c r="E2059" i="1"/>
  <c r="D2059" i="1"/>
  <c r="C2059" i="1"/>
  <c r="H2058" i="1"/>
  <c r="G2058" i="1"/>
  <c r="F2058" i="1"/>
  <c r="E2058" i="1"/>
  <c r="D2058" i="1"/>
  <c r="C2058" i="1"/>
  <c r="H2057" i="1"/>
  <c r="G2057" i="1"/>
  <c r="F2057" i="1"/>
  <c r="E2057" i="1"/>
  <c r="D2057" i="1"/>
  <c r="C2057" i="1"/>
  <c r="H2056" i="1"/>
  <c r="G2056" i="1"/>
  <c r="F2056" i="1"/>
  <c r="E2056" i="1"/>
  <c r="D2056" i="1"/>
  <c r="C2056" i="1"/>
  <c r="H2055" i="1"/>
  <c r="G2055" i="1"/>
  <c r="F2055" i="1"/>
  <c r="E2055" i="1"/>
  <c r="D2055" i="1"/>
  <c r="C2055" i="1"/>
  <c r="H2054" i="1"/>
  <c r="G2054" i="1"/>
  <c r="F2054" i="1"/>
  <c r="E2054" i="1"/>
  <c r="D2054" i="1"/>
  <c r="C2054" i="1"/>
  <c r="H2053" i="1"/>
  <c r="G2053" i="1"/>
  <c r="F2053" i="1"/>
  <c r="E2053" i="1"/>
  <c r="D2053" i="1"/>
  <c r="C2053" i="1"/>
  <c r="H2052" i="1"/>
  <c r="G2052" i="1"/>
  <c r="F2052" i="1"/>
  <c r="E2052" i="1"/>
  <c r="D2052" i="1"/>
  <c r="C2052" i="1"/>
  <c r="H2051" i="1"/>
  <c r="G2051" i="1"/>
  <c r="F2051" i="1"/>
  <c r="E2051" i="1"/>
  <c r="D2051" i="1"/>
  <c r="C2051" i="1"/>
  <c r="H2050" i="1"/>
  <c r="G2050" i="1"/>
  <c r="F2050" i="1"/>
  <c r="E2050" i="1"/>
  <c r="D2050" i="1"/>
  <c r="C2050" i="1"/>
  <c r="H2049" i="1"/>
  <c r="G2049" i="1"/>
  <c r="F2049" i="1"/>
  <c r="E2049" i="1"/>
  <c r="D2049" i="1"/>
  <c r="C2049" i="1"/>
  <c r="H2048" i="1"/>
  <c r="G2048" i="1"/>
  <c r="F2048" i="1"/>
  <c r="E2048" i="1"/>
  <c r="D2048" i="1"/>
  <c r="C2048" i="1"/>
  <c r="H2047" i="1"/>
  <c r="G2047" i="1"/>
  <c r="F2047" i="1"/>
  <c r="E2047" i="1"/>
  <c r="D2047" i="1"/>
  <c r="C2047" i="1"/>
  <c r="H2046" i="1"/>
  <c r="G2046" i="1"/>
  <c r="F2046" i="1"/>
  <c r="E2046" i="1"/>
  <c r="D2046" i="1"/>
  <c r="C2046" i="1"/>
  <c r="H2045" i="1"/>
  <c r="G2045" i="1"/>
  <c r="F2045" i="1"/>
  <c r="E2045" i="1"/>
  <c r="D2045" i="1"/>
  <c r="C2045" i="1"/>
  <c r="H2044" i="1"/>
  <c r="G2044" i="1"/>
  <c r="F2044" i="1"/>
  <c r="E2044" i="1"/>
  <c r="D2044" i="1"/>
  <c r="C2044" i="1"/>
  <c r="H2043" i="1"/>
  <c r="G2043" i="1"/>
  <c r="F2043" i="1"/>
  <c r="E2043" i="1"/>
  <c r="D2043" i="1"/>
  <c r="C2043" i="1"/>
  <c r="H2042" i="1"/>
  <c r="G2042" i="1"/>
  <c r="F2042" i="1"/>
  <c r="E2042" i="1"/>
  <c r="D2042" i="1"/>
  <c r="C2042" i="1"/>
  <c r="H2041" i="1"/>
  <c r="G2041" i="1"/>
  <c r="F2041" i="1"/>
  <c r="E2041" i="1"/>
  <c r="D2041" i="1"/>
  <c r="C2041" i="1"/>
  <c r="H2040" i="1"/>
  <c r="G2040" i="1"/>
  <c r="F2040" i="1"/>
  <c r="E2040" i="1"/>
  <c r="D2040" i="1"/>
  <c r="C2040" i="1"/>
  <c r="H2039" i="1"/>
  <c r="G2039" i="1"/>
  <c r="F2039" i="1"/>
  <c r="E2039" i="1"/>
  <c r="D2039" i="1"/>
  <c r="C2039" i="1"/>
  <c r="H2038" i="1"/>
  <c r="G2038" i="1"/>
  <c r="F2038" i="1"/>
  <c r="E2038" i="1"/>
  <c r="D2038" i="1"/>
  <c r="C2038" i="1"/>
  <c r="H2037" i="1"/>
  <c r="G2037" i="1"/>
  <c r="F2037" i="1"/>
  <c r="E2037" i="1"/>
  <c r="D2037" i="1"/>
  <c r="C2037" i="1"/>
  <c r="H2036" i="1"/>
  <c r="G2036" i="1"/>
  <c r="F2036" i="1"/>
  <c r="E2036" i="1"/>
  <c r="D2036" i="1"/>
  <c r="C2036" i="1"/>
  <c r="H2035" i="1"/>
  <c r="G2035" i="1"/>
  <c r="F2035" i="1"/>
  <c r="E2035" i="1"/>
  <c r="D2035" i="1"/>
  <c r="C2035" i="1"/>
  <c r="H2034" i="1"/>
  <c r="G2034" i="1"/>
  <c r="F2034" i="1"/>
  <c r="E2034" i="1"/>
  <c r="D2034" i="1"/>
  <c r="C2034" i="1"/>
  <c r="H2033" i="1"/>
  <c r="G2033" i="1"/>
  <c r="F2033" i="1"/>
  <c r="E2033" i="1"/>
  <c r="D2033" i="1"/>
  <c r="C2033" i="1"/>
  <c r="H2032" i="1"/>
  <c r="G2032" i="1"/>
  <c r="F2032" i="1"/>
  <c r="E2032" i="1"/>
  <c r="D2032" i="1"/>
  <c r="C2032" i="1"/>
  <c r="H2031" i="1"/>
  <c r="G2031" i="1"/>
  <c r="F2031" i="1"/>
  <c r="E2031" i="1"/>
  <c r="D2031" i="1"/>
  <c r="C2031" i="1"/>
  <c r="H2030" i="1"/>
  <c r="G2030" i="1"/>
  <c r="F2030" i="1"/>
  <c r="E2030" i="1"/>
  <c r="D2030" i="1"/>
  <c r="C2030" i="1"/>
  <c r="H2029" i="1"/>
  <c r="G2029" i="1"/>
  <c r="F2029" i="1"/>
  <c r="E2029" i="1"/>
  <c r="D2029" i="1"/>
  <c r="C2029" i="1"/>
  <c r="H2028" i="1"/>
  <c r="G2028" i="1"/>
  <c r="F2028" i="1"/>
  <c r="E2028" i="1"/>
  <c r="D2028" i="1"/>
  <c r="C2028" i="1"/>
  <c r="H2027" i="1"/>
  <c r="G2027" i="1"/>
  <c r="F2027" i="1"/>
  <c r="E2027" i="1"/>
  <c r="D2027" i="1"/>
  <c r="C2027" i="1"/>
  <c r="H2026" i="1"/>
  <c r="G2026" i="1"/>
  <c r="F2026" i="1"/>
  <c r="E2026" i="1"/>
  <c r="D2026" i="1"/>
  <c r="C2026" i="1"/>
  <c r="H2025" i="1"/>
  <c r="G2025" i="1"/>
  <c r="F2025" i="1"/>
  <c r="E2025" i="1"/>
  <c r="D2025" i="1"/>
  <c r="C2025" i="1"/>
  <c r="H2024" i="1"/>
  <c r="G2024" i="1"/>
  <c r="F2024" i="1"/>
  <c r="E2024" i="1"/>
  <c r="D2024" i="1"/>
  <c r="C2024" i="1"/>
  <c r="H2023" i="1"/>
  <c r="G2023" i="1"/>
  <c r="F2023" i="1"/>
  <c r="E2023" i="1"/>
  <c r="D2023" i="1"/>
  <c r="C2023" i="1"/>
  <c r="H2022" i="1"/>
  <c r="G2022" i="1"/>
  <c r="F2022" i="1"/>
  <c r="E2022" i="1"/>
  <c r="D2022" i="1"/>
  <c r="C2022" i="1"/>
  <c r="H2021" i="1"/>
  <c r="G2021" i="1"/>
  <c r="F2021" i="1"/>
  <c r="E2021" i="1"/>
  <c r="D2021" i="1"/>
  <c r="C2021" i="1"/>
  <c r="H2020" i="1"/>
  <c r="G2020" i="1"/>
  <c r="F2020" i="1"/>
  <c r="E2020" i="1"/>
  <c r="D2020" i="1"/>
  <c r="C2020" i="1"/>
  <c r="H2019" i="1"/>
  <c r="G2019" i="1"/>
  <c r="F2019" i="1"/>
  <c r="E2019" i="1"/>
  <c r="D2019" i="1"/>
  <c r="C2019" i="1"/>
  <c r="H2018" i="1"/>
  <c r="G2018" i="1"/>
  <c r="F2018" i="1"/>
  <c r="E2018" i="1"/>
  <c r="D2018" i="1"/>
  <c r="C2018" i="1"/>
  <c r="H2017" i="1"/>
  <c r="G2017" i="1"/>
  <c r="F2017" i="1"/>
  <c r="E2017" i="1"/>
  <c r="D2017" i="1"/>
  <c r="C2017" i="1"/>
  <c r="H2016" i="1"/>
  <c r="G2016" i="1"/>
  <c r="F2016" i="1"/>
  <c r="E2016" i="1"/>
  <c r="D2016" i="1"/>
  <c r="C2016" i="1"/>
  <c r="H2015" i="1"/>
  <c r="G2015" i="1"/>
  <c r="F2015" i="1"/>
  <c r="E2015" i="1"/>
  <c r="D2015" i="1"/>
  <c r="C2015" i="1"/>
  <c r="H2014" i="1"/>
  <c r="G2014" i="1"/>
  <c r="F2014" i="1"/>
  <c r="E2014" i="1"/>
  <c r="D2014" i="1"/>
  <c r="C2014" i="1"/>
  <c r="H2013" i="1"/>
  <c r="G2013" i="1"/>
  <c r="F2013" i="1"/>
  <c r="E2013" i="1"/>
  <c r="D2013" i="1"/>
  <c r="C2013" i="1"/>
  <c r="H2012" i="1"/>
  <c r="G2012" i="1"/>
  <c r="F2012" i="1"/>
  <c r="E2012" i="1"/>
  <c r="D2012" i="1"/>
  <c r="C2012" i="1"/>
  <c r="H2011" i="1"/>
  <c r="G2011" i="1"/>
  <c r="F2011" i="1"/>
  <c r="E2011" i="1"/>
  <c r="D2011" i="1"/>
  <c r="C2011" i="1"/>
  <c r="H2010" i="1"/>
  <c r="G2010" i="1"/>
  <c r="F2010" i="1"/>
  <c r="E2010" i="1"/>
  <c r="D2010" i="1"/>
  <c r="C2010" i="1"/>
  <c r="H2009" i="1"/>
  <c r="G2009" i="1"/>
  <c r="F2009" i="1"/>
  <c r="E2009" i="1"/>
  <c r="D2009" i="1"/>
  <c r="C2009" i="1"/>
  <c r="H2008" i="1"/>
  <c r="G2008" i="1"/>
  <c r="F2008" i="1"/>
  <c r="E2008" i="1"/>
  <c r="D2008" i="1"/>
  <c r="C2008" i="1"/>
  <c r="H2007" i="1"/>
  <c r="G2007" i="1"/>
  <c r="F2007" i="1"/>
  <c r="E2007" i="1"/>
  <c r="D2007" i="1"/>
  <c r="C2007" i="1"/>
  <c r="H2006" i="1"/>
  <c r="G2006" i="1"/>
  <c r="F2006" i="1"/>
  <c r="E2006" i="1"/>
  <c r="D2006" i="1"/>
  <c r="C2006" i="1"/>
  <c r="H2005" i="1"/>
  <c r="G2005" i="1"/>
  <c r="F2005" i="1"/>
  <c r="E2005" i="1"/>
  <c r="D2005" i="1"/>
  <c r="C2005" i="1"/>
  <c r="H2004" i="1"/>
  <c r="G2004" i="1"/>
  <c r="F2004" i="1"/>
  <c r="E2004" i="1"/>
  <c r="D2004" i="1"/>
  <c r="C2004" i="1"/>
  <c r="H2003" i="1"/>
  <c r="G2003" i="1"/>
  <c r="F2003" i="1"/>
  <c r="E2003" i="1"/>
  <c r="D2003" i="1"/>
  <c r="C2003" i="1"/>
  <c r="H2002" i="1"/>
  <c r="G2002" i="1"/>
  <c r="F2002" i="1"/>
  <c r="E2002" i="1"/>
  <c r="D2002" i="1"/>
  <c r="C2002" i="1"/>
  <c r="H2001" i="1"/>
  <c r="G2001" i="1"/>
  <c r="F2001" i="1"/>
  <c r="E2001" i="1"/>
  <c r="D2001" i="1"/>
  <c r="C2001" i="1"/>
  <c r="H2000" i="1"/>
  <c r="G2000" i="1"/>
  <c r="F2000" i="1"/>
  <c r="E2000" i="1"/>
  <c r="D2000" i="1"/>
  <c r="C2000" i="1"/>
  <c r="H1999" i="1"/>
  <c r="G1999" i="1"/>
  <c r="F1999" i="1"/>
  <c r="E1999" i="1"/>
  <c r="D1999" i="1"/>
  <c r="C1999" i="1"/>
  <c r="H1998" i="1"/>
  <c r="G1998" i="1"/>
  <c r="F1998" i="1"/>
  <c r="E1998" i="1"/>
  <c r="D1998" i="1"/>
  <c r="C1998" i="1"/>
  <c r="H1997" i="1"/>
  <c r="G1997" i="1"/>
  <c r="F1997" i="1"/>
  <c r="E1997" i="1"/>
  <c r="D1997" i="1"/>
  <c r="C1997" i="1"/>
  <c r="H1996" i="1"/>
  <c r="G1996" i="1"/>
  <c r="F1996" i="1"/>
  <c r="E1996" i="1"/>
  <c r="D1996" i="1"/>
  <c r="C1996" i="1"/>
  <c r="H1995" i="1"/>
  <c r="G1995" i="1"/>
  <c r="F1995" i="1"/>
  <c r="E1995" i="1"/>
  <c r="D1995" i="1"/>
  <c r="C1995" i="1"/>
  <c r="H1994" i="1"/>
  <c r="G1994" i="1"/>
  <c r="F1994" i="1"/>
  <c r="E1994" i="1"/>
  <c r="D1994" i="1"/>
  <c r="C1994" i="1"/>
  <c r="H1993" i="1"/>
  <c r="G1993" i="1"/>
  <c r="F1993" i="1"/>
  <c r="E1993" i="1"/>
  <c r="D1993" i="1"/>
  <c r="C1993" i="1"/>
  <c r="H1992" i="1"/>
  <c r="G1992" i="1"/>
  <c r="F1992" i="1"/>
  <c r="E1992" i="1"/>
  <c r="D1992" i="1"/>
  <c r="C1992" i="1"/>
  <c r="H1991" i="1"/>
  <c r="G1991" i="1"/>
  <c r="F1991" i="1"/>
  <c r="E1991" i="1"/>
  <c r="D1991" i="1"/>
  <c r="C1991" i="1"/>
  <c r="H1990" i="1"/>
  <c r="G1990" i="1"/>
  <c r="F1990" i="1"/>
  <c r="E1990" i="1"/>
  <c r="D1990" i="1"/>
  <c r="C1990" i="1"/>
  <c r="H1989" i="1"/>
  <c r="G1989" i="1"/>
  <c r="F1989" i="1"/>
  <c r="E1989" i="1"/>
  <c r="D1989" i="1"/>
  <c r="C1989" i="1"/>
  <c r="H1988" i="1"/>
  <c r="G1988" i="1"/>
  <c r="F1988" i="1"/>
  <c r="E1988" i="1"/>
  <c r="D1988" i="1"/>
  <c r="C1988" i="1"/>
  <c r="H1987" i="1"/>
  <c r="G1987" i="1"/>
  <c r="F1987" i="1"/>
  <c r="E1987" i="1"/>
  <c r="D1987" i="1"/>
  <c r="C1987" i="1"/>
  <c r="H1986" i="1"/>
  <c r="G1986" i="1"/>
  <c r="F1986" i="1"/>
  <c r="E1986" i="1"/>
  <c r="D1986" i="1"/>
  <c r="C1986" i="1"/>
  <c r="H1985" i="1"/>
  <c r="G1985" i="1"/>
  <c r="F1985" i="1"/>
  <c r="E1985" i="1"/>
  <c r="D1985" i="1"/>
  <c r="C1985" i="1"/>
  <c r="H1984" i="1"/>
  <c r="G1984" i="1"/>
  <c r="F1984" i="1"/>
  <c r="E1984" i="1"/>
  <c r="D1984" i="1"/>
  <c r="C1984" i="1"/>
  <c r="H1983" i="1"/>
  <c r="G1983" i="1"/>
  <c r="F1983" i="1"/>
  <c r="E1983" i="1"/>
  <c r="D1983" i="1"/>
  <c r="C1983" i="1"/>
  <c r="H1982" i="1"/>
  <c r="G1982" i="1"/>
  <c r="F1982" i="1"/>
  <c r="E1982" i="1"/>
  <c r="D1982" i="1"/>
  <c r="C1982" i="1"/>
  <c r="H1981" i="1"/>
  <c r="G1981" i="1"/>
  <c r="F1981" i="1"/>
  <c r="E1981" i="1"/>
  <c r="D1981" i="1"/>
  <c r="C1981" i="1"/>
  <c r="H1980" i="1"/>
  <c r="G1980" i="1"/>
  <c r="F1980" i="1"/>
  <c r="E1980" i="1"/>
  <c r="D1980" i="1"/>
  <c r="C1980" i="1"/>
  <c r="H1979" i="1"/>
  <c r="G1979" i="1"/>
  <c r="F1979" i="1"/>
  <c r="E1979" i="1"/>
  <c r="D1979" i="1"/>
  <c r="C1979" i="1"/>
  <c r="H1978" i="1"/>
  <c r="G1978" i="1"/>
  <c r="F1978" i="1"/>
  <c r="E1978" i="1"/>
  <c r="D1978" i="1"/>
  <c r="C1978" i="1"/>
  <c r="H1977" i="1"/>
  <c r="G1977" i="1"/>
  <c r="F1977" i="1"/>
  <c r="E1977" i="1"/>
  <c r="D1977" i="1"/>
  <c r="C1977" i="1"/>
  <c r="H1976" i="1"/>
  <c r="G1976" i="1"/>
  <c r="F1976" i="1"/>
  <c r="E1976" i="1"/>
  <c r="D1976" i="1"/>
  <c r="C1976" i="1"/>
  <c r="H1975" i="1"/>
  <c r="G1975" i="1"/>
  <c r="F1975" i="1"/>
  <c r="E1975" i="1"/>
  <c r="D1975" i="1"/>
  <c r="C1975" i="1"/>
  <c r="H1974" i="1"/>
  <c r="G1974" i="1"/>
  <c r="F1974" i="1"/>
  <c r="E1974" i="1"/>
  <c r="D1974" i="1"/>
  <c r="C1974" i="1"/>
  <c r="H1973" i="1"/>
  <c r="G1973" i="1"/>
  <c r="F1973" i="1"/>
  <c r="E1973" i="1"/>
  <c r="D1973" i="1"/>
  <c r="C1973" i="1"/>
  <c r="H1972" i="1"/>
  <c r="G1972" i="1"/>
  <c r="F1972" i="1"/>
  <c r="E1972" i="1"/>
  <c r="D1972" i="1"/>
  <c r="C1972" i="1"/>
  <c r="H1971" i="1"/>
  <c r="G1971" i="1"/>
  <c r="F1971" i="1"/>
  <c r="E1971" i="1"/>
  <c r="D1971" i="1"/>
  <c r="C1971" i="1"/>
  <c r="H1970" i="1"/>
  <c r="G1970" i="1"/>
  <c r="F1970" i="1"/>
  <c r="E1970" i="1"/>
  <c r="D1970" i="1"/>
  <c r="C1970" i="1"/>
  <c r="H1969" i="1"/>
  <c r="G1969" i="1"/>
  <c r="F1969" i="1"/>
  <c r="E1969" i="1"/>
  <c r="D1969" i="1"/>
  <c r="C1969" i="1"/>
  <c r="H1968" i="1"/>
  <c r="G1968" i="1"/>
  <c r="F1968" i="1"/>
  <c r="E1968" i="1"/>
  <c r="D1968" i="1"/>
  <c r="C1968" i="1"/>
  <c r="H1967" i="1"/>
  <c r="G1967" i="1"/>
  <c r="F1967" i="1"/>
  <c r="E1967" i="1"/>
  <c r="D1967" i="1"/>
  <c r="C1967" i="1"/>
  <c r="H1966" i="1"/>
  <c r="G1966" i="1"/>
  <c r="F1966" i="1"/>
  <c r="E1966" i="1"/>
  <c r="D1966" i="1"/>
  <c r="C1966" i="1"/>
  <c r="H1965" i="1"/>
  <c r="G1965" i="1"/>
  <c r="F1965" i="1"/>
  <c r="E1965" i="1"/>
  <c r="D1965" i="1"/>
  <c r="C1965" i="1"/>
  <c r="H1964" i="1"/>
  <c r="G1964" i="1"/>
  <c r="F1964" i="1"/>
  <c r="E1964" i="1"/>
  <c r="D1964" i="1"/>
  <c r="C1964" i="1"/>
  <c r="H1963" i="1"/>
  <c r="G1963" i="1"/>
  <c r="F1963" i="1"/>
  <c r="E1963" i="1"/>
  <c r="D1963" i="1"/>
  <c r="C1963" i="1"/>
  <c r="H1962" i="1"/>
  <c r="G1962" i="1"/>
  <c r="F1962" i="1"/>
  <c r="E1962" i="1"/>
  <c r="D1962" i="1"/>
  <c r="C1962" i="1"/>
  <c r="H1961" i="1"/>
  <c r="G1961" i="1"/>
  <c r="F1961" i="1"/>
  <c r="E1961" i="1"/>
  <c r="D1961" i="1"/>
  <c r="C1961" i="1"/>
  <c r="H1960" i="1"/>
  <c r="G1960" i="1"/>
  <c r="F1960" i="1"/>
  <c r="E1960" i="1"/>
  <c r="D1960" i="1"/>
  <c r="C1960" i="1"/>
  <c r="H1959" i="1"/>
  <c r="G1959" i="1"/>
  <c r="F1959" i="1"/>
  <c r="E1959" i="1"/>
  <c r="D1959" i="1"/>
  <c r="C1959" i="1"/>
  <c r="H1958" i="1"/>
  <c r="G1958" i="1"/>
  <c r="F1958" i="1"/>
  <c r="E1958" i="1"/>
  <c r="D1958" i="1"/>
  <c r="C1958" i="1"/>
  <c r="H1957" i="1"/>
  <c r="G1957" i="1"/>
  <c r="F1957" i="1"/>
  <c r="E1957" i="1"/>
  <c r="D1957" i="1"/>
  <c r="C1957" i="1"/>
  <c r="H1956" i="1"/>
  <c r="G1956" i="1"/>
  <c r="F1956" i="1"/>
  <c r="E1956" i="1"/>
  <c r="D1956" i="1"/>
  <c r="C1956" i="1"/>
  <c r="H1955" i="1"/>
  <c r="G1955" i="1"/>
  <c r="F1955" i="1"/>
  <c r="E1955" i="1"/>
  <c r="D1955" i="1"/>
  <c r="C1955" i="1"/>
  <c r="H1954" i="1"/>
  <c r="G1954" i="1"/>
  <c r="F1954" i="1"/>
  <c r="E1954" i="1"/>
  <c r="D1954" i="1"/>
  <c r="C1954" i="1"/>
  <c r="H1953" i="1"/>
  <c r="G1953" i="1"/>
  <c r="F1953" i="1"/>
  <c r="E1953" i="1"/>
  <c r="D1953" i="1"/>
  <c r="C1953" i="1"/>
  <c r="H1952" i="1"/>
  <c r="G1952" i="1"/>
  <c r="F1952" i="1"/>
  <c r="E1952" i="1"/>
  <c r="D1952" i="1"/>
  <c r="C1952" i="1"/>
  <c r="H1951" i="1"/>
  <c r="G1951" i="1"/>
  <c r="F1951" i="1"/>
  <c r="E1951" i="1"/>
  <c r="D1951" i="1"/>
  <c r="C1951" i="1"/>
  <c r="H1950" i="1"/>
  <c r="G1950" i="1"/>
  <c r="F1950" i="1"/>
  <c r="E1950" i="1"/>
  <c r="D1950" i="1"/>
  <c r="C1950" i="1"/>
  <c r="H1949" i="1"/>
  <c r="G1949" i="1"/>
  <c r="F1949" i="1"/>
  <c r="E1949" i="1"/>
  <c r="D1949" i="1"/>
  <c r="C1949" i="1"/>
  <c r="H1948" i="1"/>
  <c r="G1948" i="1"/>
  <c r="F1948" i="1"/>
  <c r="E1948" i="1"/>
  <c r="D1948" i="1"/>
  <c r="C1948" i="1"/>
  <c r="H1947" i="1"/>
  <c r="G1947" i="1"/>
  <c r="F1947" i="1"/>
  <c r="E1947" i="1"/>
  <c r="D1947" i="1"/>
  <c r="C1947" i="1"/>
  <c r="H1946" i="1"/>
  <c r="G1946" i="1"/>
  <c r="F1946" i="1"/>
  <c r="E1946" i="1"/>
  <c r="D1946" i="1"/>
  <c r="C1946" i="1"/>
  <c r="H1945" i="1"/>
  <c r="G1945" i="1"/>
  <c r="F1945" i="1"/>
  <c r="E1945" i="1"/>
  <c r="D1945" i="1"/>
  <c r="C1945" i="1"/>
  <c r="H1944" i="1"/>
  <c r="G1944" i="1"/>
  <c r="F1944" i="1"/>
  <c r="E1944" i="1"/>
  <c r="D1944" i="1"/>
  <c r="C1944" i="1"/>
  <c r="H1943" i="1"/>
  <c r="G1943" i="1"/>
  <c r="F1943" i="1"/>
  <c r="E1943" i="1"/>
  <c r="D1943" i="1"/>
  <c r="C1943" i="1"/>
  <c r="H1942" i="1"/>
  <c r="G1942" i="1"/>
  <c r="F1942" i="1"/>
  <c r="E1942" i="1"/>
  <c r="D1942" i="1"/>
  <c r="C1942" i="1"/>
  <c r="H1941" i="1"/>
  <c r="G1941" i="1"/>
  <c r="F1941" i="1"/>
  <c r="E1941" i="1"/>
  <c r="D1941" i="1"/>
  <c r="C1941" i="1"/>
  <c r="H1940" i="1"/>
  <c r="G1940" i="1"/>
  <c r="F1940" i="1"/>
  <c r="E1940" i="1"/>
  <c r="D1940" i="1"/>
  <c r="C1940" i="1"/>
  <c r="H1939" i="1"/>
  <c r="G1939" i="1"/>
  <c r="F1939" i="1"/>
  <c r="E1939" i="1"/>
  <c r="D1939" i="1"/>
  <c r="C1939" i="1"/>
  <c r="H1938" i="1"/>
  <c r="G1938" i="1"/>
  <c r="F1938" i="1"/>
  <c r="E1938" i="1"/>
  <c r="D1938" i="1"/>
  <c r="C1938" i="1"/>
  <c r="H1937" i="1"/>
  <c r="G1937" i="1"/>
  <c r="F1937" i="1"/>
  <c r="E1937" i="1"/>
  <c r="D1937" i="1"/>
  <c r="C1937" i="1"/>
  <c r="H1936" i="1"/>
  <c r="G1936" i="1"/>
  <c r="F1936" i="1"/>
  <c r="E1936" i="1"/>
  <c r="D1936" i="1"/>
  <c r="C1936" i="1"/>
  <c r="H1935" i="1"/>
  <c r="G1935" i="1"/>
  <c r="F1935" i="1"/>
  <c r="E1935" i="1"/>
  <c r="D1935" i="1"/>
  <c r="C1935" i="1"/>
  <c r="H1934" i="1"/>
  <c r="G1934" i="1"/>
  <c r="F1934" i="1"/>
  <c r="E1934" i="1"/>
  <c r="D1934" i="1"/>
  <c r="C1934" i="1"/>
  <c r="H1933" i="1"/>
  <c r="G1933" i="1"/>
  <c r="F1933" i="1"/>
  <c r="E1933" i="1"/>
  <c r="D1933" i="1"/>
  <c r="C1933" i="1"/>
  <c r="H1932" i="1"/>
  <c r="G1932" i="1"/>
  <c r="F1932" i="1"/>
  <c r="E1932" i="1"/>
  <c r="D1932" i="1"/>
  <c r="C1932" i="1"/>
  <c r="H1931" i="1"/>
  <c r="G1931" i="1"/>
  <c r="F1931" i="1"/>
  <c r="E1931" i="1"/>
  <c r="D1931" i="1"/>
  <c r="C1931" i="1"/>
  <c r="H1930" i="1"/>
  <c r="G1930" i="1"/>
  <c r="F1930" i="1"/>
  <c r="E1930" i="1"/>
  <c r="D1930" i="1"/>
  <c r="C1930" i="1"/>
  <c r="H1929" i="1"/>
  <c r="G1929" i="1"/>
  <c r="F1929" i="1"/>
  <c r="E1929" i="1"/>
  <c r="D1929" i="1"/>
  <c r="C1929" i="1"/>
  <c r="H1928" i="1"/>
  <c r="G1928" i="1"/>
  <c r="F1928" i="1"/>
  <c r="E1928" i="1"/>
  <c r="D1928" i="1"/>
  <c r="C1928" i="1"/>
  <c r="H1927" i="1"/>
  <c r="G1927" i="1"/>
  <c r="F1927" i="1"/>
  <c r="E1927" i="1"/>
  <c r="D1927" i="1"/>
  <c r="C1927" i="1"/>
  <c r="H1926" i="1"/>
  <c r="G1926" i="1"/>
  <c r="F1926" i="1"/>
  <c r="E1926" i="1"/>
  <c r="D1926" i="1"/>
  <c r="C1926" i="1"/>
  <c r="H1925" i="1"/>
  <c r="G1925" i="1"/>
  <c r="F1925" i="1"/>
  <c r="E1925" i="1"/>
  <c r="D1925" i="1"/>
  <c r="C1925" i="1"/>
  <c r="H1924" i="1"/>
  <c r="G1924" i="1"/>
  <c r="F1924" i="1"/>
  <c r="E1924" i="1"/>
  <c r="D1924" i="1"/>
  <c r="C1924" i="1"/>
  <c r="H1923" i="1"/>
  <c r="G1923" i="1"/>
  <c r="F1923" i="1"/>
  <c r="E1923" i="1"/>
  <c r="D1923" i="1"/>
  <c r="C1923" i="1"/>
  <c r="H1922" i="1"/>
  <c r="G1922" i="1"/>
  <c r="F1922" i="1"/>
  <c r="E1922" i="1"/>
  <c r="D1922" i="1"/>
  <c r="C1922" i="1"/>
  <c r="H1921" i="1"/>
  <c r="G1921" i="1"/>
  <c r="F1921" i="1"/>
  <c r="E1921" i="1"/>
  <c r="D1921" i="1"/>
  <c r="C1921" i="1"/>
  <c r="H1920" i="1"/>
  <c r="G1920" i="1"/>
  <c r="F1920" i="1"/>
  <c r="E1920" i="1"/>
  <c r="D1920" i="1"/>
  <c r="C1920" i="1"/>
  <c r="H1919" i="1"/>
  <c r="G1919" i="1"/>
  <c r="F1919" i="1"/>
  <c r="E1919" i="1"/>
  <c r="D1919" i="1"/>
  <c r="C1919" i="1"/>
  <c r="H1918" i="1"/>
  <c r="G1918" i="1"/>
  <c r="F1918" i="1"/>
  <c r="E1918" i="1"/>
  <c r="D1918" i="1"/>
  <c r="C1918" i="1"/>
  <c r="H1917" i="1"/>
  <c r="G1917" i="1"/>
  <c r="F1917" i="1"/>
  <c r="E1917" i="1"/>
  <c r="D1917" i="1"/>
  <c r="C1917" i="1"/>
  <c r="H1916" i="1"/>
  <c r="G1916" i="1"/>
  <c r="F1916" i="1"/>
  <c r="E1916" i="1"/>
  <c r="D1916" i="1"/>
  <c r="C1916" i="1"/>
  <c r="H1915" i="1"/>
  <c r="G1915" i="1"/>
  <c r="F1915" i="1"/>
  <c r="E1915" i="1"/>
  <c r="D1915" i="1"/>
  <c r="C1915" i="1"/>
  <c r="H1914" i="1"/>
  <c r="G1914" i="1"/>
  <c r="F1914" i="1"/>
  <c r="E1914" i="1"/>
  <c r="D1914" i="1"/>
  <c r="C1914" i="1"/>
  <c r="H1913" i="1"/>
  <c r="G1913" i="1"/>
  <c r="F1913" i="1"/>
  <c r="E1913" i="1"/>
  <c r="D1913" i="1"/>
  <c r="C1913" i="1"/>
  <c r="H1912" i="1"/>
  <c r="G1912" i="1"/>
  <c r="F1912" i="1"/>
  <c r="E1912" i="1"/>
  <c r="D1912" i="1"/>
  <c r="C1912" i="1"/>
  <c r="H1911" i="1"/>
  <c r="G1911" i="1"/>
  <c r="F1911" i="1"/>
  <c r="E1911" i="1"/>
  <c r="D1911" i="1"/>
  <c r="C1911" i="1"/>
  <c r="H1910" i="1"/>
  <c r="G1910" i="1"/>
  <c r="F1910" i="1"/>
  <c r="E1910" i="1"/>
  <c r="D1910" i="1"/>
  <c r="C1910" i="1"/>
  <c r="H1909" i="1"/>
  <c r="G1909" i="1"/>
  <c r="F1909" i="1"/>
  <c r="E1909" i="1"/>
  <c r="D1909" i="1"/>
  <c r="C1909" i="1"/>
  <c r="H1908" i="1"/>
  <c r="G1908" i="1"/>
  <c r="F1908" i="1"/>
  <c r="E1908" i="1"/>
  <c r="D1908" i="1"/>
  <c r="C1908" i="1"/>
  <c r="H1907" i="1"/>
  <c r="G1907" i="1"/>
  <c r="F1907" i="1"/>
  <c r="E1907" i="1"/>
  <c r="D1907" i="1"/>
  <c r="C1907" i="1"/>
  <c r="H1906" i="1"/>
  <c r="G1906" i="1"/>
  <c r="F1906" i="1"/>
  <c r="E1906" i="1"/>
  <c r="D1906" i="1"/>
  <c r="C1906" i="1"/>
  <c r="H1905" i="1"/>
  <c r="G1905" i="1"/>
  <c r="F1905" i="1"/>
  <c r="E1905" i="1"/>
  <c r="D1905" i="1"/>
  <c r="C1905" i="1"/>
  <c r="H1904" i="1"/>
  <c r="G1904" i="1"/>
  <c r="F1904" i="1"/>
  <c r="E1904" i="1"/>
  <c r="D1904" i="1"/>
  <c r="C1904" i="1"/>
  <c r="H1903" i="1"/>
  <c r="G1903" i="1"/>
  <c r="F1903" i="1"/>
  <c r="E1903" i="1"/>
  <c r="D1903" i="1"/>
  <c r="C1903" i="1"/>
  <c r="H1902" i="1"/>
  <c r="G1902" i="1"/>
  <c r="F1902" i="1"/>
  <c r="E1902" i="1"/>
  <c r="D1902" i="1"/>
  <c r="C1902" i="1"/>
  <c r="H1901" i="1"/>
  <c r="G1901" i="1"/>
  <c r="F1901" i="1"/>
  <c r="E1901" i="1"/>
  <c r="D1901" i="1"/>
  <c r="C1901" i="1"/>
  <c r="H1900" i="1"/>
  <c r="G1900" i="1"/>
  <c r="F1900" i="1"/>
  <c r="E1900" i="1"/>
  <c r="D1900" i="1"/>
  <c r="C1900" i="1"/>
  <c r="H1899" i="1"/>
  <c r="G1899" i="1"/>
  <c r="F1899" i="1"/>
  <c r="E1899" i="1"/>
  <c r="D1899" i="1"/>
  <c r="C1899" i="1"/>
  <c r="H1898" i="1"/>
  <c r="G1898" i="1"/>
  <c r="F1898" i="1"/>
  <c r="E1898" i="1"/>
  <c r="D1898" i="1"/>
  <c r="C1898" i="1"/>
  <c r="H1897" i="1"/>
  <c r="G1897" i="1"/>
  <c r="F1897" i="1"/>
  <c r="E1897" i="1"/>
  <c r="D1897" i="1"/>
  <c r="C1897" i="1"/>
  <c r="H1896" i="1"/>
  <c r="G1896" i="1"/>
  <c r="F1896" i="1"/>
  <c r="E1896" i="1"/>
  <c r="D1896" i="1"/>
  <c r="C1896" i="1"/>
  <c r="H1895" i="1"/>
  <c r="G1895" i="1"/>
  <c r="F1895" i="1"/>
  <c r="E1895" i="1"/>
  <c r="D1895" i="1"/>
  <c r="C1895" i="1"/>
  <c r="H1894" i="1"/>
  <c r="G1894" i="1"/>
  <c r="F1894" i="1"/>
  <c r="E1894" i="1"/>
  <c r="D1894" i="1"/>
  <c r="C1894" i="1"/>
  <c r="H1893" i="1"/>
  <c r="G1893" i="1"/>
  <c r="F1893" i="1"/>
  <c r="E1893" i="1"/>
  <c r="D1893" i="1"/>
  <c r="C1893" i="1"/>
  <c r="H1892" i="1"/>
  <c r="G1892" i="1"/>
  <c r="F1892" i="1"/>
  <c r="E1892" i="1"/>
  <c r="D1892" i="1"/>
  <c r="C1892" i="1"/>
  <c r="H1891" i="1"/>
  <c r="G1891" i="1"/>
  <c r="F1891" i="1"/>
  <c r="E1891" i="1"/>
  <c r="D1891" i="1"/>
  <c r="C1891" i="1"/>
  <c r="H1890" i="1"/>
  <c r="G1890" i="1"/>
  <c r="F1890" i="1"/>
  <c r="E1890" i="1"/>
  <c r="D1890" i="1"/>
  <c r="C1890" i="1"/>
  <c r="H1889" i="1"/>
  <c r="G1889" i="1"/>
  <c r="F1889" i="1"/>
  <c r="E1889" i="1"/>
  <c r="D1889" i="1"/>
  <c r="C1889" i="1"/>
  <c r="H1888" i="1"/>
  <c r="G1888" i="1"/>
  <c r="F1888" i="1"/>
  <c r="E1888" i="1"/>
  <c r="D1888" i="1"/>
  <c r="C1888" i="1"/>
  <c r="H1887" i="1"/>
  <c r="G1887" i="1"/>
  <c r="F1887" i="1"/>
  <c r="E1887" i="1"/>
  <c r="D1887" i="1"/>
  <c r="C1887" i="1"/>
  <c r="H1886" i="1"/>
  <c r="G1886" i="1"/>
  <c r="F1886" i="1"/>
  <c r="E1886" i="1"/>
  <c r="D1886" i="1"/>
  <c r="C1886" i="1"/>
  <c r="H1885" i="1"/>
  <c r="G1885" i="1"/>
  <c r="F1885" i="1"/>
  <c r="E1885" i="1"/>
  <c r="D1885" i="1"/>
  <c r="C1885" i="1"/>
  <c r="H1884" i="1"/>
  <c r="G1884" i="1"/>
  <c r="F1884" i="1"/>
  <c r="E1884" i="1"/>
  <c r="D1884" i="1"/>
  <c r="C1884" i="1"/>
  <c r="H1883" i="1"/>
  <c r="G1883" i="1"/>
  <c r="F1883" i="1"/>
  <c r="E1883" i="1"/>
  <c r="D1883" i="1"/>
  <c r="C1883" i="1"/>
  <c r="H1882" i="1"/>
  <c r="G1882" i="1"/>
  <c r="F1882" i="1"/>
  <c r="E1882" i="1"/>
  <c r="D1882" i="1"/>
  <c r="C1882" i="1"/>
  <c r="H1881" i="1"/>
  <c r="G1881" i="1"/>
  <c r="F1881" i="1"/>
  <c r="E1881" i="1"/>
  <c r="D1881" i="1"/>
  <c r="C1881" i="1"/>
  <c r="H1880" i="1"/>
  <c r="G1880" i="1"/>
  <c r="F1880" i="1"/>
  <c r="E1880" i="1"/>
  <c r="D1880" i="1"/>
  <c r="C1880" i="1"/>
  <c r="H1879" i="1"/>
  <c r="G1879" i="1"/>
  <c r="F1879" i="1"/>
  <c r="E1879" i="1"/>
  <c r="D1879" i="1"/>
  <c r="C1879" i="1"/>
  <c r="H1878" i="1"/>
  <c r="G1878" i="1"/>
  <c r="F1878" i="1"/>
  <c r="E1878" i="1"/>
  <c r="D1878" i="1"/>
  <c r="C1878" i="1"/>
  <c r="H1877" i="1"/>
  <c r="G1877" i="1"/>
  <c r="F1877" i="1"/>
  <c r="E1877" i="1"/>
  <c r="D1877" i="1"/>
  <c r="C1877" i="1"/>
  <c r="H1876" i="1"/>
  <c r="G1876" i="1"/>
  <c r="F1876" i="1"/>
  <c r="E1876" i="1"/>
  <c r="D1876" i="1"/>
  <c r="C1876" i="1"/>
  <c r="H1875" i="1"/>
  <c r="G1875" i="1"/>
  <c r="F1875" i="1"/>
  <c r="E1875" i="1"/>
  <c r="D1875" i="1"/>
  <c r="C1875" i="1"/>
  <c r="H1874" i="1"/>
  <c r="G1874" i="1"/>
  <c r="F1874" i="1"/>
  <c r="E1874" i="1"/>
  <c r="D1874" i="1"/>
  <c r="C1874" i="1"/>
  <c r="H1873" i="1"/>
  <c r="G1873" i="1"/>
  <c r="F1873" i="1"/>
  <c r="E1873" i="1"/>
  <c r="D1873" i="1"/>
  <c r="C1873" i="1"/>
  <c r="H1872" i="1"/>
  <c r="G1872" i="1"/>
  <c r="F1872" i="1"/>
  <c r="E1872" i="1"/>
  <c r="D1872" i="1"/>
  <c r="C1872" i="1"/>
  <c r="H1871" i="1"/>
  <c r="G1871" i="1"/>
  <c r="F1871" i="1"/>
  <c r="E1871" i="1"/>
  <c r="D1871" i="1"/>
  <c r="C1871" i="1"/>
  <c r="H1870" i="1"/>
  <c r="G1870" i="1"/>
  <c r="F1870" i="1"/>
  <c r="E1870" i="1"/>
  <c r="D1870" i="1"/>
  <c r="C1870" i="1"/>
  <c r="H1869" i="1"/>
  <c r="G1869" i="1"/>
  <c r="F1869" i="1"/>
  <c r="E1869" i="1"/>
  <c r="D1869" i="1"/>
  <c r="C1869" i="1"/>
  <c r="H1868" i="1"/>
  <c r="G1868" i="1"/>
  <c r="F1868" i="1"/>
  <c r="E1868" i="1"/>
  <c r="D1868" i="1"/>
  <c r="C1868" i="1"/>
  <c r="H1867" i="1"/>
  <c r="G1867" i="1"/>
  <c r="F1867" i="1"/>
  <c r="E1867" i="1"/>
  <c r="D1867" i="1"/>
  <c r="C1867" i="1"/>
  <c r="H1866" i="1"/>
  <c r="G1866" i="1"/>
  <c r="F1866" i="1"/>
  <c r="E1866" i="1"/>
  <c r="D1866" i="1"/>
  <c r="C1866" i="1"/>
  <c r="H1865" i="1"/>
  <c r="G1865" i="1"/>
  <c r="F1865" i="1"/>
  <c r="E1865" i="1"/>
  <c r="D1865" i="1"/>
  <c r="C1865" i="1"/>
  <c r="H1864" i="1"/>
  <c r="G1864" i="1"/>
  <c r="F1864" i="1"/>
  <c r="E1864" i="1"/>
  <c r="D1864" i="1"/>
  <c r="C1864" i="1"/>
  <c r="H1863" i="1"/>
  <c r="G1863" i="1"/>
  <c r="F1863" i="1"/>
  <c r="E1863" i="1"/>
  <c r="D1863" i="1"/>
  <c r="C1863" i="1"/>
  <c r="H1862" i="1"/>
  <c r="G1862" i="1"/>
  <c r="F1862" i="1"/>
  <c r="E1862" i="1"/>
  <c r="D1862" i="1"/>
  <c r="C1862" i="1"/>
  <c r="H1861" i="1"/>
  <c r="G1861" i="1"/>
  <c r="F1861" i="1"/>
  <c r="E1861" i="1"/>
  <c r="D1861" i="1"/>
  <c r="C1861" i="1"/>
  <c r="H1860" i="1"/>
  <c r="G1860" i="1"/>
  <c r="F1860" i="1"/>
  <c r="E1860" i="1"/>
  <c r="D1860" i="1"/>
  <c r="C1860" i="1"/>
  <c r="H1859" i="1"/>
  <c r="G1859" i="1"/>
  <c r="F1859" i="1"/>
  <c r="E1859" i="1"/>
  <c r="D1859" i="1"/>
  <c r="C1859" i="1"/>
  <c r="H1858" i="1"/>
  <c r="G1858" i="1"/>
  <c r="F1858" i="1"/>
  <c r="E1858" i="1"/>
  <c r="D1858" i="1"/>
  <c r="C1858" i="1"/>
  <c r="H1857" i="1"/>
  <c r="G1857" i="1"/>
  <c r="F1857" i="1"/>
  <c r="E1857" i="1"/>
  <c r="D1857" i="1"/>
  <c r="C1857" i="1"/>
  <c r="H1856" i="1"/>
  <c r="G1856" i="1"/>
  <c r="F1856" i="1"/>
  <c r="E1856" i="1"/>
  <c r="D1856" i="1"/>
  <c r="C1856" i="1"/>
  <c r="H1855" i="1"/>
  <c r="G1855" i="1"/>
  <c r="F1855" i="1"/>
  <c r="E1855" i="1"/>
  <c r="D1855" i="1"/>
  <c r="C1855" i="1"/>
  <c r="H1854" i="1"/>
  <c r="G1854" i="1"/>
  <c r="F1854" i="1"/>
  <c r="E1854" i="1"/>
  <c r="D1854" i="1"/>
  <c r="C1854" i="1"/>
  <c r="H1853" i="1"/>
  <c r="G1853" i="1"/>
  <c r="F1853" i="1"/>
  <c r="E1853" i="1"/>
  <c r="D1853" i="1"/>
  <c r="C1853" i="1"/>
  <c r="H1852" i="1"/>
  <c r="G1852" i="1"/>
  <c r="F1852" i="1"/>
  <c r="E1852" i="1"/>
  <c r="D1852" i="1"/>
  <c r="C1852" i="1"/>
  <c r="H1851" i="1"/>
  <c r="G1851" i="1"/>
  <c r="F1851" i="1"/>
  <c r="E1851" i="1"/>
  <c r="D1851" i="1"/>
  <c r="C1851" i="1"/>
  <c r="H1850" i="1"/>
  <c r="G1850" i="1"/>
  <c r="F1850" i="1"/>
  <c r="E1850" i="1"/>
  <c r="D1850" i="1"/>
  <c r="C1850" i="1"/>
  <c r="H1849" i="1"/>
  <c r="G1849" i="1"/>
  <c r="F1849" i="1"/>
  <c r="E1849" i="1"/>
  <c r="D1849" i="1"/>
  <c r="C1849" i="1"/>
  <c r="H1848" i="1"/>
  <c r="G1848" i="1"/>
  <c r="F1848" i="1"/>
  <c r="E1848" i="1"/>
  <c r="D1848" i="1"/>
  <c r="C1848" i="1"/>
  <c r="H1847" i="1"/>
  <c r="G1847" i="1"/>
  <c r="F1847" i="1"/>
  <c r="E1847" i="1"/>
  <c r="D1847" i="1"/>
  <c r="C1847" i="1"/>
  <c r="H1846" i="1"/>
  <c r="G1846" i="1"/>
  <c r="F1846" i="1"/>
  <c r="E1846" i="1"/>
  <c r="D1846" i="1"/>
  <c r="C1846" i="1"/>
  <c r="H1845" i="1"/>
  <c r="G1845" i="1"/>
  <c r="F1845" i="1"/>
  <c r="E1845" i="1"/>
  <c r="D1845" i="1"/>
  <c r="C1845" i="1"/>
  <c r="H1844" i="1"/>
  <c r="G1844" i="1"/>
  <c r="F1844" i="1"/>
  <c r="E1844" i="1"/>
  <c r="D1844" i="1"/>
  <c r="C1844" i="1"/>
  <c r="H1843" i="1"/>
  <c r="G1843" i="1"/>
  <c r="F1843" i="1"/>
  <c r="E1843" i="1"/>
  <c r="D1843" i="1"/>
  <c r="C1843" i="1"/>
  <c r="H1842" i="1"/>
  <c r="G1842" i="1"/>
  <c r="F1842" i="1"/>
  <c r="E1842" i="1"/>
  <c r="D1842" i="1"/>
  <c r="C1842" i="1"/>
  <c r="H1841" i="1"/>
  <c r="G1841" i="1"/>
  <c r="F1841" i="1"/>
  <c r="E1841" i="1"/>
  <c r="D1841" i="1"/>
  <c r="C1841" i="1"/>
  <c r="H1840" i="1"/>
  <c r="G1840" i="1"/>
  <c r="F1840" i="1"/>
  <c r="E1840" i="1"/>
  <c r="D1840" i="1"/>
  <c r="C1840" i="1"/>
  <c r="H1839" i="1"/>
  <c r="G1839" i="1"/>
  <c r="F1839" i="1"/>
  <c r="E1839" i="1"/>
  <c r="D1839" i="1"/>
  <c r="C1839" i="1"/>
  <c r="H1838" i="1"/>
  <c r="G1838" i="1"/>
  <c r="F1838" i="1"/>
  <c r="E1838" i="1"/>
  <c r="D1838" i="1"/>
  <c r="C1838" i="1"/>
  <c r="H1837" i="1"/>
  <c r="G1837" i="1"/>
  <c r="F1837" i="1"/>
  <c r="E1837" i="1"/>
  <c r="D1837" i="1"/>
  <c r="C1837" i="1"/>
  <c r="H1836" i="1"/>
  <c r="G1836" i="1"/>
  <c r="F1836" i="1"/>
  <c r="E1836" i="1"/>
  <c r="D1836" i="1"/>
  <c r="C1836" i="1"/>
  <c r="H1835" i="1"/>
  <c r="G1835" i="1"/>
  <c r="F1835" i="1"/>
  <c r="E1835" i="1"/>
  <c r="D1835" i="1"/>
  <c r="C1835" i="1"/>
  <c r="H1834" i="1"/>
  <c r="G1834" i="1"/>
  <c r="F1834" i="1"/>
  <c r="E1834" i="1"/>
  <c r="D1834" i="1"/>
  <c r="C1834" i="1"/>
  <c r="H1833" i="1"/>
  <c r="G1833" i="1"/>
  <c r="F1833" i="1"/>
  <c r="E1833" i="1"/>
  <c r="D1833" i="1"/>
  <c r="C1833" i="1"/>
  <c r="H1832" i="1"/>
  <c r="G1832" i="1"/>
  <c r="F1832" i="1"/>
  <c r="E1832" i="1"/>
  <c r="D1832" i="1"/>
  <c r="C1832" i="1"/>
  <c r="H1831" i="1"/>
  <c r="G1831" i="1"/>
  <c r="F1831" i="1"/>
  <c r="E1831" i="1"/>
  <c r="D1831" i="1"/>
  <c r="C1831" i="1"/>
  <c r="H1830" i="1"/>
  <c r="G1830" i="1"/>
  <c r="F1830" i="1"/>
  <c r="E1830" i="1"/>
  <c r="D1830" i="1"/>
  <c r="C1830" i="1"/>
  <c r="H1829" i="1"/>
  <c r="G1829" i="1"/>
  <c r="F1829" i="1"/>
  <c r="E1829" i="1"/>
  <c r="D1829" i="1"/>
  <c r="C1829" i="1"/>
  <c r="H1828" i="1"/>
  <c r="G1828" i="1"/>
  <c r="F1828" i="1"/>
  <c r="E1828" i="1"/>
  <c r="D1828" i="1"/>
  <c r="C1828" i="1"/>
  <c r="H1827" i="1"/>
  <c r="G1827" i="1"/>
  <c r="F1827" i="1"/>
  <c r="E1827" i="1"/>
  <c r="D1827" i="1"/>
  <c r="C1827" i="1"/>
  <c r="H1826" i="1"/>
  <c r="G1826" i="1"/>
  <c r="F1826" i="1"/>
  <c r="E1826" i="1"/>
  <c r="D1826" i="1"/>
  <c r="C1826" i="1"/>
  <c r="H1825" i="1"/>
  <c r="G1825" i="1"/>
  <c r="F1825" i="1"/>
  <c r="E1825" i="1"/>
  <c r="D1825" i="1"/>
  <c r="C1825" i="1"/>
  <c r="H1824" i="1"/>
  <c r="G1824" i="1"/>
  <c r="F1824" i="1"/>
  <c r="E1824" i="1"/>
  <c r="D1824" i="1"/>
  <c r="C1824" i="1"/>
  <c r="H1823" i="1"/>
  <c r="G1823" i="1"/>
  <c r="F1823" i="1"/>
  <c r="E1823" i="1"/>
  <c r="D1823" i="1"/>
  <c r="C1823" i="1"/>
  <c r="H1822" i="1"/>
  <c r="G1822" i="1"/>
  <c r="F1822" i="1"/>
  <c r="E1822" i="1"/>
  <c r="D1822" i="1"/>
  <c r="C1822" i="1"/>
  <c r="H1821" i="1"/>
  <c r="G1821" i="1"/>
  <c r="F1821" i="1"/>
  <c r="E1821" i="1"/>
  <c r="D1821" i="1"/>
  <c r="C1821" i="1"/>
  <c r="H1820" i="1"/>
  <c r="G1820" i="1"/>
  <c r="F1820" i="1"/>
  <c r="E1820" i="1"/>
  <c r="D1820" i="1"/>
  <c r="C1820" i="1"/>
  <c r="H1819" i="1"/>
  <c r="G1819" i="1"/>
  <c r="F1819" i="1"/>
  <c r="E1819" i="1"/>
  <c r="D1819" i="1"/>
  <c r="C1819" i="1"/>
  <c r="H1818" i="1"/>
  <c r="G1818" i="1"/>
  <c r="F1818" i="1"/>
  <c r="E1818" i="1"/>
  <c r="D1818" i="1"/>
  <c r="C1818" i="1"/>
  <c r="H1817" i="1"/>
  <c r="G1817" i="1"/>
  <c r="F1817" i="1"/>
  <c r="E1817" i="1"/>
  <c r="D1817" i="1"/>
  <c r="C1817" i="1"/>
  <c r="H1816" i="1"/>
  <c r="G1816" i="1"/>
  <c r="F1816" i="1"/>
  <c r="E1816" i="1"/>
  <c r="D1816" i="1"/>
  <c r="C1816" i="1"/>
  <c r="H1815" i="1"/>
  <c r="G1815" i="1"/>
  <c r="F1815" i="1"/>
  <c r="E1815" i="1"/>
  <c r="D1815" i="1"/>
  <c r="C1815" i="1"/>
  <c r="H1814" i="1"/>
  <c r="G1814" i="1"/>
  <c r="F1814" i="1"/>
  <c r="E1814" i="1"/>
  <c r="D1814" i="1"/>
  <c r="C1814" i="1"/>
  <c r="H1813" i="1"/>
  <c r="G1813" i="1"/>
  <c r="F1813" i="1"/>
  <c r="E1813" i="1"/>
  <c r="D1813" i="1"/>
  <c r="C1813" i="1"/>
  <c r="H1812" i="1"/>
  <c r="G1812" i="1"/>
  <c r="F1812" i="1"/>
  <c r="E1812" i="1"/>
  <c r="D1812" i="1"/>
  <c r="C1812" i="1"/>
  <c r="H1811" i="1"/>
  <c r="G1811" i="1"/>
  <c r="F1811" i="1"/>
  <c r="E1811" i="1"/>
  <c r="D1811" i="1"/>
  <c r="C1811" i="1"/>
  <c r="H1810" i="1"/>
  <c r="G1810" i="1"/>
  <c r="F1810" i="1"/>
  <c r="E1810" i="1"/>
  <c r="D1810" i="1"/>
  <c r="C1810" i="1"/>
  <c r="H1809" i="1"/>
  <c r="G1809" i="1"/>
  <c r="F1809" i="1"/>
  <c r="E1809" i="1"/>
  <c r="D1809" i="1"/>
  <c r="C1809" i="1"/>
  <c r="H1808" i="1"/>
  <c r="G1808" i="1"/>
  <c r="F1808" i="1"/>
  <c r="E1808" i="1"/>
  <c r="D1808" i="1"/>
  <c r="C1808" i="1"/>
  <c r="H1807" i="1"/>
  <c r="G1807" i="1"/>
  <c r="F1807" i="1"/>
  <c r="E1807" i="1"/>
  <c r="D1807" i="1"/>
  <c r="C1807" i="1"/>
  <c r="H1806" i="1"/>
  <c r="G1806" i="1"/>
  <c r="F1806" i="1"/>
  <c r="E1806" i="1"/>
  <c r="D1806" i="1"/>
  <c r="C1806" i="1"/>
  <c r="H1805" i="1"/>
  <c r="G1805" i="1"/>
  <c r="F1805" i="1"/>
  <c r="E1805" i="1"/>
  <c r="D1805" i="1"/>
  <c r="C1805" i="1"/>
  <c r="H1804" i="1"/>
  <c r="G1804" i="1"/>
  <c r="F1804" i="1"/>
  <c r="E1804" i="1"/>
  <c r="D1804" i="1"/>
  <c r="C1804" i="1"/>
  <c r="H1803" i="1"/>
  <c r="G1803" i="1"/>
  <c r="F1803" i="1"/>
  <c r="E1803" i="1"/>
  <c r="D1803" i="1"/>
  <c r="C1803" i="1"/>
  <c r="H1802" i="1"/>
  <c r="G1802" i="1"/>
  <c r="F1802" i="1"/>
  <c r="E1802" i="1"/>
  <c r="D1802" i="1"/>
  <c r="C1802" i="1"/>
  <c r="H1801" i="1"/>
  <c r="G1801" i="1"/>
  <c r="F1801" i="1"/>
  <c r="E1801" i="1"/>
  <c r="D1801" i="1"/>
  <c r="C1801" i="1"/>
  <c r="H1800" i="1"/>
  <c r="G1800" i="1"/>
  <c r="F1800" i="1"/>
  <c r="E1800" i="1"/>
  <c r="D1800" i="1"/>
  <c r="C1800" i="1"/>
  <c r="H1799" i="1"/>
  <c r="G1799" i="1"/>
  <c r="F1799" i="1"/>
  <c r="E1799" i="1"/>
  <c r="D1799" i="1"/>
  <c r="C1799" i="1"/>
  <c r="H1798" i="1"/>
  <c r="G1798" i="1"/>
  <c r="F1798" i="1"/>
  <c r="E1798" i="1"/>
  <c r="D1798" i="1"/>
  <c r="C1798" i="1"/>
  <c r="H1797" i="1"/>
  <c r="G1797" i="1"/>
  <c r="F1797" i="1"/>
  <c r="E1797" i="1"/>
  <c r="D1797" i="1"/>
  <c r="C1797" i="1"/>
  <c r="H1796" i="1"/>
  <c r="G1796" i="1"/>
  <c r="F1796" i="1"/>
  <c r="E1796" i="1"/>
  <c r="D1796" i="1"/>
  <c r="C1796" i="1"/>
  <c r="H1795" i="1"/>
  <c r="G1795" i="1"/>
  <c r="F1795" i="1"/>
  <c r="E1795" i="1"/>
  <c r="D1795" i="1"/>
  <c r="C1795" i="1"/>
  <c r="H1794" i="1"/>
  <c r="G1794" i="1"/>
  <c r="F1794" i="1"/>
  <c r="E1794" i="1"/>
  <c r="D1794" i="1"/>
  <c r="C1794" i="1"/>
  <c r="H1793" i="1"/>
  <c r="G1793" i="1"/>
  <c r="F1793" i="1"/>
  <c r="E1793" i="1"/>
  <c r="D1793" i="1"/>
  <c r="C1793" i="1"/>
  <c r="H1792" i="1"/>
  <c r="G1792" i="1"/>
  <c r="F1792" i="1"/>
  <c r="E1792" i="1"/>
  <c r="D1792" i="1"/>
  <c r="C1792" i="1"/>
  <c r="H1791" i="1"/>
  <c r="G1791" i="1"/>
  <c r="F1791" i="1"/>
  <c r="E1791" i="1"/>
  <c r="D1791" i="1"/>
  <c r="C1791" i="1"/>
  <c r="H1790" i="1"/>
  <c r="G1790" i="1"/>
  <c r="F1790" i="1"/>
  <c r="E1790" i="1"/>
  <c r="D1790" i="1"/>
  <c r="C1790" i="1"/>
  <c r="H1789" i="1"/>
  <c r="G1789" i="1"/>
  <c r="F1789" i="1"/>
  <c r="E1789" i="1"/>
  <c r="D1789" i="1"/>
  <c r="C1789" i="1"/>
  <c r="H1788" i="1"/>
  <c r="G1788" i="1"/>
  <c r="F1788" i="1"/>
  <c r="E1788" i="1"/>
  <c r="D1788" i="1"/>
  <c r="C1788" i="1"/>
  <c r="H1787" i="1"/>
  <c r="G1787" i="1"/>
  <c r="F1787" i="1"/>
  <c r="E1787" i="1"/>
  <c r="D1787" i="1"/>
  <c r="C1787" i="1"/>
  <c r="H1786" i="1"/>
  <c r="G1786" i="1"/>
  <c r="F1786" i="1"/>
  <c r="E1786" i="1"/>
  <c r="D1786" i="1"/>
  <c r="C1786" i="1"/>
  <c r="H1785" i="1"/>
  <c r="G1785" i="1"/>
  <c r="F1785" i="1"/>
  <c r="E1785" i="1"/>
  <c r="D1785" i="1"/>
  <c r="C1785" i="1"/>
  <c r="H1784" i="1"/>
  <c r="G1784" i="1"/>
  <c r="F1784" i="1"/>
  <c r="E1784" i="1"/>
  <c r="D1784" i="1"/>
  <c r="C1784" i="1"/>
  <c r="H1783" i="1"/>
  <c r="G1783" i="1"/>
  <c r="F1783" i="1"/>
  <c r="E1783" i="1"/>
  <c r="D1783" i="1"/>
  <c r="C1783" i="1"/>
  <c r="H1782" i="1"/>
  <c r="G1782" i="1"/>
  <c r="F1782" i="1"/>
  <c r="E1782" i="1"/>
  <c r="D1782" i="1"/>
  <c r="C1782" i="1"/>
  <c r="H1781" i="1"/>
  <c r="G1781" i="1"/>
  <c r="F1781" i="1"/>
  <c r="E1781" i="1"/>
  <c r="D1781" i="1"/>
  <c r="C1781" i="1"/>
  <c r="H1780" i="1"/>
  <c r="G1780" i="1"/>
  <c r="F1780" i="1"/>
  <c r="E1780" i="1"/>
  <c r="D1780" i="1"/>
  <c r="C1780" i="1"/>
  <c r="H1779" i="1"/>
  <c r="G1779" i="1"/>
  <c r="F1779" i="1"/>
  <c r="E1779" i="1"/>
  <c r="D1779" i="1"/>
  <c r="C1779" i="1"/>
  <c r="H1778" i="1"/>
  <c r="G1778" i="1"/>
  <c r="F1778" i="1"/>
  <c r="E1778" i="1"/>
  <c r="D1778" i="1"/>
  <c r="C1778" i="1"/>
  <c r="H1777" i="1"/>
  <c r="G1777" i="1"/>
  <c r="F1777" i="1"/>
  <c r="E1777" i="1"/>
  <c r="D1777" i="1"/>
  <c r="C1777" i="1"/>
  <c r="H1776" i="1"/>
  <c r="G1776" i="1"/>
  <c r="F1776" i="1"/>
  <c r="E1776" i="1"/>
  <c r="D1776" i="1"/>
  <c r="C1776" i="1"/>
  <c r="H1775" i="1"/>
  <c r="G1775" i="1"/>
  <c r="F1775" i="1"/>
  <c r="E1775" i="1"/>
  <c r="D1775" i="1"/>
  <c r="C1775" i="1"/>
  <c r="H1774" i="1"/>
  <c r="G1774" i="1"/>
  <c r="F1774" i="1"/>
  <c r="E1774" i="1"/>
  <c r="D1774" i="1"/>
  <c r="C1774" i="1"/>
  <c r="H1773" i="1"/>
  <c r="G1773" i="1"/>
  <c r="F1773" i="1"/>
  <c r="E1773" i="1"/>
  <c r="D1773" i="1"/>
  <c r="C1773" i="1"/>
  <c r="H1772" i="1"/>
  <c r="G1772" i="1"/>
  <c r="F1772" i="1"/>
  <c r="E1772" i="1"/>
  <c r="D1772" i="1"/>
  <c r="C1772" i="1"/>
  <c r="H1771" i="1"/>
  <c r="G1771" i="1"/>
  <c r="F1771" i="1"/>
  <c r="E1771" i="1"/>
  <c r="D1771" i="1"/>
  <c r="C1771" i="1"/>
  <c r="H1770" i="1"/>
  <c r="G1770" i="1"/>
  <c r="F1770" i="1"/>
  <c r="E1770" i="1"/>
  <c r="D1770" i="1"/>
  <c r="C1770" i="1"/>
  <c r="H1769" i="1"/>
  <c r="G1769" i="1"/>
  <c r="F1769" i="1"/>
  <c r="E1769" i="1"/>
  <c r="D1769" i="1"/>
  <c r="C1769" i="1"/>
  <c r="H1768" i="1"/>
  <c r="G1768" i="1"/>
  <c r="F1768" i="1"/>
  <c r="E1768" i="1"/>
  <c r="D1768" i="1"/>
  <c r="C1768" i="1"/>
  <c r="H1767" i="1"/>
  <c r="G1767" i="1"/>
  <c r="F1767" i="1"/>
  <c r="E1767" i="1"/>
  <c r="D1767" i="1"/>
  <c r="C1767" i="1"/>
  <c r="H1766" i="1"/>
  <c r="G1766" i="1"/>
  <c r="F1766" i="1"/>
  <c r="E1766" i="1"/>
  <c r="D1766" i="1"/>
  <c r="C1766" i="1"/>
  <c r="H1765" i="1"/>
  <c r="G1765" i="1"/>
  <c r="F1765" i="1"/>
  <c r="E1765" i="1"/>
  <c r="D1765" i="1"/>
  <c r="C1765" i="1"/>
  <c r="H1764" i="1"/>
  <c r="G1764" i="1"/>
  <c r="F1764" i="1"/>
  <c r="E1764" i="1"/>
  <c r="D1764" i="1"/>
  <c r="C1764" i="1"/>
  <c r="H1763" i="1"/>
  <c r="G1763" i="1"/>
  <c r="F1763" i="1"/>
  <c r="E1763" i="1"/>
  <c r="D1763" i="1"/>
  <c r="C1763" i="1"/>
  <c r="H1762" i="1"/>
  <c r="G1762" i="1"/>
  <c r="F1762" i="1"/>
  <c r="E1762" i="1"/>
  <c r="D1762" i="1"/>
  <c r="C1762" i="1"/>
  <c r="H1761" i="1"/>
  <c r="G1761" i="1"/>
  <c r="F1761" i="1"/>
  <c r="E1761" i="1"/>
  <c r="D1761" i="1"/>
  <c r="C1761" i="1"/>
  <c r="H1760" i="1"/>
  <c r="G1760" i="1"/>
  <c r="F1760" i="1"/>
  <c r="E1760" i="1"/>
  <c r="D1760" i="1"/>
  <c r="C1760" i="1"/>
  <c r="H1759" i="1"/>
  <c r="G1759" i="1"/>
  <c r="F1759" i="1"/>
  <c r="E1759" i="1"/>
  <c r="D1759" i="1"/>
  <c r="C1759" i="1"/>
  <c r="H1758" i="1"/>
  <c r="G1758" i="1"/>
  <c r="F1758" i="1"/>
  <c r="E1758" i="1"/>
  <c r="D1758" i="1"/>
  <c r="C1758" i="1"/>
  <c r="H1757" i="1"/>
  <c r="G1757" i="1"/>
  <c r="F1757" i="1"/>
  <c r="E1757" i="1"/>
  <c r="D1757" i="1"/>
  <c r="C1757" i="1"/>
  <c r="H1756" i="1"/>
  <c r="G1756" i="1"/>
  <c r="F1756" i="1"/>
  <c r="E1756" i="1"/>
  <c r="D1756" i="1"/>
  <c r="C1756" i="1"/>
  <c r="H1755" i="1"/>
  <c r="G1755" i="1"/>
  <c r="F1755" i="1"/>
  <c r="E1755" i="1"/>
  <c r="D1755" i="1"/>
  <c r="C1755" i="1"/>
  <c r="H1754" i="1"/>
  <c r="G1754" i="1"/>
  <c r="F1754" i="1"/>
  <c r="E1754" i="1"/>
  <c r="D1754" i="1"/>
  <c r="C1754" i="1"/>
  <c r="H1753" i="1"/>
  <c r="G1753" i="1"/>
  <c r="F1753" i="1"/>
  <c r="E1753" i="1"/>
  <c r="D1753" i="1"/>
  <c r="C1753" i="1"/>
  <c r="H1752" i="1"/>
  <c r="G1752" i="1"/>
  <c r="F1752" i="1"/>
  <c r="E1752" i="1"/>
  <c r="D1752" i="1"/>
  <c r="C1752" i="1"/>
  <c r="H1751" i="1"/>
  <c r="G1751" i="1"/>
  <c r="F1751" i="1"/>
  <c r="E1751" i="1"/>
  <c r="D1751" i="1"/>
  <c r="C1751" i="1"/>
  <c r="H1750" i="1"/>
  <c r="G1750" i="1"/>
  <c r="F1750" i="1"/>
  <c r="E1750" i="1"/>
  <c r="D1750" i="1"/>
  <c r="C1750" i="1"/>
  <c r="H1749" i="1"/>
  <c r="G1749" i="1"/>
  <c r="F1749" i="1"/>
  <c r="E1749" i="1"/>
  <c r="D1749" i="1"/>
  <c r="C1749" i="1"/>
  <c r="H1748" i="1"/>
  <c r="G1748" i="1"/>
  <c r="F1748" i="1"/>
  <c r="E1748" i="1"/>
  <c r="D1748" i="1"/>
  <c r="C1748" i="1"/>
  <c r="H1747" i="1"/>
  <c r="G1747" i="1"/>
  <c r="F1747" i="1"/>
  <c r="E1747" i="1"/>
  <c r="D1747" i="1"/>
  <c r="C1747" i="1"/>
  <c r="H1746" i="1"/>
  <c r="G1746" i="1"/>
  <c r="F1746" i="1"/>
  <c r="E1746" i="1"/>
  <c r="D1746" i="1"/>
  <c r="C1746" i="1"/>
  <c r="H1745" i="1"/>
  <c r="G1745" i="1"/>
  <c r="F1745" i="1"/>
  <c r="E1745" i="1"/>
  <c r="D1745" i="1"/>
  <c r="C1745" i="1"/>
  <c r="H1744" i="1"/>
  <c r="G1744" i="1"/>
  <c r="F1744" i="1"/>
  <c r="E1744" i="1"/>
  <c r="D1744" i="1"/>
  <c r="C1744" i="1"/>
  <c r="H1743" i="1"/>
  <c r="G1743" i="1"/>
  <c r="F1743" i="1"/>
  <c r="E1743" i="1"/>
  <c r="D1743" i="1"/>
  <c r="C1743" i="1"/>
  <c r="H1742" i="1"/>
  <c r="G1742" i="1"/>
  <c r="F1742" i="1"/>
  <c r="E1742" i="1"/>
  <c r="D1742" i="1"/>
  <c r="C1742" i="1"/>
  <c r="H1741" i="1"/>
  <c r="G1741" i="1"/>
  <c r="F1741" i="1"/>
  <c r="E1741" i="1"/>
  <c r="D1741" i="1"/>
  <c r="C1741" i="1"/>
  <c r="H1740" i="1"/>
  <c r="G1740" i="1"/>
  <c r="F1740" i="1"/>
  <c r="E1740" i="1"/>
  <c r="D1740" i="1"/>
  <c r="C1740" i="1"/>
  <c r="H1739" i="1"/>
  <c r="G1739" i="1"/>
  <c r="F1739" i="1"/>
  <c r="E1739" i="1"/>
  <c r="D1739" i="1"/>
  <c r="C1739" i="1"/>
  <c r="H1738" i="1"/>
  <c r="G1738" i="1"/>
  <c r="F1738" i="1"/>
  <c r="E1738" i="1"/>
  <c r="D1738" i="1"/>
  <c r="C1738" i="1"/>
  <c r="H1737" i="1"/>
  <c r="G1737" i="1"/>
  <c r="F1737" i="1"/>
  <c r="E1737" i="1"/>
  <c r="D1737" i="1"/>
  <c r="C1737" i="1"/>
  <c r="H1736" i="1"/>
  <c r="G1736" i="1"/>
  <c r="F1736" i="1"/>
  <c r="E1736" i="1"/>
  <c r="D1736" i="1"/>
  <c r="C1736" i="1"/>
  <c r="H1735" i="1"/>
  <c r="G1735" i="1"/>
  <c r="F1735" i="1"/>
  <c r="E1735" i="1"/>
  <c r="D1735" i="1"/>
  <c r="C1735" i="1"/>
  <c r="H1734" i="1"/>
  <c r="G1734" i="1"/>
  <c r="F1734" i="1"/>
  <c r="E1734" i="1"/>
  <c r="D1734" i="1"/>
  <c r="C1734" i="1"/>
  <c r="H1733" i="1"/>
  <c r="G1733" i="1"/>
  <c r="F1733" i="1"/>
  <c r="E1733" i="1"/>
  <c r="D1733" i="1"/>
  <c r="C1733" i="1"/>
  <c r="H1732" i="1"/>
  <c r="G1732" i="1"/>
  <c r="F1732" i="1"/>
  <c r="E1732" i="1"/>
  <c r="D1732" i="1"/>
  <c r="C1732" i="1"/>
  <c r="H1731" i="1"/>
  <c r="G1731" i="1"/>
  <c r="F1731" i="1"/>
  <c r="E1731" i="1"/>
  <c r="D1731" i="1"/>
  <c r="C1731" i="1"/>
  <c r="H1730" i="1"/>
  <c r="G1730" i="1"/>
  <c r="F1730" i="1"/>
  <c r="E1730" i="1"/>
  <c r="D1730" i="1"/>
  <c r="C1730" i="1"/>
  <c r="H1729" i="1"/>
  <c r="G1729" i="1"/>
  <c r="F1729" i="1"/>
  <c r="E1729" i="1"/>
  <c r="D1729" i="1"/>
  <c r="C1729" i="1"/>
  <c r="H1728" i="1"/>
  <c r="G1728" i="1"/>
  <c r="F1728" i="1"/>
  <c r="E1728" i="1"/>
  <c r="D1728" i="1"/>
  <c r="C1728" i="1"/>
  <c r="H1727" i="1"/>
  <c r="G1727" i="1"/>
  <c r="F1727" i="1"/>
  <c r="E1727" i="1"/>
  <c r="D1727" i="1"/>
  <c r="C1727" i="1"/>
  <c r="H1726" i="1"/>
  <c r="G1726" i="1"/>
  <c r="F1726" i="1"/>
  <c r="E1726" i="1"/>
  <c r="D1726" i="1"/>
  <c r="C1726" i="1"/>
  <c r="H1725" i="1"/>
  <c r="G1725" i="1"/>
  <c r="F1725" i="1"/>
  <c r="E1725" i="1"/>
  <c r="D1725" i="1"/>
  <c r="C1725" i="1"/>
  <c r="H1724" i="1"/>
  <c r="G1724" i="1"/>
  <c r="F1724" i="1"/>
  <c r="E1724" i="1"/>
  <c r="D1724" i="1"/>
  <c r="C1724" i="1"/>
  <c r="H1723" i="1"/>
  <c r="G1723" i="1"/>
  <c r="F1723" i="1"/>
  <c r="E1723" i="1"/>
  <c r="D1723" i="1"/>
  <c r="C1723" i="1"/>
  <c r="H1722" i="1"/>
  <c r="G1722" i="1"/>
  <c r="F1722" i="1"/>
  <c r="E1722" i="1"/>
  <c r="D1722" i="1"/>
  <c r="C1722" i="1"/>
  <c r="H1721" i="1"/>
  <c r="G1721" i="1"/>
  <c r="F1721" i="1"/>
  <c r="E1721" i="1"/>
  <c r="D1721" i="1"/>
  <c r="C1721" i="1"/>
  <c r="H1720" i="1"/>
  <c r="G1720" i="1"/>
  <c r="F1720" i="1"/>
  <c r="E1720" i="1"/>
  <c r="D1720" i="1"/>
  <c r="C1720" i="1"/>
  <c r="H1719" i="1"/>
  <c r="G1719" i="1"/>
  <c r="F1719" i="1"/>
  <c r="E1719" i="1"/>
  <c r="D1719" i="1"/>
  <c r="C1719" i="1"/>
  <c r="H1718" i="1"/>
  <c r="G1718" i="1"/>
  <c r="F1718" i="1"/>
  <c r="E1718" i="1"/>
  <c r="D1718" i="1"/>
  <c r="C1718" i="1"/>
  <c r="H1717" i="1"/>
  <c r="G1717" i="1"/>
  <c r="F1717" i="1"/>
  <c r="E1717" i="1"/>
  <c r="D1717" i="1"/>
  <c r="C1717" i="1"/>
  <c r="H1716" i="1"/>
  <c r="G1716" i="1"/>
  <c r="F1716" i="1"/>
  <c r="E1716" i="1"/>
  <c r="D1716" i="1"/>
  <c r="C1716" i="1"/>
  <c r="H1715" i="1"/>
  <c r="G1715" i="1"/>
  <c r="F1715" i="1"/>
  <c r="E1715" i="1"/>
  <c r="D1715" i="1"/>
  <c r="C1715" i="1"/>
  <c r="H1714" i="1"/>
  <c r="G1714" i="1"/>
  <c r="F1714" i="1"/>
  <c r="E1714" i="1"/>
  <c r="D1714" i="1"/>
  <c r="C1714" i="1"/>
  <c r="H1713" i="1"/>
  <c r="G1713" i="1"/>
  <c r="F1713" i="1"/>
  <c r="E1713" i="1"/>
  <c r="D1713" i="1"/>
  <c r="C1713" i="1"/>
  <c r="H1712" i="1"/>
  <c r="G1712" i="1"/>
  <c r="F1712" i="1"/>
  <c r="E1712" i="1"/>
  <c r="D1712" i="1"/>
  <c r="C1712" i="1"/>
  <c r="H1711" i="1"/>
  <c r="G1711" i="1"/>
  <c r="F1711" i="1"/>
  <c r="E1711" i="1"/>
  <c r="D1711" i="1"/>
  <c r="C1711" i="1"/>
  <c r="H1710" i="1"/>
  <c r="G1710" i="1"/>
  <c r="F1710" i="1"/>
  <c r="E1710" i="1"/>
  <c r="D1710" i="1"/>
  <c r="C1710" i="1"/>
  <c r="H1709" i="1"/>
  <c r="G1709" i="1"/>
  <c r="F1709" i="1"/>
  <c r="E1709" i="1"/>
  <c r="D1709" i="1"/>
  <c r="C1709" i="1"/>
  <c r="H1708" i="1"/>
  <c r="G1708" i="1"/>
  <c r="F1708" i="1"/>
  <c r="E1708" i="1"/>
  <c r="D1708" i="1"/>
  <c r="C1708" i="1"/>
  <c r="H1707" i="1"/>
  <c r="G1707" i="1"/>
  <c r="F1707" i="1"/>
  <c r="E1707" i="1"/>
  <c r="D1707" i="1"/>
  <c r="C1707" i="1"/>
  <c r="H1706" i="1"/>
  <c r="G1706" i="1"/>
  <c r="F1706" i="1"/>
  <c r="E1706" i="1"/>
  <c r="D1706" i="1"/>
  <c r="C1706" i="1"/>
  <c r="H1705" i="1"/>
  <c r="G1705" i="1"/>
  <c r="F1705" i="1"/>
  <c r="E1705" i="1"/>
  <c r="D1705" i="1"/>
  <c r="C1705" i="1"/>
  <c r="H1704" i="1"/>
  <c r="G1704" i="1"/>
  <c r="F1704" i="1"/>
  <c r="E1704" i="1"/>
  <c r="D1704" i="1"/>
  <c r="C1704" i="1"/>
  <c r="H1703" i="1"/>
  <c r="G1703" i="1"/>
  <c r="F1703" i="1"/>
  <c r="E1703" i="1"/>
  <c r="D1703" i="1"/>
  <c r="C1703" i="1"/>
  <c r="H1702" i="1"/>
  <c r="G1702" i="1"/>
  <c r="F1702" i="1"/>
  <c r="E1702" i="1"/>
  <c r="D1702" i="1"/>
  <c r="C1702" i="1"/>
  <c r="H1701" i="1"/>
  <c r="G1701" i="1"/>
  <c r="F1701" i="1"/>
  <c r="E1701" i="1"/>
  <c r="D1701" i="1"/>
  <c r="C1701" i="1"/>
  <c r="H1700" i="1"/>
  <c r="G1700" i="1"/>
  <c r="F1700" i="1"/>
  <c r="E1700" i="1"/>
  <c r="D1700" i="1"/>
  <c r="C1700" i="1"/>
  <c r="H1699" i="1"/>
  <c r="G1699" i="1"/>
  <c r="F1699" i="1"/>
  <c r="E1699" i="1"/>
  <c r="D1699" i="1"/>
  <c r="C1699" i="1"/>
  <c r="H1698" i="1"/>
  <c r="G1698" i="1"/>
  <c r="F1698" i="1"/>
  <c r="E1698" i="1"/>
  <c r="D1698" i="1"/>
  <c r="C1698" i="1"/>
  <c r="H1697" i="1"/>
  <c r="G1697" i="1"/>
  <c r="F1697" i="1"/>
  <c r="E1697" i="1"/>
  <c r="D1697" i="1"/>
  <c r="C1697" i="1"/>
  <c r="H1696" i="1"/>
  <c r="G1696" i="1"/>
  <c r="F1696" i="1"/>
  <c r="E1696" i="1"/>
  <c r="D1696" i="1"/>
  <c r="C1696" i="1"/>
  <c r="H1695" i="1"/>
  <c r="G1695" i="1"/>
  <c r="F1695" i="1"/>
  <c r="E1695" i="1"/>
  <c r="D1695" i="1"/>
  <c r="C1695" i="1"/>
  <c r="H1694" i="1"/>
  <c r="G1694" i="1"/>
  <c r="F1694" i="1"/>
  <c r="E1694" i="1"/>
  <c r="D1694" i="1"/>
  <c r="C1694" i="1"/>
  <c r="H1693" i="1"/>
  <c r="G1693" i="1"/>
  <c r="F1693" i="1"/>
  <c r="E1693" i="1"/>
  <c r="D1693" i="1"/>
  <c r="C1693" i="1"/>
  <c r="H1692" i="1"/>
  <c r="G1692" i="1"/>
  <c r="F1692" i="1"/>
  <c r="E1692" i="1"/>
  <c r="D1692" i="1"/>
  <c r="C1692" i="1"/>
  <c r="H1691" i="1"/>
  <c r="G1691" i="1"/>
  <c r="F1691" i="1"/>
  <c r="E1691" i="1"/>
  <c r="D1691" i="1"/>
  <c r="C1691" i="1"/>
  <c r="H1690" i="1"/>
  <c r="G1690" i="1"/>
  <c r="F1690" i="1"/>
  <c r="E1690" i="1"/>
  <c r="D1690" i="1"/>
  <c r="C1690" i="1"/>
  <c r="H1689" i="1"/>
  <c r="G1689" i="1"/>
  <c r="F1689" i="1"/>
  <c r="E1689" i="1"/>
  <c r="D1689" i="1"/>
  <c r="C1689" i="1"/>
  <c r="H1688" i="1"/>
  <c r="G1688" i="1"/>
  <c r="F1688" i="1"/>
  <c r="E1688" i="1"/>
  <c r="D1688" i="1"/>
  <c r="C1688" i="1"/>
  <c r="H1687" i="1"/>
  <c r="G1687" i="1"/>
  <c r="F1687" i="1"/>
  <c r="E1687" i="1"/>
  <c r="D1687" i="1"/>
  <c r="C1687" i="1"/>
  <c r="H1686" i="1"/>
  <c r="G1686" i="1"/>
  <c r="F1686" i="1"/>
  <c r="E1686" i="1"/>
  <c r="D1686" i="1"/>
  <c r="C1686" i="1"/>
  <c r="H1685" i="1"/>
  <c r="G1685" i="1"/>
  <c r="F1685" i="1"/>
  <c r="E1685" i="1"/>
  <c r="D1685" i="1"/>
  <c r="C1685" i="1"/>
  <c r="H1684" i="1"/>
  <c r="G1684" i="1"/>
  <c r="F1684" i="1"/>
  <c r="E1684" i="1"/>
  <c r="D1684" i="1"/>
  <c r="C1684" i="1"/>
  <c r="H1683" i="1"/>
  <c r="G1683" i="1"/>
  <c r="F1683" i="1"/>
  <c r="E1683" i="1"/>
  <c r="D1683" i="1"/>
  <c r="C1683" i="1"/>
  <c r="H1682" i="1"/>
  <c r="G1682" i="1"/>
  <c r="F1682" i="1"/>
  <c r="E1682" i="1"/>
  <c r="D1682" i="1"/>
  <c r="C1682" i="1"/>
  <c r="H1681" i="1"/>
  <c r="G1681" i="1"/>
  <c r="F1681" i="1"/>
  <c r="E1681" i="1"/>
  <c r="D1681" i="1"/>
  <c r="C1681" i="1"/>
  <c r="H1680" i="1"/>
  <c r="G1680" i="1"/>
  <c r="F1680" i="1"/>
  <c r="E1680" i="1"/>
  <c r="D1680" i="1"/>
  <c r="C1680" i="1"/>
  <c r="H1679" i="1"/>
  <c r="G1679" i="1"/>
  <c r="F1679" i="1"/>
  <c r="E1679" i="1"/>
  <c r="D1679" i="1"/>
  <c r="C1679" i="1"/>
  <c r="H1678" i="1"/>
  <c r="G1678" i="1"/>
  <c r="F1678" i="1"/>
  <c r="E1678" i="1"/>
  <c r="D1678" i="1"/>
  <c r="C1678" i="1"/>
  <c r="H1677" i="1"/>
  <c r="G1677" i="1"/>
  <c r="F1677" i="1"/>
  <c r="E1677" i="1"/>
  <c r="D1677" i="1"/>
  <c r="C1677" i="1"/>
  <c r="H1676" i="1"/>
  <c r="G1676" i="1"/>
  <c r="F1676" i="1"/>
  <c r="E1676" i="1"/>
  <c r="D1676" i="1"/>
  <c r="C1676" i="1"/>
  <c r="H1675" i="1"/>
  <c r="G1675" i="1"/>
  <c r="F1675" i="1"/>
  <c r="E1675" i="1"/>
  <c r="D1675" i="1"/>
  <c r="C1675" i="1"/>
  <c r="H1674" i="1"/>
  <c r="G1674" i="1"/>
  <c r="F1674" i="1"/>
  <c r="E1674" i="1"/>
  <c r="D1674" i="1"/>
  <c r="C1674" i="1"/>
  <c r="H1673" i="1"/>
  <c r="G1673" i="1"/>
  <c r="F1673" i="1"/>
  <c r="E1673" i="1"/>
  <c r="D1673" i="1"/>
  <c r="C1673" i="1"/>
  <c r="H1672" i="1"/>
  <c r="G1672" i="1"/>
  <c r="F1672" i="1"/>
  <c r="E1672" i="1"/>
  <c r="D1672" i="1"/>
  <c r="C1672" i="1"/>
  <c r="H1671" i="1"/>
  <c r="G1671" i="1"/>
  <c r="F1671" i="1"/>
  <c r="E1671" i="1"/>
  <c r="D1671" i="1"/>
  <c r="C1671" i="1"/>
  <c r="H1670" i="1"/>
  <c r="G1670" i="1"/>
  <c r="F1670" i="1"/>
  <c r="E1670" i="1"/>
  <c r="D1670" i="1"/>
  <c r="C1670" i="1"/>
  <c r="H1669" i="1"/>
  <c r="G1669" i="1"/>
  <c r="F1669" i="1"/>
  <c r="E1669" i="1"/>
  <c r="D1669" i="1"/>
  <c r="C1669" i="1"/>
  <c r="H1668" i="1"/>
  <c r="G1668" i="1"/>
  <c r="F1668" i="1"/>
  <c r="E1668" i="1"/>
  <c r="D1668" i="1"/>
  <c r="C1668" i="1"/>
  <c r="H1667" i="1"/>
  <c r="G1667" i="1"/>
  <c r="F1667" i="1"/>
  <c r="E1667" i="1"/>
  <c r="D1667" i="1"/>
  <c r="C1667" i="1"/>
  <c r="H1666" i="1"/>
  <c r="G1666" i="1"/>
  <c r="F1666" i="1"/>
  <c r="E1666" i="1"/>
  <c r="D1666" i="1"/>
  <c r="C1666" i="1"/>
  <c r="H1665" i="1"/>
  <c r="G1665" i="1"/>
  <c r="F1665" i="1"/>
  <c r="E1665" i="1"/>
  <c r="D1665" i="1"/>
  <c r="C1665" i="1"/>
  <c r="H1664" i="1"/>
  <c r="G1664" i="1"/>
  <c r="F1664" i="1"/>
  <c r="E1664" i="1"/>
  <c r="D1664" i="1"/>
  <c r="C1664" i="1"/>
  <c r="H1663" i="1"/>
  <c r="G1663" i="1"/>
  <c r="F1663" i="1"/>
  <c r="E1663" i="1"/>
  <c r="D1663" i="1"/>
  <c r="C1663" i="1"/>
  <c r="H1662" i="1"/>
  <c r="G1662" i="1"/>
  <c r="F1662" i="1"/>
  <c r="E1662" i="1"/>
  <c r="D1662" i="1"/>
  <c r="C1662" i="1"/>
  <c r="H1661" i="1"/>
  <c r="G1661" i="1"/>
  <c r="F1661" i="1"/>
  <c r="E1661" i="1"/>
  <c r="D1661" i="1"/>
  <c r="C1661" i="1"/>
  <c r="H1660" i="1"/>
  <c r="G1660" i="1"/>
  <c r="F1660" i="1"/>
  <c r="E1660" i="1"/>
  <c r="D1660" i="1"/>
  <c r="C1660" i="1"/>
  <c r="H1659" i="1"/>
  <c r="G1659" i="1"/>
  <c r="F1659" i="1"/>
  <c r="E1659" i="1"/>
  <c r="D1659" i="1"/>
  <c r="C1659" i="1"/>
  <c r="H1658" i="1"/>
  <c r="G1658" i="1"/>
  <c r="F1658" i="1"/>
  <c r="E1658" i="1"/>
  <c r="D1658" i="1"/>
  <c r="C1658" i="1"/>
  <c r="H1657" i="1"/>
  <c r="G1657" i="1"/>
  <c r="F1657" i="1"/>
  <c r="E1657" i="1"/>
  <c r="D1657" i="1"/>
  <c r="C1657" i="1"/>
  <c r="H1656" i="1"/>
  <c r="G1656" i="1"/>
  <c r="F1656" i="1"/>
  <c r="E1656" i="1"/>
  <c r="D1656" i="1"/>
  <c r="C1656" i="1"/>
  <c r="H1655" i="1"/>
  <c r="G1655" i="1"/>
  <c r="F1655" i="1"/>
  <c r="E1655" i="1"/>
  <c r="D1655" i="1"/>
  <c r="C1655" i="1"/>
  <c r="H1654" i="1"/>
  <c r="G1654" i="1"/>
  <c r="F1654" i="1"/>
  <c r="E1654" i="1"/>
  <c r="D1654" i="1"/>
  <c r="C1654" i="1"/>
  <c r="H1653" i="1"/>
  <c r="G1653" i="1"/>
  <c r="F1653" i="1"/>
  <c r="E1653" i="1"/>
  <c r="D1653" i="1"/>
  <c r="C1653" i="1"/>
  <c r="H1652" i="1"/>
  <c r="G1652" i="1"/>
  <c r="F1652" i="1"/>
  <c r="E1652" i="1"/>
  <c r="D1652" i="1"/>
  <c r="C1652" i="1"/>
  <c r="H1651" i="1"/>
  <c r="G1651" i="1"/>
  <c r="F1651" i="1"/>
  <c r="E1651" i="1"/>
  <c r="D1651" i="1"/>
  <c r="C1651" i="1"/>
  <c r="H1650" i="1"/>
  <c r="G1650" i="1"/>
  <c r="F1650" i="1"/>
  <c r="E1650" i="1"/>
  <c r="D1650" i="1"/>
  <c r="C1650" i="1"/>
  <c r="H1649" i="1"/>
  <c r="G1649" i="1"/>
  <c r="F1649" i="1"/>
  <c r="E1649" i="1"/>
  <c r="D1649" i="1"/>
  <c r="C1649" i="1"/>
  <c r="H1648" i="1"/>
  <c r="G1648" i="1"/>
  <c r="F1648" i="1"/>
  <c r="E1648" i="1"/>
  <c r="D1648" i="1"/>
  <c r="C1648" i="1"/>
  <c r="H1647" i="1"/>
  <c r="G1647" i="1"/>
  <c r="F1647" i="1"/>
  <c r="E1647" i="1"/>
  <c r="D1647" i="1"/>
  <c r="C1647" i="1"/>
  <c r="H1646" i="1"/>
  <c r="G1646" i="1"/>
  <c r="F1646" i="1"/>
  <c r="E1646" i="1"/>
  <c r="D1646" i="1"/>
  <c r="C1646" i="1"/>
  <c r="H1645" i="1"/>
  <c r="G1645" i="1"/>
  <c r="F1645" i="1"/>
  <c r="E1645" i="1"/>
  <c r="D1645" i="1"/>
  <c r="C1645" i="1"/>
  <c r="H1644" i="1"/>
  <c r="G1644" i="1"/>
  <c r="F1644" i="1"/>
  <c r="E1644" i="1"/>
  <c r="D1644" i="1"/>
  <c r="C1644" i="1"/>
  <c r="H1643" i="1"/>
  <c r="G1643" i="1"/>
  <c r="F1643" i="1"/>
  <c r="E1643" i="1"/>
  <c r="D1643" i="1"/>
  <c r="C1643" i="1"/>
  <c r="H1642" i="1"/>
  <c r="G1642" i="1"/>
  <c r="F1642" i="1"/>
  <c r="E1642" i="1"/>
  <c r="D1642" i="1"/>
  <c r="C1642" i="1"/>
  <c r="H1641" i="1"/>
  <c r="G1641" i="1"/>
  <c r="F1641" i="1"/>
  <c r="E1641" i="1"/>
  <c r="D1641" i="1"/>
  <c r="C1641" i="1"/>
  <c r="H1640" i="1"/>
  <c r="G1640" i="1"/>
  <c r="F1640" i="1"/>
  <c r="E1640" i="1"/>
  <c r="D1640" i="1"/>
  <c r="C1640" i="1"/>
  <c r="H1639" i="1"/>
  <c r="G1639" i="1"/>
  <c r="F1639" i="1"/>
  <c r="E1639" i="1"/>
  <c r="D1639" i="1"/>
  <c r="C1639" i="1"/>
  <c r="H1638" i="1"/>
  <c r="G1638" i="1"/>
  <c r="F1638" i="1"/>
  <c r="E1638" i="1"/>
  <c r="D1638" i="1"/>
  <c r="C1638" i="1"/>
  <c r="H1637" i="1"/>
  <c r="G1637" i="1"/>
  <c r="F1637" i="1"/>
  <c r="E1637" i="1"/>
  <c r="D1637" i="1"/>
  <c r="C1637" i="1"/>
  <c r="H1636" i="1"/>
  <c r="G1636" i="1"/>
  <c r="F1636" i="1"/>
  <c r="E1636" i="1"/>
  <c r="D1636" i="1"/>
  <c r="C1636" i="1"/>
  <c r="H1635" i="1"/>
  <c r="G1635" i="1"/>
  <c r="F1635" i="1"/>
  <c r="E1635" i="1"/>
  <c r="D1635" i="1"/>
  <c r="C1635" i="1"/>
  <c r="H1634" i="1"/>
  <c r="G1634" i="1"/>
  <c r="F1634" i="1"/>
  <c r="E1634" i="1"/>
  <c r="D1634" i="1"/>
  <c r="C1634" i="1"/>
  <c r="H1633" i="1"/>
  <c r="G1633" i="1"/>
  <c r="F1633" i="1"/>
  <c r="E1633" i="1"/>
  <c r="D1633" i="1"/>
  <c r="C1633" i="1"/>
  <c r="H1632" i="1"/>
  <c r="G1632" i="1"/>
  <c r="F1632" i="1"/>
  <c r="E1632" i="1"/>
  <c r="D1632" i="1"/>
  <c r="C1632" i="1"/>
  <c r="H1631" i="1"/>
  <c r="G1631" i="1"/>
  <c r="F1631" i="1"/>
  <c r="E1631" i="1"/>
  <c r="D1631" i="1"/>
  <c r="C1631" i="1"/>
  <c r="H1630" i="1"/>
  <c r="G1630" i="1"/>
  <c r="F1630" i="1"/>
  <c r="E1630" i="1"/>
  <c r="D1630" i="1"/>
  <c r="C1630" i="1"/>
  <c r="H1629" i="1"/>
  <c r="G1629" i="1"/>
  <c r="F1629" i="1"/>
  <c r="E1629" i="1"/>
  <c r="D1629" i="1"/>
  <c r="C1629" i="1"/>
  <c r="H1628" i="1"/>
  <c r="G1628" i="1"/>
  <c r="F1628" i="1"/>
  <c r="E1628" i="1"/>
  <c r="D1628" i="1"/>
  <c r="C1628" i="1"/>
  <c r="H1627" i="1"/>
  <c r="G1627" i="1"/>
  <c r="F1627" i="1"/>
  <c r="E1627" i="1"/>
  <c r="D1627" i="1"/>
  <c r="C1627" i="1"/>
  <c r="H1626" i="1"/>
  <c r="G1626" i="1"/>
  <c r="F1626" i="1"/>
  <c r="E1626" i="1"/>
  <c r="D1626" i="1"/>
  <c r="C1626" i="1"/>
  <c r="H1625" i="1"/>
  <c r="G1625" i="1"/>
  <c r="F1625" i="1"/>
  <c r="E1625" i="1"/>
  <c r="D1625" i="1"/>
  <c r="C1625" i="1"/>
  <c r="H1624" i="1"/>
  <c r="G1624" i="1"/>
  <c r="F1624" i="1"/>
  <c r="E1624" i="1"/>
  <c r="D1624" i="1"/>
  <c r="C1624" i="1"/>
  <c r="H1623" i="1"/>
  <c r="G1623" i="1"/>
  <c r="F1623" i="1"/>
  <c r="E1623" i="1"/>
  <c r="D1623" i="1"/>
  <c r="C1623" i="1"/>
  <c r="H1622" i="1"/>
  <c r="G1622" i="1"/>
  <c r="F1622" i="1"/>
  <c r="E1622" i="1"/>
  <c r="D1622" i="1"/>
  <c r="C1622" i="1"/>
  <c r="H1621" i="1"/>
  <c r="G1621" i="1"/>
  <c r="F1621" i="1"/>
  <c r="E1621" i="1"/>
  <c r="D1621" i="1"/>
  <c r="C1621" i="1"/>
  <c r="H1620" i="1"/>
  <c r="G1620" i="1"/>
  <c r="F1620" i="1"/>
  <c r="E1620" i="1"/>
  <c r="D1620" i="1"/>
  <c r="C1620" i="1"/>
  <c r="H1619" i="1"/>
  <c r="G1619" i="1"/>
  <c r="F1619" i="1"/>
  <c r="E1619" i="1"/>
  <c r="D1619" i="1"/>
  <c r="C1619" i="1"/>
  <c r="H1618" i="1"/>
  <c r="G1618" i="1"/>
  <c r="F1618" i="1"/>
  <c r="E1618" i="1"/>
  <c r="D1618" i="1"/>
  <c r="C1618" i="1"/>
  <c r="H1617" i="1"/>
  <c r="G1617" i="1"/>
  <c r="F1617" i="1"/>
  <c r="E1617" i="1"/>
  <c r="D1617" i="1"/>
  <c r="C1617" i="1"/>
  <c r="H1616" i="1"/>
  <c r="G1616" i="1"/>
  <c r="F1616" i="1"/>
  <c r="E1616" i="1"/>
  <c r="D1616" i="1"/>
  <c r="C1616" i="1"/>
  <c r="H1615" i="1"/>
  <c r="G1615" i="1"/>
  <c r="F1615" i="1"/>
  <c r="E1615" i="1"/>
  <c r="D1615" i="1"/>
  <c r="C1615" i="1"/>
  <c r="H1614" i="1"/>
  <c r="G1614" i="1"/>
  <c r="F1614" i="1"/>
  <c r="E1614" i="1"/>
  <c r="D1614" i="1"/>
  <c r="C1614" i="1"/>
  <c r="H1613" i="1"/>
  <c r="G1613" i="1"/>
  <c r="F1613" i="1"/>
  <c r="E1613" i="1"/>
  <c r="D1613" i="1"/>
  <c r="C1613" i="1"/>
  <c r="H1612" i="1"/>
  <c r="G1612" i="1"/>
  <c r="F1612" i="1"/>
  <c r="E1612" i="1"/>
  <c r="D1612" i="1"/>
  <c r="C1612" i="1"/>
  <c r="H1611" i="1"/>
  <c r="G1611" i="1"/>
  <c r="F1611" i="1"/>
  <c r="E1611" i="1"/>
  <c r="D1611" i="1"/>
  <c r="C1611" i="1"/>
  <c r="H1610" i="1"/>
  <c r="G1610" i="1"/>
  <c r="F1610" i="1"/>
  <c r="E1610" i="1"/>
  <c r="D1610" i="1"/>
  <c r="C1610" i="1"/>
  <c r="H1609" i="1"/>
  <c r="G1609" i="1"/>
  <c r="F1609" i="1"/>
  <c r="E1609" i="1"/>
  <c r="D1609" i="1"/>
  <c r="C1609" i="1"/>
  <c r="H1608" i="1"/>
  <c r="G1608" i="1"/>
  <c r="F1608" i="1"/>
  <c r="E1608" i="1"/>
  <c r="D1608" i="1"/>
  <c r="C1608" i="1"/>
  <c r="H1607" i="1"/>
  <c r="G1607" i="1"/>
  <c r="F1607" i="1"/>
  <c r="E1607" i="1"/>
  <c r="D1607" i="1"/>
  <c r="C1607" i="1"/>
  <c r="H1606" i="1"/>
  <c r="G1606" i="1"/>
  <c r="F1606" i="1"/>
  <c r="E1606" i="1"/>
  <c r="D1606" i="1"/>
  <c r="C1606" i="1"/>
  <c r="H1605" i="1"/>
  <c r="G1605" i="1"/>
  <c r="F1605" i="1"/>
  <c r="E1605" i="1"/>
  <c r="D1605" i="1"/>
  <c r="C1605" i="1"/>
  <c r="H1604" i="1"/>
  <c r="G1604" i="1"/>
  <c r="F1604" i="1"/>
  <c r="E1604" i="1"/>
  <c r="D1604" i="1"/>
  <c r="C1604" i="1"/>
  <c r="H1603" i="1"/>
  <c r="G1603" i="1"/>
  <c r="F1603" i="1"/>
  <c r="E1603" i="1"/>
  <c r="D1603" i="1"/>
  <c r="C1603" i="1"/>
  <c r="H1602" i="1"/>
  <c r="G1602" i="1"/>
  <c r="F1602" i="1"/>
  <c r="E1602" i="1"/>
  <c r="D1602" i="1"/>
  <c r="C1602" i="1"/>
  <c r="H1601" i="1"/>
  <c r="G1601" i="1"/>
  <c r="F1601" i="1"/>
  <c r="E1601" i="1"/>
  <c r="D1601" i="1"/>
  <c r="C1601" i="1"/>
  <c r="H1600" i="1"/>
  <c r="G1600" i="1"/>
  <c r="F1600" i="1"/>
  <c r="E1600" i="1"/>
  <c r="D1600" i="1"/>
  <c r="C1600" i="1"/>
  <c r="H1599" i="1"/>
  <c r="G1599" i="1"/>
  <c r="F1599" i="1"/>
  <c r="E1599" i="1"/>
  <c r="D1599" i="1"/>
  <c r="C1599" i="1"/>
  <c r="H1598" i="1"/>
  <c r="G1598" i="1"/>
  <c r="F1598" i="1"/>
  <c r="E1598" i="1"/>
  <c r="D1598" i="1"/>
  <c r="C1598" i="1"/>
  <c r="H1597" i="1"/>
  <c r="G1597" i="1"/>
  <c r="F1597" i="1"/>
  <c r="E1597" i="1"/>
  <c r="D1597" i="1"/>
  <c r="C1597" i="1"/>
  <c r="H1596" i="1"/>
  <c r="G1596" i="1"/>
  <c r="F1596" i="1"/>
  <c r="E1596" i="1"/>
  <c r="D1596" i="1"/>
  <c r="C1596" i="1"/>
  <c r="H1595" i="1"/>
  <c r="G1595" i="1"/>
  <c r="F1595" i="1"/>
  <c r="E1595" i="1"/>
  <c r="D1595" i="1"/>
  <c r="C1595" i="1"/>
  <c r="H1594" i="1"/>
  <c r="G1594" i="1"/>
  <c r="F1594" i="1"/>
  <c r="E1594" i="1"/>
  <c r="D1594" i="1"/>
  <c r="C1594" i="1"/>
  <c r="H1593" i="1"/>
  <c r="G1593" i="1"/>
  <c r="F1593" i="1"/>
  <c r="E1593" i="1"/>
  <c r="D1593" i="1"/>
  <c r="C1593" i="1"/>
  <c r="H1592" i="1"/>
  <c r="G1592" i="1"/>
  <c r="F1592" i="1"/>
  <c r="E1592" i="1"/>
  <c r="D1592" i="1"/>
  <c r="C1592" i="1"/>
  <c r="H1591" i="1"/>
  <c r="G1591" i="1"/>
  <c r="F1591" i="1"/>
  <c r="E1591" i="1"/>
  <c r="D1591" i="1"/>
  <c r="C1591" i="1"/>
  <c r="H1590" i="1"/>
  <c r="G1590" i="1"/>
  <c r="F1590" i="1"/>
  <c r="E1590" i="1"/>
  <c r="D1590" i="1"/>
  <c r="C1590" i="1"/>
  <c r="H1589" i="1"/>
  <c r="G1589" i="1"/>
  <c r="F1589" i="1"/>
  <c r="E1589" i="1"/>
  <c r="D1589" i="1"/>
  <c r="C1589" i="1"/>
  <c r="H1588" i="1"/>
  <c r="G1588" i="1"/>
  <c r="F1588" i="1"/>
  <c r="E1588" i="1"/>
  <c r="D1588" i="1"/>
  <c r="C1588" i="1"/>
  <c r="H1587" i="1"/>
  <c r="G1587" i="1"/>
  <c r="F1587" i="1"/>
  <c r="E1587" i="1"/>
  <c r="D1587" i="1"/>
  <c r="C1587" i="1"/>
  <c r="H1586" i="1"/>
  <c r="G1586" i="1"/>
  <c r="F1586" i="1"/>
  <c r="E1586" i="1"/>
  <c r="D1586" i="1"/>
  <c r="C1586" i="1"/>
  <c r="H1585" i="1"/>
  <c r="G1585" i="1"/>
  <c r="F1585" i="1"/>
  <c r="E1585" i="1"/>
  <c r="D1585" i="1"/>
  <c r="C1585" i="1"/>
  <c r="H1584" i="1"/>
  <c r="G1584" i="1"/>
  <c r="F1584" i="1"/>
  <c r="E1584" i="1"/>
  <c r="D1584" i="1"/>
  <c r="C1584" i="1"/>
  <c r="H1583" i="1"/>
  <c r="G1583" i="1"/>
  <c r="F1583" i="1"/>
  <c r="E1583" i="1"/>
  <c r="D1583" i="1"/>
  <c r="C1583" i="1"/>
  <c r="H1582" i="1"/>
  <c r="G1582" i="1"/>
  <c r="F1582" i="1"/>
  <c r="E1582" i="1"/>
  <c r="D1582" i="1"/>
  <c r="C1582" i="1"/>
  <c r="H1581" i="1"/>
  <c r="G1581" i="1"/>
  <c r="F1581" i="1"/>
  <c r="E1581" i="1"/>
  <c r="D1581" i="1"/>
  <c r="C1581" i="1"/>
  <c r="H1580" i="1"/>
  <c r="G1580" i="1"/>
  <c r="F1580" i="1"/>
  <c r="E1580" i="1"/>
  <c r="D1580" i="1"/>
  <c r="C1580" i="1"/>
  <c r="H1579" i="1"/>
  <c r="G1579" i="1"/>
  <c r="F1579" i="1"/>
  <c r="E1579" i="1"/>
  <c r="D1579" i="1"/>
  <c r="C1579" i="1"/>
  <c r="H1578" i="1"/>
  <c r="G1578" i="1"/>
  <c r="F1578" i="1"/>
  <c r="E1578" i="1"/>
  <c r="D1578" i="1"/>
  <c r="C1578" i="1"/>
  <c r="H1577" i="1"/>
  <c r="G1577" i="1"/>
  <c r="F1577" i="1"/>
  <c r="E1577" i="1"/>
  <c r="D1577" i="1"/>
  <c r="C1577" i="1"/>
  <c r="H1576" i="1"/>
  <c r="G1576" i="1"/>
  <c r="F1576" i="1"/>
  <c r="E1576" i="1"/>
  <c r="D1576" i="1"/>
  <c r="C1576" i="1"/>
  <c r="H1575" i="1"/>
  <c r="G1575" i="1"/>
  <c r="F1575" i="1"/>
  <c r="E1575" i="1"/>
  <c r="D1575" i="1"/>
  <c r="C1575" i="1"/>
  <c r="H1574" i="1"/>
  <c r="G1574" i="1"/>
  <c r="F1574" i="1"/>
  <c r="E1574" i="1"/>
  <c r="D1574" i="1"/>
  <c r="C1574" i="1"/>
  <c r="H1573" i="1"/>
  <c r="G1573" i="1"/>
  <c r="F1573" i="1"/>
  <c r="E1573" i="1"/>
  <c r="D1573" i="1"/>
  <c r="C1573" i="1"/>
  <c r="H1572" i="1"/>
  <c r="G1572" i="1"/>
  <c r="F1572" i="1"/>
  <c r="E1572" i="1"/>
  <c r="D1572" i="1"/>
  <c r="C1572" i="1"/>
  <c r="H1571" i="1"/>
  <c r="G1571" i="1"/>
  <c r="F1571" i="1"/>
  <c r="E1571" i="1"/>
  <c r="D1571" i="1"/>
  <c r="C1571" i="1"/>
  <c r="H1570" i="1"/>
  <c r="G1570" i="1"/>
  <c r="F1570" i="1"/>
  <c r="E1570" i="1"/>
  <c r="D1570" i="1"/>
  <c r="C1570" i="1"/>
  <c r="H1569" i="1"/>
  <c r="G1569" i="1"/>
  <c r="F1569" i="1"/>
  <c r="E1569" i="1"/>
  <c r="D1569" i="1"/>
  <c r="C1569" i="1"/>
  <c r="H1568" i="1"/>
  <c r="G1568" i="1"/>
  <c r="F1568" i="1"/>
  <c r="E1568" i="1"/>
  <c r="D1568" i="1"/>
  <c r="C1568" i="1"/>
  <c r="H1567" i="1"/>
  <c r="G1567" i="1"/>
  <c r="F1567" i="1"/>
  <c r="E1567" i="1"/>
  <c r="D1567" i="1"/>
  <c r="C1567" i="1"/>
  <c r="H1566" i="1"/>
  <c r="G1566" i="1"/>
  <c r="F1566" i="1"/>
  <c r="E1566" i="1"/>
  <c r="D1566" i="1"/>
  <c r="C1566" i="1"/>
  <c r="H1565" i="1"/>
  <c r="G1565" i="1"/>
  <c r="F1565" i="1"/>
  <c r="E1565" i="1"/>
  <c r="D1565" i="1"/>
  <c r="C1565" i="1"/>
  <c r="H1564" i="1"/>
  <c r="G1564" i="1"/>
  <c r="F1564" i="1"/>
  <c r="E1564" i="1"/>
  <c r="D1564" i="1"/>
  <c r="C1564" i="1"/>
  <c r="H1563" i="1"/>
  <c r="G1563" i="1"/>
  <c r="F1563" i="1"/>
  <c r="E1563" i="1"/>
  <c r="D1563" i="1"/>
  <c r="C1563" i="1"/>
  <c r="H1562" i="1"/>
  <c r="G1562" i="1"/>
  <c r="F1562" i="1"/>
  <c r="E1562" i="1"/>
  <c r="D1562" i="1"/>
  <c r="C1562" i="1"/>
  <c r="H1561" i="1"/>
  <c r="G1561" i="1"/>
  <c r="F1561" i="1"/>
  <c r="E1561" i="1"/>
  <c r="D1561" i="1"/>
  <c r="C1561" i="1"/>
  <c r="H1560" i="1"/>
  <c r="G1560" i="1"/>
  <c r="F1560" i="1"/>
  <c r="E1560" i="1"/>
  <c r="D1560" i="1"/>
  <c r="C1560" i="1"/>
  <c r="H1559" i="1"/>
  <c r="G1559" i="1"/>
  <c r="F1559" i="1"/>
  <c r="E1559" i="1"/>
  <c r="D1559" i="1"/>
  <c r="C1559" i="1"/>
  <c r="H1558" i="1"/>
  <c r="G1558" i="1"/>
  <c r="F1558" i="1"/>
  <c r="E1558" i="1"/>
  <c r="D1558" i="1"/>
  <c r="C1558" i="1"/>
  <c r="H1557" i="1"/>
  <c r="G1557" i="1"/>
  <c r="F1557" i="1"/>
  <c r="E1557" i="1"/>
  <c r="D1557" i="1"/>
  <c r="C1557" i="1"/>
  <c r="H1556" i="1"/>
  <c r="G1556" i="1"/>
  <c r="F1556" i="1"/>
  <c r="E1556" i="1"/>
  <c r="D1556" i="1"/>
  <c r="C1556" i="1"/>
  <c r="H1555" i="1"/>
  <c r="G1555" i="1"/>
  <c r="F1555" i="1"/>
  <c r="E1555" i="1"/>
  <c r="D1555" i="1"/>
  <c r="C1555" i="1"/>
  <c r="H1554" i="1"/>
  <c r="G1554" i="1"/>
  <c r="F1554" i="1"/>
  <c r="E1554" i="1"/>
  <c r="D1554" i="1"/>
  <c r="C1554" i="1"/>
  <c r="H1553" i="1"/>
  <c r="G1553" i="1"/>
  <c r="F1553" i="1"/>
  <c r="E1553" i="1"/>
  <c r="D1553" i="1"/>
  <c r="C1553" i="1"/>
  <c r="H1552" i="1"/>
  <c r="G1552" i="1"/>
  <c r="F1552" i="1"/>
  <c r="E1552" i="1"/>
  <c r="D1552" i="1"/>
  <c r="C1552" i="1"/>
  <c r="H1551" i="1"/>
  <c r="G1551" i="1"/>
  <c r="F1551" i="1"/>
  <c r="E1551" i="1"/>
  <c r="D1551" i="1"/>
  <c r="C1551" i="1"/>
  <c r="H1550" i="1"/>
  <c r="G1550" i="1"/>
  <c r="F1550" i="1"/>
  <c r="E1550" i="1"/>
  <c r="D1550" i="1"/>
  <c r="C1550" i="1"/>
  <c r="H1549" i="1"/>
  <c r="G1549" i="1"/>
  <c r="F1549" i="1"/>
  <c r="E1549" i="1"/>
  <c r="D1549" i="1"/>
  <c r="C1549" i="1"/>
  <c r="H1548" i="1"/>
  <c r="G1548" i="1"/>
  <c r="F1548" i="1"/>
  <c r="E1548" i="1"/>
  <c r="D1548" i="1"/>
  <c r="C1548" i="1"/>
  <c r="H1547" i="1"/>
  <c r="G1547" i="1"/>
  <c r="F1547" i="1"/>
  <c r="E1547" i="1"/>
  <c r="D1547" i="1"/>
  <c r="C1547" i="1"/>
  <c r="H1546" i="1"/>
  <c r="G1546" i="1"/>
  <c r="F1546" i="1"/>
  <c r="E1546" i="1"/>
  <c r="D1546" i="1"/>
  <c r="C1546" i="1"/>
  <c r="H1545" i="1"/>
  <c r="G1545" i="1"/>
  <c r="F1545" i="1"/>
  <c r="E1545" i="1"/>
  <c r="D1545" i="1"/>
  <c r="C1545" i="1"/>
  <c r="H1544" i="1"/>
  <c r="G1544" i="1"/>
  <c r="F1544" i="1"/>
  <c r="E1544" i="1"/>
  <c r="D1544" i="1"/>
  <c r="C1544" i="1"/>
  <c r="H1543" i="1"/>
  <c r="G1543" i="1"/>
  <c r="F1543" i="1"/>
  <c r="E1543" i="1"/>
  <c r="D1543" i="1"/>
  <c r="C1543" i="1"/>
  <c r="H1542" i="1"/>
  <c r="G1542" i="1"/>
  <c r="F1542" i="1"/>
  <c r="E1542" i="1"/>
  <c r="D1542" i="1"/>
  <c r="C1542" i="1"/>
  <c r="H1541" i="1"/>
  <c r="G1541" i="1"/>
  <c r="F1541" i="1"/>
  <c r="E1541" i="1"/>
  <c r="D1541" i="1"/>
  <c r="C1541" i="1"/>
  <c r="H1540" i="1"/>
  <c r="G1540" i="1"/>
  <c r="F1540" i="1"/>
  <c r="E1540" i="1"/>
  <c r="D1540" i="1"/>
  <c r="C1540" i="1"/>
  <c r="H1539" i="1"/>
  <c r="G1539" i="1"/>
  <c r="F1539" i="1"/>
  <c r="E1539" i="1"/>
  <c r="D1539" i="1"/>
  <c r="C1539" i="1"/>
  <c r="H1538" i="1"/>
  <c r="G1538" i="1"/>
  <c r="F1538" i="1"/>
  <c r="E1538" i="1"/>
  <c r="D1538" i="1"/>
  <c r="C1538" i="1"/>
  <c r="H1537" i="1"/>
  <c r="G1537" i="1"/>
  <c r="F1537" i="1"/>
  <c r="E1537" i="1"/>
  <c r="D1537" i="1"/>
  <c r="C1537" i="1"/>
  <c r="H1536" i="1"/>
  <c r="G1536" i="1"/>
  <c r="F1536" i="1"/>
  <c r="E1536" i="1"/>
  <c r="D1536" i="1"/>
  <c r="C1536" i="1"/>
  <c r="H1535" i="1"/>
  <c r="G1535" i="1"/>
  <c r="F1535" i="1"/>
  <c r="E1535" i="1"/>
  <c r="D1535" i="1"/>
  <c r="C1535" i="1"/>
  <c r="H1534" i="1"/>
  <c r="G1534" i="1"/>
  <c r="F1534" i="1"/>
  <c r="E1534" i="1"/>
  <c r="D1534" i="1"/>
  <c r="C1534" i="1"/>
  <c r="H1533" i="1"/>
  <c r="G1533" i="1"/>
  <c r="F1533" i="1"/>
  <c r="E1533" i="1"/>
  <c r="D1533" i="1"/>
  <c r="C1533" i="1"/>
  <c r="H1532" i="1"/>
  <c r="G1532" i="1"/>
  <c r="F1532" i="1"/>
  <c r="E1532" i="1"/>
  <c r="D1532" i="1"/>
  <c r="C1532" i="1"/>
  <c r="H1531" i="1"/>
  <c r="G1531" i="1"/>
  <c r="F1531" i="1"/>
  <c r="E1531" i="1"/>
  <c r="D1531" i="1"/>
  <c r="C1531" i="1"/>
  <c r="H1530" i="1"/>
  <c r="G1530" i="1"/>
  <c r="F1530" i="1"/>
  <c r="E1530" i="1"/>
  <c r="D1530" i="1"/>
  <c r="C1530" i="1"/>
  <c r="H1529" i="1"/>
  <c r="G1529" i="1"/>
  <c r="F1529" i="1"/>
  <c r="E1529" i="1"/>
  <c r="D1529" i="1"/>
  <c r="C1529" i="1"/>
  <c r="H1528" i="1"/>
  <c r="G1528" i="1"/>
  <c r="F1528" i="1"/>
  <c r="E1528" i="1"/>
  <c r="D1528" i="1"/>
  <c r="C1528" i="1"/>
  <c r="H1527" i="1"/>
  <c r="G1527" i="1"/>
  <c r="F1527" i="1"/>
  <c r="E1527" i="1"/>
  <c r="D1527" i="1"/>
  <c r="C1527" i="1"/>
  <c r="H1526" i="1"/>
  <c r="G1526" i="1"/>
  <c r="F1526" i="1"/>
  <c r="E1526" i="1"/>
  <c r="D1526" i="1"/>
  <c r="C1526" i="1"/>
  <c r="H1525" i="1"/>
  <c r="G1525" i="1"/>
  <c r="F1525" i="1"/>
  <c r="E1525" i="1"/>
  <c r="D1525" i="1"/>
  <c r="C1525" i="1"/>
  <c r="H1524" i="1"/>
  <c r="G1524" i="1"/>
  <c r="F1524" i="1"/>
  <c r="E1524" i="1"/>
  <c r="D1524" i="1"/>
  <c r="C1524" i="1"/>
  <c r="H1523" i="1"/>
  <c r="G1523" i="1"/>
  <c r="F1523" i="1"/>
  <c r="E1523" i="1"/>
  <c r="D1523" i="1"/>
  <c r="C1523" i="1"/>
  <c r="H1522" i="1"/>
  <c r="G1522" i="1"/>
  <c r="F1522" i="1"/>
  <c r="E1522" i="1"/>
  <c r="D1522" i="1"/>
  <c r="C1522" i="1"/>
  <c r="H1521" i="1"/>
  <c r="G1521" i="1"/>
  <c r="F1521" i="1"/>
  <c r="E1521" i="1"/>
  <c r="D1521" i="1"/>
  <c r="C1521" i="1"/>
  <c r="H1520" i="1"/>
  <c r="G1520" i="1"/>
  <c r="F1520" i="1"/>
  <c r="E1520" i="1"/>
  <c r="D1520" i="1"/>
  <c r="C1520" i="1"/>
  <c r="H1519" i="1"/>
  <c r="G1519" i="1"/>
  <c r="F1519" i="1"/>
  <c r="E1519" i="1"/>
  <c r="D1519" i="1"/>
  <c r="C1519" i="1"/>
  <c r="H1518" i="1"/>
  <c r="G1518" i="1"/>
  <c r="F1518" i="1"/>
  <c r="E1518" i="1"/>
  <c r="D1518" i="1"/>
  <c r="C1518" i="1"/>
  <c r="H1517" i="1"/>
  <c r="G1517" i="1"/>
  <c r="F1517" i="1"/>
  <c r="E1517" i="1"/>
  <c r="D1517" i="1"/>
  <c r="C1517" i="1"/>
  <c r="H1516" i="1"/>
  <c r="G1516" i="1"/>
  <c r="F1516" i="1"/>
  <c r="E1516" i="1"/>
  <c r="D1516" i="1"/>
  <c r="C1516" i="1"/>
  <c r="H1515" i="1"/>
  <c r="G1515" i="1"/>
  <c r="F1515" i="1"/>
  <c r="E1515" i="1"/>
  <c r="D1515" i="1"/>
  <c r="C1515" i="1"/>
  <c r="H1514" i="1"/>
  <c r="G1514" i="1"/>
  <c r="F1514" i="1"/>
  <c r="E1514" i="1"/>
  <c r="D1514" i="1"/>
  <c r="C1514" i="1"/>
  <c r="H1513" i="1"/>
  <c r="G1513" i="1"/>
  <c r="F1513" i="1"/>
  <c r="E1513" i="1"/>
  <c r="D1513" i="1"/>
  <c r="C1513" i="1"/>
  <c r="H1512" i="1"/>
  <c r="G1512" i="1"/>
  <c r="F1512" i="1"/>
  <c r="E1512" i="1"/>
  <c r="D1512" i="1"/>
  <c r="C1512" i="1"/>
  <c r="H1511" i="1"/>
  <c r="G1511" i="1"/>
  <c r="F1511" i="1"/>
  <c r="E1511" i="1"/>
  <c r="D1511" i="1"/>
  <c r="C1511" i="1"/>
  <c r="H1510" i="1"/>
  <c r="G1510" i="1"/>
  <c r="F1510" i="1"/>
  <c r="E1510" i="1"/>
  <c r="D1510" i="1"/>
  <c r="C1510" i="1"/>
  <c r="H1509" i="1"/>
  <c r="G1509" i="1"/>
  <c r="F1509" i="1"/>
  <c r="E1509" i="1"/>
  <c r="D1509" i="1"/>
  <c r="C1509" i="1"/>
  <c r="H1508" i="1"/>
  <c r="G1508" i="1"/>
  <c r="F1508" i="1"/>
  <c r="E1508" i="1"/>
  <c r="D1508" i="1"/>
  <c r="C1508" i="1"/>
  <c r="H1507" i="1"/>
  <c r="G1507" i="1"/>
  <c r="F1507" i="1"/>
  <c r="E1507" i="1"/>
  <c r="D1507" i="1"/>
  <c r="C1507" i="1"/>
  <c r="H1506" i="1"/>
  <c r="G1506" i="1"/>
  <c r="F1506" i="1"/>
  <c r="E1506" i="1"/>
  <c r="D1506" i="1"/>
  <c r="C1506" i="1"/>
  <c r="H1505" i="1"/>
  <c r="G1505" i="1"/>
  <c r="F1505" i="1"/>
  <c r="E1505" i="1"/>
  <c r="D1505" i="1"/>
  <c r="C1505" i="1"/>
  <c r="H1504" i="1"/>
  <c r="G1504" i="1"/>
  <c r="F1504" i="1"/>
  <c r="E1504" i="1"/>
  <c r="D1504" i="1"/>
  <c r="C1504" i="1"/>
  <c r="H1503" i="1"/>
  <c r="G1503" i="1"/>
  <c r="F1503" i="1"/>
  <c r="E1503" i="1"/>
  <c r="D1503" i="1"/>
  <c r="C1503" i="1"/>
  <c r="H1502" i="1"/>
  <c r="G1502" i="1"/>
  <c r="F1502" i="1"/>
  <c r="E1502" i="1"/>
  <c r="D1502" i="1"/>
  <c r="C1502" i="1"/>
  <c r="H1501" i="1"/>
  <c r="G1501" i="1"/>
  <c r="F1501" i="1"/>
  <c r="E1501" i="1"/>
  <c r="D1501" i="1"/>
  <c r="C1501" i="1"/>
  <c r="H1500" i="1"/>
  <c r="G1500" i="1"/>
  <c r="F1500" i="1"/>
  <c r="E1500" i="1"/>
  <c r="D1500" i="1"/>
  <c r="C1500" i="1"/>
  <c r="H1499" i="1"/>
  <c r="G1499" i="1"/>
  <c r="F1499" i="1"/>
  <c r="E1499" i="1"/>
  <c r="D1499" i="1"/>
  <c r="C1499" i="1"/>
  <c r="H1498" i="1"/>
  <c r="G1498" i="1"/>
  <c r="F1498" i="1"/>
  <c r="E1498" i="1"/>
  <c r="D1498" i="1"/>
  <c r="C1498" i="1"/>
  <c r="H1497" i="1"/>
  <c r="G1497" i="1"/>
  <c r="F1497" i="1"/>
  <c r="E1497" i="1"/>
  <c r="D1497" i="1"/>
  <c r="C1497" i="1"/>
  <c r="H1496" i="1"/>
  <c r="G1496" i="1"/>
  <c r="F1496" i="1"/>
  <c r="E1496" i="1"/>
  <c r="D1496" i="1"/>
  <c r="C1496" i="1"/>
  <c r="H1495" i="1"/>
  <c r="G1495" i="1"/>
  <c r="F1495" i="1"/>
  <c r="E1495" i="1"/>
  <c r="D1495" i="1"/>
  <c r="C1495" i="1"/>
  <c r="H1494" i="1"/>
  <c r="G1494" i="1"/>
  <c r="F1494" i="1"/>
  <c r="E1494" i="1"/>
  <c r="D1494" i="1"/>
  <c r="C1494" i="1"/>
  <c r="H1493" i="1"/>
  <c r="G1493" i="1"/>
  <c r="F1493" i="1"/>
  <c r="E1493" i="1"/>
  <c r="D1493" i="1"/>
  <c r="C1493" i="1"/>
  <c r="H1492" i="1"/>
  <c r="G1492" i="1"/>
  <c r="F1492" i="1"/>
  <c r="E1492" i="1"/>
  <c r="D1492" i="1"/>
  <c r="C1492" i="1"/>
  <c r="H1491" i="1"/>
  <c r="G1491" i="1"/>
  <c r="F1491" i="1"/>
  <c r="E1491" i="1"/>
  <c r="D1491" i="1"/>
  <c r="C1491" i="1"/>
  <c r="H1490" i="1"/>
  <c r="G1490" i="1"/>
  <c r="F1490" i="1"/>
  <c r="E1490" i="1"/>
  <c r="D1490" i="1"/>
  <c r="C1490" i="1"/>
  <c r="H1489" i="1"/>
  <c r="G1489" i="1"/>
  <c r="F1489" i="1"/>
  <c r="E1489" i="1"/>
  <c r="D1489" i="1"/>
  <c r="C1489" i="1"/>
  <c r="H1488" i="1"/>
  <c r="G1488" i="1"/>
  <c r="F1488" i="1"/>
  <c r="E1488" i="1"/>
  <c r="D1488" i="1"/>
  <c r="C1488" i="1"/>
  <c r="H1487" i="1"/>
  <c r="G1487" i="1"/>
  <c r="F1487" i="1"/>
  <c r="E1487" i="1"/>
  <c r="D1487" i="1"/>
  <c r="C1487" i="1"/>
  <c r="H1486" i="1"/>
  <c r="G1486" i="1"/>
  <c r="F1486" i="1"/>
  <c r="E1486" i="1"/>
  <c r="D1486" i="1"/>
  <c r="C1486" i="1"/>
  <c r="H1485" i="1"/>
  <c r="G1485" i="1"/>
  <c r="F1485" i="1"/>
  <c r="E1485" i="1"/>
  <c r="D1485" i="1"/>
  <c r="C1485" i="1"/>
  <c r="H1484" i="1"/>
  <c r="G1484" i="1"/>
  <c r="F1484" i="1"/>
  <c r="E1484" i="1"/>
  <c r="D1484" i="1"/>
  <c r="C1484" i="1"/>
  <c r="H1483" i="1"/>
  <c r="G1483" i="1"/>
  <c r="F1483" i="1"/>
  <c r="E1483" i="1"/>
  <c r="D1483" i="1"/>
  <c r="C1483" i="1"/>
  <c r="H1482" i="1"/>
  <c r="G1482" i="1"/>
  <c r="F1482" i="1"/>
  <c r="E1482" i="1"/>
  <c r="D1482" i="1"/>
  <c r="C1482" i="1"/>
  <c r="H1481" i="1"/>
  <c r="G1481" i="1"/>
  <c r="F1481" i="1"/>
  <c r="E1481" i="1"/>
  <c r="D1481" i="1"/>
  <c r="C1481" i="1"/>
  <c r="H1480" i="1"/>
  <c r="G1480" i="1"/>
  <c r="F1480" i="1"/>
  <c r="E1480" i="1"/>
  <c r="D1480" i="1"/>
  <c r="C1480" i="1"/>
  <c r="H1479" i="1"/>
  <c r="G1479" i="1"/>
  <c r="F1479" i="1"/>
  <c r="E1479" i="1"/>
  <c r="D1479" i="1"/>
  <c r="C1479" i="1"/>
  <c r="H1478" i="1"/>
  <c r="G1478" i="1"/>
  <c r="F1478" i="1"/>
  <c r="E1478" i="1"/>
  <c r="D1478" i="1"/>
  <c r="C1478" i="1"/>
  <c r="H1477" i="1"/>
  <c r="G1477" i="1"/>
  <c r="F1477" i="1"/>
  <c r="E1477" i="1"/>
  <c r="D1477" i="1"/>
  <c r="C1477" i="1"/>
  <c r="H1476" i="1"/>
  <c r="G1476" i="1"/>
  <c r="F1476" i="1"/>
  <c r="E1476" i="1"/>
  <c r="D1476" i="1"/>
  <c r="C1476" i="1"/>
  <c r="H1475" i="1"/>
  <c r="G1475" i="1"/>
  <c r="F1475" i="1"/>
  <c r="E1475" i="1"/>
  <c r="D1475" i="1"/>
  <c r="C1475" i="1"/>
  <c r="H1474" i="1"/>
  <c r="G1474" i="1"/>
  <c r="F1474" i="1"/>
  <c r="E1474" i="1"/>
  <c r="D1474" i="1"/>
  <c r="C1474" i="1"/>
  <c r="H1473" i="1"/>
  <c r="G1473" i="1"/>
  <c r="F1473" i="1"/>
  <c r="E1473" i="1"/>
  <c r="D1473" i="1"/>
  <c r="C1473" i="1"/>
  <c r="H1472" i="1"/>
  <c r="G1472" i="1"/>
  <c r="F1472" i="1"/>
  <c r="E1472" i="1"/>
  <c r="D1472" i="1"/>
  <c r="C1472" i="1"/>
  <c r="H1471" i="1"/>
  <c r="G1471" i="1"/>
  <c r="F1471" i="1"/>
  <c r="E1471" i="1"/>
  <c r="D1471" i="1"/>
  <c r="C1471" i="1"/>
  <c r="H1470" i="1"/>
  <c r="G1470" i="1"/>
  <c r="F1470" i="1"/>
  <c r="E1470" i="1"/>
  <c r="D1470" i="1"/>
  <c r="C1470" i="1"/>
  <c r="H1469" i="1"/>
  <c r="G1469" i="1"/>
  <c r="F1469" i="1"/>
  <c r="E1469" i="1"/>
  <c r="D1469" i="1"/>
  <c r="C1469" i="1"/>
  <c r="H1468" i="1"/>
  <c r="G1468" i="1"/>
  <c r="F1468" i="1"/>
  <c r="E1468" i="1"/>
  <c r="D1468" i="1"/>
  <c r="C1468" i="1"/>
  <c r="H1467" i="1"/>
  <c r="G1467" i="1"/>
  <c r="F1467" i="1"/>
  <c r="E1467" i="1"/>
  <c r="D1467" i="1"/>
  <c r="C1467" i="1"/>
  <c r="H1466" i="1"/>
  <c r="G1466" i="1"/>
  <c r="F1466" i="1"/>
  <c r="E1466" i="1"/>
  <c r="D1466" i="1"/>
  <c r="C1466" i="1"/>
  <c r="H1465" i="1"/>
  <c r="G1465" i="1"/>
  <c r="F1465" i="1"/>
  <c r="E1465" i="1"/>
  <c r="D1465" i="1"/>
  <c r="C1465" i="1"/>
  <c r="H1464" i="1"/>
  <c r="G1464" i="1"/>
  <c r="F1464" i="1"/>
  <c r="E1464" i="1"/>
  <c r="D1464" i="1"/>
  <c r="C1464" i="1"/>
  <c r="H1463" i="1"/>
  <c r="G1463" i="1"/>
  <c r="F1463" i="1"/>
  <c r="E1463" i="1"/>
  <c r="D1463" i="1"/>
  <c r="C1463" i="1"/>
  <c r="H1462" i="1"/>
  <c r="G1462" i="1"/>
  <c r="F1462" i="1"/>
  <c r="E1462" i="1"/>
  <c r="D1462" i="1"/>
  <c r="C1462" i="1"/>
  <c r="H1461" i="1"/>
  <c r="G1461" i="1"/>
  <c r="F1461" i="1"/>
  <c r="E1461" i="1"/>
  <c r="D1461" i="1"/>
  <c r="C1461" i="1"/>
  <c r="H1460" i="1"/>
  <c r="G1460" i="1"/>
  <c r="F1460" i="1"/>
  <c r="E1460" i="1"/>
  <c r="D1460" i="1"/>
  <c r="C1460" i="1"/>
  <c r="H1459" i="1"/>
  <c r="G1459" i="1"/>
  <c r="F1459" i="1"/>
  <c r="E1459" i="1"/>
  <c r="D1459" i="1"/>
  <c r="C1459" i="1"/>
  <c r="H1458" i="1"/>
  <c r="G1458" i="1"/>
  <c r="F1458" i="1"/>
  <c r="E1458" i="1"/>
  <c r="D1458" i="1"/>
  <c r="C1458" i="1"/>
  <c r="H1457" i="1"/>
  <c r="G1457" i="1"/>
  <c r="F1457" i="1"/>
  <c r="E1457" i="1"/>
  <c r="D1457" i="1"/>
  <c r="C1457" i="1"/>
  <c r="H1456" i="1"/>
  <c r="G1456" i="1"/>
  <c r="F1456" i="1"/>
  <c r="E1456" i="1"/>
  <c r="D1456" i="1"/>
  <c r="C1456" i="1"/>
  <c r="H1455" i="1"/>
  <c r="G1455" i="1"/>
  <c r="F1455" i="1"/>
  <c r="E1455" i="1"/>
  <c r="D1455" i="1"/>
  <c r="C1455" i="1"/>
  <c r="H1454" i="1"/>
  <c r="G1454" i="1"/>
  <c r="F1454" i="1"/>
  <c r="E1454" i="1"/>
  <c r="D1454" i="1"/>
  <c r="C1454" i="1"/>
  <c r="H1453" i="1"/>
  <c r="G1453" i="1"/>
  <c r="F1453" i="1"/>
  <c r="E1453" i="1"/>
  <c r="D1453" i="1"/>
  <c r="C1453" i="1"/>
  <c r="H1452" i="1"/>
  <c r="G1452" i="1"/>
  <c r="F1452" i="1"/>
  <c r="E1452" i="1"/>
  <c r="D1452" i="1"/>
  <c r="C1452" i="1"/>
  <c r="H1451" i="1"/>
  <c r="G1451" i="1"/>
  <c r="F1451" i="1"/>
  <c r="E1451" i="1"/>
  <c r="D1451" i="1"/>
  <c r="C1451" i="1"/>
  <c r="H1450" i="1"/>
  <c r="G1450" i="1"/>
  <c r="F1450" i="1"/>
  <c r="E1450" i="1"/>
  <c r="D1450" i="1"/>
  <c r="C1450" i="1"/>
  <c r="H1449" i="1"/>
  <c r="G1449" i="1"/>
  <c r="F1449" i="1"/>
  <c r="E1449" i="1"/>
  <c r="D1449" i="1"/>
  <c r="C1449" i="1"/>
  <c r="H1448" i="1"/>
  <c r="G1448" i="1"/>
  <c r="F1448" i="1"/>
  <c r="E1448" i="1"/>
  <c r="D1448" i="1"/>
  <c r="C1448" i="1"/>
  <c r="H1447" i="1"/>
  <c r="G1447" i="1"/>
  <c r="F1447" i="1"/>
  <c r="E1447" i="1"/>
  <c r="D1447" i="1"/>
  <c r="C1447" i="1"/>
  <c r="H1446" i="1"/>
  <c r="G1446" i="1"/>
  <c r="F1446" i="1"/>
  <c r="E1446" i="1"/>
  <c r="D1446" i="1"/>
  <c r="C1446" i="1"/>
  <c r="H1445" i="1"/>
  <c r="G1445" i="1"/>
  <c r="F1445" i="1"/>
  <c r="E1445" i="1"/>
  <c r="D1445" i="1"/>
  <c r="C1445" i="1"/>
  <c r="H1444" i="1"/>
  <c r="G1444" i="1"/>
  <c r="F1444" i="1"/>
  <c r="E1444" i="1"/>
  <c r="D1444" i="1"/>
  <c r="C1444" i="1"/>
  <c r="H1443" i="1"/>
  <c r="G1443" i="1"/>
  <c r="F1443" i="1"/>
  <c r="E1443" i="1"/>
  <c r="D1443" i="1"/>
  <c r="C1443" i="1"/>
  <c r="H1442" i="1"/>
  <c r="G1442" i="1"/>
  <c r="F1442" i="1"/>
  <c r="E1442" i="1"/>
  <c r="D1442" i="1"/>
  <c r="C1442" i="1"/>
  <c r="H1441" i="1"/>
  <c r="G1441" i="1"/>
  <c r="F1441" i="1"/>
  <c r="E1441" i="1"/>
  <c r="D1441" i="1"/>
  <c r="C1441" i="1"/>
  <c r="H1440" i="1"/>
  <c r="G1440" i="1"/>
  <c r="F1440" i="1"/>
  <c r="E1440" i="1"/>
  <c r="D1440" i="1"/>
  <c r="C1440" i="1"/>
  <c r="H1439" i="1"/>
  <c r="G1439" i="1"/>
  <c r="F1439" i="1"/>
  <c r="E1439" i="1"/>
  <c r="D1439" i="1"/>
  <c r="C1439" i="1"/>
  <c r="H1438" i="1"/>
  <c r="G1438" i="1"/>
  <c r="F1438" i="1"/>
  <c r="E1438" i="1"/>
  <c r="D1438" i="1"/>
  <c r="C1438" i="1"/>
  <c r="H1437" i="1"/>
  <c r="G1437" i="1"/>
  <c r="F1437" i="1"/>
  <c r="E1437" i="1"/>
  <c r="D1437" i="1"/>
  <c r="C1437" i="1"/>
  <c r="H1436" i="1"/>
  <c r="G1436" i="1"/>
  <c r="F1436" i="1"/>
  <c r="E1436" i="1"/>
  <c r="D1436" i="1"/>
  <c r="C1436" i="1"/>
  <c r="H1435" i="1"/>
  <c r="G1435" i="1"/>
  <c r="F1435" i="1"/>
  <c r="E1435" i="1"/>
  <c r="D1435" i="1"/>
  <c r="C1435" i="1"/>
  <c r="H1434" i="1"/>
  <c r="G1434" i="1"/>
  <c r="F1434" i="1"/>
  <c r="E1434" i="1"/>
  <c r="D1434" i="1"/>
  <c r="C1434" i="1"/>
  <c r="H1433" i="1"/>
  <c r="G1433" i="1"/>
  <c r="F1433" i="1"/>
  <c r="E1433" i="1"/>
  <c r="D1433" i="1"/>
  <c r="C1433" i="1"/>
  <c r="H1432" i="1"/>
  <c r="G1432" i="1"/>
  <c r="F1432" i="1"/>
  <c r="E1432" i="1"/>
  <c r="D1432" i="1"/>
  <c r="C1432" i="1"/>
  <c r="H1431" i="1"/>
  <c r="G1431" i="1"/>
  <c r="F1431" i="1"/>
  <c r="E1431" i="1"/>
  <c r="D1431" i="1"/>
  <c r="C1431" i="1"/>
  <c r="H1430" i="1"/>
  <c r="G1430" i="1"/>
  <c r="F1430" i="1"/>
  <c r="E1430" i="1"/>
  <c r="D1430" i="1"/>
  <c r="C1430" i="1"/>
  <c r="H1429" i="1"/>
  <c r="G1429" i="1"/>
  <c r="F1429" i="1"/>
  <c r="E1429" i="1"/>
  <c r="D1429" i="1"/>
  <c r="C1429" i="1"/>
  <c r="H1428" i="1"/>
  <c r="G1428" i="1"/>
  <c r="F1428" i="1"/>
  <c r="E1428" i="1"/>
  <c r="D1428" i="1"/>
  <c r="C1428" i="1"/>
  <c r="H1427" i="1"/>
  <c r="G1427" i="1"/>
  <c r="F1427" i="1"/>
  <c r="E1427" i="1"/>
  <c r="D1427" i="1"/>
  <c r="C1427" i="1"/>
  <c r="H1426" i="1"/>
  <c r="G1426" i="1"/>
  <c r="F1426" i="1"/>
  <c r="E1426" i="1"/>
  <c r="D1426" i="1"/>
  <c r="C1426" i="1"/>
  <c r="H1425" i="1"/>
  <c r="G1425" i="1"/>
  <c r="F1425" i="1"/>
  <c r="E1425" i="1"/>
  <c r="D1425" i="1"/>
  <c r="C1425" i="1"/>
  <c r="H1424" i="1"/>
  <c r="G1424" i="1"/>
  <c r="F1424" i="1"/>
  <c r="E1424" i="1"/>
  <c r="D1424" i="1"/>
  <c r="C1424" i="1"/>
  <c r="H1423" i="1"/>
  <c r="G1423" i="1"/>
  <c r="F1423" i="1"/>
  <c r="E1423" i="1"/>
  <c r="D1423" i="1"/>
  <c r="C1423" i="1"/>
  <c r="H1422" i="1"/>
  <c r="G1422" i="1"/>
  <c r="F1422" i="1"/>
  <c r="E1422" i="1"/>
  <c r="D1422" i="1"/>
  <c r="C1422" i="1"/>
  <c r="H1421" i="1"/>
  <c r="G1421" i="1"/>
  <c r="F1421" i="1"/>
  <c r="E1421" i="1"/>
  <c r="D1421" i="1"/>
  <c r="C1421" i="1"/>
  <c r="H1420" i="1"/>
  <c r="G1420" i="1"/>
  <c r="F1420" i="1"/>
  <c r="E1420" i="1"/>
  <c r="D1420" i="1"/>
  <c r="C1420" i="1"/>
  <c r="H1419" i="1"/>
  <c r="G1419" i="1"/>
  <c r="F1419" i="1"/>
  <c r="E1419" i="1"/>
  <c r="D1419" i="1"/>
  <c r="C1419" i="1"/>
  <c r="H1418" i="1"/>
  <c r="G1418" i="1"/>
  <c r="F1418" i="1"/>
  <c r="E1418" i="1"/>
  <c r="D1418" i="1"/>
  <c r="C1418" i="1"/>
  <c r="H1417" i="1"/>
  <c r="G1417" i="1"/>
  <c r="F1417" i="1"/>
  <c r="E1417" i="1"/>
  <c r="D1417" i="1"/>
  <c r="C1417" i="1"/>
  <c r="H1416" i="1"/>
  <c r="G1416" i="1"/>
  <c r="F1416" i="1"/>
  <c r="E1416" i="1"/>
  <c r="D1416" i="1"/>
  <c r="C1416" i="1"/>
  <c r="H1415" i="1"/>
  <c r="G1415" i="1"/>
  <c r="F1415" i="1"/>
  <c r="E1415" i="1"/>
  <c r="D1415" i="1"/>
  <c r="C1415" i="1"/>
  <c r="H1414" i="1"/>
  <c r="G1414" i="1"/>
  <c r="F1414" i="1"/>
  <c r="E1414" i="1"/>
  <c r="D1414" i="1"/>
  <c r="C1414" i="1"/>
  <c r="H1413" i="1"/>
  <c r="G1413" i="1"/>
  <c r="F1413" i="1"/>
  <c r="E1413" i="1"/>
  <c r="D1413" i="1"/>
  <c r="C1413" i="1"/>
  <c r="H1412" i="1"/>
  <c r="G1412" i="1"/>
  <c r="F1412" i="1"/>
  <c r="E1412" i="1"/>
  <c r="D1412" i="1"/>
  <c r="C1412" i="1"/>
  <c r="H1411" i="1"/>
  <c r="G1411" i="1"/>
  <c r="F1411" i="1"/>
  <c r="E1411" i="1"/>
  <c r="D1411" i="1"/>
  <c r="C1411" i="1"/>
  <c r="H1410" i="1"/>
  <c r="G1410" i="1"/>
  <c r="F1410" i="1"/>
  <c r="E1410" i="1"/>
  <c r="D1410" i="1"/>
  <c r="C1410" i="1"/>
  <c r="H1409" i="1"/>
  <c r="G1409" i="1"/>
  <c r="F1409" i="1"/>
  <c r="E1409" i="1"/>
  <c r="D1409" i="1"/>
  <c r="C1409" i="1"/>
  <c r="H1408" i="1"/>
  <c r="G1408" i="1"/>
  <c r="F1408" i="1"/>
  <c r="E1408" i="1"/>
  <c r="D1408" i="1"/>
  <c r="C1408" i="1"/>
  <c r="H1407" i="1"/>
  <c r="G1407" i="1"/>
  <c r="F1407" i="1"/>
  <c r="E1407" i="1"/>
  <c r="D1407" i="1"/>
  <c r="C1407" i="1"/>
  <c r="H1406" i="1"/>
  <c r="G1406" i="1"/>
  <c r="F1406" i="1"/>
  <c r="E1406" i="1"/>
  <c r="D1406" i="1"/>
  <c r="C1406" i="1"/>
  <c r="H1405" i="1"/>
  <c r="G1405" i="1"/>
  <c r="F1405" i="1"/>
  <c r="E1405" i="1"/>
  <c r="D1405" i="1"/>
  <c r="C1405" i="1"/>
  <c r="H1404" i="1"/>
  <c r="G1404" i="1"/>
  <c r="F1404" i="1"/>
  <c r="E1404" i="1"/>
  <c r="D1404" i="1"/>
  <c r="C1404" i="1"/>
  <c r="H1403" i="1"/>
  <c r="G1403" i="1"/>
  <c r="F1403" i="1"/>
  <c r="E1403" i="1"/>
  <c r="D1403" i="1"/>
  <c r="C1403" i="1"/>
  <c r="H1402" i="1"/>
  <c r="G1402" i="1"/>
  <c r="F1402" i="1"/>
  <c r="E1402" i="1"/>
  <c r="D1402" i="1"/>
  <c r="C1402" i="1"/>
  <c r="H1401" i="1"/>
  <c r="G1401" i="1"/>
  <c r="F1401" i="1"/>
  <c r="E1401" i="1"/>
  <c r="D1401" i="1"/>
  <c r="C1401" i="1"/>
  <c r="H1400" i="1"/>
  <c r="G1400" i="1"/>
  <c r="F1400" i="1"/>
  <c r="E1400" i="1"/>
  <c r="D1400" i="1"/>
  <c r="C1400" i="1"/>
  <c r="H1399" i="1"/>
  <c r="G1399" i="1"/>
  <c r="F1399" i="1"/>
  <c r="E1399" i="1"/>
  <c r="D1399" i="1"/>
  <c r="C1399" i="1"/>
  <c r="H1398" i="1"/>
  <c r="G1398" i="1"/>
  <c r="F1398" i="1"/>
  <c r="E1398" i="1"/>
  <c r="D1398" i="1"/>
  <c r="C1398" i="1"/>
  <c r="H1397" i="1"/>
  <c r="G1397" i="1"/>
  <c r="F1397" i="1"/>
  <c r="E1397" i="1"/>
  <c r="D1397" i="1"/>
  <c r="C1397" i="1"/>
  <c r="H1396" i="1"/>
  <c r="G1396" i="1"/>
  <c r="F1396" i="1"/>
  <c r="E1396" i="1"/>
  <c r="D1396" i="1"/>
  <c r="C1396" i="1"/>
  <c r="H1395" i="1"/>
  <c r="G1395" i="1"/>
  <c r="F1395" i="1"/>
  <c r="E1395" i="1"/>
  <c r="D1395" i="1"/>
  <c r="C1395" i="1"/>
  <c r="H1394" i="1"/>
  <c r="G1394" i="1"/>
  <c r="F1394" i="1"/>
  <c r="E1394" i="1"/>
  <c r="D1394" i="1"/>
  <c r="C1394" i="1"/>
  <c r="H1393" i="1"/>
  <c r="G1393" i="1"/>
  <c r="F1393" i="1"/>
  <c r="E1393" i="1"/>
  <c r="D1393" i="1"/>
  <c r="C1393" i="1"/>
  <c r="H1392" i="1"/>
  <c r="G1392" i="1"/>
  <c r="F1392" i="1"/>
  <c r="E1392" i="1"/>
  <c r="D1392" i="1"/>
  <c r="C1392" i="1"/>
  <c r="H1391" i="1"/>
  <c r="G1391" i="1"/>
  <c r="F1391" i="1"/>
  <c r="E1391" i="1"/>
  <c r="D1391" i="1"/>
  <c r="C1391" i="1"/>
  <c r="H1390" i="1"/>
  <c r="G1390" i="1"/>
  <c r="F1390" i="1"/>
  <c r="E1390" i="1"/>
  <c r="D1390" i="1"/>
  <c r="C1390" i="1"/>
  <c r="H1389" i="1"/>
  <c r="G1389" i="1"/>
  <c r="F1389" i="1"/>
  <c r="E1389" i="1"/>
  <c r="D1389" i="1"/>
  <c r="C1389" i="1"/>
  <c r="H1388" i="1"/>
  <c r="G1388" i="1"/>
  <c r="F1388" i="1"/>
  <c r="E1388" i="1"/>
  <c r="D1388" i="1"/>
  <c r="C1388" i="1"/>
  <c r="H1387" i="1"/>
  <c r="G1387" i="1"/>
  <c r="F1387" i="1"/>
  <c r="E1387" i="1"/>
  <c r="D1387" i="1"/>
  <c r="C1387" i="1"/>
  <c r="H1386" i="1"/>
  <c r="G1386" i="1"/>
  <c r="F1386" i="1"/>
  <c r="E1386" i="1"/>
  <c r="D1386" i="1"/>
  <c r="C1386" i="1"/>
  <c r="H1385" i="1"/>
  <c r="G1385" i="1"/>
  <c r="F1385" i="1"/>
  <c r="E1385" i="1"/>
  <c r="D1385" i="1"/>
  <c r="C1385" i="1"/>
  <c r="H1384" i="1"/>
  <c r="G1384" i="1"/>
  <c r="F1384" i="1"/>
  <c r="E1384" i="1"/>
  <c r="D1384" i="1"/>
  <c r="C1384" i="1"/>
  <c r="H1383" i="1"/>
  <c r="G1383" i="1"/>
  <c r="F1383" i="1"/>
  <c r="E1383" i="1"/>
  <c r="D1383" i="1"/>
  <c r="C1383" i="1"/>
  <c r="H1382" i="1"/>
  <c r="G1382" i="1"/>
  <c r="F1382" i="1"/>
  <c r="E1382" i="1"/>
  <c r="D1382" i="1"/>
  <c r="C1382" i="1"/>
  <c r="H1381" i="1"/>
  <c r="G1381" i="1"/>
  <c r="F1381" i="1"/>
  <c r="E1381" i="1"/>
  <c r="D1381" i="1"/>
  <c r="C1381" i="1"/>
  <c r="H1380" i="1"/>
  <c r="G1380" i="1"/>
  <c r="F1380" i="1"/>
  <c r="E1380" i="1"/>
  <c r="D1380" i="1"/>
  <c r="C1380" i="1"/>
  <c r="H1379" i="1"/>
  <c r="G1379" i="1"/>
  <c r="F1379" i="1"/>
  <c r="E1379" i="1"/>
  <c r="D1379" i="1"/>
  <c r="C1379" i="1"/>
  <c r="H1378" i="1"/>
  <c r="G1378" i="1"/>
  <c r="F1378" i="1"/>
  <c r="E1378" i="1"/>
  <c r="D1378" i="1"/>
  <c r="C1378" i="1"/>
  <c r="H1377" i="1"/>
  <c r="G1377" i="1"/>
  <c r="F1377" i="1"/>
  <c r="E1377" i="1"/>
  <c r="D1377" i="1"/>
  <c r="C1377" i="1"/>
  <c r="H1376" i="1"/>
  <c r="G1376" i="1"/>
  <c r="F1376" i="1"/>
  <c r="E1376" i="1"/>
  <c r="D1376" i="1"/>
  <c r="C1376" i="1"/>
  <c r="H1375" i="1"/>
  <c r="G1375" i="1"/>
  <c r="F1375" i="1"/>
  <c r="E1375" i="1"/>
  <c r="D1375" i="1"/>
  <c r="C1375" i="1"/>
  <c r="H1374" i="1"/>
  <c r="G1374" i="1"/>
  <c r="F1374" i="1"/>
  <c r="E1374" i="1"/>
  <c r="D1374" i="1"/>
  <c r="C1374" i="1"/>
  <c r="H1373" i="1"/>
  <c r="G1373" i="1"/>
  <c r="F1373" i="1"/>
  <c r="E1373" i="1"/>
  <c r="D1373" i="1"/>
  <c r="C1373" i="1"/>
  <c r="H1372" i="1"/>
  <c r="G1372" i="1"/>
  <c r="F1372" i="1"/>
  <c r="E1372" i="1"/>
  <c r="D1372" i="1"/>
  <c r="C1372" i="1"/>
  <c r="H1371" i="1"/>
  <c r="G1371" i="1"/>
  <c r="F1371" i="1"/>
  <c r="E1371" i="1"/>
  <c r="D1371" i="1"/>
  <c r="C1371" i="1"/>
  <c r="H1370" i="1"/>
  <c r="G1370" i="1"/>
  <c r="F1370" i="1"/>
  <c r="E1370" i="1"/>
  <c r="D1370" i="1"/>
  <c r="C1370" i="1"/>
  <c r="H1369" i="1"/>
  <c r="G1369" i="1"/>
  <c r="F1369" i="1"/>
  <c r="E1369" i="1"/>
  <c r="D1369" i="1"/>
  <c r="C1369" i="1"/>
  <c r="H1368" i="1"/>
  <c r="G1368" i="1"/>
  <c r="F1368" i="1"/>
  <c r="E1368" i="1"/>
  <c r="D1368" i="1"/>
  <c r="C1368" i="1"/>
  <c r="H1367" i="1"/>
  <c r="G1367" i="1"/>
  <c r="F1367" i="1"/>
  <c r="E1367" i="1"/>
  <c r="D1367" i="1"/>
  <c r="C1367" i="1"/>
  <c r="H1366" i="1"/>
  <c r="G1366" i="1"/>
  <c r="F1366" i="1"/>
  <c r="E1366" i="1"/>
  <c r="D1366" i="1"/>
  <c r="C1366" i="1"/>
  <c r="H1365" i="1"/>
  <c r="G1365" i="1"/>
  <c r="F1365" i="1"/>
  <c r="E1365" i="1"/>
  <c r="D1365" i="1"/>
  <c r="C1365" i="1"/>
  <c r="H1364" i="1"/>
  <c r="G1364" i="1"/>
  <c r="F1364" i="1"/>
  <c r="E1364" i="1"/>
  <c r="D1364" i="1"/>
  <c r="C1364" i="1"/>
  <c r="H1363" i="1"/>
  <c r="G1363" i="1"/>
  <c r="F1363" i="1"/>
  <c r="E1363" i="1"/>
  <c r="D1363" i="1"/>
  <c r="C1363" i="1"/>
  <c r="H1362" i="1"/>
  <c r="G1362" i="1"/>
  <c r="F1362" i="1"/>
  <c r="E1362" i="1"/>
  <c r="D1362" i="1"/>
  <c r="C1362" i="1"/>
  <c r="H1361" i="1"/>
  <c r="G1361" i="1"/>
  <c r="F1361" i="1"/>
  <c r="E1361" i="1"/>
  <c r="D1361" i="1"/>
  <c r="C1361" i="1"/>
  <c r="H1360" i="1"/>
  <c r="G1360" i="1"/>
  <c r="F1360" i="1"/>
  <c r="E1360" i="1"/>
  <c r="D1360" i="1"/>
  <c r="C1360" i="1"/>
  <c r="H1359" i="1"/>
  <c r="G1359" i="1"/>
  <c r="F1359" i="1"/>
  <c r="E1359" i="1"/>
  <c r="D1359" i="1"/>
  <c r="C1359" i="1"/>
  <c r="H1358" i="1"/>
  <c r="G1358" i="1"/>
  <c r="F1358" i="1"/>
  <c r="E1358" i="1"/>
  <c r="D1358" i="1"/>
  <c r="C1358" i="1"/>
  <c r="H1357" i="1"/>
  <c r="G1357" i="1"/>
  <c r="F1357" i="1"/>
  <c r="E1357" i="1"/>
  <c r="D1357" i="1"/>
  <c r="C1357" i="1"/>
  <c r="H1356" i="1"/>
  <c r="G1356" i="1"/>
  <c r="F1356" i="1"/>
  <c r="E1356" i="1"/>
  <c r="D1356" i="1"/>
  <c r="C1356" i="1"/>
  <c r="H1355" i="1"/>
  <c r="G1355" i="1"/>
  <c r="F1355" i="1"/>
  <c r="E1355" i="1"/>
  <c r="D1355" i="1"/>
  <c r="C1355" i="1"/>
  <c r="H1354" i="1"/>
  <c r="G1354" i="1"/>
  <c r="F1354" i="1"/>
  <c r="E1354" i="1"/>
  <c r="D1354" i="1"/>
  <c r="C1354" i="1"/>
  <c r="H1353" i="1"/>
  <c r="G1353" i="1"/>
  <c r="F1353" i="1"/>
  <c r="E1353" i="1"/>
  <c r="D1353" i="1"/>
  <c r="C1353" i="1"/>
  <c r="H1352" i="1"/>
  <c r="G1352" i="1"/>
  <c r="F1352" i="1"/>
  <c r="E1352" i="1"/>
  <c r="D1352" i="1"/>
  <c r="C1352" i="1"/>
  <c r="H1351" i="1"/>
  <c r="G1351" i="1"/>
  <c r="F1351" i="1"/>
  <c r="E1351" i="1"/>
  <c r="D1351" i="1"/>
  <c r="C1351" i="1"/>
  <c r="H1350" i="1"/>
  <c r="G1350" i="1"/>
  <c r="F1350" i="1"/>
  <c r="E1350" i="1"/>
  <c r="D1350" i="1"/>
  <c r="C1350" i="1"/>
  <c r="H1349" i="1"/>
  <c r="G1349" i="1"/>
  <c r="F1349" i="1"/>
  <c r="E1349" i="1"/>
  <c r="D1349" i="1"/>
  <c r="C1349" i="1"/>
  <c r="H1348" i="1"/>
  <c r="G1348" i="1"/>
  <c r="F1348" i="1"/>
  <c r="E1348" i="1"/>
  <c r="D1348" i="1"/>
  <c r="C1348" i="1"/>
  <c r="H1347" i="1"/>
  <c r="G1347" i="1"/>
  <c r="F1347" i="1"/>
  <c r="E1347" i="1"/>
  <c r="D1347" i="1"/>
  <c r="C1347" i="1"/>
  <c r="H1346" i="1"/>
  <c r="G1346" i="1"/>
  <c r="F1346" i="1"/>
  <c r="E1346" i="1"/>
  <c r="D1346" i="1"/>
  <c r="C1346" i="1"/>
  <c r="H1345" i="1"/>
  <c r="G1345" i="1"/>
  <c r="F1345" i="1"/>
  <c r="E1345" i="1"/>
  <c r="D1345" i="1"/>
  <c r="C1345" i="1"/>
  <c r="H1344" i="1"/>
  <c r="G1344" i="1"/>
  <c r="F1344" i="1"/>
  <c r="E1344" i="1"/>
  <c r="D1344" i="1"/>
  <c r="C1344" i="1"/>
  <c r="H1343" i="1"/>
  <c r="G1343" i="1"/>
  <c r="F1343" i="1"/>
  <c r="E1343" i="1"/>
  <c r="D1343" i="1"/>
  <c r="C1343" i="1"/>
  <c r="H1342" i="1"/>
  <c r="G1342" i="1"/>
  <c r="F1342" i="1"/>
  <c r="E1342" i="1"/>
  <c r="D1342" i="1"/>
  <c r="C1342" i="1"/>
  <c r="H1341" i="1"/>
  <c r="G1341" i="1"/>
  <c r="F1341" i="1"/>
  <c r="E1341" i="1"/>
  <c r="D1341" i="1"/>
  <c r="C1341" i="1"/>
  <c r="H1340" i="1"/>
  <c r="G1340" i="1"/>
  <c r="F1340" i="1"/>
  <c r="E1340" i="1"/>
  <c r="D1340" i="1"/>
  <c r="C1340" i="1"/>
  <c r="H1339" i="1"/>
  <c r="G1339" i="1"/>
  <c r="F1339" i="1"/>
  <c r="E1339" i="1"/>
  <c r="D1339" i="1"/>
  <c r="C1339" i="1"/>
  <c r="H1338" i="1"/>
  <c r="G1338" i="1"/>
  <c r="F1338" i="1"/>
  <c r="E1338" i="1"/>
  <c r="D1338" i="1"/>
  <c r="C1338" i="1"/>
  <c r="H1337" i="1"/>
  <c r="G1337" i="1"/>
  <c r="F1337" i="1"/>
  <c r="E1337" i="1"/>
  <c r="D1337" i="1"/>
  <c r="C1337" i="1"/>
  <c r="H1336" i="1"/>
  <c r="G1336" i="1"/>
  <c r="F1336" i="1"/>
  <c r="E1336" i="1"/>
  <c r="D1336" i="1"/>
  <c r="C1336" i="1"/>
  <c r="H1335" i="1"/>
  <c r="G1335" i="1"/>
  <c r="F1335" i="1"/>
  <c r="E1335" i="1"/>
  <c r="D1335" i="1"/>
  <c r="C1335" i="1"/>
  <c r="H1334" i="1"/>
  <c r="G1334" i="1"/>
  <c r="F1334" i="1"/>
  <c r="E1334" i="1"/>
  <c r="D1334" i="1"/>
  <c r="C1334" i="1"/>
  <c r="H1333" i="1"/>
  <c r="G1333" i="1"/>
  <c r="F1333" i="1"/>
  <c r="E1333" i="1"/>
  <c r="D1333" i="1"/>
  <c r="C1333" i="1"/>
  <c r="H1332" i="1"/>
  <c r="G1332" i="1"/>
  <c r="F1332" i="1"/>
  <c r="E1332" i="1"/>
  <c r="D1332" i="1"/>
  <c r="C1332" i="1"/>
  <c r="H1331" i="1"/>
  <c r="G1331" i="1"/>
  <c r="F1331" i="1"/>
  <c r="E1331" i="1"/>
  <c r="D1331" i="1"/>
  <c r="C1331" i="1"/>
  <c r="H1330" i="1"/>
  <c r="G1330" i="1"/>
  <c r="F1330" i="1"/>
  <c r="E1330" i="1"/>
  <c r="D1330" i="1"/>
  <c r="C1330" i="1"/>
  <c r="H1329" i="1"/>
  <c r="G1329" i="1"/>
  <c r="F1329" i="1"/>
  <c r="E1329" i="1"/>
  <c r="D1329" i="1"/>
  <c r="C1329" i="1"/>
  <c r="H1328" i="1"/>
  <c r="G1328" i="1"/>
  <c r="F1328" i="1"/>
  <c r="E1328" i="1"/>
  <c r="D1328" i="1"/>
  <c r="C1328" i="1"/>
  <c r="H1327" i="1"/>
  <c r="G1327" i="1"/>
  <c r="F1327" i="1"/>
  <c r="E1327" i="1"/>
  <c r="D1327" i="1"/>
  <c r="C1327" i="1"/>
  <c r="H1326" i="1"/>
  <c r="G1326" i="1"/>
  <c r="F1326" i="1"/>
  <c r="E1326" i="1"/>
  <c r="D1326" i="1"/>
  <c r="C1326" i="1"/>
  <c r="H1325" i="1"/>
  <c r="G1325" i="1"/>
  <c r="F1325" i="1"/>
  <c r="E1325" i="1"/>
  <c r="D1325" i="1"/>
  <c r="C1325" i="1"/>
  <c r="H1324" i="1"/>
  <c r="G1324" i="1"/>
  <c r="F1324" i="1"/>
  <c r="E1324" i="1"/>
  <c r="D1324" i="1"/>
  <c r="C1324" i="1"/>
  <c r="H1323" i="1"/>
  <c r="G1323" i="1"/>
  <c r="F1323" i="1"/>
  <c r="E1323" i="1"/>
  <c r="D1323" i="1"/>
  <c r="C1323" i="1"/>
  <c r="H1322" i="1"/>
  <c r="G1322" i="1"/>
  <c r="F1322" i="1"/>
  <c r="E1322" i="1"/>
  <c r="D1322" i="1"/>
  <c r="C1322" i="1"/>
  <c r="H1321" i="1"/>
  <c r="G1321" i="1"/>
  <c r="F1321" i="1"/>
  <c r="E1321" i="1"/>
  <c r="D1321" i="1"/>
  <c r="C1321" i="1"/>
  <c r="H1320" i="1"/>
  <c r="G1320" i="1"/>
  <c r="F1320" i="1"/>
  <c r="E1320" i="1"/>
  <c r="D1320" i="1"/>
  <c r="C1320" i="1"/>
  <c r="H1319" i="1"/>
  <c r="G1319" i="1"/>
  <c r="F1319" i="1"/>
  <c r="E1319" i="1"/>
  <c r="D1319" i="1"/>
  <c r="C1319" i="1"/>
  <c r="H1318" i="1"/>
  <c r="G1318" i="1"/>
  <c r="F1318" i="1"/>
  <c r="E1318" i="1"/>
  <c r="D1318" i="1"/>
  <c r="C1318" i="1"/>
  <c r="H1317" i="1"/>
  <c r="G1317" i="1"/>
  <c r="F1317" i="1"/>
  <c r="E1317" i="1"/>
  <c r="D1317" i="1"/>
  <c r="C1317" i="1"/>
  <c r="H1316" i="1"/>
  <c r="G1316" i="1"/>
  <c r="F1316" i="1"/>
  <c r="E1316" i="1"/>
  <c r="D1316" i="1"/>
  <c r="C1316" i="1"/>
  <c r="H1315" i="1"/>
  <c r="G1315" i="1"/>
  <c r="F1315" i="1"/>
  <c r="E1315" i="1"/>
  <c r="D1315" i="1"/>
  <c r="C1315" i="1"/>
  <c r="H1314" i="1"/>
  <c r="G1314" i="1"/>
  <c r="F1314" i="1"/>
  <c r="E1314" i="1"/>
  <c r="D1314" i="1"/>
  <c r="C1314" i="1"/>
  <c r="H1313" i="1"/>
  <c r="G1313" i="1"/>
  <c r="F1313" i="1"/>
  <c r="E1313" i="1"/>
  <c r="D1313" i="1"/>
  <c r="C1313" i="1"/>
  <c r="H1312" i="1"/>
  <c r="G1312" i="1"/>
  <c r="F1312" i="1"/>
  <c r="E1312" i="1"/>
  <c r="D1312" i="1"/>
  <c r="C1312" i="1"/>
  <c r="H1311" i="1"/>
  <c r="G1311" i="1"/>
  <c r="F1311" i="1"/>
  <c r="E1311" i="1"/>
  <c r="D1311" i="1"/>
  <c r="C1311" i="1"/>
  <c r="H1310" i="1"/>
  <c r="G1310" i="1"/>
  <c r="F1310" i="1"/>
  <c r="E1310" i="1"/>
  <c r="D1310" i="1"/>
  <c r="C1310" i="1"/>
  <c r="H1309" i="1"/>
  <c r="G1309" i="1"/>
  <c r="F1309" i="1"/>
  <c r="E1309" i="1"/>
  <c r="D1309" i="1"/>
  <c r="C1309" i="1"/>
  <c r="H1308" i="1"/>
  <c r="G1308" i="1"/>
  <c r="F1308" i="1"/>
  <c r="E1308" i="1"/>
  <c r="D1308" i="1"/>
  <c r="C1308" i="1"/>
  <c r="H1307" i="1"/>
  <c r="G1307" i="1"/>
  <c r="F1307" i="1"/>
  <c r="E1307" i="1"/>
  <c r="D1307" i="1"/>
  <c r="C1307" i="1"/>
  <c r="H1306" i="1"/>
  <c r="G1306" i="1"/>
  <c r="F1306" i="1"/>
  <c r="E1306" i="1"/>
  <c r="D1306" i="1"/>
  <c r="C1306" i="1"/>
  <c r="H1305" i="1"/>
  <c r="G1305" i="1"/>
  <c r="F1305" i="1"/>
  <c r="E1305" i="1"/>
  <c r="D1305" i="1"/>
  <c r="C1305" i="1"/>
  <c r="H1304" i="1"/>
  <c r="G1304" i="1"/>
  <c r="F1304" i="1"/>
  <c r="E1304" i="1"/>
  <c r="D1304" i="1"/>
  <c r="C1304" i="1"/>
  <c r="H1303" i="1"/>
  <c r="G1303" i="1"/>
  <c r="F1303" i="1"/>
  <c r="E1303" i="1"/>
  <c r="D1303" i="1"/>
  <c r="C1303" i="1"/>
  <c r="H1302" i="1"/>
  <c r="G1302" i="1"/>
  <c r="F1302" i="1"/>
  <c r="E1302" i="1"/>
  <c r="D1302" i="1"/>
  <c r="C1302" i="1"/>
  <c r="H1301" i="1"/>
  <c r="G1301" i="1"/>
  <c r="F1301" i="1"/>
  <c r="E1301" i="1"/>
  <c r="D1301" i="1"/>
  <c r="C1301" i="1"/>
  <c r="H1300" i="1"/>
  <c r="G1300" i="1"/>
  <c r="F1300" i="1"/>
  <c r="E1300" i="1"/>
  <c r="D1300" i="1"/>
  <c r="C1300" i="1"/>
  <c r="H1299" i="1"/>
  <c r="G1299" i="1"/>
  <c r="F1299" i="1"/>
  <c r="E1299" i="1"/>
  <c r="D1299" i="1"/>
  <c r="C1299" i="1"/>
  <c r="H1298" i="1"/>
  <c r="G1298" i="1"/>
  <c r="F1298" i="1"/>
  <c r="E1298" i="1"/>
  <c r="D1298" i="1"/>
  <c r="C1298" i="1"/>
  <c r="H1297" i="1"/>
  <c r="G1297" i="1"/>
  <c r="F1297" i="1"/>
  <c r="E1297" i="1"/>
  <c r="D1297" i="1"/>
  <c r="C1297" i="1"/>
  <c r="H1296" i="1"/>
  <c r="G1296" i="1"/>
  <c r="F1296" i="1"/>
  <c r="E1296" i="1"/>
  <c r="D1296" i="1"/>
  <c r="C1296" i="1"/>
  <c r="H1295" i="1"/>
  <c r="G1295" i="1"/>
  <c r="F1295" i="1"/>
  <c r="E1295" i="1"/>
  <c r="D1295" i="1"/>
  <c r="C1295" i="1"/>
  <c r="H1294" i="1"/>
  <c r="G1294" i="1"/>
  <c r="F1294" i="1"/>
  <c r="E1294" i="1"/>
  <c r="D1294" i="1"/>
  <c r="C1294" i="1"/>
  <c r="H1293" i="1"/>
  <c r="G1293" i="1"/>
  <c r="F1293" i="1"/>
  <c r="E1293" i="1"/>
  <c r="D1293" i="1"/>
  <c r="C1293" i="1"/>
  <c r="H1292" i="1"/>
  <c r="G1292" i="1"/>
  <c r="F1292" i="1"/>
  <c r="E1292" i="1"/>
  <c r="D1292" i="1"/>
  <c r="C1292" i="1"/>
  <c r="H1291" i="1"/>
  <c r="G1291" i="1"/>
  <c r="F1291" i="1"/>
  <c r="E1291" i="1"/>
  <c r="D1291" i="1"/>
  <c r="C1291" i="1"/>
  <c r="H1290" i="1"/>
  <c r="G1290" i="1"/>
  <c r="F1290" i="1"/>
  <c r="E1290" i="1"/>
  <c r="D1290" i="1"/>
  <c r="C1290" i="1"/>
  <c r="H1289" i="1"/>
  <c r="G1289" i="1"/>
  <c r="F1289" i="1"/>
  <c r="E1289" i="1"/>
  <c r="D1289" i="1"/>
  <c r="C1289" i="1"/>
  <c r="H1288" i="1"/>
  <c r="G1288" i="1"/>
  <c r="F1288" i="1"/>
  <c r="E1288" i="1"/>
  <c r="D1288" i="1"/>
  <c r="C1288" i="1"/>
  <c r="H1287" i="1"/>
  <c r="G1287" i="1"/>
  <c r="F1287" i="1"/>
  <c r="E1287" i="1"/>
  <c r="D1287" i="1"/>
  <c r="C1287" i="1"/>
  <c r="H1286" i="1"/>
  <c r="G1286" i="1"/>
  <c r="F1286" i="1"/>
  <c r="E1286" i="1"/>
  <c r="D1286" i="1"/>
  <c r="C1286" i="1"/>
  <c r="H1285" i="1"/>
  <c r="G1285" i="1"/>
  <c r="F1285" i="1"/>
  <c r="E1285" i="1"/>
  <c r="D1285" i="1"/>
  <c r="C1285" i="1"/>
  <c r="H1284" i="1"/>
  <c r="G1284" i="1"/>
  <c r="F1284" i="1"/>
  <c r="E1284" i="1"/>
  <c r="D1284" i="1"/>
  <c r="C1284" i="1"/>
  <c r="H1283" i="1"/>
  <c r="G1283" i="1"/>
  <c r="F1283" i="1"/>
  <c r="E1283" i="1"/>
  <c r="D1283" i="1"/>
  <c r="C1283" i="1"/>
  <c r="H1282" i="1"/>
  <c r="G1282" i="1"/>
  <c r="F1282" i="1"/>
  <c r="E1282" i="1"/>
  <c r="D1282" i="1"/>
  <c r="C1282" i="1"/>
  <c r="H1281" i="1"/>
  <c r="G1281" i="1"/>
  <c r="F1281" i="1"/>
  <c r="E1281" i="1"/>
  <c r="D1281" i="1"/>
  <c r="C1281" i="1"/>
  <c r="H1280" i="1"/>
  <c r="G1280" i="1"/>
  <c r="F1280" i="1"/>
  <c r="E1280" i="1"/>
  <c r="D1280" i="1"/>
  <c r="C1280" i="1"/>
  <c r="H1279" i="1"/>
  <c r="G1279" i="1"/>
  <c r="F1279" i="1"/>
  <c r="E1279" i="1"/>
  <c r="D1279" i="1"/>
  <c r="C1279" i="1"/>
  <c r="H1278" i="1"/>
  <c r="G1278" i="1"/>
  <c r="F1278" i="1"/>
  <c r="E1278" i="1"/>
  <c r="D1278" i="1"/>
  <c r="C1278" i="1"/>
  <c r="H1277" i="1"/>
  <c r="G1277" i="1"/>
  <c r="F1277" i="1"/>
  <c r="E1277" i="1"/>
  <c r="D1277" i="1"/>
  <c r="C1277" i="1"/>
  <c r="H1276" i="1"/>
  <c r="G1276" i="1"/>
  <c r="F1276" i="1"/>
  <c r="E1276" i="1"/>
  <c r="D1276" i="1"/>
  <c r="C1276" i="1"/>
  <c r="H1275" i="1"/>
  <c r="G1275" i="1"/>
  <c r="F1275" i="1"/>
  <c r="E1275" i="1"/>
  <c r="D1275" i="1"/>
  <c r="C1275" i="1"/>
  <c r="H1274" i="1"/>
  <c r="G1274" i="1"/>
  <c r="F1274" i="1"/>
  <c r="E1274" i="1"/>
  <c r="D1274" i="1"/>
  <c r="C1274" i="1"/>
  <c r="H1273" i="1"/>
  <c r="G1273" i="1"/>
  <c r="F1273" i="1"/>
  <c r="E1273" i="1"/>
  <c r="D1273" i="1"/>
  <c r="C1273" i="1"/>
  <c r="H1272" i="1"/>
  <c r="G1272" i="1"/>
  <c r="F1272" i="1"/>
  <c r="E1272" i="1"/>
  <c r="D1272" i="1"/>
  <c r="C1272" i="1"/>
  <c r="H1271" i="1"/>
  <c r="G1271" i="1"/>
  <c r="F1271" i="1"/>
  <c r="E1271" i="1"/>
  <c r="D1271" i="1"/>
  <c r="C1271" i="1"/>
  <c r="H1270" i="1"/>
  <c r="G1270" i="1"/>
  <c r="F1270" i="1"/>
  <c r="E1270" i="1"/>
  <c r="D1270" i="1"/>
  <c r="C1270" i="1"/>
  <c r="H1269" i="1"/>
  <c r="G1269" i="1"/>
  <c r="F1269" i="1"/>
  <c r="E1269" i="1"/>
  <c r="D1269" i="1"/>
  <c r="C1269" i="1"/>
  <c r="H1268" i="1"/>
  <c r="G1268" i="1"/>
  <c r="F1268" i="1"/>
  <c r="E1268" i="1"/>
  <c r="D1268" i="1"/>
  <c r="C1268" i="1"/>
  <c r="H1267" i="1"/>
  <c r="G1267" i="1"/>
  <c r="F1267" i="1"/>
  <c r="E1267" i="1"/>
  <c r="D1267" i="1"/>
  <c r="C1267" i="1"/>
  <c r="H1266" i="1"/>
  <c r="G1266" i="1"/>
  <c r="F1266" i="1"/>
  <c r="E1266" i="1"/>
  <c r="D1266" i="1"/>
  <c r="C1266" i="1"/>
  <c r="H1265" i="1"/>
  <c r="G1265" i="1"/>
  <c r="F1265" i="1"/>
  <c r="E1265" i="1"/>
  <c r="D1265" i="1"/>
  <c r="C1265" i="1"/>
  <c r="H1264" i="1"/>
  <c r="G1264" i="1"/>
  <c r="F1264" i="1"/>
  <c r="E1264" i="1"/>
  <c r="D1264" i="1"/>
  <c r="C1264" i="1"/>
  <c r="H1263" i="1"/>
  <c r="G1263" i="1"/>
  <c r="F1263" i="1"/>
  <c r="E1263" i="1"/>
  <c r="D1263" i="1"/>
  <c r="C1263" i="1"/>
  <c r="H1262" i="1"/>
  <c r="G1262" i="1"/>
  <c r="F1262" i="1"/>
  <c r="E1262" i="1"/>
  <c r="D1262" i="1"/>
  <c r="C1262" i="1"/>
  <c r="H1261" i="1"/>
  <c r="G1261" i="1"/>
  <c r="F1261" i="1"/>
  <c r="E1261" i="1"/>
  <c r="D1261" i="1"/>
  <c r="C1261" i="1"/>
  <c r="H1260" i="1"/>
  <c r="G1260" i="1"/>
  <c r="F1260" i="1"/>
  <c r="E1260" i="1"/>
  <c r="D1260" i="1"/>
  <c r="C1260" i="1"/>
  <c r="H1259" i="1"/>
  <c r="G1259" i="1"/>
  <c r="F1259" i="1"/>
  <c r="E1259" i="1"/>
  <c r="D1259" i="1"/>
  <c r="C1259" i="1"/>
  <c r="H1258" i="1"/>
  <c r="G1258" i="1"/>
  <c r="F1258" i="1"/>
  <c r="E1258" i="1"/>
  <c r="D1258" i="1"/>
  <c r="C1258" i="1"/>
  <c r="H1257" i="1"/>
  <c r="G1257" i="1"/>
  <c r="F1257" i="1"/>
  <c r="E1257" i="1"/>
  <c r="D1257" i="1"/>
  <c r="C1257" i="1"/>
  <c r="H1256" i="1"/>
  <c r="G1256" i="1"/>
  <c r="F1256" i="1"/>
  <c r="E1256" i="1"/>
  <c r="D1256" i="1"/>
  <c r="C1256" i="1"/>
  <c r="H1255" i="1"/>
  <c r="G1255" i="1"/>
  <c r="F1255" i="1"/>
  <c r="E1255" i="1"/>
  <c r="D1255" i="1"/>
  <c r="C1255" i="1"/>
  <c r="H1254" i="1"/>
  <c r="G1254" i="1"/>
  <c r="F1254" i="1"/>
  <c r="E1254" i="1"/>
  <c r="D1254" i="1"/>
  <c r="C1254" i="1"/>
  <c r="H1253" i="1"/>
  <c r="G1253" i="1"/>
  <c r="F1253" i="1"/>
  <c r="E1253" i="1"/>
  <c r="D1253" i="1"/>
  <c r="C1253" i="1"/>
  <c r="H1252" i="1"/>
  <c r="G1252" i="1"/>
  <c r="F1252" i="1"/>
  <c r="E1252" i="1"/>
  <c r="D1252" i="1"/>
  <c r="C1252" i="1"/>
  <c r="H1251" i="1"/>
  <c r="G1251" i="1"/>
  <c r="F1251" i="1"/>
  <c r="E1251" i="1"/>
  <c r="D1251" i="1"/>
  <c r="C1251" i="1"/>
  <c r="H1250" i="1"/>
  <c r="G1250" i="1"/>
  <c r="F1250" i="1"/>
  <c r="E1250" i="1"/>
  <c r="D1250" i="1"/>
  <c r="C1250" i="1"/>
  <c r="H1249" i="1"/>
  <c r="G1249" i="1"/>
  <c r="F1249" i="1"/>
  <c r="E1249" i="1"/>
  <c r="D1249" i="1"/>
  <c r="C1249" i="1"/>
  <c r="H1248" i="1"/>
  <c r="G1248" i="1"/>
  <c r="F1248" i="1"/>
  <c r="E1248" i="1"/>
  <c r="D1248" i="1"/>
  <c r="C1248" i="1"/>
  <c r="H1247" i="1"/>
  <c r="G1247" i="1"/>
  <c r="F1247" i="1"/>
  <c r="E1247" i="1"/>
  <c r="D1247" i="1"/>
  <c r="C1247" i="1"/>
  <c r="H1246" i="1"/>
  <c r="G1246" i="1"/>
  <c r="F1246" i="1"/>
  <c r="E1246" i="1"/>
  <c r="D1246" i="1"/>
  <c r="C1246" i="1"/>
  <c r="H1245" i="1"/>
  <c r="G1245" i="1"/>
  <c r="F1245" i="1"/>
  <c r="E1245" i="1"/>
  <c r="D1245" i="1"/>
  <c r="C1245" i="1"/>
  <c r="H1244" i="1"/>
  <c r="G1244" i="1"/>
  <c r="F1244" i="1"/>
  <c r="E1244" i="1"/>
  <c r="D1244" i="1"/>
  <c r="C1244" i="1"/>
  <c r="H1243" i="1"/>
  <c r="G1243" i="1"/>
  <c r="F1243" i="1"/>
  <c r="E1243" i="1"/>
  <c r="D1243" i="1"/>
  <c r="C1243" i="1"/>
  <c r="H1242" i="1"/>
  <c r="G1242" i="1"/>
  <c r="F1242" i="1"/>
  <c r="E1242" i="1"/>
  <c r="D1242" i="1"/>
  <c r="C1242" i="1"/>
  <c r="H1241" i="1"/>
  <c r="G1241" i="1"/>
  <c r="F1241" i="1"/>
  <c r="E1241" i="1"/>
  <c r="D1241" i="1"/>
  <c r="C1241" i="1"/>
  <c r="H1240" i="1"/>
  <c r="G1240" i="1"/>
  <c r="F1240" i="1"/>
  <c r="E1240" i="1"/>
  <c r="D1240" i="1"/>
  <c r="C1240" i="1"/>
  <c r="H1239" i="1"/>
  <c r="G1239" i="1"/>
  <c r="F1239" i="1"/>
  <c r="E1239" i="1"/>
  <c r="D1239" i="1"/>
  <c r="C1239" i="1"/>
  <c r="H1238" i="1"/>
  <c r="G1238" i="1"/>
  <c r="F1238" i="1"/>
  <c r="E1238" i="1"/>
  <c r="D1238" i="1"/>
  <c r="C1238" i="1"/>
  <c r="H1237" i="1"/>
  <c r="G1237" i="1"/>
  <c r="F1237" i="1"/>
  <c r="E1237" i="1"/>
  <c r="D1237" i="1"/>
  <c r="C1237" i="1"/>
  <c r="H1236" i="1"/>
  <c r="G1236" i="1"/>
  <c r="F1236" i="1"/>
  <c r="E1236" i="1"/>
  <c r="D1236" i="1"/>
  <c r="C1236" i="1"/>
  <c r="H1235" i="1"/>
  <c r="G1235" i="1"/>
  <c r="F1235" i="1"/>
  <c r="E1235" i="1"/>
  <c r="D1235" i="1"/>
  <c r="C1235" i="1"/>
  <c r="H1234" i="1"/>
  <c r="G1234" i="1"/>
  <c r="F1234" i="1"/>
  <c r="E1234" i="1"/>
  <c r="D1234" i="1"/>
  <c r="C1234" i="1"/>
  <c r="H1233" i="1"/>
  <c r="G1233" i="1"/>
  <c r="F1233" i="1"/>
  <c r="E1233" i="1"/>
  <c r="D1233" i="1"/>
  <c r="C1233" i="1"/>
  <c r="H1232" i="1"/>
  <c r="G1232" i="1"/>
  <c r="F1232" i="1"/>
  <c r="E1232" i="1"/>
  <c r="D1232" i="1"/>
  <c r="C1232" i="1"/>
  <c r="H1231" i="1"/>
  <c r="G1231" i="1"/>
  <c r="F1231" i="1"/>
  <c r="E1231" i="1"/>
  <c r="D1231" i="1"/>
  <c r="C1231" i="1"/>
  <c r="H1230" i="1"/>
  <c r="G1230" i="1"/>
  <c r="F1230" i="1"/>
  <c r="E1230" i="1"/>
  <c r="D1230" i="1"/>
  <c r="C1230" i="1"/>
  <c r="H1229" i="1"/>
  <c r="G1229" i="1"/>
  <c r="F1229" i="1"/>
  <c r="E1229" i="1"/>
  <c r="D1229" i="1"/>
  <c r="C1229" i="1"/>
  <c r="H1228" i="1"/>
  <c r="G1228" i="1"/>
  <c r="F1228" i="1"/>
  <c r="E1228" i="1"/>
  <c r="D1228" i="1"/>
  <c r="C1228" i="1"/>
  <c r="H1227" i="1"/>
  <c r="G1227" i="1"/>
  <c r="F1227" i="1"/>
  <c r="E1227" i="1"/>
  <c r="D1227" i="1"/>
  <c r="C1227" i="1"/>
  <c r="H1226" i="1"/>
  <c r="G1226" i="1"/>
  <c r="F1226" i="1"/>
  <c r="E1226" i="1"/>
  <c r="D1226" i="1"/>
  <c r="C1226" i="1"/>
  <c r="H1225" i="1"/>
  <c r="G1225" i="1"/>
  <c r="F1225" i="1"/>
  <c r="E1225" i="1"/>
  <c r="D1225" i="1"/>
  <c r="C1225" i="1"/>
  <c r="H1224" i="1"/>
  <c r="G1224" i="1"/>
  <c r="F1224" i="1"/>
  <c r="E1224" i="1"/>
  <c r="D1224" i="1"/>
  <c r="C1224" i="1"/>
  <c r="H1223" i="1"/>
  <c r="G1223" i="1"/>
  <c r="F1223" i="1"/>
  <c r="E1223" i="1"/>
  <c r="D1223" i="1"/>
  <c r="C1223" i="1"/>
  <c r="H1222" i="1"/>
  <c r="G1222" i="1"/>
  <c r="F1222" i="1"/>
  <c r="E1222" i="1"/>
  <c r="D1222" i="1"/>
  <c r="C1222" i="1"/>
  <c r="H1221" i="1"/>
  <c r="G1221" i="1"/>
  <c r="F1221" i="1"/>
  <c r="E1221" i="1"/>
  <c r="D1221" i="1"/>
  <c r="C1221" i="1"/>
  <c r="H1220" i="1"/>
  <c r="G1220" i="1"/>
  <c r="F1220" i="1"/>
  <c r="E1220" i="1"/>
  <c r="D1220" i="1"/>
  <c r="C1220" i="1"/>
  <c r="H1219" i="1"/>
  <c r="G1219" i="1"/>
  <c r="F1219" i="1"/>
  <c r="E1219" i="1"/>
  <c r="D1219" i="1"/>
  <c r="C1219" i="1"/>
  <c r="H1218" i="1"/>
  <c r="G1218" i="1"/>
  <c r="F1218" i="1"/>
  <c r="E1218" i="1"/>
  <c r="D1218" i="1"/>
  <c r="C1218" i="1"/>
  <c r="H1217" i="1"/>
  <c r="G1217" i="1"/>
  <c r="F1217" i="1"/>
  <c r="E1217" i="1"/>
  <c r="D1217" i="1"/>
  <c r="C1217" i="1"/>
  <c r="H1216" i="1"/>
  <c r="G1216" i="1"/>
  <c r="F1216" i="1"/>
  <c r="E1216" i="1"/>
  <c r="D1216" i="1"/>
  <c r="C1216" i="1"/>
  <c r="H1215" i="1"/>
  <c r="G1215" i="1"/>
  <c r="F1215" i="1"/>
  <c r="E1215" i="1"/>
  <c r="D1215" i="1"/>
  <c r="C1215" i="1"/>
  <c r="H1214" i="1"/>
  <c r="G1214" i="1"/>
  <c r="F1214" i="1"/>
  <c r="E1214" i="1"/>
  <c r="D1214" i="1"/>
  <c r="C1214" i="1"/>
  <c r="H1213" i="1"/>
  <c r="G1213" i="1"/>
  <c r="F1213" i="1"/>
  <c r="E1213" i="1"/>
  <c r="D1213" i="1"/>
  <c r="C1213" i="1"/>
  <c r="H1212" i="1"/>
  <c r="G1212" i="1"/>
  <c r="F1212" i="1"/>
  <c r="E1212" i="1"/>
  <c r="D1212" i="1"/>
  <c r="C1212" i="1"/>
  <c r="H1211" i="1"/>
  <c r="G1211" i="1"/>
  <c r="F1211" i="1"/>
  <c r="E1211" i="1"/>
  <c r="D1211" i="1"/>
  <c r="C1211" i="1"/>
  <c r="H1210" i="1"/>
  <c r="G1210" i="1"/>
  <c r="F1210" i="1"/>
  <c r="E1210" i="1"/>
  <c r="D1210" i="1"/>
  <c r="C1210" i="1"/>
  <c r="H1209" i="1"/>
  <c r="G1209" i="1"/>
  <c r="F1209" i="1"/>
  <c r="E1209" i="1"/>
  <c r="D1209" i="1"/>
  <c r="C1209" i="1"/>
  <c r="H1208" i="1"/>
  <c r="G1208" i="1"/>
  <c r="F1208" i="1"/>
  <c r="E1208" i="1"/>
  <c r="D1208" i="1"/>
  <c r="C1208" i="1"/>
  <c r="H1207" i="1"/>
  <c r="G1207" i="1"/>
  <c r="F1207" i="1"/>
  <c r="E1207" i="1"/>
  <c r="D1207" i="1"/>
  <c r="C1207" i="1"/>
  <c r="H1206" i="1"/>
  <c r="G1206" i="1"/>
  <c r="F1206" i="1"/>
  <c r="E1206" i="1"/>
  <c r="D1206" i="1"/>
  <c r="C1206" i="1"/>
  <c r="H1205" i="1"/>
  <c r="G1205" i="1"/>
  <c r="F1205" i="1"/>
  <c r="E1205" i="1"/>
  <c r="D1205" i="1"/>
  <c r="C1205" i="1"/>
  <c r="H1204" i="1"/>
  <c r="G1204" i="1"/>
  <c r="F1204" i="1"/>
  <c r="E1204" i="1"/>
  <c r="D1204" i="1"/>
  <c r="C1204" i="1"/>
  <c r="H1203" i="1"/>
  <c r="G1203" i="1"/>
  <c r="F1203" i="1"/>
  <c r="E1203" i="1"/>
  <c r="D1203" i="1"/>
  <c r="C1203" i="1"/>
  <c r="H1202" i="1"/>
  <c r="G1202" i="1"/>
  <c r="F1202" i="1"/>
  <c r="E1202" i="1"/>
  <c r="D1202" i="1"/>
  <c r="C1202" i="1"/>
  <c r="H1201" i="1"/>
  <c r="G1201" i="1"/>
  <c r="F1201" i="1"/>
  <c r="E1201" i="1"/>
  <c r="D1201" i="1"/>
  <c r="C1201" i="1"/>
  <c r="H1200" i="1"/>
  <c r="G1200" i="1"/>
  <c r="F1200" i="1"/>
  <c r="E1200" i="1"/>
  <c r="D1200" i="1"/>
  <c r="C1200" i="1"/>
  <c r="H1199" i="1"/>
  <c r="G1199" i="1"/>
  <c r="F1199" i="1"/>
  <c r="E1199" i="1"/>
  <c r="D1199" i="1"/>
  <c r="C1199" i="1"/>
  <c r="H1198" i="1"/>
  <c r="G1198" i="1"/>
  <c r="F1198" i="1"/>
  <c r="E1198" i="1"/>
  <c r="D1198" i="1"/>
  <c r="C1198" i="1"/>
  <c r="H1197" i="1"/>
  <c r="G1197" i="1"/>
  <c r="F1197" i="1"/>
  <c r="E1197" i="1"/>
  <c r="D1197" i="1"/>
  <c r="C1197" i="1"/>
  <c r="H1196" i="1"/>
  <c r="G1196" i="1"/>
  <c r="F1196" i="1"/>
  <c r="E1196" i="1"/>
  <c r="D1196" i="1"/>
  <c r="C1196" i="1"/>
  <c r="H1195" i="1"/>
  <c r="G1195" i="1"/>
  <c r="F1195" i="1"/>
  <c r="E1195" i="1"/>
  <c r="D1195" i="1"/>
  <c r="C1195" i="1"/>
  <c r="H1194" i="1"/>
  <c r="G1194" i="1"/>
  <c r="F1194" i="1"/>
  <c r="E1194" i="1"/>
  <c r="D1194" i="1"/>
  <c r="C1194" i="1"/>
  <c r="H1193" i="1"/>
  <c r="G1193" i="1"/>
  <c r="F1193" i="1"/>
  <c r="E1193" i="1"/>
  <c r="D1193" i="1"/>
  <c r="C1193" i="1"/>
  <c r="H1192" i="1"/>
  <c r="G1192" i="1"/>
  <c r="F1192" i="1"/>
  <c r="E1192" i="1"/>
  <c r="D1192" i="1"/>
  <c r="C1192" i="1"/>
  <c r="H1191" i="1"/>
  <c r="G1191" i="1"/>
  <c r="F1191" i="1"/>
  <c r="E1191" i="1"/>
  <c r="D1191" i="1"/>
  <c r="C1191" i="1"/>
  <c r="H1190" i="1"/>
  <c r="G1190" i="1"/>
  <c r="F1190" i="1"/>
  <c r="E1190" i="1"/>
  <c r="D1190" i="1"/>
  <c r="C1190" i="1"/>
  <c r="H1189" i="1"/>
  <c r="G1189" i="1"/>
  <c r="F1189" i="1"/>
  <c r="E1189" i="1"/>
  <c r="D1189" i="1"/>
  <c r="C1189" i="1"/>
  <c r="H1188" i="1"/>
  <c r="G1188" i="1"/>
  <c r="F1188" i="1"/>
  <c r="E1188" i="1"/>
  <c r="D1188" i="1"/>
  <c r="C1188" i="1"/>
  <c r="H1187" i="1"/>
  <c r="G1187" i="1"/>
  <c r="F1187" i="1"/>
  <c r="E1187" i="1"/>
  <c r="D1187" i="1"/>
  <c r="C1187" i="1"/>
  <c r="H1186" i="1"/>
  <c r="G1186" i="1"/>
  <c r="F1186" i="1"/>
  <c r="E1186" i="1"/>
  <c r="D1186" i="1"/>
  <c r="C1186" i="1"/>
  <c r="H1185" i="1"/>
  <c r="G1185" i="1"/>
  <c r="F1185" i="1"/>
  <c r="E1185" i="1"/>
  <c r="D1185" i="1"/>
  <c r="C1185" i="1"/>
  <c r="H1184" i="1"/>
  <c r="G1184" i="1"/>
  <c r="F1184" i="1"/>
  <c r="E1184" i="1"/>
  <c r="D1184" i="1"/>
  <c r="C1184" i="1"/>
  <c r="H1183" i="1"/>
  <c r="G1183" i="1"/>
  <c r="F1183" i="1"/>
  <c r="E1183" i="1"/>
  <c r="D1183" i="1"/>
  <c r="C1183" i="1"/>
  <c r="H1182" i="1"/>
  <c r="G1182" i="1"/>
  <c r="F1182" i="1"/>
  <c r="E1182" i="1"/>
  <c r="D1182" i="1"/>
  <c r="C1182" i="1"/>
  <c r="H1181" i="1"/>
  <c r="G1181" i="1"/>
  <c r="F1181" i="1"/>
  <c r="E1181" i="1"/>
  <c r="D1181" i="1"/>
  <c r="C1181" i="1"/>
  <c r="H1180" i="1"/>
  <c r="G1180" i="1"/>
  <c r="F1180" i="1"/>
  <c r="E1180" i="1"/>
  <c r="D1180" i="1"/>
  <c r="C1180" i="1"/>
  <c r="H1179" i="1"/>
  <c r="G1179" i="1"/>
  <c r="F1179" i="1"/>
  <c r="E1179" i="1"/>
  <c r="D1179" i="1"/>
  <c r="C1179" i="1"/>
  <c r="H1178" i="1"/>
  <c r="G1178" i="1"/>
  <c r="F1178" i="1"/>
  <c r="E1178" i="1"/>
  <c r="D1178" i="1"/>
  <c r="C1178" i="1"/>
  <c r="H1177" i="1"/>
  <c r="G1177" i="1"/>
  <c r="F1177" i="1"/>
  <c r="E1177" i="1"/>
  <c r="D1177" i="1"/>
  <c r="C1177" i="1"/>
  <c r="H1176" i="1"/>
  <c r="G1176" i="1"/>
  <c r="F1176" i="1"/>
  <c r="E1176" i="1"/>
  <c r="D1176" i="1"/>
  <c r="C1176" i="1"/>
  <c r="H1175" i="1"/>
  <c r="G1175" i="1"/>
  <c r="F1175" i="1"/>
  <c r="E1175" i="1"/>
  <c r="D1175" i="1"/>
  <c r="C1175" i="1"/>
  <c r="H1174" i="1"/>
  <c r="G1174" i="1"/>
  <c r="F1174" i="1"/>
  <c r="E1174" i="1"/>
  <c r="D1174" i="1"/>
  <c r="C1174" i="1"/>
  <c r="H1173" i="1"/>
  <c r="G1173" i="1"/>
  <c r="F1173" i="1"/>
  <c r="E1173" i="1"/>
  <c r="D1173" i="1"/>
  <c r="C1173" i="1"/>
  <c r="H1172" i="1"/>
  <c r="G1172" i="1"/>
  <c r="F1172" i="1"/>
  <c r="E1172" i="1"/>
  <c r="D1172" i="1"/>
  <c r="C1172" i="1"/>
  <c r="H1171" i="1"/>
  <c r="G1171" i="1"/>
  <c r="F1171" i="1"/>
  <c r="E1171" i="1"/>
  <c r="D1171" i="1"/>
  <c r="C1171" i="1"/>
  <c r="H1170" i="1"/>
  <c r="G1170" i="1"/>
  <c r="F1170" i="1"/>
  <c r="E1170" i="1"/>
  <c r="D1170" i="1"/>
  <c r="C1170" i="1"/>
  <c r="H1169" i="1"/>
  <c r="G1169" i="1"/>
  <c r="F1169" i="1"/>
  <c r="E1169" i="1"/>
  <c r="D1169" i="1"/>
  <c r="C1169" i="1"/>
  <c r="H1168" i="1"/>
  <c r="G1168" i="1"/>
  <c r="F1168" i="1"/>
  <c r="E1168" i="1"/>
  <c r="D1168" i="1"/>
  <c r="C1168" i="1"/>
  <c r="H1167" i="1"/>
  <c r="G1167" i="1"/>
  <c r="F1167" i="1"/>
  <c r="E1167" i="1"/>
  <c r="D1167" i="1"/>
  <c r="C1167" i="1"/>
  <c r="H1166" i="1"/>
  <c r="G1166" i="1"/>
  <c r="F1166" i="1"/>
  <c r="E1166" i="1"/>
  <c r="D1166" i="1"/>
  <c r="C1166" i="1"/>
  <c r="H1165" i="1"/>
  <c r="G1165" i="1"/>
  <c r="F1165" i="1"/>
  <c r="E1165" i="1"/>
  <c r="D1165" i="1"/>
  <c r="C1165" i="1"/>
  <c r="H1164" i="1"/>
  <c r="G1164" i="1"/>
  <c r="F1164" i="1"/>
  <c r="E1164" i="1"/>
  <c r="D1164" i="1"/>
  <c r="C1164" i="1"/>
  <c r="H1163" i="1"/>
  <c r="G1163" i="1"/>
  <c r="F1163" i="1"/>
  <c r="E1163" i="1"/>
  <c r="D1163" i="1"/>
  <c r="C1163" i="1"/>
  <c r="H1162" i="1"/>
  <c r="G1162" i="1"/>
  <c r="F1162" i="1"/>
  <c r="E1162" i="1"/>
  <c r="D1162" i="1"/>
  <c r="C1162" i="1"/>
  <c r="H1161" i="1"/>
  <c r="G1161" i="1"/>
  <c r="F1161" i="1"/>
  <c r="E1161" i="1"/>
  <c r="D1161" i="1"/>
  <c r="C1161" i="1"/>
  <c r="H1160" i="1"/>
  <c r="G1160" i="1"/>
  <c r="F1160" i="1"/>
  <c r="E1160" i="1"/>
  <c r="D1160" i="1"/>
  <c r="C1160" i="1"/>
  <c r="H1159" i="1"/>
  <c r="G1159" i="1"/>
  <c r="F1159" i="1"/>
  <c r="E1159" i="1"/>
  <c r="D1159" i="1"/>
  <c r="C1159" i="1"/>
  <c r="H1158" i="1"/>
  <c r="G1158" i="1"/>
  <c r="F1158" i="1"/>
  <c r="E1158" i="1"/>
  <c r="D1158" i="1"/>
  <c r="C1158" i="1"/>
  <c r="H1157" i="1"/>
  <c r="G1157" i="1"/>
  <c r="F1157" i="1"/>
  <c r="E1157" i="1"/>
  <c r="D1157" i="1"/>
  <c r="C1157" i="1"/>
  <c r="H1156" i="1"/>
  <c r="G1156" i="1"/>
  <c r="F1156" i="1"/>
  <c r="E1156" i="1"/>
  <c r="D1156" i="1"/>
  <c r="C1156" i="1"/>
  <c r="H1155" i="1"/>
  <c r="G1155" i="1"/>
  <c r="F1155" i="1"/>
  <c r="E1155" i="1"/>
  <c r="D1155" i="1"/>
  <c r="C1155" i="1"/>
  <c r="H1154" i="1"/>
  <c r="G1154" i="1"/>
  <c r="F1154" i="1"/>
  <c r="E1154" i="1"/>
  <c r="D1154" i="1"/>
  <c r="C1154" i="1"/>
  <c r="H1153" i="1"/>
  <c r="G1153" i="1"/>
  <c r="F1153" i="1"/>
  <c r="E1153" i="1"/>
  <c r="D1153" i="1"/>
  <c r="C1153" i="1"/>
  <c r="H1152" i="1"/>
  <c r="G1152" i="1"/>
  <c r="F1152" i="1"/>
  <c r="E1152" i="1"/>
  <c r="D1152" i="1"/>
  <c r="C1152" i="1"/>
  <c r="H1151" i="1"/>
  <c r="G1151" i="1"/>
  <c r="F1151" i="1"/>
  <c r="E1151" i="1"/>
  <c r="D1151" i="1"/>
  <c r="C1151" i="1"/>
  <c r="H1150" i="1"/>
  <c r="G1150" i="1"/>
  <c r="F1150" i="1"/>
  <c r="E1150" i="1"/>
  <c r="D1150" i="1"/>
  <c r="C1150" i="1"/>
  <c r="H1149" i="1"/>
  <c r="G1149" i="1"/>
  <c r="F1149" i="1"/>
  <c r="E1149" i="1"/>
  <c r="D1149" i="1"/>
  <c r="C1149" i="1"/>
  <c r="H1148" i="1"/>
  <c r="G1148" i="1"/>
  <c r="F1148" i="1"/>
  <c r="E1148" i="1"/>
  <c r="D1148" i="1"/>
  <c r="C1148" i="1"/>
  <c r="H1147" i="1"/>
  <c r="G1147" i="1"/>
  <c r="F1147" i="1"/>
  <c r="E1147" i="1"/>
  <c r="D1147" i="1"/>
  <c r="C1147" i="1"/>
  <c r="H1146" i="1"/>
  <c r="G1146" i="1"/>
  <c r="F1146" i="1"/>
  <c r="E1146" i="1"/>
  <c r="D1146" i="1"/>
  <c r="C1146" i="1"/>
  <c r="H1145" i="1"/>
  <c r="G1145" i="1"/>
  <c r="F1145" i="1"/>
  <c r="E1145" i="1"/>
  <c r="D1145" i="1"/>
  <c r="C1145" i="1"/>
  <c r="H1144" i="1"/>
  <c r="G1144" i="1"/>
  <c r="F1144" i="1"/>
  <c r="E1144" i="1"/>
  <c r="D1144" i="1"/>
  <c r="C1144" i="1"/>
  <c r="H1143" i="1"/>
  <c r="G1143" i="1"/>
  <c r="F1143" i="1"/>
  <c r="E1143" i="1"/>
  <c r="D1143" i="1"/>
  <c r="C1143" i="1"/>
  <c r="H1142" i="1"/>
  <c r="G1142" i="1"/>
  <c r="F1142" i="1"/>
  <c r="E1142" i="1"/>
  <c r="D1142" i="1"/>
  <c r="C1142" i="1"/>
  <c r="H1141" i="1"/>
  <c r="G1141" i="1"/>
  <c r="F1141" i="1"/>
  <c r="E1141" i="1"/>
  <c r="D1141" i="1"/>
  <c r="C1141" i="1"/>
  <c r="H1140" i="1"/>
  <c r="G1140" i="1"/>
  <c r="F1140" i="1"/>
  <c r="E1140" i="1"/>
  <c r="D1140" i="1"/>
  <c r="C1140" i="1"/>
  <c r="H1139" i="1"/>
  <c r="G1139" i="1"/>
  <c r="F1139" i="1"/>
  <c r="E1139" i="1"/>
  <c r="D1139" i="1"/>
  <c r="C1139" i="1"/>
  <c r="H1138" i="1"/>
  <c r="G1138" i="1"/>
  <c r="F1138" i="1"/>
  <c r="E1138" i="1"/>
  <c r="D1138" i="1"/>
  <c r="C1138" i="1"/>
  <c r="H1137" i="1"/>
  <c r="G1137" i="1"/>
  <c r="F1137" i="1"/>
  <c r="E1137" i="1"/>
  <c r="D1137" i="1"/>
  <c r="C1137" i="1"/>
  <c r="H1136" i="1"/>
  <c r="G1136" i="1"/>
  <c r="F1136" i="1"/>
  <c r="E1136" i="1"/>
  <c r="D1136" i="1"/>
  <c r="C1136" i="1"/>
  <c r="H1135" i="1"/>
  <c r="G1135" i="1"/>
  <c r="F1135" i="1"/>
  <c r="E1135" i="1"/>
  <c r="D1135" i="1"/>
  <c r="C1135" i="1"/>
  <c r="H1134" i="1"/>
  <c r="G1134" i="1"/>
  <c r="F1134" i="1"/>
  <c r="E1134" i="1"/>
  <c r="D1134" i="1"/>
  <c r="C1134" i="1"/>
  <c r="H1133" i="1"/>
  <c r="G1133" i="1"/>
  <c r="F1133" i="1"/>
  <c r="E1133" i="1"/>
  <c r="D1133" i="1"/>
  <c r="C1133" i="1"/>
  <c r="H1132" i="1"/>
  <c r="G1132" i="1"/>
  <c r="F1132" i="1"/>
  <c r="E1132" i="1"/>
  <c r="D1132" i="1"/>
  <c r="C1132" i="1"/>
  <c r="H1131" i="1"/>
  <c r="G1131" i="1"/>
  <c r="F1131" i="1"/>
  <c r="E1131" i="1"/>
  <c r="D1131" i="1"/>
  <c r="C1131" i="1"/>
  <c r="H1130" i="1"/>
  <c r="G1130" i="1"/>
  <c r="F1130" i="1"/>
  <c r="E1130" i="1"/>
  <c r="D1130" i="1"/>
  <c r="C1130" i="1"/>
  <c r="H1129" i="1"/>
  <c r="G1129" i="1"/>
  <c r="F1129" i="1"/>
  <c r="E1129" i="1"/>
  <c r="D1129" i="1"/>
  <c r="C1129" i="1"/>
  <c r="H1128" i="1"/>
  <c r="G1128" i="1"/>
  <c r="F1128" i="1"/>
  <c r="E1128" i="1"/>
  <c r="D1128" i="1"/>
  <c r="C1128" i="1"/>
  <c r="H1127" i="1"/>
  <c r="G1127" i="1"/>
  <c r="F1127" i="1"/>
  <c r="E1127" i="1"/>
  <c r="D1127" i="1"/>
  <c r="C1127" i="1"/>
  <c r="H1126" i="1"/>
  <c r="G1126" i="1"/>
  <c r="F1126" i="1"/>
  <c r="E1126" i="1"/>
  <c r="D1126" i="1"/>
  <c r="C1126" i="1"/>
  <c r="H1125" i="1"/>
  <c r="G1125" i="1"/>
  <c r="F1125" i="1"/>
  <c r="E1125" i="1"/>
  <c r="D1125" i="1"/>
  <c r="C1125" i="1"/>
  <c r="H1124" i="1"/>
  <c r="G1124" i="1"/>
  <c r="F1124" i="1"/>
  <c r="E1124" i="1"/>
  <c r="D1124" i="1"/>
  <c r="C1124" i="1"/>
  <c r="H1123" i="1"/>
  <c r="G1123" i="1"/>
  <c r="F1123" i="1"/>
  <c r="E1123" i="1"/>
  <c r="D1123" i="1"/>
  <c r="C1123" i="1"/>
  <c r="H1122" i="1"/>
  <c r="G1122" i="1"/>
  <c r="F1122" i="1"/>
  <c r="E1122" i="1"/>
  <c r="D1122" i="1"/>
  <c r="C1122" i="1"/>
  <c r="H1121" i="1"/>
  <c r="G1121" i="1"/>
  <c r="F1121" i="1"/>
  <c r="E1121" i="1"/>
  <c r="D1121" i="1"/>
  <c r="C1121" i="1"/>
  <c r="H1120" i="1"/>
  <c r="G1120" i="1"/>
  <c r="F1120" i="1"/>
  <c r="E1120" i="1"/>
  <c r="D1120" i="1"/>
  <c r="C1120" i="1"/>
  <c r="H1119" i="1"/>
  <c r="G1119" i="1"/>
  <c r="F1119" i="1"/>
  <c r="E1119" i="1"/>
  <c r="D1119" i="1"/>
  <c r="C1119" i="1"/>
  <c r="H1118" i="1"/>
  <c r="G1118" i="1"/>
  <c r="F1118" i="1"/>
  <c r="E1118" i="1"/>
  <c r="D1118" i="1"/>
  <c r="C1118" i="1"/>
  <c r="H1117" i="1"/>
  <c r="G1117" i="1"/>
  <c r="F1117" i="1"/>
  <c r="E1117" i="1"/>
  <c r="D1117" i="1"/>
  <c r="C1117" i="1"/>
  <c r="H1116" i="1"/>
  <c r="G1116" i="1"/>
  <c r="F1116" i="1"/>
  <c r="E1116" i="1"/>
  <c r="D1116" i="1"/>
  <c r="C1116" i="1"/>
  <c r="H1115" i="1"/>
  <c r="G1115" i="1"/>
  <c r="F1115" i="1"/>
  <c r="E1115" i="1"/>
  <c r="D1115" i="1"/>
  <c r="C1115" i="1"/>
  <c r="H1114" i="1"/>
  <c r="G1114" i="1"/>
  <c r="F1114" i="1"/>
  <c r="E1114" i="1"/>
  <c r="D1114" i="1"/>
  <c r="C1114" i="1"/>
  <c r="H1113" i="1"/>
  <c r="G1113" i="1"/>
  <c r="F1113" i="1"/>
  <c r="E1113" i="1"/>
  <c r="D1113" i="1"/>
  <c r="C1113" i="1"/>
  <c r="H1112" i="1"/>
  <c r="G1112" i="1"/>
  <c r="F1112" i="1"/>
  <c r="E1112" i="1"/>
  <c r="D1112" i="1"/>
  <c r="C1112" i="1"/>
  <c r="H1111" i="1"/>
  <c r="G1111" i="1"/>
  <c r="F1111" i="1"/>
  <c r="E1111" i="1"/>
  <c r="D1111" i="1"/>
  <c r="C1111" i="1"/>
  <c r="H1110" i="1"/>
  <c r="G1110" i="1"/>
  <c r="F1110" i="1"/>
  <c r="E1110" i="1"/>
  <c r="D1110" i="1"/>
  <c r="C1110" i="1"/>
  <c r="H1109" i="1"/>
  <c r="G1109" i="1"/>
  <c r="F1109" i="1"/>
  <c r="E1109" i="1"/>
  <c r="D1109" i="1"/>
  <c r="C1109" i="1"/>
  <c r="H1108" i="1"/>
  <c r="G1108" i="1"/>
  <c r="F1108" i="1"/>
  <c r="E1108" i="1"/>
  <c r="D1108" i="1"/>
  <c r="C1108" i="1"/>
  <c r="H1107" i="1"/>
  <c r="G1107" i="1"/>
  <c r="F1107" i="1"/>
  <c r="E1107" i="1"/>
  <c r="D1107" i="1"/>
  <c r="C1107" i="1"/>
  <c r="H1106" i="1"/>
  <c r="G1106" i="1"/>
  <c r="F1106" i="1"/>
  <c r="E1106" i="1"/>
  <c r="D1106" i="1"/>
  <c r="C1106" i="1"/>
  <c r="H1105" i="1"/>
  <c r="G1105" i="1"/>
  <c r="F1105" i="1"/>
  <c r="E1105" i="1"/>
  <c r="D1105" i="1"/>
  <c r="C1105" i="1"/>
  <c r="H1104" i="1"/>
  <c r="G1104" i="1"/>
  <c r="F1104" i="1"/>
  <c r="E1104" i="1"/>
  <c r="D1104" i="1"/>
  <c r="C1104" i="1"/>
  <c r="H1103" i="1"/>
  <c r="G1103" i="1"/>
  <c r="F1103" i="1"/>
  <c r="E1103" i="1"/>
  <c r="D1103" i="1"/>
  <c r="C1103" i="1"/>
  <c r="H1102" i="1"/>
  <c r="G1102" i="1"/>
  <c r="F1102" i="1"/>
  <c r="E1102" i="1"/>
  <c r="D1102" i="1"/>
  <c r="C1102" i="1"/>
  <c r="H1101" i="1"/>
  <c r="G1101" i="1"/>
  <c r="F1101" i="1"/>
  <c r="E1101" i="1"/>
  <c r="D1101" i="1"/>
  <c r="C1101" i="1"/>
  <c r="H1100" i="1"/>
  <c r="G1100" i="1"/>
  <c r="F1100" i="1"/>
  <c r="E1100" i="1"/>
  <c r="D1100" i="1"/>
  <c r="C1100" i="1"/>
  <c r="H1099" i="1"/>
  <c r="G1099" i="1"/>
  <c r="F1099" i="1"/>
  <c r="E1099" i="1"/>
  <c r="D1099" i="1"/>
  <c r="C1099" i="1"/>
  <c r="H1098" i="1"/>
  <c r="G1098" i="1"/>
  <c r="F1098" i="1"/>
  <c r="E1098" i="1"/>
  <c r="D1098" i="1"/>
  <c r="C1098" i="1"/>
  <c r="H1097" i="1"/>
  <c r="G1097" i="1"/>
  <c r="F1097" i="1"/>
  <c r="E1097" i="1"/>
  <c r="D1097" i="1"/>
  <c r="C1097" i="1"/>
  <c r="H1096" i="1"/>
  <c r="G1096" i="1"/>
  <c r="F1096" i="1"/>
  <c r="E1096" i="1"/>
  <c r="D1096" i="1"/>
  <c r="C1096" i="1"/>
  <c r="H1095" i="1"/>
  <c r="G1095" i="1"/>
  <c r="F1095" i="1"/>
  <c r="E1095" i="1"/>
  <c r="D1095" i="1"/>
  <c r="C1095" i="1"/>
  <c r="H1094" i="1"/>
  <c r="G1094" i="1"/>
  <c r="F1094" i="1"/>
  <c r="E1094" i="1"/>
  <c r="D1094" i="1"/>
  <c r="C1094" i="1"/>
  <c r="H1093" i="1"/>
  <c r="G1093" i="1"/>
  <c r="F1093" i="1"/>
  <c r="E1093" i="1"/>
  <c r="D1093" i="1"/>
  <c r="C1093" i="1"/>
  <c r="H1092" i="1"/>
  <c r="G1092" i="1"/>
  <c r="F1092" i="1"/>
  <c r="E1092" i="1"/>
  <c r="D1092" i="1"/>
  <c r="C1092" i="1"/>
  <c r="H1091" i="1"/>
  <c r="G1091" i="1"/>
  <c r="F1091" i="1"/>
  <c r="E1091" i="1"/>
  <c r="D1091" i="1"/>
  <c r="C1091" i="1"/>
  <c r="H1090" i="1"/>
  <c r="G1090" i="1"/>
  <c r="F1090" i="1"/>
  <c r="E1090" i="1"/>
  <c r="D1090" i="1"/>
  <c r="C1090" i="1"/>
  <c r="H1089" i="1"/>
  <c r="G1089" i="1"/>
  <c r="F1089" i="1"/>
  <c r="E1089" i="1"/>
  <c r="D1089" i="1"/>
  <c r="C1089" i="1"/>
  <c r="H1088" i="1"/>
  <c r="G1088" i="1"/>
  <c r="F1088" i="1"/>
  <c r="E1088" i="1"/>
  <c r="D1088" i="1"/>
  <c r="C1088" i="1"/>
  <c r="H1087" i="1"/>
  <c r="G1087" i="1"/>
  <c r="F1087" i="1"/>
  <c r="E1087" i="1"/>
  <c r="D1087" i="1"/>
  <c r="C1087" i="1"/>
  <c r="H1086" i="1"/>
  <c r="G1086" i="1"/>
  <c r="F1086" i="1"/>
  <c r="E1086" i="1"/>
  <c r="D1086" i="1"/>
  <c r="C1086" i="1"/>
  <c r="H1085" i="1"/>
  <c r="G1085" i="1"/>
  <c r="F1085" i="1"/>
  <c r="E1085" i="1"/>
  <c r="D1085" i="1"/>
  <c r="C1085" i="1"/>
  <c r="H1084" i="1"/>
  <c r="G1084" i="1"/>
  <c r="F1084" i="1"/>
  <c r="E1084" i="1"/>
  <c r="D1084" i="1"/>
  <c r="C1084" i="1"/>
  <c r="H1083" i="1"/>
  <c r="G1083" i="1"/>
  <c r="F1083" i="1"/>
  <c r="E1083" i="1"/>
  <c r="D1083" i="1"/>
  <c r="C1083" i="1"/>
  <c r="H1082" i="1"/>
  <c r="G1082" i="1"/>
  <c r="F1082" i="1"/>
  <c r="E1082" i="1"/>
  <c r="D1082" i="1"/>
  <c r="C1082" i="1"/>
  <c r="H1081" i="1"/>
  <c r="G1081" i="1"/>
  <c r="F1081" i="1"/>
  <c r="E1081" i="1"/>
  <c r="D1081" i="1"/>
  <c r="C1081" i="1"/>
  <c r="H1080" i="1"/>
  <c r="G1080" i="1"/>
  <c r="F1080" i="1"/>
  <c r="E1080" i="1"/>
  <c r="D1080" i="1"/>
  <c r="C1080" i="1"/>
  <c r="H1079" i="1"/>
  <c r="G1079" i="1"/>
  <c r="F1079" i="1"/>
  <c r="E1079" i="1"/>
  <c r="D1079" i="1"/>
  <c r="C1079" i="1"/>
  <c r="H1078" i="1"/>
  <c r="G1078" i="1"/>
  <c r="F1078" i="1"/>
  <c r="E1078" i="1"/>
  <c r="D1078" i="1"/>
  <c r="C1078" i="1"/>
  <c r="H1077" i="1"/>
  <c r="G1077" i="1"/>
  <c r="F1077" i="1"/>
  <c r="E1077" i="1"/>
  <c r="D1077" i="1"/>
  <c r="C1077" i="1"/>
  <c r="H1076" i="1"/>
  <c r="G1076" i="1"/>
  <c r="F1076" i="1"/>
  <c r="E1076" i="1"/>
  <c r="D1076" i="1"/>
  <c r="C1076" i="1"/>
  <c r="H1075" i="1"/>
  <c r="G1075" i="1"/>
  <c r="F1075" i="1"/>
  <c r="E1075" i="1"/>
  <c r="D1075" i="1"/>
  <c r="C1075" i="1"/>
  <c r="H1074" i="1"/>
  <c r="G1074" i="1"/>
  <c r="F1074" i="1"/>
  <c r="E1074" i="1"/>
  <c r="D1074" i="1"/>
  <c r="C1074" i="1"/>
  <c r="H1073" i="1"/>
  <c r="G1073" i="1"/>
  <c r="F1073" i="1"/>
  <c r="E1073" i="1"/>
  <c r="D1073" i="1"/>
  <c r="C1073" i="1"/>
  <c r="H1072" i="1"/>
  <c r="G1072" i="1"/>
  <c r="F1072" i="1"/>
  <c r="E1072" i="1"/>
  <c r="D1072" i="1"/>
  <c r="C1072" i="1"/>
  <c r="H1071" i="1"/>
  <c r="G1071" i="1"/>
  <c r="F1071" i="1"/>
  <c r="E1071" i="1"/>
  <c r="D1071" i="1"/>
  <c r="C1071" i="1"/>
  <c r="H1070" i="1"/>
  <c r="G1070" i="1"/>
  <c r="F1070" i="1"/>
  <c r="E1070" i="1"/>
  <c r="D1070" i="1"/>
  <c r="C1070" i="1"/>
  <c r="H1069" i="1"/>
  <c r="G1069" i="1"/>
  <c r="F1069" i="1"/>
  <c r="E1069" i="1"/>
  <c r="D1069" i="1"/>
  <c r="C1069" i="1"/>
  <c r="H1068" i="1"/>
  <c r="G1068" i="1"/>
  <c r="F1068" i="1"/>
  <c r="E1068" i="1"/>
  <c r="D1068" i="1"/>
  <c r="C1068" i="1"/>
  <c r="H1067" i="1"/>
  <c r="G1067" i="1"/>
  <c r="F1067" i="1"/>
  <c r="E1067" i="1"/>
  <c r="D1067" i="1"/>
  <c r="C1067" i="1"/>
  <c r="H1066" i="1"/>
  <c r="G1066" i="1"/>
  <c r="F1066" i="1"/>
  <c r="E1066" i="1"/>
  <c r="D1066" i="1"/>
  <c r="C1066" i="1"/>
  <c r="H1065" i="1"/>
  <c r="G1065" i="1"/>
  <c r="F1065" i="1"/>
  <c r="E1065" i="1"/>
  <c r="D1065" i="1"/>
  <c r="C1065" i="1"/>
  <c r="H1064" i="1"/>
  <c r="G1064" i="1"/>
  <c r="F1064" i="1"/>
  <c r="E1064" i="1"/>
  <c r="D1064" i="1"/>
  <c r="C1064" i="1"/>
  <c r="H1063" i="1"/>
  <c r="G1063" i="1"/>
  <c r="F1063" i="1"/>
  <c r="E1063" i="1"/>
  <c r="D1063" i="1"/>
  <c r="C1063" i="1"/>
  <c r="H1062" i="1"/>
  <c r="G1062" i="1"/>
  <c r="F1062" i="1"/>
  <c r="E1062" i="1"/>
  <c r="D1062" i="1"/>
  <c r="C1062" i="1"/>
  <c r="H1061" i="1"/>
  <c r="G1061" i="1"/>
  <c r="F1061" i="1"/>
  <c r="E1061" i="1"/>
  <c r="D1061" i="1"/>
  <c r="C1061" i="1"/>
  <c r="H1060" i="1"/>
  <c r="G1060" i="1"/>
  <c r="F1060" i="1"/>
  <c r="E1060" i="1"/>
  <c r="D1060" i="1"/>
  <c r="C1060" i="1"/>
  <c r="H1059" i="1"/>
  <c r="G1059" i="1"/>
  <c r="F1059" i="1"/>
  <c r="E1059" i="1"/>
  <c r="D1059" i="1"/>
  <c r="C1059" i="1"/>
  <c r="H1058" i="1"/>
  <c r="G1058" i="1"/>
  <c r="F1058" i="1"/>
  <c r="E1058" i="1"/>
  <c r="D1058" i="1"/>
  <c r="C1058" i="1"/>
  <c r="H1057" i="1"/>
  <c r="G1057" i="1"/>
  <c r="F1057" i="1"/>
  <c r="E1057" i="1"/>
  <c r="D1057" i="1"/>
  <c r="C1057" i="1"/>
  <c r="H1056" i="1"/>
  <c r="G1056" i="1"/>
  <c r="F1056" i="1"/>
  <c r="E1056" i="1"/>
  <c r="D1056" i="1"/>
  <c r="C1056" i="1"/>
  <c r="H1055" i="1"/>
  <c r="G1055" i="1"/>
  <c r="F1055" i="1"/>
  <c r="E1055" i="1"/>
  <c r="D1055" i="1"/>
  <c r="C1055" i="1"/>
  <c r="H1054" i="1"/>
  <c r="G1054" i="1"/>
  <c r="F1054" i="1"/>
  <c r="E1054" i="1"/>
  <c r="D1054" i="1"/>
  <c r="C1054" i="1"/>
  <c r="H1053" i="1"/>
  <c r="G1053" i="1"/>
  <c r="F1053" i="1"/>
  <c r="E1053" i="1"/>
  <c r="D1053" i="1"/>
  <c r="C1053" i="1"/>
  <c r="H1052" i="1"/>
  <c r="G1052" i="1"/>
  <c r="F1052" i="1"/>
  <c r="E1052" i="1"/>
  <c r="D1052" i="1"/>
  <c r="C1052" i="1"/>
  <c r="H1051" i="1"/>
  <c r="G1051" i="1"/>
  <c r="F1051" i="1"/>
  <c r="E1051" i="1"/>
  <c r="D1051" i="1"/>
  <c r="C1051" i="1"/>
  <c r="H1050" i="1"/>
  <c r="G1050" i="1"/>
  <c r="F1050" i="1"/>
  <c r="E1050" i="1"/>
  <c r="D1050" i="1"/>
  <c r="C1050" i="1"/>
  <c r="H1049" i="1"/>
  <c r="G1049" i="1"/>
  <c r="F1049" i="1"/>
  <c r="E1049" i="1"/>
  <c r="D1049" i="1"/>
  <c r="C1049" i="1"/>
  <c r="H1048" i="1"/>
  <c r="G1048" i="1"/>
  <c r="F1048" i="1"/>
  <c r="E1048" i="1"/>
  <c r="D1048" i="1"/>
  <c r="C1048" i="1"/>
  <c r="H1047" i="1"/>
  <c r="G1047" i="1"/>
  <c r="F1047" i="1"/>
  <c r="E1047" i="1"/>
  <c r="D1047" i="1"/>
  <c r="C1047" i="1"/>
  <c r="H1046" i="1"/>
  <c r="G1046" i="1"/>
  <c r="F1046" i="1"/>
  <c r="E1046" i="1"/>
  <c r="D1046" i="1"/>
  <c r="C1046" i="1"/>
  <c r="H1045" i="1"/>
  <c r="G1045" i="1"/>
  <c r="F1045" i="1"/>
  <c r="E1045" i="1"/>
  <c r="D1045" i="1"/>
  <c r="C1045" i="1"/>
  <c r="H1044" i="1"/>
  <c r="G1044" i="1"/>
  <c r="F1044" i="1"/>
  <c r="E1044" i="1"/>
  <c r="D1044" i="1"/>
  <c r="C1044" i="1"/>
  <c r="H1043" i="1"/>
  <c r="G1043" i="1"/>
  <c r="F1043" i="1"/>
  <c r="E1043" i="1"/>
  <c r="D1043" i="1"/>
  <c r="C1043" i="1"/>
  <c r="H1042" i="1"/>
  <c r="G1042" i="1"/>
  <c r="F1042" i="1"/>
  <c r="E1042" i="1"/>
  <c r="D1042" i="1"/>
  <c r="C1042" i="1"/>
  <c r="H1041" i="1"/>
  <c r="G1041" i="1"/>
  <c r="F1041" i="1"/>
  <c r="E1041" i="1"/>
  <c r="D1041" i="1"/>
  <c r="C1041" i="1"/>
  <c r="H1040" i="1"/>
  <c r="G1040" i="1"/>
  <c r="F1040" i="1"/>
  <c r="E1040" i="1"/>
  <c r="D1040" i="1"/>
  <c r="C1040" i="1"/>
  <c r="H1039" i="1"/>
  <c r="G1039" i="1"/>
  <c r="F1039" i="1"/>
  <c r="E1039" i="1"/>
  <c r="D1039" i="1"/>
  <c r="C1039" i="1"/>
  <c r="H1038" i="1"/>
  <c r="G1038" i="1"/>
  <c r="F1038" i="1"/>
  <c r="E1038" i="1"/>
  <c r="D1038" i="1"/>
  <c r="C1038" i="1"/>
  <c r="H1037" i="1"/>
  <c r="G1037" i="1"/>
  <c r="F1037" i="1"/>
  <c r="E1037" i="1"/>
  <c r="D1037" i="1"/>
  <c r="C1037" i="1"/>
  <c r="H1036" i="1"/>
  <c r="G1036" i="1"/>
  <c r="F1036" i="1"/>
  <c r="E1036" i="1"/>
  <c r="D1036" i="1"/>
  <c r="C1036" i="1"/>
  <c r="H1035" i="1"/>
  <c r="G1035" i="1"/>
  <c r="F1035" i="1"/>
  <c r="E1035" i="1"/>
  <c r="D1035" i="1"/>
  <c r="C1035" i="1"/>
  <c r="H1034" i="1"/>
  <c r="G1034" i="1"/>
  <c r="F1034" i="1"/>
  <c r="E1034" i="1"/>
  <c r="D1034" i="1"/>
  <c r="C1034" i="1"/>
  <c r="H1033" i="1"/>
  <c r="G1033" i="1"/>
  <c r="F1033" i="1"/>
  <c r="E1033" i="1"/>
  <c r="D1033" i="1"/>
  <c r="C1033" i="1"/>
  <c r="H1032" i="1"/>
  <c r="G1032" i="1"/>
  <c r="F1032" i="1"/>
  <c r="E1032" i="1"/>
  <c r="D1032" i="1"/>
  <c r="C1032" i="1"/>
  <c r="H1031" i="1"/>
  <c r="G1031" i="1"/>
  <c r="F1031" i="1"/>
  <c r="E1031" i="1"/>
  <c r="D1031" i="1"/>
  <c r="C1031" i="1"/>
  <c r="H1030" i="1"/>
  <c r="G1030" i="1"/>
  <c r="F1030" i="1"/>
  <c r="E1030" i="1"/>
  <c r="D1030" i="1"/>
  <c r="C1030" i="1"/>
  <c r="H1029" i="1"/>
  <c r="G1029" i="1"/>
  <c r="F1029" i="1"/>
  <c r="E1029" i="1"/>
  <c r="D1029" i="1"/>
  <c r="C1029" i="1"/>
  <c r="H1028" i="1"/>
  <c r="G1028" i="1"/>
  <c r="F1028" i="1"/>
  <c r="E1028" i="1"/>
  <c r="D1028" i="1"/>
  <c r="C1028" i="1"/>
  <c r="H1027" i="1"/>
  <c r="G1027" i="1"/>
  <c r="F1027" i="1"/>
  <c r="E1027" i="1"/>
  <c r="D1027" i="1"/>
  <c r="C1027" i="1"/>
  <c r="H1026" i="1"/>
  <c r="G1026" i="1"/>
  <c r="F1026" i="1"/>
  <c r="E1026" i="1"/>
  <c r="D1026" i="1"/>
  <c r="C1026" i="1"/>
  <c r="H1025" i="1"/>
  <c r="G1025" i="1"/>
  <c r="F1025" i="1"/>
  <c r="E1025" i="1"/>
  <c r="D1025" i="1"/>
  <c r="C1025" i="1"/>
  <c r="H1024" i="1"/>
  <c r="G1024" i="1"/>
  <c r="F1024" i="1"/>
  <c r="E1024" i="1"/>
  <c r="D1024" i="1"/>
  <c r="C1024" i="1"/>
  <c r="H1023" i="1"/>
  <c r="G1023" i="1"/>
  <c r="F1023" i="1"/>
  <c r="E1023" i="1"/>
  <c r="D1023" i="1"/>
  <c r="C1023" i="1"/>
  <c r="H1022" i="1"/>
  <c r="G1022" i="1"/>
  <c r="F1022" i="1"/>
  <c r="E1022" i="1"/>
  <c r="D1022" i="1"/>
  <c r="C1022" i="1"/>
  <c r="H1021" i="1"/>
  <c r="G1021" i="1"/>
  <c r="F1021" i="1"/>
  <c r="E1021" i="1"/>
  <c r="D1021" i="1"/>
  <c r="C1021" i="1"/>
  <c r="H1020" i="1"/>
  <c r="G1020" i="1"/>
  <c r="F1020" i="1"/>
  <c r="E1020" i="1"/>
  <c r="D1020" i="1"/>
  <c r="C1020" i="1"/>
  <c r="H1019" i="1"/>
  <c r="G1019" i="1"/>
  <c r="F1019" i="1"/>
  <c r="E1019" i="1"/>
  <c r="D1019" i="1"/>
  <c r="C1019" i="1"/>
  <c r="H1018" i="1"/>
  <c r="G1018" i="1"/>
  <c r="F1018" i="1"/>
  <c r="E1018" i="1"/>
  <c r="D1018" i="1"/>
  <c r="C1018" i="1"/>
  <c r="H1017" i="1"/>
  <c r="G1017" i="1"/>
  <c r="F1017" i="1"/>
  <c r="E1017" i="1"/>
  <c r="D1017" i="1"/>
  <c r="C1017" i="1"/>
  <c r="H1016" i="1"/>
  <c r="G1016" i="1"/>
  <c r="F1016" i="1"/>
  <c r="E1016" i="1"/>
  <c r="D1016" i="1"/>
  <c r="C1016" i="1"/>
  <c r="H1015" i="1"/>
  <c r="G1015" i="1"/>
  <c r="F1015" i="1"/>
  <c r="E1015" i="1"/>
  <c r="D1015" i="1"/>
  <c r="C1015" i="1"/>
  <c r="H1014" i="1"/>
  <c r="G1014" i="1"/>
  <c r="F1014" i="1"/>
  <c r="E1014" i="1"/>
  <c r="D1014" i="1"/>
  <c r="C1014" i="1"/>
  <c r="H1013" i="1"/>
  <c r="G1013" i="1"/>
  <c r="F1013" i="1"/>
  <c r="E1013" i="1"/>
  <c r="D1013" i="1"/>
  <c r="C1013" i="1"/>
  <c r="H1012" i="1"/>
  <c r="G1012" i="1"/>
  <c r="F1012" i="1"/>
  <c r="E1012" i="1"/>
  <c r="D1012" i="1"/>
  <c r="C1012" i="1"/>
  <c r="H1011" i="1"/>
  <c r="G1011" i="1"/>
  <c r="F1011" i="1"/>
  <c r="E1011" i="1"/>
  <c r="D1011" i="1"/>
  <c r="C1011" i="1"/>
  <c r="H1010" i="1"/>
  <c r="G1010" i="1"/>
  <c r="F1010" i="1"/>
  <c r="E1010" i="1"/>
  <c r="D1010" i="1"/>
  <c r="C1010" i="1"/>
  <c r="H1009" i="1"/>
  <c r="G1009" i="1"/>
  <c r="F1009" i="1"/>
  <c r="E1009" i="1"/>
  <c r="D1009" i="1"/>
  <c r="C1009" i="1"/>
  <c r="H1008" i="1"/>
  <c r="G1008" i="1"/>
  <c r="F1008" i="1"/>
  <c r="E1008" i="1"/>
  <c r="D1008" i="1"/>
  <c r="C1008" i="1"/>
  <c r="H1007" i="1"/>
  <c r="G1007" i="1"/>
  <c r="F1007" i="1"/>
  <c r="E1007" i="1"/>
  <c r="D1007" i="1"/>
  <c r="C1007" i="1"/>
  <c r="H1006" i="1"/>
  <c r="G1006" i="1"/>
  <c r="F1006" i="1"/>
  <c r="E1006" i="1"/>
  <c r="D1006" i="1"/>
  <c r="C1006" i="1"/>
  <c r="H1005" i="1"/>
  <c r="G1005" i="1"/>
  <c r="F1005" i="1"/>
  <c r="E1005" i="1"/>
  <c r="D1005" i="1"/>
  <c r="C1005" i="1"/>
  <c r="H1004" i="1"/>
  <c r="G1004" i="1"/>
  <c r="F1004" i="1"/>
  <c r="E1004" i="1"/>
  <c r="D1004" i="1"/>
  <c r="C1004" i="1"/>
  <c r="H1003" i="1"/>
  <c r="G1003" i="1"/>
  <c r="F1003" i="1"/>
  <c r="E1003" i="1"/>
  <c r="D1003" i="1"/>
  <c r="C1003" i="1"/>
  <c r="H1002" i="1"/>
  <c r="G1002" i="1"/>
  <c r="F1002" i="1"/>
  <c r="E1002" i="1"/>
  <c r="D1002" i="1"/>
  <c r="C1002" i="1"/>
  <c r="H1001" i="1"/>
  <c r="G1001" i="1"/>
  <c r="F1001" i="1"/>
  <c r="E1001" i="1"/>
  <c r="D1001" i="1"/>
  <c r="C1001" i="1"/>
  <c r="H1000" i="1"/>
  <c r="G1000" i="1"/>
  <c r="F1000" i="1"/>
  <c r="E1000" i="1"/>
  <c r="D1000" i="1"/>
  <c r="C1000" i="1"/>
  <c r="H999" i="1"/>
  <c r="G999" i="1"/>
  <c r="F999" i="1"/>
  <c r="E999" i="1"/>
  <c r="D999" i="1"/>
  <c r="C999" i="1"/>
  <c r="H998" i="1"/>
  <c r="G998" i="1"/>
  <c r="F998" i="1"/>
  <c r="E998" i="1"/>
  <c r="D998" i="1"/>
  <c r="C998" i="1"/>
  <c r="H997" i="1"/>
  <c r="G997" i="1"/>
  <c r="F997" i="1"/>
  <c r="E997" i="1"/>
  <c r="D997" i="1"/>
  <c r="C997" i="1"/>
  <c r="H996" i="1"/>
  <c r="G996" i="1"/>
  <c r="F996" i="1"/>
  <c r="E996" i="1"/>
  <c r="D996" i="1"/>
  <c r="C996" i="1"/>
  <c r="H995" i="1"/>
  <c r="G995" i="1"/>
  <c r="F995" i="1"/>
  <c r="E995" i="1"/>
  <c r="D995" i="1"/>
  <c r="C995" i="1"/>
  <c r="H994" i="1"/>
  <c r="G994" i="1"/>
  <c r="F994" i="1"/>
  <c r="E994" i="1"/>
  <c r="D994" i="1"/>
  <c r="C994" i="1"/>
  <c r="H993" i="1"/>
  <c r="G993" i="1"/>
  <c r="F993" i="1"/>
  <c r="E993" i="1"/>
  <c r="D993" i="1"/>
  <c r="C993" i="1"/>
  <c r="H992" i="1"/>
  <c r="G992" i="1"/>
  <c r="F992" i="1"/>
  <c r="E992" i="1"/>
  <c r="D992" i="1"/>
  <c r="C992" i="1"/>
  <c r="H991" i="1"/>
  <c r="G991" i="1"/>
  <c r="F991" i="1"/>
  <c r="E991" i="1"/>
  <c r="D991" i="1"/>
  <c r="C991" i="1"/>
  <c r="H990" i="1"/>
  <c r="G990" i="1"/>
  <c r="F990" i="1"/>
  <c r="E990" i="1"/>
  <c r="D990" i="1"/>
  <c r="C990" i="1"/>
  <c r="H989" i="1"/>
  <c r="G989" i="1"/>
  <c r="F989" i="1"/>
  <c r="E989" i="1"/>
  <c r="D989" i="1"/>
  <c r="C989" i="1"/>
  <c r="H988" i="1"/>
  <c r="G988" i="1"/>
  <c r="F988" i="1"/>
  <c r="E988" i="1"/>
  <c r="D988" i="1"/>
  <c r="C988" i="1"/>
  <c r="H987" i="1"/>
  <c r="G987" i="1"/>
  <c r="F987" i="1"/>
  <c r="E987" i="1"/>
  <c r="D987" i="1"/>
  <c r="C987" i="1"/>
  <c r="H986" i="1"/>
  <c r="G986" i="1"/>
  <c r="F986" i="1"/>
  <c r="E986" i="1"/>
  <c r="D986" i="1"/>
  <c r="C986" i="1"/>
  <c r="H985" i="1"/>
  <c r="G985" i="1"/>
  <c r="F985" i="1"/>
  <c r="E985" i="1"/>
  <c r="D985" i="1"/>
  <c r="C985" i="1"/>
  <c r="H984" i="1"/>
  <c r="G984" i="1"/>
  <c r="F984" i="1"/>
  <c r="E984" i="1"/>
  <c r="D984" i="1"/>
  <c r="C984" i="1"/>
  <c r="H983" i="1"/>
  <c r="G983" i="1"/>
  <c r="F983" i="1"/>
  <c r="E983" i="1"/>
  <c r="D983" i="1"/>
  <c r="C983" i="1"/>
  <c r="H982" i="1"/>
  <c r="G982" i="1"/>
  <c r="F982" i="1"/>
  <c r="E982" i="1"/>
  <c r="D982" i="1"/>
  <c r="C982" i="1"/>
  <c r="H981" i="1"/>
  <c r="G981" i="1"/>
  <c r="F981" i="1"/>
  <c r="E981" i="1"/>
  <c r="D981" i="1"/>
  <c r="C981" i="1"/>
  <c r="H980" i="1"/>
  <c r="G980" i="1"/>
  <c r="F980" i="1"/>
  <c r="E980" i="1"/>
  <c r="D980" i="1"/>
  <c r="C980" i="1"/>
  <c r="H979" i="1"/>
  <c r="G979" i="1"/>
  <c r="F979" i="1"/>
  <c r="E979" i="1"/>
  <c r="D979" i="1"/>
  <c r="C979" i="1"/>
  <c r="H978" i="1"/>
  <c r="G978" i="1"/>
  <c r="F978" i="1"/>
  <c r="E978" i="1"/>
  <c r="D978" i="1"/>
  <c r="C978" i="1"/>
  <c r="H977" i="1"/>
  <c r="G977" i="1"/>
  <c r="F977" i="1"/>
  <c r="E977" i="1"/>
  <c r="D977" i="1"/>
  <c r="C977" i="1"/>
  <c r="H976" i="1"/>
  <c r="G976" i="1"/>
  <c r="F976" i="1"/>
  <c r="E976" i="1"/>
  <c r="D976" i="1"/>
  <c r="C976" i="1"/>
  <c r="H975" i="1"/>
  <c r="G975" i="1"/>
  <c r="F975" i="1"/>
  <c r="E975" i="1"/>
  <c r="D975" i="1"/>
  <c r="C975" i="1"/>
  <c r="H974" i="1"/>
  <c r="G974" i="1"/>
  <c r="F974" i="1"/>
  <c r="E974" i="1"/>
  <c r="D974" i="1"/>
  <c r="C974" i="1"/>
  <c r="H973" i="1"/>
  <c r="G973" i="1"/>
  <c r="F973" i="1"/>
  <c r="E973" i="1"/>
  <c r="D973" i="1"/>
  <c r="C973" i="1"/>
  <c r="H972" i="1"/>
  <c r="G972" i="1"/>
  <c r="F972" i="1"/>
  <c r="E972" i="1"/>
  <c r="D972" i="1"/>
  <c r="C972" i="1"/>
  <c r="H971" i="1"/>
  <c r="G971" i="1"/>
  <c r="F971" i="1"/>
  <c r="E971" i="1"/>
  <c r="D971" i="1"/>
  <c r="C971" i="1"/>
  <c r="H970" i="1"/>
  <c r="G970" i="1"/>
  <c r="F970" i="1"/>
  <c r="E970" i="1"/>
  <c r="D970" i="1"/>
  <c r="C970" i="1"/>
  <c r="H969" i="1"/>
  <c r="G969" i="1"/>
  <c r="F969" i="1"/>
  <c r="E969" i="1"/>
  <c r="D969" i="1"/>
  <c r="C969" i="1"/>
  <c r="H968" i="1"/>
  <c r="G968" i="1"/>
  <c r="F968" i="1"/>
  <c r="E968" i="1"/>
  <c r="D968" i="1"/>
  <c r="C968" i="1"/>
  <c r="H967" i="1"/>
  <c r="G967" i="1"/>
  <c r="F967" i="1"/>
  <c r="E967" i="1"/>
  <c r="D967" i="1"/>
  <c r="C967" i="1"/>
  <c r="H966" i="1"/>
  <c r="G966" i="1"/>
  <c r="F966" i="1"/>
  <c r="E966" i="1"/>
  <c r="D966" i="1"/>
  <c r="C966" i="1"/>
  <c r="H965" i="1"/>
  <c r="G965" i="1"/>
  <c r="F965" i="1"/>
  <c r="E965" i="1"/>
  <c r="D965" i="1"/>
  <c r="C965" i="1"/>
  <c r="H964" i="1"/>
  <c r="G964" i="1"/>
  <c r="F964" i="1"/>
  <c r="E964" i="1"/>
  <c r="D964" i="1"/>
  <c r="C964" i="1"/>
  <c r="H963" i="1"/>
  <c r="G963" i="1"/>
  <c r="F963" i="1"/>
  <c r="E963" i="1"/>
  <c r="D963" i="1"/>
  <c r="C963" i="1"/>
  <c r="H962" i="1"/>
  <c r="G962" i="1"/>
  <c r="F962" i="1"/>
  <c r="E962" i="1"/>
  <c r="D962" i="1"/>
  <c r="C962" i="1"/>
  <c r="H961" i="1"/>
  <c r="G961" i="1"/>
  <c r="F961" i="1"/>
  <c r="E961" i="1"/>
  <c r="D961" i="1"/>
  <c r="C961" i="1"/>
  <c r="H960" i="1"/>
  <c r="G960" i="1"/>
  <c r="F960" i="1"/>
  <c r="E960" i="1"/>
  <c r="D960" i="1"/>
  <c r="C960" i="1"/>
  <c r="H959" i="1"/>
  <c r="G959" i="1"/>
  <c r="F959" i="1"/>
  <c r="E959" i="1"/>
  <c r="D959" i="1"/>
  <c r="C959" i="1"/>
  <c r="H958" i="1"/>
  <c r="G958" i="1"/>
  <c r="F958" i="1"/>
  <c r="E958" i="1"/>
  <c r="D958" i="1"/>
  <c r="C958" i="1"/>
  <c r="H957" i="1"/>
  <c r="G957" i="1"/>
  <c r="F957" i="1"/>
  <c r="E957" i="1"/>
  <c r="D957" i="1"/>
  <c r="C957" i="1"/>
  <c r="H956" i="1"/>
  <c r="G956" i="1"/>
  <c r="F956" i="1"/>
  <c r="E956" i="1"/>
  <c r="D956" i="1"/>
  <c r="C956" i="1"/>
  <c r="H955" i="1"/>
  <c r="G955" i="1"/>
  <c r="F955" i="1"/>
  <c r="E955" i="1"/>
  <c r="D955" i="1"/>
  <c r="C955" i="1"/>
  <c r="H954" i="1"/>
  <c r="G954" i="1"/>
  <c r="F954" i="1"/>
  <c r="E954" i="1"/>
  <c r="D954" i="1"/>
  <c r="C954" i="1"/>
  <c r="H953" i="1"/>
  <c r="G953" i="1"/>
  <c r="F953" i="1"/>
  <c r="E953" i="1"/>
  <c r="D953" i="1"/>
  <c r="C953" i="1"/>
  <c r="H952" i="1"/>
  <c r="G952" i="1"/>
  <c r="F952" i="1"/>
  <c r="E952" i="1"/>
  <c r="D952" i="1"/>
  <c r="C952" i="1"/>
  <c r="H951" i="1"/>
  <c r="G951" i="1"/>
  <c r="F951" i="1"/>
  <c r="E951" i="1"/>
  <c r="D951" i="1"/>
  <c r="C951" i="1"/>
  <c r="H950" i="1"/>
  <c r="G950" i="1"/>
  <c r="F950" i="1"/>
  <c r="E950" i="1"/>
  <c r="D950" i="1"/>
  <c r="C950" i="1"/>
  <c r="H949" i="1"/>
  <c r="G949" i="1"/>
  <c r="F949" i="1"/>
  <c r="E949" i="1"/>
  <c r="D949" i="1"/>
  <c r="C949" i="1"/>
  <c r="H948" i="1"/>
  <c r="G948" i="1"/>
  <c r="F948" i="1"/>
  <c r="E948" i="1"/>
  <c r="D948" i="1"/>
  <c r="C948" i="1"/>
  <c r="H947" i="1"/>
  <c r="G947" i="1"/>
  <c r="F947" i="1"/>
  <c r="E947" i="1"/>
  <c r="D947" i="1"/>
  <c r="C947" i="1"/>
  <c r="H946" i="1"/>
  <c r="G946" i="1"/>
  <c r="F946" i="1"/>
  <c r="E946" i="1"/>
  <c r="D946" i="1"/>
  <c r="C946" i="1"/>
  <c r="H945" i="1"/>
  <c r="G945" i="1"/>
  <c r="F945" i="1"/>
  <c r="E945" i="1"/>
  <c r="D945" i="1"/>
  <c r="C945" i="1"/>
  <c r="H944" i="1"/>
  <c r="G944" i="1"/>
  <c r="F944" i="1"/>
  <c r="E944" i="1"/>
  <c r="D944" i="1"/>
  <c r="C944" i="1"/>
  <c r="H943" i="1"/>
  <c r="G943" i="1"/>
  <c r="F943" i="1"/>
  <c r="E943" i="1"/>
  <c r="D943" i="1"/>
  <c r="C943" i="1"/>
  <c r="H942" i="1"/>
  <c r="G942" i="1"/>
  <c r="F942" i="1"/>
  <c r="E942" i="1"/>
  <c r="D942" i="1"/>
  <c r="C942" i="1"/>
  <c r="H941" i="1"/>
  <c r="G941" i="1"/>
  <c r="F941" i="1"/>
  <c r="E941" i="1"/>
  <c r="D941" i="1"/>
  <c r="C941" i="1"/>
  <c r="H940" i="1"/>
  <c r="G940" i="1"/>
  <c r="F940" i="1"/>
  <c r="E940" i="1"/>
  <c r="D940" i="1"/>
  <c r="C940" i="1"/>
  <c r="H939" i="1"/>
  <c r="G939" i="1"/>
  <c r="F939" i="1"/>
  <c r="E939" i="1"/>
  <c r="D939" i="1"/>
  <c r="C939" i="1"/>
  <c r="H938" i="1"/>
  <c r="G938" i="1"/>
  <c r="F938" i="1"/>
  <c r="E938" i="1"/>
  <c r="D938" i="1"/>
  <c r="C938" i="1"/>
  <c r="H937" i="1"/>
  <c r="G937" i="1"/>
  <c r="F937" i="1"/>
  <c r="E937" i="1"/>
  <c r="D937" i="1"/>
  <c r="C937" i="1"/>
  <c r="H936" i="1"/>
  <c r="G936" i="1"/>
  <c r="F936" i="1"/>
  <c r="E936" i="1"/>
  <c r="D936" i="1"/>
  <c r="C936" i="1"/>
  <c r="H935" i="1"/>
  <c r="G935" i="1"/>
  <c r="F935" i="1"/>
  <c r="E935" i="1"/>
  <c r="D935" i="1"/>
  <c r="C935" i="1"/>
  <c r="H934" i="1"/>
  <c r="G934" i="1"/>
  <c r="F934" i="1"/>
  <c r="E934" i="1"/>
  <c r="D934" i="1"/>
  <c r="C934" i="1"/>
  <c r="H933" i="1"/>
  <c r="G933" i="1"/>
  <c r="F933" i="1"/>
  <c r="E933" i="1"/>
  <c r="D933" i="1"/>
  <c r="C933" i="1"/>
  <c r="H932" i="1"/>
  <c r="G932" i="1"/>
  <c r="F932" i="1"/>
  <c r="E932" i="1"/>
  <c r="D932" i="1"/>
  <c r="C932" i="1"/>
  <c r="H931" i="1"/>
  <c r="G931" i="1"/>
  <c r="F931" i="1"/>
  <c r="E931" i="1"/>
  <c r="D931" i="1"/>
  <c r="C931" i="1"/>
  <c r="H930" i="1"/>
  <c r="G930" i="1"/>
  <c r="F930" i="1"/>
  <c r="E930" i="1"/>
  <c r="D930" i="1"/>
  <c r="C930" i="1"/>
  <c r="H929" i="1"/>
  <c r="G929" i="1"/>
  <c r="F929" i="1"/>
  <c r="E929" i="1"/>
  <c r="D929" i="1"/>
  <c r="C929" i="1"/>
  <c r="H928" i="1"/>
  <c r="G928" i="1"/>
  <c r="F928" i="1"/>
  <c r="E928" i="1"/>
  <c r="D928" i="1"/>
  <c r="C928" i="1"/>
  <c r="H927" i="1"/>
  <c r="G927" i="1"/>
  <c r="F927" i="1"/>
  <c r="E927" i="1"/>
  <c r="D927" i="1"/>
  <c r="C927" i="1"/>
  <c r="H926" i="1"/>
  <c r="G926" i="1"/>
  <c r="F926" i="1"/>
  <c r="E926" i="1"/>
  <c r="D926" i="1"/>
  <c r="C926" i="1"/>
  <c r="H925" i="1"/>
  <c r="G925" i="1"/>
  <c r="F925" i="1"/>
  <c r="E925" i="1"/>
  <c r="D925" i="1"/>
  <c r="C925" i="1"/>
  <c r="H924" i="1"/>
  <c r="G924" i="1"/>
  <c r="F924" i="1"/>
  <c r="E924" i="1"/>
  <c r="D924" i="1"/>
  <c r="C924" i="1"/>
  <c r="H923" i="1"/>
  <c r="G923" i="1"/>
  <c r="F923" i="1"/>
  <c r="E923" i="1"/>
  <c r="D923" i="1"/>
  <c r="C923" i="1"/>
  <c r="H922" i="1"/>
  <c r="G922" i="1"/>
  <c r="F922" i="1"/>
  <c r="E922" i="1"/>
  <c r="D922" i="1"/>
  <c r="C922" i="1"/>
  <c r="H921" i="1"/>
  <c r="G921" i="1"/>
  <c r="F921" i="1"/>
  <c r="E921" i="1"/>
  <c r="D921" i="1"/>
  <c r="C921" i="1"/>
  <c r="H920" i="1"/>
  <c r="G920" i="1"/>
  <c r="F920" i="1"/>
  <c r="E920" i="1"/>
  <c r="D920" i="1"/>
  <c r="C920" i="1"/>
  <c r="H919" i="1"/>
  <c r="G919" i="1"/>
  <c r="F919" i="1"/>
  <c r="E919" i="1"/>
  <c r="D919" i="1"/>
  <c r="C919" i="1"/>
  <c r="H918" i="1"/>
  <c r="G918" i="1"/>
  <c r="F918" i="1"/>
  <c r="E918" i="1"/>
  <c r="D918" i="1"/>
  <c r="C918" i="1"/>
  <c r="H917" i="1"/>
  <c r="G917" i="1"/>
  <c r="F917" i="1"/>
  <c r="E917" i="1"/>
  <c r="D917" i="1"/>
  <c r="C917" i="1"/>
  <c r="H916" i="1"/>
  <c r="G916" i="1"/>
  <c r="F916" i="1"/>
  <c r="E916" i="1"/>
  <c r="D916" i="1"/>
  <c r="C916" i="1"/>
  <c r="H915" i="1"/>
  <c r="G915" i="1"/>
  <c r="F915" i="1"/>
  <c r="E915" i="1"/>
  <c r="D915" i="1"/>
  <c r="C915" i="1"/>
  <c r="H914" i="1"/>
  <c r="G914" i="1"/>
  <c r="F914" i="1"/>
  <c r="E914" i="1"/>
  <c r="D914" i="1"/>
  <c r="C914" i="1"/>
  <c r="H913" i="1"/>
  <c r="G913" i="1"/>
  <c r="F913" i="1"/>
  <c r="E913" i="1"/>
  <c r="D913" i="1"/>
  <c r="C913" i="1"/>
  <c r="H912" i="1"/>
  <c r="G912" i="1"/>
  <c r="F912" i="1"/>
  <c r="E912" i="1"/>
  <c r="D912" i="1"/>
  <c r="C912" i="1"/>
  <c r="H911" i="1"/>
  <c r="G911" i="1"/>
  <c r="F911" i="1"/>
  <c r="E911" i="1"/>
  <c r="D911" i="1"/>
  <c r="C911" i="1"/>
  <c r="H910" i="1"/>
  <c r="G910" i="1"/>
  <c r="F910" i="1"/>
  <c r="E910" i="1"/>
  <c r="D910" i="1"/>
  <c r="C910" i="1"/>
  <c r="H909" i="1"/>
  <c r="G909" i="1"/>
  <c r="F909" i="1"/>
  <c r="E909" i="1"/>
  <c r="D909" i="1"/>
  <c r="C909" i="1"/>
  <c r="H908" i="1"/>
  <c r="G908" i="1"/>
  <c r="F908" i="1"/>
  <c r="E908" i="1"/>
  <c r="D908" i="1"/>
  <c r="C908" i="1"/>
  <c r="H907" i="1"/>
  <c r="G907" i="1"/>
  <c r="F907" i="1"/>
  <c r="E907" i="1"/>
  <c r="D907" i="1"/>
  <c r="C907" i="1"/>
  <c r="H906" i="1"/>
  <c r="G906" i="1"/>
  <c r="F906" i="1"/>
  <c r="E906" i="1"/>
  <c r="D906" i="1"/>
  <c r="C906" i="1"/>
  <c r="H905" i="1"/>
  <c r="G905" i="1"/>
  <c r="F905" i="1"/>
  <c r="E905" i="1"/>
  <c r="D905" i="1"/>
  <c r="C905" i="1"/>
  <c r="H904" i="1"/>
  <c r="G904" i="1"/>
  <c r="F904" i="1"/>
  <c r="E904" i="1"/>
  <c r="D904" i="1"/>
  <c r="C904" i="1"/>
  <c r="H903" i="1"/>
  <c r="G903" i="1"/>
  <c r="F903" i="1"/>
  <c r="E903" i="1"/>
  <c r="D903" i="1"/>
  <c r="C903" i="1"/>
  <c r="H902" i="1"/>
  <c r="G902" i="1"/>
  <c r="F902" i="1"/>
  <c r="E902" i="1"/>
  <c r="D902" i="1"/>
  <c r="C902" i="1"/>
  <c r="H901" i="1"/>
  <c r="G901" i="1"/>
  <c r="F901" i="1"/>
  <c r="E901" i="1"/>
  <c r="D901" i="1"/>
  <c r="C901" i="1"/>
  <c r="H900" i="1"/>
  <c r="G900" i="1"/>
  <c r="F900" i="1"/>
  <c r="E900" i="1"/>
  <c r="D900" i="1"/>
  <c r="C900" i="1"/>
  <c r="H899" i="1"/>
  <c r="G899" i="1"/>
  <c r="F899" i="1"/>
  <c r="E899" i="1"/>
  <c r="D899" i="1"/>
  <c r="C899" i="1"/>
  <c r="H898" i="1"/>
  <c r="G898" i="1"/>
  <c r="F898" i="1"/>
  <c r="E898" i="1"/>
  <c r="D898" i="1"/>
  <c r="C898" i="1"/>
  <c r="H897" i="1"/>
  <c r="G897" i="1"/>
  <c r="F897" i="1"/>
  <c r="E897" i="1"/>
  <c r="D897" i="1"/>
  <c r="C897" i="1"/>
  <c r="H896" i="1"/>
  <c r="G896" i="1"/>
  <c r="F896" i="1"/>
  <c r="E896" i="1"/>
  <c r="D896" i="1"/>
  <c r="C896" i="1"/>
  <c r="H895" i="1"/>
  <c r="G895" i="1"/>
  <c r="F895" i="1"/>
  <c r="E895" i="1"/>
  <c r="D895" i="1"/>
  <c r="C895" i="1"/>
  <c r="H894" i="1"/>
  <c r="G894" i="1"/>
  <c r="F894" i="1"/>
  <c r="E894" i="1"/>
  <c r="D894" i="1"/>
  <c r="C894" i="1"/>
  <c r="H893" i="1"/>
  <c r="G893" i="1"/>
  <c r="F893" i="1"/>
  <c r="E893" i="1"/>
  <c r="D893" i="1"/>
  <c r="C893" i="1"/>
  <c r="H892" i="1"/>
  <c r="G892" i="1"/>
  <c r="F892" i="1"/>
  <c r="E892" i="1"/>
  <c r="D892" i="1"/>
  <c r="C892" i="1"/>
  <c r="H891" i="1"/>
  <c r="G891" i="1"/>
  <c r="F891" i="1"/>
  <c r="E891" i="1"/>
  <c r="D891" i="1"/>
  <c r="C891" i="1"/>
  <c r="H890" i="1"/>
  <c r="G890" i="1"/>
  <c r="F890" i="1"/>
  <c r="E890" i="1"/>
  <c r="D890" i="1"/>
  <c r="C890" i="1"/>
  <c r="H889" i="1"/>
  <c r="G889" i="1"/>
  <c r="F889" i="1"/>
  <c r="E889" i="1"/>
  <c r="D889" i="1"/>
  <c r="C889" i="1"/>
  <c r="H888" i="1"/>
  <c r="G888" i="1"/>
  <c r="F888" i="1"/>
  <c r="E888" i="1"/>
  <c r="D888" i="1"/>
  <c r="C888" i="1"/>
  <c r="H887" i="1"/>
  <c r="G887" i="1"/>
  <c r="F887" i="1"/>
  <c r="E887" i="1"/>
  <c r="D887" i="1"/>
  <c r="C887" i="1"/>
  <c r="H886" i="1"/>
  <c r="G886" i="1"/>
  <c r="F886" i="1"/>
  <c r="E886" i="1"/>
  <c r="D886" i="1"/>
  <c r="C886" i="1"/>
  <c r="H885" i="1"/>
  <c r="G885" i="1"/>
  <c r="F885" i="1"/>
  <c r="E885" i="1"/>
  <c r="D885" i="1"/>
  <c r="C885" i="1"/>
  <c r="H884" i="1"/>
  <c r="G884" i="1"/>
  <c r="F884" i="1"/>
  <c r="E884" i="1"/>
  <c r="D884" i="1"/>
  <c r="C884" i="1"/>
  <c r="H883" i="1"/>
  <c r="G883" i="1"/>
  <c r="F883" i="1"/>
  <c r="E883" i="1"/>
  <c r="D883" i="1"/>
  <c r="C883" i="1"/>
  <c r="H882" i="1"/>
  <c r="G882" i="1"/>
  <c r="F882" i="1"/>
  <c r="E882" i="1"/>
  <c r="D882" i="1"/>
  <c r="C882" i="1"/>
  <c r="H881" i="1"/>
  <c r="G881" i="1"/>
  <c r="F881" i="1"/>
  <c r="E881" i="1"/>
  <c r="D881" i="1"/>
  <c r="C881" i="1"/>
  <c r="H880" i="1"/>
  <c r="G880" i="1"/>
  <c r="F880" i="1"/>
  <c r="E880" i="1"/>
  <c r="D880" i="1"/>
  <c r="C880" i="1"/>
  <c r="H879" i="1"/>
  <c r="G879" i="1"/>
  <c r="F879" i="1"/>
  <c r="E879" i="1"/>
  <c r="D879" i="1"/>
  <c r="C879" i="1"/>
  <c r="H878" i="1"/>
  <c r="G878" i="1"/>
  <c r="F878" i="1"/>
  <c r="E878" i="1"/>
  <c r="D878" i="1"/>
  <c r="C878" i="1"/>
  <c r="H877" i="1"/>
  <c r="G877" i="1"/>
  <c r="F877" i="1"/>
  <c r="E877" i="1"/>
  <c r="D877" i="1"/>
  <c r="C877" i="1"/>
  <c r="H876" i="1"/>
  <c r="G876" i="1"/>
  <c r="F876" i="1"/>
  <c r="E876" i="1"/>
  <c r="D876" i="1"/>
  <c r="C876" i="1"/>
  <c r="H875" i="1"/>
  <c r="G875" i="1"/>
  <c r="F875" i="1"/>
  <c r="E875" i="1"/>
  <c r="D875" i="1"/>
  <c r="C875" i="1"/>
  <c r="H874" i="1"/>
  <c r="G874" i="1"/>
  <c r="F874" i="1"/>
  <c r="E874" i="1"/>
  <c r="D874" i="1"/>
  <c r="C874" i="1"/>
  <c r="H873" i="1"/>
  <c r="G873" i="1"/>
  <c r="F873" i="1"/>
  <c r="E873" i="1"/>
  <c r="D873" i="1"/>
  <c r="C873" i="1"/>
  <c r="H872" i="1"/>
  <c r="G872" i="1"/>
  <c r="F872" i="1"/>
  <c r="E872" i="1"/>
  <c r="D872" i="1"/>
  <c r="C872" i="1"/>
  <c r="H871" i="1"/>
  <c r="G871" i="1"/>
  <c r="F871" i="1"/>
  <c r="E871" i="1"/>
  <c r="D871" i="1"/>
  <c r="C871" i="1"/>
  <c r="H870" i="1"/>
  <c r="G870" i="1"/>
  <c r="F870" i="1"/>
  <c r="E870" i="1"/>
  <c r="D870" i="1"/>
  <c r="C870" i="1"/>
  <c r="H869" i="1"/>
  <c r="G869" i="1"/>
  <c r="F869" i="1"/>
  <c r="E869" i="1"/>
  <c r="D869" i="1"/>
  <c r="C869" i="1"/>
  <c r="H868" i="1"/>
  <c r="G868" i="1"/>
  <c r="F868" i="1"/>
  <c r="E868" i="1"/>
  <c r="D868" i="1"/>
  <c r="C868" i="1"/>
  <c r="H867" i="1"/>
  <c r="G867" i="1"/>
  <c r="F867" i="1"/>
  <c r="E867" i="1"/>
  <c r="D867" i="1"/>
  <c r="C867" i="1"/>
  <c r="H866" i="1"/>
  <c r="G866" i="1"/>
  <c r="F866" i="1"/>
  <c r="E866" i="1"/>
  <c r="D866" i="1"/>
  <c r="C866" i="1"/>
  <c r="H865" i="1"/>
  <c r="G865" i="1"/>
  <c r="F865" i="1"/>
  <c r="E865" i="1"/>
  <c r="D865" i="1"/>
  <c r="C865" i="1"/>
  <c r="H864" i="1"/>
  <c r="G864" i="1"/>
  <c r="F864" i="1"/>
  <c r="E864" i="1"/>
  <c r="D864" i="1"/>
  <c r="C864" i="1"/>
  <c r="H863" i="1"/>
  <c r="G863" i="1"/>
  <c r="F863" i="1"/>
  <c r="E863" i="1"/>
  <c r="D863" i="1"/>
  <c r="C863" i="1"/>
  <c r="H862" i="1"/>
  <c r="G862" i="1"/>
  <c r="F862" i="1"/>
  <c r="E862" i="1"/>
  <c r="D862" i="1"/>
  <c r="C862" i="1"/>
  <c r="H861" i="1"/>
  <c r="G861" i="1"/>
  <c r="F861" i="1"/>
  <c r="E861" i="1"/>
  <c r="D861" i="1"/>
  <c r="C861" i="1"/>
  <c r="H860" i="1"/>
  <c r="G860" i="1"/>
  <c r="F860" i="1"/>
  <c r="E860" i="1"/>
  <c r="D860" i="1"/>
  <c r="C860" i="1"/>
  <c r="H859" i="1"/>
  <c r="G859" i="1"/>
  <c r="F859" i="1"/>
  <c r="E859" i="1"/>
  <c r="D859" i="1"/>
  <c r="C859" i="1"/>
  <c r="H858" i="1"/>
  <c r="G858" i="1"/>
  <c r="F858" i="1"/>
  <c r="E858" i="1"/>
  <c r="D858" i="1"/>
  <c r="C858" i="1"/>
  <c r="H857" i="1"/>
  <c r="G857" i="1"/>
  <c r="F857" i="1"/>
  <c r="E857" i="1"/>
  <c r="D857" i="1"/>
  <c r="C857" i="1"/>
  <c r="H856" i="1"/>
  <c r="G856" i="1"/>
  <c r="F856" i="1"/>
  <c r="E856" i="1"/>
  <c r="D856" i="1"/>
  <c r="C856" i="1"/>
  <c r="H855" i="1"/>
  <c r="G855" i="1"/>
  <c r="F855" i="1"/>
  <c r="E855" i="1"/>
  <c r="D855" i="1"/>
  <c r="C855" i="1"/>
  <c r="H854" i="1"/>
  <c r="G854" i="1"/>
  <c r="F854" i="1"/>
  <c r="E854" i="1"/>
  <c r="D854" i="1"/>
  <c r="C854" i="1"/>
  <c r="H853" i="1"/>
  <c r="G853" i="1"/>
  <c r="F853" i="1"/>
  <c r="E853" i="1"/>
  <c r="D853" i="1"/>
  <c r="C853" i="1"/>
  <c r="H852" i="1"/>
  <c r="G852" i="1"/>
  <c r="F852" i="1"/>
  <c r="E852" i="1"/>
  <c r="D852" i="1"/>
  <c r="C852" i="1"/>
  <c r="H851" i="1"/>
  <c r="G851" i="1"/>
  <c r="F851" i="1"/>
  <c r="E851" i="1"/>
  <c r="D851" i="1"/>
  <c r="C851" i="1"/>
  <c r="H850" i="1"/>
  <c r="G850" i="1"/>
  <c r="F850" i="1"/>
  <c r="E850" i="1"/>
  <c r="D850" i="1"/>
  <c r="C850" i="1"/>
  <c r="H849" i="1"/>
  <c r="G849" i="1"/>
  <c r="F849" i="1"/>
  <c r="E849" i="1"/>
  <c r="D849" i="1"/>
  <c r="C849" i="1"/>
  <c r="H848" i="1"/>
  <c r="G848" i="1"/>
  <c r="F848" i="1"/>
  <c r="E848" i="1"/>
  <c r="D848" i="1"/>
  <c r="C848" i="1"/>
  <c r="H847" i="1"/>
  <c r="G847" i="1"/>
  <c r="F847" i="1"/>
  <c r="E847" i="1"/>
  <c r="D847" i="1"/>
  <c r="C847" i="1"/>
  <c r="H846" i="1"/>
  <c r="G846" i="1"/>
  <c r="F846" i="1"/>
  <c r="E846" i="1"/>
  <c r="D846" i="1"/>
  <c r="C846" i="1"/>
  <c r="H845" i="1"/>
  <c r="G845" i="1"/>
  <c r="F845" i="1"/>
  <c r="E845" i="1"/>
  <c r="D845" i="1"/>
  <c r="C845" i="1"/>
  <c r="H844" i="1"/>
  <c r="G844" i="1"/>
  <c r="F844" i="1"/>
  <c r="E844" i="1"/>
  <c r="D844" i="1"/>
  <c r="C844" i="1"/>
  <c r="H843" i="1"/>
  <c r="G843" i="1"/>
  <c r="F843" i="1"/>
  <c r="E843" i="1"/>
  <c r="D843" i="1"/>
  <c r="C843" i="1"/>
  <c r="H842" i="1"/>
  <c r="G842" i="1"/>
  <c r="F842" i="1"/>
  <c r="E842" i="1"/>
  <c r="D842" i="1"/>
  <c r="C842" i="1"/>
  <c r="H841" i="1"/>
  <c r="G841" i="1"/>
  <c r="F841" i="1"/>
  <c r="E841" i="1"/>
  <c r="D841" i="1"/>
  <c r="C841" i="1"/>
  <c r="H840" i="1"/>
  <c r="G840" i="1"/>
  <c r="F840" i="1"/>
  <c r="E840" i="1"/>
  <c r="D840" i="1"/>
  <c r="C840" i="1"/>
  <c r="H839" i="1"/>
  <c r="G839" i="1"/>
  <c r="F839" i="1"/>
  <c r="E839" i="1"/>
  <c r="D839" i="1"/>
  <c r="C839" i="1"/>
  <c r="H838" i="1"/>
  <c r="G838" i="1"/>
  <c r="F838" i="1"/>
  <c r="E838" i="1"/>
  <c r="D838" i="1"/>
  <c r="C838" i="1"/>
  <c r="H837" i="1"/>
  <c r="G837" i="1"/>
  <c r="F837" i="1"/>
  <c r="E837" i="1"/>
  <c r="D837" i="1"/>
  <c r="C837" i="1"/>
  <c r="H836" i="1"/>
  <c r="G836" i="1"/>
  <c r="F836" i="1"/>
  <c r="E836" i="1"/>
  <c r="D836" i="1"/>
  <c r="C836" i="1"/>
  <c r="H835" i="1"/>
  <c r="G835" i="1"/>
  <c r="F835" i="1"/>
  <c r="E835" i="1"/>
  <c r="D835" i="1"/>
  <c r="C835" i="1"/>
  <c r="H834" i="1"/>
  <c r="G834" i="1"/>
  <c r="F834" i="1"/>
  <c r="E834" i="1"/>
  <c r="D834" i="1"/>
  <c r="C834" i="1"/>
  <c r="H833" i="1"/>
  <c r="G833" i="1"/>
  <c r="F833" i="1"/>
  <c r="E833" i="1"/>
  <c r="D833" i="1"/>
  <c r="C833" i="1"/>
  <c r="H832" i="1"/>
  <c r="G832" i="1"/>
  <c r="F832" i="1"/>
  <c r="E832" i="1"/>
  <c r="D832" i="1"/>
  <c r="C832" i="1"/>
  <c r="H831" i="1"/>
  <c r="G831" i="1"/>
  <c r="F831" i="1"/>
  <c r="E831" i="1"/>
  <c r="D831" i="1"/>
  <c r="C831" i="1"/>
  <c r="H830" i="1"/>
  <c r="G830" i="1"/>
  <c r="F830" i="1"/>
  <c r="E830" i="1"/>
  <c r="D830" i="1"/>
  <c r="C830" i="1"/>
  <c r="H829" i="1"/>
  <c r="G829" i="1"/>
  <c r="F829" i="1"/>
  <c r="E829" i="1"/>
  <c r="D829" i="1"/>
  <c r="C829" i="1"/>
  <c r="H828" i="1"/>
  <c r="G828" i="1"/>
  <c r="F828" i="1"/>
  <c r="E828" i="1"/>
  <c r="D828" i="1"/>
  <c r="C828" i="1"/>
  <c r="H827" i="1"/>
  <c r="G827" i="1"/>
  <c r="F827" i="1"/>
  <c r="E827" i="1"/>
  <c r="D827" i="1"/>
  <c r="C827" i="1"/>
  <c r="H826" i="1"/>
  <c r="G826" i="1"/>
  <c r="F826" i="1"/>
  <c r="E826" i="1"/>
  <c r="D826" i="1"/>
  <c r="C826" i="1"/>
  <c r="H825" i="1"/>
  <c r="G825" i="1"/>
  <c r="F825" i="1"/>
  <c r="E825" i="1"/>
  <c r="D825" i="1"/>
  <c r="C825" i="1"/>
  <c r="H824" i="1"/>
  <c r="G824" i="1"/>
  <c r="F824" i="1"/>
  <c r="E824" i="1"/>
  <c r="D824" i="1"/>
  <c r="C824" i="1"/>
  <c r="H823" i="1"/>
  <c r="G823" i="1"/>
  <c r="F823" i="1"/>
  <c r="E823" i="1"/>
  <c r="D823" i="1"/>
  <c r="C823" i="1"/>
  <c r="H822" i="1"/>
  <c r="G822" i="1"/>
  <c r="F822" i="1"/>
  <c r="E822" i="1"/>
  <c r="D822" i="1"/>
  <c r="C822" i="1"/>
  <c r="H821" i="1"/>
  <c r="G821" i="1"/>
  <c r="F821" i="1"/>
  <c r="E821" i="1"/>
  <c r="D821" i="1"/>
  <c r="C821" i="1"/>
  <c r="H820" i="1"/>
  <c r="G820" i="1"/>
  <c r="F820" i="1"/>
  <c r="E820" i="1"/>
  <c r="D820" i="1"/>
  <c r="C820" i="1"/>
  <c r="H819" i="1"/>
  <c r="G819" i="1"/>
  <c r="F819" i="1"/>
  <c r="E819" i="1"/>
  <c r="D819" i="1"/>
  <c r="C819" i="1"/>
  <c r="H818" i="1"/>
  <c r="G818" i="1"/>
  <c r="F818" i="1"/>
  <c r="E818" i="1"/>
  <c r="D818" i="1"/>
  <c r="C818" i="1"/>
  <c r="H817" i="1"/>
  <c r="G817" i="1"/>
  <c r="F817" i="1"/>
  <c r="E817" i="1"/>
  <c r="D817" i="1"/>
  <c r="C817" i="1"/>
  <c r="H816" i="1"/>
  <c r="G816" i="1"/>
  <c r="F816" i="1"/>
  <c r="E816" i="1"/>
  <c r="D816" i="1"/>
  <c r="C816" i="1"/>
  <c r="H815" i="1"/>
  <c r="G815" i="1"/>
  <c r="F815" i="1"/>
  <c r="E815" i="1"/>
  <c r="D815" i="1"/>
  <c r="C815" i="1"/>
  <c r="H814" i="1"/>
  <c r="G814" i="1"/>
  <c r="F814" i="1"/>
  <c r="E814" i="1"/>
  <c r="D814" i="1"/>
  <c r="C814" i="1"/>
  <c r="H813" i="1"/>
  <c r="G813" i="1"/>
  <c r="F813" i="1"/>
  <c r="E813" i="1"/>
  <c r="D813" i="1"/>
  <c r="C813" i="1"/>
  <c r="H812" i="1"/>
  <c r="G812" i="1"/>
  <c r="F812" i="1"/>
  <c r="E812" i="1"/>
  <c r="D812" i="1"/>
  <c r="C812" i="1"/>
  <c r="H811" i="1"/>
  <c r="G811" i="1"/>
  <c r="F811" i="1"/>
  <c r="E811" i="1"/>
  <c r="D811" i="1"/>
  <c r="C811" i="1"/>
  <c r="H810" i="1"/>
  <c r="G810" i="1"/>
  <c r="F810" i="1"/>
  <c r="E810" i="1"/>
  <c r="D810" i="1"/>
  <c r="C810" i="1"/>
  <c r="H809" i="1"/>
  <c r="G809" i="1"/>
  <c r="F809" i="1"/>
  <c r="E809" i="1"/>
  <c r="D809" i="1"/>
  <c r="C809" i="1"/>
  <c r="H808" i="1"/>
  <c r="G808" i="1"/>
  <c r="F808" i="1"/>
  <c r="E808" i="1"/>
  <c r="D808" i="1"/>
  <c r="C808" i="1"/>
  <c r="H807" i="1"/>
  <c r="G807" i="1"/>
  <c r="F807" i="1"/>
  <c r="E807" i="1"/>
  <c r="D807" i="1"/>
  <c r="C807" i="1"/>
  <c r="H806" i="1"/>
  <c r="G806" i="1"/>
  <c r="F806" i="1"/>
  <c r="E806" i="1"/>
  <c r="D806" i="1"/>
  <c r="C806" i="1"/>
  <c r="H805" i="1"/>
  <c r="G805" i="1"/>
  <c r="F805" i="1"/>
  <c r="E805" i="1"/>
  <c r="D805" i="1"/>
  <c r="C805" i="1"/>
  <c r="H804" i="1"/>
  <c r="G804" i="1"/>
  <c r="F804" i="1"/>
  <c r="E804" i="1"/>
  <c r="D804" i="1"/>
  <c r="C804" i="1"/>
  <c r="H803" i="1"/>
  <c r="G803" i="1"/>
  <c r="F803" i="1"/>
  <c r="E803" i="1"/>
  <c r="D803" i="1"/>
  <c r="C803" i="1"/>
  <c r="H802" i="1"/>
  <c r="G802" i="1"/>
  <c r="F802" i="1"/>
  <c r="E802" i="1"/>
  <c r="D802" i="1"/>
  <c r="C802" i="1"/>
  <c r="H801" i="1"/>
  <c r="G801" i="1"/>
  <c r="F801" i="1"/>
  <c r="E801" i="1"/>
  <c r="D801" i="1"/>
  <c r="C801" i="1"/>
  <c r="H800" i="1"/>
  <c r="G800" i="1"/>
  <c r="F800" i="1"/>
  <c r="E800" i="1"/>
  <c r="D800" i="1"/>
  <c r="C800" i="1"/>
  <c r="H799" i="1"/>
  <c r="G799" i="1"/>
  <c r="F799" i="1"/>
  <c r="E799" i="1"/>
  <c r="D799" i="1"/>
  <c r="C799" i="1"/>
  <c r="H798" i="1"/>
  <c r="G798" i="1"/>
  <c r="F798" i="1"/>
  <c r="E798" i="1"/>
  <c r="D798" i="1"/>
  <c r="C798" i="1"/>
  <c r="H797" i="1"/>
  <c r="G797" i="1"/>
  <c r="F797" i="1"/>
  <c r="E797" i="1"/>
  <c r="D797" i="1"/>
  <c r="C797" i="1"/>
  <c r="H796" i="1"/>
  <c r="G796" i="1"/>
  <c r="F796" i="1"/>
  <c r="E796" i="1"/>
  <c r="D796" i="1"/>
  <c r="C796" i="1"/>
  <c r="H795" i="1"/>
  <c r="G795" i="1"/>
  <c r="F795" i="1"/>
  <c r="E795" i="1"/>
  <c r="D795" i="1"/>
  <c r="C795" i="1"/>
  <c r="H794" i="1"/>
  <c r="G794" i="1"/>
  <c r="F794" i="1"/>
  <c r="E794" i="1"/>
  <c r="D794" i="1"/>
  <c r="C794" i="1"/>
  <c r="H793" i="1"/>
  <c r="G793" i="1"/>
  <c r="F793" i="1"/>
  <c r="E793" i="1"/>
  <c r="D793" i="1"/>
  <c r="C793" i="1"/>
  <c r="H792" i="1"/>
  <c r="G792" i="1"/>
  <c r="F792" i="1"/>
  <c r="E792" i="1"/>
  <c r="D792" i="1"/>
  <c r="C792" i="1"/>
  <c r="H791" i="1"/>
  <c r="G791" i="1"/>
  <c r="F791" i="1"/>
  <c r="E791" i="1"/>
  <c r="D791" i="1"/>
  <c r="C791" i="1"/>
  <c r="H790" i="1"/>
  <c r="G790" i="1"/>
  <c r="F790" i="1"/>
  <c r="E790" i="1"/>
  <c r="D790" i="1"/>
  <c r="C790" i="1"/>
  <c r="H789" i="1"/>
  <c r="G789" i="1"/>
  <c r="F789" i="1"/>
  <c r="E789" i="1"/>
  <c r="D789" i="1"/>
  <c r="C789" i="1"/>
  <c r="H788" i="1"/>
  <c r="G788" i="1"/>
  <c r="F788" i="1"/>
  <c r="E788" i="1"/>
  <c r="D788" i="1"/>
  <c r="C788" i="1"/>
  <c r="H787" i="1"/>
  <c r="G787" i="1"/>
  <c r="F787" i="1"/>
  <c r="E787" i="1"/>
  <c r="D787" i="1"/>
  <c r="C787" i="1"/>
  <c r="H786" i="1"/>
  <c r="G786" i="1"/>
  <c r="F786" i="1"/>
  <c r="E786" i="1"/>
  <c r="D786" i="1"/>
  <c r="C786" i="1"/>
  <c r="H785" i="1"/>
  <c r="G785" i="1"/>
  <c r="F785" i="1"/>
  <c r="E785" i="1"/>
  <c r="D785" i="1"/>
  <c r="C785" i="1"/>
  <c r="H784" i="1"/>
  <c r="G784" i="1"/>
  <c r="F784" i="1"/>
  <c r="E784" i="1"/>
  <c r="D784" i="1"/>
  <c r="C784" i="1"/>
  <c r="H783" i="1"/>
  <c r="G783" i="1"/>
  <c r="F783" i="1"/>
  <c r="E783" i="1"/>
  <c r="D783" i="1"/>
  <c r="C783" i="1"/>
  <c r="H782" i="1"/>
  <c r="G782" i="1"/>
  <c r="F782" i="1"/>
  <c r="E782" i="1"/>
  <c r="D782" i="1"/>
  <c r="C782" i="1"/>
  <c r="H781" i="1"/>
  <c r="G781" i="1"/>
  <c r="F781" i="1"/>
  <c r="E781" i="1"/>
  <c r="D781" i="1"/>
  <c r="C781" i="1"/>
  <c r="H780" i="1"/>
  <c r="G780" i="1"/>
  <c r="F780" i="1"/>
  <c r="E780" i="1"/>
  <c r="D780" i="1"/>
  <c r="C780" i="1"/>
  <c r="H779" i="1"/>
  <c r="G779" i="1"/>
  <c r="F779" i="1"/>
  <c r="E779" i="1"/>
  <c r="D779" i="1"/>
  <c r="C779" i="1"/>
  <c r="H778" i="1"/>
  <c r="G778" i="1"/>
  <c r="F778" i="1"/>
  <c r="E778" i="1"/>
  <c r="D778" i="1"/>
  <c r="C778" i="1"/>
  <c r="H777" i="1"/>
  <c r="G777" i="1"/>
  <c r="F777" i="1"/>
  <c r="E777" i="1"/>
  <c r="D777" i="1"/>
  <c r="C777" i="1"/>
  <c r="H776" i="1"/>
  <c r="G776" i="1"/>
  <c r="F776" i="1"/>
  <c r="E776" i="1"/>
  <c r="D776" i="1"/>
  <c r="C776" i="1"/>
  <c r="H775" i="1"/>
  <c r="G775" i="1"/>
  <c r="F775" i="1"/>
  <c r="E775" i="1"/>
  <c r="D775" i="1"/>
  <c r="C775" i="1"/>
  <c r="H774" i="1"/>
  <c r="G774" i="1"/>
  <c r="F774" i="1"/>
  <c r="E774" i="1"/>
  <c r="D774" i="1"/>
  <c r="C774" i="1"/>
  <c r="H773" i="1"/>
  <c r="G773" i="1"/>
  <c r="F773" i="1"/>
  <c r="E773" i="1"/>
  <c r="D773" i="1"/>
  <c r="C773" i="1"/>
  <c r="H772" i="1"/>
  <c r="G772" i="1"/>
  <c r="F772" i="1"/>
  <c r="E772" i="1"/>
  <c r="D772" i="1"/>
  <c r="C772" i="1"/>
  <c r="H771" i="1"/>
  <c r="G771" i="1"/>
  <c r="F771" i="1"/>
  <c r="E771" i="1"/>
  <c r="D771" i="1"/>
  <c r="C771" i="1"/>
  <c r="H770" i="1"/>
  <c r="G770" i="1"/>
  <c r="F770" i="1"/>
  <c r="E770" i="1"/>
  <c r="D770" i="1"/>
  <c r="C770" i="1"/>
  <c r="H769" i="1"/>
  <c r="G769" i="1"/>
  <c r="F769" i="1"/>
  <c r="E769" i="1"/>
  <c r="D769" i="1"/>
  <c r="C769" i="1"/>
  <c r="H768" i="1"/>
  <c r="G768" i="1"/>
  <c r="F768" i="1"/>
  <c r="E768" i="1"/>
  <c r="D768" i="1"/>
  <c r="C768" i="1"/>
  <c r="H767" i="1"/>
  <c r="G767" i="1"/>
  <c r="F767" i="1"/>
  <c r="E767" i="1"/>
  <c r="D767" i="1"/>
  <c r="C767" i="1"/>
  <c r="H766" i="1"/>
  <c r="G766" i="1"/>
  <c r="F766" i="1"/>
  <c r="E766" i="1"/>
  <c r="D766" i="1"/>
  <c r="C766" i="1"/>
  <c r="H765" i="1"/>
  <c r="G765" i="1"/>
  <c r="F765" i="1"/>
  <c r="E765" i="1"/>
  <c r="D765" i="1"/>
  <c r="C765" i="1"/>
  <c r="H764" i="1"/>
  <c r="G764" i="1"/>
  <c r="F764" i="1"/>
  <c r="E764" i="1"/>
  <c r="D764" i="1"/>
  <c r="C764" i="1"/>
  <c r="H763" i="1"/>
  <c r="G763" i="1"/>
  <c r="F763" i="1"/>
  <c r="E763" i="1"/>
  <c r="D763" i="1"/>
  <c r="C763" i="1"/>
  <c r="H762" i="1"/>
  <c r="G762" i="1"/>
  <c r="F762" i="1"/>
  <c r="E762" i="1"/>
  <c r="D762" i="1"/>
  <c r="C762" i="1"/>
  <c r="H761" i="1"/>
  <c r="G761" i="1"/>
  <c r="F761" i="1"/>
  <c r="E761" i="1"/>
  <c r="D761" i="1"/>
  <c r="C761" i="1"/>
  <c r="H760" i="1"/>
  <c r="G760" i="1"/>
  <c r="F760" i="1"/>
  <c r="E760" i="1"/>
  <c r="D760" i="1"/>
  <c r="C760" i="1"/>
  <c r="H759" i="1"/>
  <c r="G759" i="1"/>
  <c r="F759" i="1"/>
  <c r="E759" i="1"/>
  <c r="D759" i="1"/>
  <c r="C759" i="1"/>
  <c r="H758" i="1"/>
  <c r="G758" i="1"/>
  <c r="F758" i="1"/>
  <c r="E758" i="1"/>
  <c r="D758" i="1"/>
  <c r="C758" i="1"/>
  <c r="H757" i="1"/>
  <c r="G757" i="1"/>
  <c r="F757" i="1"/>
  <c r="E757" i="1"/>
  <c r="D757" i="1"/>
  <c r="C757" i="1"/>
  <c r="H756" i="1"/>
  <c r="G756" i="1"/>
  <c r="F756" i="1"/>
  <c r="E756" i="1"/>
  <c r="D756" i="1"/>
  <c r="C756" i="1"/>
  <c r="H755" i="1"/>
  <c r="G755" i="1"/>
  <c r="F755" i="1"/>
  <c r="E755" i="1"/>
  <c r="D755" i="1"/>
  <c r="C755" i="1"/>
  <c r="H754" i="1"/>
  <c r="G754" i="1"/>
  <c r="F754" i="1"/>
  <c r="E754" i="1"/>
  <c r="D754" i="1"/>
  <c r="C754" i="1"/>
  <c r="H753" i="1"/>
  <c r="G753" i="1"/>
  <c r="F753" i="1"/>
  <c r="E753" i="1"/>
  <c r="D753" i="1"/>
  <c r="C753" i="1"/>
  <c r="H752" i="1"/>
  <c r="G752" i="1"/>
  <c r="F752" i="1"/>
  <c r="E752" i="1"/>
  <c r="D752" i="1"/>
  <c r="C752" i="1"/>
  <c r="H751" i="1"/>
  <c r="G751" i="1"/>
  <c r="F751" i="1"/>
  <c r="E751" i="1"/>
  <c r="D751" i="1"/>
  <c r="C751" i="1"/>
  <c r="H750" i="1"/>
  <c r="G750" i="1"/>
  <c r="F750" i="1"/>
  <c r="E750" i="1"/>
  <c r="D750" i="1"/>
  <c r="C750" i="1"/>
  <c r="H749" i="1"/>
  <c r="G749" i="1"/>
  <c r="F749" i="1"/>
  <c r="E749" i="1"/>
  <c r="D749" i="1"/>
  <c r="C749" i="1"/>
  <c r="H748" i="1"/>
  <c r="G748" i="1"/>
  <c r="F748" i="1"/>
  <c r="E748" i="1"/>
  <c r="D748" i="1"/>
  <c r="C748" i="1"/>
  <c r="H747" i="1"/>
  <c r="G747" i="1"/>
  <c r="F747" i="1"/>
  <c r="E747" i="1"/>
  <c r="D747" i="1"/>
  <c r="C747" i="1"/>
  <c r="H746" i="1"/>
  <c r="G746" i="1"/>
  <c r="F746" i="1"/>
  <c r="E746" i="1"/>
  <c r="D746" i="1"/>
  <c r="C746" i="1"/>
  <c r="H745" i="1"/>
  <c r="G745" i="1"/>
  <c r="F745" i="1"/>
  <c r="E745" i="1"/>
  <c r="D745" i="1"/>
  <c r="C745" i="1"/>
  <c r="H744" i="1"/>
  <c r="G744" i="1"/>
  <c r="F744" i="1"/>
  <c r="E744" i="1"/>
  <c r="D744" i="1"/>
  <c r="C744" i="1"/>
  <c r="H743" i="1"/>
  <c r="G743" i="1"/>
  <c r="F743" i="1"/>
  <c r="E743" i="1"/>
  <c r="D743" i="1"/>
  <c r="C743" i="1"/>
  <c r="H742" i="1"/>
  <c r="G742" i="1"/>
  <c r="F742" i="1"/>
  <c r="E742" i="1"/>
  <c r="D742" i="1"/>
  <c r="C742" i="1"/>
  <c r="H741" i="1"/>
  <c r="G741" i="1"/>
  <c r="F741" i="1"/>
  <c r="E741" i="1"/>
  <c r="D741" i="1"/>
  <c r="C741" i="1"/>
  <c r="H740" i="1"/>
  <c r="G740" i="1"/>
  <c r="F740" i="1"/>
  <c r="E740" i="1"/>
  <c r="D740" i="1"/>
  <c r="C740" i="1"/>
  <c r="H739" i="1"/>
  <c r="G739" i="1"/>
  <c r="F739" i="1"/>
  <c r="E739" i="1"/>
  <c r="D739" i="1"/>
  <c r="C739" i="1"/>
  <c r="H738" i="1"/>
  <c r="G738" i="1"/>
  <c r="F738" i="1"/>
  <c r="E738" i="1"/>
  <c r="D738" i="1"/>
  <c r="C738" i="1"/>
  <c r="H737" i="1"/>
  <c r="G737" i="1"/>
  <c r="F737" i="1"/>
  <c r="E737" i="1"/>
  <c r="D737" i="1"/>
  <c r="C737" i="1"/>
  <c r="H736" i="1"/>
  <c r="G736" i="1"/>
  <c r="F736" i="1"/>
  <c r="E736" i="1"/>
  <c r="D736" i="1"/>
  <c r="C736" i="1"/>
  <c r="H735" i="1"/>
  <c r="G735" i="1"/>
  <c r="F735" i="1"/>
  <c r="E735" i="1"/>
  <c r="D735" i="1"/>
  <c r="C735" i="1"/>
  <c r="H734" i="1"/>
  <c r="G734" i="1"/>
  <c r="F734" i="1"/>
  <c r="E734" i="1"/>
  <c r="D734" i="1"/>
  <c r="C734" i="1"/>
  <c r="H733" i="1"/>
  <c r="G733" i="1"/>
  <c r="F733" i="1"/>
  <c r="E733" i="1"/>
  <c r="D733" i="1"/>
  <c r="C733" i="1"/>
  <c r="H732" i="1"/>
  <c r="G732" i="1"/>
  <c r="F732" i="1"/>
  <c r="E732" i="1"/>
  <c r="D732" i="1"/>
  <c r="C732" i="1"/>
  <c r="H731" i="1"/>
  <c r="G731" i="1"/>
  <c r="F731" i="1"/>
  <c r="E731" i="1"/>
  <c r="D731" i="1"/>
  <c r="C731" i="1"/>
  <c r="H730" i="1"/>
  <c r="G730" i="1"/>
  <c r="F730" i="1"/>
  <c r="E730" i="1"/>
  <c r="D730" i="1"/>
  <c r="C730" i="1"/>
  <c r="H729" i="1"/>
  <c r="G729" i="1"/>
  <c r="F729" i="1"/>
  <c r="E729" i="1"/>
  <c r="D729" i="1"/>
  <c r="C729" i="1"/>
  <c r="H728" i="1"/>
  <c r="G728" i="1"/>
  <c r="F728" i="1"/>
  <c r="E728" i="1"/>
  <c r="D728" i="1"/>
  <c r="C728" i="1"/>
  <c r="H727" i="1"/>
  <c r="G727" i="1"/>
  <c r="F727" i="1"/>
  <c r="E727" i="1"/>
  <c r="D727" i="1"/>
  <c r="C727" i="1"/>
  <c r="H726" i="1"/>
  <c r="G726" i="1"/>
  <c r="F726" i="1"/>
  <c r="E726" i="1"/>
  <c r="D726" i="1"/>
  <c r="C726" i="1"/>
  <c r="H725" i="1"/>
  <c r="G725" i="1"/>
  <c r="F725" i="1"/>
  <c r="E725" i="1"/>
  <c r="D725" i="1"/>
  <c r="C725" i="1"/>
  <c r="H724" i="1"/>
  <c r="G724" i="1"/>
  <c r="F724" i="1"/>
  <c r="E724" i="1"/>
  <c r="D724" i="1"/>
  <c r="C724" i="1"/>
  <c r="H723" i="1"/>
  <c r="G723" i="1"/>
  <c r="F723" i="1"/>
  <c r="E723" i="1"/>
  <c r="D723" i="1"/>
  <c r="C723" i="1"/>
  <c r="H722" i="1"/>
  <c r="G722" i="1"/>
  <c r="F722" i="1"/>
  <c r="E722" i="1"/>
  <c r="D722" i="1"/>
  <c r="C722" i="1"/>
  <c r="H721" i="1"/>
  <c r="G721" i="1"/>
  <c r="F721" i="1"/>
  <c r="E721" i="1"/>
  <c r="D721" i="1"/>
  <c r="C721" i="1"/>
  <c r="H720" i="1"/>
  <c r="G720" i="1"/>
  <c r="F720" i="1"/>
  <c r="E720" i="1"/>
  <c r="D720" i="1"/>
  <c r="C720" i="1"/>
  <c r="H719" i="1"/>
  <c r="G719" i="1"/>
  <c r="F719" i="1"/>
  <c r="E719" i="1"/>
  <c r="D719" i="1"/>
  <c r="C719" i="1"/>
  <c r="H718" i="1"/>
  <c r="G718" i="1"/>
  <c r="F718" i="1"/>
  <c r="E718" i="1"/>
  <c r="D718" i="1"/>
  <c r="C718" i="1"/>
  <c r="H717" i="1"/>
  <c r="G717" i="1"/>
  <c r="F717" i="1"/>
  <c r="E717" i="1"/>
  <c r="D717" i="1"/>
  <c r="C717" i="1"/>
  <c r="H716" i="1"/>
  <c r="G716" i="1"/>
  <c r="F716" i="1"/>
  <c r="E716" i="1"/>
  <c r="D716" i="1"/>
  <c r="C716" i="1"/>
  <c r="H715" i="1"/>
  <c r="G715" i="1"/>
  <c r="F715" i="1"/>
  <c r="E715" i="1"/>
  <c r="D715" i="1"/>
  <c r="C715" i="1"/>
  <c r="H714" i="1"/>
  <c r="G714" i="1"/>
  <c r="F714" i="1"/>
  <c r="E714" i="1"/>
  <c r="D714" i="1"/>
  <c r="C714" i="1"/>
  <c r="H713" i="1"/>
  <c r="G713" i="1"/>
  <c r="F713" i="1"/>
  <c r="E713" i="1"/>
  <c r="D713" i="1"/>
  <c r="C713" i="1"/>
  <c r="H712" i="1"/>
  <c r="G712" i="1"/>
  <c r="F712" i="1"/>
  <c r="E712" i="1"/>
  <c r="D712" i="1"/>
  <c r="C712" i="1"/>
  <c r="H711" i="1"/>
  <c r="G711" i="1"/>
  <c r="F711" i="1"/>
  <c r="E711" i="1"/>
  <c r="D711" i="1"/>
  <c r="C711" i="1"/>
  <c r="H710" i="1"/>
  <c r="G710" i="1"/>
  <c r="F710" i="1"/>
  <c r="E710" i="1"/>
  <c r="D710" i="1"/>
  <c r="C710" i="1"/>
  <c r="H709" i="1"/>
  <c r="G709" i="1"/>
  <c r="F709" i="1"/>
  <c r="E709" i="1"/>
  <c r="D709" i="1"/>
  <c r="C709" i="1"/>
  <c r="H708" i="1"/>
  <c r="G708" i="1"/>
  <c r="F708" i="1"/>
  <c r="E708" i="1"/>
  <c r="D708" i="1"/>
  <c r="C708" i="1"/>
  <c r="H707" i="1"/>
  <c r="G707" i="1"/>
  <c r="F707" i="1"/>
  <c r="E707" i="1"/>
  <c r="D707" i="1"/>
  <c r="C707" i="1"/>
  <c r="H706" i="1"/>
  <c r="G706" i="1"/>
  <c r="F706" i="1"/>
  <c r="E706" i="1"/>
  <c r="D706" i="1"/>
  <c r="C706" i="1"/>
  <c r="H705" i="1"/>
  <c r="G705" i="1"/>
  <c r="F705" i="1"/>
  <c r="E705" i="1"/>
  <c r="D705" i="1"/>
  <c r="C705" i="1"/>
  <c r="H704" i="1"/>
  <c r="G704" i="1"/>
  <c r="F704" i="1"/>
  <c r="E704" i="1"/>
  <c r="D704" i="1"/>
  <c r="C704" i="1"/>
  <c r="H703" i="1"/>
  <c r="G703" i="1"/>
  <c r="F703" i="1"/>
  <c r="E703" i="1"/>
  <c r="D703" i="1"/>
  <c r="C703" i="1"/>
  <c r="H702" i="1"/>
  <c r="G702" i="1"/>
  <c r="F702" i="1"/>
  <c r="E702" i="1"/>
  <c r="D702" i="1"/>
  <c r="C702" i="1"/>
  <c r="H701" i="1"/>
  <c r="G701" i="1"/>
  <c r="F701" i="1"/>
  <c r="E701" i="1"/>
  <c r="D701" i="1"/>
  <c r="C701" i="1"/>
  <c r="H700" i="1"/>
  <c r="G700" i="1"/>
  <c r="F700" i="1"/>
  <c r="E700" i="1"/>
  <c r="D700" i="1"/>
  <c r="C700" i="1"/>
  <c r="H699" i="1"/>
  <c r="G699" i="1"/>
  <c r="F699" i="1"/>
  <c r="E699" i="1"/>
  <c r="D699" i="1"/>
  <c r="C699" i="1"/>
  <c r="H698" i="1"/>
  <c r="G698" i="1"/>
  <c r="F698" i="1"/>
  <c r="E698" i="1"/>
  <c r="D698" i="1"/>
  <c r="C698" i="1"/>
  <c r="H697" i="1"/>
  <c r="G697" i="1"/>
  <c r="F697" i="1"/>
  <c r="E697" i="1"/>
  <c r="D697" i="1"/>
  <c r="C697" i="1"/>
  <c r="H696" i="1"/>
  <c r="G696" i="1"/>
  <c r="F696" i="1"/>
  <c r="E696" i="1"/>
  <c r="D696" i="1"/>
  <c r="C696" i="1"/>
  <c r="H695" i="1"/>
  <c r="G695" i="1"/>
  <c r="F695" i="1"/>
  <c r="E695" i="1"/>
  <c r="D695" i="1"/>
  <c r="C695" i="1"/>
  <c r="H694" i="1"/>
  <c r="G694" i="1"/>
  <c r="F694" i="1"/>
  <c r="E694" i="1"/>
  <c r="D694" i="1"/>
  <c r="C694" i="1"/>
  <c r="H693" i="1"/>
  <c r="G693" i="1"/>
  <c r="F693" i="1"/>
  <c r="E693" i="1"/>
  <c r="D693" i="1"/>
  <c r="C693" i="1"/>
  <c r="H692" i="1"/>
  <c r="G692" i="1"/>
  <c r="F692" i="1"/>
  <c r="E692" i="1"/>
  <c r="D692" i="1"/>
  <c r="C692" i="1"/>
  <c r="H691" i="1"/>
  <c r="G691" i="1"/>
  <c r="F691" i="1"/>
  <c r="E691" i="1"/>
  <c r="D691" i="1"/>
  <c r="C691" i="1"/>
  <c r="H690" i="1"/>
  <c r="G690" i="1"/>
  <c r="F690" i="1"/>
  <c r="E690" i="1"/>
  <c r="D690" i="1"/>
  <c r="C690" i="1"/>
  <c r="H689" i="1"/>
  <c r="G689" i="1"/>
  <c r="F689" i="1"/>
  <c r="E689" i="1"/>
  <c r="D689" i="1"/>
  <c r="C689" i="1"/>
  <c r="H688" i="1"/>
  <c r="G688" i="1"/>
  <c r="F688" i="1"/>
  <c r="E688" i="1"/>
  <c r="D688" i="1"/>
  <c r="C688" i="1"/>
  <c r="H687" i="1"/>
  <c r="G687" i="1"/>
  <c r="F687" i="1"/>
  <c r="E687" i="1"/>
  <c r="D687" i="1"/>
  <c r="C687" i="1"/>
  <c r="H686" i="1"/>
  <c r="G686" i="1"/>
  <c r="F686" i="1"/>
  <c r="E686" i="1"/>
  <c r="D686" i="1"/>
  <c r="C686" i="1"/>
  <c r="H685" i="1"/>
  <c r="G685" i="1"/>
  <c r="F685" i="1"/>
  <c r="E685" i="1"/>
  <c r="D685" i="1"/>
  <c r="C685" i="1"/>
  <c r="H684" i="1"/>
  <c r="G684" i="1"/>
  <c r="F684" i="1"/>
  <c r="E684" i="1"/>
  <c r="D684" i="1"/>
  <c r="C684" i="1"/>
  <c r="H683" i="1"/>
  <c r="G683" i="1"/>
  <c r="F683" i="1"/>
  <c r="E683" i="1"/>
  <c r="D683" i="1"/>
  <c r="C683" i="1"/>
  <c r="H682" i="1"/>
  <c r="G682" i="1"/>
  <c r="F682" i="1"/>
  <c r="E682" i="1"/>
  <c r="D682" i="1"/>
  <c r="C682" i="1"/>
  <c r="H681" i="1"/>
  <c r="G681" i="1"/>
  <c r="F681" i="1"/>
  <c r="E681" i="1"/>
  <c r="D681" i="1"/>
  <c r="C681" i="1"/>
  <c r="H680" i="1"/>
  <c r="G680" i="1"/>
  <c r="F680" i="1"/>
  <c r="E680" i="1"/>
  <c r="D680" i="1"/>
  <c r="C680" i="1"/>
  <c r="H679" i="1"/>
  <c r="G679" i="1"/>
  <c r="F679" i="1"/>
  <c r="E679" i="1"/>
  <c r="D679" i="1"/>
  <c r="C679" i="1"/>
  <c r="H678" i="1"/>
  <c r="G678" i="1"/>
  <c r="F678" i="1"/>
  <c r="E678" i="1"/>
  <c r="D678" i="1"/>
  <c r="C678" i="1"/>
  <c r="H677" i="1"/>
  <c r="G677" i="1"/>
  <c r="F677" i="1"/>
  <c r="E677" i="1"/>
  <c r="D677" i="1"/>
  <c r="C677" i="1"/>
  <c r="H676" i="1"/>
  <c r="G676" i="1"/>
  <c r="F676" i="1"/>
  <c r="E676" i="1"/>
  <c r="D676" i="1"/>
  <c r="C676" i="1"/>
  <c r="H675" i="1"/>
  <c r="G675" i="1"/>
  <c r="F675" i="1"/>
  <c r="E675" i="1"/>
  <c r="D675" i="1"/>
  <c r="C675" i="1"/>
  <c r="H674" i="1"/>
  <c r="G674" i="1"/>
  <c r="F674" i="1"/>
  <c r="E674" i="1"/>
  <c r="D674" i="1"/>
  <c r="C674" i="1"/>
  <c r="H673" i="1"/>
  <c r="G673" i="1"/>
  <c r="F673" i="1"/>
  <c r="E673" i="1"/>
  <c r="D673" i="1"/>
  <c r="C673" i="1"/>
  <c r="H672" i="1"/>
  <c r="G672" i="1"/>
  <c r="F672" i="1"/>
  <c r="E672" i="1"/>
  <c r="D672" i="1"/>
  <c r="C672" i="1"/>
  <c r="H671" i="1"/>
  <c r="G671" i="1"/>
  <c r="F671" i="1"/>
  <c r="E671" i="1"/>
  <c r="D671" i="1"/>
  <c r="C671" i="1"/>
  <c r="H670" i="1"/>
  <c r="G670" i="1"/>
  <c r="F670" i="1"/>
  <c r="E670" i="1"/>
  <c r="D670" i="1"/>
  <c r="C670" i="1"/>
  <c r="H669" i="1"/>
  <c r="G669" i="1"/>
  <c r="F669" i="1"/>
  <c r="E669" i="1"/>
  <c r="D669" i="1"/>
  <c r="C669" i="1"/>
  <c r="H668" i="1"/>
  <c r="G668" i="1"/>
  <c r="F668" i="1"/>
  <c r="E668" i="1"/>
  <c r="D668" i="1"/>
  <c r="C668" i="1"/>
  <c r="H667" i="1"/>
  <c r="G667" i="1"/>
  <c r="F667" i="1"/>
  <c r="E667" i="1"/>
  <c r="D667" i="1"/>
  <c r="C667" i="1"/>
  <c r="H666" i="1"/>
  <c r="G666" i="1"/>
  <c r="F666" i="1"/>
  <c r="E666" i="1"/>
  <c r="D666" i="1"/>
  <c r="C666" i="1"/>
  <c r="H665" i="1"/>
  <c r="G665" i="1"/>
  <c r="F665" i="1"/>
  <c r="E665" i="1"/>
  <c r="D665" i="1"/>
  <c r="C665" i="1"/>
  <c r="H664" i="1"/>
  <c r="G664" i="1"/>
  <c r="F664" i="1"/>
  <c r="E664" i="1"/>
  <c r="D664" i="1"/>
  <c r="C664" i="1"/>
  <c r="H663" i="1"/>
  <c r="G663" i="1"/>
  <c r="F663" i="1"/>
  <c r="E663" i="1"/>
  <c r="D663" i="1"/>
  <c r="C663" i="1"/>
  <c r="H662" i="1"/>
  <c r="G662" i="1"/>
  <c r="F662" i="1"/>
  <c r="E662" i="1"/>
  <c r="D662" i="1"/>
  <c r="C662" i="1"/>
  <c r="H661" i="1"/>
  <c r="G661" i="1"/>
  <c r="F661" i="1"/>
  <c r="E661" i="1"/>
  <c r="D661" i="1"/>
  <c r="C661" i="1"/>
  <c r="H660" i="1"/>
  <c r="G660" i="1"/>
  <c r="F660" i="1"/>
  <c r="E660" i="1"/>
  <c r="D660" i="1"/>
  <c r="C660" i="1"/>
  <c r="H659" i="1"/>
  <c r="G659" i="1"/>
  <c r="F659" i="1"/>
  <c r="E659" i="1"/>
  <c r="D659" i="1"/>
  <c r="C659" i="1"/>
  <c r="H658" i="1"/>
  <c r="G658" i="1"/>
  <c r="F658" i="1"/>
  <c r="E658" i="1"/>
  <c r="D658" i="1"/>
  <c r="C658" i="1"/>
  <c r="H657" i="1"/>
  <c r="G657" i="1"/>
  <c r="F657" i="1"/>
  <c r="E657" i="1"/>
  <c r="D657" i="1"/>
  <c r="C657" i="1"/>
  <c r="H656" i="1"/>
  <c r="G656" i="1"/>
  <c r="F656" i="1"/>
  <c r="E656" i="1"/>
  <c r="D656" i="1"/>
  <c r="C656" i="1"/>
  <c r="H655" i="1"/>
  <c r="G655" i="1"/>
  <c r="F655" i="1"/>
  <c r="E655" i="1"/>
  <c r="D655" i="1"/>
  <c r="C655" i="1"/>
  <c r="H654" i="1"/>
  <c r="G654" i="1"/>
  <c r="F654" i="1"/>
  <c r="E654" i="1"/>
  <c r="D654" i="1"/>
  <c r="C654" i="1"/>
  <c r="H653" i="1"/>
  <c r="G653" i="1"/>
  <c r="F653" i="1"/>
  <c r="E653" i="1"/>
  <c r="D653" i="1"/>
  <c r="C653" i="1"/>
  <c r="H652" i="1"/>
  <c r="G652" i="1"/>
  <c r="F652" i="1"/>
  <c r="E652" i="1"/>
  <c r="D652" i="1"/>
  <c r="C652" i="1"/>
  <c r="H651" i="1"/>
  <c r="G651" i="1"/>
  <c r="F651" i="1"/>
  <c r="E651" i="1"/>
  <c r="D651" i="1"/>
  <c r="C651" i="1"/>
  <c r="H650" i="1"/>
  <c r="G650" i="1"/>
  <c r="F650" i="1"/>
  <c r="E650" i="1"/>
  <c r="D650" i="1"/>
  <c r="C650" i="1"/>
  <c r="H649" i="1"/>
  <c r="G649" i="1"/>
  <c r="F649" i="1"/>
  <c r="E649" i="1"/>
  <c r="D649" i="1"/>
  <c r="C649" i="1"/>
  <c r="H648" i="1"/>
  <c r="G648" i="1"/>
  <c r="F648" i="1"/>
  <c r="E648" i="1"/>
  <c r="D648" i="1"/>
  <c r="C648" i="1"/>
  <c r="H647" i="1"/>
  <c r="G647" i="1"/>
  <c r="F647" i="1"/>
  <c r="E647" i="1"/>
  <c r="D647" i="1"/>
  <c r="C647" i="1"/>
  <c r="H646" i="1"/>
  <c r="G646" i="1"/>
  <c r="F646" i="1"/>
  <c r="E646" i="1"/>
  <c r="D646" i="1"/>
  <c r="C646" i="1"/>
  <c r="H645" i="1"/>
  <c r="G645" i="1"/>
  <c r="F645" i="1"/>
  <c r="E645" i="1"/>
  <c r="D645" i="1"/>
  <c r="C645" i="1"/>
  <c r="H644" i="1"/>
  <c r="G644" i="1"/>
  <c r="F644" i="1"/>
  <c r="E644" i="1"/>
  <c r="D644" i="1"/>
  <c r="C644" i="1"/>
  <c r="H643" i="1"/>
  <c r="G643" i="1"/>
  <c r="F643" i="1"/>
  <c r="E643" i="1"/>
  <c r="D643" i="1"/>
  <c r="C643" i="1"/>
  <c r="H642" i="1"/>
  <c r="G642" i="1"/>
  <c r="F642" i="1"/>
  <c r="E642" i="1"/>
  <c r="D642" i="1"/>
  <c r="C642" i="1"/>
  <c r="H641" i="1"/>
  <c r="G641" i="1"/>
  <c r="F641" i="1"/>
  <c r="E641" i="1"/>
  <c r="D641" i="1"/>
  <c r="C641" i="1"/>
  <c r="H640" i="1"/>
  <c r="G640" i="1"/>
  <c r="F640" i="1"/>
  <c r="E640" i="1"/>
  <c r="D640" i="1"/>
  <c r="C640" i="1"/>
  <c r="H639" i="1"/>
  <c r="G639" i="1"/>
  <c r="F639" i="1"/>
  <c r="E639" i="1"/>
  <c r="D639" i="1"/>
  <c r="C639" i="1"/>
  <c r="H638" i="1"/>
  <c r="G638" i="1"/>
  <c r="F638" i="1"/>
  <c r="E638" i="1"/>
  <c r="D638" i="1"/>
  <c r="C638" i="1"/>
  <c r="H637" i="1"/>
  <c r="G637" i="1"/>
  <c r="F637" i="1"/>
  <c r="E637" i="1"/>
  <c r="D637" i="1"/>
  <c r="C637" i="1"/>
  <c r="H636" i="1"/>
  <c r="G636" i="1"/>
  <c r="F636" i="1"/>
  <c r="E636" i="1"/>
  <c r="D636" i="1"/>
  <c r="C636" i="1"/>
  <c r="H635" i="1"/>
  <c r="G635" i="1"/>
  <c r="F635" i="1"/>
  <c r="E635" i="1"/>
  <c r="D635" i="1"/>
  <c r="C635" i="1"/>
  <c r="H634" i="1"/>
  <c r="G634" i="1"/>
  <c r="F634" i="1"/>
  <c r="E634" i="1"/>
  <c r="D634" i="1"/>
  <c r="C634" i="1"/>
  <c r="H633" i="1"/>
  <c r="G633" i="1"/>
  <c r="F633" i="1"/>
  <c r="E633" i="1"/>
  <c r="D633" i="1"/>
  <c r="C633" i="1"/>
  <c r="H632" i="1"/>
  <c r="G632" i="1"/>
  <c r="F632" i="1"/>
  <c r="E632" i="1"/>
  <c r="D632" i="1"/>
  <c r="C632" i="1"/>
  <c r="H631" i="1"/>
  <c r="G631" i="1"/>
  <c r="F631" i="1"/>
  <c r="E631" i="1"/>
  <c r="D631" i="1"/>
  <c r="C631" i="1"/>
  <c r="H630" i="1"/>
  <c r="G630" i="1"/>
  <c r="F630" i="1"/>
  <c r="E630" i="1"/>
  <c r="D630" i="1"/>
  <c r="C630" i="1"/>
  <c r="H629" i="1"/>
  <c r="G629" i="1"/>
  <c r="F629" i="1"/>
  <c r="E629" i="1"/>
  <c r="D629" i="1"/>
  <c r="C629" i="1"/>
  <c r="H628" i="1"/>
  <c r="G628" i="1"/>
  <c r="F628" i="1"/>
  <c r="E628" i="1"/>
  <c r="D628" i="1"/>
  <c r="C628" i="1"/>
  <c r="H627" i="1"/>
  <c r="G627" i="1"/>
  <c r="F627" i="1"/>
  <c r="E627" i="1"/>
  <c r="D627" i="1"/>
  <c r="C627" i="1"/>
  <c r="H626" i="1"/>
  <c r="G626" i="1"/>
  <c r="F626" i="1"/>
  <c r="E626" i="1"/>
  <c r="D626" i="1"/>
  <c r="C626" i="1"/>
  <c r="H625" i="1"/>
  <c r="G625" i="1"/>
  <c r="F625" i="1"/>
  <c r="E625" i="1"/>
  <c r="D625" i="1"/>
  <c r="C625" i="1"/>
  <c r="H624" i="1"/>
  <c r="G624" i="1"/>
  <c r="F624" i="1"/>
  <c r="E624" i="1"/>
  <c r="D624" i="1"/>
  <c r="C624" i="1"/>
  <c r="H623" i="1"/>
  <c r="G623" i="1"/>
  <c r="F623" i="1"/>
  <c r="E623" i="1"/>
  <c r="D623" i="1"/>
  <c r="C623" i="1"/>
  <c r="H622" i="1"/>
  <c r="G622" i="1"/>
  <c r="F622" i="1"/>
  <c r="E622" i="1"/>
  <c r="D622" i="1"/>
  <c r="C622" i="1"/>
  <c r="H621" i="1"/>
  <c r="G621" i="1"/>
  <c r="F621" i="1"/>
  <c r="E621" i="1"/>
  <c r="D621" i="1"/>
  <c r="C621" i="1"/>
  <c r="H620" i="1"/>
  <c r="G620" i="1"/>
  <c r="F620" i="1"/>
  <c r="E620" i="1"/>
  <c r="D620" i="1"/>
  <c r="C620" i="1"/>
  <c r="H619" i="1"/>
  <c r="G619" i="1"/>
  <c r="F619" i="1"/>
  <c r="E619" i="1"/>
  <c r="D619" i="1"/>
  <c r="C619" i="1"/>
  <c r="H618" i="1"/>
  <c r="G618" i="1"/>
  <c r="F618" i="1"/>
  <c r="E618" i="1"/>
  <c r="D618" i="1"/>
  <c r="C618" i="1"/>
  <c r="H617" i="1"/>
  <c r="G617" i="1"/>
  <c r="F617" i="1"/>
  <c r="E617" i="1"/>
  <c r="D617" i="1"/>
  <c r="C617" i="1"/>
  <c r="H616" i="1"/>
  <c r="G616" i="1"/>
  <c r="F616" i="1"/>
  <c r="E616" i="1"/>
  <c r="D616" i="1"/>
  <c r="C616" i="1"/>
  <c r="H615" i="1"/>
  <c r="G615" i="1"/>
  <c r="F615" i="1"/>
  <c r="E615" i="1"/>
  <c r="D615" i="1"/>
  <c r="C615" i="1"/>
  <c r="H614" i="1"/>
  <c r="G614" i="1"/>
  <c r="F614" i="1"/>
  <c r="E614" i="1"/>
  <c r="D614" i="1"/>
  <c r="C614" i="1"/>
  <c r="H613" i="1"/>
  <c r="G613" i="1"/>
  <c r="F613" i="1"/>
  <c r="E613" i="1"/>
  <c r="D613" i="1"/>
  <c r="C613" i="1"/>
  <c r="H612" i="1"/>
  <c r="G612" i="1"/>
  <c r="F612" i="1"/>
  <c r="E612" i="1"/>
  <c r="D612" i="1"/>
  <c r="C612" i="1"/>
  <c r="H611" i="1"/>
  <c r="G611" i="1"/>
  <c r="F611" i="1"/>
  <c r="E611" i="1"/>
  <c r="D611" i="1"/>
  <c r="C611" i="1"/>
  <c r="H610" i="1"/>
  <c r="G610" i="1"/>
  <c r="F610" i="1"/>
  <c r="E610" i="1"/>
  <c r="D610" i="1"/>
  <c r="C610" i="1"/>
  <c r="H609" i="1"/>
  <c r="G609" i="1"/>
  <c r="F609" i="1"/>
  <c r="E609" i="1"/>
  <c r="D609" i="1"/>
  <c r="C609" i="1"/>
  <c r="H608" i="1"/>
  <c r="G608" i="1"/>
  <c r="F608" i="1"/>
  <c r="E608" i="1"/>
  <c r="D608" i="1"/>
  <c r="C608" i="1"/>
  <c r="H607" i="1"/>
  <c r="G607" i="1"/>
  <c r="F607" i="1"/>
  <c r="E607" i="1"/>
  <c r="D607" i="1"/>
  <c r="C607" i="1"/>
  <c r="H606" i="1"/>
  <c r="G606" i="1"/>
  <c r="F606" i="1"/>
  <c r="E606" i="1"/>
  <c r="D606" i="1"/>
  <c r="C606" i="1"/>
  <c r="H605" i="1"/>
  <c r="G605" i="1"/>
  <c r="F605" i="1"/>
  <c r="E605" i="1"/>
  <c r="D605" i="1"/>
  <c r="C605" i="1"/>
  <c r="H604" i="1"/>
  <c r="G604" i="1"/>
  <c r="F604" i="1"/>
  <c r="E604" i="1"/>
  <c r="D604" i="1"/>
  <c r="C604" i="1"/>
  <c r="H603" i="1"/>
  <c r="G603" i="1"/>
  <c r="F603" i="1"/>
  <c r="E603" i="1"/>
  <c r="D603" i="1"/>
  <c r="C603" i="1"/>
  <c r="H602" i="1"/>
  <c r="G602" i="1"/>
  <c r="F602" i="1"/>
  <c r="E602" i="1"/>
  <c r="D602" i="1"/>
  <c r="C602" i="1"/>
  <c r="H601" i="1"/>
  <c r="G601" i="1"/>
  <c r="F601" i="1"/>
  <c r="E601" i="1"/>
  <c r="D601" i="1"/>
  <c r="C601" i="1"/>
  <c r="H600" i="1"/>
  <c r="G600" i="1"/>
  <c r="F600" i="1"/>
  <c r="E600" i="1"/>
  <c r="D600" i="1"/>
  <c r="C600" i="1"/>
  <c r="H599" i="1"/>
  <c r="G599" i="1"/>
  <c r="F599" i="1"/>
  <c r="E599" i="1"/>
  <c r="D599" i="1"/>
  <c r="C599" i="1"/>
  <c r="H598" i="1"/>
  <c r="G598" i="1"/>
  <c r="F598" i="1"/>
  <c r="E598" i="1"/>
  <c r="D598" i="1"/>
  <c r="C598" i="1"/>
  <c r="H597" i="1"/>
  <c r="G597" i="1"/>
  <c r="F597" i="1"/>
  <c r="E597" i="1"/>
  <c r="D597" i="1"/>
  <c r="C597" i="1"/>
  <c r="H596" i="1"/>
  <c r="G596" i="1"/>
  <c r="F596" i="1"/>
  <c r="E596" i="1"/>
  <c r="D596" i="1"/>
  <c r="C596" i="1"/>
  <c r="H595" i="1"/>
  <c r="G595" i="1"/>
  <c r="F595" i="1"/>
  <c r="E595" i="1"/>
  <c r="D595" i="1"/>
  <c r="C595" i="1"/>
  <c r="H594" i="1"/>
  <c r="G594" i="1"/>
  <c r="F594" i="1"/>
  <c r="E594" i="1"/>
  <c r="D594" i="1"/>
  <c r="C594" i="1"/>
  <c r="H593" i="1"/>
  <c r="G593" i="1"/>
  <c r="F593" i="1"/>
  <c r="E593" i="1"/>
  <c r="D593" i="1"/>
  <c r="C593" i="1"/>
  <c r="H592" i="1"/>
  <c r="G592" i="1"/>
  <c r="F592" i="1"/>
  <c r="E592" i="1"/>
  <c r="D592" i="1"/>
  <c r="C592" i="1"/>
  <c r="H591" i="1"/>
  <c r="G591" i="1"/>
  <c r="F591" i="1"/>
  <c r="E591" i="1"/>
  <c r="D591" i="1"/>
  <c r="C591" i="1"/>
  <c r="H590" i="1"/>
  <c r="G590" i="1"/>
  <c r="F590" i="1"/>
  <c r="E590" i="1"/>
  <c r="D590" i="1"/>
  <c r="C590" i="1"/>
  <c r="H589" i="1"/>
  <c r="G589" i="1"/>
  <c r="F589" i="1"/>
  <c r="E589" i="1"/>
  <c r="D589" i="1"/>
  <c r="C589" i="1"/>
  <c r="H588" i="1"/>
  <c r="G588" i="1"/>
  <c r="F588" i="1"/>
  <c r="E588" i="1"/>
  <c r="D588" i="1"/>
  <c r="C588" i="1"/>
  <c r="H587" i="1"/>
  <c r="G587" i="1"/>
  <c r="F587" i="1"/>
  <c r="E587" i="1"/>
  <c r="D587" i="1"/>
  <c r="C587" i="1"/>
  <c r="H586" i="1"/>
  <c r="G586" i="1"/>
  <c r="F586" i="1"/>
  <c r="E586" i="1"/>
  <c r="D586" i="1"/>
  <c r="C586" i="1"/>
  <c r="H585" i="1"/>
  <c r="G585" i="1"/>
  <c r="F585" i="1"/>
  <c r="E585" i="1"/>
  <c r="D585" i="1"/>
  <c r="C585" i="1"/>
  <c r="H584" i="1"/>
  <c r="G584" i="1"/>
  <c r="F584" i="1"/>
  <c r="E584" i="1"/>
  <c r="D584" i="1"/>
  <c r="C584" i="1"/>
  <c r="H583" i="1"/>
  <c r="G583" i="1"/>
  <c r="F583" i="1"/>
  <c r="E583" i="1"/>
  <c r="D583" i="1"/>
  <c r="C583" i="1"/>
  <c r="H582" i="1"/>
  <c r="G582" i="1"/>
  <c r="F582" i="1"/>
  <c r="E582" i="1"/>
  <c r="D582" i="1"/>
  <c r="C582" i="1"/>
  <c r="H581" i="1"/>
  <c r="G581" i="1"/>
  <c r="F581" i="1"/>
  <c r="E581" i="1"/>
  <c r="D581" i="1"/>
  <c r="C581" i="1"/>
  <c r="H580" i="1"/>
  <c r="G580" i="1"/>
  <c r="F580" i="1"/>
  <c r="E580" i="1"/>
  <c r="D580" i="1"/>
  <c r="C580" i="1"/>
  <c r="H579" i="1"/>
  <c r="G579" i="1"/>
  <c r="F579" i="1"/>
  <c r="E579" i="1"/>
  <c r="D579" i="1"/>
  <c r="C579" i="1"/>
  <c r="H578" i="1"/>
  <c r="G578" i="1"/>
  <c r="F578" i="1"/>
  <c r="E578" i="1"/>
  <c r="D578" i="1"/>
  <c r="C578" i="1"/>
  <c r="H577" i="1"/>
  <c r="G577" i="1"/>
  <c r="F577" i="1"/>
  <c r="E577" i="1"/>
  <c r="D577" i="1"/>
  <c r="C577" i="1"/>
  <c r="H576" i="1"/>
  <c r="G576" i="1"/>
  <c r="F576" i="1"/>
  <c r="E576" i="1"/>
  <c r="D576" i="1"/>
  <c r="C576" i="1"/>
  <c r="H575" i="1"/>
  <c r="G575" i="1"/>
  <c r="F575" i="1"/>
  <c r="E575" i="1"/>
  <c r="D575" i="1"/>
  <c r="C575" i="1"/>
  <c r="H574" i="1"/>
  <c r="G574" i="1"/>
  <c r="F574" i="1"/>
  <c r="E574" i="1"/>
  <c r="D574" i="1"/>
  <c r="C574" i="1"/>
  <c r="H573" i="1"/>
  <c r="G573" i="1"/>
  <c r="F573" i="1"/>
  <c r="E573" i="1"/>
  <c r="D573" i="1"/>
  <c r="C573" i="1"/>
  <c r="H572" i="1"/>
  <c r="G572" i="1"/>
  <c r="F572" i="1"/>
  <c r="E572" i="1"/>
  <c r="D572" i="1"/>
  <c r="C572" i="1"/>
  <c r="H571" i="1"/>
  <c r="G571" i="1"/>
  <c r="F571" i="1"/>
  <c r="E571" i="1"/>
  <c r="D571" i="1"/>
  <c r="C571" i="1"/>
  <c r="H570" i="1"/>
  <c r="G570" i="1"/>
  <c r="F570" i="1"/>
  <c r="E570" i="1"/>
  <c r="D570" i="1"/>
  <c r="C570" i="1"/>
  <c r="H569" i="1"/>
  <c r="G569" i="1"/>
  <c r="F569" i="1"/>
  <c r="E569" i="1"/>
  <c r="D569" i="1"/>
  <c r="C569" i="1"/>
  <c r="H568" i="1"/>
  <c r="G568" i="1"/>
  <c r="F568" i="1"/>
  <c r="E568" i="1"/>
  <c r="D568" i="1"/>
  <c r="C568" i="1"/>
  <c r="H567" i="1"/>
  <c r="G567" i="1"/>
  <c r="F567" i="1"/>
  <c r="E567" i="1"/>
  <c r="D567" i="1"/>
  <c r="C567" i="1"/>
  <c r="H566" i="1"/>
  <c r="G566" i="1"/>
  <c r="F566" i="1"/>
  <c r="E566" i="1"/>
  <c r="D566" i="1"/>
  <c r="C566" i="1"/>
  <c r="H565" i="1"/>
  <c r="G565" i="1"/>
  <c r="F565" i="1"/>
  <c r="E565" i="1"/>
  <c r="D565" i="1"/>
  <c r="C565" i="1"/>
  <c r="H564" i="1"/>
  <c r="G564" i="1"/>
  <c r="F564" i="1"/>
  <c r="E564" i="1"/>
  <c r="D564" i="1"/>
  <c r="C564" i="1"/>
  <c r="H563" i="1"/>
  <c r="G563" i="1"/>
  <c r="F563" i="1"/>
  <c r="E563" i="1"/>
  <c r="D563" i="1"/>
  <c r="C563" i="1"/>
  <c r="H562" i="1"/>
  <c r="G562" i="1"/>
  <c r="F562" i="1"/>
  <c r="E562" i="1"/>
  <c r="D562" i="1"/>
  <c r="C562" i="1"/>
  <c r="H561" i="1"/>
  <c r="G561" i="1"/>
  <c r="F561" i="1"/>
  <c r="E561" i="1"/>
  <c r="D561" i="1"/>
  <c r="C561" i="1"/>
  <c r="H560" i="1"/>
  <c r="G560" i="1"/>
  <c r="F560" i="1"/>
  <c r="E560" i="1"/>
  <c r="D560" i="1"/>
  <c r="C560" i="1"/>
  <c r="H559" i="1"/>
  <c r="G559" i="1"/>
  <c r="F559" i="1"/>
  <c r="E559" i="1"/>
  <c r="D559" i="1"/>
  <c r="C559" i="1"/>
  <c r="H558" i="1"/>
  <c r="G558" i="1"/>
  <c r="F558" i="1"/>
  <c r="E558" i="1"/>
  <c r="D558" i="1"/>
  <c r="C558" i="1"/>
  <c r="H557" i="1"/>
  <c r="G557" i="1"/>
  <c r="F557" i="1"/>
  <c r="E557" i="1"/>
  <c r="D557" i="1"/>
  <c r="C557" i="1"/>
  <c r="H556" i="1"/>
  <c r="G556" i="1"/>
  <c r="F556" i="1"/>
  <c r="E556" i="1"/>
  <c r="D556" i="1"/>
  <c r="C556" i="1"/>
  <c r="H555" i="1"/>
  <c r="G555" i="1"/>
  <c r="F555" i="1"/>
  <c r="E555" i="1"/>
  <c r="D555" i="1"/>
  <c r="C555" i="1"/>
  <c r="H554" i="1"/>
  <c r="G554" i="1"/>
  <c r="F554" i="1"/>
  <c r="E554" i="1"/>
  <c r="D554" i="1"/>
  <c r="C554" i="1"/>
  <c r="H553" i="1"/>
  <c r="G553" i="1"/>
  <c r="F553" i="1"/>
  <c r="E553" i="1"/>
  <c r="D553" i="1"/>
  <c r="C553" i="1"/>
  <c r="H552" i="1"/>
  <c r="G552" i="1"/>
  <c r="F552" i="1"/>
  <c r="E552" i="1"/>
  <c r="D552" i="1"/>
  <c r="C552" i="1"/>
  <c r="H551" i="1"/>
  <c r="G551" i="1"/>
  <c r="F551" i="1"/>
  <c r="E551" i="1"/>
  <c r="D551" i="1"/>
  <c r="C551" i="1"/>
  <c r="H550" i="1"/>
  <c r="G550" i="1"/>
  <c r="F550" i="1"/>
  <c r="E550" i="1"/>
  <c r="D550" i="1"/>
  <c r="C550" i="1"/>
  <c r="H549" i="1"/>
  <c r="G549" i="1"/>
  <c r="F549" i="1"/>
  <c r="E549" i="1"/>
  <c r="D549" i="1"/>
  <c r="C549" i="1"/>
  <c r="H548" i="1"/>
  <c r="G548" i="1"/>
  <c r="F548" i="1"/>
  <c r="E548" i="1"/>
  <c r="D548" i="1"/>
  <c r="C548" i="1"/>
  <c r="H547" i="1"/>
  <c r="G547" i="1"/>
  <c r="F547" i="1"/>
  <c r="E547" i="1"/>
  <c r="D547" i="1"/>
  <c r="C547" i="1"/>
  <c r="H546" i="1"/>
  <c r="G546" i="1"/>
  <c r="F546" i="1"/>
  <c r="E546" i="1"/>
  <c r="D546" i="1"/>
  <c r="C546" i="1"/>
  <c r="H545" i="1"/>
  <c r="G545" i="1"/>
  <c r="F545" i="1"/>
  <c r="E545" i="1"/>
  <c r="D545" i="1"/>
  <c r="C545" i="1"/>
  <c r="H544" i="1"/>
  <c r="G544" i="1"/>
  <c r="F544" i="1"/>
  <c r="E544" i="1"/>
  <c r="D544" i="1"/>
  <c r="C544" i="1"/>
  <c r="H543" i="1"/>
  <c r="G543" i="1"/>
  <c r="F543" i="1"/>
  <c r="E543" i="1"/>
  <c r="D543" i="1"/>
  <c r="C543" i="1"/>
  <c r="H542" i="1"/>
  <c r="G542" i="1"/>
  <c r="F542" i="1"/>
  <c r="E542" i="1"/>
  <c r="D542" i="1"/>
  <c r="C542" i="1"/>
  <c r="H541" i="1"/>
  <c r="G541" i="1"/>
  <c r="F541" i="1"/>
  <c r="E541" i="1"/>
  <c r="D541" i="1"/>
  <c r="C541" i="1"/>
  <c r="H540" i="1"/>
  <c r="G540" i="1"/>
  <c r="F540" i="1"/>
  <c r="E540" i="1"/>
  <c r="D540" i="1"/>
  <c r="C540" i="1"/>
  <c r="H539" i="1"/>
  <c r="G539" i="1"/>
  <c r="F539" i="1"/>
  <c r="E539" i="1"/>
  <c r="D539" i="1"/>
  <c r="C539" i="1"/>
  <c r="H538" i="1"/>
  <c r="G538" i="1"/>
  <c r="F538" i="1"/>
  <c r="E538" i="1"/>
  <c r="D538" i="1"/>
  <c r="C538" i="1"/>
  <c r="H537" i="1"/>
  <c r="G537" i="1"/>
  <c r="F537" i="1"/>
  <c r="E537" i="1"/>
  <c r="D537" i="1"/>
  <c r="C537" i="1"/>
  <c r="H536" i="1"/>
  <c r="G536" i="1"/>
  <c r="F536" i="1"/>
  <c r="E536" i="1"/>
  <c r="D536" i="1"/>
  <c r="C536" i="1"/>
  <c r="H535" i="1"/>
  <c r="G535" i="1"/>
  <c r="F535" i="1"/>
  <c r="E535" i="1"/>
  <c r="D535" i="1"/>
  <c r="C535" i="1"/>
  <c r="H534" i="1"/>
  <c r="G534" i="1"/>
  <c r="F534" i="1"/>
  <c r="E534" i="1"/>
  <c r="D534" i="1"/>
  <c r="C534" i="1"/>
  <c r="H533" i="1"/>
  <c r="G533" i="1"/>
  <c r="F533" i="1"/>
  <c r="E533" i="1"/>
  <c r="D533" i="1"/>
  <c r="C533" i="1"/>
  <c r="H532" i="1"/>
  <c r="G532" i="1"/>
  <c r="F532" i="1"/>
  <c r="E532" i="1"/>
  <c r="D532" i="1"/>
  <c r="C532" i="1"/>
  <c r="H531" i="1"/>
  <c r="G531" i="1"/>
  <c r="F531" i="1"/>
  <c r="E531" i="1"/>
  <c r="D531" i="1"/>
  <c r="C531" i="1"/>
  <c r="H530" i="1"/>
  <c r="G530" i="1"/>
  <c r="F530" i="1"/>
  <c r="E530" i="1"/>
  <c r="D530" i="1"/>
  <c r="C530" i="1"/>
  <c r="H529" i="1"/>
  <c r="G529" i="1"/>
  <c r="F529" i="1"/>
  <c r="E529" i="1"/>
  <c r="D529" i="1"/>
  <c r="C529" i="1"/>
  <c r="H528" i="1"/>
  <c r="G528" i="1"/>
  <c r="F528" i="1"/>
  <c r="E528" i="1"/>
  <c r="D528" i="1"/>
  <c r="C528" i="1"/>
  <c r="H527" i="1"/>
  <c r="G527" i="1"/>
  <c r="F527" i="1"/>
  <c r="E527" i="1"/>
  <c r="D527" i="1"/>
  <c r="C527" i="1"/>
  <c r="H526" i="1"/>
  <c r="G526" i="1"/>
  <c r="F526" i="1"/>
  <c r="E526" i="1"/>
  <c r="D526" i="1"/>
  <c r="C526" i="1"/>
  <c r="H525" i="1"/>
  <c r="G525" i="1"/>
  <c r="F525" i="1"/>
  <c r="E525" i="1"/>
  <c r="D525" i="1"/>
  <c r="C525" i="1"/>
  <c r="H524" i="1"/>
  <c r="G524" i="1"/>
  <c r="F524" i="1"/>
  <c r="E524" i="1"/>
  <c r="D524" i="1"/>
  <c r="C524" i="1"/>
  <c r="H523" i="1"/>
  <c r="G523" i="1"/>
  <c r="F523" i="1"/>
  <c r="E523" i="1"/>
  <c r="D523" i="1"/>
  <c r="C523" i="1"/>
  <c r="H522" i="1"/>
  <c r="G522" i="1"/>
  <c r="F522" i="1"/>
  <c r="E522" i="1"/>
  <c r="D522" i="1"/>
  <c r="C522" i="1"/>
  <c r="H521" i="1"/>
  <c r="G521" i="1"/>
  <c r="F521" i="1"/>
  <c r="E521" i="1"/>
  <c r="D521" i="1"/>
  <c r="C521" i="1"/>
  <c r="H520" i="1"/>
  <c r="G520" i="1"/>
  <c r="F520" i="1"/>
  <c r="E520" i="1"/>
  <c r="D520" i="1"/>
  <c r="C520" i="1"/>
  <c r="H519" i="1"/>
  <c r="G519" i="1"/>
  <c r="F519" i="1"/>
  <c r="E519" i="1"/>
  <c r="D519" i="1"/>
  <c r="C519" i="1"/>
  <c r="H518" i="1"/>
  <c r="G518" i="1"/>
  <c r="F518" i="1"/>
  <c r="E518" i="1"/>
  <c r="D518" i="1"/>
  <c r="C518" i="1"/>
  <c r="H517" i="1"/>
  <c r="G517" i="1"/>
  <c r="F517" i="1"/>
  <c r="E517" i="1"/>
  <c r="D517" i="1"/>
  <c r="C517" i="1"/>
  <c r="H516" i="1"/>
  <c r="G516" i="1"/>
  <c r="F516" i="1"/>
  <c r="E516" i="1"/>
  <c r="D516" i="1"/>
  <c r="C516" i="1"/>
  <c r="H515" i="1"/>
  <c r="G515" i="1"/>
  <c r="F515" i="1"/>
  <c r="E515" i="1"/>
  <c r="D515" i="1"/>
  <c r="C515" i="1"/>
  <c r="H514" i="1"/>
  <c r="G514" i="1"/>
  <c r="F514" i="1"/>
  <c r="E514" i="1"/>
  <c r="D514" i="1"/>
  <c r="C514" i="1"/>
  <c r="H513" i="1"/>
  <c r="G513" i="1"/>
  <c r="F513" i="1"/>
  <c r="E513" i="1"/>
  <c r="D513" i="1"/>
  <c r="C513" i="1"/>
  <c r="H512" i="1"/>
  <c r="G512" i="1"/>
  <c r="F512" i="1"/>
  <c r="E512" i="1"/>
  <c r="D512" i="1"/>
  <c r="C512" i="1"/>
  <c r="H511" i="1"/>
  <c r="G511" i="1"/>
  <c r="F511" i="1"/>
  <c r="E511" i="1"/>
  <c r="D511" i="1"/>
  <c r="C511" i="1"/>
  <c r="H510" i="1"/>
  <c r="G510" i="1"/>
  <c r="F510" i="1"/>
  <c r="E510" i="1"/>
  <c r="D510" i="1"/>
  <c r="C510" i="1"/>
  <c r="H509" i="1"/>
  <c r="G509" i="1"/>
  <c r="F509" i="1"/>
  <c r="E509" i="1"/>
  <c r="D509" i="1"/>
  <c r="C509" i="1"/>
  <c r="H508" i="1"/>
  <c r="G508" i="1"/>
  <c r="F508" i="1"/>
  <c r="E508" i="1"/>
  <c r="D508" i="1"/>
  <c r="C508" i="1"/>
  <c r="H507" i="1"/>
  <c r="G507" i="1"/>
  <c r="F507" i="1"/>
  <c r="E507" i="1"/>
  <c r="D507" i="1"/>
  <c r="C507" i="1"/>
  <c r="H506" i="1"/>
  <c r="G506" i="1"/>
  <c r="F506" i="1"/>
  <c r="E506" i="1"/>
  <c r="D506" i="1"/>
  <c r="C506" i="1"/>
  <c r="H505" i="1"/>
  <c r="G505" i="1"/>
  <c r="F505" i="1"/>
  <c r="E505" i="1"/>
  <c r="D505" i="1"/>
  <c r="C505" i="1"/>
  <c r="H504" i="1"/>
  <c r="G504" i="1"/>
  <c r="F504" i="1"/>
  <c r="E504" i="1"/>
  <c r="D504" i="1"/>
  <c r="C504" i="1"/>
  <c r="H503" i="1"/>
  <c r="G503" i="1"/>
  <c r="F503" i="1"/>
  <c r="E503" i="1"/>
  <c r="D503" i="1"/>
  <c r="C503" i="1"/>
  <c r="H502" i="1"/>
  <c r="G502" i="1"/>
  <c r="F502" i="1"/>
  <c r="E502" i="1"/>
  <c r="D502" i="1"/>
  <c r="C502" i="1"/>
  <c r="H501" i="1"/>
  <c r="G501" i="1"/>
  <c r="F501" i="1"/>
  <c r="E501" i="1"/>
  <c r="D501" i="1"/>
  <c r="C501" i="1"/>
  <c r="H500" i="1"/>
  <c r="G500" i="1"/>
  <c r="F500" i="1"/>
  <c r="E500" i="1"/>
  <c r="D500" i="1"/>
  <c r="C500" i="1"/>
  <c r="H499" i="1"/>
  <c r="G499" i="1"/>
  <c r="F499" i="1"/>
  <c r="E499" i="1"/>
  <c r="D499" i="1"/>
  <c r="C499" i="1"/>
  <c r="H498" i="1"/>
  <c r="G498" i="1"/>
  <c r="F498" i="1"/>
  <c r="E498" i="1"/>
  <c r="D498" i="1"/>
  <c r="C498" i="1"/>
  <c r="H497" i="1"/>
  <c r="G497" i="1"/>
  <c r="F497" i="1"/>
  <c r="E497" i="1"/>
  <c r="D497" i="1"/>
  <c r="C497" i="1"/>
  <c r="H496" i="1"/>
  <c r="G496" i="1"/>
  <c r="F496" i="1"/>
  <c r="E496" i="1"/>
  <c r="D496" i="1"/>
  <c r="C496" i="1"/>
  <c r="H495" i="1"/>
  <c r="G495" i="1"/>
  <c r="F495" i="1"/>
  <c r="E495" i="1"/>
  <c r="D495" i="1"/>
  <c r="C495" i="1"/>
  <c r="H494" i="1"/>
  <c r="G494" i="1"/>
  <c r="F494" i="1"/>
  <c r="E494" i="1"/>
  <c r="D494" i="1"/>
  <c r="C494" i="1"/>
  <c r="H493" i="1"/>
  <c r="G493" i="1"/>
  <c r="F493" i="1"/>
  <c r="E493" i="1"/>
  <c r="D493" i="1"/>
  <c r="C493" i="1"/>
  <c r="H492" i="1"/>
  <c r="G492" i="1"/>
  <c r="F492" i="1"/>
  <c r="E492" i="1"/>
  <c r="D492" i="1"/>
  <c r="C492" i="1"/>
  <c r="H491" i="1"/>
  <c r="G491" i="1"/>
  <c r="F491" i="1"/>
  <c r="E491" i="1"/>
  <c r="D491" i="1"/>
  <c r="C491" i="1"/>
  <c r="H490" i="1"/>
  <c r="G490" i="1"/>
  <c r="F490" i="1"/>
  <c r="E490" i="1"/>
  <c r="D490" i="1"/>
  <c r="C490" i="1"/>
  <c r="H489" i="1"/>
  <c r="G489" i="1"/>
  <c r="F489" i="1"/>
  <c r="E489" i="1"/>
  <c r="D489" i="1"/>
  <c r="C489" i="1"/>
  <c r="H488" i="1"/>
  <c r="G488" i="1"/>
  <c r="F488" i="1"/>
  <c r="E488" i="1"/>
  <c r="D488" i="1"/>
  <c r="C488" i="1"/>
  <c r="H487" i="1"/>
  <c r="G487" i="1"/>
  <c r="F487" i="1"/>
  <c r="E487" i="1"/>
  <c r="D487" i="1"/>
  <c r="C487" i="1"/>
  <c r="H486" i="1"/>
  <c r="G486" i="1"/>
  <c r="F486" i="1"/>
  <c r="E486" i="1"/>
  <c r="D486" i="1"/>
  <c r="C486" i="1"/>
  <c r="H485" i="1"/>
  <c r="G485" i="1"/>
  <c r="F485" i="1"/>
  <c r="E485" i="1"/>
  <c r="D485" i="1"/>
  <c r="C485" i="1"/>
  <c r="H484" i="1"/>
  <c r="G484" i="1"/>
  <c r="F484" i="1"/>
  <c r="E484" i="1"/>
  <c r="D484" i="1"/>
  <c r="C484" i="1"/>
  <c r="H483" i="1"/>
  <c r="G483" i="1"/>
  <c r="F483" i="1"/>
  <c r="E483" i="1"/>
  <c r="D483" i="1"/>
  <c r="C483" i="1"/>
  <c r="H482" i="1"/>
  <c r="G482" i="1"/>
  <c r="F482" i="1"/>
  <c r="E482" i="1"/>
  <c r="D482" i="1"/>
  <c r="C482" i="1"/>
  <c r="H481" i="1"/>
  <c r="G481" i="1"/>
  <c r="F481" i="1"/>
  <c r="E481" i="1"/>
  <c r="D481" i="1"/>
  <c r="C481" i="1"/>
  <c r="H480" i="1"/>
  <c r="G480" i="1"/>
  <c r="F480" i="1"/>
  <c r="E480" i="1"/>
  <c r="D480" i="1"/>
  <c r="C480" i="1"/>
  <c r="H479" i="1"/>
  <c r="G479" i="1"/>
  <c r="F479" i="1"/>
  <c r="E479" i="1"/>
  <c r="D479" i="1"/>
  <c r="C479" i="1"/>
  <c r="H478" i="1"/>
  <c r="G478" i="1"/>
  <c r="F478" i="1"/>
  <c r="E478" i="1"/>
  <c r="D478" i="1"/>
  <c r="C478" i="1"/>
  <c r="H477" i="1"/>
  <c r="G477" i="1"/>
  <c r="F477" i="1"/>
  <c r="E477" i="1"/>
  <c r="D477" i="1"/>
  <c r="C477" i="1"/>
  <c r="H476" i="1"/>
  <c r="G476" i="1"/>
  <c r="F476" i="1"/>
  <c r="E476" i="1"/>
  <c r="D476" i="1"/>
  <c r="C476" i="1"/>
  <c r="H475" i="1"/>
  <c r="G475" i="1"/>
  <c r="F475" i="1"/>
  <c r="E475" i="1"/>
  <c r="D475" i="1"/>
  <c r="C475" i="1"/>
  <c r="H474" i="1"/>
  <c r="G474" i="1"/>
  <c r="F474" i="1"/>
  <c r="E474" i="1"/>
  <c r="D474" i="1"/>
  <c r="C474" i="1"/>
  <c r="H473" i="1"/>
  <c r="G473" i="1"/>
  <c r="F473" i="1"/>
  <c r="E473" i="1"/>
  <c r="D473" i="1"/>
  <c r="C473" i="1"/>
  <c r="H472" i="1"/>
  <c r="G472" i="1"/>
  <c r="F472" i="1"/>
  <c r="E472" i="1"/>
  <c r="D472" i="1"/>
  <c r="C472" i="1"/>
  <c r="H471" i="1"/>
  <c r="G471" i="1"/>
  <c r="F471" i="1"/>
  <c r="E471" i="1"/>
  <c r="D471" i="1"/>
  <c r="C471" i="1"/>
  <c r="H470" i="1"/>
  <c r="G470" i="1"/>
  <c r="F470" i="1"/>
  <c r="E470" i="1"/>
  <c r="D470" i="1"/>
  <c r="C470" i="1"/>
  <c r="H469" i="1"/>
  <c r="G469" i="1"/>
  <c r="F469" i="1"/>
  <c r="E469" i="1"/>
  <c r="D469" i="1"/>
  <c r="C469" i="1"/>
  <c r="H468" i="1"/>
  <c r="G468" i="1"/>
  <c r="F468" i="1"/>
  <c r="E468" i="1"/>
  <c r="D468" i="1"/>
  <c r="C468" i="1"/>
  <c r="H467" i="1"/>
  <c r="G467" i="1"/>
  <c r="F467" i="1"/>
  <c r="E467" i="1"/>
  <c r="D467" i="1"/>
  <c r="C467" i="1"/>
  <c r="H466" i="1"/>
  <c r="G466" i="1"/>
  <c r="F466" i="1"/>
  <c r="E466" i="1"/>
  <c r="D466" i="1"/>
  <c r="C466" i="1"/>
  <c r="H465" i="1"/>
  <c r="G465" i="1"/>
  <c r="F465" i="1"/>
  <c r="E465" i="1"/>
  <c r="D465" i="1"/>
  <c r="C465" i="1"/>
  <c r="H464" i="1"/>
  <c r="G464" i="1"/>
  <c r="F464" i="1"/>
  <c r="E464" i="1"/>
  <c r="D464" i="1"/>
  <c r="C464" i="1"/>
  <c r="H463" i="1"/>
  <c r="G463" i="1"/>
  <c r="F463" i="1"/>
  <c r="E463" i="1"/>
  <c r="D463" i="1"/>
  <c r="C463" i="1"/>
  <c r="H462" i="1"/>
  <c r="G462" i="1"/>
  <c r="F462" i="1"/>
  <c r="E462" i="1"/>
  <c r="D462" i="1"/>
  <c r="C462" i="1"/>
  <c r="H461" i="1"/>
  <c r="G461" i="1"/>
  <c r="F461" i="1"/>
  <c r="E461" i="1"/>
  <c r="D461" i="1"/>
  <c r="C461" i="1"/>
  <c r="H460" i="1"/>
  <c r="G460" i="1"/>
  <c r="F460" i="1"/>
  <c r="E460" i="1"/>
  <c r="D460" i="1"/>
  <c r="C460" i="1"/>
  <c r="H459" i="1"/>
  <c r="G459" i="1"/>
  <c r="F459" i="1"/>
  <c r="E459" i="1"/>
  <c r="D459" i="1"/>
  <c r="C459" i="1"/>
  <c r="H458" i="1"/>
  <c r="G458" i="1"/>
  <c r="F458" i="1"/>
  <c r="E458" i="1"/>
  <c r="D458" i="1"/>
  <c r="C458" i="1"/>
  <c r="H457" i="1"/>
  <c r="G457" i="1"/>
  <c r="F457" i="1"/>
  <c r="E457" i="1"/>
  <c r="D457" i="1"/>
  <c r="C457" i="1"/>
  <c r="H456" i="1"/>
  <c r="G456" i="1"/>
  <c r="F456" i="1"/>
  <c r="E456" i="1"/>
  <c r="D456" i="1"/>
  <c r="C456" i="1"/>
  <c r="H455" i="1"/>
  <c r="G455" i="1"/>
  <c r="F455" i="1"/>
  <c r="E455" i="1"/>
  <c r="D455" i="1"/>
  <c r="C455" i="1"/>
  <c r="H454" i="1"/>
  <c r="G454" i="1"/>
  <c r="F454" i="1"/>
  <c r="E454" i="1"/>
  <c r="D454" i="1"/>
  <c r="C454" i="1"/>
  <c r="H453" i="1"/>
  <c r="G453" i="1"/>
  <c r="F453" i="1"/>
  <c r="E453" i="1"/>
  <c r="D453" i="1"/>
  <c r="C453" i="1"/>
  <c r="H452" i="1"/>
  <c r="G452" i="1"/>
  <c r="F452" i="1"/>
  <c r="E452" i="1"/>
  <c r="D452" i="1"/>
  <c r="C452" i="1"/>
  <c r="H451" i="1"/>
  <c r="G451" i="1"/>
  <c r="F451" i="1"/>
  <c r="E451" i="1"/>
  <c r="D451" i="1"/>
  <c r="C451" i="1"/>
  <c r="H450" i="1"/>
  <c r="G450" i="1"/>
  <c r="F450" i="1"/>
  <c r="E450" i="1"/>
  <c r="D450" i="1"/>
  <c r="C450" i="1"/>
  <c r="H449" i="1"/>
  <c r="G449" i="1"/>
  <c r="F449" i="1"/>
  <c r="E449" i="1"/>
  <c r="D449" i="1"/>
  <c r="C449" i="1"/>
  <c r="H448" i="1"/>
  <c r="G448" i="1"/>
  <c r="F448" i="1"/>
  <c r="E448" i="1"/>
  <c r="D448" i="1"/>
  <c r="C448" i="1"/>
  <c r="H447" i="1"/>
  <c r="G447" i="1"/>
  <c r="F447" i="1"/>
  <c r="E447" i="1"/>
  <c r="D447" i="1"/>
  <c r="C447" i="1"/>
  <c r="H446" i="1"/>
  <c r="G446" i="1"/>
  <c r="F446" i="1"/>
  <c r="E446" i="1"/>
  <c r="D446" i="1"/>
  <c r="C446" i="1"/>
  <c r="H445" i="1"/>
  <c r="G445" i="1"/>
  <c r="F445" i="1"/>
  <c r="E445" i="1"/>
  <c r="D445" i="1"/>
  <c r="C445" i="1"/>
  <c r="H444" i="1"/>
  <c r="G444" i="1"/>
  <c r="F444" i="1"/>
  <c r="E444" i="1"/>
  <c r="D444" i="1"/>
  <c r="C444" i="1"/>
  <c r="H443" i="1"/>
  <c r="G443" i="1"/>
  <c r="F443" i="1"/>
  <c r="E443" i="1"/>
  <c r="D443" i="1"/>
  <c r="C443" i="1"/>
  <c r="H442" i="1"/>
  <c r="G442" i="1"/>
  <c r="F442" i="1"/>
  <c r="E442" i="1"/>
  <c r="D442" i="1"/>
  <c r="C442" i="1"/>
  <c r="H441" i="1"/>
  <c r="G441" i="1"/>
  <c r="F441" i="1"/>
  <c r="E441" i="1"/>
  <c r="D441" i="1"/>
  <c r="C441" i="1"/>
  <c r="H440" i="1"/>
  <c r="G440" i="1"/>
  <c r="F440" i="1"/>
  <c r="E440" i="1"/>
  <c r="D440" i="1"/>
  <c r="C440" i="1"/>
  <c r="H439" i="1"/>
  <c r="G439" i="1"/>
  <c r="F439" i="1"/>
  <c r="E439" i="1"/>
  <c r="D439" i="1"/>
  <c r="C439" i="1"/>
  <c r="H438" i="1"/>
  <c r="G438" i="1"/>
  <c r="F438" i="1"/>
  <c r="E438" i="1"/>
  <c r="D438" i="1"/>
  <c r="C438" i="1"/>
  <c r="H437" i="1"/>
  <c r="G437" i="1"/>
  <c r="F437" i="1"/>
  <c r="E437" i="1"/>
  <c r="D437" i="1"/>
  <c r="C437" i="1"/>
  <c r="H436" i="1"/>
  <c r="G436" i="1"/>
  <c r="F436" i="1"/>
  <c r="E436" i="1"/>
  <c r="D436" i="1"/>
  <c r="C436" i="1"/>
  <c r="H435" i="1"/>
  <c r="G435" i="1"/>
  <c r="F435" i="1"/>
  <c r="E435" i="1"/>
  <c r="D435" i="1"/>
  <c r="C435" i="1"/>
  <c r="H434" i="1"/>
  <c r="G434" i="1"/>
  <c r="F434" i="1"/>
  <c r="E434" i="1"/>
  <c r="D434" i="1"/>
  <c r="C434" i="1"/>
  <c r="H433" i="1"/>
  <c r="G433" i="1"/>
  <c r="F433" i="1"/>
  <c r="E433" i="1"/>
  <c r="D433" i="1"/>
  <c r="C433" i="1"/>
  <c r="H432" i="1"/>
  <c r="G432" i="1"/>
  <c r="F432" i="1"/>
  <c r="E432" i="1"/>
  <c r="D432" i="1"/>
  <c r="C432" i="1"/>
  <c r="H431" i="1"/>
  <c r="G431" i="1"/>
  <c r="F431" i="1"/>
  <c r="E431" i="1"/>
  <c r="D431" i="1"/>
  <c r="C431" i="1"/>
  <c r="H430" i="1"/>
  <c r="G430" i="1"/>
  <c r="F430" i="1"/>
  <c r="E430" i="1"/>
  <c r="D430" i="1"/>
  <c r="C430" i="1"/>
  <c r="H429" i="1"/>
  <c r="G429" i="1"/>
  <c r="F429" i="1"/>
  <c r="E429" i="1"/>
  <c r="D429" i="1"/>
  <c r="C429" i="1"/>
  <c r="H428" i="1"/>
  <c r="G428" i="1"/>
  <c r="F428" i="1"/>
  <c r="E428" i="1"/>
  <c r="D428" i="1"/>
  <c r="C428" i="1"/>
  <c r="H427" i="1"/>
  <c r="G427" i="1"/>
  <c r="F427" i="1"/>
  <c r="E427" i="1"/>
  <c r="D427" i="1"/>
  <c r="C427" i="1"/>
  <c r="H426" i="1"/>
  <c r="G426" i="1"/>
  <c r="F426" i="1"/>
  <c r="E426" i="1"/>
  <c r="D426" i="1"/>
  <c r="C426" i="1"/>
  <c r="H425" i="1"/>
  <c r="G425" i="1"/>
  <c r="F425" i="1"/>
  <c r="E425" i="1"/>
  <c r="D425" i="1"/>
  <c r="C425" i="1"/>
  <c r="H424" i="1"/>
  <c r="G424" i="1"/>
  <c r="F424" i="1"/>
  <c r="E424" i="1"/>
  <c r="D424" i="1"/>
  <c r="C424" i="1"/>
  <c r="H423" i="1"/>
  <c r="G423" i="1"/>
  <c r="F423" i="1"/>
  <c r="E423" i="1"/>
  <c r="D423" i="1"/>
  <c r="C423" i="1"/>
  <c r="H422" i="1"/>
  <c r="G422" i="1"/>
  <c r="F422" i="1"/>
  <c r="E422" i="1"/>
  <c r="D422" i="1"/>
  <c r="C422" i="1"/>
  <c r="H421" i="1"/>
  <c r="G421" i="1"/>
  <c r="F421" i="1"/>
  <c r="E421" i="1"/>
  <c r="D421" i="1"/>
  <c r="C421" i="1"/>
  <c r="H420" i="1"/>
  <c r="G420" i="1"/>
  <c r="F420" i="1"/>
  <c r="E420" i="1"/>
  <c r="D420" i="1"/>
  <c r="C420" i="1"/>
  <c r="H419" i="1"/>
  <c r="G419" i="1"/>
  <c r="F419" i="1"/>
  <c r="E419" i="1"/>
  <c r="D419" i="1"/>
  <c r="C419" i="1"/>
  <c r="H418" i="1"/>
  <c r="G418" i="1"/>
  <c r="F418" i="1"/>
  <c r="E418" i="1"/>
  <c r="D418" i="1"/>
  <c r="C418" i="1"/>
  <c r="H417" i="1"/>
  <c r="G417" i="1"/>
  <c r="F417" i="1"/>
  <c r="E417" i="1"/>
  <c r="D417" i="1"/>
  <c r="C417" i="1"/>
  <c r="H416" i="1"/>
  <c r="G416" i="1"/>
  <c r="F416" i="1"/>
  <c r="E416" i="1"/>
  <c r="D416" i="1"/>
  <c r="C416" i="1"/>
  <c r="H415" i="1"/>
  <c r="G415" i="1"/>
  <c r="F415" i="1"/>
  <c r="E415" i="1"/>
  <c r="D415" i="1"/>
  <c r="C415" i="1"/>
  <c r="H414" i="1"/>
  <c r="G414" i="1"/>
  <c r="F414" i="1"/>
  <c r="E414" i="1"/>
  <c r="D414" i="1"/>
  <c r="C414" i="1"/>
  <c r="H413" i="1"/>
  <c r="G413" i="1"/>
  <c r="F413" i="1"/>
  <c r="E413" i="1"/>
  <c r="D413" i="1"/>
  <c r="C413" i="1"/>
  <c r="H412" i="1"/>
  <c r="G412" i="1"/>
  <c r="F412" i="1"/>
  <c r="E412" i="1"/>
  <c r="D412" i="1"/>
  <c r="C412" i="1"/>
  <c r="H411" i="1"/>
  <c r="G411" i="1"/>
  <c r="F411" i="1"/>
  <c r="E411" i="1"/>
  <c r="D411" i="1"/>
  <c r="C411" i="1"/>
  <c r="H410" i="1"/>
  <c r="G410" i="1"/>
  <c r="F410" i="1"/>
  <c r="E410" i="1"/>
  <c r="D410" i="1"/>
  <c r="C410" i="1"/>
  <c r="H409" i="1"/>
  <c r="G409" i="1"/>
  <c r="F409" i="1"/>
  <c r="E409" i="1"/>
  <c r="D409" i="1"/>
  <c r="C409" i="1"/>
  <c r="H408" i="1"/>
  <c r="G408" i="1"/>
  <c r="F408" i="1"/>
  <c r="E408" i="1"/>
  <c r="D408" i="1"/>
  <c r="C408" i="1"/>
  <c r="H407" i="1"/>
  <c r="G407" i="1"/>
  <c r="F407" i="1"/>
  <c r="E407" i="1"/>
  <c r="D407" i="1"/>
  <c r="C407" i="1"/>
  <c r="H406" i="1"/>
  <c r="G406" i="1"/>
  <c r="F406" i="1"/>
  <c r="E406" i="1"/>
  <c r="D406" i="1"/>
  <c r="C406" i="1"/>
  <c r="H405" i="1"/>
  <c r="G405" i="1"/>
  <c r="F405" i="1"/>
  <c r="E405" i="1"/>
  <c r="D405" i="1"/>
  <c r="C405" i="1"/>
  <c r="H404" i="1"/>
  <c r="G404" i="1"/>
  <c r="F404" i="1"/>
  <c r="E404" i="1"/>
  <c r="D404" i="1"/>
  <c r="C404" i="1"/>
  <c r="H403" i="1"/>
  <c r="G403" i="1"/>
  <c r="F403" i="1"/>
  <c r="E403" i="1"/>
  <c r="D403" i="1"/>
  <c r="C403" i="1"/>
  <c r="H402" i="1"/>
  <c r="G402" i="1"/>
  <c r="F402" i="1"/>
  <c r="E402" i="1"/>
  <c r="D402" i="1"/>
  <c r="C402" i="1"/>
  <c r="H401" i="1"/>
  <c r="G401" i="1"/>
  <c r="F401" i="1"/>
  <c r="E401" i="1"/>
  <c r="D401" i="1"/>
  <c r="C401" i="1"/>
  <c r="H400" i="1"/>
  <c r="G400" i="1"/>
  <c r="F400" i="1"/>
  <c r="E400" i="1"/>
  <c r="D400" i="1"/>
  <c r="C400" i="1"/>
  <c r="H399" i="1"/>
  <c r="G399" i="1"/>
  <c r="F399" i="1"/>
  <c r="E399" i="1"/>
  <c r="D399" i="1"/>
  <c r="C399" i="1"/>
  <c r="H398" i="1"/>
  <c r="G398" i="1"/>
  <c r="F398" i="1"/>
  <c r="E398" i="1"/>
  <c r="D398" i="1"/>
  <c r="C398" i="1"/>
  <c r="H397" i="1"/>
  <c r="G397" i="1"/>
  <c r="F397" i="1"/>
  <c r="E397" i="1"/>
  <c r="D397" i="1"/>
  <c r="C397" i="1"/>
  <c r="H396" i="1"/>
  <c r="G396" i="1"/>
  <c r="F396" i="1"/>
  <c r="E396" i="1"/>
  <c r="D396" i="1"/>
  <c r="C396" i="1"/>
  <c r="H395" i="1"/>
  <c r="G395" i="1"/>
  <c r="F395" i="1"/>
  <c r="E395" i="1"/>
  <c r="D395" i="1"/>
  <c r="C395" i="1"/>
  <c r="H394" i="1"/>
  <c r="G394" i="1"/>
  <c r="F394" i="1"/>
  <c r="E394" i="1"/>
  <c r="D394" i="1"/>
  <c r="C394" i="1"/>
  <c r="H393" i="1"/>
  <c r="G393" i="1"/>
  <c r="F393" i="1"/>
  <c r="E393" i="1"/>
  <c r="D393" i="1"/>
  <c r="C393" i="1"/>
  <c r="H392" i="1"/>
  <c r="G392" i="1"/>
  <c r="F392" i="1"/>
  <c r="E392" i="1"/>
  <c r="D392" i="1"/>
  <c r="C392" i="1"/>
  <c r="H391" i="1"/>
  <c r="G391" i="1"/>
  <c r="F391" i="1"/>
  <c r="E391" i="1"/>
  <c r="D391" i="1"/>
  <c r="C391" i="1"/>
  <c r="H390" i="1"/>
  <c r="G390" i="1"/>
  <c r="F390" i="1"/>
  <c r="E390" i="1"/>
  <c r="D390" i="1"/>
  <c r="C390" i="1"/>
  <c r="H389" i="1"/>
  <c r="G389" i="1"/>
  <c r="F389" i="1"/>
  <c r="E389" i="1"/>
  <c r="D389" i="1"/>
  <c r="C389" i="1"/>
  <c r="H388" i="1"/>
  <c r="G388" i="1"/>
  <c r="F388" i="1"/>
  <c r="E388" i="1"/>
  <c r="D388" i="1"/>
  <c r="C388" i="1"/>
  <c r="H387" i="1"/>
  <c r="G387" i="1"/>
  <c r="F387" i="1"/>
  <c r="E387" i="1"/>
  <c r="D387" i="1"/>
  <c r="C387" i="1"/>
  <c r="H386" i="1"/>
  <c r="G386" i="1"/>
  <c r="F386" i="1"/>
  <c r="E386" i="1"/>
  <c r="D386" i="1"/>
  <c r="C386" i="1"/>
  <c r="H385" i="1"/>
  <c r="G385" i="1"/>
  <c r="F385" i="1"/>
  <c r="E385" i="1"/>
  <c r="D385" i="1"/>
  <c r="C385" i="1"/>
  <c r="H384" i="1"/>
  <c r="G384" i="1"/>
  <c r="F384" i="1"/>
  <c r="E384" i="1"/>
  <c r="D384" i="1"/>
  <c r="C384" i="1"/>
  <c r="H383" i="1"/>
  <c r="G383" i="1"/>
  <c r="F383" i="1"/>
  <c r="E383" i="1"/>
  <c r="D383" i="1"/>
  <c r="C383" i="1"/>
  <c r="H382" i="1"/>
  <c r="G382" i="1"/>
  <c r="F382" i="1"/>
  <c r="E382" i="1"/>
  <c r="D382" i="1"/>
  <c r="C382" i="1"/>
  <c r="H381" i="1"/>
  <c r="G381" i="1"/>
  <c r="F381" i="1"/>
  <c r="E381" i="1"/>
  <c r="D381" i="1"/>
  <c r="C381" i="1"/>
  <c r="H380" i="1"/>
  <c r="G380" i="1"/>
  <c r="F380" i="1"/>
  <c r="E380" i="1"/>
  <c r="D380" i="1"/>
  <c r="C380" i="1"/>
  <c r="H379" i="1"/>
  <c r="G379" i="1"/>
  <c r="F379" i="1"/>
  <c r="E379" i="1"/>
  <c r="D379" i="1"/>
  <c r="C379" i="1"/>
  <c r="H378" i="1"/>
  <c r="G378" i="1"/>
  <c r="F378" i="1"/>
  <c r="E378" i="1"/>
  <c r="D378" i="1"/>
  <c r="C378" i="1"/>
  <c r="H377" i="1"/>
  <c r="G377" i="1"/>
  <c r="F377" i="1"/>
  <c r="E377" i="1"/>
  <c r="D377" i="1"/>
  <c r="C377" i="1"/>
  <c r="H376" i="1"/>
  <c r="G376" i="1"/>
  <c r="F376" i="1"/>
  <c r="E376" i="1"/>
  <c r="D376" i="1"/>
  <c r="C376" i="1"/>
  <c r="H375" i="1"/>
  <c r="G375" i="1"/>
  <c r="F375" i="1"/>
  <c r="E375" i="1"/>
  <c r="D375" i="1"/>
  <c r="C375" i="1"/>
  <c r="H374" i="1"/>
  <c r="G374" i="1"/>
  <c r="F374" i="1"/>
  <c r="E374" i="1"/>
  <c r="D374" i="1"/>
  <c r="C374" i="1"/>
  <c r="H373" i="1"/>
  <c r="G373" i="1"/>
  <c r="F373" i="1"/>
  <c r="E373" i="1"/>
  <c r="D373" i="1"/>
  <c r="C373" i="1"/>
  <c r="H372" i="1"/>
  <c r="G372" i="1"/>
  <c r="F372" i="1"/>
  <c r="E372" i="1"/>
  <c r="D372" i="1"/>
  <c r="C372" i="1"/>
  <c r="H371" i="1"/>
  <c r="G371" i="1"/>
  <c r="F371" i="1"/>
  <c r="E371" i="1"/>
  <c r="D371" i="1"/>
  <c r="C371" i="1"/>
  <c r="H370" i="1"/>
  <c r="G370" i="1"/>
  <c r="F370" i="1"/>
  <c r="E370" i="1"/>
  <c r="D370" i="1"/>
  <c r="C370" i="1"/>
  <c r="H369" i="1"/>
  <c r="G369" i="1"/>
  <c r="F369" i="1"/>
  <c r="E369" i="1"/>
  <c r="D369" i="1"/>
  <c r="C369" i="1"/>
  <c r="H368" i="1"/>
  <c r="G368" i="1"/>
  <c r="F368" i="1"/>
  <c r="E368" i="1"/>
  <c r="D368" i="1"/>
  <c r="C368" i="1"/>
  <c r="H367" i="1"/>
  <c r="G367" i="1"/>
  <c r="F367" i="1"/>
  <c r="E367" i="1"/>
  <c r="D367" i="1"/>
  <c r="C367" i="1"/>
  <c r="H366" i="1"/>
  <c r="G366" i="1"/>
  <c r="F366" i="1"/>
  <c r="E366" i="1"/>
  <c r="D366" i="1"/>
  <c r="C366" i="1"/>
  <c r="H365" i="1"/>
  <c r="G365" i="1"/>
  <c r="F365" i="1"/>
  <c r="E365" i="1"/>
  <c r="D365" i="1"/>
  <c r="C365" i="1"/>
  <c r="H364" i="1"/>
  <c r="G364" i="1"/>
  <c r="F364" i="1"/>
  <c r="E364" i="1"/>
  <c r="D364" i="1"/>
  <c r="C364" i="1"/>
  <c r="H363" i="1"/>
  <c r="G363" i="1"/>
  <c r="F363" i="1"/>
  <c r="E363" i="1"/>
  <c r="D363" i="1"/>
  <c r="C363" i="1"/>
  <c r="H362" i="1"/>
  <c r="G362" i="1"/>
  <c r="F362" i="1"/>
  <c r="E362" i="1"/>
  <c r="D362" i="1"/>
  <c r="C362" i="1"/>
  <c r="H361" i="1"/>
  <c r="G361" i="1"/>
  <c r="F361" i="1"/>
  <c r="E361" i="1"/>
  <c r="D361" i="1"/>
  <c r="C361" i="1"/>
  <c r="H360" i="1"/>
  <c r="G360" i="1"/>
  <c r="F360" i="1"/>
  <c r="E360" i="1"/>
  <c r="D360" i="1"/>
  <c r="C360" i="1"/>
  <c r="H359" i="1"/>
  <c r="G359" i="1"/>
  <c r="F359" i="1"/>
  <c r="E359" i="1"/>
  <c r="D359" i="1"/>
  <c r="C359" i="1"/>
  <c r="H358" i="1"/>
  <c r="G358" i="1"/>
  <c r="F358" i="1"/>
  <c r="E358" i="1"/>
  <c r="D358" i="1"/>
  <c r="C358" i="1"/>
  <c r="H357" i="1"/>
  <c r="G357" i="1"/>
  <c r="F357" i="1"/>
  <c r="E357" i="1"/>
  <c r="D357" i="1"/>
  <c r="C357" i="1"/>
  <c r="H356" i="1"/>
  <c r="G356" i="1"/>
  <c r="F356" i="1"/>
  <c r="E356" i="1"/>
  <c r="D356" i="1"/>
  <c r="C356" i="1"/>
  <c r="H355" i="1"/>
  <c r="G355" i="1"/>
  <c r="F355" i="1"/>
  <c r="E355" i="1"/>
  <c r="D355" i="1"/>
  <c r="C355" i="1"/>
  <c r="H354" i="1"/>
  <c r="G354" i="1"/>
  <c r="F354" i="1"/>
  <c r="E354" i="1"/>
  <c r="D354" i="1"/>
  <c r="C354" i="1"/>
  <c r="H353" i="1"/>
  <c r="G353" i="1"/>
  <c r="F353" i="1"/>
  <c r="E353" i="1"/>
  <c r="D353" i="1"/>
  <c r="C353" i="1"/>
  <c r="H352" i="1"/>
  <c r="G352" i="1"/>
  <c r="F352" i="1"/>
  <c r="E352" i="1"/>
  <c r="D352" i="1"/>
  <c r="C352" i="1"/>
  <c r="H351" i="1"/>
  <c r="G351" i="1"/>
  <c r="F351" i="1"/>
  <c r="E351" i="1"/>
  <c r="D351" i="1"/>
  <c r="C351" i="1"/>
  <c r="H350" i="1"/>
  <c r="G350" i="1"/>
  <c r="F350" i="1"/>
  <c r="E350" i="1"/>
  <c r="D350" i="1"/>
  <c r="C350" i="1"/>
  <c r="H349" i="1"/>
  <c r="G349" i="1"/>
  <c r="F349" i="1"/>
  <c r="E349" i="1"/>
  <c r="D349" i="1"/>
  <c r="C349" i="1"/>
  <c r="H348" i="1"/>
  <c r="G348" i="1"/>
  <c r="F348" i="1"/>
  <c r="E348" i="1"/>
  <c r="D348" i="1"/>
  <c r="C348" i="1"/>
  <c r="H347" i="1"/>
  <c r="G347" i="1"/>
  <c r="F347" i="1"/>
  <c r="E347" i="1"/>
  <c r="D347" i="1"/>
  <c r="C347" i="1"/>
  <c r="H346" i="1"/>
  <c r="G346" i="1"/>
  <c r="F346" i="1"/>
  <c r="E346" i="1"/>
  <c r="D346" i="1"/>
  <c r="C346" i="1"/>
  <c r="H345" i="1"/>
  <c r="G345" i="1"/>
  <c r="F345" i="1"/>
  <c r="E345" i="1"/>
  <c r="D345" i="1"/>
  <c r="C345" i="1"/>
  <c r="H344" i="1"/>
  <c r="G344" i="1"/>
  <c r="F344" i="1"/>
  <c r="E344" i="1"/>
  <c r="D344" i="1"/>
  <c r="C344" i="1"/>
  <c r="H343" i="1"/>
  <c r="G343" i="1"/>
  <c r="F343" i="1"/>
  <c r="E343" i="1"/>
  <c r="D343" i="1"/>
  <c r="C343" i="1"/>
  <c r="H342" i="1"/>
  <c r="G342" i="1"/>
  <c r="F342" i="1"/>
  <c r="E342" i="1"/>
  <c r="D342" i="1"/>
  <c r="C342" i="1"/>
  <c r="H341" i="1"/>
  <c r="G341" i="1"/>
  <c r="F341" i="1"/>
  <c r="E341" i="1"/>
  <c r="D341" i="1"/>
  <c r="C341" i="1"/>
  <c r="H340" i="1"/>
  <c r="G340" i="1"/>
  <c r="F340" i="1"/>
  <c r="E340" i="1"/>
  <c r="D340" i="1"/>
  <c r="C340" i="1"/>
  <c r="H339" i="1"/>
  <c r="G339" i="1"/>
  <c r="F339" i="1"/>
  <c r="E339" i="1"/>
  <c r="D339" i="1"/>
  <c r="C339" i="1"/>
  <c r="H338" i="1"/>
  <c r="G338" i="1"/>
  <c r="F338" i="1"/>
  <c r="E338" i="1"/>
  <c r="D338" i="1"/>
  <c r="C338" i="1"/>
  <c r="H337" i="1"/>
  <c r="G337" i="1"/>
  <c r="F337" i="1"/>
  <c r="E337" i="1"/>
  <c r="D337" i="1"/>
  <c r="C337" i="1"/>
  <c r="H336" i="1"/>
  <c r="G336" i="1"/>
  <c r="F336" i="1"/>
  <c r="E336" i="1"/>
  <c r="D336" i="1"/>
  <c r="C336" i="1"/>
  <c r="H335" i="1"/>
  <c r="G335" i="1"/>
  <c r="F335" i="1"/>
  <c r="E335" i="1"/>
  <c r="D335" i="1"/>
  <c r="C335" i="1"/>
  <c r="H334" i="1"/>
  <c r="G334" i="1"/>
  <c r="F334" i="1"/>
  <c r="E334" i="1"/>
  <c r="D334" i="1"/>
  <c r="C334" i="1"/>
  <c r="H333" i="1"/>
  <c r="G333" i="1"/>
  <c r="F333" i="1"/>
  <c r="E333" i="1"/>
  <c r="D333" i="1"/>
  <c r="C333" i="1"/>
  <c r="H332" i="1"/>
  <c r="G332" i="1"/>
  <c r="F332" i="1"/>
  <c r="E332" i="1"/>
  <c r="D332" i="1"/>
  <c r="C332" i="1"/>
  <c r="H331" i="1"/>
  <c r="G331" i="1"/>
  <c r="F331" i="1"/>
  <c r="E331" i="1"/>
  <c r="D331" i="1"/>
  <c r="C331" i="1"/>
  <c r="H330" i="1"/>
  <c r="G330" i="1"/>
  <c r="F330" i="1"/>
  <c r="E330" i="1"/>
  <c r="D330" i="1"/>
  <c r="C330" i="1"/>
  <c r="H329" i="1"/>
  <c r="G329" i="1"/>
  <c r="F329" i="1"/>
  <c r="E329" i="1"/>
  <c r="D329" i="1"/>
  <c r="C329" i="1"/>
  <c r="H328" i="1"/>
  <c r="G328" i="1"/>
  <c r="F328" i="1"/>
  <c r="E328" i="1"/>
  <c r="D328" i="1"/>
  <c r="C328" i="1"/>
  <c r="H327" i="1"/>
  <c r="G327" i="1"/>
  <c r="F327" i="1"/>
  <c r="E327" i="1"/>
  <c r="D327" i="1"/>
  <c r="C327" i="1"/>
  <c r="H326" i="1"/>
  <c r="G326" i="1"/>
  <c r="F326" i="1"/>
  <c r="E326" i="1"/>
  <c r="D326" i="1"/>
  <c r="C326" i="1"/>
  <c r="H325" i="1"/>
  <c r="G325" i="1"/>
  <c r="F325" i="1"/>
  <c r="E325" i="1"/>
  <c r="D325" i="1"/>
  <c r="C325" i="1"/>
  <c r="H324" i="1"/>
  <c r="G324" i="1"/>
  <c r="F324" i="1"/>
  <c r="E324" i="1"/>
  <c r="D324" i="1"/>
  <c r="C324" i="1"/>
  <c r="H323" i="1"/>
  <c r="G323" i="1"/>
  <c r="F323" i="1"/>
  <c r="E323" i="1"/>
  <c r="D323" i="1"/>
  <c r="C323" i="1"/>
  <c r="H322" i="1"/>
  <c r="G322" i="1"/>
  <c r="F322" i="1"/>
  <c r="E322" i="1"/>
  <c r="D322" i="1"/>
  <c r="C322" i="1"/>
  <c r="H321" i="1"/>
  <c r="G321" i="1"/>
  <c r="F321" i="1"/>
  <c r="E321" i="1"/>
  <c r="D321" i="1"/>
  <c r="C321" i="1"/>
  <c r="H320" i="1"/>
  <c r="G320" i="1"/>
  <c r="F320" i="1"/>
  <c r="E320" i="1"/>
  <c r="D320" i="1"/>
  <c r="C320" i="1"/>
  <c r="H319" i="1"/>
  <c r="G319" i="1"/>
  <c r="F319" i="1"/>
  <c r="E319" i="1"/>
  <c r="D319" i="1"/>
  <c r="C319" i="1"/>
  <c r="H318" i="1"/>
  <c r="G318" i="1"/>
  <c r="F318" i="1"/>
  <c r="E318" i="1"/>
  <c r="D318" i="1"/>
  <c r="C318" i="1"/>
  <c r="H317" i="1"/>
  <c r="G317" i="1"/>
  <c r="F317" i="1"/>
  <c r="E317" i="1"/>
  <c r="D317" i="1"/>
  <c r="C317" i="1"/>
  <c r="H316" i="1"/>
  <c r="G316" i="1"/>
  <c r="F316" i="1"/>
  <c r="E316" i="1"/>
  <c r="D316" i="1"/>
  <c r="C316" i="1"/>
  <c r="H315" i="1"/>
  <c r="G315" i="1"/>
  <c r="F315" i="1"/>
  <c r="E315" i="1"/>
  <c r="D315" i="1"/>
  <c r="C315" i="1"/>
  <c r="H314" i="1"/>
  <c r="G314" i="1"/>
  <c r="F314" i="1"/>
  <c r="E314" i="1"/>
  <c r="D314" i="1"/>
  <c r="C314" i="1"/>
  <c r="H313" i="1"/>
  <c r="G313" i="1"/>
  <c r="F313" i="1"/>
  <c r="E313" i="1"/>
  <c r="D313" i="1"/>
  <c r="C313" i="1"/>
  <c r="H312" i="1"/>
  <c r="G312" i="1"/>
  <c r="F312" i="1"/>
  <c r="E312" i="1"/>
  <c r="D312" i="1"/>
  <c r="C312" i="1"/>
  <c r="H311" i="1"/>
  <c r="G311" i="1"/>
  <c r="F311" i="1"/>
  <c r="E311" i="1"/>
  <c r="D311" i="1"/>
  <c r="C311" i="1"/>
  <c r="H310" i="1"/>
  <c r="G310" i="1"/>
  <c r="F310" i="1"/>
  <c r="E310" i="1"/>
  <c r="D310" i="1"/>
  <c r="C310" i="1"/>
  <c r="H309" i="1"/>
  <c r="G309" i="1"/>
  <c r="F309" i="1"/>
  <c r="E309" i="1"/>
  <c r="D309" i="1"/>
  <c r="C309" i="1"/>
  <c r="H308" i="1"/>
  <c r="G308" i="1"/>
  <c r="F308" i="1"/>
  <c r="E308" i="1"/>
  <c r="D308" i="1"/>
  <c r="C308" i="1"/>
  <c r="H307" i="1"/>
  <c r="G307" i="1"/>
  <c r="F307" i="1"/>
  <c r="E307" i="1"/>
  <c r="D307" i="1"/>
  <c r="C307" i="1"/>
  <c r="H306" i="1"/>
  <c r="G306" i="1"/>
  <c r="F306" i="1"/>
  <c r="E306" i="1"/>
  <c r="D306" i="1"/>
  <c r="C306" i="1"/>
  <c r="H305" i="1"/>
  <c r="G305" i="1"/>
  <c r="F305" i="1"/>
  <c r="E305" i="1"/>
  <c r="D305" i="1"/>
  <c r="C305" i="1"/>
  <c r="H304" i="1"/>
  <c r="G304" i="1"/>
  <c r="F304" i="1"/>
  <c r="E304" i="1"/>
  <c r="D304" i="1"/>
  <c r="C304" i="1"/>
  <c r="H303" i="1"/>
  <c r="G303" i="1"/>
  <c r="F303" i="1"/>
  <c r="E303" i="1"/>
  <c r="D303" i="1"/>
  <c r="C303" i="1"/>
  <c r="H302" i="1"/>
  <c r="G302" i="1"/>
  <c r="F302" i="1"/>
  <c r="E302" i="1"/>
  <c r="D302" i="1"/>
  <c r="C302" i="1"/>
  <c r="H301" i="1"/>
  <c r="G301" i="1"/>
  <c r="F301" i="1"/>
  <c r="E301" i="1"/>
  <c r="D301" i="1"/>
  <c r="C301" i="1"/>
  <c r="H300" i="1"/>
  <c r="G300" i="1"/>
  <c r="F300" i="1"/>
  <c r="E300" i="1"/>
  <c r="D300" i="1"/>
  <c r="C300" i="1"/>
  <c r="H299" i="1"/>
  <c r="G299" i="1"/>
  <c r="F299" i="1"/>
  <c r="E299" i="1"/>
  <c r="D299" i="1"/>
  <c r="C299" i="1"/>
  <c r="H298" i="1"/>
  <c r="G298" i="1"/>
  <c r="F298" i="1"/>
  <c r="E298" i="1"/>
  <c r="D298" i="1"/>
  <c r="C298" i="1"/>
  <c r="H297" i="1"/>
  <c r="G297" i="1"/>
  <c r="F297" i="1"/>
  <c r="E297" i="1"/>
  <c r="D297" i="1"/>
  <c r="C297" i="1"/>
  <c r="H296" i="1"/>
  <c r="G296" i="1"/>
  <c r="F296" i="1"/>
  <c r="E296" i="1"/>
  <c r="D296" i="1"/>
  <c r="C296" i="1"/>
  <c r="H295" i="1"/>
  <c r="G295" i="1"/>
  <c r="F295" i="1"/>
  <c r="E295" i="1"/>
  <c r="D295" i="1"/>
  <c r="C295" i="1"/>
  <c r="H294" i="1"/>
  <c r="G294" i="1"/>
  <c r="F294" i="1"/>
  <c r="E294" i="1"/>
  <c r="D294" i="1"/>
  <c r="C294" i="1"/>
  <c r="H293" i="1"/>
  <c r="G293" i="1"/>
  <c r="F293" i="1"/>
  <c r="E293" i="1"/>
  <c r="D293" i="1"/>
  <c r="C293" i="1"/>
  <c r="H292" i="1"/>
  <c r="G292" i="1"/>
  <c r="F292" i="1"/>
  <c r="E292" i="1"/>
  <c r="D292" i="1"/>
  <c r="C292" i="1"/>
  <c r="H291" i="1"/>
  <c r="G291" i="1"/>
  <c r="F291" i="1"/>
  <c r="E291" i="1"/>
  <c r="D291" i="1"/>
  <c r="C291" i="1"/>
  <c r="H290" i="1"/>
  <c r="G290" i="1"/>
  <c r="F290" i="1"/>
  <c r="E290" i="1"/>
  <c r="D290" i="1"/>
  <c r="C290" i="1"/>
  <c r="H289" i="1"/>
  <c r="G289" i="1"/>
  <c r="F289" i="1"/>
  <c r="E289" i="1"/>
  <c r="D289" i="1"/>
  <c r="C289" i="1"/>
  <c r="H288" i="1"/>
  <c r="G288" i="1"/>
  <c r="F288" i="1"/>
  <c r="E288" i="1"/>
  <c r="D288" i="1"/>
  <c r="C288" i="1"/>
  <c r="H287" i="1"/>
  <c r="G287" i="1"/>
  <c r="F287" i="1"/>
  <c r="E287" i="1"/>
  <c r="D287" i="1"/>
  <c r="C287" i="1"/>
  <c r="H286" i="1"/>
  <c r="G286" i="1"/>
  <c r="F286" i="1"/>
  <c r="E286" i="1"/>
  <c r="D286" i="1"/>
  <c r="C286" i="1"/>
  <c r="H285" i="1"/>
  <c r="G285" i="1"/>
  <c r="F285" i="1"/>
  <c r="E285" i="1"/>
  <c r="D285" i="1"/>
  <c r="C285" i="1"/>
  <c r="H284" i="1"/>
  <c r="G284" i="1"/>
  <c r="F284" i="1"/>
  <c r="E284" i="1"/>
  <c r="D284" i="1"/>
  <c r="C284" i="1"/>
  <c r="H283" i="1"/>
  <c r="G283" i="1"/>
  <c r="F283" i="1"/>
  <c r="E283" i="1"/>
  <c r="D283" i="1"/>
  <c r="C283" i="1"/>
  <c r="H282" i="1"/>
  <c r="G282" i="1"/>
  <c r="F282" i="1"/>
  <c r="E282" i="1"/>
  <c r="D282" i="1"/>
  <c r="C282" i="1"/>
  <c r="H281" i="1"/>
  <c r="G281" i="1"/>
  <c r="F281" i="1"/>
  <c r="E281" i="1"/>
  <c r="D281" i="1"/>
  <c r="C281" i="1"/>
  <c r="H280" i="1"/>
  <c r="G280" i="1"/>
  <c r="F280" i="1"/>
  <c r="E280" i="1"/>
  <c r="D280" i="1"/>
  <c r="C280" i="1"/>
  <c r="H279" i="1"/>
  <c r="G279" i="1"/>
  <c r="F279" i="1"/>
  <c r="E279" i="1"/>
  <c r="D279" i="1"/>
  <c r="C279" i="1"/>
  <c r="H278" i="1"/>
  <c r="G278" i="1"/>
  <c r="F278" i="1"/>
  <c r="E278" i="1"/>
  <c r="D278" i="1"/>
  <c r="C278" i="1"/>
  <c r="H277" i="1"/>
  <c r="G277" i="1"/>
  <c r="F277" i="1"/>
  <c r="E277" i="1"/>
  <c r="D277" i="1"/>
  <c r="C277" i="1"/>
  <c r="H276" i="1"/>
  <c r="G276" i="1"/>
  <c r="F276" i="1"/>
  <c r="E276" i="1"/>
  <c r="D276" i="1"/>
  <c r="C276" i="1"/>
  <c r="H275" i="1"/>
  <c r="G275" i="1"/>
  <c r="F275" i="1"/>
  <c r="E275" i="1"/>
  <c r="D275" i="1"/>
  <c r="C275" i="1"/>
  <c r="H274" i="1"/>
  <c r="G274" i="1"/>
  <c r="F274" i="1"/>
  <c r="E274" i="1"/>
  <c r="D274" i="1"/>
  <c r="C274" i="1"/>
  <c r="H273" i="1"/>
  <c r="G273" i="1"/>
  <c r="F273" i="1"/>
  <c r="E273" i="1"/>
  <c r="D273" i="1"/>
  <c r="C273" i="1"/>
  <c r="H272" i="1"/>
  <c r="G272" i="1"/>
  <c r="F272" i="1"/>
  <c r="E272" i="1"/>
  <c r="D272" i="1"/>
  <c r="C272" i="1"/>
  <c r="H271" i="1"/>
  <c r="G271" i="1"/>
  <c r="F271" i="1"/>
  <c r="E271" i="1"/>
  <c r="D271" i="1"/>
  <c r="C271" i="1"/>
  <c r="H270" i="1"/>
  <c r="G270" i="1"/>
  <c r="F270" i="1"/>
  <c r="E270" i="1"/>
  <c r="D270" i="1"/>
  <c r="C270" i="1"/>
  <c r="H269" i="1"/>
  <c r="G269" i="1"/>
  <c r="F269" i="1"/>
  <c r="E269" i="1"/>
  <c r="D269" i="1"/>
  <c r="C269" i="1"/>
  <c r="H268" i="1"/>
  <c r="G268" i="1"/>
  <c r="F268" i="1"/>
  <c r="E268" i="1"/>
  <c r="D268" i="1"/>
  <c r="C268" i="1"/>
  <c r="H267" i="1"/>
  <c r="G267" i="1"/>
  <c r="F267" i="1"/>
  <c r="E267" i="1"/>
  <c r="D267" i="1"/>
  <c r="C267" i="1"/>
  <c r="H266" i="1"/>
  <c r="G266" i="1"/>
  <c r="F266" i="1"/>
  <c r="E266" i="1"/>
  <c r="D266" i="1"/>
  <c r="C266" i="1"/>
  <c r="H265" i="1"/>
  <c r="G265" i="1"/>
  <c r="F265" i="1"/>
  <c r="E265" i="1"/>
  <c r="D265" i="1"/>
  <c r="C265" i="1"/>
  <c r="H264" i="1"/>
  <c r="G264" i="1"/>
  <c r="F264" i="1"/>
  <c r="E264" i="1"/>
  <c r="D264" i="1"/>
  <c r="C264" i="1"/>
  <c r="H263" i="1"/>
  <c r="G263" i="1"/>
  <c r="F263" i="1"/>
  <c r="E263" i="1"/>
  <c r="D263" i="1"/>
  <c r="C263" i="1"/>
  <c r="H262" i="1"/>
  <c r="G262" i="1"/>
  <c r="F262" i="1"/>
  <c r="E262" i="1"/>
  <c r="D262" i="1"/>
  <c r="C262" i="1"/>
  <c r="H261" i="1"/>
  <c r="G261" i="1"/>
  <c r="F261" i="1"/>
  <c r="E261" i="1"/>
  <c r="D261" i="1"/>
  <c r="C261" i="1"/>
  <c r="H260" i="1"/>
  <c r="G260" i="1"/>
  <c r="F260" i="1"/>
  <c r="E260" i="1"/>
  <c r="D260" i="1"/>
  <c r="C260" i="1"/>
  <c r="H259" i="1"/>
  <c r="G259" i="1"/>
  <c r="F259" i="1"/>
  <c r="E259" i="1"/>
  <c r="D259" i="1"/>
  <c r="C259" i="1"/>
  <c r="H258" i="1"/>
  <c r="G258" i="1"/>
  <c r="F258" i="1"/>
  <c r="E258" i="1"/>
  <c r="D258" i="1"/>
  <c r="C258" i="1"/>
  <c r="H257" i="1"/>
  <c r="G257" i="1"/>
  <c r="F257" i="1"/>
  <c r="E257" i="1"/>
  <c r="D257" i="1"/>
  <c r="C257" i="1"/>
  <c r="H256" i="1"/>
  <c r="G256" i="1"/>
  <c r="F256" i="1"/>
  <c r="E256" i="1"/>
  <c r="D256" i="1"/>
  <c r="C256" i="1"/>
  <c r="H255" i="1"/>
  <c r="G255" i="1"/>
  <c r="F255" i="1"/>
  <c r="E255" i="1"/>
  <c r="D255" i="1"/>
  <c r="C255" i="1"/>
  <c r="H254" i="1"/>
  <c r="G254" i="1"/>
  <c r="F254" i="1"/>
  <c r="E254" i="1"/>
  <c r="D254" i="1"/>
  <c r="C254" i="1"/>
  <c r="H253" i="1"/>
  <c r="G253" i="1"/>
  <c r="F253" i="1"/>
  <c r="E253" i="1"/>
  <c r="D253" i="1"/>
  <c r="C253" i="1"/>
  <c r="H252" i="1"/>
  <c r="G252" i="1"/>
  <c r="F252" i="1"/>
  <c r="E252" i="1"/>
  <c r="D252" i="1"/>
  <c r="C252" i="1"/>
  <c r="H251" i="1"/>
  <c r="G251" i="1"/>
  <c r="F251" i="1"/>
  <c r="E251" i="1"/>
  <c r="D251" i="1"/>
  <c r="C251" i="1"/>
  <c r="H250" i="1"/>
  <c r="G250" i="1"/>
  <c r="F250" i="1"/>
  <c r="E250" i="1"/>
  <c r="D250" i="1"/>
  <c r="C250" i="1"/>
  <c r="H249" i="1"/>
  <c r="G249" i="1"/>
  <c r="F249" i="1"/>
  <c r="E249" i="1"/>
  <c r="D249" i="1"/>
  <c r="C249" i="1"/>
  <c r="H248" i="1"/>
  <c r="G248" i="1"/>
  <c r="F248" i="1"/>
  <c r="E248" i="1"/>
  <c r="D248" i="1"/>
  <c r="C248" i="1"/>
  <c r="H247" i="1"/>
  <c r="G247" i="1"/>
  <c r="F247" i="1"/>
  <c r="E247" i="1"/>
  <c r="D247" i="1"/>
  <c r="C247" i="1"/>
  <c r="H246" i="1"/>
  <c r="G246" i="1"/>
  <c r="F246" i="1"/>
  <c r="E246" i="1"/>
  <c r="D246" i="1"/>
  <c r="C246" i="1"/>
  <c r="H245" i="1"/>
  <c r="G245" i="1"/>
  <c r="F245" i="1"/>
  <c r="E245" i="1"/>
  <c r="D245" i="1"/>
  <c r="C245" i="1"/>
  <c r="H244" i="1"/>
  <c r="G244" i="1"/>
  <c r="F244" i="1"/>
  <c r="E244" i="1"/>
  <c r="D244" i="1"/>
  <c r="C244" i="1"/>
  <c r="H243" i="1"/>
  <c r="G243" i="1"/>
  <c r="F243" i="1"/>
  <c r="E243" i="1"/>
  <c r="D243" i="1"/>
  <c r="C243" i="1"/>
  <c r="H242" i="1"/>
  <c r="G242" i="1"/>
  <c r="F242" i="1"/>
  <c r="E242" i="1"/>
  <c r="D242" i="1"/>
  <c r="C242" i="1"/>
  <c r="H241" i="1"/>
  <c r="G241" i="1"/>
  <c r="F241" i="1"/>
  <c r="E241" i="1"/>
  <c r="D241" i="1"/>
  <c r="C241" i="1"/>
  <c r="H240" i="1"/>
  <c r="G240" i="1"/>
  <c r="F240" i="1"/>
  <c r="E240" i="1"/>
  <c r="D240" i="1"/>
  <c r="C240" i="1"/>
  <c r="H239" i="1"/>
  <c r="G239" i="1"/>
  <c r="F239" i="1"/>
  <c r="E239" i="1"/>
  <c r="D239" i="1"/>
  <c r="C239" i="1"/>
  <c r="H238" i="1"/>
  <c r="G238" i="1"/>
  <c r="F238" i="1"/>
  <c r="E238" i="1"/>
  <c r="D238" i="1"/>
  <c r="C238" i="1"/>
  <c r="H237" i="1"/>
  <c r="G237" i="1"/>
  <c r="F237" i="1"/>
  <c r="E237" i="1"/>
  <c r="D237" i="1"/>
  <c r="C237" i="1"/>
  <c r="H236" i="1"/>
  <c r="G236" i="1"/>
  <c r="F236" i="1"/>
  <c r="E236" i="1"/>
  <c r="D236" i="1"/>
  <c r="C236" i="1"/>
  <c r="H235" i="1"/>
  <c r="G235" i="1"/>
  <c r="F235" i="1"/>
  <c r="E235" i="1"/>
  <c r="D235" i="1"/>
  <c r="C235" i="1"/>
  <c r="H234" i="1"/>
  <c r="G234" i="1"/>
  <c r="F234" i="1"/>
  <c r="E234" i="1"/>
  <c r="D234" i="1"/>
  <c r="C234" i="1"/>
  <c r="H233" i="1"/>
  <c r="G233" i="1"/>
  <c r="F233" i="1"/>
  <c r="E233" i="1"/>
  <c r="D233" i="1"/>
  <c r="C233" i="1"/>
  <c r="H232" i="1"/>
  <c r="G232" i="1"/>
  <c r="F232" i="1"/>
  <c r="E232" i="1"/>
  <c r="D232" i="1"/>
  <c r="C232" i="1"/>
  <c r="H231" i="1"/>
  <c r="G231" i="1"/>
  <c r="F231" i="1"/>
  <c r="E231" i="1"/>
  <c r="D231" i="1"/>
  <c r="C231" i="1"/>
  <c r="H230" i="1"/>
  <c r="G230" i="1"/>
  <c r="F230" i="1"/>
  <c r="E230" i="1"/>
  <c r="D230" i="1"/>
  <c r="C230" i="1"/>
  <c r="H229" i="1"/>
  <c r="G229" i="1"/>
  <c r="F229" i="1"/>
  <c r="E229" i="1"/>
  <c r="D229" i="1"/>
  <c r="C229" i="1"/>
  <c r="H228" i="1"/>
  <c r="G228" i="1"/>
  <c r="F228" i="1"/>
  <c r="E228" i="1"/>
  <c r="D228" i="1"/>
  <c r="C228" i="1"/>
  <c r="H227" i="1"/>
  <c r="G227" i="1"/>
  <c r="F227" i="1"/>
  <c r="E227" i="1"/>
  <c r="D227" i="1"/>
  <c r="C227" i="1"/>
  <c r="H226" i="1"/>
  <c r="G226" i="1"/>
  <c r="F226" i="1"/>
  <c r="E226" i="1"/>
  <c r="D226" i="1"/>
  <c r="C226" i="1"/>
  <c r="H225" i="1"/>
  <c r="G225" i="1"/>
  <c r="F225" i="1"/>
  <c r="E225" i="1"/>
  <c r="D225" i="1"/>
  <c r="C225" i="1"/>
  <c r="H224" i="1"/>
  <c r="G224" i="1"/>
  <c r="F224" i="1"/>
  <c r="E224" i="1"/>
  <c r="D224" i="1"/>
  <c r="C224" i="1"/>
  <c r="H223" i="1"/>
  <c r="G223" i="1"/>
  <c r="F223" i="1"/>
  <c r="E223" i="1"/>
  <c r="D223" i="1"/>
  <c r="C223" i="1"/>
  <c r="H222" i="1"/>
  <c r="G222" i="1"/>
  <c r="F222" i="1"/>
  <c r="E222" i="1"/>
  <c r="D222" i="1"/>
  <c r="C222" i="1"/>
  <c r="H221" i="1"/>
  <c r="G221" i="1"/>
  <c r="F221" i="1"/>
  <c r="E221" i="1"/>
  <c r="D221" i="1"/>
  <c r="C221" i="1"/>
  <c r="H220" i="1"/>
  <c r="G220" i="1"/>
  <c r="F220" i="1"/>
  <c r="E220" i="1"/>
  <c r="D220" i="1"/>
  <c r="C220" i="1"/>
  <c r="H219" i="1"/>
  <c r="G219" i="1"/>
  <c r="F219" i="1"/>
  <c r="E219" i="1"/>
  <c r="D219" i="1"/>
  <c r="C219" i="1"/>
  <c r="H218" i="1"/>
  <c r="G218" i="1"/>
  <c r="F218" i="1"/>
  <c r="E218" i="1"/>
  <c r="D218" i="1"/>
  <c r="C218" i="1"/>
  <c r="H217" i="1"/>
  <c r="G217" i="1"/>
  <c r="F217" i="1"/>
  <c r="E217" i="1"/>
  <c r="D217" i="1"/>
  <c r="C217" i="1"/>
  <c r="H216" i="1"/>
  <c r="G216" i="1"/>
  <c r="F216" i="1"/>
  <c r="E216" i="1"/>
  <c r="D216" i="1"/>
  <c r="C216" i="1"/>
  <c r="H215" i="1"/>
  <c r="G215" i="1"/>
  <c r="F215" i="1"/>
  <c r="E215" i="1"/>
  <c r="D215" i="1"/>
  <c r="C215" i="1"/>
  <c r="H214" i="1"/>
  <c r="G214" i="1"/>
  <c r="F214" i="1"/>
  <c r="E214" i="1"/>
  <c r="D214" i="1"/>
  <c r="C214" i="1"/>
  <c r="H213" i="1"/>
  <c r="G213" i="1"/>
  <c r="F213" i="1"/>
  <c r="E213" i="1"/>
  <c r="D213" i="1"/>
  <c r="C213" i="1"/>
  <c r="H212" i="1"/>
  <c r="G212" i="1"/>
  <c r="F212" i="1"/>
  <c r="E212" i="1"/>
  <c r="D212" i="1"/>
  <c r="C212" i="1"/>
  <c r="H211" i="1"/>
  <c r="G211" i="1"/>
  <c r="F211" i="1"/>
  <c r="E211" i="1"/>
  <c r="D211" i="1"/>
  <c r="C211" i="1"/>
  <c r="H210" i="1"/>
  <c r="G210" i="1"/>
  <c r="F210" i="1"/>
  <c r="E210" i="1"/>
  <c r="D210" i="1"/>
  <c r="C210" i="1"/>
  <c r="H209" i="1"/>
  <c r="G209" i="1"/>
  <c r="F209" i="1"/>
  <c r="E209" i="1"/>
  <c r="D209" i="1"/>
  <c r="C209" i="1"/>
  <c r="H208" i="1"/>
  <c r="G208" i="1"/>
  <c r="F208" i="1"/>
  <c r="E208" i="1"/>
  <c r="D208" i="1"/>
  <c r="C208" i="1"/>
  <c r="H207" i="1"/>
  <c r="G207" i="1"/>
  <c r="F207" i="1"/>
  <c r="E207" i="1"/>
  <c r="D207" i="1"/>
  <c r="C207" i="1"/>
  <c r="H206" i="1"/>
  <c r="G206" i="1"/>
  <c r="F206" i="1"/>
  <c r="E206" i="1"/>
  <c r="D206" i="1"/>
  <c r="C206" i="1"/>
  <c r="H205" i="1"/>
  <c r="G205" i="1"/>
  <c r="F205" i="1"/>
  <c r="E205" i="1"/>
  <c r="D205" i="1"/>
  <c r="C205" i="1"/>
  <c r="H204" i="1"/>
  <c r="G204" i="1"/>
  <c r="F204" i="1"/>
  <c r="E204" i="1"/>
  <c r="D204" i="1"/>
  <c r="C204" i="1"/>
  <c r="H203" i="1"/>
  <c r="G203" i="1"/>
  <c r="F203" i="1"/>
  <c r="E203" i="1"/>
  <c r="D203" i="1"/>
  <c r="C203" i="1"/>
  <c r="H202" i="1"/>
  <c r="G202" i="1"/>
  <c r="F202" i="1"/>
  <c r="E202" i="1"/>
  <c r="D202" i="1"/>
  <c r="C202" i="1"/>
  <c r="H201" i="1"/>
  <c r="G201" i="1"/>
  <c r="F201" i="1"/>
  <c r="E201" i="1"/>
  <c r="D201" i="1"/>
  <c r="C201" i="1"/>
  <c r="H200" i="1"/>
  <c r="G200" i="1"/>
  <c r="F200" i="1"/>
  <c r="E200" i="1"/>
  <c r="D200" i="1"/>
  <c r="C200" i="1"/>
  <c r="H199" i="1"/>
  <c r="G199" i="1"/>
  <c r="F199" i="1"/>
  <c r="E199" i="1"/>
  <c r="D199" i="1"/>
  <c r="C199" i="1"/>
  <c r="H198" i="1"/>
  <c r="G198" i="1"/>
  <c r="F198" i="1"/>
  <c r="E198" i="1"/>
  <c r="D198" i="1"/>
  <c r="C198" i="1"/>
  <c r="H197" i="1"/>
  <c r="G197" i="1"/>
  <c r="F197" i="1"/>
  <c r="E197" i="1"/>
  <c r="D197" i="1"/>
  <c r="C197" i="1"/>
  <c r="H196" i="1"/>
  <c r="G196" i="1"/>
  <c r="F196" i="1"/>
  <c r="E196" i="1"/>
  <c r="D196" i="1"/>
  <c r="C196" i="1"/>
  <c r="H195" i="1"/>
  <c r="G195" i="1"/>
  <c r="F195" i="1"/>
  <c r="E195" i="1"/>
  <c r="D195" i="1"/>
  <c r="C195" i="1"/>
  <c r="H194" i="1"/>
  <c r="G194" i="1"/>
  <c r="F194" i="1"/>
  <c r="E194" i="1"/>
  <c r="D194" i="1"/>
  <c r="C194" i="1"/>
  <c r="H193" i="1"/>
  <c r="G193" i="1"/>
  <c r="F193" i="1"/>
  <c r="E193" i="1"/>
  <c r="D193" i="1"/>
  <c r="C193" i="1"/>
  <c r="H192" i="1"/>
  <c r="G192" i="1"/>
  <c r="F192" i="1"/>
  <c r="E192" i="1"/>
  <c r="D192" i="1"/>
  <c r="C192" i="1"/>
  <c r="H191" i="1"/>
  <c r="G191" i="1"/>
  <c r="F191" i="1"/>
  <c r="E191" i="1"/>
  <c r="D191" i="1"/>
  <c r="C191" i="1"/>
  <c r="H190" i="1"/>
  <c r="G190" i="1"/>
  <c r="F190" i="1"/>
  <c r="E190" i="1"/>
  <c r="D190" i="1"/>
  <c r="C190" i="1"/>
  <c r="H189" i="1"/>
  <c r="G189" i="1"/>
  <c r="F189" i="1"/>
  <c r="E189" i="1"/>
  <c r="D189" i="1"/>
  <c r="C189" i="1"/>
  <c r="H188" i="1"/>
  <c r="G188" i="1"/>
  <c r="F188" i="1"/>
  <c r="E188" i="1"/>
  <c r="D188" i="1"/>
  <c r="C188" i="1"/>
  <c r="H187" i="1"/>
  <c r="G187" i="1"/>
  <c r="F187" i="1"/>
  <c r="E187" i="1"/>
  <c r="D187" i="1"/>
  <c r="C187" i="1"/>
  <c r="H186" i="1"/>
  <c r="G186" i="1"/>
  <c r="F186" i="1"/>
  <c r="E186" i="1"/>
  <c r="D186" i="1"/>
  <c r="C186" i="1"/>
  <c r="H185" i="1"/>
  <c r="G185" i="1"/>
  <c r="F185" i="1"/>
  <c r="E185" i="1"/>
  <c r="D185" i="1"/>
  <c r="C185" i="1"/>
  <c r="H184" i="1"/>
  <c r="G184" i="1"/>
  <c r="F184" i="1"/>
  <c r="E184" i="1"/>
  <c r="D184" i="1"/>
  <c r="C184" i="1"/>
  <c r="H183" i="1"/>
  <c r="G183" i="1"/>
  <c r="F183" i="1"/>
  <c r="E183" i="1"/>
  <c r="D183" i="1"/>
  <c r="C183" i="1"/>
  <c r="H182" i="1"/>
  <c r="G182" i="1"/>
  <c r="F182" i="1"/>
  <c r="E182" i="1"/>
  <c r="D182" i="1"/>
  <c r="C182" i="1"/>
  <c r="H181" i="1"/>
  <c r="G181" i="1"/>
  <c r="F181" i="1"/>
  <c r="E181" i="1"/>
  <c r="D181" i="1"/>
  <c r="C181" i="1"/>
  <c r="H180" i="1"/>
  <c r="G180" i="1"/>
  <c r="F180" i="1"/>
  <c r="E180" i="1"/>
  <c r="D180" i="1"/>
  <c r="C180" i="1"/>
  <c r="H179" i="1"/>
  <c r="G179" i="1"/>
  <c r="F179" i="1"/>
  <c r="E179" i="1"/>
  <c r="D179" i="1"/>
  <c r="C179" i="1"/>
  <c r="H178" i="1"/>
  <c r="G178" i="1"/>
  <c r="F178" i="1"/>
  <c r="E178" i="1"/>
  <c r="D178" i="1"/>
  <c r="C178" i="1"/>
  <c r="H177" i="1"/>
  <c r="G177" i="1"/>
  <c r="F177" i="1"/>
  <c r="E177" i="1"/>
  <c r="D177" i="1"/>
  <c r="C177" i="1"/>
  <c r="H176" i="1"/>
  <c r="G176" i="1"/>
  <c r="F176" i="1"/>
  <c r="E176" i="1"/>
  <c r="D176" i="1"/>
  <c r="C176" i="1"/>
  <c r="H175" i="1"/>
  <c r="G175" i="1"/>
  <c r="F175" i="1"/>
  <c r="E175" i="1"/>
  <c r="D175" i="1"/>
  <c r="C175" i="1"/>
  <c r="H174" i="1"/>
  <c r="G174" i="1"/>
  <c r="F174" i="1"/>
  <c r="E174" i="1"/>
  <c r="D174" i="1"/>
  <c r="C174" i="1"/>
  <c r="H173" i="1"/>
  <c r="G173" i="1"/>
  <c r="F173" i="1"/>
  <c r="E173" i="1"/>
  <c r="D173" i="1"/>
  <c r="C173" i="1"/>
  <c r="H172" i="1"/>
  <c r="G172" i="1"/>
  <c r="F172" i="1"/>
  <c r="E172" i="1"/>
  <c r="D172" i="1"/>
  <c r="C172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H168" i="1"/>
  <c r="G168" i="1"/>
  <c r="F168" i="1"/>
  <c r="E168" i="1"/>
  <c r="D168" i="1"/>
  <c r="C168" i="1"/>
  <c r="H167" i="1"/>
  <c r="G167" i="1"/>
  <c r="F167" i="1"/>
  <c r="E167" i="1"/>
  <c r="D167" i="1"/>
  <c r="C167" i="1"/>
  <c r="H166" i="1"/>
  <c r="G166" i="1"/>
  <c r="F166" i="1"/>
  <c r="E166" i="1"/>
  <c r="D166" i="1"/>
  <c r="C166" i="1"/>
  <c r="H165" i="1"/>
  <c r="G165" i="1"/>
  <c r="F165" i="1"/>
  <c r="E165" i="1"/>
  <c r="D165" i="1"/>
  <c r="C165" i="1"/>
  <c r="H164" i="1"/>
  <c r="G164" i="1"/>
  <c r="F164" i="1"/>
  <c r="E164" i="1"/>
  <c r="D164" i="1"/>
  <c r="C164" i="1"/>
  <c r="H163" i="1"/>
  <c r="G163" i="1"/>
  <c r="F163" i="1"/>
  <c r="E163" i="1"/>
  <c r="D163" i="1"/>
  <c r="C163" i="1"/>
  <c r="H162" i="1"/>
  <c r="G162" i="1"/>
  <c r="F162" i="1"/>
  <c r="E162" i="1"/>
  <c r="D162" i="1"/>
  <c r="C162" i="1"/>
  <c r="H161" i="1"/>
  <c r="G161" i="1"/>
  <c r="F161" i="1"/>
  <c r="E161" i="1"/>
  <c r="D161" i="1"/>
  <c r="C161" i="1"/>
  <c r="H160" i="1"/>
  <c r="G160" i="1"/>
  <c r="F160" i="1"/>
  <c r="E160" i="1"/>
  <c r="D160" i="1"/>
  <c r="C160" i="1"/>
  <c r="H159" i="1"/>
  <c r="G159" i="1"/>
  <c r="F159" i="1"/>
  <c r="E159" i="1"/>
  <c r="D159" i="1"/>
  <c r="C159" i="1"/>
  <c r="H158" i="1"/>
  <c r="G158" i="1"/>
  <c r="F158" i="1"/>
  <c r="E158" i="1"/>
  <c r="D158" i="1"/>
  <c r="C158" i="1"/>
  <c r="H157" i="1"/>
  <c r="G157" i="1"/>
  <c r="F157" i="1"/>
  <c r="E157" i="1"/>
  <c r="D157" i="1"/>
  <c r="C157" i="1"/>
  <c r="H156" i="1"/>
  <c r="G156" i="1"/>
  <c r="F156" i="1"/>
  <c r="E156" i="1"/>
  <c r="D156" i="1"/>
  <c r="C156" i="1"/>
  <c r="H155" i="1"/>
  <c r="G155" i="1"/>
  <c r="F155" i="1"/>
  <c r="E155" i="1"/>
  <c r="D155" i="1"/>
  <c r="C155" i="1"/>
  <c r="H154" i="1"/>
  <c r="G154" i="1"/>
  <c r="F154" i="1"/>
  <c r="E154" i="1"/>
  <c r="D154" i="1"/>
  <c r="C154" i="1"/>
  <c r="H153" i="1"/>
  <c r="G153" i="1"/>
  <c r="F153" i="1"/>
  <c r="E153" i="1"/>
  <c r="D153" i="1"/>
  <c r="C153" i="1"/>
  <c r="H152" i="1"/>
  <c r="G152" i="1"/>
  <c r="F152" i="1"/>
  <c r="E152" i="1"/>
  <c r="D152" i="1"/>
  <c r="C152" i="1"/>
  <c r="H151" i="1"/>
  <c r="G151" i="1"/>
  <c r="F151" i="1"/>
  <c r="E151" i="1"/>
  <c r="D151" i="1"/>
  <c r="C151" i="1"/>
  <c r="H150" i="1"/>
  <c r="G150" i="1"/>
  <c r="F150" i="1"/>
  <c r="E150" i="1"/>
  <c r="D150" i="1"/>
  <c r="C150" i="1"/>
  <c r="H149" i="1"/>
  <c r="G149" i="1"/>
  <c r="F149" i="1"/>
  <c r="E149" i="1"/>
  <c r="D149" i="1"/>
  <c r="C149" i="1"/>
  <c r="H148" i="1"/>
  <c r="G148" i="1"/>
  <c r="F148" i="1"/>
  <c r="E148" i="1"/>
  <c r="D148" i="1"/>
  <c r="C148" i="1"/>
  <c r="H147" i="1"/>
  <c r="G147" i="1"/>
  <c r="F147" i="1"/>
  <c r="E147" i="1"/>
  <c r="D147" i="1"/>
  <c r="C147" i="1"/>
  <c r="H146" i="1"/>
  <c r="G146" i="1"/>
  <c r="F146" i="1"/>
  <c r="E146" i="1"/>
  <c r="D146" i="1"/>
  <c r="C146" i="1"/>
  <c r="H145" i="1"/>
  <c r="G145" i="1"/>
  <c r="F145" i="1"/>
  <c r="E145" i="1"/>
  <c r="D145" i="1"/>
  <c r="C145" i="1"/>
  <c r="H144" i="1"/>
  <c r="G144" i="1"/>
  <c r="F144" i="1"/>
  <c r="E144" i="1"/>
  <c r="D144" i="1"/>
  <c r="C144" i="1"/>
  <c r="H143" i="1"/>
  <c r="G143" i="1"/>
  <c r="F143" i="1"/>
  <c r="E143" i="1"/>
  <c r="D143" i="1"/>
  <c r="C143" i="1"/>
  <c r="H142" i="1"/>
  <c r="G142" i="1"/>
  <c r="F142" i="1"/>
  <c r="E142" i="1"/>
  <c r="D142" i="1"/>
  <c r="C142" i="1"/>
  <c r="H141" i="1"/>
  <c r="G141" i="1"/>
  <c r="F141" i="1"/>
  <c r="E141" i="1"/>
  <c r="D141" i="1"/>
  <c r="C141" i="1"/>
  <c r="H140" i="1"/>
  <c r="G140" i="1"/>
  <c r="F140" i="1"/>
  <c r="E140" i="1"/>
  <c r="D140" i="1"/>
  <c r="C140" i="1"/>
  <c r="H139" i="1"/>
  <c r="G139" i="1"/>
  <c r="F139" i="1"/>
  <c r="E139" i="1"/>
  <c r="D139" i="1"/>
  <c r="C139" i="1"/>
  <c r="H138" i="1"/>
  <c r="G138" i="1"/>
  <c r="F138" i="1"/>
  <c r="E138" i="1"/>
  <c r="D138" i="1"/>
  <c r="C138" i="1"/>
  <c r="H137" i="1"/>
  <c r="G137" i="1"/>
  <c r="F137" i="1"/>
  <c r="E137" i="1"/>
  <c r="D137" i="1"/>
  <c r="C137" i="1"/>
  <c r="H136" i="1"/>
  <c r="G136" i="1"/>
  <c r="F136" i="1"/>
  <c r="E136" i="1"/>
  <c r="D136" i="1"/>
  <c r="C136" i="1"/>
  <c r="H135" i="1"/>
  <c r="G135" i="1"/>
  <c r="F135" i="1"/>
  <c r="E135" i="1"/>
  <c r="D135" i="1"/>
  <c r="C135" i="1"/>
  <c r="H134" i="1"/>
  <c r="G134" i="1"/>
  <c r="F134" i="1"/>
  <c r="E134" i="1"/>
  <c r="D134" i="1"/>
  <c r="C134" i="1"/>
  <c r="H133" i="1"/>
  <c r="G133" i="1"/>
  <c r="F133" i="1"/>
  <c r="E133" i="1"/>
  <c r="D133" i="1"/>
  <c r="C133" i="1"/>
  <c r="H132" i="1"/>
  <c r="G132" i="1"/>
  <c r="F132" i="1"/>
  <c r="E132" i="1"/>
  <c r="D132" i="1"/>
  <c r="C132" i="1"/>
  <c r="H131" i="1"/>
  <c r="G131" i="1"/>
  <c r="F131" i="1"/>
  <c r="E131" i="1"/>
  <c r="D131" i="1"/>
  <c r="C131" i="1"/>
  <c r="H130" i="1"/>
  <c r="G130" i="1"/>
  <c r="F130" i="1"/>
  <c r="E130" i="1"/>
  <c r="D130" i="1"/>
  <c r="C130" i="1"/>
  <c r="H129" i="1"/>
  <c r="G129" i="1"/>
  <c r="F129" i="1"/>
  <c r="E129" i="1"/>
  <c r="D129" i="1"/>
  <c r="C129" i="1"/>
  <c r="H128" i="1"/>
  <c r="G128" i="1"/>
  <c r="F128" i="1"/>
  <c r="E128" i="1"/>
  <c r="D128" i="1"/>
  <c r="C128" i="1"/>
  <c r="H127" i="1"/>
  <c r="G127" i="1"/>
  <c r="F127" i="1"/>
  <c r="E127" i="1"/>
  <c r="D127" i="1"/>
  <c r="C127" i="1"/>
  <c r="H126" i="1"/>
  <c r="G126" i="1"/>
  <c r="F126" i="1"/>
  <c r="E126" i="1"/>
  <c r="D126" i="1"/>
  <c r="C126" i="1"/>
  <c r="H125" i="1"/>
  <c r="G125" i="1"/>
  <c r="F125" i="1"/>
  <c r="E125" i="1"/>
  <c r="D125" i="1"/>
  <c r="C125" i="1"/>
  <c r="H124" i="1"/>
  <c r="G124" i="1"/>
  <c r="F124" i="1"/>
  <c r="E124" i="1"/>
  <c r="D124" i="1"/>
  <c r="C124" i="1"/>
  <c r="H123" i="1"/>
  <c r="G123" i="1"/>
  <c r="F123" i="1"/>
  <c r="E123" i="1"/>
  <c r="D123" i="1"/>
  <c r="C123" i="1"/>
  <c r="H122" i="1"/>
  <c r="G122" i="1"/>
  <c r="F122" i="1"/>
  <c r="E122" i="1"/>
  <c r="D122" i="1"/>
  <c r="C122" i="1"/>
  <c r="H121" i="1"/>
  <c r="G121" i="1"/>
  <c r="F121" i="1"/>
  <c r="E121" i="1"/>
  <c r="D121" i="1"/>
  <c r="C121" i="1"/>
  <c r="H120" i="1"/>
  <c r="G120" i="1"/>
  <c r="F120" i="1"/>
  <c r="E120" i="1"/>
  <c r="D120" i="1"/>
  <c r="C120" i="1"/>
  <c r="H119" i="1"/>
  <c r="G119" i="1"/>
  <c r="F119" i="1"/>
  <c r="E119" i="1"/>
  <c r="D119" i="1"/>
  <c r="C119" i="1"/>
  <c r="H118" i="1"/>
  <c r="G118" i="1"/>
  <c r="F118" i="1"/>
  <c r="E118" i="1"/>
  <c r="D118" i="1"/>
  <c r="C118" i="1"/>
  <c r="H117" i="1"/>
  <c r="G117" i="1"/>
  <c r="F117" i="1"/>
  <c r="E117" i="1"/>
  <c r="D117" i="1"/>
  <c r="C117" i="1"/>
  <c r="H116" i="1"/>
  <c r="G116" i="1"/>
  <c r="F116" i="1"/>
  <c r="E116" i="1"/>
  <c r="D116" i="1"/>
  <c r="C116" i="1"/>
  <c r="H115" i="1"/>
  <c r="G115" i="1"/>
  <c r="F115" i="1"/>
  <c r="E115" i="1"/>
  <c r="D115" i="1"/>
  <c r="C115" i="1"/>
  <c r="H114" i="1"/>
  <c r="G114" i="1"/>
  <c r="F114" i="1"/>
  <c r="E114" i="1"/>
  <c r="D114" i="1"/>
  <c r="C114" i="1"/>
  <c r="H113" i="1"/>
  <c r="G113" i="1"/>
  <c r="F113" i="1"/>
  <c r="E113" i="1"/>
  <c r="D113" i="1"/>
  <c r="C113" i="1"/>
  <c r="H112" i="1"/>
  <c r="G112" i="1"/>
  <c r="F112" i="1"/>
  <c r="E112" i="1"/>
  <c r="D112" i="1"/>
  <c r="C112" i="1"/>
  <c r="H111" i="1"/>
  <c r="G111" i="1"/>
  <c r="F111" i="1"/>
  <c r="E111" i="1"/>
  <c r="D111" i="1"/>
  <c r="C111" i="1"/>
  <c r="H110" i="1"/>
  <c r="G110" i="1"/>
  <c r="F110" i="1"/>
  <c r="E110" i="1"/>
  <c r="D110" i="1"/>
  <c r="C110" i="1"/>
  <c r="H109" i="1"/>
  <c r="G109" i="1"/>
  <c r="F109" i="1"/>
  <c r="E109" i="1"/>
  <c r="D109" i="1"/>
  <c r="C109" i="1"/>
  <c r="H108" i="1"/>
  <c r="G108" i="1"/>
  <c r="F108" i="1"/>
  <c r="E108" i="1"/>
  <c r="D108" i="1"/>
  <c r="C108" i="1"/>
  <c r="H107" i="1"/>
  <c r="G107" i="1"/>
  <c r="F107" i="1"/>
  <c r="E107" i="1"/>
  <c r="D107" i="1"/>
  <c r="C107" i="1"/>
  <c r="H106" i="1"/>
  <c r="G106" i="1"/>
  <c r="F106" i="1"/>
  <c r="E106" i="1"/>
  <c r="D106" i="1"/>
  <c r="C106" i="1"/>
  <c r="H105" i="1"/>
  <c r="G105" i="1"/>
  <c r="F105" i="1"/>
  <c r="E105" i="1"/>
  <c r="D105" i="1"/>
  <c r="C105" i="1"/>
  <c r="H104" i="1"/>
  <c r="G104" i="1"/>
  <c r="F104" i="1"/>
  <c r="E104" i="1"/>
  <c r="D104" i="1"/>
  <c r="C104" i="1"/>
  <c r="H103" i="1"/>
  <c r="G103" i="1"/>
  <c r="F103" i="1"/>
  <c r="E103" i="1"/>
  <c r="D103" i="1"/>
  <c r="C103" i="1"/>
  <c r="H102" i="1"/>
  <c r="G102" i="1"/>
  <c r="F102" i="1"/>
  <c r="E102" i="1"/>
  <c r="D102" i="1"/>
  <c r="C102" i="1"/>
  <c r="H101" i="1"/>
  <c r="G101" i="1"/>
  <c r="F101" i="1"/>
  <c r="E101" i="1"/>
  <c r="D101" i="1"/>
  <c r="C101" i="1"/>
  <c r="H100" i="1"/>
  <c r="G100" i="1"/>
  <c r="F100" i="1"/>
  <c r="E100" i="1"/>
  <c r="D100" i="1"/>
  <c r="C100" i="1"/>
  <c r="H99" i="1"/>
  <c r="G99" i="1"/>
  <c r="F99" i="1"/>
  <c r="E99" i="1"/>
  <c r="D99" i="1"/>
  <c r="C99" i="1"/>
  <c r="H98" i="1"/>
  <c r="G98" i="1"/>
  <c r="F98" i="1"/>
  <c r="E98" i="1"/>
  <c r="D98" i="1"/>
  <c r="C98" i="1"/>
  <c r="H97" i="1"/>
  <c r="G97" i="1"/>
  <c r="F97" i="1"/>
  <c r="E97" i="1"/>
  <c r="D97" i="1"/>
  <c r="C97" i="1"/>
  <c r="H96" i="1"/>
  <c r="G96" i="1"/>
  <c r="F96" i="1"/>
  <c r="E96" i="1"/>
  <c r="D96" i="1"/>
  <c r="C96" i="1"/>
  <c r="H95" i="1"/>
  <c r="G95" i="1"/>
  <c r="F95" i="1"/>
  <c r="E95" i="1"/>
  <c r="D95" i="1"/>
  <c r="C95" i="1"/>
  <c r="H94" i="1"/>
  <c r="G94" i="1"/>
  <c r="F94" i="1"/>
  <c r="E94" i="1"/>
  <c r="D94" i="1"/>
  <c r="C94" i="1"/>
  <c r="H93" i="1"/>
  <c r="G93" i="1"/>
  <c r="F93" i="1"/>
  <c r="E93" i="1"/>
  <c r="D93" i="1"/>
  <c r="C93" i="1"/>
  <c r="H92" i="1"/>
  <c r="G92" i="1"/>
  <c r="F92" i="1"/>
  <c r="E92" i="1"/>
  <c r="D92" i="1"/>
  <c r="C92" i="1"/>
  <c r="H91" i="1"/>
  <c r="G91" i="1"/>
  <c r="F91" i="1"/>
  <c r="E91" i="1"/>
  <c r="D91" i="1"/>
  <c r="C91" i="1"/>
  <c r="H90" i="1"/>
  <c r="G90" i="1"/>
  <c r="F90" i="1"/>
  <c r="E90" i="1"/>
  <c r="D90" i="1"/>
  <c r="C90" i="1"/>
  <c r="H89" i="1"/>
  <c r="G89" i="1"/>
  <c r="F89" i="1"/>
  <c r="E89" i="1"/>
  <c r="D89" i="1"/>
  <c r="C89" i="1"/>
  <c r="H88" i="1"/>
  <c r="G88" i="1"/>
  <c r="F88" i="1"/>
  <c r="E88" i="1"/>
  <c r="D88" i="1"/>
  <c r="C88" i="1"/>
  <c r="H87" i="1"/>
  <c r="G87" i="1"/>
  <c r="F87" i="1"/>
  <c r="E87" i="1"/>
  <c r="D87" i="1"/>
  <c r="C87" i="1"/>
  <c r="H86" i="1"/>
  <c r="G86" i="1"/>
  <c r="F86" i="1"/>
  <c r="E86" i="1"/>
  <c r="D86" i="1"/>
  <c r="C86" i="1"/>
  <c r="H85" i="1"/>
  <c r="G85" i="1"/>
  <c r="F85" i="1"/>
  <c r="E85" i="1"/>
  <c r="D85" i="1"/>
  <c r="C85" i="1"/>
  <c r="H84" i="1"/>
  <c r="G84" i="1"/>
  <c r="F84" i="1"/>
  <c r="E84" i="1"/>
  <c r="D84" i="1"/>
  <c r="C84" i="1"/>
  <c r="H83" i="1"/>
  <c r="G83" i="1"/>
  <c r="F83" i="1"/>
  <c r="E83" i="1"/>
  <c r="D83" i="1"/>
  <c r="C83" i="1"/>
  <c r="H82" i="1"/>
  <c r="G82" i="1"/>
  <c r="F82" i="1"/>
  <c r="E82" i="1"/>
  <c r="D82" i="1"/>
  <c r="C82" i="1"/>
  <c r="H81" i="1"/>
  <c r="G81" i="1"/>
  <c r="F81" i="1"/>
  <c r="E81" i="1"/>
  <c r="D81" i="1"/>
  <c r="C81" i="1"/>
  <c r="H80" i="1"/>
  <c r="G80" i="1"/>
  <c r="F80" i="1"/>
  <c r="E80" i="1"/>
  <c r="D80" i="1"/>
  <c r="C80" i="1"/>
  <c r="H79" i="1"/>
  <c r="G79" i="1"/>
  <c r="F79" i="1"/>
  <c r="E79" i="1"/>
  <c r="D79" i="1"/>
  <c r="C79" i="1"/>
  <c r="H78" i="1"/>
  <c r="G78" i="1"/>
  <c r="F78" i="1"/>
  <c r="E78" i="1"/>
  <c r="D78" i="1"/>
  <c r="C78" i="1"/>
  <c r="H77" i="1"/>
  <c r="G77" i="1"/>
  <c r="F77" i="1"/>
  <c r="E77" i="1"/>
  <c r="D77" i="1"/>
  <c r="C77" i="1"/>
  <c r="H76" i="1"/>
  <c r="G76" i="1"/>
  <c r="F76" i="1"/>
  <c r="E76" i="1"/>
  <c r="D76" i="1"/>
  <c r="C76" i="1"/>
  <c r="H75" i="1"/>
  <c r="G75" i="1"/>
  <c r="F75" i="1"/>
  <c r="E75" i="1"/>
  <c r="D75" i="1"/>
  <c r="C75" i="1"/>
  <c r="H74" i="1"/>
  <c r="G74" i="1"/>
  <c r="F74" i="1"/>
  <c r="E74" i="1"/>
  <c r="D74" i="1"/>
  <c r="C74" i="1"/>
  <c r="H73" i="1"/>
  <c r="G73" i="1"/>
  <c r="F73" i="1"/>
  <c r="E73" i="1"/>
  <c r="D73" i="1"/>
  <c r="C73" i="1"/>
  <c r="H72" i="1"/>
  <c r="G72" i="1"/>
  <c r="F72" i="1"/>
  <c r="E72" i="1"/>
  <c r="D72" i="1"/>
  <c r="C72" i="1"/>
  <c r="H71" i="1"/>
  <c r="G71" i="1"/>
  <c r="F71" i="1"/>
  <c r="E71" i="1"/>
  <c r="D71" i="1"/>
  <c r="C71" i="1"/>
  <c r="H70" i="1"/>
  <c r="G70" i="1"/>
  <c r="F70" i="1"/>
  <c r="E70" i="1"/>
  <c r="D70" i="1"/>
  <c r="C70" i="1"/>
  <c r="H69" i="1"/>
  <c r="G69" i="1"/>
  <c r="F69" i="1"/>
  <c r="E69" i="1"/>
  <c r="D69" i="1"/>
  <c r="C69" i="1"/>
  <c r="H68" i="1"/>
  <c r="G68" i="1"/>
  <c r="F68" i="1"/>
  <c r="E68" i="1"/>
  <c r="D68" i="1"/>
  <c r="C68" i="1"/>
  <c r="H67" i="1"/>
  <c r="G67" i="1"/>
  <c r="F67" i="1"/>
  <c r="E67" i="1"/>
  <c r="D67" i="1"/>
  <c r="C67" i="1"/>
  <c r="H66" i="1"/>
  <c r="G66" i="1"/>
  <c r="F66" i="1"/>
  <c r="E66" i="1"/>
  <c r="D66" i="1"/>
  <c r="C66" i="1"/>
  <c r="H65" i="1"/>
  <c r="G65" i="1"/>
  <c r="F65" i="1"/>
  <c r="E65" i="1"/>
  <c r="D65" i="1"/>
  <c r="C65" i="1"/>
  <c r="H64" i="1"/>
  <c r="G64" i="1"/>
  <c r="F64" i="1"/>
  <c r="E64" i="1"/>
  <c r="D64" i="1"/>
  <c r="C64" i="1"/>
  <c r="H63" i="1"/>
  <c r="G63" i="1"/>
  <c r="F63" i="1"/>
  <c r="E63" i="1"/>
  <c r="D63" i="1"/>
  <c r="C63" i="1"/>
  <c r="H62" i="1"/>
  <c r="G62" i="1"/>
  <c r="F62" i="1"/>
  <c r="E62" i="1"/>
  <c r="D62" i="1"/>
  <c r="C62" i="1"/>
  <c r="H61" i="1"/>
  <c r="G61" i="1"/>
  <c r="F61" i="1"/>
  <c r="E61" i="1"/>
  <c r="D61" i="1"/>
  <c r="C61" i="1"/>
  <c r="H60" i="1"/>
  <c r="G60" i="1"/>
  <c r="F60" i="1"/>
  <c r="E60" i="1"/>
  <c r="D60" i="1"/>
  <c r="C60" i="1"/>
  <c r="H59" i="1"/>
  <c r="G59" i="1"/>
  <c r="F59" i="1"/>
  <c r="E59" i="1"/>
  <c r="D59" i="1"/>
  <c r="C59" i="1"/>
  <c r="H58" i="1"/>
  <c r="G58" i="1"/>
  <c r="F58" i="1"/>
  <c r="E58" i="1"/>
  <c r="D58" i="1"/>
  <c r="C58" i="1"/>
  <c r="H57" i="1"/>
  <c r="G57" i="1"/>
  <c r="F57" i="1"/>
  <c r="E57" i="1"/>
  <c r="D57" i="1"/>
  <c r="C57" i="1"/>
  <c r="H56" i="1"/>
  <c r="G56" i="1"/>
  <c r="F56" i="1"/>
  <c r="E56" i="1"/>
  <c r="D56" i="1"/>
  <c r="C56" i="1"/>
  <c r="H55" i="1"/>
  <c r="G55" i="1"/>
  <c r="F55" i="1"/>
  <c r="E55" i="1"/>
  <c r="D55" i="1"/>
  <c r="C55" i="1"/>
  <c r="H54" i="1"/>
  <c r="G54" i="1"/>
  <c r="F54" i="1"/>
  <c r="E54" i="1"/>
  <c r="D54" i="1"/>
  <c r="C54" i="1"/>
  <c r="H53" i="1"/>
  <c r="G53" i="1"/>
  <c r="F53" i="1"/>
  <c r="E53" i="1"/>
  <c r="D53" i="1"/>
  <c r="C53" i="1"/>
  <c r="H52" i="1"/>
  <c r="G52" i="1"/>
  <c r="F52" i="1"/>
  <c r="E52" i="1"/>
  <c r="D52" i="1"/>
  <c r="C52" i="1"/>
  <c r="H51" i="1"/>
  <c r="G51" i="1"/>
  <c r="F51" i="1"/>
  <c r="E51" i="1"/>
  <c r="D51" i="1"/>
  <c r="C51" i="1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  <c r="H4" i="1"/>
  <c r="G4" i="1"/>
  <c r="F4" i="1"/>
  <c r="E4" i="1"/>
  <c r="D4" i="1"/>
  <c r="C4" i="1"/>
  <c r="H3" i="1"/>
  <c r="G3" i="1"/>
  <c r="F3" i="1"/>
  <c r="E3" i="1"/>
  <c r="D3" i="1"/>
  <c r="C3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<sst xmlns="http://schemas.openxmlformats.org/spreadsheetml/2006/main" count="29084" uniqueCount="13641">
  <si>
    <t>Filename</t>
  </si>
  <si>
    <t>AuditedName</t>
  </si>
  <si>
    <t>Taxon Order</t>
  </si>
  <si>
    <t>English Name</t>
  </si>
  <si>
    <t>French Name</t>
  </si>
  <si>
    <t>Latin Name</t>
  </si>
  <si>
    <t>Order</t>
  </si>
  <si>
    <t>Family</t>
  </si>
  <si>
    <t>Acadian_Flycatcher_2313.jpg</t>
  </si>
  <si>
    <t xml:space="preserve">Acadian Flycatcher </t>
  </si>
  <si>
    <t>Acorn_woodpecker_2152.jpg</t>
  </si>
  <si>
    <t xml:space="preserve">Acorn Woodpecker </t>
  </si>
  <si>
    <t>Acorn_Woodpecker_2305.jpg</t>
  </si>
  <si>
    <t>Acorn_Woodpecker_5803.jpg</t>
  </si>
  <si>
    <t>African Cuckoo-Hawk-4865.jpg</t>
  </si>
  <si>
    <t>African Cuckoo-Hawk</t>
  </si>
  <si>
    <t>African Hawk-Eagle-6342.jpg</t>
  </si>
  <si>
    <t>African Hawk-Eagle</t>
  </si>
  <si>
    <t>African Jacana-3938.jpg</t>
  </si>
  <si>
    <t>African Jacana</t>
  </si>
  <si>
    <t>African Sacred Ibis-5733.jpg</t>
  </si>
  <si>
    <t>African Sacred Ibis</t>
  </si>
  <si>
    <t>African Woolly-necked Stork-4142.jpg</t>
  </si>
  <si>
    <t>African Woolly-necked Stork</t>
  </si>
  <si>
    <t>African_Black-headed_Oriole_3391.jpg</t>
  </si>
  <si>
    <t>African Black-headed Oriole</t>
  </si>
  <si>
    <t>African_Darter_6406.jpg</t>
  </si>
  <si>
    <t xml:space="preserve">African Darter </t>
  </si>
  <si>
    <t>African_Fish-Eagle_6468.jpg</t>
  </si>
  <si>
    <t xml:space="preserve">African Fish-Eagle </t>
  </si>
  <si>
    <t>African_Gray_Flycatcher_260.jpg</t>
  </si>
  <si>
    <t>African Gray Flycatcher</t>
  </si>
  <si>
    <t>African_Gray_Hornbill.jpg</t>
  </si>
  <si>
    <t>African Gray Hornbill</t>
  </si>
  <si>
    <t>African_Marsh_Harrier_7438.jpg</t>
  </si>
  <si>
    <t>African Marsh Harrier</t>
  </si>
  <si>
    <t>African_Openbill_1935.jpg</t>
  </si>
  <si>
    <t xml:space="preserve">African Openbill </t>
  </si>
  <si>
    <t>African_Openbill_6970.jpg</t>
  </si>
  <si>
    <t>African_Paradise-Flycatcher_3580.jpg</t>
  </si>
  <si>
    <t xml:space="preserve">African Paradise-Flycatcher </t>
  </si>
  <si>
    <t>African_Pied_Wagtail_118.jpg</t>
  </si>
  <si>
    <t>African Pied Wagtail</t>
  </si>
  <si>
    <t>African_Pied_Wagtail_6783.jpg</t>
  </si>
  <si>
    <t>African_Pipit_2927.jpg</t>
  </si>
  <si>
    <t xml:space="preserve">African Pipit </t>
  </si>
  <si>
    <t>African_Silverbill_9903.jpg</t>
  </si>
  <si>
    <t xml:space="preserve">African Silverbill </t>
  </si>
  <si>
    <t>African_Skimmer_8405.jpg</t>
  </si>
  <si>
    <t xml:space="preserve">African Skimmer </t>
  </si>
  <si>
    <t>African_Spoonbill_7924.jpg</t>
  </si>
  <si>
    <t xml:space="preserve">African Spoonbill </t>
  </si>
  <si>
    <t>African_Stonechat_2848.jpg</t>
  </si>
  <si>
    <t xml:space="preserve">African Stonechat </t>
  </si>
  <si>
    <t>Agami_Heron_7409.jpg</t>
  </si>
  <si>
    <t xml:space="preserve">Agami Heron </t>
  </si>
  <si>
    <t>Akiapolaau_0901.jpg</t>
  </si>
  <si>
    <t xml:space="preserve">Akiapolaau  </t>
  </si>
  <si>
    <t>Alder_Flycatcher.jpg</t>
  </si>
  <si>
    <t xml:space="preserve">Alder Flycatcher </t>
  </si>
  <si>
    <t>Allen's Hummingbird-257.jpg</t>
  </si>
  <si>
    <t>Allen's Hummingbird</t>
  </si>
  <si>
    <t>Amazon_Kingfisher_7123.jpg</t>
  </si>
  <si>
    <t xml:space="preserve">Amazon Kingfisher </t>
  </si>
  <si>
    <t>American Avocet 5122.jpg</t>
  </si>
  <si>
    <t>American Avocet</t>
  </si>
  <si>
    <t>American Bittern-107.jpg</t>
  </si>
  <si>
    <t>American Bittern</t>
  </si>
  <si>
    <t>American Coot (Red-shielded)-21597471.jpg</t>
  </si>
  <si>
    <t>American Coot</t>
  </si>
  <si>
    <t>American Coot-21597471.jpg</t>
  </si>
  <si>
    <t>American Goldfinch-001.jpg</t>
  </si>
  <si>
    <t>American Goldfinch</t>
  </si>
  <si>
    <t>American Oystercatcher-3784.jpg</t>
  </si>
  <si>
    <t>American Oystercatcher</t>
  </si>
  <si>
    <t>American Redstart-006.jpg</t>
  </si>
  <si>
    <t>American Redstart</t>
  </si>
  <si>
    <t>American Wigeon.jpg</t>
  </si>
  <si>
    <t>American Wigeon</t>
  </si>
  <si>
    <t>American woodcock 7304.jpg</t>
  </si>
  <si>
    <t>American Woodcock</t>
  </si>
  <si>
    <t>American woodcock-7326.jpg</t>
  </si>
  <si>
    <t>American_Avocet_1077.jpg</t>
  </si>
  <si>
    <t xml:space="preserve">American Avocet </t>
  </si>
  <si>
    <t>American_Barn_Owl_3904.jpg</t>
  </si>
  <si>
    <t>American Barn Owl</t>
  </si>
  <si>
    <t>American_Barn_Owl_punctatissima.jpg</t>
  </si>
  <si>
    <t>American_Bittern_2804.jpg</t>
  </si>
  <si>
    <t xml:space="preserve">American Bittern </t>
  </si>
  <si>
    <t>American_Bittern_6940MF.jpg</t>
  </si>
  <si>
    <t>American_Bittern_9918.jpg</t>
  </si>
  <si>
    <t>American_Bittern.jpg</t>
  </si>
  <si>
    <t>American_Black_Duck_0305.jpg</t>
  </si>
  <si>
    <t>American Black Duck</t>
  </si>
  <si>
    <t>American_Black_Duck_26634.jpg</t>
  </si>
  <si>
    <t>American_Black_Duck_9041.jpg</t>
  </si>
  <si>
    <t>American_Coot_1815.jpg</t>
  </si>
  <si>
    <t xml:space="preserve">American Coot </t>
  </si>
  <si>
    <t>American_Coot_3444.jpg</t>
  </si>
  <si>
    <t>American_Coot_7331.jpg</t>
  </si>
  <si>
    <t>American_Crow_7774.jpg</t>
  </si>
  <si>
    <t xml:space="preserve">American Crow </t>
  </si>
  <si>
    <t>American_Dipper_1727MF.jpg</t>
  </si>
  <si>
    <t xml:space="preserve">American Dipper </t>
  </si>
  <si>
    <t>American_Dipper_9078.jpg</t>
  </si>
  <si>
    <t>American_Flamingo_5674.jpg</t>
  </si>
  <si>
    <t xml:space="preserve">American Flamingo </t>
  </si>
  <si>
    <t>American_Flamingo_6193.jpg</t>
  </si>
  <si>
    <t>American_Flamingo_6544.jpg</t>
  </si>
  <si>
    <t>American_Flamingo_6583.jpg</t>
  </si>
  <si>
    <t>American_Golden-Plover_7631.jpg</t>
  </si>
  <si>
    <t xml:space="preserve">American Golden-Plover </t>
  </si>
  <si>
    <t>American_Goldfinch_7166MF.jpg</t>
  </si>
  <si>
    <t xml:space="preserve">American Goldfinch </t>
  </si>
  <si>
    <t>American_Goldfinch_9264.jpg</t>
  </si>
  <si>
    <t>American_Goldfinch_9277.jpg</t>
  </si>
  <si>
    <t>American_Goldfinch_9378.jpg</t>
  </si>
  <si>
    <t>American_Goldfinch.jpg</t>
  </si>
  <si>
    <t>American_Herring_Gull_1497MF.jpg</t>
  </si>
  <si>
    <t>American Herring Gull</t>
  </si>
  <si>
    <t>American_Herring_Gull_1615.jpg</t>
  </si>
  <si>
    <t>American_Herring_Gull_2404.jpg</t>
  </si>
  <si>
    <t>American_Kestrel_0882.jpg</t>
  </si>
  <si>
    <t xml:space="preserve">American Kestrel </t>
  </si>
  <si>
    <t>American_Kestrel_2799.jpg</t>
  </si>
  <si>
    <t>American_Kestrel_7580MF.jpg</t>
  </si>
  <si>
    <t>American_Oystercatcher_2017_3611-Edit.jpg</t>
  </si>
  <si>
    <t xml:space="preserve">American Oystercatcher </t>
  </si>
  <si>
    <t>American_Oystercatcher_20187.jpg</t>
  </si>
  <si>
    <t>American_Oystercatcher_22567.jpg</t>
  </si>
  <si>
    <t>American_Oystercatcher_6498.jpg</t>
  </si>
  <si>
    <t>American_Oystercatcher_6500.jpg</t>
  </si>
  <si>
    <t>American_Oystercatcher_7706MF.jpg</t>
  </si>
  <si>
    <t>American_Pipit_991.jpg</t>
  </si>
  <si>
    <t xml:space="preserve">American Pipit </t>
  </si>
  <si>
    <t>American_Pygmy_Kingfisher_7384.jpg</t>
  </si>
  <si>
    <t>American Pygmy Kingfisher</t>
  </si>
  <si>
    <t>American_Pygmy_Kingfisher_8916.jpg</t>
  </si>
  <si>
    <t>American_redstart_1003.jpg</t>
  </si>
  <si>
    <t xml:space="preserve">American Redstart </t>
  </si>
  <si>
    <t>American_Redstart_1421.jpg</t>
  </si>
  <si>
    <t>American_Redstart_20644.jpg</t>
  </si>
  <si>
    <t>American_Redstart_2599.jpg</t>
  </si>
  <si>
    <t>American_Redstart_2840.jpg</t>
  </si>
  <si>
    <t>American_Redstart_6352.jpg</t>
  </si>
  <si>
    <t>American_Redstart_6428.jpg</t>
  </si>
  <si>
    <t>American_Redstart_8238.jpg</t>
  </si>
  <si>
    <t>American_Robin_on_nest_1776MF.jpg</t>
  </si>
  <si>
    <t xml:space="preserve">American Robin </t>
  </si>
  <si>
    <t>American_Three-toed_Woodpecker_6939.jpg</t>
  </si>
  <si>
    <t>American Three-toed Woodpecker</t>
  </si>
  <si>
    <t>American_Tree_Sparrow_1905.jpg</t>
  </si>
  <si>
    <t>American Tree Sparrow</t>
  </si>
  <si>
    <t>American_Tree_Sparrow_9143.jpg</t>
  </si>
  <si>
    <t>American_Tree_Sparrow_9179.jpg</t>
  </si>
  <si>
    <t>American_White_Pelican_1366.jpg</t>
  </si>
  <si>
    <t>American White Pelican</t>
  </si>
  <si>
    <t>American_White_Pelican_3471.jpg</t>
  </si>
  <si>
    <t>American_White_Pelican_7130MF.jpg</t>
  </si>
  <si>
    <t>American_Wigeon_2161.jpg</t>
  </si>
  <si>
    <t xml:space="preserve">American Wigeon </t>
  </si>
  <si>
    <t>American_Wigeon_2906.jpg</t>
  </si>
  <si>
    <t>American_Wigeon_8995.jpg</t>
  </si>
  <si>
    <t>Andean Duck ferruginea-477461451.jpg</t>
  </si>
  <si>
    <t>Andean Duck</t>
  </si>
  <si>
    <t>Andean Duck-477461451.jpg</t>
  </si>
  <si>
    <t>Andean_Cock-of-the-Rock_6555.jpg</t>
  </si>
  <si>
    <t xml:space="preserve">Andean Cock-of-the-rock </t>
  </si>
  <si>
    <t>Andean_Condor_6812.jpg</t>
  </si>
  <si>
    <t xml:space="preserve">Andean Condor </t>
  </si>
  <si>
    <t>Andean_Condor_7121.jpg</t>
  </si>
  <si>
    <t>Andean_Duck_7065.jpg</t>
  </si>
  <si>
    <t xml:space="preserve">Andean Duck </t>
  </si>
  <si>
    <t>Andean_Emerald_5215.jpg</t>
  </si>
  <si>
    <t xml:space="preserve">Andean Emerald </t>
  </si>
  <si>
    <t>Andean_Emerald_6062.jpg</t>
  </si>
  <si>
    <t>Andean_Gull_6973.jpg</t>
  </si>
  <si>
    <t xml:space="preserve">Andean Gull </t>
  </si>
  <si>
    <t>Andean_Gull_6981.jpg</t>
  </si>
  <si>
    <t>Andean_Ibis_6966.jpg</t>
  </si>
  <si>
    <t xml:space="preserve">Andean Ibis </t>
  </si>
  <si>
    <t>Andean_Motmot_3307.jpg</t>
  </si>
  <si>
    <t xml:space="preserve">Andean Motmot </t>
  </si>
  <si>
    <t>Andean_Motmot_5971.jpg</t>
  </si>
  <si>
    <t>Andean_Pygmy-owl_5185.jpg</t>
  </si>
  <si>
    <t xml:space="preserve">Andean Pygmy-Owl </t>
  </si>
  <si>
    <t>Andean_Tit-Spinetail_421.jpg</t>
  </si>
  <si>
    <t xml:space="preserve">Andean Tit-Spinetail </t>
  </si>
  <si>
    <t>Anhinga_0317.jpg</t>
  </si>
  <si>
    <t xml:space="preserve">Anhinga  </t>
  </si>
  <si>
    <t>Anhinga_034.jpg</t>
  </si>
  <si>
    <t>Anhinga_0997.jpg</t>
  </si>
  <si>
    <t>Anhinga_20543.jpg</t>
  </si>
  <si>
    <t>Anhinga_2216.jpg</t>
  </si>
  <si>
    <t>Anhinga_2792.jpg</t>
  </si>
  <si>
    <t>Anhinga_3256.jpg</t>
  </si>
  <si>
    <t>Anhinga_3258.jpg</t>
  </si>
  <si>
    <t>Anhinga_6822MF.jpg</t>
  </si>
  <si>
    <t>Anhinga_8593MF.jpg</t>
  </si>
  <si>
    <t>Anhinga_9728.jpg</t>
  </si>
  <si>
    <t>Anhinga_juveniles_4963.jpg</t>
  </si>
  <si>
    <t>Anhinga_with_fish_4550.jpg</t>
  </si>
  <si>
    <t>Annas_Hummingbird_2428.jpg</t>
  </si>
  <si>
    <t>Anna's Hummingbird</t>
  </si>
  <si>
    <t>Annas_Hummingbird_3628.jpg</t>
  </si>
  <si>
    <t>Apapane_0584.jpg</t>
  </si>
  <si>
    <t xml:space="preserve">Apapane  </t>
  </si>
  <si>
    <t>Apapane_1565.jpg</t>
  </si>
  <si>
    <t>Apical_Flycatcher.jpg</t>
  </si>
  <si>
    <t xml:space="preserve">Apical Flycatcher </t>
  </si>
  <si>
    <t>Aplomado Falcon-2791.jpg</t>
  </si>
  <si>
    <t>Aplomado Falcon</t>
  </si>
  <si>
    <t>Apostlebird-646295781.jpg</t>
  </si>
  <si>
    <t>Apostlebird</t>
  </si>
  <si>
    <t>Apostlebird-646295957.jpg</t>
  </si>
  <si>
    <t>Apperts_Tetraka_-_Farifrota_dAppert_6322.jpg</t>
  </si>
  <si>
    <t>Appert's Tetraka</t>
  </si>
  <si>
    <t>Archbold's Newtonia-6798.jpg</t>
  </si>
  <si>
    <t>Archbold's Newtonia</t>
  </si>
  <si>
    <t>Archbolds_Newtonia_6765.jpg</t>
  </si>
  <si>
    <t>Archbolds_Newtonia_6798.jpg</t>
  </si>
  <si>
    <t>Archbolds_Newtonia_9509MF.jpg</t>
  </si>
  <si>
    <t>Arctic_tern_2230.jpg</t>
  </si>
  <si>
    <t xml:space="preserve">Arctic Tern </t>
  </si>
  <si>
    <t>Arctic_Tern_3352.jpg</t>
  </si>
  <si>
    <t>Arrow-marked_Babbler_9840.jpg</t>
  </si>
  <si>
    <t xml:space="preserve">Arrow-marked Babbler </t>
  </si>
  <si>
    <t>Ashy_Starling_163.jpg</t>
  </si>
  <si>
    <t xml:space="preserve">Ashy Starling </t>
  </si>
  <si>
    <t>Atlantic_Puffin_9688.jpg</t>
  </si>
  <si>
    <t xml:space="preserve">Atlantic Puffin </t>
  </si>
  <si>
    <t>Augur_Buzzard_285.jpg</t>
  </si>
  <si>
    <t xml:space="preserve">Augur Buzzard </t>
  </si>
  <si>
    <t>Augur_Buzzard_Augur-418213531.jpg</t>
  </si>
  <si>
    <t>Augur Buzzard</t>
  </si>
  <si>
    <t>Australasian_Darter-646204666.jpg</t>
  </si>
  <si>
    <t>Australasian Darter</t>
  </si>
  <si>
    <t>Australasian_Figbird-646979953.jpg</t>
  </si>
  <si>
    <t>Australasian Figbird</t>
  </si>
  <si>
    <t>Australasian_Figbird-646981468.jpg</t>
  </si>
  <si>
    <t>Australasian_Gannet_9546.jpg</t>
  </si>
  <si>
    <t xml:space="preserve">Australasian Gannet </t>
  </si>
  <si>
    <t>Australasian_Gannet_9550.jpg</t>
  </si>
  <si>
    <t>Australasian_Grebe_8279.jpg</t>
  </si>
  <si>
    <t xml:space="preserve">Australasian Grebe </t>
  </si>
  <si>
    <t>Australasian_Shoveler-646971715.jpg</t>
  </si>
  <si>
    <t>Australasian Shoveler</t>
  </si>
  <si>
    <t>Australasian_Swamphen_8154.jpg</t>
  </si>
  <si>
    <t xml:space="preserve">Australasian Swamphen </t>
  </si>
  <si>
    <t>Australian_Brushturkey_7950.jpg</t>
  </si>
  <si>
    <t xml:space="preserve">Australian Brushturkey </t>
  </si>
  <si>
    <t>Australian_Crake_4885MF.jpg</t>
  </si>
  <si>
    <t xml:space="preserve">Australian Crake </t>
  </si>
  <si>
    <t>Australian_Hobby-646369508.jpg</t>
  </si>
  <si>
    <t>Australian Hobby</t>
  </si>
  <si>
    <t>Australian_Ibis_2344.jpg</t>
  </si>
  <si>
    <t xml:space="preserve">Australian Ibis </t>
  </si>
  <si>
    <t>Australian_King-Parrot_2507MF.jpg</t>
  </si>
  <si>
    <t xml:space="preserve">Australian King-Parrot </t>
  </si>
  <si>
    <t>Australian_King-Parrot.jpg</t>
  </si>
  <si>
    <t>Australian_Magpie_0144.jpg</t>
  </si>
  <si>
    <t xml:space="preserve">Australian Magpie </t>
  </si>
  <si>
    <t>Australian_magpie_1505.jpg</t>
  </si>
  <si>
    <t>Australian_Owlet_nightjar-646518816.jpg</t>
  </si>
  <si>
    <t>Australian Owlet-nightjar</t>
  </si>
  <si>
    <t>Australian_Pelican_3562MF.jpg</t>
  </si>
  <si>
    <t xml:space="preserve">Australian Pelican </t>
  </si>
  <si>
    <t>Australian_Pelican_8249.jpg</t>
  </si>
  <si>
    <t>Australian_Pipit_0158.jpg</t>
  </si>
  <si>
    <t xml:space="preserve">Australian Pipit </t>
  </si>
  <si>
    <t>Australian_Pipit_4436MF.jpg</t>
  </si>
  <si>
    <t>Australian_Pratincole-646538505.jpg</t>
  </si>
  <si>
    <t>Australian Pratincole</t>
  </si>
  <si>
    <t>Australian_Pratincole-646539602.jpg</t>
  </si>
  <si>
    <t>Australian_Raven-646982981.jpg</t>
  </si>
  <si>
    <t>Australian Raven</t>
  </si>
  <si>
    <t>Australian_Reed_Warbler_0750.jpg</t>
  </si>
  <si>
    <t>Australian Reed Warbler</t>
  </si>
  <si>
    <t>Australian_Ringneck-646300690.jpg</t>
  </si>
  <si>
    <t>Australian Ringneck</t>
  </si>
  <si>
    <t>Australian_Ringneck-646303926.jpg</t>
  </si>
  <si>
    <t>Australian_Rufous_Fantail_2492MF.jpg</t>
  </si>
  <si>
    <t>Australian Rufous Fantail</t>
  </si>
  <si>
    <t>Australian_Shelduck_0277.jpg</t>
  </si>
  <si>
    <t xml:space="preserve">Australian Shelduck </t>
  </si>
  <si>
    <t>Bald_Eagle_0765.jpg</t>
  </si>
  <si>
    <t xml:space="preserve">Bald Eagle </t>
  </si>
  <si>
    <t>Bald_Eagle_2014-003.jpg</t>
  </si>
  <si>
    <t>Bald_Eagle_21110.jpg</t>
  </si>
  <si>
    <t>Bald_Eagle_2654.jpg</t>
  </si>
  <si>
    <t>Bald_Eagle_6702.jpg</t>
  </si>
  <si>
    <t>Bald_eagle_7646.jpg</t>
  </si>
  <si>
    <t>Baltimore Oriole-2353.jpg</t>
  </si>
  <si>
    <t>Baltimore Oriole</t>
  </si>
  <si>
    <t>Baltimore_Oriole_3190MF.jpg</t>
  </si>
  <si>
    <t xml:space="preserve">Baltimore Oriole </t>
  </si>
  <si>
    <t>Baltimore_Oriole_3215.jpg</t>
  </si>
  <si>
    <t>Baltimore_Oriole_5627.jpg</t>
  </si>
  <si>
    <t>Baltimore_Oriole_6836MF.jpg</t>
  </si>
  <si>
    <t>Bananaquit_3649.jpg</t>
  </si>
  <si>
    <t xml:space="preserve">Bananaquit  </t>
  </si>
  <si>
    <t>Bananaquit_5414.jpg</t>
  </si>
  <si>
    <t>Bananaquit_5967.jpg</t>
  </si>
  <si>
    <t>Band-backed_Wren_6998.jpg</t>
  </si>
  <si>
    <t xml:space="preserve">Band-backed Wren </t>
  </si>
  <si>
    <t>Band-tailed_Guan_4613.jpg</t>
  </si>
  <si>
    <t xml:space="preserve">Band-tailed Guan </t>
  </si>
  <si>
    <t>Band-tailed_Guan_4650.jpg</t>
  </si>
  <si>
    <t>Band-tailed_Pigeon_3216MF.jpg</t>
  </si>
  <si>
    <t xml:space="preserve">Band-tailed Pigeon </t>
  </si>
  <si>
    <t>Band-tailed_Pigeon.jpg</t>
  </si>
  <si>
    <t>Banded_Lapwing-646533979.jpg</t>
  </si>
  <si>
    <t>Banded Lapwing</t>
  </si>
  <si>
    <t>Banded_Lapwing-646534612.jpg</t>
  </si>
  <si>
    <t>Bandtailed_Pigeon_Whitenecked-421733671.jpg</t>
  </si>
  <si>
    <t>Band-tailed Pigeon</t>
  </si>
  <si>
    <t>Bar-crested Antshrike.jpg</t>
  </si>
  <si>
    <t>Bar-crested Antshrike</t>
  </si>
  <si>
    <t>Bar-tailed_Godwit_3588MF.jpg</t>
  </si>
  <si>
    <t xml:space="preserve">Bar-tailed Godwit </t>
  </si>
  <si>
    <t>Bar-throated_Apalis_2642.jpg</t>
  </si>
  <si>
    <t xml:space="preserve">Bar-throated Apalis </t>
  </si>
  <si>
    <t>Bare-crowned_Antbird_1905.jpg</t>
  </si>
  <si>
    <t xml:space="preserve">Bare-crowned Antbird </t>
  </si>
  <si>
    <t>Bare-crowned_Antbird_7095.jpg</t>
  </si>
  <si>
    <t>Bare-eyed_Pigeon_4448MF.jpg</t>
  </si>
  <si>
    <t xml:space="preserve">Bare-eyed Pigeon </t>
  </si>
  <si>
    <t>Bare-eyed_Pigeon_5353.jpg</t>
  </si>
  <si>
    <t>Bare-faced_Ibis_1073.jpg</t>
  </si>
  <si>
    <t xml:space="preserve">Bare-faced Ibis </t>
  </si>
  <si>
    <t>Bare-faced_Ibis_2114MF.jpg</t>
  </si>
  <si>
    <t>Bare-faced_Ibis_2277MF.jpg</t>
  </si>
  <si>
    <t>Bare-throated_Tiger-Heron_6301.jpg</t>
  </si>
  <si>
    <t xml:space="preserve">Bare-throated Tiger-Heron </t>
  </si>
  <si>
    <t>Bare-throated_Tiger-Heron_7508.jpg</t>
  </si>
  <si>
    <t>Barn_Swallow_1408.jpg</t>
  </si>
  <si>
    <t xml:space="preserve">Barn Swallow </t>
  </si>
  <si>
    <t>Barn_Swallow_1419.jpg</t>
  </si>
  <si>
    <t>Barn_Swallow_8915.jpg</t>
  </si>
  <si>
    <t>Barred_Antshrike_6389.jpg</t>
  </si>
  <si>
    <t xml:space="preserve">Barred Antshrike </t>
  </si>
  <si>
    <t>Barred_Antshrike_6398.jpg</t>
  </si>
  <si>
    <t>Barred_Antshrike_7146.jpg</t>
  </si>
  <si>
    <t>Barred_Antshrike.jpg</t>
  </si>
  <si>
    <t>Barred_Owl_159.jpg</t>
  </si>
  <si>
    <t xml:space="preserve">Barred Owl </t>
  </si>
  <si>
    <t>Barred_Owl_5924.jpg</t>
  </si>
  <si>
    <t>Barred_Owl_7313MF.jpg</t>
  </si>
  <si>
    <t>Barred_Owl_7944.jpg</t>
  </si>
  <si>
    <t>Barred_Owl_7953.jpg</t>
  </si>
  <si>
    <t>Barred_Puffbird_1874.jpg</t>
  </si>
  <si>
    <t xml:space="preserve">Barred Puffbird </t>
  </si>
  <si>
    <t>Barred_Puffbird_3328.jpg</t>
  </si>
  <si>
    <t>Barred_Puffbird_5786.jpg</t>
  </si>
  <si>
    <t>Barred_Puffbird.jpg</t>
  </si>
  <si>
    <t>Barrows_Goldeneye-404534591.jpg</t>
  </si>
  <si>
    <t>Barrow's Goldeneye</t>
  </si>
  <si>
    <t>Bassian_Thrush.jpg</t>
  </si>
  <si>
    <t xml:space="preserve">Bassian Thrush </t>
  </si>
  <si>
    <t>Bat_Falcon_3538.jpg</t>
  </si>
  <si>
    <t xml:space="preserve">Bat Falcon </t>
  </si>
  <si>
    <t>Bat_falcon.jpg</t>
  </si>
  <si>
    <t>Bateleur_278.jpg</t>
  </si>
  <si>
    <t xml:space="preserve">Bateleur  </t>
  </si>
  <si>
    <t>Bateleur.jpg</t>
  </si>
  <si>
    <t>Bay_Wren-2.jpg</t>
  </si>
  <si>
    <t xml:space="preserve">Bay Wren </t>
  </si>
  <si>
    <t>Bay_Wren.jpg</t>
  </si>
  <si>
    <t>Bay-breasted_Warbler_0718.jpg</t>
  </si>
  <si>
    <t xml:space="preserve">Bay-breasted Warbler </t>
  </si>
  <si>
    <t>Bay-breasted_Warbler_0742.jpg</t>
  </si>
  <si>
    <t>Bay-breasted_Warbler_1279.jpg</t>
  </si>
  <si>
    <t>Bay-breasted_Warbler_1575MF.jpg</t>
  </si>
  <si>
    <t>Bay-breasted_warbler_1629MF.jpg</t>
  </si>
  <si>
    <t>Bay-breasted_Warbler_2498.jpg</t>
  </si>
  <si>
    <t>Bay-breasted_Warbler_2883.jpg</t>
  </si>
  <si>
    <t>Bay-breasted_Warbler_3022.jpg</t>
  </si>
  <si>
    <t>Bay-breasted_Warbler_4285MF.jpg</t>
  </si>
  <si>
    <t>Bay-breasted_Warbler_4324.jpg</t>
  </si>
  <si>
    <t>Bay-breasted_Warbler_4707MF.jpg</t>
  </si>
  <si>
    <t>Bay-breasted_Warbler_4726MF.jpg</t>
  </si>
  <si>
    <t>Bay-breasted_Warbler_4911.jpg</t>
  </si>
  <si>
    <t>Bay-headed_Tanager_4676.jpg</t>
  </si>
  <si>
    <t xml:space="preserve">Bay-headed Tanager </t>
  </si>
  <si>
    <t>Bay-headed_Tanager_4736.jpg</t>
  </si>
  <si>
    <t>Bell_Miner_2143.jpg</t>
  </si>
  <si>
    <t xml:space="preserve">Bell Miner </t>
  </si>
  <si>
    <t>Belted_Kingfisher_0616.jpg</t>
  </si>
  <si>
    <t xml:space="preserve">Belted Kingfisher </t>
  </si>
  <si>
    <t>Belted_Kingfisher_1425.jpg</t>
  </si>
  <si>
    <t>Belted_Kingfisher_6345.jpg</t>
  </si>
  <si>
    <t>Belted_Kingfisher_7254.jpg</t>
  </si>
  <si>
    <t>Belted_Kingfisher_9466.jpg</t>
  </si>
  <si>
    <t>Beryl-spangled_Tanager_3780.jpg</t>
  </si>
  <si>
    <t xml:space="preserve">Beryl-spangled Tanager </t>
  </si>
  <si>
    <t>Beryl-spangled_Tanager_5326.jpg</t>
  </si>
  <si>
    <t>Bewicks_Wren-128409561.jpg</t>
  </si>
  <si>
    <t>Bewick's Wren</t>
  </si>
  <si>
    <t>Bicolored_Antbird_4097.jpg</t>
  </si>
  <si>
    <t xml:space="preserve">Bicolored Antbird </t>
  </si>
  <si>
    <t>Bicolored_antbird_6272.jpg</t>
  </si>
  <si>
    <t>Bicolored_Antbird_8562.jpg</t>
  </si>
  <si>
    <t>Bicolored_Antbird_juvenile_4144.jpg</t>
  </si>
  <si>
    <t>Bicolored_Antpitta_3769.jpg</t>
  </si>
  <si>
    <t xml:space="preserve">Bicolored Antpitta </t>
  </si>
  <si>
    <t>Bicolored_Antpitta_4897.jpg</t>
  </si>
  <si>
    <t>Bicolored_Antpitta_4899.jpg</t>
  </si>
  <si>
    <t>Bicolored_Conebill_23112.jpg</t>
  </si>
  <si>
    <t xml:space="preserve">Bicolored Conebill </t>
  </si>
  <si>
    <t>Bicolored_Wren_6107.jpg</t>
  </si>
  <si>
    <t xml:space="preserve">Bicolored Wren </t>
  </si>
  <si>
    <t>Black and White warbler-003.jpg</t>
  </si>
  <si>
    <t>Black-and-white Warbler</t>
  </si>
  <si>
    <t>Black and White Warbler-403.jpg</t>
  </si>
  <si>
    <t>Black Catbird-79496601.jpg</t>
  </si>
  <si>
    <t>Black Catbird</t>
  </si>
  <si>
    <t>Black Guillemot.jpg</t>
  </si>
  <si>
    <t>Black Guillemot</t>
  </si>
  <si>
    <t>Black Tern 1240.jpg</t>
  </si>
  <si>
    <t>Black Tern</t>
  </si>
  <si>
    <t>Black Tern 2111.jpg</t>
  </si>
  <si>
    <t>Black Tern 5339.jpg</t>
  </si>
  <si>
    <t>Black_chinned_Honeyeater-646596172.jpg</t>
  </si>
  <si>
    <t>Black-chinned Honeyeater</t>
  </si>
  <si>
    <t>Black_Crake_8948.jpg</t>
  </si>
  <si>
    <t xml:space="preserve">Black Crake </t>
  </si>
  <si>
    <t>Black_Crake_immature_2099.jpg</t>
  </si>
  <si>
    <t>Black_crowned_Tchagra-531939091.jpg</t>
  </si>
  <si>
    <t>Black-crowned Tchagra</t>
  </si>
  <si>
    <t>Black_Currawong-646976210.jpg</t>
  </si>
  <si>
    <t>Black Currawong</t>
  </si>
  <si>
    <t>Black_faced_Cormorant-646922978.jpg</t>
  </si>
  <si>
    <t>Black-faced Cormorant</t>
  </si>
  <si>
    <t>Black_Francolin_0753.jpg</t>
  </si>
  <si>
    <t xml:space="preserve">Black Francolin </t>
  </si>
  <si>
    <t>Black_Guillemot.jpg</t>
  </si>
  <si>
    <t xml:space="preserve">Black Guillemot </t>
  </si>
  <si>
    <t>Black_Heron_-_Aigrette_ardoisee_9897.jpg</t>
  </si>
  <si>
    <t xml:space="preserve">Black Heron </t>
  </si>
  <si>
    <t>Black_Heron_-_Aigrette_ardoisee_9920.jpg</t>
  </si>
  <si>
    <t>Black_Heron_-_Aigrette_ardoisee_9944.jpg</t>
  </si>
  <si>
    <t>Black_Heron_-_Aigrette_ardoisee_9956.jpg</t>
  </si>
  <si>
    <t>Black_Kite_-_Milan_noir_8495.jpg</t>
  </si>
  <si>
    <t xml:space="preserve">Black Kite </t>
  </si>
  <si>
    <t>Black_Kite_-_Milan_noir_9152MF.jpg</t>
  </si>
  <si>
    <t>Black_Kite_-_Milan_noir_9158MF.jpg</t>
  </si>
  <si>
    <t>Black_Kite_1805.jpg</t>
  </si>
  <si>
    <t>Black_Kite_3594.jpg</t>
  </si>
  <si>
    <t>Black_Kite_9114.jpg</t>
  </si>
  <si>
    <t>Black_Oropendola_1577.jpg</t>
  </si>
  <si>
    <t xml:space="preserve">Black Oropendola </t>
  </si>
  <si>
    <t>Black_Phoebe-124360531.jpg</t>
  </si>
  <si>
    <t>Black Phoebe</t>
  </si>
  <si>
    <t>Black_Scoter_4029.jpg</t>
  </si>
  <si>
    <t xml:space="preserve">Black Scoter </t>
  </si>
  <si>
    <t>Black_Skimmer_0103.jpg</t>
  </si>
  <si>
    <t xml:space="preserve">Black Skimmer </t>
  </si>
  <si>
    <t>Black_Skimmer_4818.jpg</t>
  </si>
  <si>
    <t>Black_Skimmer_6861.jpg</t>
  </si>
  <si>
    <t>Black_Swan_1578.jpg</t>
  </si>
  <si>
    <t xml:space="preserve">Black Swan </t>
  </si>
  <si>
    <t>Black_Swan_3502MF.jpg</t>
  </si>
  <si>
    <t>Black_Swan_3640MF.jpg</t>
  </si>
  <si>
    <t>Black_Tern_1240.jpg</t>
  </si>
  <si>
    <t xml:space="preserve">Black Tern </t>
  </si>
  <si>
    <t>Black_Tern_1406.jpg</t>
  </si>
  <si>
    <t>Black_Tern_1483.jpg</t>
  </si>
  <si>
    <t>Black_Turnstone_9643.jpg</t>
  </si>
  <si>
    <t xml:space="preserve">Black Turnstone </t>
  </si>
  <si>
    <t>Black_Vulture_213.jpg</t>
  </si>
  <si>
    <t xml:space="preserve">Black Vulture </t>
  </si>
  <si>
    <t>Black_Vulture_21834.jpg</t>
  </si>
  <si>
    <t>Black_Vulture_2205.jpg</t>
  </si>
  <si>
    <t>Black_Vulture_3766.jpg</t>
  </si>
  <si>
    <t>Black_Vulture_7095.jpg</t>
  </si>
  <si>
    <t>Black_Vulture.jpg</t>
  </si>
  <si>
    <t>Black-and-white_Owl_6428.jpg</t>
  </si>
  <si>
    <t xml:space="preserve">Black-and-white Owl </t>
  </si>
  <si>
    <t>Black-and-white_Warbler_0355.jpg</t>
  </si>
  <si>
    <t xml:space="preserve">Black-and-white Warbler </t>
  </si>
  <si>
    <t>Black-and-white_Warbler_1900.jpg</t>
  </si>
  <si>
    <t>Black-and-white_Warbler_2014-003.jpg</t>
  </si>
  <si>
    <t>Black-and-white_Warbler_20479.jpg</t>
  </si>
  <si>
    <t>Black-and-white_Warbler_2145.jpg</t>
  </si>
  <si>
    <t>Black-and-white_Warbler_2336.jpg</t>
  </si>
  <si>
    <t>Black-and-white_Warbler_2359.jpg</t>
  </si>
  <si>
    <t>Black-and-white_Warbler_4757.jpg</t>
  </si>
  <si>
    <t>Black-and-white_Warbler_4759.jpg</t>
  </si>
  <si>
    <t>Black-and-white_Warbler_7787.jpg</t>
  </si>
  <si>
    <t>Black-and-white_Warbler_8037.jpg</t>
  </si>
  <si>
    <t>Black-and-yellow_Silky-flycatcher_3856.jpg</t>
  </si>
  <si>
    <t xml:space="preserve">Black-and-yellow Silky-flycatcher </t>
  </si>
  <si>
    <t>Black-backed_Antshrike_5924.jpg</t>
  </si>
  <si>
    <t xml:space="preserve">Black-backed Antshrike </t>
  </si>
  <si>
    <t>Black-backed_Antshrike_5928.jpg</t>
  </si>
  <si>
    <t>Black-backed_Grosbeak_4371.jpg</t>
  </si>
  <si>
    <t xml:space="preserve">Black-backed Grosbeak </t>
  </si>
  <si>
    <t>Black-backed_Puffback_female_2342.jpg</t>
  </si>
  <si>
    <t xml:space="preserve">Black-backed Puffback </t>
  </si>
  <si>
    <t>Black-backed_Woodpecker_7099.jpg</t>
  </si>
  <si>
    <t xml:space="preserve">Black-backed Woodpecker </t>
  </si>
  <si>
    <t>Black-bellied Wren-5146.jpg</t>
  </si>
  <si>
    <t>Black-bellied Wren</t>
  </si>
  <si>
    <t>Black-bellied_Hummingbird_6284.jpg</t>
  </si>
  <si>
    <t xml:space="preserve">Black-bellied Hummingbird </t>
  </si>
  <si>
    <t>Black-bellied_Plover_1380.jpg</t>
  </si>
  <si>
    <t xml:space="preserve">Black-bellied Plover </t>
  </si>
  <si>
    <t>Black-bellied_Plover_1817.jpg</t>
  </si>
  <si>
    <t>Black-bellied_Plover_20077.jpg</t>
  </si>
  <si>
    <t>Black-bellied_Plover_2240MF.jpg</t>
  </si>
  <si>
    <t>Black-bellied_Plover_6049.jpg</t>
  </si>
  <si>
    <t>Black-bellied_Plover_6218.jpg</t>
  </si>
  <si>
    <t>Black-bellied_Plover_6285.jpg</t>
  </si>
  <si>
    <t>Black-bellied_Plover_6932.jpg</t>
  </si>
  <si>
    <t>Black-bellied_Plover_6953.jpg</t>
  </si>
  <si>
    <t>Black-bellied_Whistling-Duck_1058.jpg</t>
  </si>
  <si>
    <t xml:space="preserve">Black-bellied Whistling-Duck </t>
  </si>
  <si>
    <t>Black-bellied_Whistling-Duck_22291.jpg</t>
  </si>
  <si>
    <t>Black-bellied_Whistling-Duck_4437.jpg</t>
  </si>
  <si>
    <t>Black-bellied_Whistling-Duck_8237.jpg</t>
  </si>
  <si>
    <t>Black-bellied_Whistling-Duck_9985.jpg</t>
  </si>
  <si>
    <t>Black-bellied_Whistling-Duck.jpg</t>
  </si>
  <si>
    <t>Black-billed Magpie-105.jpg</t>
  </si>
  <si>
    <t>Black-billed Magpie</t>
  </si>
  <si>
    <t>Black-billed Magpie.jpg</t>
  </si>
  <si>
    <t>Black-billed_Mountain-toucan_5100.jpg</t>
  </si>
  <si>
    <t xml:space="preserve">Black-billed Mountain-Toucan </t>
  </si>
  <si>
    <t>Black-billed_Mountain-toucan.jpg</t>
  </si>
  <si>
    <t>Black-billed_Nightingale-Thrush_1757.jpg</t>
  </si>
  <si>
    <t xml:space="preserve">Black-billed Nightingale-Thrush </t>
  </si>
  <si>
    <t>Black-billed_Shrike-Tyrant_6821.jpg</t>
  </si>
  <si>
    <t xml:space="preserve">Black-billed Shrike-Tyrant </t>
  </si>
  <si>
    <t>Black-billed_Thrush_7171.jpg</t>
  </si>
  <si>
    <t xml:space="preserve">Black-billed Thrush </t>
  </si>
  <si>
    <t>Black-billed_Thrush_7876.jpg</t>
  </si>
  <si>
    <t>Black-breasted Kite 9429MF.jpg</t>
  </si>
  <si>
    <t>Black-breasted Kite</t>
  </si>
  <si>
    <t>Black-breasted_Puffbird_3915.jpg</t>
  </si>
  <si>
    <t xml:space="preserve">Black-breasted Puffbird </t>
  </si>
  <si>
    <t>Black-breasted_Puffbird_6288.jpg</t>
  </si>
  <si>
    <t>Black-capped_chickadee_1730.jpg</t>
  </si>
  <si>
    <t xml:space="preserve">Black-capped Chickadee </t>
  </si>
  <si>
    <t>Black-capped_chickadee_9233.jpg</t>
  </si>
  <si>
    <t>Black-capped_Chickadee_9240.jpg</t>
  </si>
  <si>
    <t>Black-capped_Chickadee_9435.jpg</t>
  </si>
  <si>
    <t>Black-capped_Donacobius.jpg</t>
  </si>
  <si>
    <t xml:space="preserve">Black-capped Donacobius </t>
  </si>
  <si>
    <t>Black-capped_Tanager_3429.jpg</t>
  </si>
  <si>
    <t xml:space="preserve">Black-capped Tanager </t>
  </si>
  <si>
    <t>Black-capped_Tanager_3585.jpg</t>
  </si>
  <si>
    <t>Black-capped_Tanager_5403.jpg</t>
  </si>
  <si>
    <t>Black-capped_Tyrannulet_5285.jpg</t>
  </si>
  <si>
    <t xml:space="preserve">Black-capped Tyrannulet </t>
  </si>
  <si>
    <t>Black-cheeked_Mountain_Tanager_23770.jpg</t>
  </si>
  <si>
    <t>Black-cheeked Mountain Tanager</t>
  </si>
  <si>
    <t>Black-cheeked_Mountain_Tanager_23801.jpg</t>
  </si>
  <si>
    <t>Black-cheeked_Mountain_Tanager_23960.jpg</t>
  </si>
  <si>
    <t>Black-cheeked_Mountain_Tanager_3195MF.jpg</t>
  </si>
  <si>
    <t>Black-cheeked_Warbler_1656MF.jpg</t>
  </si>
  <si>
    <t xml:space="preserve">Black-cheeked Warbler </t>
  </si>
  <si>
    <t>Black-cheeked_Warbler_6018.jpg</t>
  </si>
  <si>
    <t>Black-cheeked_Warbler_6068.jpg</t>
  </si>
  <si>
    <t>Black-cheeked_Woodpecker_1048.jpg</t>
  </si>
  <si>
    <t xml:space="preserve">Black-cheeked Woodpecker </t>
  </si>
  <si>
    <t>Black-cheeked_Woodpecker_2579.jpg</t>
  </si>
  <si>
    <t>Black-cheeked_Woodpecker_3519.jpg</t>
  </si>
  <si>
    <t>Black-cheeked_Woodpecker_MF4122.jpg</t>
  </si>
  <si>
    <t>Black-chested_Buzzard-Eagle_3419.jpg</t>
  </si>
  <si>
    <t xml:space="preserve">Black-chested Buzzard-Eagle </t>
  </si>
  <si>
    <t>Black-chested_Buzzard-Eagle.jpg</t>
  </si>
  <si>
    <t>Black-chested_Jay_21139.jpg</t>
  </si>
  <si>
    <t xml:space="preserve">Black-chested Jay </t>
  </si>
  <si>
    <t>Black-chested_Jay_2901.jpg</t>
  </si>
  <si>
    <t>Black-chested_Jay.jpg</t>
  </si>
  <si>
    <t>Black-collared Barbet-5289.jpg</t>
  </si>
  <si>
    <t>Black-collared Barbet</t>
  </si>
  <si>
    <t>Black-collared_Barbet_6212.jpg</t>
  </si>
  <si>
    <t xml:space="preserve">Black-collared Barbet </t>
  </si>
  <si>
    <t>Black-collared_Hawk_332.jpg</t>
  </si>
  <si>
    <t xml:space="preserve">Black-collared Hawk </t>
  </si>
  <si>
    <t>Black-collared_Hawk_7329.jpg</t>
  </si>
  <si>
    <t>Black-cowled_Oriole_5972.jpg</t>
  </si>
  <si>
    <t xml:space="preserve">Black-cowled Oriole </t>
  </si>
  <si>
    <t>Black-crested_Antshrike_1899MF.jpg</t>
  </si>
  <si>
    <t xml:space="preserve">Black-crested Antshrike </t>
  </si>
  <si>
    <t>Black-crested_Antshrike_21464.jpg</t>
  </si>
  <si>
    <t>Black-crested_Antshrike_4757.jpg</t>
  </si>
  <si>
    <t>Black-crested_Coquette_6719.jpg</t>
  </si>
  <si>
    <t xml:space="preserve">Black-crested Coquette </t>
  </si>
  <si>
    <t>Black-crested_Coquette_6751.jpg</t>
  </si>
  <si>
    <t>Black-crested_Coquette_female_6686.jpg</t>
  </si>
  <si>
    <t>Black-crested_Coquette_MF4729.jpg</t>
  </si>
  <si>
    <t>Black-crested_Warbler.jpg</t>
  </si>
  <si>
    <t xml:space="preserve">Black-crested Warbler </t>
  </si>
  <si>
    <t>Black-crowned Antpitta-1148.jpg</t>
  </si>
  <si>
    <t>Black-crowned Antpitta</t>
  </si>
  <si>
    <t>Black-crowned_Antshrike_0062.jpg</t>
  </si>
  <si>
    <t xml:space="preserve">Black-crowned Antshrike </t>
  </si>
  <si>
    <t>Black-crowned_Antshrike_5615.jpg</t>
  </si>
  <si>
    <t>Black-crowned_Night_Heron_0117.jpg</t>
  </si>
  <si>
    <t>Black-crowned Night Heron</t>
  </si>
  <si>
    <t>Black-crowned_Night_Heron_1693.jpg</t>
  </si>
  <si>
    <t>Black-crowned_Night_Heron_291.jpg</t>
  </si>
  <si>
    <t>Black-crowned_Night_Heron_4932.jpg</t>
  </si>
  <si>
    <t>Black-crowned_Night_Heron_6304.jpg</t>
  </si>
  <si>
    <t>Black-crowned_Night_Heron_9336.jpg</t>
  </si>
  <si>
    <t>Black-crowned_Night_Heron.jpg</t>
  </si>
  <si>
    <t>Black-crowned_Tityra_0368.jpg</t>
  </si>
  <si>
    <t xml:space="preserve">Black-crowned Tityra </t>
  </si>
  <si>
    <t>Black-crowned_Tityra_1059.jpg</t>
  </si>
  <si>
    <t>Black-crowned_Tityra_female_4665.jpg</t>
  </si>
  <si>
    <t>Black-eared Cuckoo -9563.jpg</t>
  </si>
  <si>
    <t>Black-eared Cuckoo</t>
  </si>
  <si>
    <t>Black-faced Woodswallow-5200.jpg</t>
  </si>
  <si>
    <t>Black-faced Woodswallow</t>
  </si>
  <si>
    <t>Black-faced_Cuckooshrike_4219MF.jpg</t>
  </si>
  <si>
    <t xml:space="preserve">Black-faced Cuckooshrike </t>
  </si>
  <si>
    <t>Black-faced_Grassquit_5032.jpg</t>
  </si>
  <si>
    <t xml:space="preserve">Black-faced Grassquit </t>
  </si>
  <si>
    <t>Black-faced_Grassquit_5590.jpg</t>
  </si>
  <si>
    <t>Black-faced_Grosbeak_5362.jpg</t>
  </si>
  <si>
    <t xml:space="preserve">Black-faced Grosbeak </t>
  </si>
  <si>
    <t>Black-faced_Solitaire_2419.jpg</t>
  </si>
  <si>
    <t xml:space="preserve">Black-faced Solitaire </t>
  </si>
  <si>
    <t>Black-faced_Solitaire_8017.jpg</t>
  </si>
  <si>
    <t>Black-fronted_Bulbul_10.jpg</t>
  </si>
  <si>
    <t xml:space="preserve">Black-fronted Bulbul </t>
  </si>
  <si>
    <t>Black-fronted_Bulbul_398.jpg</t>
  </si>
  <si>
    <t>Black-fronted_Dotterel_1733.jpg</t>
  </si>
  <si>
    <t xml:space="preserve">Black-fronted Dotterel </t>
  </si>
  <si>
    <t>Black-fronted_Dotterel_3101MF.jpg</t>
  </si>
  <si>
    <t>Black-fronted_Dotterel_4865MF.jpg</t>
  </si>
  <si>
    <t>Black-fronted_Nunbird.jpg</t>
  </si>
  <si>
    <t xml:space="preserve">Black-fronted Nunbird </t>
  </si>
  <si>
    <t>Black-headed Trogon-480.jpg</t>
  </si>
  <si>
    <t>Black-headed Trogon</t>
  </si>
  <si>
    <t>Black-headed_Heron_235.jpg</t>
  </si>
  <si>
    <t xml:space="preserve">Black-headed Heron </t>
  </si>
  <si>
    <t>Black-headed_Heron_6627.jpg</t>
  </si>
  <si>
    <t>Black-headed_Honeyeater_4234MF.jpg</t>
  </si>
  <si>
    <t xml:space="preserve">Black-headed Honeyeater </t>
  </si>
  <si>
    <t>Black-headed_Nightingale-Thrush_4271.jpg</t>
  </si>
  <si>
    <t xml:space="preserve">Black-headed Nightingale-Thrush </t>
  </si>
  <si>
    <t>Black-headed_Saltator_4078.jpg</t>
  </si>
  <si>
    <t xml:space="preserve">Black-headed Saltator </t>
  </si>
  <si>
    <t>Black-headed_Saltator.jpg</t>
  </si>
  <si>
    <t>Black-headed_Tody-Flycatcher_20891.jpg</t>
  </si>
  <si>
    <t xml:space="preserve">Black-headed Tody-Flycatcher </t>
  </si>
  <si>
    <t>Black-headed_Tody-Flycatcher_5675.jpg</t>
  </si>
  <si>
    <t>Black-hooded_Thrush_23395.jpg</t>
  </si>
  <si>
    <t xml:space="preserve">Black-hooded Thrush </t>
  </si>
  <si>
    <t>Black-legged_Kittiwake_9354.jpg</t>
  </si>
  <si>
    <t xml:space="preserve">Black-legged Kittiwake </t>
  </si>
  <si>
    <t>Black-necked_Stilt_1305.jpg</t>
  </si>
  <si>
    <t xml:space="preserve">Black-necked Stilt </t>
  </si>
  <si>
    <t>Black-necked_Stilt_2382MF.jpg</t>
  </si>
  <si>
    <t>Black-necked_Stilt_3580.jpg</t>
  </si>
  <si>
    <t>Black-necked_Stilt_4198MF.jpg</t>
  </si>
  <si>
    <t>Black-necked_Stilt_5528MF.jpg</t>
  </si>
  <si>
    <t>Black-necked_Stilt_6514.jpg</t>
  </si>
  <si>
    <t>Black-necked_Stilt_7264MF.jpg</t>
  </si>
  <si>
    <t>Black-shouldered_Kite_0113.jpg</t>
  </si>
  <si>
    <t xml:space="preserve">Black-shouldered Kite </t>
  </si>
  <si>
    <t>Black-striped_Sparrow_2078.jpg</t>
  </si>
  <si>
    <t xml:space="preserve">Black-striped Sparrow </t>
  </si>
  <si>
    <t>Black-striped_Sparrow_2603.jpg</t>
  </si>
  <si>
    <t>Black-striped_Sparrow_MF3160.jpg</t>
  </si>
  <si>
    <t>Black-striped_Woodcreeper_4534.jpg</t>
  </si>
  <si>
    <t xml:space="preserve">Black-striped Woodcreeper </t>
  </si>
  <si>
    <t>Black-tailed Nativehen-9512.jpg</t>
  </si>
  <si>
    <t>Black-tailed Nativehen</t>
  </si>
  <si>
    <t>Black-tailed Waxbill-3680.jpg</t>
  </si>
  <si>
    <t>Black-tailed Waxbill</t>
  </si>
  <si>
    <t>Black-tailed_Trainbearer.jpg</t>
  </si>
  <si>
    <t xml:space="preserve">Black-tailed Trainbearer </t>
  </si>
  <si>
    <t>Black-tailed_Trogon_2394.jpg</t>
  </si>
  <si>
    <t xml:space="preserve">Black-tailed Trogon </t>
  </si>
  <si>
    <t>Black-tailed_Trogon_9884.jpg</t>
  </si>
  <si>
    <t>Black-thighed Puffleg-2736.jpg</t>
  </si>
  <si>
    <t>Black-thighed Puffleg</t>
  </si>
  <si>
    <t>Black-thighed_Grosbeak_1983.jpg</t>
  </si>
  <si>
    <t xml:space="preserve">Black-thighed Grosbeak </t>
  </si>
  <si>
    <t>Black-thighed_Grosbeak_6049.jpg</t>
  </si>
  <si>
    <t>Black-throated Green Warbler-002.jpg</t>
  </si>
  <si>
    <t>Black-throated Green Warbler</t>
  </si>
  <si>
    <t>Black-throated Green Warbler-006.jpg</t>
  </si>
  <si>
    <t>Black-throated_Blue_Warbler_0127MF.jpg</t>
  </si>
  <si>
    <t>Black-throated Blue Warbler</t>
  </si>
  <si>
    <t>Black-throated_Blue_Warbler_0212.jpg</t>
  </si>
  <si>
    <t>Black-throated_Blue_Warbler_0866.jpg</t>
  </si>
  <si>
    <t>Black-throated_Blue_Warbler_1273MF.jpg</t>
  </si>
  <si>
    <t>Black-throated_Blue_Warbler_2063.jpg</t>
  </si>
  <si>
    <t>Black-throated_Blue_Warbler_4417MF.jpg</t>
  </si>
  <si>
    <t>Black-throated_Blue_Warbler_4528.jpg</t>
  </si>
  <si>
    <t>Black-throated_Blue_Warbler_4887.jpg</t>
  </si>
  <si>
    <t>Black-throated_Blue_Warbler_6270MF.jpg</t>
  </si>
  <si>
    <t>Black-throated_Blue_Warbler_CAO_2014-002.jpg</t>
  </si>
  <si>
    <t>Black-throated_Gray_Warbler_2441.jpg</t>
  </si>
  <si>
    <t>Black-throated Gray Warbler</t>
  </si>
  <si>
    <t>Black-throated_Gray_Warbler_2540.jpg</t>
  </si>
  <si>
    <t>Black-throated_Green_Warbler_0644MF.jpg</t>
  </si>
  <si>
    <t>Black-throated_Green_Warbler_1388MF.jpg</t>
  </si>
  <si>
    <t>Black-throated_Green_Warbler_2855.jpg</t>
  </si>
  <si>
    <t>Black-throated_Green_Warbler_3795.jpg</t>
  </si>
  <si>
    <t>Black-throated_Green_Warbler_4882.jpg</t>
  </si>
  <si>
    <t>Black-throated_Green_Warbler_6047MF.jpg</t>
  </si>
  <si>
    <t>Black-throated_Green_Warbler_7520.jpg</t>
  </si>
  <si>
    <t>Black-throated_Green_Warbler_8789.jpg</t>
  </si>
  <si>
    <t>Black-throated_Mango_0217.jpg</t>
  </si>
  <si>
    <t xml:space="preserve">Black-throated Mango </t>
  </si>
  <si>
    <t>Black-throated_Mango_0322.jpg</t>
  </si>
  <si>
    <t>Black-throated_Mango_6222.jpg</t>
  </si>
  <si>
    <t>Black-throated_Mango_7428.jpg</t>
  </si>
  <si>
    <t>Black-throated_Wren_6391.jpg</t>
  </si>
  <si>
    <t xml:space="preserve">Black-throated Wren </t>
  </si>
  <si>
    <t>Black-vented Shearwater-730.jpg</t>
  </si>
  <si>
    <t>Black-vented Shearwater</t>
  </si>
  <si>
    <t>Black-winged_Kite_8890.jpg</t>
  </si>
  <si>
    <t xml:space="preserve">Black-winged Kite </t>
  </si>
  <si>
    <t>Black-winged_Saltator_5685.jpg</t>
  </si>
  <si>
    <t xml:space="preserve">Black-winged Saltator </t>
  </si>
  <si>
    <t>Black-winged_Stilt_-_Echasse_blanche_8415.jpg</t>
  </si>
  <si>
    <t xml:space="preserve">Black-winged Stilt </t>
  </si>
  <si>
    <t>Black-winged_Stilt_-_Echasse_blanche_8459.jpg</t>
  </si>
  <si>
    <t>Black-winged_Stilt_-_Echasse_blanche_8687.jpg</t>
  </si>
  <si>
    <t>Black-winged_Stilt_254.jpg</t>
  </si>
  <si>
    <t>Black-winged_Stilt_7994.jpg</t>
  </si>
  <si>
    <t>Blackandyellow_Tanager-461965411.jpg</t>
  </si>
  <si>
    <t>Black-and-yellow Tanager</t>
  </si>
  <si>
    <t>Blackburnian Warbler-006.jpg</t>
  </si>
  <si>
    <t>Blackburnian Warbler</t>
  </si>
  <si>
    <t>Blackburnian Warbler-010.jpg</t>
  </si>
  <si>
    <t>Blackburnian warbler-6079.jpg</t>
  </si>
  <si>
    <t>Blackburnian_Warbler_021.jpg</t>
  </si>
  <si>
    <t xml:space="preserve">Blackburnian Warbler </t>
  </si>
  <si>
    <t>Blackburnian_Warbler_0644.jpg</t>
  </si>
  <si>
    <t>Blackburnian_Warbler_1693.jpg</t>
  </si>
  <si>
    <t>Blackburnian_Warbler_2874.jpg</t>
  </si>
  <si>
    <t>Blackburnian_Warbler_3865.jpg</t>
  </si>
  <si>
    <t>Blackburnian_Warbler_5939MF.jpg</t>
  </si>
  <si>
    <t>Blackburnian_Warbler_6527.jpg</t>
  </si>
  <si>
    <t>Blackburnian_Warbler_8844.jpg</t>
  </si>
  <si>
    <t>Blackpoll_Warbler_0559.jpg</t>
  </si>
  <si>
    <t xml:space="preserve">Blackpoll Warbler </t>
  </si>
  <si>
    <t>Blackpoll_Warbler_0747.jpg</t>
  </si>
  <si>
    <t>Blackpoll_Warbler_0855.jpg</t>
  </si>
  <si>
    <t>Blackpoll_Warbler_2569.jpg</t>
  </si>
  <si>
    <t>Blackpoll_Warbler_9187.jpg</t>
  </si>
  <si>
    <t>Blacksmith_Lapwing_114.jpg</t>
  </si>
  <si>
    <t xml:space="preserve">Blacksmith Lapwing </t>
  </si>
  <si>
    <t>Blacksmith_Lapwing_2158.jpg</t>
  </si>
  <si>
    <t>Blacksmith_Lapwing_277.jpg</t>
  </si>
  <si>
    <t>Blacksmith_Lapwing_347.jpg</t>
  </si>
  <si>
    <t>Blue Jay-070.jpg</t>
  </si>
  <si>
    <t>Blue Jay</t>
  </si>
  <si>
    <t>Blue_Cotinga_1190.jpg</t>
  </si>
  <si>
    <t xml:space="preserve">Blue Cotinga </t>
  </si>
  <si>
    <t>Blue_Coua_-_Coua_bleu_8849MF.jpg</t>
  </si>
  <si>
    <t xml:space="preserve">Blue Coua </t>
  </si>
  <si>
    <t>Blue_Crane_140.jpg</t>
  </si>
  <si>
    <t xml:space="preserve">Blue Crane </t>
  </si>
  <si>
    <t>Blue_Dacnis_5954.jpg</t>
  </si>
  <si>
    <t xml:space="preserve">Blue Dacnis </t>
  </si>
  <si>
    <t>Blue_Dacnis_female_8836.jpg</t>
  </si>
  <si>
    <t>Blue_Grosbeak_MF6103.jpg</t>
  </si>
  <si>
    <t xml:space="preserve">Blue Grosbeak </t>
  </si>
  <si>
    <t>Blue_Jay_0520.jpg</t>
  </si>
  <si>
    <t xml:space="preserve">Blue Jay </t>
  </si>
  <si>
    <t>Blue_Jay_4577.jpg</t>
  </si>
  <si>
    <t>Blue-and-black_Tanager_3131.jpg</t>
  </si>
  <si>
    <t xml:space="preserve">Blue-and-black Tanager </t>
  </si>
  <si>
    <t>Blue-and-Yellow_Macaw_4812.jpg</t>
  </si>
  <si>
    <t xml:space="preserve">Blue-and-yellow Macaw </t>
  </si>
  <si>
    <t>Blue-billed_Teal_9414.jpg</t>
  </si>
  <si>
    <t xml:space="preserve">Blue-billed Teal </t>
  </si>
  <si>
    <t>Blue-black_Grassquit_1563MF.jpg</t>
  </si>
  <si>
    <t xml:space="preserve">Blue-black Grassquit </t>
  </si>
  <si>
    <t>Blue-black_Grassquit_MF3705.jpg</t>
  </si>
  <si>
    <t>Blue-black_Grassquit.jpg</t>
  </si>
  <si>
    <t>Blue-capped Tanager-4720.jpg</t>
  </si>
  <si>
    <t>Blue-capped Tanager</t>
  </si>
  <si>
    <t>Blue-chested_Hummingbird_4704.jpg</t>
  </si>
  <si>
    <t xml:space="preserve">Blue-chested Hummingbird </t>
  </si>
  <si>
    <t>Blue-chested_Hummingbird_6340.jpg</t>
  </si>
  <si>
    <t>Blue-crowned_Parakeet_0619.jpg</t>
  </si>
  <si>
    <t xml:space="preserve">Blue-crowned Parakeet </t>
  </si>
  <si>
    <t>Blue-crowned_Parakeet_0638.jpg</t>
  </si>
  <si>
    <t>Blue-crowned_Parakeet_0652.jpg</t>
  </si>
  <si>
    <t>Blue-footed_Booby_230.jpg</t>
  </si>
  <si>
    <t xml:space="preserve">Blue-footed Booby </t>
  </si>
  <si>
    <t>Blue-footed_Booby_56.jpg</t>
  </si>
  <si>
    <t>Blue-fronted_parrotlet_6194.jpg</t>
  </si>
  <si>
    <t xml:space="preserve">Blue-fronted Parrotlet </t>
  </si>
  <si>
    <t>Blue-fronted_parrotlet_6203.jpg</t>
  </si>
  <si>
    <t>Blue-gray_Gnatcatcher_0494.jpg</t>
  </si>
  <si>
    <t xml:space="preserve">Blue-gray Gnatcatcher </t>
  </si>
  <si>
    <t>Blue-gray_Gnatcatcher_5534.jpg</t>
  </si>
  <si>
    <t>Blue-gray_Gnatcatcher_7039.jpg</t>
  </si>
  <si>
    <t>Blue-gray_Gnatcatcher_7391.jpg</t>
  </si>
  <si>
    <t>Blue-gray_Gnatcatcher._7332.jpg</t>
  </si>
  <si>
    <t>Blue-Gray_Tanager_1491.jpg</t>
  </si>
  <si>
    <t xml:space="preserve">Blue-gray Tanager </t>
  </si>
  <si>
    <t>Blue-Gray_Tanager_2155.jpg</t>
  </si>
  <si>
    <t>Blue-Gray_Tanager_2355.jpg</t>
  </si>
  <si>
    <t>Blue-Gray_Tanager.jpg</t>
  </si>
  <si>
    <t>Blue-headed Vireo-013.jpg</t>
  </si>
  <si>
    <t>Blue-headed Vireo</t>
  </si>
  <si>
    <t>Blue-headed Vireo-045.jpg</t>
  </si>
  <si>
    <t>Blue-headed_Parrot_3841.jpg</t>
  </si>
  <si>
    <t xml:space="preserve">Blue-headed Parrot </t>
  </si>
  <si>
    <t>Blue-headed_Vireo_0665MF.jpg</t>
  </si>
  <si>
    <t xml:space="preserve">Blue-headed Vireo </t>
  </si>
  <si>
    <t>Blue-headed_Vireo_1261.jpg</t>
  </si>
  <si>
    <t>Blue-headed_Vireo_4307MF.jpg</t>
  </si>
  <si>
    <t>Blue-naped_Chlorophonia_4519.jpg</t>
  </si>
  <si>
    <t xml:space="preserve">Blue-naped Chlorophonia </t>
  </si>
  <si>
    <t>Blue-naped_Chlorophonia_4574.jpg</t>
  </si>
  <si>
    <t>Blue-necked_Tanager_5621.jpg</t>
  </si>
  <si>
    <t xml:space="preserve">Blue-necked Tanager </t>
  </si>
  <si>
    <t>Blue-necked_Tanager_7294.jpg</t>
  </si>
  <si>
    <t>Blue-vented_Hummingbird_7600.jpg</t>
  </si>
  <si>
    <t xml:space="preserve">Blue-vented Hummingbird </t>
  </si>
  <si>
    <t>Blue-vented_Hummingbird_7705.jpg</t>
  </si>
  <si>
    <t>Blue-vented_Hummingbird_MF4814.jpg</t>
  </si>
  <si>
    <t>Blue-vented_Hummingbird_MF5401.jpg</t>
  </si>
  <si>
    <t>Blue-vented_Hummingbird_MF5435.jpg</t>
  </si>
  <si>
    <t>Blue-winged warbler-203.jpg</t>
  </si>
  <si>
    <t>Blue-winged Warbler</t>
  </si>
  <si>
    <t>Blue-winged_Mountain_Tanager_3529.jpg</t>
  </si>
  <si>
    <t>Blue-winged Mountain Tanager</t>
  </si>
  <si>
    <t>Blue-winged_Parrot_3368MF.jpg</t>
  </si>
  <si>
    <t xml:space="preserve">Blue-winged Parrot </t>
  </si>
  <si>
    <t>Blue-winged_Teal_21134.jpg</t>
  </si>
  <si>
    <t xml:space="preserve">Blue-winged Teal </t>
  </si>
  <si>
    <t>Blue-winged_Teal_3142.jpg</t>
  </si>
  <si>
    <t>Blue-winged_Teal_4070.jpg</t>
  </si>
  <si>
    <t>Blue-winged_Teal_6559.jpg</t>
  </si>
  <si>
    <t>Blue-winged_Teal_7012MF.jpg</t>
  </si>
  <si>
    <t>Blue-winged_Teal_9617.jpg</t>
  </si>
  <si>
    <t>Blue-winged_Warbler_4579.jpg</t>
  </si>
  <si>
    <t xml:space="preserve">Blue-winged Warbler </t>
  </si>
  <si>
    <t>Blue-winged_Warbler_4634MF.jpg</t>
  </si>
  <si>
    <t>Blue-winged_Warbler_8693.jpg</t>
  </si>
  <si>
    <t>Boat-billed_Flycatcher_0551.jpg</t>
  </si>
  <si>
    <t xml:space="preserve">Boat-billed Flycatcher </t>
  </si>
  <si>
    <t>Boat-billed_Flycatcher_20685.jpg</t>
  </si>
  <si>
    <t>Boat-billed_Flycatcher_21030.jpg</t>
  </si>
  <si>
    <t>Boat-billed_Flycatcher_4784.jpg</t>
  </si>
  <si>
    <t>Boat-billed_Flycatcher_4790.jpg</t>
  </si>
  <si>
    <t>Boat-billed_Heron_296.jpg</t>
  </si>
  <si>
    <t xml:space="preserve">Boat-billed Heron </t>
  </si>
  <si>
    <t>Boat-billed_Heron_5622.jpg</t>
  </si>
  <si>
    <t>Boat-tailed_Grackle_1110.jpg</t>
  </si>
  <si>
    <t xml:space="preserve">Boat-tailed Grackle </t>
  </si>
  <si>
    <t>Boat-tailed_Grackle_4496.jpg</t>
  </si>
  <si>
    <t>Bobolink_0123.jpg</t>
  </si>
  <si>
    <t xml:space="preserve">Bobolink  </t>
  </si>
  <si>
    <t>Bobolink_1515.jpg</t>
  </si>
  <si>
    <t>Bobolink_2014-004.jpg</t>
  </si>
  <si>
    <t>Bohemian Waxwing-9453.jpg</t>
  </si>
  <si>
    <t>Bohemian Waxwing</t>
  </si>
  <si>
    <t>Bonapartes_Gull_6967MF.jpg</t>
  </si>
  <si>
    <t>Bonaparte's Gull</t>
  </si>
  <si>
    <t>Bonapartes_Gull_6968MF.jpg</t>
  </si>
  <si>
    <t>Bonapartes_Gull_6984MF.jpg</t>
  </si>
  <si>
    <t>Bonapartes_Gull_7425.jpg</t>
  </si>
  <si>
    <t>Bonapartes_Gull_8960.jpg</t>
  </si>
  <si>
    <t>Bonapartes_Gull_9665.jpg</t>
  </si>
  <si>
    <t>Bradfields_Hornbill_9158.jpg</t>
  </si>
  <si>
    <t>Bradfield's Hornbill</t>
  </si>
  <si>
    <t>Brandt's Cormorant-639.jpg</t>
  </si>
  <si>
    <t>Brandt's Cormorant</t>
  </si>
  <si>
    <t>Brant_2014-033.jpg</t>
  </si>
  <si>
    <t xml:space="preserve">Brant  </t>
  </si>
  <si>
    <t>Bright-rumped_Attila_3286.jpg</t>
  </si>
  <si>
    <t xml:space="preserve">Bright-rumped Attila </t>
  </si>
  <si>
    <t>Bright-rumped_Attila.jpg</t>
  </si>
  <si>
    <t>Broad-billed_Motmot_2.jpg</t>
  </si>
  <si>
    <t xml:space="preserve">Broad-billed Motmot </t>
  </si>
  <si>
    <t>Broad-billed_motmot-2.jpg</t>
  </si>
  <si>
    <t>Broad-billed_motmot.jpg</t>
  </si>
  <si>
    <t>Broad-billed_Roller_9442.jpg</t>
  </si>
  <si>
    <t xml:space="preserve">Broad-billed Roller </t>
  </si>
  <si>
    <t>Broad-winged_Hawk_1216.jpg</t>
  </si>
  <si>
    <t xml:space="preserve">Broad-winged Hawk </t>
  </si>
  <si>
    <t>Broad-winged_Hawk_2774MF.jpg</t>
  </si>
  <si>
    <t>Broad-winged_Hawk_7004.jpg</t>
  </si>
  <si>
    <t>Brolga-9500.jpg</t>
  </si>
  <si>
    <t>Brolga</t>
  </si>
  <si>
    <t>Bronze-tailed_Plumeleteer_2635.jpg</t>
  </si>
  <si>
    <t xml:space="preserve">Bronze-tailed Plumeleteer </t>
  </si>
  <si>
    <t>Bronze-tailed_Plumeleteer_5051.jpg</t>
  </si>
  <si>
    <t>Bronze-tailed_Thornbill_4766.jpg</t>
  </si>
  <si>
    <t xml:space="preserve">Bronze-tailed Thornbill </t>
  </si>
  <si>
    <t>Bronze-tailed_Thornbill_4778.jpg</t>
  </si>
  <si>
    <t>Bronze-winged_Parrot_5174.jpg</t>
  </si>
  <si>
    <t xml:space="preserve">Bronze-winged Parrot </t>
  </si>
  <si>
    <t>Bronzed_Cowbird_7276.jpg</t>
  </si>
  <si>
    <t xml:space="preserve">Bronzed Cowbird </t>
  </si>
  <si>
    <t>Brown Snake-eagle 304.jpg</t>
  </si>
  <si>
    <t>Brown Snake-Eagle</t>
  </si>
  <si>
    <t>Brown Trasher-001.jpg</t>
  </si>
  <si>
    <t>Brown Thrasher</t>
  </si>
  <si>
    <t>Brown_Booby_6812.jpg</t>
  </si>
  <si>
    <t xml:space="preserve">Brown Booby </t>
  </si>
  <si>
    <t>Brown_Creeper_1214MF.jpg</t>
  </si>
  <si>
    <t xml:space="preserve">Brown Creeper </t>
  </si>
  <si>
    <t>Brown_Creeper_8548MF.jpg</t>
  </si>
  <si>
    <t>Brown_creeper_9395.jpg</t>
  </si>
  <si>
    <t>Brown_crowned_Tchagra-531171721.jpg</t>
  </si>
  <si>
    <t>Brown-crowned Tchagra</t>
  </si>
  <si>
    <t>Brown_Cuckoo-Dove_8110.jpg</t>
  </si>
  <si>
    <t xml:space="preserve">Brown Cuckoo-Dove </t>
  </si>
  <si>
    <t>Brown_Falcon_0173.jpg</t>
  </si>
  <si>
    <t xml:space="preserve">Brown Falcon </t>
  </si>
  <si>
    <t>Brown_headed_Parrot-531520061.jpg</t>
  </si>
  <si>
    <t>Brown-headed Parrot</t>
  </si>
  <si>
    <t>Brown_headed_Parrot-550415961.jpg</t>
  </si>
  <si>
    <t>Brown_Jay_147.jpg</t>
  </si>
  <si>
    <t xml:space="preserve">Brown Jay </t>
  </si>
  <si>
    <t>Brown_Jay_4541.jpg</t>
  </si>
  <si>
    <t>Brown_Jay_5688.jpg</t>
  </si>
  <si>
    <t>Brown_Jay_7005.jpg</t>
  </si>
  <si>
    <t>Brown_Mesite_-_Mesite_unicolore_6283.jpg</t>
  </si>
  <si>
    <t xml:space="preserve">Brown Mesite </t>
  </si>
  <si>
    <t>Brown_Pelican_5089MF.jpg</t>
  </si>
  <si>
    <t xml:space="preserve">Brown Pelican </t>
  </si>
  <si>
    <t>Brown_Pelican_5258.jpg</t>
  </si>
  <si>
    <t>Brown_Pelican_6536.jpg</t>
  </si>
  <si>
    <t>Brown_Pelican_6919.jpg</t>
  </si>
  <si>
    <t>Brown_Pelican_9603.jpg</t>
  </si>
  <si>
    <t>Brown_Thornbill_0640.jpg</t>
  </si>
  <si>
    <t xml:space="preserve">Brown Thornbill </t>
  </si>
  <si>
    <t>Brown_Thornbill_2370.jpg</t>
  </si>
  <si>
    <t>Brown_Thornbill_3893MF.jpg</t>
  </si>
  <si>
    <t>Brown_Thornbill_7893.jpg</t>
  </si>
  <si>
    <t>Brown_Thrasher_0088.jpg</t>
  </si>
  <si>
    <t xml:space="preserve">Brown Thrasher </t>
  </si>
  <si>
    <t>Brown_Thrasher_0095.jpg</t>
  </si>
  <si>
    <t>Brown_Thrasher_4687MF.jpg</t>
  </si>
  <si>
    <t>Brown_Thrasher_4688MF.jpg</t>
  </si>
  <si>
    <t>Brown_Thrasher_5805MF.jpg</t>
  </si>
  <si>
    <t>Brown_Thrasher_9490.jpg</t>
  </si>
  <si>
    <t>Brown_Treecreeper_1100.jpg</t>
  </si>
  <si>
    <t xml:space="preserve">Brown Treecreeper </t>
  </si>
  <si>
    <t>Brown_Violetear_23459.jpg</t>
  </si>
  <si>
    <t xml:space="preserve">Brown Violetear </t>
  </si>
  <si>
    <t>Brown_Violetear_3783.jpg</t>
  </si>
  <si>
    <t>Brown_Violetear_4295.jpg</t>
  </si>
  <si>
    <t>Brown_Violetear_5484.jpg</t>
  </si>
  <si>
    <t>Brown_Violetear_MF3357.jpg</t>
  </si>
  <si>
    <t>Brown-backed_Chat-tyrant_2527.jpg</t>
  </si>
  <si>
    <t xml:space="preserve">Brown-backed Chat-Tyrant </t>
  </si>
  <si>
    <t>Brown-backed_Chat-tyrant_6058.jpg</t>
  </si>
  <si>
    <t>Brown-backed_Chat-Tyrant.jpg</t>
  </si>
  <si>
    <t>Brown-banded_Antpitta_3658.jpg</t>
  </si>
  <si>
    <t xml:space="preserve">Brown-banded Antpitta </t>
  </si>
  <si>
    <t>Brown-banded_Antpitta_4850.jpg</t>
  </si>
  <si>
    <t>Brown-capped_Tyrannulet_9268.jpg</t>
  </si>
  <si>
    <t xml:space="preserve">Brown-capped Tyrannulet </t>
  </si>
  <si>
    <t>Brown-capped_Vireo_319.jpg</t>
  </si>
  <si>
    <t xml:space="preserve">Brown-capped Vireo </t>
  </si>
  <si>
    <t>Brown-capped_Vireo_3567MF.jpg</t>
  </si>
  <si>
    <t>Brown-capped_Vireo_5951.jpg</t>
  </si>
  <si>
    <t>Brown-crested_Flycatcher_1552MF.jpg</t>
  </si>
  <si>
    <t xml:space="preserve">Brown-crested Flycatcher </t>
  </si>
  <si>
    <t>Brown-crested_Flycatcher_21219.jpg</t>
  </si>
  <si>
    <t>Brown-crested_Flycatcher_4399MF.jpg</t>
  </si>
  <si>
    <t>Brown-crested_Flycatcher_5270.jpg</t>
  </si>
  <si>
    <t>Brown-crested_Flycatcher_8305MF.jpg</t>
  </si>
  <si>
    <t>Brown-crested_Flycatcher_MF6358.jpg</t>
  </si>
  <si>
    <t>Brown-headed Honeyeater-77194601.jpg</t>
  </si>
  <si>
    <t>Brown-headed Honeyeater</t>
  </si>
  <si>
    <t>Brown-headed Nuthatch-5155.jpg</t>
  </si>
  <si>
    <t>Brown-headed Nuthatch</t>
  </si>
  <si>
    <t>Brown-headed_Cowbird_0708.jpg</t>
  </si>
  <si>
    <t xml:space="preserve">Brown-headed Cowbird </t>
  </si>
  <si>
    <t>Brown-headed_Cowbird_4455.jpg</t>
  </si>
  <si>
    <t>Brown-headed_Cowbird_4908.jpg</t>
  </si>
  <si>
    <t>Brown-headed_Cowbird_8652MF.jpg</t>
  </si>
  <si>
    <t>Brown-hooded_Kingfisher_7757.jpg</t>
  </si>
  <si>
    <t xml:space="preserve">Brown-hooded Kingfisher </t>
  </si>
  <si>
    <t>Brown-hooded_Parrot_5504.jpg</t>
  </si>
  <si>
    <t xml:space="preserve">Brown-hooded Parrot </t>
  </si>
  <si>
    <t>Brown-throated_Parakeet_22881.jpg</t>
  </si>
  <si>
    <t xml:space="preserve">Brown-throated Parakeet </t>
  </si>
  <si>
    <t>Brown-throated_Parakeet_3239.jpg</t>
  </si>
  <si>
    <t>Brown-throated_Parakeet_5021.jpg</t>
  </si>
  <si>
    <t>Brown-throated_Parakeet_5060.jpg</t>
  </si>
  <si>
    <t>Brown-throated_Parakeet_Lehmanni_1411MF.jpg</t>
  </si>
  <si>
    <t>Brown-throated_Parakeet.jpg</t>
  </si>
  <si>
    <t>Brownbilled_Scythebill-194170131.jpg</t>
  </si>
  <si>
    <t>Brown-billed Scythebill</t>
  </si>
  <si>
    <t>Buff-breasted_Wren_21368.jpg</t>
  </si>
  <si>
    <t xml:space="preserve">Buff-breasted Wren </t>
  </si>
  <si>
    <t>Buff-fronted_Foliage-gleaner_5996.jpg</t>
  </si>
  <si>
    <t xml:space="preserve">Buff-fronted Foliage-gleaner </t>
  </si>
  <si>
    <t>Buff-fronted_Quail-Dove_2647.jpg</t>
  </si>
  <si>
    <t xml:space="preserve">Buff-fronted Quail-Dove </t>
  </si>
  <si>
    <t>Buff-necked_Ibis_2014-017.jpg</t>
  </si>
  <si>
    <t xml:space="preserve">Buff-necked Ibis </t>
  </si>
  <si>
    <t>Buff-rumped Thornbill-1268.jpg</t>
  </si>
  <si>
    <t>Buff-rumped Thornbill</t>
  </si>
  <si>
    <t>Buff-rumped_Warbler_1137.jpg</t>
  </si>
  <si>
    <t xml:space="preserve">Buff-rumped Warbler </t>
  </si>
  <si>
    <t>Buff-rumped_warbler_6276.jpg</t>
  </si>
  <si>
    <t>Buff-tailed_Coronet_3405.jpg</t>
  </si>
  <si>
    <t xml:space="preserve">Buff-tailed Coronet </t>
  </si>
  <si>
    <t>Buff-throated_Saltator_3575MF.jpg</t>
  </si>
  <si>
    <t xml:space="preserve">Buff-throated Saltator </t>
  </si>
  <si>
    <t>Buff-throated_Saltator_4170.jpg</t>
  </si>
  <si>
    <t>Buff-throated_Saltator_5240.jpg</t>
  </si>
  <si>
    <t>Buff-throated_Saltator_6462.jpg</t>
  </si>
  <si>
    <t>Buff-throated_Saltator_7864.jpg</t>
  </si>
  <si>
    <t>Buff-throated_Saltator.jpg</t>
  </si>
  <si>
    <t>Buff-winged_Starfrontlet_2742.jpg</t>
  </si>
  <si>
    <t xml:space="preserve">Buff-winged Starfrontlet </t>
  </si>
  <si>
    <t>Buffbanded_Mountain_Tanager-194221301.jpg</t>
  </si>
  <si>
    <t>Buff-banded Mountain Tanager</t>
  </si>
  <si>
    <t>Bufflehead_2195MF.jpg</t>
  </si>
  <si>
    <t xml:space="preserve">Bufflehead  </t>
  </si>
  <si>
    <t>Buffy_Helmetcrest_2563.jpg</t>
  </si>
  <si>
    <t xml:space="preserve">Buffy Helmetcrest </t>
  </si>
  <si>
    <t>Buffy_Hummingbird_5384.jpg</t>
  </si>
  <si>
    <t xml:space="preserve">Buffy Hummingbird </t>
  </si>
  <si>
    <t>Burchell's Coucal-5092.jpg</t>
  </si>
  <si>
    <t>Burchell's Coucal</t>
  </si>
  <si>
    <t>Burchells_Sandgrouse_135.jpg</t>
  </si>
  <si>
    <t>Burchell's Sandgrouse</t>
  </si>
  <si>
    <t>Burchells_Starling_0411.jpg</t>
  </si>
  <si>
    <t>Burchell's Starling</t>
  </si>
  <si>
    <t>Burrowing_Owl_2211.jpg</t>
  </si>
  <si>
    <t xml:space="preserve">Burrowing Owl </t>
  </si>
  <si>
    <t>Burrowing_Owl_2304.jpg</t>
  </si>
  <si>
    <t>Bushtit-124365731.jpg</t>
  </si>
  <si>
    <t>Bushtit</t>
  </si>
  <si>
    <t>Cackling_Goose_2047.jpg</t>
  </si>
  <si>
    <t xml:space="preserve">Cackling Goose </t>
  </si>
  <si>
    <t>Cackling_Goose_9291.jpg</t>
  </si>
  <si>
    <t>California Condor-010.jpg</t>
  </si>
  <si>
    <t>California Condor</t>
  </si>
  <si>
    <t>California Condor-021.jpg</t>
  </si>
  <si>
    <t>California Scrub-jay 814.jpg</t>
  </si>
  <si>
    <t>California Scrub-Jay</t>
  </si>
  <si>
    <t>California Towhee-1165.jpg</t>
  </si>
  <si>
    <t>California Towhee</t>
  </si>
  <si>
    <t>California_Scrub-Jay_2135.jpg</t>
  </si>
  <si>
    <t xml:space="preserve">California Scrub-Jay </t>
  </si>
  <si>
    <t>California_Thrasher-128412451.jpg</t>
  </si>
  <si>
    <t>California Thrasher</t>
  </si>
  <si>
    <t>Canada_Goose_1313.jpg</t>
  </si>
  <si>
    <t xml:space="preserve">Canada Goose </t>
  </si>
  <si>
    <t>Canada_Goose_1441.jpg</t>
  </si>
  <si>
    <t>Canada_Goose_2719.jpg</t>
  </si>
  <si>
    <t>Canada_Goose_4668.jpg</t>
  </si>
  <si>
    <t>Canada_Goose_Flying.jpg</t>
  </si>
  <si>
    <t>Canada_Warbler_0425.jpg</t>
  </si>
  <si>
    <t xml:space="preserve">Canada Warbler </t>
  </si>
  <si>
    <t>Canada_Warbler_1236.jpg</t>
  </si>
  <si>
    <t>Canada_Warbler_1983.jpg</t>
  </si>
  <si>
    <t>Canada_Warbler_5786.jpg</t>
  </si>
  <si>
    <t>Canada_Warbler_6188.jpg</t>
  </si>
  <si>
    <t>Canada_Warbler_9198.jpg</t>
  </si>
  <si>
    <t>Canada_Warbler_9217.jpg</t>
  </si>
  <si>
    <t>Canada_Warbler.jpg</t>
  </si>
  <si>
    <t>Canebrake_Wren_5221.jpg</t>
  </si>
  <si>
    <t xml:space="preserve">Canebrake Wren </t>
  </si>
  <si>
    <t>Canebrake_Wren_5229.jpg</t>
  </si>
  <si>
    <t>Canebrake_Wren_MF3670.jpg</t>
  </si>
  <si>
    <t>Canivets_Emerald_8734.jpg</t>
  </si>
  <si>
    <t>Canivet's Emerald</t>
  </si>
  <si>
    <t>Cape May Warbler-038.jpg</t>
  </si>
  <si>
    <t>Cape May Warbler</t>
  </si>
  <si>
    <t>Cape_Barren_Goose-646696822.jpg</t>
  </si>
  <si>
    <t>Cape Barren Goose</t>
  </si>
  <si>
    <t>Cape_Bunting_51.jpg</t>
  </si>
  <si>
    <t xml:space="preserve">Cape Bunting </t>
  </si>
  <si>
    <t>Cape_May_Warbler_0305.jpg</t>
  </si>
  <si>
    <t>Cape_May_Warbler_1169.jpg</t>
  </si>
  <si>
    <t>Cape_May_Warbler_2014-003.jpg</t>
  </si>
  <si>
    <t>Cape_May_Warbler_3159MF.jpg</t>
  </si>
  <si>
    <t>Cape_May_Warbler_3813.jpg</t>
  </si>
  <si>
    <t>Cape_May_Warbler_4871.jpg</t>
  </si>
  <si>
    <t>Cape_May_Warbler_4872.jpg</t>
  </si>
  <si>
    <t>Cape_May_Warbler_5958MF.jpg</t>
  </si>
  <si>
    <t>Cape_May_Warbler_6205MF.jpg</t>
  </si>
  <si>
    <t>Cape_May_Warbler_6496.jpg</t>
  </si>
  <si>
    <t>Cape_May_Warbler_7293.jpg</t>
  </si>
  <si>
    <t>Cape_May_Warbler_7352MF.jpg</t>
  </si>
  <si>
    <t>Cape_May_Warbler_7504.jpg</t>
  </si>
  <si>
    <t>Cape_May_Warbler_7710.jpg</t>
  </si>
  <si>
    <t>Cape_May_Warbler_9275.jpg</t>
  </si>
  <si>
    <t>Cape_May_Warbler.jpg</t>
  </si>
  <si>
    <t>Cape_Robin-Chat_2395.jpg</t>
  </si>
  <si>
    <t xml:space="preserve">Cape Robin-Chat </t>
  </si>
  <si>
    <t>Cape_Rock-thrush_3398.jpg</t>
  </si>
  <si>
    <t xml:space="preserve">Cape Rock-Thrush </t>
  </si>
  <si>
    <t>Cape_Sparrow_163.jpg</t>
  </si>
  <si>
    <t xml:space="preserve">Cape Sparrow </t>
  </si>
  <si>
    <t>Cape_Starling_366.jpg</t>
  </si>
  <si>
    <t xml:space="preserve">Cape Starling </t>
  </si>
  <si>
    <t>Cape_Wagtail_2727.jpg</t>
  </si>
  <si>
    <t xml:space="preserve">Cape Wagtail </t>
  </si>
  <si>
    <t>Cape_Weaver_2441.jpg</t>
  </si>
  <si>
    <t xml:space="preserve">Cape Weaver </t>
  </si>
  <si>
    <t>Cape_Weaver_2462.jpg</t>
  </si>
  <si>
    <t>Cape_Weaver_2465.jpg</t>
  </si>
  <si>
    <t>Cape_White-eye_2585.jpg</t>
  </si>
  <si>
    <t xml:space="preserve">Cape White-eye </t>
  </si>
  <si>
    <t>Capped_Conebill_4101.jpg</t>
  </si>
  <si>
    <t xml:space="preserve">Capped Conebill </t>
  </si>
  <si>
    <t>Capped_Conebill.jpg</t>
  </si>
  <si>
    <t>Cardinal_Woodpecker_2694.jpg</t>
  </si>
  <si>
    <t xml:space="preserve">Cardinal Woodpecker </t>
  </si>
  <si>
    <t>Carib_Grackle_4924.jpg</t>
  </si>
  <si>
    <t xml:space="preserve">Carib Grackle </t>
  </si>
  <si>
    <t>Carib_Grackle_6037.jpg</t>
  </si>
  <si>
    <t>Caribbean_Hornero_1779MF.jpg</t>
  </si>
  <si>
    <t xml:space="preserve">Caribbean Hornero </t>
  </si>
  <si>
    <t>Caribbean_Hornero_21079.jpg</t>
  </si>
  <si>
    <t>Carolina_Wren_5546.jpg</t>
  </si>
  <si>
    <t xml:space="preserve">Carolina Wren </t>
  </si>
  <si>
    <t>Carolina_Wren_6031.jpg</t>
  </si>
  <si>
    <t>Carolina_Wren_7554.jpg</t>
  </si>
  <si>
    <t>Carolina_Wren_8372.jpg</t>
  </si>
  <si>
    <t>Carolina_Wren_Young_8378.jpg</t>
  </si>
  <si>
    <t>Carunculated_Caracara_6695.jpg</t>
  </si>
  <si>
    <t xml:space="preserve">Carunculated Caracara </t>
  </si>
  <si>
    <t>Carunculated_Caracara_6915.jpg</t>
  </si>
  <si>
    <t>Caspian_Tern_3365MF.jpg</t>
  </si>
  <si>
    <t xml:space="preserve">Caspian Tern </t>
  </si>
  <si>
    <t>Caspian_Tern_3967.jpg</t>
  </si>
  <si>
    <t>Caspian_Tern_6522.jpg</t>
  </si>
  <si>
    <t>Caspian_Tern_7034MF.jpg</t>
  </si>
  <si>
    <t>Cattle_Tyrant_1494.jpg</t>
  </si>
  <si>
    <t xml:space="preserve">Cattle Tyrant </t>
  </si>
  <si>
    <t>Cattle_Tyrant_22915.jpg</t>
  </si>
  <si>
    <t>Cattle_Tyrant_4095MF.jpg</t>
  </si>
  <si>
    <t>Cattle_Tyrant_4896.jpg</t>
  </si>
  <si>
    <t>Cedar_Waxwing_006.jpg</t>
  </si>
  <si>
    <t xml:space="preserve">Cedar Waxwing </t>
  </si>
  <si>
    <t>Cedar_Waxwing_0585.jpg</t>
  </si>
  <si>
    <t>Cedar_Waxwing_0704MF.jpg</t>
  </si>
  <si>
    <t>Cedar_Waxwing_1667.jpg</t>
  </si>
  <si>
    <t>Cedar_Waxwing_3934.jpg</t>
  </si>
  <si>
    <t>Cedar_Waxwing.jpg</t>
  </si>
  <si>
    <t>Cerulean_Warbler_1164.jpg</t>
  </si>
  <si>
    <t xml:space="preserve">Cerulean Warbler </t>
  </si>
  <si>
    <t>Cerulean_Warbler_1188.jpg</t>
  </si>
  <si>
    <t>Chabert Vanga-880.jpg</t>
  </si>
  <si>
    <t>Chabert Vanga</t>
  </si>
  <si>
    <t>Chabert_Vanga_-_Artamie_chabert_7037.jpg</t>
  </si>
  <si>
    <t xml:space="preserve">Chabert Vanga </t>
  </si>
  <si>
    <t>Chabert_Vanga_-_Artamie_chabert_7050.jpg</t>
  </si>
  <si>
    <t>Chabert_Vanga_-_Artamie_chabert_7854.jpg</t>
  </si>
  <si>
    <t>Chabert_Vanga_-_Artamie_chabert_7880-2.jpg</t>
  </si>
  <si>
    <t>Chabert_Vanga_-_Artamie_chabert_7880.jpg</t>
  </si>
  <si>
    <t>Chestnut Quail-thrush 0275MF.jpg</t>
  </si>
  <si>
    <t>Chestnut Quail-thrush</t>
  </si>
  <si>
    <t>Chestnut_Piculet_22941.jpg</t>
  </si>
  <si>
    <t xml:space="preserve">Chestnut Piculet </t>
  </si>
  <si>
    <t>Chestnut_Piculet_22942.jpg</t>
  </si>
  <si>
    <t>Chestnut_Piculet_22949.jpg</t>
  </si>
  <si>
    <t>Chestnut_rumped_Thornbill-646452470.jpg</t>
  </si>
  <si>
    <t>Chestnut-rumped Thornbill</t>
  </si>
  <si>
    <t>Chestnut_Teal_0027.jpg</t>
  </si>
  <si>
    <t xml:space="preserve">Chestnut Teal </t>
  </si>
  <si>
    <t>Chestnut_Teal_0985.jpg</t>
  </si>
  <si>
    <t>Chestnut_Teal_2864MF.jpg</t>
  </si>
  <si>
    <t>Chestnut_Teal_3120MF.jpg</t>
  </si>
  <si>
    <t>Chestnut_Teal_8178.jpg</t>
  </si>
  <si>
    <t>Chestnut-backed_Antbird_8666.jpg</t>
  </si>
  <si>
    <t xml:space="preserve">Chestnut-backed Antbird </t>
  </si>
  <si>
    <t>Chestnut-backed_Chickadee_-9108.jpg</t>
  </si>
  <si>
    <t xml:space="preserve">Chestnut-backed Chickadee </t>
  </si>
  <si>
    <t>Chestnut-capped_Brushfinch_3426.jpg</t>
  </si>
  <si>
    <t xml:space="preserve">Chestnut-capped Brushfinch </t>
  </si>
  <si>
    <t>Chestnut-capped_Brushfinch_3471.jpg</t>
  </si>
  <si>
    <t>Chestnut-capped_Warbler_23253.jpg</t>
  </si>
  <si>
    <t xml:space="preserve">Chestnut-capped Warbler </t>
  </si>
  <si>
    <t>Chestnut-capped_Warbler_3285MF.jpg</t>
  </si>
  <si>
    <t>Chestnut-capped_Warbler_3440MF.jpg</t>
  </si>
  <si>
    <t>Chestnut-capped_Warbler_5661.jpg</t>
  </si>
  <si>
    <t>Chestnut-capped_Warbler_5670.jpg</t>
  </si>
  <si>
    <t>Chestnut-capped_Warbler.jpg</t>
  </si>
  <si>
    <t>Chestnut-colored_Woodpecker_5643.jpg</t>
  </si>
  <si>
    <t xml:space="preserve">Chestnut-colored Woodpecker </t>
  </si>
  <si>
    <t>Chestnut-colored_Woodpecker.jpg</t>
  </si>
  <si>
    <t>Chestnut-crowned_Antpitta_3585.jpg</t>
  </si>
  <si>
    <t xml:space="preserve">Chestnut-crowned Antpitta </t>
  </si>
  <si>
    <t>Chestnut-fronted_Macaw_8798MF.jpg</t>
  </si>
  <si>
    <t xml:space="preserve">Chestnut-fronted Macaw </t>
  </si>
  <si>
    <t>Chestnut-fronted_Macaw_8815MF.jpg</t>
  </si>
  <si>
    <t>Chestnut-headed Oropendola 2587.jpg</t>
  </si>
  <si>
    <t>Chestnut-headed Oropendola</t>
  </si>
  <si>
    <t>Chestnut-sided Warbler-033.jpg</t>
  </si>
  <si>
    <t>Chestnut-sided Warbler</t>
  </si>
  <si>
    <t>Chestnut-sided warbler-5475.jpg</t>
  </si>
  <si>
    <t>Chestnut-sided_Warbler_2014-006.jpg</t>
  </si>
  <si>
    <t xml:space="preserve">Chestnut-sided Warbler </t>
  </si>
  <si>
    <t>Chestnut-sided_Warbler_3082.jpg</t>
  </si>
  <si>
    <t>Chestnut-sided_Warbler_3226MF.jpg</t>
  </si>
  <si>
    <t>Chestnut-sided_Warbler_3342.jpg</t>
  </si>
  <si>
    <t>Chestnut-sided_Warbler_3613MF.jpg</t>
  </si>
  <si>
    <t>Chestnut-sided_Warbler_3768.jpg</t>
  </si>
  <si>
    <t>Chestnut-sided_Warbler_4711MF.jpg</t>
  </si>
  <si>
    <t>Chestnut-sided_Warbler_4877.jpg</t>
  </si>
  <si>
    <t>Chestnut-sided_Warbler_5705.jpg</t>
  </si>
  <si>
    <t>Chestnut-sided_Warbler_7399.jpg</t>
  </si>
  <si>
    <t>Chestnut-sided_Warbler_8310.jpg</t>
  </si>
  <si>
    <t>Chestnut-sided_Warbler_8427.jpg</t>
  </si>
  <si>
    <t>Chestnut-sided_Warbler_8737.jpg</t>
  </si>
  <si>
    <t>Chestnut-sided_Warbler-2.jpg</t>
  </si>
  <si>
    <t>Chestnut-winged_Chachalaca_21193.jpg</t>
  </si>
  <si>
    <t xml:space="preserve">Chestnut-winged Chachalaca </t>
  </si>
  <si>
    <t>Chestnut-winged_Cinclodes_6995.jpg</t>
  </si>
  <si>
    <t xml:space="preserve">Chestnut-winged Cinclodes </t>
  </si>
  <si>
    <t>Chimney_Swift_4474.jpg</t>
  </si>
  <si>
    <t xml:space="preserve">Chimney Swift </t>
  </si>
  <si>
    <t>Chimney_Swift_4508.jpg</t>
  </si>
  <si>
    <t>Chinspot_Batis-531957791.jpg</t>
  </si>
  <si>
    <t>Chinspot Batis</t>
  </si>
  <si>
    <t>Chipping_Sparrow_0072MF.jpg</t>
  </si>
  <si>
    <t xml:space="preserve">Chipping Sparrow </t>
  </si>
  <si>
    <t>Chipping_Sparrow_0898.jpg</t>
  </si>
  <si>
    <t>Chipping_Sparrow_3156MF.jpg</t>
  </si>
  <si>
    <t>Chipping_Sparrow_362.jpg</t>
  </si>
  <si>
    <t>Chipping_Sparrow_5434.jpg</t>
  </si>
  <si>
    <t>Chipping_Sparrow_6593MF.jpg</t>
  </si>
  <si>
    <t>Chipping_Sparrow_7139MF.jpg</t>
  </si>
  <si>
    <t>Chipping_Sparrow_7367MF.jpg</t>
  </si>
  <si>
    <t>Chipping_Sparrow_juvenile_1878.jpg</t>
  </si>
  <si>
    <t>Chipping_Sparrow.jpg</t>
  </si>
  <si>
    <t>Chirruping Wedgebill 9217MF.jpg</t>
  </si>
  <si>
    <t>Chirruping Wedgebill</t>
  </si>
  <si>
    <t>Choco_Brushfinch_Choco_3942.jpg</t>
  </si>
  <si>
    <t xml:space="preserve">Choco Brushfinch </t>
  </si>
  <si>
    <t>Choco_Sirystes_1902.jpg</t>
  </si>
  <si>
    <t xml:space="preserve">Choco Sirystes </t>
  </si>
  <si>
    <t>Choco_Toucan_5625.jpg</t>
  </si>
  <si>
    <t xml:space="preserve">Choco Toucan </t>
  </si>
  <si>
    <t>Choco_Warbler_5616.jpg</t>
  </si>
  <si>
    <t xml:space="preserve">Choco Warbler </t>
  </si>
  <si>
    <t>Choco_Warbler_Choco.jpg</t>
  </si>
  <si>
    <t>Chuck-Wills-Widow_1707.jpg</t>
  </si>
  <si>
    <t>Chuck-will's-widow</t>
  </si>
  <si>
    <t>Chuck-Wills-Widow_1724.jpg</t>
  </si>
  <si>
    <t>Chuck-wills-widow_20686.jpg</t>
  </si>
  <si>
    <t>Chukar_1486.jpg</t>
  </si>
  <si>
    <t xml:space="preserve">Chukar  </t>
  </si>
  <si>
    <t>Cinereous_Becard_7272.jpg</t>
  </si>
  <si>
    <t xml:space="preserve">Cinereous Becard </t>
  </si>
  <si>
    <t>Cinnamon_Becard_4738.jpg</t>
  </si>
  <si>
    <t xml:space="preserve">Cinnamon Becard </t>
  </si>
  <si>
    <t>Cinnamon_Becard.jpg</t>
  </si>
  <si>
    <t>Cinnamon_Flycatcher_3905.jpg</t>
  </si>
  <si>
    <t xml:space="preserve">Cinnamon Flycatcher </t>
  </si>
  <si>
    <t>Cinnamon_Flycatcher_6847.jpg</t>
  </si>
  <si>
    <t>Cinnamon_Hummingbird_MF5934.jpg</t>
  </si>
  <si>
    <t xml:space="preserve">Cinnamon Hummingbird </t>
  </si>
  <si>
    <t>Cinnamon_Quail_thrush-647033150.jpg</t>
  </si>
  <si>
    <t>Cinnamon Quail-thrush</t>
  </si>
  <si>
    <t>Cinnamon_Woodpecker_7634.jpg</t>
  </si>
  <si>
    <t xml:space="preserve">Cinnamon Woodpecker </t>
  </si>
  <si>
    <t>Cinnamon_Woodpecker_9338.jpg</t>
  </si>
  <si>
    <t>Cinnamon-bellied_Saltator_385.jpg</t>
  </si>
  <si>
    <t xml:space="preserve">Cinnamon-bellied Saltator </t>
  </si>
  <si>
    <t>Cinnamon-bellied_Saltator_6354.jpg</t>
  </si>
  <si>
    <t>Cinnamon-bellied_Saltator_MF3725.jpg</t>
  </si>
  <si>
    <t>Cinnamon-chested Bee-eater 129.jpg</t>
  </si>
  <si>
    <t>Cinnamon-chested Bee-eater</t>
  </si>
  <si>
    <t>Clark's Nutcracker-8395.jpg</t>
  </si>
  <si>
    <t>Clark's Nutcracker</t>
  </si>
  <si>
    <t>Clay-colored_Sparrow_1913.jpg</t>
  </si>
  <si>
    <t xml:space="preserve">Clay-colored Sparrow </t>
  </si>
  <si>
    <t>Clay-colored_Sparrow_3824.jpg</t>
  </si>
  <si>
    <t>Clay-colored_Sparrow_7624.jpg</t>
  </si>
  <si>
    <t>Clay-colored_Thrush_1489.jpg</t>
  </si>
  <si>
    <t xml:space="preserve">Clay-colored Thrush </t>
  </si>
  <si>
    <t>Clay-colored_Thrush_1640.jpg</t>
  </si>
  <si>
    <t>Clay-colored_Thrush_21226.jpg</t>
  </si>
  <si>
    <t>Clay-colored_Thrush_3637.jpg</t>
  </si>
  <si>
    <t>Clay-colored_Thrush_5614.jpg</t>
  </si>
  <si>
    <t>Cliff_Swallow_2059.jpg</t>
  </si>
  <si>
    <t xml:space="preserve">Cliff Swallow </t>
  </si>
  <si>
    <t>Cocoa_Woodcreeper_20961.jpg</t>
  </si>
  <si>
    <t xml:space="preserve">Cocoa Woodcreeper </t>
  </si>
  <si>
    <t>Cocoa_Woodcreeper_2148.jpg</t>
  </si>
  <si>
    <t>Cocoa_Woodcreeper_3879.jpg</t>
  </si>
  <si>
    <t>Cocoa_Woodcreeper_4056.jpg</t>
  </si>
  <si>
    <t>Cocoa_Woodcreeper_6980.jpg</t>
  </si>
  <si>
    <t>Cocoa_Woodcreeper_9046.jpg</t>
  </si>
  <si>
    <t>Cocoa_woodcreeper_MF3137.jpg</t>
  </si>
  <si>
    <t>Cocoi_Heron_2014-019.jpg</t>
  </si>
  <si>
    <t xml:space="preserve">Cocoi Heron </t>
  </si>
  <si>
    <t>Cocoi_Heron_22085.jpg</t>
  </si>
  <si>
    <t>Collared Sunbird-5240.jpg</t>
  </si>
  <si>
    <t>Collared Sunbird</t>
  </si>
  <si>
    <t>Collared_Aracari_2364.jpg</t>
  </si>
  <si>
    <t xml:space="preserve">Collared Aracari </t>
  </si>
  <si>
    <t>Collared_aracari_3859.jpg</t>
  </si>
  <si>
    <t>Collared_Aracari_5835.jpg</t>
  </si>
  <si>
    <t>Collared_aracari_pale-mandibled_3869.jpg</t>
  </si>
  <si>
    <t>Collared_Inca_403.jpg</t>
  </si>
  <si>
    <t xml:space="preserve">Collared Inca </t>
  </si>
  <si>
    <t>Collared_Pale-mandibled_Aracari-514725941.jpg</t>
  </si>
  <si>
    <t>Collared Aracari</t>
  </si>
  <si>
    <t>Collared_Plover_8182.jpg</t>
  </si>
  <si>
    <t xml:space="preserve">Collared Plover </t>
  </si>
  <si>
    <t>Collared_Plover_MF5716.jpg</t>
  </si>
  <si>
    <t>Collared_Redstart_2764.jpg</t>
  </si>
  <si>
    <t xml:space="preserve">Collared Redstart </t>
  </si>
  <si>
    <t>Collared_Redstart_5761.jpg</t>
  </si>
  <si>
    <t>Collared_Trogon_Orangebellied-192044691.jpg</t>
  </si>
  <si>
    <t>Collared Trogon</t>
  </si>
  <si>
    <t>Collared_Trogon-2.jpg</t>
  </si>
  <si>
    <t xml:space="preserve">Collared Trogon </t>
  </si>
  <si>
    <t>Collared_Trogon-3.jpg</t>
  </si>
  <si>
    <t>Collared_trogon.jpg</t>
  </si>
  <si>
    <t>Colombian Chachalaca-7676.jpg</t>
  </si>
  <si>
    <t>Colombian Chachalaca</t>
  </si>
  <si>
    <t>Common Redpoll-018.jpg</t>
  </si>
  <si>
    <t>Redpoll</t>
  </si>
  <si>
    <t>Common Redpoll-7102.jpg</t>
  </si>
  <si>
    <t>Common Yellowthroat-309.jpg</t>
  </si>
  <si>
    <t>Common Yellowthroat</t>
  </si>
  <si>
    <t>Common_Black_Hawk_1535.jpg</t>
  </si>
  <si>
    <t>Common Black Hawk</t>
  </si>
  <si>
    <t>Common_Black_Hawk_2734MF.jpg</t>
  </si>
  <si>
    <t>Common_Black_Hawk_6363.jpg</t>
  </si>
  <si>
    <t>Common_Black_Hawk_8116.jpg</t>
  </si>
  <si>
    <t>Common_Bronzewing_2259.jpg</t>
  </si>
  <si>
    <t xml:space="preserve">Common Bronzewing </t>
  </si>
  <si>
    <t>Common_Bulbul_1900.jpg</t>
  </si>
  <si>
    <t xml:space="preserve">Common Bulbul </t>
  </si>
  <si>
    <t>Common_Bulbul_2863.jpg</t>
  </si>
  <si>
    <t>Common_Chlorospingus_4161.jpg</t>
  </si>
  <si>
    <t xml:space="preserve">Common Chlorospingus </t>
  </si>
  <si>
    <t>Common_Eider_964.jpg</t>
  </si>
  <si>
    <t xml:space="preserve">Common Eider </t>
  </si>
  <si>
    <t>Common_Gallinule_1426.jpg</t>
  </si>
  <si>
    <t xml:space="preserve">Common Gallinule </t>
  </si>
  <si>
    <t>Common_Gallinule_1878.jpg</t>
  </si>
  <si>
    <t>Common_Gallinule_1948.jpg</t>
  </si>
  <si>
    <t>Common_Gallinule_21057.jpg</t>
  </si>
  <si>
    <t>Common_Gallinule_21388.jpg</t>
  </si>
  <si>
    <t>Common_Gallinule_3902.jpg</t>
  </si>
  <si>
    <t>Common_Gallinule_6922MF.jpg</t>
  </si>
  <si>
    <t>Common_Gallinule_7207MF.jpg</t>
  </si>
  <si>
    <t>Common_Gallinule_7229.jpg</t>
  </si>
  <si>
    <t>Common_Gallinule_9479MF.jpg</t>
  </si>
  <si>
    <t>Common_Gallinule_9835.jpg</t>
  </si>
  <si>
    <t>Common_gallinule.jpg</t>
  </si>
  <si>
    <t>Common_Goldeneye_3991.jpg</t>
  </si>
  <si>
    <t xml:space="preserve">Common Goldeneye </t>
  </si>
  <si>
    <t>Common_Grackle_1539.jpg</t>
  </si>
  <si>
    <t xml:space="preserve">Common Grackle </t>
  </si>
  <si>
    <t>Common_Grackle_26640_leucistic.jpg</t>
  </si>
  <si>
    <t>Common_Grackle_5867MF.jpg</t>
  </si>
  <si>
    <t>Common_Grackle_7956.jpg</t>
  </si>
  <si>
    <t>Common_Grackle_9221.jpg</t>
  </si>
  <si>
    <t>Common_Grackle_929.jpg</t>
  </si>
  <si>
    <t>Common_Greenshank-563221231.jpg</t>
  </si>
  <si>
    <t>Common Greenshank</t>
  </si>
  <si>
    <t>Common_Ground_Dove_7944MF.jpg</t>
  </si>
  <si>
    <t>Common Ground Dove</t>
  </si>
  <si>
    <t>Common_Hoopoe_0454.jpg</t>
  </si>
  <si>
    <t xml:space="preserve">Common Hoopoe </t>
  </si>
  <si>
    <t>Common_Hoopoe_2915.jpg</t>
  </si>
  <si>
    <t>Common_Hoopoe_378.jpg</t>
  </si>
  <si>
    <t>Common_Jery_-_Petite_Eroesse_5254P.jpg</t>
  </si>
  <si>
    <t xml:space="preserve">Common Jery </t>
  </si>
  <si>
    <t>Common_Loon_4945.jpg</t>
  </si>
  <si>
    <t xml:space="preserve">Common Loon </t>
  </si>
  <si>
    <t>Common_Loon_8558.jpg</t>
  </si>
  <si>
    <t>Common_merganser_0287.jpg</t>
  </si>
  <si>
    <t xml:space="preserve">Common Merganser </t>
  </si>
  <si>
    <t>Common_merganser_1631.jpg</t>
  </si>
  <si>
    <t>Common_merganser_1780.jpg</t>
  </si>
  <si>
    <t>Common_Myna_4594.jpg</t>
  </si>
  <si>
    <t xml:space="preserve">Common Myna </t>
  </si>
  <si>
    <t>Common_Myna_7973.jpg</t>
  </si>
  <si>
    <t>Common_Myna_9599.jpg</t>
  </si>
  <si>
    <t>Common_Myna_9998.jpg</t>
  </si>
  <si>
    <t>Common_Newtonia_-_Newtonie_commune_5484.jpg</t>
  </si>
  <si>
    <t xml:space="preserve">Common Newtonia </t>
  </si>
  <si>
    <t>Common_Nighthawk-570930111.jpg</t>
  </si>
  <si>
    <t>Common Nighthawk</t>
  </si>
  <si>
    <t>Common_Ostrich_161.jpg</t>
  </si>
  <si>
    <t xml:space="preserve">Common Ostrich </t>
  </si>
  <si>
    <t>Common_Ostrich_239.jpg</t>
  </si>
  <si>
    <t>Common_Ostrich_3048.jpg</t>
  </si>
  <si>
    <t>Common_Ostrich_9236.jpg</t>
  </si>
  <si>
    <t>Common_Potoo_4139.jpg</t>
  </si>
  <si>
    <t xml:space="preserve">Common Potoo </t>
  </si>
  <si>
    <t>Common_Potoo_4145.jpg</t>
  </si>
  <si>
    <t>Common_Potoo_6564.jpg</t>
  </si>
  <si>
    <t>Common_Raven-128411361.jpg</t>
  </si>
  <si>
    <t>Common Raven</t>
  </si>
  <si>
    <t>Common_Raven-77113691.jpg</t>
  </si>
  <si>
    <t>Common_Sandpiper_-_Chevalier_guignette_5744.jpg</t>
  </si>
  <si>
    <t xml:space="preserve">Common Sandpiper </t>
  </si>
  <si>
    <t>Common_Sandpiper_7798.jpg</t>
  </si>
  <si>
    <t>Common_Squirrel-Cuckoo_2.jpg</t>
  </si>
  <si>
    <t xml:space="preserve">Common Squirrel-Cuckoo </t>
  </si>
  <si>
    <t>Common_Squirrel-Cuckoo_5859.jpg</t>
  </si>
  <si>
    <t>Common_Squirrel-Cuckoo_6708.jpg</t>
  </si>
  <si>
    <t>Common_Squirrel-Cuckoo_MF4957.jpg</t>
  </si>
  <si>
    <t>Common_Squirrel-Cuckoo-2.jpg</t>
  </si>
  <si>
    <t>Common_Squirrel-Cuckoo.jpg</t>
  </si>
  <si>
    <t>Common_tern_1431.jpg</t>
  </si>
  <si>
    <t xml:space="preserve">Common Tern </t>
  </si>
  <si>
    <t>Common_Tern_1872MF.jpg</t>
  </si>
  <si>
    <t>Common_Tern_5212MF.jpg</t>
  </si>
  <si>
    <t>Common_tern_8084.jpg</t>
  </si>
  <si>
    <t>Common_Tody-Flycatcher_1443.jpg</t>
  </si>
  <si>
    <t xml:space="preserve">Common Tody-Flycatcher </t>
  </si>
  <si>
    <t>Common_Tody-Flycatcher_3031.jpg</t>
  </si>
  <si>
    <t>Common_Tody-Flycatcher_MF4353.jpg</t>
  </si>
  <si>
    <t>Common_Waxbill_0353.jpg</t>
  </si>
  <si>
    <t xml:space="preserve">Common Waxbill </t>
  </si>
  <si>
    <t>Common_Yellowthroat_0247MF.jpg</t>
  </si>
  <si>
    <t xml:space="preserve">Common Yellowthroat </t>
  </si>
  <si>
    <t>Common_Yellowthroat_0541.jpg</t>
  </si>
  <si>
    <t>Common_Yellowthroat_1723.jpg</t>
  </si>
  <si>
    <t>Common_Yellowthroat_2014-308.jpg</t>
  </si>
  <si>
    <t>Common_Yellowthroat_2233.jpg</t>
  </si>
  <si>
    <t>Common_Yellowthroat_2587.jpg</t>
  </si>
  <si>
    <t>Common_Yellowthroat_2600.jpg</t>
  </si>
  <si>
    <t>Common_Yellowthroat_2835.jpg</t>
  </si>
  <si>
    <t>Common_Yellowthroat_2843.jpg</t>
  </si>
  <si>
    <t>Common_Yellowthroat_4649.jpg</t>
  </si>
  <si>
    <t>Common_Yellowthroat_7081MF.jpg</t>
  </si>
  <si>
    <t>Common_Yellowthroat_7382.jpg</t>
  </si>
  <si>
    <t>Common_Yellowthroat_7916.jpg</t>
  </si>
  <si>
    <t>Common_Yellowthroat_7977.jpg</t>
  </si>
  <si>
    <t>Common_Yellowthroat_9759.jpg</t>
  </si>
  <si>
    <t>Common_Yellowthroat_female_2257.jpg</t>
  </si>
  <si>
    <t>Common_Yellowthroat_FIXED.jpg</t>
  </si>
  <si>
    <t>Common_Yellowthroat.jpg</t>
  </si>
  <si>
    <t>Coopers_Hawk_2472.jpg</t>
  </si>
  <si>
    <t>Cooper's Hawk</t>
  </si>
  <si>
    <t>Coopers_Hawk_8902.jpg</t>
  </si>
  <si>
    <t>Coopers_Hawk.jpg</t>
  </si>
  <si>
    <t>Copper-rumped_Hummingbird_4089.jpg</t>
  </si>
  <si>
    <t xml:space="preserve">Copper-rumped Hummingbird </t>
  </si>
  <si>
    <t>Coppery-headed_Emerald_3003MF.jpg</t>
  </si>
  <si>
    <t xml:space="preserve">Coppery-headed Emerald </t>
  </si>
  <si>
    <t>Coppery-headed_Emerald_3026MF.jpg</t>
  </si>
  <si>
    <t>Coppery-headed_Emerald_6245.jpg</t>
  </si>
  <si>
    <t>Coppery-headed_Emerald_7146.jpg</t>
  </si>
  <si>
    <t>Coppery-tailed_Coucal_6450.jpg</t>
  </si>
  <si>
    <t xml:space="preserve">Coppery-tailed Coucal </t>
  </si>
  <si>
    <t>Coquerel's Coua-6383.jpg</t>
  </si>
  <si>
    <t>Coquerel's Coua</t>
  </si>
  <si>
    <t>Coquerels_Coua_-_Coua_de_Coquerel_6383.jpg</t>
  </si>
  <si>
    <t>Coqui_Francolin_209.jpg</t>
  </si>
  <si>
    <t xml:space="preserve">Coqui Francolin </t>
  </si>
  <si>
    <t>Costa_Rican_Warbler_MF5574.jpg</t>
  </si>
  <si>
    <t>Costa Rican Warbler</t>
  </si>
  <si>
    <t>Couchs_Kingbird-79499331.jpg</t>
  </si>
  <si>
    <t>Couch's Kingbird</t>
  </si>
  <si>
    <t>Cozumel_Emerald-79476701.jpg</t>
  </si>
  <si>
    <t>Cozumel Emerald</t>
  </si>
  <si>
    <t>Cozumel_Vireo-79642081.jpg</t>
  </si>
  <si>
    <t>Cozumel Vireo</t>
  </si>
  <si>
    <t>Crab-plover_-_Drome_ardeole_8100.jpg</t>
  </si>
  <si>
    <t xml:space="preserve">Crab-Plover  </t>
  </si>
  <si>
    <t>Crab-plover_-_Drome_ardeole_8126.jpg</t>
  </si>
  <si>
    <t>Crab-plover-8100.jpg</t>
  </si>
  <si>
    <t>Crab-Plover</t>
  </si>
  <si>
    <t>Crescent_Honeyeater_4676MF.jpg</t>
  </si>
  <si>
    <t xml:space="preserve">Crescent Honeyeater </t>
  </si>
  <si>
    <t>Crested_Barbet_7951.jpg</t>
  </si>
  <si>
    <t xml:space="preserve">Crested Barbet </t>
  </si>
  <si>
    <t>Crested_Bellbird-646428575.jpg</t>
  </si>
  <si>
    <t>Crested Bellbird</t>
  </si>
  <si>
    <t>Crested_Caracara_0828.jpg</t>
  </si>
  <si>
    <t xml:space="preserve">Crested Caracara </t>
  </si>
  <si>
    <t>Crested_Caracara_21838.jpg</t>
  </si>
  <si>
    <t>Crested_Caracara_4917MF.jpg</t>
  </si>
  <si>
    <t>Crested_Caracara_5200.jpg</t>
  </si>
  <si>
    <t>Crested_Caracara_6546.jpg</t>
  </si>
  <si>
    <t>Crested_Caracara_7591MF.jpg</t>
  </si>
  <si>
    <t>Crested_Caracara_Northern-422045891.jpg</t>
  </si>
  <si>
    <t>Crested Caracara</t>
  </si>
  <si>
    <t>Crested_Caracara_Northern-79645371.jpg</t>
  </si>
  <si>
    <t>Crested_Coua_-_Coua_huppe_0004.jpg</t>
  </si>
  <si>
    <t xml:space="preserve">Crested Coua </t>
  </si>
  <si>
    <t>Crested_Coua_-_Coua_huppe_9995.jpg</t>
  </si>
  <si>
    <t>Crested_Drongo__Madagascar_-626566609.jpg</t>
  </si>
  <si>
    <t>Crested Drongo</t>
  </si>
  <si>
    <t>Crested_Drongo__Madagascar_-626566614.jpg</t>
  </si>
  <si>
    <t>Crested_Drongo_-_Drongo_malgache_5710.jpg</t>
  </si>
  <si>
    <t xml:space="preserve">Crested Drongo </t>
  </si>
  <si>
    <t>Crested_Drongo_8741.jpg</t>
  </si>
  <si>
    <t>Crested_Drongo_8745.jpg</t>
  </si>
  <si>
    <t>Crested_Eagle_1995.jpg</t>
  </si>
  <si>
    <t xml:space="preserve">Crested Eagle </t>
  </si>
  <si>
    <t>Crested_Eagle_2115.jpg</t>
  </si>
  <si>
    <t>Crested_Francolin_218.jpg</t>
  </si>
  <si>
    <t xml:space="preserve">Crested Francolin </t>
  </si>
  <si>
    <t>Crested_Francolin_8914.jpg</t>
  </si>
  <si>
    <t>Crested_Guan_5364.jpg</t>
  </si>
  <si>
    <t xml:space="preserve">Crested Guan </t>
  </si>
  <si>
    <t>Crested_Guan_6644.jpg</t>
  </si>
  <si>
    <t>Crested_Guan_MF4789.jpg</t>
  </si>
  <si>
    <t>Crested_Oropendola_1631MF.jpg</t>
  </si>
  <si>
    <t xml:space="preserve">Crested Oropendola </t>
  </si>
  <si>
    <t>Crested_Oropendola_20784.jpg</t>
  </si>
  <si>
    <t>Crested_Oropendola_2703.jpg</t>
  </si>
  <si>
    <t>Crested_Oropendola_3385.jpg</t>
  </si>
  <si>
    <t>Crested_Oropendola_4316.jpg</t>
  </si>
  <si>
    <t>Crested_Oropendola_4802.jpg</t>
  </si>
  <si>
    <t>Crested_Oropendola.jpg</t>
  </si>
  <si>
    <t>Crested_Owl_4865.jpg</t>
  </si>
  <si>
    <t xml:space="preserve">Crested Owl </t>
  </si>
  <si>
    <t>Crested_Pigeon_2229.jpg</t>
  </si>
  <si>
    <t xml:space="preserve">Crested Pigeon </t>
  </si>
  <si>
    <t>Crimson_Rosella__Yellow_-646407459.jpg</t>
  </si>
  <si>
    <t>Crimson Rosella</t>
  </si>
  <si>
    <t>Crimson_Rosella__Yellow_-646476464.jpg</t>
  </si>
  <si>
    <t>Crimson_Rosella__Yellow_-646517152.jpg</t>
  </si>
  <si>
    <t>Crimson_Rosella_1048.jpg</t>
  </si>
  <si>
    <t xml:space="preserve">Crimson Rosella </t>
  </si>
  <si>
    <t>Crimson_Rosella_2320.jpg</t>
  </si>
  <si>
    <t>Crimson_Rosella_2500MF.jpg</t>
  </si>
  <si>
    <t>Crimson_Rosella_7870.jpg</t>
  </si>
  <si>
    <t>Crimson-backed_Tanager_3586.jpg</t>
  </si>
  <si>
    <t xml:space="preserve">Crimson-backed Tanager </t>
  </si>
  <si>
    <t>Crimson-backed_Tanager_3640.jpg</t>
  </si>
  <si>
    <t>Crimson-backed_Tanager_6362.jpg</t>
  </si>
  <si>
    <t>Crimson-backed_Tanager_7173.jpg</t>
  </si>
  <si>
    <t>Crimson-backed_Tanager_9924.jpg</t>
  </si>
  <si>
    <t>Crimson-breasted_Gonolek_399.jpg</t>
  </si>
  <si>
    <t xml:space="preserve">Crimson-breasted Gonolek </t>
  </si>
  <si>
    <t>Crimson-breasted_Gonolek_52.jpg</t>
  </si>
  <si>
    <t>Crimson-collared_Tanager_7771.jpg</t>
  </si>
  <si>
    <t xml:space="preserve">Crimson-collared Tanager </t>
  </si>
  <si>
    <t>Crimson-crested_Woodpecker_1653MF.jpg</t>
  </si>
  <si>
    <t xml:space="preserve">Crimson-crested Woodpecker </t>
  </si>
  <si>
    <t>Crimson-crested_Woodpecker_1677.jpg</t>
  </si>
  <si>
    <t>Crimson-crested_Woodpecker_20841.jpg</t>
  </si>
  <si>
    <t>Crimson-crested_Woodpecker_4715.jpg</t>
  </si>
  <si>
    <t>Crimson-crested_Woodpecker_7577.jpg</t>
  </si>
  <si>
    <t>Crimson-crested_Woodpecker_8973.jpg</t>
  </si>
  <si>
    <t>Crimson-crested_Woodpecker.jpg</t>
  </si>
  <si>
    <t>Crimson-fronted_Parakeet_3882.jpg</t>
  </si>
  <si>
    <t xml:space="preserve">Crimson-fronted Parakeet </t>
  </si>
  <si>
    <t>Crimson-mantled_Woodpecker_3091.jpg</t>
  </si>
  <si>
    <t xml:space="preserve">Crimson-mantled Woodpecker </t>
  </si>
  <si>
    <t>Crimson-mantled_Woodpecker_3949.jpg</t>
  </si>
  <si>
    <t>Crimson-mantled_Woodpecker_5332.jpg</t>
  </si>
  <si>
    <t>Crimson-mantled_Woodpecker.jpg</t>
  </si>
  <si>
    <t>Crimson-rumped_Toucanet_3434.jpg</t>
  </si>
  <si>
    <t xml:space="preserve">Crimson-rumped Toucanet </t>
  </si>
  <si>
    <t>Crowned_Hornbill_3577.jpg</t>
  </si>
  <si>
    <t xml:space="preserve">Crowned Hornbill </t>
  </si>
  <si>
    <t>Crowned_Lapwing_193.jpg</t>
  </si>
  <si>
    <t xml:space="preserve">Crowned Lapwing </t>
  </si>
  <si>
    <t>Crowned_Lapwing_9216.jpg</t>
  </si>
  <si>
    <t>Crowned_Woodnymph_24019.jpg</t>
  </si>
  <si>
    <t xml:space="preserve">Crowned Woodnymph </t>
  </si>
  <si>
    <t>Crowned_Woodnymph_3420MF.jpg</t>
  </si>
  <si>
    <t>Crowned_Woodnymph_4073.jpg</t>
  </si>
  <si>
    <t>Crowned_Woodnymph_4275.jpg</t>
  </si>
  <si>
    <t>Crowned_Woodnymph_4462MF.jpg</t>
  </si>
  <si>
    <t>Crowned_Woodnymph_6057.jpg</t>
  </si>
  <si>
    <t>Crowned_Woodnymph_6220.jpg</t>
  </si>
  <si>
    <t>Crowned_Woodnymph-474599351.jpg</t>
  </si>
  <si>
    <t>Crowned Woodnymph</t>
  </si>
  <si>
    <t>Cuckoo-roller_-_Courol_vouroudriou_6473.jpg</t>
  </si>
  <si>
    <t xml:space="preserve">Cuckoo-roller  </t>
  </si>
  <si>
    <t>Curlew_Sandpiper_-_Becasseau_cocorli_8704.jpg</t>
  </si>
  <si>
    <t xml:space="preserve">Curlew Sandpiper </t>
  </si>
  <si>
    <t>Curlew_Sandpiper_3548MF.jpg</t>
  </si>
  <si>
    <t>Dark_Pewee_2827.jpg</t>
  </si>
  <si>
    <t xml:space="preserve">Dark Pewee </t>
  </si>
  <si>
    <t>Dark-backed Weaver-3615.jpg</t>
  </si>
  <si>
    <t>Dark-backed Weaver</t>
  </si>
  <si>
    <t>Dark-eyed_Junco_9083.jpg</t>
  </si>
  <si>
    <t xml:space="preserve">Dark-eyed Junco </t>
  </si>
  <si>
    <t>Diamond_Firetail-646557506.jpg</t>
  </si>
  <si>
    <t>Diamond Firetail</t>
  </si>
  <si>
    <t>Dollarbird.jpg</t>
  </si>
  <si>
    <t xml:space="preserve">Dollarbird  </t>
  </si>
  <si>
    <t>Dot-winged_Antwren_4410.jpg</t>
  </si>
  <si>
    <t xml:space="preserve">Dot-winged Antwren </t>
  </si>
  <si>
    <t>Dot-winged_antwren_4778.jpg</t>
  </si>
  <si>
    <t>Dot-winged_antwren_4788.jpg</t>
  </si>
  <si>
    <t>Dot-winged_antwren_4791.jpg</t>
  </si>
  <si>
    <t>Double_banded_Graytail-546177511.jpg</t>
  </si>
  <si>
    <t>Double-banded Graytail</t>
  </si>
  <si>
    <t>Double-banded_Sandgrouse_9819.jpg</t>
  </si>
  <si>
    <t xml:space="preserve">Double-banded Sandgrouse </t>
  </si>
  <si>
    <t>Double-crested_Cormorant_0338.jpg</t>
  </si>
  <si>
    <t xml:space="preserve">Double-crested Cormorant </t>
  </si>
  <si>
    <t>Double-crested_Cormorant_0346.jpg</t>
  </si>
  <si>
    <t>Double-crested_Cormorant_1592.jpg</t>
  </si>
  <si>
    <t>Double-crested_Cormorant_6038MF.jpg</t>
  </si>
  <si>
    <t>Double-crested_Cormorant_8390MF.jpg</t>
  </si>
  <si>
    <t>Double-crested_Cormorant_8839.jpg</t>
  </si>
  <si>
    <t>Double-crested_Cormorant_9752MF.jpg</t>
  </si>
  <si>
    <t>Double-crested_cormorant-2.jpg</t>
  </si>
  <si>
    <t>Double-crested_Cormorant.jpg</t>
  </si>
  <si>
    <t>Double-striped_Thick-knee_6686.jpg</t>
  </si>
  <si>
    <t xml:space="preserve">Double-striped Thick-knee </t>
  </si>
  <si>
    <t>Double-striped_Thick-knee_8147.jpg</t>
  </si>
  <si>
    <t>Double-striped_Thick-knee_MF5789.jpg</t>
  </si>
  <si>
    <t>Downy_Woodpecker_1487.jpg</t>
  </si>
  <si>
    <t xml:space="preserve">Downy Woodpecker </t>
  </si>
  <si>
    <t>Downy_Woodpecker_4115.jpg</t>
  </si>
  <si>
    <t>Dull-colored_Grassquit_2975MF.jpg</t>
  </si>
  <si>
    <t xml:space="preserve">Dull-colored Grassquit </t>
  </si>
  <si>
    <t>Dull-mantled_Antbird_6580.jpg</t>
  </si>
  <si>
    <t xml:space="preserve">Dull-mantled Antbird </t>
  </si>
  <si>
    <t>Dunlin_20033.jpg</t>
  </si>
  <si>
    <t xml:space="preserve">Dunlin  </t>
  </si>
  <si>
    <t>Dunlin_2697.jpg</t>
  </si>
  <si>
    <t>Dunlin_2705.jpg</t>
  </si>
  <si>
    <t>Dunlin_5556MF.jpg</t>
  </si>
  <si>
    <t>Dunlin_6120.jpg</t>
  </si>
  <si>
    <t>Dunlin_7676.jpg</t>
  </si>
  <si>
    <t>Dunlin_7963.jpg</t>
  </si>
  <si>
    <t>Dusky_Antbird_5747-Dusky_Antbird_5747.jpg</t>
  </si>
  <si>
    <t xml:space="preserve">Dusky Antbird </t>
  </si>
  <si>
    <t>Dusky_Moorhen_8123.jpg</t>
  </si>
  <si>
    <t xml:space="preserve">Dusky Moorhen </t>
  </si>
  <si>
    <t>Dusky_Moorhen_8909.jpg</t>
  </si>
  <si>
    <t>Dusky_Robin_4193MF.jpg</t>
  </si>
  <si>
    <t xml:space="preserve">Dusky Robin </t>
  </si>
  <si>
    <t>Dusky_Woodswallow-646485790.jpg</t>
  </si>
  <si>
    <t>Dusky Woodswallow</t>
  </si>
  <si>
    <t>Dusky_Woodswallow-646554606.jpg</t>
  </si>
  <si>
    <t>Dusky-backed_Jacamar_0865.jpg</t>
  </si>
  <si>
    <t xml:space="preserve">Dusky-backed Jacamar </t>
  </si>
  <si>
    <t>Dusky-capped_Flycatcher_1641.jpg</t>
  </si>
  <si>
    <t xml:space="preserve">Dusky-capped Flycatcher </t>
  </si>
  <si>
    <t>Dusky-capped_Flycatcher_3911MF.jpg</t>
  </si>
  <si>
    <t>Dusky-capped_Flycatcher_4037.jpg</t>
  </si>
  <si>
    <t>Dusky-capped_Flycatcher_4109.jpg</t>
  </si>
  <si>
    <t>Dusky-capped_Flycatcher_6167.jpg</t>
  </si>
  <si>
    <t>Dusky-capped_Flycatcher.jpg</t>
  </si>
  <si>
    <t>Dusky-faced_Tanager.jpg</t>
  </si>
  <si>
    <t xml:space="preserve">Dusky-faced Tanager </t>
  </si>
  <si>
    <t>Eared Grebe-1621.jpg</t>
  </si>
  <si>
    <t>Eared Grebe</t>
  </si>
  <si>
    <t>Eared_Dove_5733.jpg</t>
  </si>
  <si>
    <t xml:space="preserve">Eared Dove </t>
  </si>
  <si>
    <t>Eared_Dove_5927.jpg</t>
  </si>
  <si>
    <t>Eared_Dove_6112.jpg</t>
  </si>
  <si>
    <t>Eastern Kingbird-007.jpg</t>
  </si>
  <si>
    <t>Eastern Kingbird</t>
  </si>
  <si>
    <t>Eastern_Bluebird_4094.jpg</t>
  </si>
  <si>
    <t xml:space="preserve">Eastern Bluebird </t>
  </si>
  <si>
    <t>Eastern_Bluebird_5584.jpg</t>
  </si>
  <si>
    <t>Eastern_Cattle-egret_269.jpg</t>
  </si>
  <si>
    <t xml:space="preserve">Eastern Cattle-Egret </t>
  </si>
  <si>
    <t>Eastern_Cattle-egret_4338.jpg</t>
  </si>
  <si>
    <t>Eastern_Cattle-egret_7049MF.jpg</t>
  </si>
  <si>
    <t>Eastern_Cattle-egret_8482.jpg</t>
  </si>
  <si>
    <t>Eastern_Cattle-egret_9586.jpg</t>
  </si>
  <si>
    <t>Eastern_Cattle-egret_9859.jpg</t>
  </si>
  <si>
    <t>Eastern_Kingbird_0329.jpg</t>
  </si>
  <si>
    <t xml:space="preserve">Eastern Kingbird </t>
  </si>
  <si>
    <t>Eastern_Kingbird_0572.jpg</t>
  </si>
  <si>
    <t>Eastern_Kingbird_1209.jpg</t>
  </si>
  <si>
    <t>Eastern_Kingbird_1386.jpg</t>
  </si>
  <si>
    <t>Eastern_Kingbird_1785.jpg</t>
  </si>
  <si>
    <t>Eastern_Kingbird_2647.jpg</t>
  </si>
  <si>
    <t>Eastern_Kingbird_5944MF.jpg</t>
  </si>
  <si>
    <t>Eastern_Kingbird_7250.jpg</t>
  </si>
  <si>
    <t>Eastern_Kingbird_7557.jpg</t>
  </si>
  <si>
    <t>Eastern_Kingbird_8511MF.jpg</t>
  </si>
  <si>
    <t>Eastern_Kingbird.jpg</t>
  </si>
  <si>
    <t>Eastern_Meadowlark_0890.jpg</t>
  </si>
  <si>
    <t xml:space="preserve">Eastern Meadowlark </t>
  </si>
  <si>
    <t>Eastern_Meadowlark_2034MF.jpg</t>
  </si>
  <si>
    <t>Eastern_Meadowlark_21774.jpg</t>
  </si>
  <si>
    <t>Eastern_Meadowlark_3063.jpg</t>
  </si>
  <si>
    <t>Eastern_Phoebe_20437.jpg</t>
  </si>
  <si>
    <t xml:space="preserve">Eastern Phoebe </t>
  </si>
  <si>
    <t>Eastern_Phoebe_2317.jpg</t>
  </si>
  <si>
    <t>Eastern_Phoebe_2919.jpg</t>
  </si>
  <si>
    <t>Eastern_Phoebe_7742.jpg</t>
  </si>
  <si>
    <t>Eastern_Phoebe_7965MF.jpg</t>
  </si>
  <si>
    <t>Eastern_Phoebe_8986.jpg</t>
  </si>
  <si>
    <t>Eastern_Rosella_3797MF.jpg</t>
  </si>
  <si>
    <t xml:space="preserve">Eastern Rosella </t>
  </si>
  <si>
    <t>Eastern_Rosella_8932.jpg</t>
  </si>
  <si>
    <t>Eastern_Screech-Owl_1280.jpg</t>
  </si>
  <si>
    <t xml:space="preserve">Eastern Screech-Owl </t>
  </si>
  <si>
    <t>Eastern_Screech-Owl_4214MF.jpg</t>
  </si>
  <si>
    <t>Eastern_Screech-Owl_4236MF.jpg</t>
  </si>
  <si>
    <t>Eastern_Shrike_tit-646517876.jpg</t>
  </si>
  <si>
    <t>Eastern Shrike-tit</t>
  </si>
  <si>
    <t>Eastern_Spinebill_7836.jpg</t>
  </si>
  <si>
    <t xml:space="preserve">Eastern Spinebill </t>
  </si>
  <si>
    <t>Eastern_Spinebill_9329.jpg</t>
  </si>
  <si>
    <t>Eastern_Towhee_4438MF.jpg</t>
  </si>
  <si>
    <t xml:space="preserve">Eastern Towhee </t>
  </si>
  <si>
    <t>Eastern_Towhee_9624.jpg</t>
  </si>
  <si>
    <t>Eastern_Warbling_Vireo_0270.jpg</t>
  </si>
  <si>
    <t>Eastern Warbling Vireo</t>
  </si>
  <si>
    <t>Eastern_Warbling_Vireo_0573MF.jpg</t>
  </si>
  <si>
    <t>Eastern_Warbling_Vireo_0653.jpg</t>
  </si>
  <si>
    <t>Eastern_Warbling_Vireo_1876.jpg</t>
  </si>
  <si>
    <t>Eastern_Warbling_Vireo_1877.jpg</t>
  </si>
  <si>
    <t>Eastern_Warbling_vireo_3947MF.jpg</t>
  </si>
  <si>
    <t>Eastern_Warbling_Vireo_4410MF.jpg</t>
  </si>
  <si>
    <t>Eastern_Warbling_Vireo_5008MF.jpg</t>
  </si>
  <si>
    <t>Eastern_Warbling_Vireo_5853MF.jpg</t>
  </si>
  <si>
    <t>Eastern_Warbling_Vireo_6874.jpg</t>
  </si>
  <si>
    <t>Eastern_Warbling_Vireo_7225MF.jpg</t>
  </si>
  <si>
    <t>Eastern_Whip-poor-will_4335MF.jpg</t>
  </si>
  <si>
    <t xml:space="preserve">Eastern Whip-poor-will </t>
  </si>
  <si>
    <t>Eastern_Whip-poor-will_6802.jpg</t>
  </si>
  <si>
    <t>Eastern_Whip-poor-will_7482.jpg</t>
  </si>
  <si>
    <t>Eastern_Wood-Pewee_0687.jpg</t>
  </si>
  <si>
    <t xml:space="preserve">Eastern Wood-Pewee </t>
  </si>
  <si>
    <t>Eastern_Wood-Pewee_1713.jpg</t>
  </si>
  <si>
    <t>Eastern_Wood-Pewee_1900.jpg</t>
  </si>
  <si>
    <t>Eastern_Wood-Pewee_2262.jpg</t>
  </si>
  <si>
    <t>Eastern_Wood-Pewee_2792.jpg</t>
  </si>
  <si>
    <t>Eastern_Wood-Pewee_7812.jpg</t>
  </si>
  <si>
    <t>Eastern_Wood-Pewee_7831.jpg</t>
  </si>
  <si>
    <t>Eastern_Wood-Pewee.jpg</t>
  </si>
  <si>
    <t>Eastern_Yellow_Robin.jpg</t>
  </si>
  <si>
    <t>Eastern Yellow Robin</t>
  </si>
  <si>
    <t>Ecuadorian_Hillstar_6841.jpg</t>
  </si>
  <si>
    <t xml:space="preserve">Ecuadorian Hillstar </t>
  </si>
  <si>
    <t>Ecuadorian_Hillstar_7082.jpg</t>
  </si>
  <si>
    <t>Ecuadorian_Thrush_5574.jpg</t>
  </si>
  <si>
    <t xml:space="preserve">Ecuadorian Thrush </t>
  </si>
  <si>
    <t>Egyptian Goose-4014.jpg</t>
  </si>
  <si>
    <t>Egyptian Goose</t>
  </si>
  <si>
    <t>Egyptian_Goose_161.jpg</t>
  </si>
  <si>
    <t xml:space="preserve">Egyptian Goose </t>
  </si>
  <si>
    <t>Egyptian_Goose_2607.jpg</t>
  </si>
  <si>
    <t>Egyptian_Goose_355.jpg</t>
  </si>
  <si>
    <t>Elegant_Parrot-646398533.jpg</t>
  </si>
  <si>
    <t>Elegant Parrot</t>
  </si>
  <si>
    <t>Elegant_Parrot-646398807.jpg</t>
  </si>
  <si>
    <t>Emerald_Tanager_3738MF.jpg</t>
  </si>
  <si>
    <t xml:space="preserve">Emerald Tanager </t>
  </si>
  <si>
    <t>Emerald_Tanager.jpg</t>
  </si>
  <si>
    <t>Emerald-spotted_Wood-Dove_9196.jpg</t>
  </si>
  <si>
    <t xml:space="preserve">Emerald-spotted Wood-Dove </t>
  </si>
  <si>
    <t>Emu_9743.jpg</t>
  </si>
  <si>
    <t xml:space="preserve">Emu  </t>
  </si>
  <si>
    <t>Emu_9889DR.jpg</t>
  </si>
  <si>
    <t>Equatorial_Antpitta_3347.jpg</t>
  </si>
  <si>
    <t xml:space="preserve">Equatorial Antpitta </t>
  </si>
  <si>
    <t>Erckels_Spurfowl_0702.jpg</t>
  </si>
  <si>
    <t>Erckel's Spurfowl</t>
  </si>
  <si>
    <t>Eurasian_Blackbird_0288.jpg</t>
  </si>
  <si>
    <t xml:space="preserve">Eurasian Blackbird </t>
  </si>
  <si>
    <t>Eurasian_Blackbird_2250.jpg</t>
  </si>
  <si>
    <t>Eurasian_Collared-Dove_4624.jpg</t>
  </si>
  <si>
    <t xml:space="preserve">Eurasian Collared-Dove </t>
  </si>
  <si>
    <t>Eurasian_Collared-Dove_7578.jpg</t>
  </si>
  <si>
    <t>Eurasian_Coot-646193948.jpg</t>
  </si>
  <si>
    <t>Eurasian Coot</t>
  </si>
  <si>
    <t>Eurasian_Moorhen_0041.jpg</t>
  </si>
  <si>
    <t xml:space="preserve">Eurasian Moorhen </t>
  </si>
  <si>
    <t>Eurasian_Moorhen_0050.jpg</t>
  </si>
  <si>
    <t>Eurasian_Moorhen_9611.jpg</t>
  </si>
  <si>
    <t>Eurasian_Skylark_0865.jpg</t>
  </si>
  <si>
    <t xml:space="preserve">Eurasian Skylark </t>
  </si>
  <si>
    <t>Eurasian_Skylark_3439MF.jpg</t>
  </si>
  <si>
    <t>Eurasian_Tree_Sparrow-646698471.jpg</t>
  </si>
  <si>
    <t>Eurasian Tree Sparrow</t>
  </si>
  <si>
    <t>Eurasian_Whimbrel_1453.jpg</t>
  </si>
  <si>
    <t xml:space="preserve">Eurasian Whimbrel </t>
  </si>
  <si>
    <t>Eurasian_Whimbrel_2090MF.jpg</t>
  </si>
  <si>
    <t>Eurasian_Whimbrel_3575.jpg</t>
  </si>
  <si>
    <t>Eurasian_Whimbrel_7275.jpg</t>
  </si>
  <si>
    <t>Eurasian_Whimbrel_7280.jpg</t>
  </si>
  <si>
    <t>Eurasian_Whimbrel_9624.jpg</t>
  </si>
  <si>
    <t>Eurasian_Wigeon.jpg</t>
  </si>
  <si>
    <t xml:space="preserve">Eurasian Wigeon </t>
  </si>
  <si>
    <t>European Bee-eater 109.jpg</t>
  </si>
  <si>
    <t>European Bee-eater</t>
  </si>
  <si>
    <t>European_Goldfinch_2254.jpg</t>
  </si>
  <si>
    <t xml:space="preserve">European Goldfinch </t>
  </si>
  <si>
    <t>European_Starling_4909MF.jpg</t>
  </si>
  <si>
    <t xml:space="preserve">European Starling </t>
  </si>
  <si>
    <t>Evening Grosbeak-7153.jpg</t>
  </si>
  <si>
    <t>Evening Grosbeak</t>
  </si>
  <si>
    <t>Evening Grosbeak-7160.jpg</t>
  </si>
  <si>
    <t>Eye-ringed_Flatbill_8079.jpg</t>
  </si>
  <si>
    <t xml:space="preserve">Eye-ringed Flatbill </t>
  </si>
  <si>
    <t>Eye-ringed_Flatbill_8080.jpg</t>
  </si>
  <si>
    <t>Eye-ringed_Flatbill_MF5583.jpg</t>
  </si>
  <si>
    <t>Familiar_Chat_2701.jpg</t>
  </si>
  <si>
    <t xml:space="preserve">Familiar Chat </t>
  </si>
  <si>
    <t>Familiar_Chat_6347.jpg</t>
  </si>
  <si>
    <t>Fan-tailed_Cuckoo_3214MF.jpg</t>
  </si>
  <si>
    <t xml:space="preserve">Fan-tailed Cuckoo </t>
  </si>
  <si>
    <t>Fan-tailed_Cuckoo_3695MF.jpg</t>
  </si>
  <si>
    <t>Fasciated_Antshrike_4826.jpg</t>
  </si>
  <si>
    <t xml:space="preserve">Fasciated Antshrike </t>
  </si>
  <si>
    <t>Fasciated_Antshrike_5528.jpg</t>
  </si>
  <si>
    <t>Fawn-breasted_Brilliant_6477.jpg</t>
  </si>
  <si>
    <t xml:space="preserve">Fawn-breasted Brilliant </t>
  </si>
  <si>
    <t>Fawnbreasted_Tanager-194035951.jpg</t>
  </si>
  <si>
    <t>Fawn-breasted Tanager</t>
  </si>
  <si>
    <t>Ferruginous_Pygmy-Owl_1707.jpg</t>
  </si>
  <si>
    <t xml:space="preserve">Ferruginous Pygmy-Owl </t>
  </si>
  <si>
    <t>Ferruginous_Pygmy-Owl_4023MF.jpg</t>
  </si>
  <si>
    <t>Ferruginous_Pygmy-Owl_4920.jpg</t>
  </si>
  <si>
    <t>Field_Sparrow_0039MF.jpg</t>
  </si>
  <si>
    <t xml:space="preserve">Field Sparrow </t>
  </si>
  <si>
    <t>Field_Sparrow_1901.jpg</t>
  </si>
  <si>
    <t>Field_Sparrow_5175.jpg</t>
  </si>
  <si>
    <t>Fiery-throated_Hummingbird_1867.jpg</t>
  </si>
  <si>
    <t xml:space="preserve">Fiery-throated Hummingbird </t>
  </si>
  <si>
    <t>Fiery-throated_Hummingbird_MF2206.jpg</t>
  </si>
  <si>
    <t>Flame_Robin_4539MF.jpg</t>
  </si>
  <si>
    <t xml:space="preserve">Flame Robin </t>
  </si>
  <si>
    <t>Flame-colored_Tanager_2477.jpg</t>
  </si>
  <si>
    <t xml:space="preserve">Flame-colored Tanager </t>
  </si>
  <si>
    <t>Flame-colored_Tanager_3790.jpg</t>
  </si>
  <si>
    <t>Flame-colored_Tanager_5811.jpg</t>
  </si>
  <si>
    <t>Flame-faced_Tanager_4547.jpg</t>
  </si>
  <si>
    <t xml:space="preserve">Flame-faced Tanager </t>
  </si>
  <si>
    <t>Flame-rumped_Tanager_1451.jpg</t>
  </si>
  <si>
    <t xml:space="preserve">Flame-rumped Tanager </t>
  </si>
  <si>
    <t>Flame-rumped_Tanager_2237.jpg</t>
  </si>
  <si>
    <t>Flame-rumped_Tanager_4551.jpg</t>
  </si>
  <si>
    <t>Flame-rumped_Tanager_6350.jpg</t>
  </si>
  <si>
    <t>Flame-throated_Warbler_1373MF.jpg</t>
  </si>
  <si>
    <t xml:space="preserve">Flame-throated Warbler </t>
  </si>
  <si>
    <t>Flame-throated_Warbler_3794.jpg</t>
  </si>
  <si>
    <t>Flame-throated_Warbler_MF2947.jpg</t>
  </si>
  <si>
    <t>Flamerumped_Tanager-473943911.jpg</t>
  </si>
  <si>
    <t>Flame-rumped Tanager</t>
  </si>
  <si>
    <t>Forest_Rock-thrush_-_Monticole_de_foret_5894.jpg</t>
  </si>
  <si>
    <t xml:space="preserve">Forest Rock-Thrush </t>
  </si>
  <si>
    <t>Fork-tailed_Drongo_255.jpg</t>
  </si>
  <si>
    <t xml:space="preserve">Fork-tailed Drongo </t>
  </si>
  <si>
    <t>Fork-tailed_Drongo_367.jpg</t>
  </si>
  <si>
    <t>Fork-tailed_Drongo_8154.jpg</t>
  </si>
  <si>
    <t>Fork-tailed_Flycatcher_0583.jpg</t>
  </si>
  <si>
    <t xml:space="preserve">Fork-tailed Flycatcher </t>
  </si>
  <si>
    <t>Fork-tailed_Flycatcher_21809.jpg</t>
  </si>
  <si>
    <t>Forsters_Tern_20227.jpg</t>
  </si>
  <si>
    <t>Forster's Tern</t>
  </si>
  <si>
    <t>Forsters_Tern_7000MF.jpg</t>
  </si>
  <si>
    <t>Forty-spotted Pardalote 4273.jpg</t>
  </si>
  <si>
    <t>Forty-spotted Pardalote</t>
  </si>
  <si>
    <t>Fox Sparrow 2884.jpg</t>
  </si>
  <si>
    <t>Fox Sparrow</t>
  </si>
  <si>
    <t>Fox_Sparrow_6337.jpg</t>
  </si>
  <si>
    <t xml:space="preserve">Fox Sparrow </t>
  </si>
  <si>
    <t>Fox_Sparrow_9183.jpg</t>
  </si>
  <si>
    <t>Francess_Sparrowhawk_-_Epervier_de_Frances_5117.jpg</t>
  </si>
  <si>
    <t>Frances's Sparrowhawk</t>
  </si>
  <si>
    <t>Freckled_Duck-646705832.jpg</t>
  </si>
  <si>
    <t>Freckled Duck</t>
  </si>
  <si>
    <t>Freckled_Duck-646972026.jpg</t>
  </si>
  <si>
    <t>Fulvous_Whistling-Duck_21195.jpg</t>
  </si>
  <si>
    <t xml:space="preserve">Fulvous Whistling-Duck </t>
  </si>
  <si>
    <t>Fulvous_Whistling-Duck_21465.jpg</t>
  </si>
  <si>
    <t>Fulvous-vented_Euphonia_6192.jpg</t>
  </si>
  <si>
    <t xml:space="preserve">Fulvous-vented Euphonia </t>
  </si>
  <si>
    <t>Gabon_Boubou_0503.jpg</t>
  </si>
  <si>
    <t xml:space="preserve">Gabon Boubou </t>
  </si>
  <si>
    <t>Gadwall_1196.jpg</t>
  </si>
  <si>
    <t xml:space="preserve">Gadwall  </t>
  </si>
  <si>
    <t>Gadwall_1290MF.jpg</t>
  </si>
  <si>
    <t>Gadwall_5541MF.jpg</t>
  </si>
  <si>
    <t>Gadwall_7265.jpg</t>
  </si>
  <si>
    <t>Galah_0348.jpg</t>
  </si>
  <si>
    <t xml:space="preserve">Galah  </t>
  </si>
  <si>
    <t>Galah_3750MF.jpg</t>
  </si>
  <si>
    <t>Galah_9715.jpg</t>
  </si>
  <si>
    <t>Galapagos_Dove_52.jpg</t>
  </si>
  <si>
    <t xml:space="preserve">Galapagos Dove </t>
  </si>
  <si>
    <t>Galapagos_Hawk.jpg</t>
  </si>
  <si>
    <t xml:space="preserve">Galapagos Hawk </t>
  </si>
  <si>
    <t>Galapagos_mockingbird_26.jpg</t>
  </si>
  <si>
    <t xml:space="preserve">Galapagos Mockingbird </t>
  </si>
  <si>
    <t>Galapagos_Penguin_206.jpg</t>
  </si>
  <si>
    <t xml:space="preserve">Galapagos Penguin </t>
  </si>
  <si>
    <t>Gang-gang_Cockatoo_3141MF.jpg</t>
  </si>
  <si>
    <t xml:space="preserve">Gang-gang Cockatoo </t>
  </si>
  <si>
    <t>Gang-gang_Cockatoo_9767.jpg</t>
  </si>
  <si>
    <t>Gartered_Violaceous_Trogon_5571.jpg</t>
  </si>
  <si>
    <t>Gartered Violaceous Trogon</t>
  </si>
  <si>
    <t>Gartered_Violaceous_Trogon_7458.jpg</t>
  </si>
  <si>
    <t>Gartered_Violaceous_Trogon_9000.jpg</t>
  </si>
  <si>
    <t>Giant Coua-6295.jpg</t>
  </si>
  <si>
    <t>Giant Coua</t>
  </si>
  <si>
    <t>Giant_Coua_-_Coua_geant_6295.jpg</t>
  </si>
  <si>
    <t xml:space="preserve">Giant Coua </t>
  </si>
  <si>
    <t>Giant_Coua_-_Coua_geant_6302.jpg</t>
  </si>
  <si>
    <t>Giant_Cowbird_21971.jpg</t>
  </si>
  <si>
    <t xml:space="preserve">Giant Cowbird </t>
  </si>
  <si>
    <t>Giant_hummingbird_7138.jpg</t>
  </si>
  <si>
    <t xml:space="preserve">Giant Hummingbird </t>
  </si>
  <si>
    <t>Giant_Kingfisher_6914.jpg</t>
  </si>
  <si>
    <t xml:space="preserve">Giant Kingfisher </t>
  </si>
  <si>
    <t>Glaucous_Tanager_21325.jpg</t>
  </si>
  <si>
    <t xml:space="preserve">Glaucous Tanager </t>
  </si>
  <si>
    <t>Glaucous-winged_Gull_8615.jpg</t>
  </si>
  <si>
    <t xml:space="preserve">Glaucous-winged Gull </t>
  </si>
  <si>
    <t>Glistening-green_Tanager_4543.jpg</t>
  </si>
  <si>
    <t xml:space="preserve">Glistening-green Tanager </t>
  </si>
  <si>
    <t>Glossy_Ibis_0991.jpg</t>
  </si>
  <si>
    <t xml:space="preserve">Glossy Ibis </t>
  </si>
  <si>
    <t>Glossy_Ibis_1627.jpg</t>
  </si>
  <si>
    <t>Glossy_Ibis_1649.jpg</t>
  </si>
  <si>
    <t>Glossy_Ibis_21073.jpg</t>
  </si>
  <si>
    <t>Glossy_Ibis_3106.jpg</t>
  </si>
  <si>
    <t>Glossy_Ibis_349.jpg</t>
  </si>
  <si>
    <t>Glossy_Ibis_349g.jpg</t>
  </si>
  <si>
    <t>Glossy_Ibis_4576.jpg</t>
  </si>
  <si>
    <t>Glossy_Ibis_9708.jpg</t>
  </si>
  <si>
    <t>Glossy_Ibis_9792.jpg</t>
  </si>
  <si>
    <t>Glossy_Ibis_9877.jpg</t>
  </si>
  <si>
    <t>Glowing_Puffleg_4729.jpg</t>
  </si>
  <si>
    <t xml:space="preserve">Glowing Puffleg </t>
  </si>
  <si>
    <t>Golden_Grosbeak_2752.jpg</t>
  </si>
  <si>
    <t xml:space="preserve">Golden Grosbeak </t>
  </si>
  <si>
    <t>Golden_Grosbeak_2904.jpg</t>
  </si>
  <si>
    <t>Golden_tanager_3717.jpg</t>
  </si>
  <si>
    <t xml:space="preserve">Golden Tanager </t>
  </si>
  <si>
    <t>Golden_Whistler_5293MF.jpg</t>
  </si>
  <si>
    <t xml:space="preserve">Golden Whistler </t>
  </si>
  <si>
    <t>Golden-bellied_Flycatcher_24070.jpg</t>
  </si>
  <si>
    <t xml:space="preserve">Golden-bellied Flycatcher </t>
  </si>
  <si>
    <t>Golden-bellied_Flycatcher_2933.jpg</t>
  </si>
  <si>
    <t>Golden-bellied_Flycatcher_2972.jpg</t>
  </si>
  <si>
    <t>Golden-bellied_Starfrontlet-194193141.jpg</t>
  </si>
  <si>
    <t>Golden-bellied Starfrontlet</t>
  </si>
  <si>
    <t>Golden-breasted Puffleg.jpg</t>
  </si>
  <si>
    <t>Golden-breasted Puffleg</t>
  </si>
  <si>
    <t>Golden-breasted_Bunting-531942181.jpg</t>
  </si>
  <si>
    <t>Golden-breasted Bunting</t>
  </si>
  <si>
    <t>Golden-browed_Chlorophonia_2702.jpg</t>
  </si>
  <si>
    <t xml:space="preserve">Golden-browed Chlorophonia </t>
  </si>
  <si>
    <t>Golden-browed_Chlorophonia_2719.jpg</t>
  </si>
  <si>
    <t>Golden-collared_Honeycreeper_4480.jpg</t>
  </si>
  <si>
    <t xml:space="preserve">Golden-collared Honeycreeper </t>
  </si>
  <si>
    <t>Golden-collared_Manakin_0753.jpg</t>
  </si>
  <si>
    <t xml:space="preserve">Golden-collared Manakin </t>
  </si>
  <si>
    <t>Golden-collared_Manakin_9725.jpg</t>
  </si>
  <si>
    <t>Golden-collared_Manakin.jpg</t>
  </si>
  <si>
    <t>Golden-crowned_Kinglet_7089.jpg</t>
  </si>
  <si>
    <t xml:space="preserve">Golden-crowned Kinglet </t>
  </si>
  <si>
    <t>Golden-crowned_Kinglet_7092.jpg</t>
  </si>
  <si>
    <t>Golden-crowned_Sparrow_2122.jpg</t>
  </si>
  <si>
    <t xml:space="preserve">Golden-crowned Sparrow </t>
  </si>
  <si>
    <t>Golden-faced_Tyrannulet_23211.jpg</t>
  </si>
  <si>
    <t xml:space="preserve">Golden-faced Tyrannulet </t>
  </si>
  <si>
    <t>Golden-faced_Tyrannulet_4150.jpg</t>
  </si>
  <si>
    <t>Golden-faced_Tyrannulet_4421.jpg</t>
  </si>
  <si>
    <t>Golden-fronted_Greenlet_0425.jpg</t>
  </si>
  <si>
    <t xml:space="preserve">Golden-fronted Greenlet </t>
  </si>
  <si>
    <t>Golden-fronted_Redstart_3796.jpg</t>
  </si>
  <si>
    <t xml:space="preserve">Golden-fronted Redstart </t>
  </si>
  <si>
    <t>Golden-fronted_Redstart_5172.jpg</t>
  </si>
  <si>
    <t>Golden-fronted_Redstart.jpg</t>
  </si>
  <si>
    <t>Golden-green_Woodpecker_0601.jpg</t>
  </si>
  <si>
    <t xml:space="preserve">Golden-green Woodpecker </t>
  </si>
  <si>
    <t>Golden-green_Woodpecker_23093.jpg</t>
  </si>
  <si>
    <t>Golden-headed_Manakin_1274.jpg</t>
  </si>
  <si>
    <t xml:space="preserve">Golden-headed Manakin </t>
  </si>
  <si>
    <t>Golden-headed_Manakin_5296.jpg</t>
  </si>
  <si>
    <t>Golden-hooded_Tanager_3557MF.jpg</t>
  </si>
  <si>
    <t xml:space="preserve">Golden-hooded Tanager </t>
  </si>
  <si>
    <t>Golden-hooded_Tanager_3608MF.jpg</t>
  </si>
  <si>
    <t>Golden-hooded_Tanager_4014.jpg</t>
  </si>
  <si>
    <t>Golden-hooded_Tanager.jpg</t>
  </si>
  <si>
    <t>Golden-naped_Tanager_4604.jpg</t>
  </si>
  <si>
    <t xml:space="preserve">Golden-naped Tanager </t>
  </si>
  <si>
    <t>Golden-olive_Woodpecker_24091.jpg</t>
  </si>
  <si>
    <t xml:space="preserve">Golden-olive Woodpecker </t>
  </si>
  <si>
    <t>Golden-olive_Woodpecker_5963.jpg</t>
  </si>
  <si>
    <t>Golden-olive_Woodpecker_6640.jpg</t>
  </si>
  <si>
    <t>Golden-olive_Woodpecker_7039.jpg</t>
  </si>
  <si>
    <t>Golden-plumed_Parakeet_4802.jpg</t>
  </si>
  <si>
    <t xml:space="preserve">Golden-plumed Parakeet </t>
  </si>
  <si>
    <t>Golden-plumed_Parakeet_6146.jpg</t>
  </si>
  <si>
    <t>Golden-tailed Woodpecker-4876.jpg</t>
  </si>
  <si>
    <t>Golden-tailed Woodpecker</t>
  </si>
  <si>
    <t>Golden-winged_Warbler_0325.jpg</t>
  </si>
  <si>
    <t xml:space="preserve">Golden-winged Warbler </t>
  </si>
  <si>
    <t>Golden-winged_Warbler_0516.jpg</t>
  </si>
  <si>
    <t>Golden-winged_Warbler_4146.jpg</t>
  </si>
  <si>
    <t>Golden-winged_Warbler_4162.jpg</t>
  </si>
  <si>
    <t>Golden-winged_Warbler_5834.jpg</t>
  </si>
  <si>
    <t>Goldenfaced_Tyrannulet_Goldenfaced-421418501.jpg</t>
  </si>
  <si>
    <t>Golden-faced Tyrannulet</t>
  </si>
  <si>
    <t>Goliath Heron-4311.jpg</t>
  </si>
  <si>
    <t>Goliath Heron</t>
  </si>
  <si>
    <t>Goliath_Heron_1984.jpg</t>
  </si>
  <si>
    <t xml:space="preserve">Goliath Heron </t>
  </si>
  <si>
    <t>Gorgeted_Woodstar_5954.jpg</t>
  </si>
  <si>
    <t xml:space="preserve">Gorgeted Woodstar </t>
  </si>
  <si>
    <t>Graceful_Black-throated_Trogon_2627.jpg</t>
  </si>
  <si>
    <t>Graceful Black-throated Trogon</t>
  </si>
  <si>
    <t>Graceful_Black-throated_Trogon_5732.jpg</t>
  </si>
  <si>
    <t>Graceful_Black-throated_Trogon.jpg</t>
  </si>
  <si>
    <t>Grass_Wren_2118.jpg</t>
  </si>
  <si>
    <t xml:space="preserve">Grass Wren </t>
  </si>
  <si>
    <t>Grass_Wren.jpg</t>
  </si>
  <si>
    <t>Grasshopper_Sparrow_2744.jpg</t>
  </si>
  <si>
    <t xml:space="preserve">Grasshopper Sparrow </t>
  </si>
  <si>
    <t>Grasshopper_Sparrow_2787.jpg</t>
  </si>
  <si>
    <t>Gray Partridge 7550.jpg</t>
  </si>
  <si>
    <t>Gray Partridge</t>
  </si>
  <si>
    <t>Gray_Butcherbird_4020.jpg</t>
  </si>
  <si>
    <t xml:space="preserve">Gray Butcherbird </t>
  </si>
  <si>
    <t>Gray_Catbird_0380.jpg</t>
  </si>
  <si>
    <t xml:space="preserve">Gray Catbird </t>
  </si>
  <si>
    <t>Gray_Catbird_3023.jpg</t>
  </si>
  <si>
    <t>Gray_Catbird_3477.jpg</t>
  </si>
  <si>
    <t>Gray_Catbird_4443MF.jpg</t>
  </si>
  <si>
    <t>Gray_Catbird_4991.jpg</t>
  </si>
  <si>
    <t>Gray_Catbird_5460MF.jpg</t>
  </si>
  <si>
    <t>Gray_Catbird_5594.jpg</t>
  </si>
  <si>
    <t>Gray_Catbird_6399.jpg</t>
  </si>
  <si>
    <t>Gray_Catbird_7029.jpg</t>
  </si>
  <si>
    <t>Gray_Catbird_7186.jpg</t>
  </si>
  <si>
    <t>Gray_Catbird_8859.jpg</t>
  </si>
  <si>
    <t>Gray_Catbird_8890MF.jpg</t>
  </si>
  <si>
    <t>Gray_Catbird_9581.jpg</t>
  </si>
  <si>
    <t>Gray_Catbird_9859.jpg</t>
  </si>
  <si>
    <t>Gray_Catbird-2.jpg</t>
  </si>
  <si>
    <t>Gray_Catbird.jpg</t>
  </si>
  <si>
    <t>Gray_Crowned-crane_272.jpg</t>
  </si>
  <si>
    <t xml:space="preserve">Gray Crowned-Crane </t>
  </si>
  <si>
    <t>Gray_Crowned-crane_273.jpg</t>
  </si>
  <si>
    <t>Gray_Currawong-646907825.jpg</t>
  </si>
  <si>
    <t>Gray Currawong</t>
  </si>
  <si>
    <t>Gray_Fantail_0585.jpg</t>
  </si>
  <si>
    <t xml:space="preserve">Gray Fantail </t>
  </si>
  <si>
    <t>Gray_Fantail_4370MF.jpg</t>
  </si>
  <si>
    <t>Gray_Francolin_0350.jpg</t>
  </si>
  <si>
    <t xml:space="preserve">Gray Francolin </t>
  </si>
  <si>
    <t>Gray_Go-Away-Bird_Lourie_34.jpg</t>
  </si>
  <si>
    <t xml:space="preserve">Gray Go-away-bird </t>
  </si>
  <si>
    <t>Gray_Goshawk-646975174.jpg</t>
  </si>
  <si>
    <t>Gray Goshawk</t>
  </si>
  <si>
    <t>Gray_Hawk_2428MF.jpg</t>
  </si>
  <si>
    <t xml:space="preserve">Gray Hawk </t>
  </si>
  <si>
    <t>Gray_Hawk_7970.jpg</t>
  </si>
  <si>
    <t>Gray_Hawk_MF5531.jpg</t>
  </si>
  <si>
    <t>Gray_Hawk_MF6283.jpg</t>
  </si>
  <si>
    <t>Gray_Heron_-_Heron_cendre_7112.jpg</t>
  </si>
  <si>
    <t xml:space="preserve">Gray Heron </t>
  </si>
  <si>
    <t>Gray_Heron_1993.jpg</t>
  </si>
  <si>
    <t>Gray_Kingbird_20614.jpg</t>
  </si>
  <si>
    <t xml:space="preserve">Gray Kingbird </t>
  </si>
  <si>
    <t>Gray_Kingbird_4960.jpg</t>
  </si>
  <si>
    <t>Gray_Kingbird_4986.jpg</t>
  </si>
  <si>
    <t>Gray_Kingbird_5044.jpg</t>
  </si>
  <si>
    <t>Gray_Kingbird_5889.jpg</t>
  </si>
  <si>
    <t>Gray_Shrikethrush_4576MF.jpg</t>
  </si>
  <si>
    <t xml:space="preserve">Gray Shrikethrush </t>
  </si>
  <si>
    <t>Gray_Teal-646207319.jpg</t>
  </si>
  <si>
    <t>Gray Teal</t>
  </si>
  <si>
    <t>Gray_Teal-646207641.jpg</t>
  </si>
  <si>
    <t>Gray_Teal-646970889.jpg</t>
  </si>
  <si>
    <t>Gray-backed_Fiscal_170.jpg</t>
  </si>
  <si>
    <t xml:space="preserve">Gray-backed Fiscal </t>
  </si>
  <si>
    <t>Gray-backed_Sparrow-Lark_123.jpg</t>
  </si>
  <si>
    <t xml:space="preserve">Gray-backed Sparrow-Lark </t>
  </si>
  <si>
    <t>Gray-breasted_Wood-Wren_3337.jpg</t>
  </si>
  <si>
    <t xml:space="preserve">Gray-breasted Wood-Wren </t>
  </si>
  <si>
    <t>Gray-breasted_Wood-Wren_4772.jpg</t>
  </si>
  <si>
    <t>Gray-breasted_Wood-wren-638318100.jpg</t>
  </si>
  <si>
    <t>Gray-breasted Wood-Wren</t>
  </si>
  <si>
    <t>Gray-browed_Brushfinch_3877.jpg</t>
  </si>
  <si>
    <t xml:space="preserve">Gray-browed Brushfinch </t>
  </si>
  <si>
    <t>Gray-browed_Brushfinch_4940.jpg</t>
  </si>
  <si>
    <t>Gray-capped_Flycatcher_3921.jpg</t>
  </si>
  <si>
    <t xml:space="preserve">Gray-capped Flycatcher </t>
  </si>
  <si>
    <t>Gray-cheeked_Nunlet_0762.jpg</t>
  </si>
  <si>
    <t xml:space="preserve">Gray-cheeked Nunlet </t>
  </si>
  <si>
    <t>Gray-cowled_Wood-Rail_2570.jpg</t>
  </si>
  <si>
    <t xml:space="preserve">Gray-cowled Wood-Rail </t>
  </si>
  <si>
    <t>Gray-crowned_Babbler-646516207.jpg</t>
  </si>
  <si>
    <t>Gray-crowned Babbler</t>
  </si>
  <si>
    <t>Gray-crowned_Babbler-646516546.jpg</t>
  </si>
  <si>
    <t>Gray-crowned_Yellowthroat-79643501.jpg</t>
  </si>
  <si>
    <t>Gray-crowned Yellowthroat</t>
  </si>
  <si>
    <t>Gray-fronted Honeyeater-9761.jpg</t>
  </si>
  <si>
    <t>Gray-fronted Honeyeater</t>
  </si>
  <si>
    <t>Gray-headed Bushshrike 9829.jpg</t>
  </si>
  <si>
    <t>Gray-headed Bushshrike</t>
  </si>
  <si>
    <t>Gray-headed_Chachalaca_4700.jpg</t>
  </si>
  <si>
    <t xml:space="preserve">Gray-headed Chachalaca </t>
  </si>
  <si>
    <t>Gray-headed_Chachalaca_4831.jpg</t>
  </si>
  <si>
    <t>Gray-headed_Chachalaca_4838.jpg</t>
  </si>
  <si>
    <t>Gray-headed_Chachalaca_MF5294.jpg</t>
  </si>
  <si>
    <t>Gray-headed_Kingfisher_319.jpg</t>
  </si>
  <si>
    <t xml:space="preserve">Gray-headed Kingfisher </t>
  </si>
  <si>
    <t>Gray-headed_Lovebird_-_Inseparable_a_tete_grise_6661-2.jpg.jpg</t>
  </si>
  <si>
    <t xml:space="preserve">Gray-headed Lovebird </t>
  </si>
  <si>
    <t>Gray-headed_Lovebird_-_Inseparable_a_tete_grise_6661.jpg</t>
  </si>
  <si>
    <t>Gray-headed_Swamphen_1144.jpg</t>
  </si>
  <si>
    <t xml:space="preserve">Gray-headed Swamphen </t>
  </si>
  <si>
    <t>Gray-headed_Swamphen_20396.jpg</t>
  </si>
  <si>
    <t>Gray-headed_Swamphen_21446.jpg</t>
  </si>
  <si>
    <t>Gray-headed_Swamphen_3133.jpg</t>
  </si>
  <si>
    <t>Gray-headed_Swamphen_4400.jpg</t>
  </si>
  <si>
    <t>Gray-headed_Swamphen_6623.jpg</t>
  </si>
  <si>
    <t>Gray-headed_Tanager_4280.jpg</t>
  </si>
  <si>
    <t xml:space="preserve">Gray-headed Tanager </t>
  </si>
  <si>
    <t>Gray-headed_Tanager_4326.jpg</t>
  </si>
  <si>
    <t>Gray-headed_Tanager_8495.jpg</t>
  </si>
  <si>
    <t>Gray-headed_Tanager_8507.jpg</t>
  </si>
  <si>
    <t>Gray-hooded Gull-4930.jpg</t>
  </si>
  <si>
    <t>Gray-hooded Gull</t>
  </si>
  <si>
    <t>Gray-lined_Hawk_1605.jpg</t>
  </si>
  <si>
    <t xml:space="preserve">Gray-lined Hawk </t>
  </si>
  <si>
    <t>Gray-lined_Hawk_2094.jpg</t>
  </si>
  <si>
    <t>Gray-lined_hawk_4899.jpg</t>
  </si>
  <si>
    <t>Grayish_Piculet_1258.jpg</t>
  </si>
  <si>
    <t xml:space="preserve">Grayish Piculet </t>
  </si>
  <si>
    <t>Great Egret-76289111.jpg</t>
  </si>
  <si>
    <t>Great Egret</t>
  </si>
  <si>
    <t>Great horned owl-9999.jpg</t>
  </si>
  <si>
    <t>Great Horned Owl</t>
  </si>
  <si>
    <t>Great Jacamar-2589.jpg</t>
  </si>
  <si>
    <t>Great Jacamar</t>
  </si>
  <si>
    <t>Great_Antshrike_4673.jpg</t>
  </si>
  <si>
    <t xml:space="preserve">Great Antshrike </t>
  </si>
  <si>
    <t>Great_Black_Hawk_090.jpg</t>
  </si>
  <si>
    <t>Great Black Hawk</t>
  </si>
  <si>
    <t>Great_Black_Hawk_6728.jpg</t>
  </si>
  <si>
    <t>Great_Black-backed_Gull_2193.jpg</t>
  </si>
  <si>
    <t>Great Black-backed Gull</t>
  </si>
  <si>
    <t>Great_black-backed_Gull_9034.jpg</t>
  </si>
  <si>
    <t>Great_Blue_Heron_0089.jpg</t>
  </si>
  <si>
    <t>Great Blue Heron</t>
  </si>
  <si>
    <t>Great_Blue_Heron_0397.jpg</t>
  </si>
  <si>
    <t>Great_Blue_Heron_1693.jpg</t>
  </si>
  <si>
    <t>Great_Blue_Heron_21514.jpg</t>
  </si>
  <si>
    <t>Great_Blue_Heron_2221.jpg</t>
  </si>
  <si>
    <t>Great_Blue_Heron_4033.jpg</t>
  </si>
  <si>
    <t>Great_Blue_Heron_4724MF.jpg</t>
  </si>
  <si>
    <t>Great_Blue_Heron_6312.jpg</t>
  </si>
  <si>
    <t>Great_Blue_Heron_7267.jpg</t>
  </si>
  <si>
    <t>Great_Blue_Heron_9823.jpg</t>
  </si>
  <si>
    <t>Great_Blue_Heron_9847.jpg</t>
  </si>
  <si>
    <t>Great_Blue_Heron_9942.jpg</t>
  </si>
  <si>
    <t>Great_Blue_Heron_Courtship_7326.jpg</t>
  </si>
  <si>
    <t>Great_Blue_Heron_white_morph_4987.jpg</t>
  </si>
  <si>
    <t>Great_Cormorant.jpg</t>
  </si>
  <si>
    <t xml:space="preserve">Great Cormorant </t>
  </si>
  <si>
    <t>Great_Crested_Flycatcher_2184.jpg</t>
  </si>
  <si>
    <t>Great Crested Flycatcher</t>
  </si>
  <si>
    <t>Great_Crested_Flycatcher_2440.jpg</t>
  </si>
  <si>
    <t>Great_Crested_Flycatcher_3973.jpg</t>
  </si>
  <si>
    <t>Great_Crested_Flycatcher_5688.jpg</t>
  </si>
  <si>
    <t>Great_Crested_Flycatcher_9998.jpg</t>
  </si>
  <si>
    <t>Great_Crested_Grebe_1379.jpg</t>
  </si>
  <si>
    <t>Great Crested Grebe</t>
  </si>
  <si>
    <t>Great_Crested_Tern_3455MF.jpg</t>
  </si>
  <si>
    <t>Great Crested Tern</t>
  </si>
  <si>
    <t>Great_Crested_Tern_9803.jpg</t>
  </si>
  <si>
    <t>Great_Curassow_3795MF.jpg</t>
  </si>
  <si>
    <t xml:space="preserve">Great Curassow </t>
  </si>
  <si>
    <t>Great_Curassow_6586.jpg</t>
  </si>
  <si>
    <t>Great_Curassow_6595.jpg</t>
  </si>
  <si>
    <t>Great_Egret_-_Grande_aigrette_8475.jpg</t>
  </si>
  <si>
    <t xml:space="preserve">Great Egret </t>
  </si>
  <si>
    <t>Great_Egret_0971.jpg</t>
  </si>
  <si>
    <t>Great_Egret_1301.jpg</t>
  </si>
  <si>
    <t>Great_Egret_21154.jpg</t>
  </si>
  <si>
    <t>Great_Egret_2903.jpg</t>
  </si>
  <si>
    <t>Great_Egret_3559MF.jpg</t>
  </si>
  <si>
    <t>Great_Egret_6042.jpg</t>
  </si>
  <si>
    <t>Great_Egret_6349.jpg</t>
  </si>
  <si>
    <t>Great_Egret_6837MF.jpg</t>
  </si>
  <si>
    <t>Great_Egret_9350.jpg</t>
  </si>
  <si>
    <t>Great_Egret_9641.jpg</t>
  </si>
  <si>
    <t>Great_Egret_Australasian.jpg</t>
  </si>
  <si>
    <t>Great_Egret_on_Nest_4456.jpg</t>
  </si>
  <si>
    <t>Great_Gray_Owl_008.jpg</t>
  </si>
  <si>
    <t>Great Gray Owl</t>
  </si>
  <si>
    <t>Great_Green_Macaw_5266.jpg</t>
  </si>
  <si>
    <t>Great Green Macaw</t>
  </si>
  <si>
    <t>Great_Green_Macaw_5270.jpg</t>
  </si>
  <si>
    <t>Great_Green_Macaw_5986.jpg</t>
  </si>
  <si>
    <t>Great_Green_Macaw_5992.jpg</t>
  </si>
  <si>
    <t>Great_Green_Macaw_MF4207.jpg</t>
  </si>
  <si>
    <t>Great_Horned_Owl_0125.jpg</t>
  </si>
  <si>
    <t>Great_Horned_Owl_2122MF.jpg</t>
  </si>
  <si>
    <t>Great_Kiskadee_2418.jpg</t>
  </si>
  <si>
    <t xml:space="preserve">Great Kiskadee </t>
  </si>
  <si>
    <t>Great_Kiskadee_407.jpg</t>
  </si>
  <si>
    <t>Great_Kiskadee_5329.jpg</t>
  </si>
  <si>
    <t>Great_Kiskadee_8742.jpg</t>
  </si>
  <si>
    <t>Great_Potoo_7533.jpg</t>
  </si>
  <si>
    <t xml:space="preserve">Great Potoo </t>
  </si>
  <si>
    <t>Great_Potoo.jpg</t>
  </si>
  <si>
    <t>Great_Rufous_Sparrow_50.jpg</t>
  </si>
  <si>
    <t>Great Rufous Sparrow</t>
  </si>
  <si>
    <t>Great_Sapphirewing_2471.jpg</t>
  </si>
  <si>
    <t xml:space="preserve">Great Sapphirewing </t>
  </si>
  <si>
    <t>Great_Sapphirewing_2891.jpg</t>
  </si>
  <si>
    <t>Great_Sapphirewing_3041.jpg</t>
  </si>
  <si>
    <t>Great_Thrush_23853.jpg</t>
  </si>
  <si>
    <t xml:space="preserve">Great Thrush </t>
  </si>
  <si>
    <t>Great_Thrush_23934.jpg</t>
  </si>
  <si>
    <t>Great_Thrush_7191.jpg</t>
  </si>
  <si>
    <t>Great_White_Pelican_43.jpg</t>
  </si>
  <si>
    <t>Great White Pelican</t>
  </si>
  <si>
    <t>Great_White_Pelican_8967.jpg</t>
  </si>
  <si>
    <t>Great-horned Owl-028.jpg</t>
  </si>
  <si>
    <t>Great-tailed_Grackle_1422MF.jpg</t>
  </si>
  <si>
    <t xml:space="preserve">Great-tailed Grackle </t>
  </si>
  <si>
    <t>Great-tailed_Grackle_4880.jpg</t>
  </si>
  <si>
    <t>Great-tailed_Grackle_6482.jpg</t>
  </si>
  <si>
    <t>Great-tailed_Grackle_770.jpg</t>
  </si>
  <si>
    <t>Greater Roadrunner-811.jpg</t>
  </si>
  <si>
    <t>Greater Roadrunner</t>
  </si>
  <si>
    <t>Greater_Ani_1796.jpg</t>
  </si>
  <si>
    <t xml:space="preserve">Greater Ani </t>
  </si>
  <si>
    <t>Greater_Ani_6959.jpg</t>
  </si>
  <si>
    <t>Greater_Ani_8862.jpg</t>
  </si>
  <si>
    <t>Greater_Double-collared_Sunbird_2299.jpg</t>
  </si>
  <si>
    <t>Greater Double-collared Sunbird</t>
  </si>
  <si>
    <t>Greater_Kestrel_353.jpg</t>
  </si>
  <si>
    <t xml:space="preserve">Greater Kestrel </t>
  </si>
  <si>
    <t>Greater_Painted-Snipe_9504.jpg</t>
  </si>
  <si>
    <t xml:space="preserve">Greater Painted-Snipe </t>
  </si>
  <si>
    <t>Greater_Scaup_0253.jpg</t>
  </si>
  <si>
    <t xml:space="preserve">Greater Scaup </t>
  </si>
  <si>
    <t>Greater_scaup_1908.jpg</t>
  </si>
  <si>
    <t>Greater_Scaup_2014-077.jpg</t>
  </si>
  <si>
    <t>Greater_Scaup_7437.jpg</t>
  </si>
  <si>
    <t>Greater_Vasa_Parrot_-_Grand_Vasa_7004.jpg</t>
  </si>
  <si>
    <t>Greater Vasa Parrot</t>
  </si>
  <si>
    <t>Greater_Vasa_Parrot_-_Grand_vaza_7013.jpg</t>
  </si>
  <si>
    <t>Greater_White-Fronted_Goose_2714.jpg</t>
  </si>
  <si>
    <t>Greater White-fronted Goose</t>
  </si>
  <si>
    <t>Greater_white-fronted_Goose_8782.jpg</t>
  </si>
  <si>
    <t>Greater_White-fronted_Goose_8829.jpg</t>
  </si>
  <si>
    <t>Greater_yellowlegs_0923MF.jpg</t>
  </si>
  <si>
    <t xml:space="preserve">Greater Yellowlegs </t>
  </si>
  <si>
    <t>Greater_Yellowlegs_1034.jpg</t>
  </si>
  <si>
    <t>Greater_Yellowlegs_2245MF.jpg</t>
  </si>
  <si>
    <t>Greater_Yellowlegs_22548.jpg</t>
  </si>
  <si>
    <t>Greater_Yellowlegs_2449MF.jpg</t>
  </si>
  <si>
    <t>Greater_Yellowlegs_3577.jpg</t>
  </si>
  <si>
    <t>Greater_Yellowlegs_4120.jpg</t>
  </si>
  <si>
    <t>Greater_Yellowlegs_8900.jpg</t>
  </si>
  <si>
    <t>Greater_Yellowlegs_9826.jpg</t>
  </si>
  <si>
    <t>Green_Catbird_9050.jpg</t>
  </si>
  <si>
    <t xml:space="preserve">Green Catbird </t>
  </si>
  <si>
    <t>Green_Heron_1681.jpg</t>
  </si>
  <si>
    <t xml:space="preserve">Green Heron </t>
  </si>
  <si>
    <t>Green_Heron_1960.jpg</t>
  </si>
  <si>
    <t>Green_Heron_2.jpg</t>
  </si>
  <si>
    <t>Green_Heron_2181.jpg</t>
  </si>
  <si>
    <t>Green_Heron_220904.jpg</t>
  </si>
  <si>
    <t>Green_Heron_228.jpg</t>
  </si>
  <si>
    <t>Green_Heron_2321.jpg</t>
  </si>
  <si>
    <t>Green_Heron_2451.jpg</t>
  </si>
  <si>
    <t>Green_Heron_4424.jpg</t>
  </si>
  <si>
    <t>Green_Heron_5793.jpg</t>
  </si>
  <si>
    <t>Green_Heron_5800.jpg</t>
  </si>
  <si>
    <t>Green_Heron_6020.jpg</t>
  </si>
  <si>
    <t>Green_Heron_6145MF.jpg</t>
  </si>
  <si>
    <t>Green_Heron_6525.jpg</t>
  </si>
  <si>
    <t>Green_Heron_6606.jpg</t>
  </si>
  <si>
    <t>Green_Heron_7298.jpg</t>
  </si>
  <si>
    <t>Green_Heron_7392MF.jpg</t>
  </si>
  <si>
    <t>Green_Heron_8403.jpg</t>
  </si>
  <si>
    <t>Green_Heron_MF5848.jpg</t>
  </si>
  <si>
    <t>Green_heron_with_frog.jpg</t>
  </si>
  <si>
    <t>Green_Heron-2.jpg</t>
  </si>
  <si>
    <t>Green_Honeycreeper_2147.jpg</t>
  </si>
  <si>
    <t xml:space="preserve">Green Honeycreeper </t>
  </si>
  <si>
    <t>Green_Honeycreeper_2222.jpg</t>
  </si>
  <si>
    <t>Green_Honeycreeper_3919MF.jpg</t>
  </si>
  <si>
    <t>Green_Honeycreeper_4057.jpg</t>
  </si>
  <si>
    <t>Green_Ibis_4510.jpg</t>
  </si>
  <si>
    <t xml:space="preserve">Green Ibis </t>
  </si>
  <si>
    <t>Green_Ibis_MF4900.jpg</t>
  </si>
  <si>
    <t>Green_Kingfisher_21568.jpg</t>
  </si>
  <si>
    <t xml:space="preserve">Green Kingfisher </t>
  </si>
  <si>
    <t>Green_Kingfisher_7205.jpg</t>
  </si>
  <si>
    <t>Green_Kingfisher_9117.jpg</t>
  </si>
  <si>
    <t>Green_Kingfisher.jpg</t>
  </si>
  <si>
    <t>Green_Rosella_4184MF.jpg</t>
  </si>
  <si>
    <t xml:space="preserve">Green Rosella </t>
  </si>
  <si>
    <t>Green_Shrike-vireo_9218.jpg</t>
  </si>
  <si>
    <t xml:space="preserve">Green Shrike-Vireo </t>
  </si>
  <si>
    <t>Green_Thorntail_4659.jpg</t>
  </si>
  <si>
    <t xml:space="preserve">Green Thorntail </t>
  </si>
  <si>
    <t>Green_Thorntail_6664.jpg</t>
  </si>
  <si>
    <t>Green_Thorntail_7568.jpg</t>
  </si>
  <si>
    <t>Green_Thorntail_female_7577.jpg</t>
  </si>
  <si>
    <t>Green_Thorntail_MF4466.jpg</t>
  </si>
  <si>
    <t>Green_Woodhoopoe_8256.jpg</t>
  </si>
  <si>
    <t xml:space="preserve">Green Woodhoopoe </t>
  </si>
  <si>
    <t>Green-and-black_Fruiteater_5032.jpg</t>
  </si>
  <si>
    <t xml:space="preserve">Green-and-black Fruiteater </t>
  </si>
  <si>
    <t>Green-and-black_Fruiteater.jpg</t>
  </si>
  <si>
    <t>Green-and-rufous_Kingfisher_1760.jpg</t>
  </si>
  <si>
    <t xml:space="preserve">Green-and-rufous Kingfisher </t>
  </si>
  <si>
    <t>Green-backed_Camaroptera_14.jpg</t>
  </si>
  <si>
    <t xml:space="preserve">Green-backed Camaroptera </t>
  </si>
  <si>
    <t>Green-backed_Camaroptera_2641.jpg</t>
  </si>
  <si>
    <t>Green-breasted_Mango_4643.jpg</t>
  </si>
  <si>
    <t xml:space="preserve">Green-breasted Mango </t>
  </si>
  <si>
    <t>Green-crowned_Brilliant_3958MF.jpg</t>
  </si>
  <si>
    <t xml:space="preserve">Green-crowned Brilliant </t>
  </si>
  <si>
    <t>Green-crowned_Brilliant_3979MF.jpg</t>
  </si>
  <si>
    <t>Green-crowned_Brilliant_5181.jpg</t>
  </si>
  <si>
    <t>Green-crowned_Brilliant_5220.jpg</t>
  </si>
  <si>
    <t>Green-crowned_Brilliant_6183.jpg</t>
  </si>
  <si>
    <t>Green-crowned_Brilliant_6650.jpg</t>
  </si>
  <si>
    <t>Green-crowned_Brilliant_7891.jpg</t>
  </si>
  <si>
    <t>Green-crowned_Brilliant_7915.jpg</t>
  </si>
  <si>
    <t>Green-crowned_Brilliant_MF4382.jpg</t>
  </si>
  <si>
    <t>Green-crowned_Brilliant_MF4403.jpg</t>
  </si>
  <si>
    <t>Green-fronted_Lancebill_3272.jpg</t>
  </si>
  <si>
    <t xml:space="preserve">Green-fronted Lancebill </t>
  </si>
  <si>
    <t>Green-rumped_Parrotlet_4972.jpg</t>
  </si>
  <si>
    <t xml:space="preserve">Green-rumped Parrotlet </t>
  </si>
  <si>
    <t>Green-rumped_Parrotlet_5066.jpg</t>
  </si>
  <si>
    <t>Green-rumped_Parrotlet_5183.jpg</t>
  </si>
  <si>
    <t>Green-winged_Pytilia_16.jpg</t>
  </si>
  <si>
    <t xml:space="preserve">Green-winged Pytilia </t>
  </si>
  <si>
    <t>Green-winged_Pytilia_83.jpg</t>
  </si>
  <si>
    <t>Green-winged_Teal_216_5.jpg</t>
  </si>
  <si>
    <t xml:space="preserve">Green-winged Teal </t>
  </si>
  <si>
    <t>Green-winged_Teal_5830MF.jpg</t>
  </si>
  <si>
    <t>Green-winged_teal_8368.jpg</t>
  </si>
  <si>
    <t>Green-winged_Teal.jpg</t>
  </si>
  <si>
    <t>Groove-billed_Ani_284.jpg</t>
  </si>
  <si>
    <t xml:space="preserve">Groove-billed Ani </t>
  </si>
  <si>
    <t>Groove-billed_Toucanet_4228.jpg</t>
  </si>
  <si>
    <t xml:space="preserve">Groove-billed Toucanet </t>
  </si>
  <si>
    <t>Grosbeak Weaver-4475.jpg</t>
  </si>
  <si>
    <t>Grosbeak Weaver</t>
  </si>
  <si>
    <t>Grosbeak Weaver-5248.jpg</t>
  </si>
  <si>
    <t>Groundscraper_Thrush_18.jpg</t>
  </si>
  <si>
    <t xml:space="preserve">Groundscraper Thrush </t>
  </si>
  <si>
    <t>Hadeda Ibis-0779.jpg</t>
  </si>
  <si>
    <t>Hadada Ibis</t>
  </si>
  <si>
    <t>Hairy_Woodpecker_1899.jpg</t>
  </si>
  <si>
    <t xml:space="preserve">Hairy Woodpecker </t>
  </si>
  <si>
    <t>Hairy_Woodpecker_Costa_Rica_1533MF.jpg</t>
  </si>
  <si>
    <t>Hamerkop_-_Ombrette_africaine_8820MF.jpg</t>
  </si>
  <si>
    <t xml:space="preserve">Hamerkop  </t>
  </si>
  <si>
    <t>Hamerkop_-_Ombrette_africaine_9228MF.jpg</t>
  </si>
  <si>
    <t>Hamerkop_-_Ombrette_africaine_9232MF.jpg</t>
  </si>
  <si>
    <t>Hamerkop_366.jpg</t>
  </si>
  <si>
    <t>Hamerkop_8515.jpg</t>
  </si>
  <si>
    <t>Harlequin_Duck_8803.jpg</t>
  </si>
  <si>
    <t xml:space="preserve">Harlequin Duck </t>
  </si>
  <si>
    <t>Harris's Sparrow 3369.jpg</t>
  </si>
  <si>
    <t>Harris's Sparrow</t>
  </si>
  <si>
    <t>Harriss_Hawk_6347.jpg</t>
  </si>
  <si>
    <t>Harris's Hawk</t>
  </si>
  <si>
    <t>Harriss_Sparrow_3369.jpg</t>
  </si>
  <si>
    <t>Hartlaubs_Babbler_0421.jpg</t>
  </si>
  <si>
    <t>Hartlaub's Babbler</t>
  </si>
  <si>
    <t>Hawaii_Amakihi_1558.jpg</t>
  </si>
  <si>
    <t xml:space="preserve">Hawaii Amakihi </t>
  </si>
  <si>
    <t>Hawaiian_Coot_0438.jpg</t>
  </si>
  <si>
    <t xml:space="preserve">Hawaiian Coot </t>
  </si>
  <si>
    <t>Hawaiian_Goose_Nene_0587.jpg</t>
  </si>
  <si>
    <t xml:space="preserve">Hawaiian Goose </t>
  </si>
  <si>
    <t>Heermann's Gull-002.jpg</t>
  </si>
  <si>
    <t>Heermann's Gull</t>
  </si>
  <si>
    <t>Heermann's_Gull-128412861.jpg</t>
  </si>
  <si>
    <t>Helmeted_Guineafowl_103.jpg</t>
  </si>
  <si>
    <t xml:space="preserve">Helmeted Guineafowl </t>
  </si>
  <si>
    <t>Helmeted_Guineafowl_20.jpg</t>
  </si>
  <si>
    <t>Helmeted_Guineafowl_254.jpg</t>
  </si>
  <si>
    <t>Helmeted_Guineafowl_7825.jpg</t>
  </si>
  <si>
    <t>Henslow's Sparrow-027.jpg</t>
  </si>
  <si>
    <t>Henslow's Sparrow</t>
  </si>
  <si>
    <t>Hepatic_Tanager_6640.jpg</t>
  </si>
  <si>
    <t xml:space="preserve">Hepatic Tanager </t>
  </si>
  <si>
    <t>Hepatic_Tanager_6976.jpg</t>
  </si>
  <si>
    <t>Hepatic_Tanager_female_6365.jpg</t>
  </si>
  <si>
    <t>Hepatic_Tanager_MF4766.jpg</t>
  </si>
  <si>
    <t>Hermit_Thrush_2006.jpg</t>
  </si>
  <si>
    <t xml:space="preserve">Hermit Thrush </t>
  </si>
  <si>
    <t>Hermit_Thrush_5597MF.jpg</t>
  </si>
  <si>
    <t>Hermit_Thrush_6379.jpg</t>
  </si>
  <si>
    <t>Hermit_Thrush_7021.jpg</t>
  </si>
  <si>
    <t>Hermit_Thrush_9941.jpg</t>
  </si>
  <si>
    <t>Hermit_Wood-Wren_23683.jpg</t>
  </si>
  <si>
    <t xml:space="preserve">Hermit Wood-Wren </t>
  </si>
  <si>
    <t>Hildebrandts_Spurfowl_293.jpg</t>
  </si>
  <si>
    <t>Hildebrandt's Spurfowl</t>
  </si>
  <si>
    <t>Hildebrandts_Starling_354.jpg</t>
  </si>
  <si>
    <t>Hildebrandt's Starling</t>
  </si>
  <si>
    <t>Hoary-headed_Grebe_0875.jpg</t>
  </si>
  <si>
    <t xml:space="preserve">Hoary-headed Grebe </t>
  </si>
  <si>
    <t>Hoary-headed_Grebe_5232MF.jpg</t>
  </si>
  <si>
    <t>Hoffmanns_Woodpecker_2528MF.jpg</t>
  </si>
  <si>
    <t>Hoffmann's Woodpecker</t>
  </si>
  <si>
    <t>Hoffmanns_Woodpecker_5591.jpg</t>
  </si>
  <si>
    <t>Hoffmanns_Woodpecker_8935.jpg</t>
  </si>
  <si>
    <t>Hoffmanns_Woodpecker_MF3527.jpg</t>
  </si>
  <si>
    <t>Hoffmanns_Woodpecker_MF6267.jpg</t>
  </si>
  <si>
    <t>Hoffmanns_Woodpecker_MF6279.jpg</t>
  </si>
  <si>
    <t>Holub's Golden-Weaver-3642.jpg</t>
  </si>
  <si>
    <t>Holub's Golden-Weaver</t>
  </si>
  <si>
    <t>Holubs_Golden-Weaver_0554.jpg</t>
  </si>
  <si>
    <t>Hooded_Merganser_2151.jpg</t>
  </si>
  <si>
    <t xml:space="preserve">Hooded Merganser </t>
  </si>
  <si>
    <t>Hooded_Merganser_7286.jpg</t>
  </si>
  <si>
    <t>Hooded_Mountain_Tanager_5481.jpg</t>
  </si>
  <si>
    <t>Hooded Mountain Tanager</t>
  </si>
  <si>
    <t>Hooded_Mountain_Tanager_5617.jpg</t>
  </si>
  <si>
    <t>Hooded_Plover_3241MF.jpg</t>
  </si>
  <si>
    <t xml:space="preserve">Hooded Plover </t>
  </si>
  <si>
    <t>Hooded_Robin-646555026.jpg</t>
  </si>
  <si>
    <t>Hooded Robin</t>
  </si>
  <si>
    <t>Hooded_Robin-646593864.jpg</t>
  </si>
  <si>
    <t>Hooded_Vulture_7715.jpg</t>
  </si>
  <si>
    <t xml:space="preserve">Hooded Vulture </t>
  </si>
  <si>
    <t>Hooded_Vulture_8049.jpg</t>
  </si>
  <si>
    <t>Hooded_Vulture.jpg</t>
  </si>
  <si>
    <t>Hooded_Warbler_0821.jpg</t>
  </si>
  <si>
    <t xml:space="preserve">Hooded Warbler </t>
  </si>
  <si>
    <t>Hooded_Warbler_0973MF.jpg</t>
  </si>
  <si>
    <t>Hooded_Warbler_3759.jpg</t>
  </si>
  <si>
    <t>Hooded_Warbler_5872.jpg</t>
  </si>
  <si>
    <t>Hooded_Warbler_8253.jpg</t>
  </si>
  <si>
    <t>Hooded_Warbler_8587.jpg</t>
  </si>
  <si>
    <t>Hooded_Warbler_9320.jpg</t>
  </si>
  <si>
    <t>Hooded_Warbler_9390.jpg</t>
  </si>
  <si>
    <t>Hooded_Warbler_9398.jpg</t>
  </si>
  <si>
    <t>Hook-billed_Kite_21737.jpg</t>
  </si>
  <si>
    <t xml:space="preserve">Hook-billed Kite </t>
  </si>
  <si>
    <t>Hook-billed_Kite_4786.jpg</t>
  </si>
  <si>
    <t>Hook-billed_Vanga_-_Vanga_ecorcheur_6183.jpg</t>
  </si>
  <si>
    <t xml:space="preserve">Hook-billed Vanga </t>
  </si>
  <si>
    <t>Hook-billed_Vanga_-_Vanga_ecorcheur_6339.jpg</t>
  </si>
  <si>
    <t>Hook-billed_Vanga_-_Vanga_ecorcheur_9132MF.jpg</t>
  </si>
  <si>
    <t>Horned_Grebe_1946.jpg</t>
  </si>
  <si>
    <t xml:space="preserve">Horned Grebe </t>
  </si>
  <si>
    <t>Horned_Grebe_3876.jpg</t>
  </si>
  <si>
    <t>Horned_Grebe_8111.jpg</t>
  </si>
  <si>
    <t>Horned_Lark_4700MF.jpg</t>
  </si>
  <si>
    <t xml:space="preserve">Horned Lark </t>
  </si>
  <si>
    <t>Horned_Lark_7609.jpg</t>
  </si>
  <si>
    <t>Horned_Lark_8941.jpg</t>
  </si>
  <si>
    <t>Horsfield's_Bronze-cuckoo-646519253.jpg</t>
  </si>
  <si>
    <t>Horsfield's Bronze-Cuckoo</t>
  </si>
  <si>
    <t>House_Finch_2.jpg</t>
  </si>
  <si>
    <t xml:space="preserve">House Finch </t>
  </si>
  <si>
    <t>House_finch_7630.jpg</t>
  </si>
  <si>
    <t>House_Finch_8636.jpg</t>
  </si>
  <si>
    <t>House_Finch_9497.jpg</t>
  </si>
  <si>
    <t>House_Finch.jpg</t>
  </si>
  <si>
    <t>House_Sparrow_1952.jpg</t>
  </si>
  <si>
    <t xml:space="preserve">House Sparrow </t>
  </si>
  <si>
    <t>House_Sparrow_4886.jpg</t>
  </si>
  <si>
    <t>House_Sparrow_4891.jpg</t>
  </si>
  <si>
    <t>Hudsonian Godwit.jpg</t>
  </si>
  <si>
    <t>Hudsonian Godwit</t>
  </si>
  <si>
    <t>Hudsonian_Godwit_3476.jpg</t>
  </si>
  <si>
    <t xml:space="preserve">Hudsonian Godwit </t>
  </si>
  <si>
    <t>Hudsonian_godwit_6000S.jpg</t>
  </si>
  <si>
    <t>Hudsonian_Whimbrel-124714131.jpg</t>
  </si>
  <si>
    <t>Hudsonian Whimbrel</t>
  </si>
  <si>
    <t>Hudsonian_Whimbrel-502697631.jpg</t>
  </si>
  <si>
    <t>Hudsonian_Whimbrel-612426856.jpg</t>
  </si>
  <si>
    <t>Hudsonian_Whimbrel-640588336.jpg</t>
  </si>
  <si>
    <t>Humblots_Heron_-_Heron_de_Humblot_7118.jpg</t>
  </si>
  <si>
    <t>Humblot's Heron</t>
  </si>
  <si>
    <t>Hutton's_Vireo-128411771.jpg</t>
  </si>
  <si>
    <t>Hutton's Vireo</t>
  </si>
  <si>
    <t>Iceland Gull-77068161.jpg</t>
  </si>
  <si>
    <t>Iceland Gull</t>
  </si>
  <si>
    <t>Iiwi_1546.jpg</t>
  </si>
  <si>
    <t xml:space="preserve">Iiwi  </t>
  </si>
  <si>
    <t>Inca_Dove_MF6097.jpg</t>
  </si>
  <si>
    <t xml:space="preserve">Inca Dove </t>
  </si>
  <si>
    <t>Indigo_Bunting_0731.jpg</t>
  </si>
  <si>
    <t xml:space="preserve">Indigo Bunting </t>
  </si>
  <si>
    <t>Indigo_Bunting_8885.jpg</t>
  </si>
  <si>
    <t>Indigo_Bunting_9961MF.jpg</t>
  </si>
  <si>
    <t>Indigo_Bunting_9985MF.jpg</t>
  </si>
  <si>
    <t>Indigo-capped_Hummingbird_7376.jpg</t>
  </si>
  <si>
    <t xml:space="preserve">Indigo-capped Hummingbird </t>
  </si>
  <si>
    <t>Isthmian_Wren_2800.jpg</t>
  </si>
  <si>
    <t xml:space="preserve">Isthmian Wren </t>
  </si>
  <si>
    <t>Ivory-billed_Woodcreeper_359.jpg</t>
  </si>
  <si>
    <t xml:space="preserve">Ivory-billed Woodcreeper </t>
  </si>
  <si>
    <t>Jabiru_Stork_377.jpg</t>
  </si>
  <si>
    <t xml:space="preserve">Jabiru  </t>
  </si>
  <si>
    <t>Jackal_Buzzard_2761.jpg</t>
  </si>
  <si>
    <t xml:space="preserve">Jackal Buzzard </t>
  </si>
  <si>
    <t>Jacky-winter-0721.jpg</t>
  </si>
  <si>
    <t>Jacky-winter</t>
  </si>
  <si>
    <t>Java_sparrow_0317.jpg</t>
  </si>
  <si>
    <t xml:space="preserve">Java Sparrow </t>
  </si>
  <si>
    <t>Kalij_Pheasant_0625A.jpg</t>
  </si>
  <si>
    <t xml:space="preserve">Kalij Pheasant </t>
  </si>
  <si>
    <t>Keel-billed_Motmot_5916.jpg</t>
  </si>
  <si>
    <t xml:space="preserve">Keel-billed Motmot </t>
  </si>
  <si>
    <t>Keel-billed_Toucan_1895.jpg</t>
  </si>
  <si>
    <t xml:space="preserve">Keel-billed Toucan </t>
  </si>
  <si>
    <t>Keel-billed_Toucan_20903.jpg</t>
  </si>
  <si>
    <t>Keel-billed_Toucan_2920MF.jpg</t>
  </si>
  <si>
    <t>Keel-billed_Toucan_4041.jpg</t>
  </si>
  <si>
    <t>Keel-billed_Toucan_4315.jpg</t>
  </si>
  <si>
    <t>Keel-billed_Toucan_5484.jpg</t>
  </si>
  <si>
    <t>Keel-billed_Toucan_6953.jpg</t>
  </si>
  <si>
    <t>Keel-billed_Toucan_9164.jpg</t>
  </si>
  <si>
    <t>Keel-billed_Toucan_MF3818.jpg</t>
  </si>
  <si>
    <t>Kelp_Gull_3931MF.jpg</t>
  </si>
  <si>
    <t xml:space="preserve">Kelp Gull </t>
  </si>
  <si>
    <t>Kelp_Gull_3975MF.jpg</t>
  </si>
  <si>
    <t>Kentucky_Warbler_4142.jpg</t>
  </si>
  <si>
    <t xml:space="preserve">Kentucky Warbler </t>
  </si>
  <si>
    <t>Killdeer_0466.jpg</t>
  </si>
  <si>
    <t xml:space="preserve">Killdeer  </t>
  </si>
  <si>
    <t>Killdeer_1393.jpg</t>
  </si>
  <si>
    <t>Killdeer_1836.jpg</t>
  </si>
  <si>
    <t>Killdeer_2162.jpg</t>
  </si>
  <si>
    <t>Killdeer_2931.jpg</t>
  </si>
  <si>
    <t>Killdeer_5668MF.jpg</t>
  </si>
  <si>
    <t>Killdeer_6540.jpg</t>
  </si>
  <si>
    <t>Killdeer_6556.jpg</t>
  </si>
  <si>
    <t>Killdeer_6568.jpg</t>
  </si>
  <si>
    <t>Killdeer_6580.jpg</t>
  </si>
  <si>
    <t>Killdeer_7970.jpg</t>
  </si>
  <si>
    <t>Kirtlands_Warbler_3883.jpg</t>
  </si>
  <si>
    <t>Kirtland's Warbler</t>
  </si>
  <si>
    <t>Kittlitzs_Plover_-_Pluvier_patre_7195.jpg</t>
  </si>
  <si>
    <t>Kittlitz's Plover</t>
  </si>
  <si>
    <t>Kittlitzs_Plover_-_Pluvier_patre_7454.jpg</t>
  </si>
  <si>
    <t>Kittlitzs_Plover_-_Pluvier_patre_8506.jpg</t>
  </si>
  <si>
    <t>Kittlitzs_Plover_-_Pluvier_patre_8630.jpg</t>
  </si>
  <si>
    <t>Kittlitzs_Plover_260.jpg</t>
  </si>
  <si>
    <t>Knob-billed_Duck_8339.jpg</t>
  </si>
  <si>
    <t xml:space="preserve">Knob-billed Duck </t>
  </si>
  <si>
    <t>Kori_Bustard_124.jpg</t>
  </si>
  <si>
    <t xml:space="preserve">Kori Bustard </t>
  </si>
  <si>
    <t>Kori_Bustard_163.jpg</t>
  </si>
  <si>
    <t>Kori_Bustard_28.jpg</t>
  </si>
  <si>
    <t>Kori_Bustard_9088.jpg</t>
  </si>
  <si>
    <t>Kurrichane Thrush-8370.jpg</t>
  </si>
  <si>
    <t>Kurrichane Thrush</t>
  </si>
  <si>
    <t>Lafresnayes_Vanga_8975.jpg</t>
  </si>
  <si>
    <t>Lafresnaye's Vanga</t>
  </si>
  <si>
    <t>Lafresnayes_Vanga_8980.jpg</t>
  </si>
  <si>
    <t>Lafresnayes_Vanga_9019.jpg</t>
  </si>
  <si>
    <t>Lance-tailed_Manakin_21254.jpg</t>
  </si>
  <si>
    <t xml:space="preserve">Lance-tailed Manakin </t>
  </si>
  <si>
    <t>Lance-tailed_Manakin_21276.jpg</t>
  </si>
  <si>
    <t>Lance-tailed_Manakin.jpg</t>
  </si>
  <si>
    <t>Lapland_Longspur_8976.jpg</t>
  </si>
  <si>
    <t xml:space="preserve">Lapland Longspur </t>
  </si>
  <si>
    <t>Lappet-faced_Vulture_223.jpg</t>
  </si>
  <si>
    <t xml:space="preserve">Lappet-faced Vulture </t>
  </si>
  <si>
    <t>Lappet-faced_Vulture_8025.jpg</t>
  </si>
  <si>
    <t>Large-footed_Finch_3842.jpg</t>
  </si>
  <si>
    <t xml:space="preserve">Large-footed Finch </t>
  </si>
  <si>
    <t>Large-footed_Finch_3846.jpg</t>
  </si>
  <si>
    <t>Large-footed_Finch_5860.jpg</t>
  </si>
  <si>
    <t>Lark-like_Bunting_258.jpg</t>
  </si>
  <si>
    <t xml:space="preserve">Lark-like Bunting </t>
  </si>
  <si>
    <t>Latham's_Snipe-646595192.jpg</t>
  </si>
  <si>
    <t>Latham's Snipe</t>
  </si>
  <si>
    <t>Laughing Dove-5877.jpg</t>
  </si>
  <si>
    <t>Laughing Dove</t>
  </si>
  <si>
    <t>Laughing_Falcon_4003.jpg</t>
  </si>
  <si>
    <t xml:space="preserve">Laughing Falcon </t>
  </si>
  <si>
    <t>Laughing_Falcon_6600.jpg</t>
  </si>
  <si>
    <t>Laughing_Gull_20013.jpg</t>
  </si>
  <si>
    <t xml:space="preserve">Laughing Gull </t>
  </si>
  <si>
    <t>Laughing_Gull_2211MF.jpg</t>
  </si>
  <si>
    <t>Laughing_Gull_22711.jpg</t>
  </si>
  <si>
    <t>Laughing_Gull_5871.jpg</t>
  </si>
  <si>
    <t>Laughing_Gull_6103.jpg</t>
  </si>
  <si>
    <t>Laughing_Gull_7723MF.jpg</t>
  </si>
  <si>
    <t>Laughing_Kookaburra_1326.jpg</t>
  </si>
  <si>
    <t xml:space="preserve">Laughing Kookaburra </t>
  </si>
  <si>
    <t>Laughing_Kookaburra_2342.jpg</t>
  </si>
  <si>
    <t>Laughing_Kookaburra_5237MF.jpg</t>
  </si>
  <si>
    <t>Laughing_Kookaburra_8049.jpg</t>
  </si>
  <si>
    <t>Laughing_Kookaburra_9837.jpg</t>
  </si>
  <si>
    <t>Lava_Heron_210.jpg</t>
  </si>
  <si>
    <t xml:space="preserve">Lava Heron </t>
  </si>
  <si>
    <t>Lazuline_Sabrewing_5715.jpg</t>
  </si>
  <si>
    <t xml:space="preserve">Lazuline Sabrewing </t>
  </si>
  <si>
    <t>Least_Bittern_0107.jpg</t>
  </si>
  <si>
    <t xml:space="preserve">Least Bittern </t>
  </si>
  <si>
    <t>Least_Bittern_2051.jpg</t>
  </si>
  <si>
    <t>Least_Bittern_4485.jpg</t>
  </si>
  <si>
    <t>Least_Bittern_6761.jpg</t>
  </si>
  <si>
    <t>Least_Bittern_6812.jpg</t>
  </si>
  <si>
    <t>Least_Flycatcher_005.jpg</t>
  </si>
  <si>
    <t xml:space="preserve">Least Flycatcher </t>
  </si>
  <si>
    <t>Least_Flycatcher_0466MF.jpg</t>
  </si>
  <si>
    <t>Least_Flycatcher_1996.jpg</t>
  </si>
  <si>
    <t>Least_flycatcher_2014-002.jpg</t>
  </si>
  <si>
    <t>Least_Flycatcher_3321.jpg</t>
  </si>
  <si>
    <t>Least_Flycatcher_422.jpg</t>
  </si>
  <si>
    <t>Least_Flycatcher_4829.jpg</t>
  </si>
  <si>
    <t>Least_Flycatcher_5342.jpg</t>
  </si>
  <si>
    <t>Least_Flycatcher_7392.jpg</t>
  </si>
  <si>
    <t>Least_Flycatcher_7787.jpg</t>
  </si>
  <si>
    <t>Least_Flycatcher_8465.jpg</t>
  </si>
  <si>
    <t>Least_Flycatcher_9145.jpg</t>
  </si>
  <si>
    <t>Least_Grebe_1475.jpg</t>
  </si>
  <si>
    <t xml:space="preserve">Least Grebe </t>
  </si>
  <si>
    <t>Least_Grebe_5948.jpg</t>
  </si>
  <si>
    <t>Least_Sandpiper_2.jpg</t>
  </si>
  <si>
    <t xml:space="preserve">Least Sandpiper </t>
  </si>
  <si>
    <t>Least_Sandpiper_2071.jpg</t>
  </si>
  <si>
    <t>Least_Sandpiper_2130.jpg</t>
  </si>
  <si>
    <t>Least_Sandpiper_2628.jpg</t>
  </si>
  <si>
    <t>Least_Sandpiper_2981.jpg</t>
  </si>
  <si>
    <t>Least_Sandpiper_3.jpg</t>
  </si>
  <si>
    <t>Least_Sandpiper_3337.jpg</t>
  </si>
  <si>
    <t>Least_Sandpiper_4084.jpg</t>
  </si>
  <si>
    <t>Least_Sandpiper_4444.jpg</t>
  </si>
  <si>
    <t>Least_Sandpiper_4926MF.jpg</t>
  </si>
  <si>
    <t>Least_Sandpiper_4977MF.jpg</t>
  </si>
  <si>
    <t>Least_Sandpiper_4994MF.jpg</t>
  </si>
  <si>
    <t>Least_Sandpiper_6137.jpg</t>
  </si>
  <si>
    <t>Least_Sandpiper_6295.jpg</t>
  </si>
  <si>
    <t>Least_Sandpiper_7799MF.jpg</t>
  </si>
  <si>
    <t>Least_Sandpiper_900.jpg</t>
  </si>
  <si>
    <t>Least_Sandpiper_9574MF.jpg</t>
  </si>
  <si>
    <t>Least_Sandpiper_9841.jpg</t>
  </si>
  <si>
    <t>Least_Sandpiper.jpg</t>
  </si>
  <si>
    <t>Lesser Goldfinch-092.jpg</t>
  </si>
  <si>
    <t>Lesser Goldfinch</t>
  </si>
  <si>
    <t>Lesser Masked-Weaver-1145.jpg</t>
  </si>
  <si>
    <t>Lesser Masked-Weaver</t>
  </si>
  <si>
    <t>Lesser_Black-backed_Gull_20131.jpg</t>
  </si>
  <si>
    <t>Lesser Black-backed Gull</t>
  </si>
  <si>
    <t>Lesser_Crested_Tern_-_Sterne_voyageuse_7924.jpg</t>
  </si>
  <si>
    <t>Lesser Crested Tern</t>
  </si>
  <si>
    <t>Lesser_Crested_Tern_-_Sterne_voyageuse_8139.jpg</t>
  </si>
  <si>
    <t>Lesser_Ground-Cuckoo_9154.jpg</t>
  </si>
  <si>
    <t xml:space="preserve">Lesser Ground-Cuckoo </t>
  </si>
  <si>
    <t>Lesser_Kiskadee_1908MF.jpg</t>
  </si>
  <si>
    <t xml:space="preserve">Lesser Kiskadee </t>
  </si>
  <si>
    <t>Lesser_Kiskadee_21299.jpg</t>
  </si>
  <si>
    <t>Lesser_Kiskadee_4645.jpg</t>
  </si>
  <si>
    <t>Lesser_Kiskadee_6279.jpg</t>
  </si>
  <si>
    <t>Lesser_Kiskadee_8829.jpg</t>
  </si>
  <si>
    <t>Lesser_Scaup_1131.jpg</t>
  </si>
  <si>
    <t xml:space="preserve">Lesser Scaup </t>
  </si>
  <si>
    <t>Lesser_Scaup_1132.jpg</t>
  </si>
  <si>
    <t>Lesser_Scaup_1321.jpg</t>
  </si>
  <si>
    <t>Lesser_Scaup_2670.jpg</t>
  </si>
  <si>
    <t>Lesser_Scaup_2695.jpg</t>
  </si>
  <si>
    <t>Lesser_Scaup_7764MF.jpg</t>
  </si>
  <si>
    <t>Lesser_scaup_8220.jpg</t>
  </si>
  <si>
    <t>Lesser_Scaup.jpg</t>
  </si>
  <si>
    <t>Lesser_Striped_Swallow-563204381.jpg</t>
  </si>
  <si>
    <t>Lesser Striped Swallow</t>
  </si>
  <si>
    <t>Lesser_Violetear_3364.jpg</t>
  </si>
  <si>
    <t xml:space="preserve">Lesser Violetear </t>
  </si>
  <si>
    <t>Lesser_Violetear_4278.jpg</t>
  </si>
  <si>
    <t>Lesser_Violetear_5809.jpg</t>
  </si>
  <si>
    <t>Lesser_Violetear_7904.jpg</t>
  </si>
  <si>
    <t>Lesser_Yellow-headed_Vulture_22527.jpg</t>
  </si>
  <si>
    <t>Lesser Yellow-headed Vulture</t>
  </si>
  <si>
    <t>Lesser_Yellow-headed_Vulture_2533.jpg</t>
  </si>
  <si>
    <t>Lesser_Yellowlegs_0167.jpg</t>
  </si>
  <si>
    <t xml:space="preserve">Lesser Yellowlegs </t>
  </si>
  <si>
    <t>Lesser_Yellowlegs_1518.jpg</t>
  </si>
  <si>
    <t>Lesser_Yellowlegs_1598.jpg</t>
  </si>
  <si>
    <t>Lesser_Yellowlegs_2014-041.jpg</t>
  </si>
  <si>
    <t>Lesser_Yellowlegs_2890.jpg</t>
  </si>
  <si>
    <t>Lesser_Yellowlegs_2943.jpg</t>
  </si>
  <si>
    <t>Lesser_Yellowlegs_5662MF.jpg</t>
  </si>
  <si>
    <t>Lesser_Yellowlegs_5677MF.jpg</t>
  </si>
  <si>
    <t>Lessons_Motmot_1644.jpg</t>
  </si>
  <si>
    <t>Lesson's Motmot</t>
  </si>
  <si>
    <t>Lessons_Motmot_1689.jpg</t>
  </si>
  <si>
    <t>Lessons_Motmot_3385MF.jpg</t>
  </si>
  <si>
    <t>Lewin's_Rail-646979043.jpg</t>
  </si>
  <si>
    <t>Lewin's Rail</t>
  </si>
  <si>
    <t>Lilac-breasted_Roller_147.jpg</t>
  </si>
  <si>
    <t xml:space="preserve">Lilac-breasted Roller </t>
  </si>
  <si>
    <t>Lilac-breasted_Roller_206.jpg</t>
  </si>
  <si>
    <t>Lilac-breasted_Roller_263.jpg</t>
  </si>
  <si>
    <t>Lilac-breasted_Roller_8003.jpg</t>
  </si>
  <si>
    <t>Limpkin_20511.jpg</t>
  </si>
  <si>
    <t xml:space="preserve">Limpkin  </t>
  </si>
  <si>
    <t>Limpkin_21899.jpg</t>
  </si>
  <si>
    <t>Limpkin_2434MF.jpg</t>
  </si>
  <si>
    <t>Limpkin_2699.jpg</t>
  </si>
  <si>
    <t>Limpkin_2716.jpg</t>
  </si>
  <si>
    <t>Limpkin_301.jpg</t>
  </si>
  <si>
    <t>Limpkin_3748.jpg</t>
  </si>
  <si>
    <t>Limpkin_3789.jpg</t>
  </si>
  <si>
    <t>Limpkin_3790.jpg</t>
  </si>
  <si>
    <t>Limpkin_3879.jpg</t>
  </si>
  <si>
    <t>Limpkin_7382MF.jpg</t>
  </si>
  <si>
    <t>Limpkin_8128MF.jpg</t>
  </si>
  <si>
    <t>Limpkin_9979.jpg</t>
  </si>
  <si>
    <t>Lincolns_Sparrow_0954.jpg</t>
  </si>
  <si>
    <t>Lincoln's Sparrow</t>
  </si>
  <si>
    <t>Lincolns_Sparrow_5849MF.jpg</t>
  </si>
  <si>
    <t>Lincolns_Sparrow_7164.jpg</t>
  </si>
  <si>
    <t>Lincolns_Sparrow_9578.jpg</t>
  </si>
  <si>
    <t>Lincolns_Sparrow_9632.jpg</t>
  </si>
  <si>
    <t>Lineated_Woodpecker_2187.jpg</t>
  </si>
  <si>
    <t xml:space="preserve">Lineated Woodpecker </t>
  </si>
  <si>
    <t>Lineated_Woodpecker_460.jpg</t>
  </si>
  <si>
    <t>Lineated_Woodpecker_5803.jpg</t>
  </si>
  <si>
    <t>Lineated_Woodpecker_MF6125.jpg</t>
  </si>
  <si>
    <t>Little Grebe-5737.jpg</t>
  </si>
  <si>
    <t>Little Grebe</t>
  </si>
  <si>
    <t>Little Stint-255.jpg</t>
  </si>
  <si>
    <t>Little Stint</t>
  </si>
  <si>
    <t>Little_Bee-eater.jpg</t>
  </si>
  <si>
    <t xml:space="preserve">Little Bee-eater </t>
  </si>
  <si>
    <t>Little_Black_Cormorant_3923MF.jpg</t>
  </si>
  <si>
    <t>Little Black Cormorant</t>
  </si>
  <si>
    <t>Little_Black_Cormorant_7367.jpg</t>
  </si>
  <si>
    <t>Little_Black_Cormorant.jpg</t>
  </si>
  <si>
    <t>Little_Blue_Heron_1102.jpg</t>
  </si>
  <si>
    <t>Little Blue Heron</t>
  </si>
  <si>
    <t>Little_Blue_Heron_1528.jpg</t>
  </si>
  <si>
    <t>Little_Blue_Heron_1778.jpg</t>
  </si>
  <si>
    <t>Little_Blue_Heron_20890.jpg</t>
  </si>
  <si>
    <t>Little_Blue_Heron_2105MF.jpg</t>
  </si>
  <si>
    <t>Little_Blue_Heron_21319.jpg</t>
  </si>
  <si>
    <t>Little_Blue_Heron_3453.jpg</t>
  </si>
  <si>
    <t>Little_Blue_Heron_4125.jpg</t>
  </si>
  <si>
    <t>Little_Blue_Heron_7123MF_7123MF.jpg</t>
  </si>
  <si>
    <t>Little_Blue_Heron_9250.jpg</t>
  </si>
  <si>
    <t>Little_Blue_Heron_9255.jpg</t>
  </si>
  <si>
    <t>Little_Blue_Heron_9590.jpg</t>
  </si>
  <si>
    <t>Little_Blue_Heron_9714.jpg</t>
  </si>
  <si>
    <t>Little_Blue_Heron_9923.jpg</t>
  </si>
  <si>
    <t>Little_Corella_2271.jpg</t>
  </si>
  <si>
    <t xml:space="preserve">Little Corella </t>
  </si>
  <si>
    <t>Little_Eagle-646488384.jpg</t>
  </si>
  <si>
    <t>Little Eagle</t>
  </si>
  <si>
    <t>Little_Egret_-_Aigrette_Garzette_9605.jpg</t>
  </si>
  <si>
    <t xml:space="preserve">Little Egret </t>
  </si>
  <si>
    <t>Little_Egret_1947.jpg</t>
  </si>
  <si>
    <t>Little_Friarbird-646471803.jpg</t>
  </si>
  <si>
    <t>Little Friarbird</t>
  </si>
  <si>
    <t>Little_Gull_0686.jpg</t>
  </si>
  <si>
    <t xml:space="preserve">Little Gull </t>
  </si>
  <si>
    <t>Little_Gull_4260.jpg</t>
  </si>
  <si>
    <t>Little_Gull_4270.jpg</t>
  </si>
  <si>
    <t>Little_Gull_4301.jpg</t>
  </si>
  <si>
    <t>Little_Heron-529819831.jpg</t>
  </si>
  <si>
    <t>Little Heron</t>
  </si>
  <si>
    <t>Little_Heron-626570058.jpg</t>
  </si>
  <si>
    <t>Little_Penguin_0081.jpg</t>
  </si>
  <si>
    <t xml:space="preserve">Little Penguin </t>
  </si>
  <si>
    <t>Little_Pied_Cormorant_8127.jpg</t>
  </si>
  <si>
    <t>Little Pied Cormorant</t>
  </si>
  <si>
    <t>Little_Raven_0972.jpg</t>
  </si>
  <si>
    <t xml:space="preserve">Little Raven </t>
  </si>
  <si>
    <t>Little_sparrowhawk_220.jpg</t>
  </si>
  <si>
    <t xml:space="preserve">Little Sparrowhawk </t>
  </si>
  <si>
    <t>Little_Tinamou_0137.jpg</t>
  </si>
  <si>
    <t xml:space="preserve">Little Tinamou </t>
  </si>
  <si>
    <t>Little_Wattlebird_0515.jpg</t>
  </si>
  <si>
    <t xml:space="preserve">Little Wattlebird </t>
  </si>
  <si>
    <t>Little_Wattlebird_3711MF.jpg</t>
  </si>
  <si>
    <t>Little_Wattlebird_3712MF.jpg</t>
  </si>
  <si>
    <t>Little_Wattlebird_3900MF.jpg</t>
  </si>
  <si>
    <t>Little_Wattlebird.jpg</t>
  </si>
  <si>
    <t>Littoral Rock-Thrush-9999.jpg</t>
  </si>
  <si>
    <t>Littoral Rock-Thrush</t>
  </si>
  <si>
    <t>Littoral_Rock-Thrush_-_Monticole_du_littoral_8293.jpg</t>
  </si>
  <si>
    <t xml:space="preserve">Littoral Rock-Thrush </t>
  </si>
  <si>
    <t>Littoral_Rock-Thrush_-_Monticole_du_littoral_8320.jpg</t>
  </si>
  <si>
    <t>Littoral_Rock-Thrush_-_Monticole_du_littoral_8347.jpg</t>
  </si>
  <si>
    <t>Loggerhead_Shrike_0799.jpg</t>
  </si>
  <si>
    <t xml:space="preserve">Loggerhead Shrike </t>
  </si>
  <si>
    <t>Loggerhead_Shrike_21065.jpg</t>
  </si>
  <si>
    <t>Loggerhead_Shrike_3336.jpg</t>
  </si>
  <si>
    <t>Loggerhead_Shrike_4243.jpg</t>
  </si>
  <si>
    <t>Loggerhead_Shrike_4654.jpg</t>
  </si>
  <si>
    <t>Loggerhead_Shrike_7543MF.jpg</t>
  </si>
  <si>
    <t>Loggerhead_Shrike_7606MF.jpg</t>
  </si>
  <si>
    <t>Loggerhead_Shrike_767.jpg</t>
  </si>
  <si>
    <t>Loggerhead_Shrike_7710MF.jpg</t>
  </si>
  <si>
    <t>Long-billed_Corella_0991.jpg</t>
  </si>
  <si>
    <t xml:space="preserve">Long-billed Corella </t>
  </si>
  <si>
    <t>Long-billed_Curlew_9629.jpg</t>
  </si>
  <si>
    <t xml:space="preserve">Long-billed Curlew </t>
  </si>
  <si>
    <t>Long-billed_Dowitcher_1754.jpg</t>
  </si>
  <si>
    <t xml:space="preserve">Long-billed Dowitcher </t>
  </si>
  <si>
    <t>Long-billed_Dowitcher_8375.jpg</t>
  </si>
  <si>
    <t>Long-billed_Hermit_2.jpg</t>
  </si>
  <si>
    <t xml:space="preserve">Long-billed Hermit </t>
  </si>
  <si>
    <t>Long-billed_Hermit_3974.jpg</t>
  </si>
  <si>
    <t>Long-billed_Hermit_4945.jpg</t>
  </si>
  <si>
    <t>Long-billed_Hermit.jpg</t>
  </si>
  <si>
    <t>Long-billed_Starthroat_0434.jpg</t>
  </si>
  <si>
    <t xml:space="preserve">Long-billed Starthroat </t>
  </si>
  <si>
    <t>Long-billed_Starthroat_0924.jpg</t>
  </si>
  <si>
    <t>Long-billed_Starthroat_23224.jpg</t>
  </si>
  <si>
    <t>Long-billed_Starthroat_6033.jpg</t>
  </si>
  <si>
    <t>Long-eared_Owl_4495.jpg</t>
  </si>
  <si>
    <t xml:space="preserve">Long-eared Owl </t>
  </si>
  <si>
    <t>Long-tailed Ground-Roller-9401MF.jpg</t>
  </si>
  <si>
    <t>Long-tailed Ground-Roller</t>
  </si>
  <si>
    <t>Long-tailed_Duck_3089MF.jpg</t>
  </si>
  <si>
    <t xml:space="preserve">Long-tailed Duck </t>
  </si>
  <si>
    <t>Long-tailed_Fiscal_258.jpg</t>
  </si>
  <si>
    <t xml:space="preserve">Long-tailed Fiscal </t>
  </si>
  <si>
    <t>Long-tailed_Ground-Roller_-_Brachypterolle_a_longue_queue_6623.jpg</t>
  </si>
  <si>
    <t xml:space="preserve">Long-tailed Ground-Roller </t>
  </si>
  <si>
    <t>Long-tailed_Ground-Roller_-_Brachypterolle_a_longue_queue_9401MF.jpg</t>
  </si>
  <si>
    <t>Long-tailed_Silky-flycatcher_2166.jpg</t>
  </si>
  <si>
    <t xml:space="preserve">Long-tailed Silky-flycatcher </t>
  </si>
  <si>
    <t>Long-tailed_Sylph_31_65.jpg</t>
  </si>
  <si>
    <t xml:space="preserve">Long-tailed Sylph </t>
  </si>
  <si>
    <t>Long-tailed_Sylph_4275.jpg</t>
  </si>
  <si>
    <t>Long-tailed_Tyrant_1032.jpg</t>
  </si>
  <si>
    <t xml:space="preserve">Long-tailed Tyrant </t>
  </si>
  <si>
    <t>Long-tailed_Tyrant_MF4232.jpg</t>
  </si>
  <si>
    <t>Long-toed_Lapwing_7209.jpg</t>
  </si>
  <si>
    <t xml:space="preserve">Long-toed Lapwing </t>
  </si>
  <si>
    <t>Long-winged_Harrier_5597.jpg</t>
  </si>
  <si>
    <t xml:space="preserve">Long-winged Harrier </t>
  </si>
  <si>
    <t>Louisiana_Waterthrush_5975.jpg</t>
  </si>
  <si>
    <t xml:space="preserve">Louisiana Waterthrush </t>
  </si>
  <si>
    <t>Luapula_Cisticola_7589.jpg</t>
  </si>
  <si>
    <t xml:space="preserve">Luapula Cisticola </t>
  </si>
  <si>
    <t>Madagascar Magpie-Robin-6119.jpg</t>
  </si>
  <si>
    <t>Madagascar Magpie-Robin</t>
  </si>
  <si>
    <t>Madagascar Pygmy Kingfisher-4842.jpg</t>
  </si>
  <si>
    <t>Madagascar Pygmy Kingfisher</t>
  </si>
  <si>
    <t>Madagascar_Blue_Vanga_-_Artamie_azuree_6098.jpg</t>
  </si>
  <si>
    <t>Madagascar Blue Vanga</t>
  </si>
  <si>
    <t>Madagascar_Blue-Pigeon_-_Founingo_bleu_5546.jpg</t>
  </si>
  <si>
    <t xml:space="preserve">Madagascar Blue-Pigeon </t>
  </si>
  <si>
    <t>Madagascar_Blue-Pigeon_-_Founingo_bleu_5673.jpg</t>
  </si>
  <si>
    <t>Madagascar_Buttonquail_-_Turnix_de_Madagascar_6834.jpg</t>
  </si>
  <si>
    <t xml:space="preserve">Madagascar Buttonquail </t>
  </si>
  <si>
    <t>Madagascar_Buttonquail_-_Turnix_de_Madagascar_6857.jpg</t>
  </si>
  <si>
    <t>Madagascar_Buttonquail_-_Turnix_de_Madagascar_9553MF.jpg</t>
  </si>
  <si>
    <t>Madagascar_Buzzard_7641.jpg</t>
  </si>
  <si>
    <t xml:space="preserve">Madagascar Buzzard </t>
  </si>
  <si>
    <t>Madagascar_Cisticola_-_Cisticole_malgache_8502.jpg</t>
  </si>
  <si>
    <t xml:space="preserve">Madagascar Cisticola </t>
  </si>
  <si>
    <t>Madagascar_Cuckoo_-_Coucou_de_Madagascar_5402.jpg</t>
  </si>
  <si>
    <t xml:space="preserve">Madagascar Cuckoo </t>
  </si>
  <si>
    <t>Madagascar_Cuckoo_Ry.jpg</t>
  </si>
  <si>
    <t>Madagascar_Cuckoo.jpg</t>
  </si>
  <si>
    <t>Madagascar_Harrier-Hawk_-_Gymnogene_de_Madagascar_5474.jpg</t>
  </si>
  <si>
    <t xml:space="preserve">Madagascar Harrier-Hawk </t>
  </si>
  <si>
    <t>Madagascar_Harrier-Hawk_-_Gymnogene_de_Madagascar_7516.jpg</t>
  </si>
  <si>
    <t>Madagascar_Harrier-Hawk_-_Gymnogene_de_Madagascar_7540.jpg</t>
  </si>
  <si>
    <t>Madagascar_Harrier-Hawk_-_Gymnogene_de_Madagascar_9906MF.jpg</t>
  </si>
  <si>
    <t>Madagascar_Hoopoe_-_Huppe_de_Madagascar_6718.jpg</t>
  </si>
  <si>
    <t xml:space="preserve">Madagascar Hoopoe </t>
  </si>
  <si>
    <t>Madagascar_Hoopoe_-_Huppe_de_Madagascar_6728.jpg</t>
  </si>
  <si>
    <t>Madagascar_Hoopoe_-_Huppe_de_Madagascar_9483MF.jpg</t>
  </si>
  <si>
    <t>Madagascar_Ibis_-_Ibis_huppe_5600.jpg</t>
  </si>
  <si>
    <t xml:space="preserve">Madagascar Ibis </t>
  </si>
  <si>
    <t>Madagascar_Lark_7450.jpg</t>
  </si>
  <si>
    <t xml:space="preserve">Madagascar Lark </t>
  </si>
  <si>
    <t>Madagascar_Lark_7464.jpg</t>
  </si>
  <si>
    <t>Madagascar_Lark_7464red.jpg</t>
  </si>
  <si>
    <t>Madagascar_Lark_8759.jpg</t>
  </si>
  <si>
    <t>Madagascar_Lark_8776.jpg</t>
  </si>
  <si>
    <t>Madagascar_Magpie-Robin_-_Shama_de_Madagascar_5725.jpg</t>
  </si>
  <si>
    <t xml:space="preserve">Madagascar Magpie-Robin </t>
  </si>
  <si>
    <t>Madagascar_Magpie-Robin_-_Shama_de_Madagascar_6119.jpg</t>
  </si>
  <si>
    <t>Madagascar_Magpie-Robin_-_Shama_de_Madagascar_6508-2.jpg</t>
  </si>
  <si>
    <t>Madagascar_Magpie-Robin_-_Shama_de_Madagascar_9405MF.jpg</t>
  </si>
  <si>
    <t>Madagascar_Magpie-robin_7739.jpg</t>
  </si>
  <si>
    <t>Madagascar_Martin_MF.jpg</t>
  </si>
  <si>
    <t xml:space="preserve">Madagascar Martin </t>
  </si>
  <si>
    <t>Madagascar_Nightjar_-_Engoulevent_malgache_6824.jpg</t>
  </si>
  <si>
    <t xml:space="preserve">Madagascar Nightjar </t>
  </si>
  <si>
    <t>Madagascar_Owl_-_Hibou_malgache_5171.jpg</t>
  </si>
  <si>
    <t xml:space="preserve">Madagascar Owl </t>
  </si>
  <si>
    <t>Madagascar_Pratincole_5768.jpg</t>
  </si>
  <si>
    <t xml:space="preserve">Madagascar Pratincole </t>
  </si>
  <si>
    <t>Madagascar_Pratincole_5786.jpg</t>
  </si>
  <si>
    <t>Madagascar_Pratincole.jpg</t>
  </si>
  <si>
    <t>Madagascar_Pygmy_Kingfisher_-_Martin-pecheur_malgache_8840MF.jpg</t>
  </si>
  <si>
    <t>Madagascar_Pygmy_Kingfisher_4842.jpg</t>
  </si>
  <si>
    <t>Madagascar_Scops-Owl_-_Petit-duc_malgache.jpg</t>
  </si>
  <si>
    <t xml:space="preserve">Madagascar Scops-Owl </t>
  </si>
  <si>
    <t>Madagascar_Spinetail_5885.jpg</t>
  </si>
  <si>
    <t xml:space="preserve">Madagascar Spinetail </t>
  </si>
  <si>
    <t>Madagascar_Starling_-_Etourneau_de_Malgache_5356.jpg</t>
  </si>
  <si>
    <t xml:space="preserve">Madagascar Starling </t>
  </si>
  <si>
    <t>Madagascar_Starling_-_Etourneau_de_Malgache_9022MF.jpg</t>
  </si>
  <si>
    <t>Madagascar_Starling_-_Etourneau_malgache.jpg</t>
  </si>
  <si>
    <t>Madagascar_Swamp_Warbler_-_Rousserolle_de_Newton_5234.jpg</t>
  </si>
  <si>
    <t>Madagascar Swamp Warbler</t>
  </si>
  <si>
    <t>Madagascar_Wagtail_-_Bergeronnette_malgache_8779MF.jpg</t>
  </si>
  <si>
    <t xml:space="preserve">Madagascar Wagtail </t>
  </si>
  <si>
    <t>Magenta-throated_Woodstar_2882MF.jpg</t>
  </si>
  <si>
    <t xml:space="preserve">Magenta-throated Woodstar </t>
  </si>
  <si>
    <t>Magenta-throated_Woodstar_6941.jpg</t>
  </si>
  <si>
    <t>Magnificent_Frigatebird_21212.jpg</t>
  </si>
  <si>
    <t xml:space="preserve">Magnificent Frigatebird </t>
  </si>
  <si>
    <t>Magnificent_Frigatebird_3050.jpg</t>
  </si>
  <si>
    <t>Magnificent_Frigatebird_5096.jpg</t>
  </si>
  <si>
    <t>Magnificent_Frigatebird_5992.jpg</t>
  </si>
  <si>
    <t>Magnificent_Frigatebird_6472.jpg</t>
  </si>
  <si>
    <t>Magnificent_Frigatebird_6490.jpg</t>
  </si>
  <si>
    <t>Magnificent_Frigatebird_6613.jpg</t>
  </si>
  <si>
    <t>Magnificent_Frigatebird_736.jpg</t>
  </si>
  <si>
    <t>Magnificent_Frigatebird_7749MF.jpg</t>
  </si>
  <si>
    <t>Magnificent_Frigatebird_MF6388.jpg</t>
  </si>
  <si>
    <t>Magnificent_Frigatebird_MF6392.jpg</t>
  </si>
  <si>
    <t>Magnolia Warbler-001.jpg</t>
  </si>
  <si>
    <t>Magnolia Warbler</t>
  </si>
  <si>
    <t>Magnolia Warbler-003.jpg</t>
  </si>
  <si>
    <t>Magnolia_Warbler_0190.jpg</t>
  </si>
  <si>
    <t xml:space="preserve">Magnolia Warbler </t>
  </si>
  <si>
    <t>Magnolia_warbler_0336MF.jpg</t>
  </si>
  <si>
    <t>Magnolia_warbler_0407.jpg</t>
  </si>
  <si>
    <t>Magnolia_warbler_1378.jpg</t>
  </si>
  <si>
    <t>Magnolia_Warbler_2014-001.jpg</t>
  </si>
  <si>
    <t>Magnolia_Warbler_2014-003.jpg</t>
  </si>
  <si>
    <t>Magnolia_Warbler_2879.jpg</t>
  </si>
  <si>
    <t>Magnolia_Warbler_3311MF.jpg</t>
  </si>
  <si>
    <t>Magnolia_Warbler_3317MF.jpg</t>
  </si>
  <si>
    <t>Magnolia_Warbler_3775.jpg</t>
  </si>
  <si>
    <t>Magnolia_Warbler_3844.jpg</t>
  </si>
  <si>
    <t>Magnolia_warbler_4199MF.jpg</t>
  </si>
  <si>
    <t>Magnolia_warbler_5045.jpg</t>
  </si>
  <si>
    <t>Magnolia_warbler_7439MF.jpg</t>
  </si>
  <si>
    <t>Magnolia_Warbler_7594.jpg</t>
  </si>
  <si>
    <t>Magnolia_Warbler_7612.jpg</t>
  </si>
  <si>
    <t>Magnolia_Warbler_8181.jpg</t>
  </si>
  <si>
    <t>Magnolia_Warbler_8627.jpg</t>
  </si>
  <si>
    <t>Magnolia_Warbler_8746.jpg</t>
  </si>
  <si>
    <t>Magnolia_Warbler3749MF.jpg</t>
  </si>
  <si>
    <t>Magpie_Goose-646697374.jpg</t>
  </si>
  <si>
    <t>Magpie Goose</t>
  </si>
  <si>
    <t>Magpie_Shrike_269.jpg</t>
  </si>
  <si>
    <t xml:space="preserve">Magpie Shrike </t>
  </si>
  <si>
    <t>Magpie_Shrike_9350.jpg</t>
  </si>
  <si>
    <t>Magpie-lark.jpg</t>
  </si>
  <si>
    <t xml:space="preserve">Magpie-lark  </t>
  </si>
  <si>
    <t>Malachite_Kingfisher_7671.jpg</t>
  </si>
  <si>
    <t xml:space="preserve">Malachite Kingfisher </t>
  </si>
  <si>
    <t>Malagasy Pond-heron-0321G2.jpg</t>
  </si>
  <si>
    <t>Malagasy Pond-Heron</t>
  </si>
  <si>
    <t>Malagasy_Bulbul_-_Bulbul_de_Madagascar_5909.jpg</t>
  </si>
  <si>
    <t xml:space="preserve">Malagasy Bulbul </t>
  </si>
  <si>
    <t>Malagasy_Coucal_-_Coucal_toulou_9453MF.jpg</t>
  </si>
  <si>
    <t xml:space="preserve">Malagasy Coucal </t>
  </si>
  <si>
    <t>Malagasy_Kestrel_-_Crecerelle_malgache_5846.jpg</t>
  </si>
  <si>
    <t xml:space="preserve">Malagasy Kestrel </t>
  </si>
  <si>
    <t>Malagasy_Kestrel_-_Crecerelle_malgache_9090MF.jpg</t>
  </si>
  <si>
    <t>Malagasy_Kingfisher_9316.jpg</t>
  </si>
  <si>
    <t xml:space="preserve">Malagasy Kingfisher </t>
  </si>
  <si>
    <t>Malagasy_Kingfisher_vintsi_8741MF.jpg</t>
  </si>
  <si>
    <t>Malagasy_Paradise_Flycatcher__Malagasy_-626725961.jpg</t>
  </si>
  <si>
    <t>Malagasy Paradise-Flycatcher</t>
  </si>
  <si>
    <t>Malagasy_Paradise-Flycatcher_-_Tchitrec_malgache_6371.jpg</t>
  </si>
  <si>
    <t xml:space="preserve">Malagasy Paradise-Flycatcher </t>
  </si>
  <si>
    <t>Malagasy_Paradise-Flycatcher_-_Tchitrec_malgache_9296MF.jpg</t>
  </si>
  <si>
    <t>Malagasy_Pond-heron_0312.jpg</t>
  </si>
  <si>
    <t xml:space="preserve">Malagasy Pond-Heron </t>
  </si>
  <si>
    <t>Malagasy_Pond-heron_0321G.jpg</t>
  </si>
  <si>
    <t>Malagasy_Pond-heron_0321G2.jpg</t>
  </si>
  <si>
    <t>Malagasy_Pond-Heron_20223.jpg</t>
  </si>
  <si>
    <t>Malagasy_Pond-Heron_20321.jpg</t>
  </si>
  <si>
    <t>Malagasy_Pond-Heron_20321G.jpg</t>
  </si>
  <si>
    <t>Malagasy_Pond-heron_9859.jpg</t>
  </si>
  <si>
    <t>Malagasy_Pond-heron_9868.jpg</t>
  </si>
  <si>
    <t>Malagasy_Pond-heron.jpg</t>
  </si>
  <si>
    <t>Mallard_0242.jpg</t>
  </si>
  <si>
    <t xml:space="preserve">Mallard  </t>
  </si>
  <si>
    <t>Mallard_1548.jpg</t>
  </si>
  <si>
    <t>Mallard_2367.jpg</t>
  </si>
  <si>
    <t>Mallard_2508.jpg</t>
  </si>
  <si>
    <t>Mallard_4552.jpg</t>
  </si>
  <si>
    <t>Mallard_9233.jpg</t>
  </si>
  <si>
    <t>Malleefowl-646453669.jpg</t>
  </si>
  <si>
    <t>Malleefowl</t>
  </si>
  <si>
    <t>Maned_duck_1933.jpg</t>
  </si>
  <si>
    <t xml:space="preserve">Maned Duck </t>
  </si>
  <si>
    <t>Maned_Duck_8066.jpg</t>
  </si>
  <si>
    <t>Mangrove_Cuckoo-Mangrove_Cuckoo_5984.jpg</t>
  </si>
  <si>
    <t xml:space="preserve">Mangrove Cuckoo </t>
  </si>
  <si>
    <t>Mangrove_Swallow_MF5154.jpg</t>
  </si>
  <si>
    <t xml:space="preserve">Mangrove Swallow </t>
  </si>
  <si>
    <t>Mangrove_Yellow_Warbler_Cozumel-79570781.jpg</t>
  </si>
  <si>
    <t>Mangrove Yellow Warbler</t>
  </si>
  <si>
    <t>Mangrove_Yellow_Warbler_Mexican-467489401.jpg</t>
  </si>
  <si>
    <t>Marabou_Stork_318.jpg</t>
  </si>
  <si>
    <t xml:space="preserve">Marabou Stork </t>
  </si>
  <si>
    <t>Marabou_Stork_7292.jpg</t>
  </si>
  <si>
    <t>Marbled_Godwit_0643.jpg</t>
  </si>
  <si>
    <t xml:space="preserve">Marbled Godwit </t>
  </si>
  <si>
    <t>Marbled_Godwit_1102.jpg</t>
  </si>
  <si>
    <t>Marbled_Godwit_9363.jpg</t>
  </si>
  <si>
    <t>Marbled_Godwit_9568.jpg</t>
  </si>
  <si>
    <t>Marico_Sunbird-531459491.jpg</t>
  </si>
  <si>
    <t>Marico Sunbird</t>
  </si>
  <si>
    <t>Marico_Sunbird-550414331.jpg</t>
  </si>
  <si>
    <t>Marsh_Sandpiper_2929MF.jpg</t>
  </si>
  <si>
    <t xml:space="preserve">Marsh Sandpiper </t>
  </si>
  <si>
    <t>Marsh_Wren_1470.jpg</t>
  </si>
  <si>
    <t xml:space="preserve">Marsh Wren </t>
  </si>
  <si>
    <t>Marsh_Wren_2174.jpg</t>
  </si>
  <si>
    <t>Martial_Eagle_9395.jpg</t>
  </si>
  <si>
    <t xml:space="preserve">Martial Eagle </t>
  </si>
  <si>
    <t>Masked_Cardinal_5574.jpg</t>
  </si>
  <si>
    <t xml:space="preserve">Masked Cardinal </t>
  </si>
  <si>
    <t>Masked_Flowerpiercer_4668.jpg</t>
  </si>
  <si>
    <t xml:space="preserve">Masked Flowerpiercer </t>
  </si>
  <si>
    <t>Masked_Lapwing_8914.jpg</t>
  </si>
  <si>
    <t xml:space="preserve">Masked Lapwing </t>
  </si>
  <si>
    <t>Masked_Tityra_24027.jpg</t>
  </si>
  <si>
    <t xml:space="preserve">Masked Tityra </t>
  </si>
  <si>
    <t>Masked_Tityra_3679.jpg</t>
  </si>
  <si>
    <t>Masked_Tityra_7543.jpg</t>
  </si>
  <si>
    <t>Masked_Tityra_7865.jpg</t>
  </si>
  <si>
    <t>Masked_Trogon_3754.jpg</t>
  </si>
  <si>
    <t xml:space="preserve">Masked Trogon </t>
  </si>
  <si>
    <t>Masked_Trogon_4217.jpg</t>
  </si>
  <si>
    <t>Masked_Woodswallow-646418080.jpg</t>
  </si>
  <si>
    <t>Masked Woodswallow</t>
  </si>
  <si>
    <t>Masked_Yellowthroat_4967.jpg</t>
  </si>
  <si>
    <t xml:space="preserve">Masked Yellowthroat </t>
  </si>
  <si>
    <t>Mealy_Amazon_38.jpg</t>
  </si>
  <si>
    <t xml:space="preserve">Mealy Amazon </t>
  </si>
  <si>
    <t>Mealy_Amazon_436.jpg</t>
  </si>
  <si>
    <t>Mealy_Amazon_7161.jpg</t>
  </si>
  <si>
    <t>Medium_Ground-Finch_13.jpg</t>
  </si>
  <si>
    <t xml:space="preserve">Medium Ground-Finch </t>
  </si>
  <si>
    <t>Mellers_Duck_9792.jpg</t>
  </si>
  <si>
    <t>Meller's Duck</t>
  </si>
  <si>
    <t>Melodious_Blackbird_1647.jpg</t>
  </si>
  <si>
    <t xml:space="preserve">Melodious Blackbird </t>
  </si>
  <si>
    <t>Melodious_blackbird_2498MF.jpg</t>
  </si>
  <si>
    <t>Melodious_Blackbird_3647.jpg</t>
  </si>
  <si>
    <t>Merlin_0513.jpg</t>
  </si>
  <si>
    <t xml:space="preserve">Merlin  </t>
  </si>
  <si>
    <t>Merlin_1577.jpg</t>
  </si>
  <si>
    <t>Merlin_1772.jpg</t>
  </si>
  <si>
    <t>Merlin_193338.jpg</t>
  </si>
  <si>
    <t>Merlin_1991.jpg</t>
  </si>
  <si>
    <t>Merlin_2493.jpg</t>
  </si>
  <si>
    <t>Merlin_2542.jpg</t>
  </si>
  <si>
    <t>Merlin_2555.jpg</t>
  </si>
  <si>
    <t>Merlin_6855MF.jpg</t>
  </si>
  <si>
    <t>Merlin_8721MF-Studio.jpeg</t>
  </si>
  <si>
    <t>Merlin_8721MF.jpg</t>
  </si>
  <si>
    <t>Merlin_Faucon_emerillon_3456.jpg</t>
  </si>
  <si>
    <t>Merlin_Faucon_emerillon.jpg</t>
  </si>
  <si>
    <t>Metallic-green_Tanager_3504.jpg</t>
  </si>
  <si>
    <t xml:space="preserve">Metallic-green Tanager </t>
  </si>
  <si>
    <t>Meve's Starling-9079.jpg</t>
  </si>
  <si>
    <t>Meves's Starling</t>
  </si>
  <si>
    <t>Mississippi_Kite_1514.jpg</t>
  </si>
  <si>
    <t xml:space="preserve">Mississippi Kite </t>
  </si>
  <si>
    <t>Mississippi_Kite_1515.jpg</t>
  </si>
  <si>
    <t>Mississippi_Kite_1520.jpg</t>
  </si>
  <si>
    <t>Mistletoebird-646554012.jpg</t>
  </si>
  <si>
    <t>Mistletoebird</t>
  </si>
  <si>
    <t>Mitred_Parakeet_8152.jpg</t>
  </si>
  <si>
    <t xml:space="preserve">Mitred Parakeet </t>
  </si>
  <si>
    <t>Mitred_Parakeet_8182.jpg</t>
  </si>
  <si>
    <t>Mocking_Cliff-Chat_231.jpg</t>
  </si>
  <si>
    <t xml:space="preserve">Mocking Cliff-Chat </t>
  </si>
  <si>
    <t>Mocking_Cliff-chat_2824.jpg</t>
  </si>
  <si>
    <t>Mocking_Cliff-Chat_3523.jpg</t>
  </si>
  <si>
    <t>Monk_Parakeet_7942.jpg</t>
  </si>
  <si>
    <t xml:space="preserve">Monk Parakeet </t>
  </si>
  <si>
    <t>Monk_Parakeet_7970.jpg</t>
  </si>
  <si>
    <t>Monk_Parakeet_8026.jpg</t>
  </si>
  <si>
    <t>Monk_Parakeet_8045.jpg</t>
  </si>
  <si>
    <t>Monk_Parakeet_8175.jpg</t>
  </si>
  <si>
    <t>Montane_Woodcreeper_23908.jpg</t>
  </si>
  <si>
    <t xml:space="preserve">Montane Woodcreeper </t>
  </si>
  <si>
    <t>Montane_Woodcreeper_3768.jpg</t>
  </si>
  <si>
    <t>Montane_Woodcreeper_3935.jpg</t>
  </si>
  <si>
    <t>Montane_Woodcreeper_4104.jpg</t>
  </si>
  <si>
    <t>Montane_Woodcreeper_5859.jpg</t>
  </si>
  <si>
    <t>Montezuma_Oropendola_4807.jpg</t>
  </si>
  <si>
    <t xml:space="preserve">Montezuma Oropendola </t>
  </si>
  <si>
    <t>Montezuma_Oropendola_7495.jpg</t>
  </si>
  <si>
    <t>Morelets_Seedeater_590.jpg</t>
  </si>
  <si>
    <t>Morelet's Seedeater</t>
  </si>
  <si>
    <t>Moss-backed_Tanager_4927.jpg</t>
  </si>
  <si>
    <t xml:space="preserve">Moss-backed Tanager </t>
  </si>
  <si>
    <t>Mottled_Duck_2202.jpg</t>
  </si>
  <si>
    <t xml:space="preserve">Mottled Duck </t>
  </si>
  <si>
    <t>Mottled_Duck_4077.jpg</t>
  </si>
  <si>
    <t>Mottled_Duck_7023MF.jpg</t>
  </si>
  <si>
    <t>Mottled_Duck_7917MF.jpg</t>
  </si>
  <si>
    <t>Mottled_Owl_1221.jpg</t>
  </si>
  <si>
    <t xml:space="preserve">Mottled Owl </t>
  </si>
  <si>
    <t>Mottled_Owl_1567.jpg</t>
  </si>
  <si>
    <t>Mountain Grackle-6972.jpg</t>
  </si>
  <si>
    <t>Mountain Grackle</t>
  </si>
  <si>
    <t>Mountain Velvetbreast-405.jpg</t>
  </si>
  <si>
    <t>Mountain Velvetbreast</t>
  </si>
  <si>
    <t>Mountain_Cacique_4977.jpg</t>
  </si>
  <si>
    <t xml:space="preserve">Mountain Cacique </t>
  </si>
  <si>
    <t>Mountain_Cacique_5053.jpg</t>
  </si>
  <si>
    <t>Mountain_Chat.jpg</t>
  </si>
  <si>
    <t xml:space="preserve">Mountain Chat </t>
  </si>
  <si>
    <t>Mountain_Elaenia_2391.jpg</t>
  </si>
  <si>
    <t xml:space="preserve">Mountain Elaenia </t>
  </si>
  <si>
    <t>Mountain_Elaenia_5937.jpg</t>
  </si>
  <si>
    <t>Mountain_Thrush_2580.jpg</t>
  </si>
  <si>
    <t xml:space="preserve">Mountain Thrush </t>
  </si>
  <si>
    <t>Mountain_Wren_3831.jpg</t>
  </si>
  <si>
    <t xml:space="preserve">Mountain Wren </t>
  </si>
  <si>
    <t>Mourning Collared-Dove 0620.jpg</t>
  </si>
  <si>
    <t>Mourning Collared-Dove</t>
  </si>
  <si>
    <t>Mourning_Dove_1264.jpg</t>
  </si>
  <si>
    <t xml:space="preserve">Mourning Dove </t>
  </si>
  <si>
    <t>Mourning_Dove_2522.jpg</t>
  </si>
  <si>
    <t>Mourning_Dove_7079.jpg</t>
  </si>
  <si>
    <t>Mourning_Dove_8003MF.jpg</t>
  </si>
  <si>
    <t>Mourning_Dove_8637.jpg</t>
  </si>
  <si>
    <t>Mourning_Dove_8967.jpg</t>
  </si>
  <si>
    <t>Mourning_Dove_9281.jpg</t>
  </si>
  <si>
    <t>Mourning_Warbler_0217.jpg</t>
  </si>
  <si>
    <t xml:space="preserve">Mourning Warbler </t>
  </si>
  <si>
    <t>Mourning_Warbler_0226.jpg</t>
  </si>
  <si>
    <t>Mourning_Warbler_0483.jpg</t>
  </si>
  <si>
    <t>Mourning_Warbler_1416MF.jpg</t>
  </si>
  <si>
    <t>Moustached_Antwren.jpg</t>
  </si>
  <si>
    <t xml:space="preserve">Moustached Antwren </t>
  </si>
  <si>
    <t>Moustached_Brushfinch_6861.jpg</t>
  </si>
  <si>
    <t xml:space="preserve">Moustached Brushfinch </t>
  </si>
  <si>
    <t>Mulga_Parrot-646414514.jpg</t>
  </si>
  <si>
    <t>Mulga Parrot</t>
  </si>
  <si>
    <t>Musk_Duck-646750926.jpg</t>
  </si>
  <si>
    <t>Musk Duck</t>
  </si>
  <si>
    <t>Musk_Lorikeet_3844MF.jpg</t>
  </si>
  <si>
    <t xml:space="preserve">Musk Lorikeet </t>
  </si>
  <si>
    <t>Musk_Lorikeet_5285MF.jpg</t>
  </si>
  <si>
    <t>Mute_Swan_0384.jpg</t>
  </si>
  <si>
    <t xml:space="preserve">Mute Swan </t>
  </si>
  <si>
    <t>Mute_Swan_1510.jpg</t>
  </si>
  <si>
    <t>Mute_Swan_2853.jpg</t>
  </si>
  <si>
    <t>Mute_Swan_7631.jpg</t>
  </si>
  <si>
    <t>Namaqua_Dove_-_Tourtelette_masquee_9330MF.jpg</t>
  </si>
  <si>
    <t xml:space="preserve">Namaqua Dove </t>
  </si>
  <si>
    <t>Namaqua_Dove_-_Tourtelette_masquee-6529.jpg</t>
  </si>
  <si>
    <t>Namaqua_Dove_258.jpg</t>
  </si>
  <si>
    <t>Nanday_Parakeet_20292.jpg</t>
  </si>
  <si>
    <t xml:space="preserve">Nanday Parakeet </t>
  </si>
  <si>
    <t>Nanday_Parakeet_20322.jpg</t>
  </si>
  <si>
    <t>Nanday_Parakeet_20329.jpg</t>
  </si>
  <si>
    <t>Nanday_Parakeet_7937MF.jpg</t>
  </si>
  <si>
    <t>Nanday_Parakeet_9536MF.jpg</t>
  </si>
  <si>
    <t>Nankeen_Kestrel_0478.jpg</t>
  </si>
  <si>
    <t xml:space="preserve">Nankeen Kestrel </t>
  </si>
  <si>
    <t>Nankeen_Kestrel_0977.jpg</t>
  </si>
  <si>
    <t>Nankeen_Night-Heron-646611070.jpg</t>
  </si>
  <si>
    <t>Nankeen Night Heron</t>
  </si>
  <si>
    <t>Nashville Warbler-027.jpg</t>
  </si>
  <si>
    <t>Nashville Warbler</t>
  </si>
  <si>
    <t>Nashville_Warbler_0167.jpg</t>
  </si>
  <si>
    <t xml:space="preserve">Nashville Warbler </t>
  </si>
  <si>
    <t>Nashville_Warbler_2030.jpg</t>
  </si>
  <si>
    <t>Nashville_Warbler_2442.jpg</t>
  </si>
  <si>
    <t>Nashville_Warbler_2489.jpg</t>
  </si>
  <si>
    <t>Nashville_Warbler_2591.jpg</t>
  </si>
  <si>
    <t>Nashville_Warbler_3124.jpg</t>
  </si>
  <si>
    <t>Nashville_Warbler_3249MF.jpg</t>
  </si>
  <si>
    <t>Nashville_Warbler_4020.jpg</t>
  </si>
  <si>
    <t>Nashville_Warbler_6517MF.jpg</t>
  </si>
  <si>
    <t>Nashville_Warbler_6831.jpg</t>
  </si>
  <si>
    <t>Nashville_Warbler_6903.jpg</t>
  </si>
  <si>
    <t>Nashville_Warbler_7444.jpg</t>
  </si>
  <si>
    <t>Nashville_Warbler_7722.jpg</t>
  </si>
  <si>
    <t>Nashville_Warbler_9958.jpg</t>
  </si>
  <si>
    <t>Nashville_Warbler_CAO.jpg</t>
  </si>
  <si>
    <t>Natal Spurfowl 9886.jpg</t>
  </si>
  <si>
    <t>Natal Spurfowl</t>
  </si>
  <si>
    <t>Nazca_Booby_63.jpg</t>
  </si>
  <si>
    <t xml:space="preserve">Nazca Booby </t>
  </si>
  <si>
    <t>Neotropic_Cormorant_5048MF.jpg</t>
  </si>
  <si>
    <t xml:space="preserve">Neotropic Cormorant </t>
  </si>
  <si>
    <t>Neotropic_Cormorant_6508.jpg</t>
  </si>
  <si>
    <t>Neotropic_Cormorant_7371.jpg</t>
  </si>
  <si>
    <t>New_Holland_Honeyeater_1044.jpg</t>
  </si>
  <si>
    <t>New Holland Honeyeater</t>
  </si>
  <si>
    <t>New_Holland_Honeyeater_2248.jpg</t>
  </si>
  <si>
    <t>New_Holland_Honeyeater_2610MF.jpg</t>
  </si>
  <si>
    <t>New_Holland_Honeyeater_3182MF.jpg</t>
  </si>
  <si>
    <t>New_Holland_Honeyeater_3384MF.jpg</t>
  </si>
  <si>
    <t>New_Holland_Honeyeater_8056.jpg</t>
  </si>
  <si>
    <t>Nicaraguan_Grackle_725.jpg</t>
  </si>
  <si>
    <t xml:space="preserve">Nicaraguan Grackle </t>
  </si>
  <si>
    <t>Niceforos_Wren_6391.jpg</t>
  </si>
  <si>
    <t>Niceforo's Wren</t>
  </si>
  <si>
    <t>Noisy_Friarbird_8038.jpg</t>
  </si>
  <si>
    <t xml:space="preserve">Noisy Friarbird </t>
  </si>
  <si>
    <t>Noisy_Friarbird_9262.jpg</t>
  </si>
  <si>
    <t>Noisy_Miner_2287.jpg</t>
  </si>
  <si>
    <t xml:space="preserve">Noisy Miner </t>
  </si>
  <si>
    <t>Noisy_Miner.jpg</t>
  </si>
  <si>
    <t>Northern Cardinal-1516.jpg</t>
  </si>
  <si>
    <t>Northern Cardinal</t>
  </si>
  <si>
    <t>Northern Flicker-005.jpg</t>
  </si>
  <si>
    <t>Northern Flicker</t>
  </si>
  <si>
    <t>Northern Mockingbird-012.jpg</t>
  </si>
  <si>
    <t>Northern Mockingbird</t>
  </si>
  <si>
    <t>Northern Yellow Warbler-007.jpg</t>
  </si>
  <si>
    <t>Northern Yellow Warbler</t>
  </si>
  <si>
    <t>Northern Yellow Warbler-009.jpg</t>
  </si>
  <si>
    <t>Northern Yellow Warbler-102.jpg</t>
  </si>
  <si>
    <t>Northern_Barred-Woodcreeper_6063.jpg</t>
  </si>
  <si>
    <t xml:space="preserve">Northern Barred-Woodcreeper </t>
  </si>
  <si>
    <t>Northern_Cardinal_1465.jpg</t>
  </si>
  <si>
    <t xml:space="preserve">Northern Cardinal </t>
  </si>
  <si>
    <t>Northern_Cardinal_2.jpg</t>
  </si>
  <si>
    <t>Northern_Cardinal_20340.jpg</t>
  </si>
  <si>
    <t>Northern_Cardinal_2413.jpg</t>
  </si>
  <si>
    <t>Northern_Cardinal_9483.jpg</t>
  </si>
  <si>
    <t>Northern_Cardinal_9486.jpg</t>
  </si>
  <si>
    <t>Northern_Emerald-Toucanet_2471.jpg</t>
  </si>
  <si>
    <t xml:space="preserve">Northern Emerald-Toucanet </t>
  </si>
  <si>
    <t>Northern_Emerald-Toucanet_2486_2.jpg</t>
  </si>
  <si>
    <t>Northern_Emerald-Toucanet_2486.jpg</t>
  </si>
  <si>
    <t>Northern_Emerald-Toucanet_5850.jpg</t>
  </si>
  <si>
    <t>Northern_Flicker_0482.jpg</t>
  </si>
  <si>
    <t xml:space="preserve">Northern Flicker </t>
  </si>
  <si>
    <t>Northern_Flicker_2402MF.jpg</t>
  </si>
  <si>
    <t>Northern_Flicker_2897.jpg</t>
  </si>
  <si>
    <t>Northern_Flicker_4618MF.jpg</t>
  </si>
  <si>
    <t>Northern_Flicker_5917MF.jpg</t>
  </si>
  <si>
    <t>Northern_Flicker_7832.jpg</t>
  </si>
  <si>
    <t>Northern_Flicker_8033.jpg</t>
  </si>
  <si>
    <t>Northern_Flicker_red_shafted_7691.jpg</t>
  </si>
  <si>
    <t>Northern_gannet_9833TIF.jpg</t>
  </si>
  <si>
    <t xml:space="preserve">Northern Gannet </t>
  </si>
  <si>
    <t>Northern_Harrier_0096.jpg</t>
  </si>
  <si>
    <t xml:space="preserve">Northern Harrier </t>
  </si>
  <si>
    <t>Northern_Harrier_0570.jpg</t>
  </si>
  <si>
    <t>Northern_Harrier_1997.jpg</t>
  </si>
  <si>
    <t>Northern_Harrier_20927.jpg</t>
  </si>
  <si>
    <t>Northern_Harrier_4539.jpg</t>
  </si>
  <si>
    <t>Northern_Hawk_Owl_7023.jpg</t>
  </si>
  <si>
    <t>Northern Hawk Owl</t>
  </si>
  <si>
    <t>Northern_House_Wren_1860.jpg</t>
  </si>
  <si>
    <t>Northern House Wren</t>
  </si>
  <si>
    <t>Northern_House_Wren_21421.jpg</t>
  </si>
  <si>
    <t>Northern_House_Wren_5500MF.jpg</t>
  </si>
  <si>
    <t>Northern_House_Wren_6973.jpg</t>
  </si>
  <si>
    <t>Northern_House_Wren_MF3625.jpg</t>
  </si>
  <si>
    <t>Northern_Jacana_165.jpg</t>
  </si>
  <si>
    <t xml:space="preserve">Northern Jacana </t>
  </si>
  <si>
    <t>Northern_Jacana_346.jpg</t>
  </si>
  <si>
    <t>Northern_Mockingbird_0136.jpg</t>
  </si>
  <si>
    <t xml:space="preserve">Northern Mockingbird </t>
  </si>
  <si>
    <t>Northern_Mockingbird_0524.jpg</t>
  </si>
  <si>
    <t>Northern_Mockingbird_9690.jpg</t>
  </si>
  <si>
    <t>Northern_Parula_0412.jpg</t>
  </si>
  <si>
    <t xml:space="preserve">Northern Parula </t>
  </si>
  <si>
    <t>Northern_Parula_0447.jpg</t>
  </si>
  <si>
    <t>Northern_Parula_1590.jpg</t>
  </si>
  <si>
    <t>Northern_Parula_1591.jpg</t>
  </si>
  <si>
    <t>Northern_Parula_1613.jpg</t>
  </si>
  <si>
    <t>Northern_Parula_2.jpg</t>
  </si>
  <si>
    <t>Northern_Parula_20599.jpg</t>
  </si>
  <si>
    <t>Northern_Parula_2390.jpg</t>
  </si>
  <si>
    <t>Northern_Parula_2499.jpg</t>
  </si>
  <si>
    <t>Northern_Parula_2500.jpg</t>
  </si>
  <si>
    <t>Northern_Parula_3193.jpg</t>
  </si>
  <si>
    <t>Northern_Parula_3239MF.jpg</t>
  </si>
  <si>
    <t>Northern_Parula_4361MF.jpg</t>
  </si>
  <si>
    <t>Northern_Parula_4374MF.jpg</t>
  </si>
  <si>
    <t>Northern_Parula_4887.jpg</t>
  </si>
  <si>
    <t>Northern_Parula_5569MF.jpg</t>
  </si>
  <si>
    <t>Northern_Parula_5745.jpg</t>
  </si>
  <si>
    <t>Northern_Parula_6076MF.jpg</t>
  </si>
  <si>
    <t>Northern_Parula_7011.jpg</t>
  </si>
  <si>
    <t>Northern_Parula_7369MF.jpg</t>
  </si>
  <si>
    <t>Northern_Parula_8127MF.jpg</t>
  </si>
  <si>
    <t>Northern_Parula_9368.jpg</t>
  </si>
  <si>
    <t>Northern_Parula_Bloom.jpeg</t>
  </si>
  <si>
    <t>Northern_Parula.jpg</t>
  </si>
  <si>
    <t>Northern_Pintail_0221.jpg</t>
  </si>
  <si>
    <t xml:space="preserve">Northern Pintail </t>
  </si>
  <si>
    <t>Northern_pintail_1300MF.jpg</t>
  </si>
  <si>
    <t>Northern_pintail_1837MF.jpg</t>
  </si>
  <si>
    <t>Northern_Pintail_2018.jpg</t>
  </si>
  <si>
    <t>Northern_pintail_7467.jpg</t>
  </si>
  <si>
    <t>Northern_Pintail.jpg</t>
  </si>
  <si>
    <t>Northern_Plain-Xenops_1636.jpg</t>
  </si>
  <si>
    <t xml:space="preserve">Northern Plain-Xenops </t>
  </si>
  <si>
    <t>Northern_Plain-Xenops_MF3517.jpg</t>
  </si>
  <si>
    <t>Northern_Rough-winged_Swallow_7948.jpg</t>
  </si>
  <si>
    <t>Northern Rough-winged Swallow</t>
  </si>
  <si>
    <t>Northern_Screamer_21227.jpg</t>
  </si>
  <si>
    <t xml:space="preserve">Northern Screamer </t>
  </si>
  <si>
    <t>Northern_Screamer_22257.jpg</t>
  </si>
  <si>
    <t>Northern_Screamer_22511.jpg</t>
  </si>
  <si>
    <t>Northern_Scrub-Flycatcher_23174.jpg</t>
  </si>
  <si>
    <t xml:space="preserve">Northern Scrub-Flycatcher </t>
  </si>
  <si>
    <t>Northern_Scrub-Flycatcher_5958.jpg</t>
  </si>
  <si>
    <t>Northern_Scrub-Flycatcher.jpg</t>
  </si>
  <si>
    <t>Northern_Shoveler_0250.jpg</t>
  </si>
  <si>
    <t xml:space="preserve">Northern Shoveler </t>
  </si>
  <si>
    <t>Northern_Shoveler_1291.jpg</t>
  </si>
  <si>
    <t>Northern_Shoveler_1400.jpg</t>
  </si>
  <si>
    <t>Northern_Shoveler_2608.jpg</t>
  </si>
  <si>
    <t>Northern_Shoveler_3429.jpg</t>
  </si>
  <si>
    <t>Northern_Shoveler_5626MF.jpg</t>
  </si>
  <si>
    <t>Northern_Shoveler_7002MF.jpg</t>
  </si>
  <si>
    <t>Northern_Shoveler_7005MF.jpg</t>
  </si>
  <si>
    <t>Northern_Shoveler_7830.jpg</t>
  </si>
  <si>
    <t>Northern_Shoveler_8536.jpg</t>
  </si>
  <si>
    <t>Northern_Shoveler_9676.jpg</t>
  </si>
  <si>
    <t>Northern_Shoveler.jpg</t>
  </si>
  <si>
    <t>Northern_Shrike_immature_8611.jpg</t>
  </si>
  <si>
    <t xml:space="preserve">Northern Shrike </t>
  </si>
  <si>
    <t>Northern_Tropical_Pewee_2139MF.jpg</t>
  </si>
  <si>
    <t>Northern Tropical Pewee</t>
  </si>
  <si>
    <t>Northern_Tropical_Pewee_5251.jpg</t>
  </si>
  <si>
    <t>Northern_Tropical_Pewee_8350.jpg</t>
  </si>
  <si>
    <t>Northern_Waterthrush_2108.jpg</t>
  </si>
  <si>
    <t xml:space="preserve">Northern Waterthrush </t>
  </si>
  <si>
    <t>Northern_Waterthrush_2780.jpg</t>
  </si>
  <si>
    <t>Northern_Waterthrush_5610.jpg</t>
  </si>
  <si>
    <t>Northern_Waterthrush_5617.jpg</t>
  </si>
  <si>
    <t>Northern_Waterthrush_5819.jpg</t>
  </si>
  <si>
    <t>Northern_Waterthrush_5840.jpg</t>
  </si>
  <si>
    <t>Northern_Waterthrush_6103MF.jpg</t>
  </si>
  <si>
    <t>Northern_Waterthrush_7182.jpg</t>
  </si>
  <si>
    <t>Northern_Waterthrush.jpg</t>
  </si>
  <si>
    <t>Northern_Yellow_Warbler_007.jpg</t>
  </si>
  <si>
    <t>Northern_Yellow_Warbler_0180MF.jpg</t>
  </si>
  <si>
    <t>Northern_Yellow_Warbler_1105.jpg</t>
  </si>
  <si>
    <t>Northern_Yellow_Warbler_1151.jpg</t>
  </si>
  <si>
    <t>Northern_Yellow_Warbler_2053.jpg</t>
  </si>
  <si>
    <t>Northern_Yellow_Warbler_2109.jpg</t>
  </si>
  <si>
    <t>Northern_Yellow_Warbler_2259MF.jpg</t>
  </si>
  <si>
    <t>Northern_Yellow_warbler_2317MF.jpg</t>
  </si>
  <si>
    <t>Northern_Yellow_Warbler_2437.jpg</t>
  </si>
  <si>
    <t>Northern_Yellow_Warbler_2550.jpg</t>
  </si>
  <si>
    <t>Northern_Yellow_Warbler_2861.jpg</t>
  </si>
  <si>
    <t>Northern_Yellow_Warbler_2881MF.jpg</t>
  </si>
  <si>
    <t>Northern_Yellow_Warbler_3710MF.jpg</t>
  </si>
  <si>
    <t>Northern_Yellow_Warbler_4183.jpg</t>
  </si>
  <si>
    <t>Northern_Yellow_Warbler_5295.jpg</t>
  </si>
  <si>
    <t>Northern_Yellow_warbler_5580.jpg</t>
  </si>
  <si>
    <t>Northern_Yellow_Warbler_6419MF.jpg</t>
  </si>
  <si>
    <t>Northern_Yellow_Warbler_6555MF.jpg</t>
  </si>
  <si>
    <t>Northern_Yellow_Warbler_6914.jpg</t>
  </si>
  <si>
    <t>Northern_Yellow_Warbler_7170MF.jpg</t>
  </si>
  <si>
    <t>Northern_Yellow_Warbler_7220MF.jpg</t>
  </si>
  <si>
    <t>Northern_Yellow_Warbler_7656.jpg</t>
  </si>
  <si>
    <t>Northern_Yellow_Warbler_7813.jpg</t>
  </si>
  <si>
    <t>Northern_Yellow_Warbler_8016.jpg</t>
  </si>
  <si>
    <t>Northern_Yellow_Warbler_9930.jpg</t>
  </si>
  <si>
    <t>Northern_Yellow_Warbler_Mangrove_Warbler_8361.jpg</t>
  </si>
  <si>
    <t>Northern_Yellow_Warbler.jpg</t>
  </si>
  <si>
    <t>Nuttalls_Woodpecker.jpg</t>
  </si>
  <si>
    <t>Nuttall's Woodpecker</t>
  </si>
  <si>
    <t>Oak_Titmouse_2251.jpg</t>
  </si>
  <si>
    <t xml:space="preserve">Oak Titmouse </t>
  </si>
  <si>
    <t>Ochraceous_Wren_8038.jpg</t>
  </si>
  <si>
    <t xml:space="preserve">Ochraceous Wren </t>
  </si>
  <si>
    <t>Ochre-lored_Flatbill_1568MF.jpg</t>
  </si>
  <si>
    <t xml:space="preserve">Ochre-lored Flatbill </t>
  </si>
  <si>
    <t>Ochre-lored_Flatbill_21009.jpg</t>
  </si>
  <si>
    <t>Ochre-throated_Foliage-gleaner_2654.jpg</t>
  </si>
  <si>
    <t xml:space="preserve">Ochre-throated Foliage-gleaner </t>
  </si>
  <si>
    <t>Oilbird_5417.jpg</t>
  </si>
  <si>
    <t xml:space="preserve">Oilbird  </t>
  </si>
  <si>
    <t>Olivaceous_Piculet_0685.jpg</t>
  </si>
  <si>
    <t xml:space="preserve">Olivaceous Piculet </t>
  </si>
  <si>
    <t>Olivaceous_Piculet_6439.jpg</t>
  </si>
  <si>
    <t>Olivaceous_Piculet_7157.jpg</t>
  </si>
  <si>
    <t>Olive Whistler-2404.jpg</t>
  </si>
  <si>
    <t>Olive Whistler</t>
  </si>
  <si>
    <t>Olive_Bee-eater_-_Guepier_de_Madagascar_5494.jpg</t>
  </si>
  <si>
    <t xml:space="preserve">Olive Bee-eater </t>
  </si>
  <si>
    <t>Olive_Bee-eater_-_Guepier_de_Madagascar_7031.jpg</t>
  </si>
  <si>
    <t>Olive_Bee-eater_-_Guepier_de_Madagascar_7814.jpg</t>
  </si>
  <si>
    <t>Olive_Bee-eater_-_Guepier_de_Madagascar_8529.jpg</t>
  </si>
  <si>
    <t>Olive-backed_Euphonia_3265.jpg</t>
  </si>
  <si>
    <t xml:space="preserve">Olive-backed Euphonia </t>
  </si>
  <si>
    <t>Olive-backed_Euphonia_4412.jpg</t>
  </si>
  <si>
    <t>Olive-backed_Euphonia_5439.jpg</t>
  </si>
  <si>
    <t>Olive-backed_Euphonia_MF3753.jpg</t>
  </si>
  <si>
    <t>Olive-backed_Oriole-646610403.jpg</t>
  </si>
  <si>
    <t>Olive-backed Oriole</t>
  </si>
  <si>
    <t>Olive-capped_Coua_-_Coua_a_tete_olive_9615MF.jpg</t>
  </si>
  <si>
    <t xml:space="preserve">Olive-capped Coua </t>
  </si>
  <si>
    <t>Olive-capped_Coua_6971.jpg</t>
  </si>
  <si>
    <t>Olive-capped_Coua_8796.jpg</t>
  </si>
  <si>
    <t>Olive-capped_Coua_8820.jpg</t>
  </si>
  <si>
    <t>Olive-crowned_Yellowthroat_7059.jpg</t>
  </si>
  <si>
    <t xml:space="preserve">Olive-crowned Yellowthroat </t>
  </si>
  <si>
    <t>Olive-gray_Saltator_22906.jpg</t>
  </si>
  <si>
    <t xml:space="preserve">Olive-gray Saltator </t>
  </si>
  <si>
    <t>Olive-gray_Saltator_385.jpg</t>
  </si>
  <si>
    <t>Olive-gray_Saltator_4916.jpg</t>
  </si>
  <si>
    <t>Olive-gray_Saltator_5105.jpg</t>
  </si>
  <si>
    <t>Olive-throated_Parakeet_175.jpg</t>
  </si>
  <si>
    <t xml:space="preserve">Olive-throated Parakeet </t>
  </si>
  <si>
    <t>Olive-throated_Parakeet_413.jpg</t>
  </si>
  <si>
    <t>Olive-throated_Parakeet_7022.jpg</t>
  </si>
  <si>
    <t>Omao_0916.jpg</t>
  </si>
  <si>
    <t xml:space="preserve">Omao  </t>
  </si>
  <si>
    <t>Orange-bellied Euphonia 3101.jpg</t>
  </si>
  <si>
    <t>Orange-bellied Euphonia</t>
  </si>
  <si>
    <t>Orange-billed_Sparrow_6358.jpg</t>
  </si>
  <si>
    <t xml:space="preserve">Orange-billed Sparrow </t>
  </si>
  <si>
    <t>Orange-billed_Sparrow_MF3143.jpg</t>
  </si>
  <si>
    <t>Orange-breasted_Fruiteater-.jpg</t>
  </si>
  <si>
    <t xml:space="preserve">Orange-breasted Fruiteater </t>
  </si>
  <si>
    <t>Orange-chinned_Parakeet_6110.jpg</t>
  </si>
  <si>
    <t xml:space="preserve">Orange-chinned Parakeet </t>
  </si>
  <si>
    <t>Orange-chinned_Parakeet_MF5900.jpg</t>
  </si>
  <si>
    <t>Orange-chinned_Parakeet_MF629.jpg</t>
  </si>
  <si>
    <t>Orange-crowned_Warbler_1570.jpg</t>
  </si>
  <si>
    <t xml:space="preserve">Orange-crowned Warbler </t>
  </si>
  <si>
    <t>Orange-crowned_Warbler_5353MF.jpg</t>
  </si>
  <si>
    <t>Orange-fronted Barbet-58.jpg</t>
  </si>
  <si>
    <t>Orange-fronted Barbet</t>
  </si>
  <si>
    <t>Orange-fronted_Parakeet_2110MF.jpg</t>
  </si>
  <si>
    <t xml:space="preserve">Orange-fronted Parakeet </t>
  </si>
  <si>
    <t>Orange-winged_Amazon_5144.jpg</t>
  </si>
  <si>
    <t xml:space="preserve">Orange-winged Amazon </t>
  </si>
  <si>
    <t>Orchard_Oriole_0468.jpg</t>
  </si>
  <si>
    <t xml:space="preserve">Orchard Oriole </t>
  </si>
  <si>
    <t>Orchard_Oriole_0600.jpg</t>
  </si>
  <si>
    <t>Orchard_Oriole_1356.jpg</t>
  </si>
  <si>
    <t>Orchard_Oriole_1st_spring_male_0613.jpg</t>
  </si>
  <si>
    <t>Orchard_Oriole_4553MF.jpg</t>
  </si>
  <si>
    <t>Orchard_Oriole_4554MF.jpg</t>
  </si>
  <si>
    <t>Orchard_Oriole_5881MF.jpg</t>
  </si>
  <si>
    <t>Orchard_Oriole_618.jpg</t>
  </si>
  <si>
    <t>Orchard_Oriole_7933.jpg</t>
  </si>
  <si>
    <t>Orchard_Oriole_8480.jpg</t>
  </si>
  <si>
    <t>Orinocan_Saltator_5493.jpg</t>
  </si>
  <si>
    <t xml:space="preserve">Orinocan Saltator </t>
  </si>
  <si>
    <t>Osprey_0249.jpg</t>
  </si>
  <si>
    <t xml:space="preserve">Osprey  </t>
  </si>
  <si>
    <t>Osprey_0776MF.jpg</t>
  </si>
  <si>
    <t>Osprey_1684.jpg</t>
  </si>
  <si>
    <t>Osprey_20507.jpg</t>
  </si>
  <si>
    <t>Osprey_2052.jpg</t>
  </si>
  <si>
    <t>Osprey_219.jpg</t>
  </si>
  <si>
    <t>Osprey_2389.jpg</t>
  </si>
  <si>
    <t>Osprey_2407.jpg</t>
  </si>
  <si>
    <t>Osprey_3039.jpg</t>
  </si>
  <si>
    <t>Osprey_4527.jpg</t>
  </si>
  <si>
    <t>Osprey_4952MF.jpg</t>
  </si>
  <si>
    <t>Osprey_5450.jpg</t>
  </si>
  <si>
    <t>Osprey_5474.jpg</t>
  </si>
  <si>
    <t>Osprey_5601MF.jpg</t>
  </si>
  <si>
    <t>Osprey_6370.jpg</t>
  </si>
  <si>
    <t>Osprey_7359.jpg</t>
  </si>
  <si>
    <t>Osprey_8528MF.jpg</t>
  </si>
  <si>
    <t>Ovenbird_0428.jpg</t>
  </si>
  <si>
    <t xml:space="preserve">Ovenbird  </t>
  </si>
  <si>
    <t>Ovenbird_196.jpg</t>
  </si>
  <si>
    <t>Ovenbird_3337MF.jpg</t>
  </si>
  <si>
    <t>Ovenbird_3384.jpg</t>
  </si>
  <si>
    <t>Ovenbird_5733MF.jpg</t>
  </si>
  <si>
    <t>Ovenbird_6189MF.jpg</t>
  </si>
  <si>
    <t>Ovenbird_6301.jpg</t>
  </si>
  <si>
    <t>Ovenbird_7101.jpg</t>
  </si>
  <si>
    <t>Ovenbird_8000.jpg</t>
  </si>
  <si>
    <t>Ovenbird_8006.jpg</t>
  </si>
  <si>
    <t>Pacific Loon 2567.jpg</t>
  </si>
  <si>
    <t>Pacific Loon</t>
  </si>
  <si>
    <t>Pacific Loon 4658.jpg</t>
  </si>
  <si>
    <t>Pacific Loon 4726.jpg</t>
  </si>
  <si>
    <t>Pacific Loon 4927.jpg</t>
  </si>
  <si>
    <t>Pacific Loon 4995.jpg</t>
  </si>
  <si>
    <t>Pacific Loon 9410.jpg</t>
  </si>
  <si>
    <t>Pacific Loon.jpg</t>
  </si>
  <si>
    <t>Pacific_Antwren_2520.jpg</t>
  </si>
  <si>
    <t xml:space="preserve">Pacific Antwren </t>
  </si>
  <si>
    <t>Pacific_Black_Duck_8179.jpg</t>
  </si>
  <si>
    <t>Pacific Black Duck</t>
  </si>
  <si>
    <t>Pacific_black_duck_9265.jpg</t>
  </si>
  <si>
    <t>Pacific_Golden-Plover.jpg</t>
  </si>
  <si>
    <t xml:space="preserve">Pacific Golden-Plover </t>
  </si>
  <si>
    <t>Pacific_Gull_3403MF.jpg</t>
  </si>
  <si>
    <t xml:space="preserve">Pacific Gull </t>
  </si>
  <si>
    <t>Pacific_Gull.jpg</t>
  </si>
  <si>
    <t>Pacific_Heron_1600.jpg</t>
  </si>
  <si>
    <t xml:space="preserve">Pacific Heron </t>
  </si>
  <si>
    <t>Pacific_Hornero_5889.jpg</t>
  </si>
  <si>
    <t xml:space="preserve">Pacific Hornero </t>
  </si>
  <si>
    <t>Pacific_Loon_2567.jpg</t>
  </si>
  <si>
    <t xml:space="preserve">Pacific Loon </t>
  </si>
  <si>
    <t>Pacific_Screech-Owl_MF4887.jpg</t>
  </si>
  <si>
    <t xml:space="preserve">Pacific Screech-Owl </t>
  </si>
  <si>
    <t>Pacific_Wren_9214.jpg</t>
  </si>
  <si>
    <t xml:space="preserve">Pacific Wren </t>
  </si>
  <si>
    <t>Painted_Bunting_1724.jpg</t>
  </si>
  <si>
    <t xml:space="preserve">Painted Bunting </t>
  </si>
  <si>
    <t>Painted_Bunting_1734.jpg</t>
  </si>
  <si>
    <t>Painted_Bunting_1747.jpg</t>
  </si>
  <si>
    <t>Painted_Bunting_20805.jpg</t>
  </si>
  <si>
    <t>Painted_Bunting_3152.jpg</t>
  </si>
  <si>
    <t>Painted_Bunting_7051.jpg</t>
  </si>
  <si>
    <t>Painted_Bunting_female_8442MF.jpg</t>
  </si>
  <si>
    <t>Painted_Bunting_male_8423MF.jpg</t>
  </si>
  <si>
    <t>Painted_Honeyeater-646488797.jpg</t>
  </si>
  <si>
    <t>Painted Honeyeater</t>
  </si>
  <si>
    <t>Painted_Honeyeater-646489019.jpg</t>
  </si>
  <si>
    <t>Pale Flycatcher-1357.jpg</t>
  </si>
  <si>
    <t>Pale Flycatcher</t>
  </si>
  <si>
    <t>Pale_Chanting-goshawk_155.jpg</t>
  </si>
  <si>
    <t xml:space="preserve">Pale Chanting-Goshawk </t>
  </si>
  <si>
    <t>Pale_Chanting-goshawk_348.jpg</t>
  </si>
  <si>
    <t>Pale_Chanting-goshawk_85.jpg</t>
  </si>
  <si>
    <t>Pale-billed_Woodpecker_6658.jpg</t>
  </si>
  <si>
    <t xml:space="preserve">Pale-billed Woodpecker </t>
  </si>
  <si>
    <t>Pale-billed_Woodpecker_6742.jpg</t>
  </si>
  <si>
    <t>Pale-breasted_Spinetail_1361.jpg</t>
  </si>
  <si>
    <t xml:space="preserve">Pale-breasted Spinetail </t>
  </si>
  <si>
    <t>Pale-breasted_Spinetail_1364.jpg</t>
  </si>
  <si>
    <t>Pale-breasted_Thrush_23239.jpg</t>
  </si>
  <si>
    <t xml:space="preserve">Pale-breasted Thrush </t>
  </si>
  <si>
    <t>Pale-breasted_Thrush_23251.jpg</t>
  </si>
  <si>
    <t>Pale-breasted_Thrush_3385MF.jpg</t>
  </si>
  <si>
    <t>Pale-breasted_Thrush_4592.jpg</t>
  </si>
  <si>
    <t>Pale-breasted_Thrush.jpg</t>
  </si>
  <si>
    <t>Pale-mandibled_Aracari_Palebilled-473592171.jpg</t>
  </si>
  <si>
    <t>Pale-mandibled Aracari</t>
  </si>
  <si>
    <t>Pale-vented_Pigeon_20681.jpg</t>
  </si>
  <si>
    <t xml:space="preserve">Pale-vented Pigeon </t>
  </si>
  <si>
    <t>Pale-vented_Pigeon_21553.jpg</t>
  </si>
  <si>
    <t>Pale-vented_Pigeon_22873.jpg</t>
  </si>
  <si>
    <t>Pale-winged_Starling_112.jpg</t>
  </si>
  <si>
    <t xml:space="preserve">Pale-winged Starling </t>
  </si>
  <si>
    <t>Palila_0855.jpg</t>
  </si>
  <si>
    <t xml:space="preserve">Palila  </t>
  </si>
  <si>
    <t>Pallid_Cuckoo_0124.jpg</t>
  </si>
  <si>
    <t xml:space="preserve">Pallid Cuckoo </t>
  </si>
  <si>
    <t>Palm Warbler-002.jpg</t>
  </si>
  <si>
    <t>Palm Warbler</t>
  </si>
  <si>
    <t>Palm_Tanager_2956.jpg</t>
  </si>
  <si>
    <t xml:space="preserve">Palm Tanager </t>
  </si>
  <si>
    <t>Palm_Tanager_5262.jpg</t>
  </si>
  <si>
    <t>Palm_Tanager_7078.jpg</t>
  </si>
  <si>
    <t>Palm_Warbler_0727.jpg</t>
  </si>
  <si>
    <t xml:space="preserve">Palm Warbler </t>
  </si>
  <si>
    <t>Palm_Warbler_1353.jpg</t>
  </si>
  <si>
    <t>Palm_Warbler_1782MF.jpg</t>
  </si>
  <si>
    <t>Palm_Warbler_2026.jpg</t>
  </si>
  <si>
    <t>Palm_Warbler_2277MF.jpg</t>
  </si>
  <si>
    <t>Palm_Warbler_2510MF.jpg</t>
  </si>
  <si>
    <t>Palm_Warbler_4518MF.jpg</t>
  </si>
  <si>
    <t>Palm_Warbler_4946MF.jpg</t>
  </si>
  <si>
    <t>Palm_Warbler_5344MF.jpg</t>
  </si>
  <si>
    <t>Palm_Warbler_5863MF.jpg</t>
  </si>
  <si>
    <t>Palm_Warbler_6788.jpg</t>
  </si>
  <si>
    <t>Palm_Warbler_6987.jpg</t>
  </si>
  <si>
    <t>Palm_Warbler_7310MF.jpg</t>
  </si>
  <si>
    <t>Palm_Warbler_8222.jpg</t>
  </si>
  <si>
    <t>Palm_Warbler_8922.jpg</t>
  </si>
  <si>
    <t>Palm_Warbler_9086.jpg</t>
  </si>
  <si>
    <t>Palm_Warbler_9963.jpg</t>
  </si>
  <si>
    <t>Palm_Warbler_MF.jpg</t>
  </si>
  <si>
    <t>Palm_Warbler.jpg</t>
  </si>
  <si>
    <t>Panama_Flycatcher_22798.jpg</t>
  </si>
  <si>
    <t xml:space="preserve">Panama Flycatcher </t>
  </si>
  <si>
    <t>Panama_Flycatcher_22988.jpg</t>
  </si>
  <si>
    <t>Panama_Flycatcher.jpg</t>
  </si>
  <si>
    <t>Paramo_Seedeater_2019.jpg</t>
  </si>
  <si>
    <t xml:space="preserve">Paramo Seedeater </t>
  </si>
  <si>
    <t>Parasitic Jaeger-70136741.jpg</t>
  </si>
  <si>
    <t>Parasitic Jaeger</t>
  </si>
  <si>
    <t>Peaceful_Dove-646543125.jpg</t>
  </si>
  <si>
    <t>Peaceful Dove</t>
  </si>
  <si>
    <t>Pearl_Kite_1833.jpg</t>
  </si>
  <si>
    <t xml:space="preserve">Pearl Kite </t>
  </si>
  <si>
    <t>Pearl_spotted_Owlet-531175931.jpg</t>
  </si>
  <si>
    <t>Pearl-spotted Owlet</t>
  </si>
  <si>
    <t>Pearled_Treerunner_3980.jpg</t>
  </si>
  <si>
    <t xml:space="preserve">Pearled Treerunner </t>
  </si>
  <si>
    <t>Pearly-vented_Tody-Tyrant_5672.jpg</t>
  </si>
  <si>
    <t xml:space="preserve">Pearly-vented Tody-Tyrant </t>
  </si>
  <si>
    <t>Pearly-vented_Tody-Tyrant_5685.jpg</t>
  </si>
  <si>
    <t>Pearly-vented_Tody-Tyrant_6044.jpg</t>
  </si>
  <si>
    <t>Pectoral_Sandpiper_2095.jpg</t>
  </si>
  <si>
    <t xml:space="preserve">Pectoral Sandpiper </t>
  </si>
  <si>
    <t>Pectoral_Sandpiper_2098.jpg</t>
  </si>
  <si>
    <t>Pectoral_Sandpiper_2300.jpg</t>
  </si>
  <si>
    <t>Pectoral_Sandpiper_2309.jpg</t>
  </si>
  <si>
    <t>Pectoral_Sandpiper_4469.jpg</t>
  </si>
  <si>
    <t>Pectoral_Sandpiper_6126.jpg</t>
  </si>
  <si>
    <t>Pelagic_Cormorant_8834.jpg</t>
  </si>
  <si>
    <t xml:space="preserve">Pelagic Cormorant </t>
  </si>
  <si>
    <t>Peregrine_Falcon_0507.jpg</t>
  </si>
  <si>
    <t xml:space="preserve">Peregrine Falcon </t>
  </si>
  <si>
    <t>Peregrine_Falcon_0522.jpg</t>
  </si>
  <si>
    <t>Peregrine_Falcon_26742.jpg</t>
  </si>
  <si>
    <t>Peregrine_Falcon_7163_2.jpg</t>
  </si>
  <si>
    <t>Peregrine_Falcon_7163.jpg</t>
  </si>
  <si>
    <t>Peregrine_Falcon_728-2.jpg</t>
  </si>
  <si>
    <t>Peregrine_Falcon_728.jpg</t>
  </si>
  <si>
    <t>Peregrine_Falcon_791.jpg</t>
  </si>
  <si>
    <t>Peregrine_Falcon_830.jpg</t>
  </si>
  <si>
    <t>Peregrine_Falcon_834.jpg</t>
  </si>
  <si>
    <t>Peregrine_Falcon.jpg</t>
  </si>
  <si>
    <t>Peregrine_Falcons_741.jpg</t>
  </si>
  <si>
    <t>Pheasant_Cuckoo_0006.jpg</t>
  </si>
  <si>
    <t xml:space="preserve">Pheasant Cuckoo </t>
  </si>
  <si>
    <t>Pheasant_Cuckoo_9990.jpg</t>
  </si>
  <si>
    <t>Philadelphia_Vireo_0832MF.jpg</t>
  </si>
  <si>
    <t xml:space="preserve">Philadelphia Vireo </t>
  </si>
  <si>
    <t>Philadelphia_Vireo_3628.jpg</t>
  </si>
  <si>
    <t>Philadelphia_Vireo_9092.jpg</t>
  </si>
  <si>
    <t>Pied Crow 252.jpg</t>
  </si>
  <si>
    <t>Pied Crow</t>
  </si>
  <si>
    <t>Pied_Avocet_249.jpg</t>
  </si>
  <si>
    <t xml:space="preserve">Pied Avocet </t>
  </si>
  <si>
    <t>Pied_Barbet_383.jpg</t>
  </si>
  <si>
    <t xml:space="preserve">Pied Barbet </t>
  </si>
  <si>
    <t>Pied_Barbet.jpg</t>
  </si>
  <si>
    <t>Pied_Cormorant-646988175.jpg</t>
  </si>
  <si>
    <t>Pied Cormorant</t>
  </si>
  <si>
    <t>Pied_Crow_252.jpg</t>
  </si>
  <si>
    <t xml:space="preserve">Pied Crow </t>
  </si>
  <si>
    <t>Pied_Currawong_7959.jpg</t>
  </si>
  <si>
    <t xml:space="preserve">Pied Currawong </t>
  </si>
  <si>
    <t>Pied_Currawong_8114.jpg</t>
  </si>
  <si>
    <t>Pied_Kingfisher_6677.jpg</t>
  </si>
  <si>
    <t xml:space="preserve">Pied Kingfisher </t>
  </si>
  <si>
    <t>Pied_Oystercatcher_9220.jpg</t>
  </si>
  <si>
    <t xml:space="preserve">Pied Oystercatcher </t>
  </si>
  <si>
    <t>Pied_Oystercatcher.jpg</t>
  </si>
  <si>
    <t>Pied_Puffbird_22865.jpg</t>
  </si>
  <si>
    <t xml:space="preserve">Pied Puffbird </t>
  </si>
  <si>
    <t>Pied_Puffbird_2604.jpg</t>
  </si>
  <si>
    <t>Pied_Puffbird_5190.jpg</t>
  </si>
  <si>
    <t>Pied_Stilt_0945.jpg</t>
  </si>
  <si>
    <t xml:space="preserve">Pied Stilt </t>
  </si>
  <si>
    <t>Pied_Stilt_2934MF.jpg</t>
  </si>
  <si>
    <t>Pied_Stilt_3647MF.jpg</t>
  </si>
  <si>
    <t>Pied_Water-Tyrant_1482.jpg</t>
  </si>
  <si>
    <t xml:space="preserve">Pied Water-Tyrant </t>
  </si>
  <si>
    <t>Pied_Water-Tyrant_22126.jpg</t>
  </si>
  <si>
    <t>Pied_Water-tyrant_22962.jpg</t>
  </si>
  <si>
    <t>Pied_Water-Tyrant_4868.jpg</t>
  </si>
  <si>
    <t>Pied-billed_Grebe_0281.jpg</t>
  </si>
  <si>
    <t xml:space="preserve">Pied-billed Grebe </t>
  </si>
  <si>
    <t>Pied-billed_Grebe_1125.jpg</t>
  </si>
  <si>
    <t>Pied-billed_Grebe_1813.jpg</t>
  </si>
  <si>
    <t>Pied-billed_Grebe_20702.jpg</t>
  </si>
  <si>
    <t>Pied-billed_Grebe_2406.jpg</t>
  </si>
  <si>
    <t>Pied-billed_Grebe_2935.jpg</t>
  </si>
  <si>
    <t>Pied-billed_Grebe_5284.jpg</t>
  </si>
  <si>
    <t>Pied-billed_Grebe_6508MF.jpg</t>
  </si>
  <si>
    <t>Pied-billed_Grebe_7310.jpg</t>
  </si>
  <si>
    <t>Pied-billed_Grebe_7649.jpg</t>
  </si>
  <si>
    <t>Pied-billed_grebe.jpg</t>
  </si>
  <si>
    <t>Pileated_Finch_5545.jpg</t>
  </si>
  <si>
    <t xml:space="preserve">Pileated Finch </t>
  </si>
  <si>
    <t>Pileated_Finch_5729.jpg</t>
  </si>
  <si>
    <t>Pileated_Woodpecker_2084.jpg</t>
  </si>
  <si>
    <t xml:space="preserve">Pileated Woodpecker </t>
  </si>
  <si>
    <t>Pileated_Woodpecker_2504.jpg</t>
  </si>
  <si>
    <t>Pileated_Woodpecker_6963.jpg</t>
  </si>
  <si>
    <t>Pileated_Woodpecker_9708MF.jpg</t>
  </si>
  <si>
    <t>Pilotbird 2408.jpg</t>
  </si>
  <si>
    <t>Pilotbird</t>
  </si>
  <si>
    <t>Pin-tailed_Whydah_3126.jpg</t>
  </si>
  <si>
    <t xml:space="preserve">Pin-tailed Whydah </t>
  </si>
  <si>
    <t>Pine_Grosbeak_4360.jpg</t>
  </si>
  <si>
    <t xml:space="preserve">Pine Grosbeak </t>
  </si>
  <si>
    <t>Pine_Grosbeak_4371.jpg</t>
  </si>
  <si>
    <t>Pine_siskin_9144.jpg</t>
  </si>
  <si>
    <t xml:space="preserve">Pine Siskin </t>
  </si>
  <si>
    <t>Pine_Siskin_9286.jpg</t>
  </si>
  <si>
    <t>Pine_Siskin_9355.jpg</t>
  </si>
  <si>
    <t>Pine_Warbler_1153.jpg</t>
  </si>
  <si>
    <t xml:space="preserve">Pine Warbler </t>
  </si>
  <si>
    <t>Pine_Warbler_2059.jpg</t>
  </si>
  <si>
    <t>Pine_Warbler_20620.jpg</t>
  </si>
  <si>
    <t>Pine_Warbler_4721MF.jpg</t>
  </si>
  <si>
    <t>Pine_Warbler_7164MF.jpg</t>
  </si>
  <si>
    <t>Pine_Warbler.jpg</t>
  </si>
  <si>
    <t>Pink_Robin_4357MF.jpg</t>
  </si>
  <si>
    <t xml:space="preserve">Pink Robin </t>
  </si>
  <si>
    <t>Pink-billed_Cnemoscopus_4063.jpg</t>
  </si>
  <si>
    <t xml:space="preserve">Pink-billed Cnemoscopus </t>
  </si>
  <si>
    <t>Pink-eared_Duck_1926.jpg</t>
  </si>
  <si>
    <t xml:space="preserve">Pink-eared Duck </t>
  </si>
  <si>
    <t>Pink-eared_Duck_3483MF.jpg</t>
  </si>
  <si>
    <t>Pink-footed Shearwater-495.jpg</t>
  </si>
  <si>
    <t>Pink-footed Shearwater</t>
  </si>
  <si>
    <t>Piratic_Flycatcher_4107.jpg</t>
  </si>
  <si>
    <t xml:space="preserve">Piratic Flycatcher </t>
  </si>
  <si>
    <t>Plain_Antvireo_1135.jpg</t>
  </si>
  <si>
    <t xml:space="preserve">Plain Antvireo </t>
  </si>
  <si>
    <t>Plain_Chachalaca_418.jpg</t>
  </si>
  <si>
    <t xml:space="preserve">Plain Chachalaca </t>
  </si>
  <si>
    <t>Plain-brown_Woodcreeper_0706.jpg</t>
  </si>
  <si>
    <t xml:space="preserve">Plain-brown Woodcreeper </t>
  </si>
  <si>
    <t>Plain-brown_Woodcreeper_2259.jpg</t>
  </si>
  <si>
    <t>Plain-brown_woodcreeper_5757.jpg</t>
  </si>
  <si>
    <t>Plain-brown_Woodcreeper_5899.jpg</t>
  </si>
  <si>
    <t>Plain-colored_Tanager_6096.jpg</t>
  </si>
  <si>
    <t xml:space="preserve">Plain-colored Tanager </t>
  </si>
  <si>
    <t>Plain-colored_Tanager_7975.jpg</t>
  </si>
  <si>
    <t>Plains_wanderer-646542209.jpg</t>
  </si>
  <si>
    <t>Plains-wanderer</t>
  </si>
  <si>
    <t>Plumbeous_Kite_0909.jpg</t>
  </si>
  <si>
    <t xml:space="preserve">Plumbeous Kite </t>
  </si>
  <si>
    <t>Plumbeous_Kite_8677.jpg</t>
  </si>
  <si>
    <t>Plumbeous_Sierra_Finch_2997.jpg</t>
  </si>
  <si>
    <t>Plumbeous Sierra Finch</t>
  </si>
  <si>
    <t>Plumbeous_Sierra_Finch_6703.jpg</t>
  </si>
  <si>
    <t>Plumbeous_Sierra_Finch_7018.jpg</t>
  </si>
  <si>
    <t>Powerful_Owl-646980685.jpg</t>
  </si>
  <si>
    <t>Powerful Owl</t>
  </si>
  <si>
    <t>Powerful_Woodpecker_5115.jpg</t>
  </si>
  <si>
    <t xml:space="preserve">Powerful Woodpecker </t>
  </si>
  <si>
    <t>Prairie_Warbler_0102.jpg</t>
  </si>
  <si>
    <t xml:space="preserve">Prairie Warbler </t>
  </si>
  <si>
    <t>Prairie_Warbler_2320.jpg</t>
  </si>
  <si>
    <t>Prairie_Warbler_2399.jpg</t>
  </si>
  <si>
    <t>Prairie_Warbler_2445.jpg</t>
  </si>
  <si>
    <t>Prairie_Warbler_3809.jpg</t>
  </si>
  <si>
    <t>Prairie_Warbler_4372.jpg</t>
  </si>
  <si>
    <t>Prairie_Warbler_4811.jpg</t>
  </si>
  <si>
    <t>Prong-billed_Barbet_6340.jpg</t>
  </si>
  <si>
    <t xml:space="preserve">Prong-billed Barbet </t>
  </si>
  <si>
    <t>Prothonotary_Warbler_1080.jpg</t>
  </si>
  <si>
    <t xml:space="preserve">Prothonotary Warbler </t>
  </si>
  <si>
    <t>Prothonotary_Warbler_1110.jpg</t>
  </si>
  <si>
    <t>Prothonotary_Warbler_1717MF.jpg</t>
  </si>
  <si>
    <t>Prothonotary_Warbler_20942.jpg</t>
  </si>
  <si>
    <t>Prothonotary_Warbler_2133MF.jpg</t>
  </si>
  <si>
    <t>Prothonotary_Warbler_3989.jpg</t>
  </si>
  <si>
    <t>Prothonotary_Warbler_4044.jpg</t>
  </si>
  <si>
    <t>Prothonotary_Warbler_4044A.jpg</t>
  </si>
  <si>
    <t>Prothonotary_Warbler_4309MF.jpg</t>
  </si>
  <si>
    <t>Prothonotary_Warbler_5976MF.jpg</t>
  </si>
  <si>
    <t>Prothonotary_Warbler_7327.jpg</t>
  </si>
  <si>
    <t>Prothonotary_Warbler_7481.jpg</t>
  </si>
  <si>
    <t>Prothonotary_Warbler_7506.jpg</t>
  </si>
  <si>
    <t>Prothonotary_Warbler_7649.jpg</t>
  </si>
  <si>
    <t>Prothonotary_Warbler_8211.jpg</t>
  </si>
  <si>
    <t>Prothonotary_Warbler_8272.jpg</t>
  </si>
  <si>
    <t>Prothonotary_Warbler_9344.jpg</t>
  </si>
  <si>
    <t>Purple finch-0290.jpg</t>
  </si>
  <si>
    <t>Purple Finch</t>
  </si>
  <si>
    <t>Purple_Finch_1781.jpg</t>
  </si>
  <si>
    <t xml:space="preserve">Purple Finch </t>
  </si>
  <si>
    <t>Purple_Finch_1800.jpg</t>
  </si>
  <si>
    <t>Purple_Finch_2022A.jpg</t>
  </si>
  <si>
    <t>Purple_finch_9459.jpg</t>
  </si>
  <si>
    <t>Purple_Finch_9515.jpg</t>
  </si>
  <si>
    <t>Purple_Finch_9556.jpg</t>
  </si>
  <si>
    <t>Purple_Gallinule_20557.jpg</t>
  </si>
  <si>
    <t xml:space="preserve">Purple Gallinule </t>
  </si>
  <si>
    <t>Purple_Gallinule_2104.jpg</t>
  </si>
  <si>
    <t>Purple_Gallinule_21456.jpg</t>
  </si>
  <si>
    <t>Purple_Gallinule_2289.jpg</t>
  </si>
  <si>
    <t>Purple_Gallinule_2632MF.jpg</t>
  </si>
  <si>
    <t>Purple_Gallinule_4327.jpg</t>
  </si>
  <si>
    <t>Purple_Gallinule_6658.jpg</t>
  </si>
  <si>
    <t>Purple_Gallinule_9653MF.jpg</t>
  </si>
  <si>
    <t>Purple_Heron_7410.jpg</t>
  </si>
  <si>
    <t xml:space="preserve">Purple Heron </t>
  </si>
  <si>
    <t>Purple_Honeycreeper_4048.jpg</t>
  </si>
  <si>
    <t xml:space="preserve">Purple Honeycreeper </t>
  </si>
  <si>
    <t>Purple_Martin_5395MF.jpg</t>
  </si>
  <si>
    <t xml:space="preserve">Purple Martin </t>
  </si>
  <si>
    <t>Purple-backed_Fairywren-646490602.jpg</t>
  </si>
  <si>
    <t>Purple-backed Fairywren</t>
  </si>
  <si>
    <t>Purple-backed_Thornbill.jpg</t>
  </si>
  <si>
    <t xml:space="preserve">Purple-backed Thornbill </t>
  </si>
  <si>
    <t>Purple-banded Sunbird-4435.jpg</t>
  </si>
  <si>
    <t>Purple-banded Sunbird</t>
  </si>
  <si>
    <t>Purple-bibbed_Whitetip_3474.jpg</t>
  </si>
  <si>
    <t xml:space="preserve">Purple-bibbed Whitetip </t>
  </si>
  <si>
    <t>Purple-crested Turaco-1016.jpg</t>
  </si>
  <si>
    <t>Purple-crested Turaco</t>
  </si>
  <si>
    <t>Purple-crowned_Fairy_4188.jpg</t>
  </si>
  <si>
    <t xml:space="preserve">Purple-crowned Fairy </t>
  </si>
  <si>
    <t>Purple-crowned_Fairy_421.jpg</t>
  </si>
  <si>
    <t>Purple-crowned_Fairy_4225.jpg</t>
  </si>
  <si>
    <t>Purple-crowned_Fairy_5318.jpg</t>
  </si>
  <si>
    <t>Purple-throated_Fruitcrow_1943.jpg</t>
  </si>
  <si>
    <t xml:space="preserve">Purple-throated Fruitcrow </t>
  </si>
  <si>
    <t>Purple-throated_Fruitcrow_6026.jpg</t>
  </si>
  <si>
    <t>Purple-throated_Mountain-gem_2962MF.jpg</t>
  </si>
  <si>
    <t xml:space="preserve">Purple-throated Mountain-gem </t>
  </si>
  <si>
    <t>Purple-throated_Mountain-gem_2966MF.jpg</t>
  </si>
  <si>
    <t>Purple-throated_Woodstar_3437.jpg</t>
  </si>
  <si>
    <t xml:space="preserve">Purple-throated Woodstar </t>
  </si>
  <si>
    <t>Pygmy_Falcon_214.jpg</t>
  </si>
  <si>
    <t xml:space="preserve">Pygmy Falcon </t>
  </si>
  <si>
    <t>Pygmy_Falcon_291.jpg</t>
  </si>
  <si>
    <t>Rainbow_Bee-eater-646413702.jpg</t>
  </si>
  <si>
    <t>Rainbow Bee-eater</t>
  </si>
  <si>
    <t>Rainbow_Bee-eater-646413902.jpg</t>
  </si>
  <si>
    <t>Rainbow_Lorikeet_2314.jpg</t>
  </si>
  <si>
    <t xml:space="preserve">Rainbow Lorikeet </t>
  </si>
  <si>
    <t>Rainbow_Lorikeet_3745MF.jpg</t>
  </si>
  <si>
    <t>Rainbow_Lorikeet_5258MF.jpg</t>
  </si>
  <si>
    <t>Rattling Cisticola-5123.jpg</t>
  </si>
  <si>
    <t>Rattling Cisticola</t>
  </si>
  <si>
    <t>Red_Fody_-_Foudi_rouge_0549.jpg</t>
  </si>
  <si>
    <t xml:space="preserve">Red Fody </t>
  </si>
  <si>
    <t>Red_Fody_-_Foudi_rouge_8704MF.jpg</t>
  </si>
  <si>
    <t>Red_Fody_-_Foudi_rouge_8712MF.jpg</t>
  </si>
  <si>
    <t>Red_Fody_0025.jpg</t>
  </si>
  <si>
    <t>Red_Fody_0087.jpg</t>
  </si>
  <si>
    <t>Red_Fody_9026.jpg</t>
  </si>
  <si>
    <t>Red_Fody_9840.jpg</t>
  </si>
  <si>
    <t>Red_Fody_9876.jpg</t>
  </si>
  <si>
    <t>Red_Fody_9999.jpg</t>
  </si>
  <si>
    <t>Red_Wattlebird_2038.jpg</t>
  </si>
  <si>
    <t xml:space="preserve">Red Wattlebird </t>
  </si>
  <si>
    <t>Red_Wattlebird_3307MF.jpg</t>
  </si>
  <si>
    <t>Red_Wattlebird.jpg</t>
  </si>
  <si>
    <t>Red-and-yellow_Barbet_234.jpg</t>
  </si>
  <si>
    <t xml:space="preserve">Red-and-yellow Barbet </t>
  </si>
  <si>
    <t>Red-and-yellow_Barbet_240.jpg</t>
  </si>
  <si>
    <t>Red-backed_Kingfisher-646416708.jpg</t>
  </si>
  <si>
    <t>Red-backed Kingfisher</t>
  </si>
  <si>
    <t>Red-bellied Woodpecker-100.jpg</t>
  </si>
  <si>
    <t>Red-bellied Woodpecker</t>
  </si>
  <si>
    <t>Red-bellied_Woodpecker_0012MF.jpg</t>
  </si>
  <si>
    <t xml:space="preserve">Red-bellied Woodpecker </t>
  </si>
  <si>
    <t>Red-bellied_Woodpecker_0256.jpg</t>
  </si>
  <si>
    <t>Red-bellied_Woodpecker_0540.jpg</t>
  </si>
  <si>
    <t>Red-bellied_Woodpecker_1178.jpg</t>
  </si>
  <si>
    <t>Red-bellied_Woodpecker_20469.jpg</t>
  </si>
  <si>
    <t>Red-bellied_Woodpecker_4768.jpg</t>
  </si>
  <si>
    <t>Red-bellied_Woodpecker_5740MF.jpg</t>
  </si>
  <si>
    <t>Red-bellied_Woodpecker_9688.jpg</t>
  </si>
  <si>
    <t>Red-billed Quelea 207.jpg</t>
  </si>
  <si>
    <t>Red-billed Quelea</t>
  </si>
  <si>
    <t>Red-billed_Buffalo-Weaver_299.jpg</t>
  </si>
  <si>
    <t xml:space="preserve">Red-billed Buffalo-Weaver </t>
  </si>
  <si>
    <t>Red-billed_Buffalo-Weaver_373.jpg</t>
  </si>
  <si>
    <t>Red-billed_Duck_9385.jpg</t>
  </si>
  <si>
    <t xml:space="preserve">Red-billed Duck </t>
  </si>
  <si>
    <t>Red-billed_Emerald_5706.jpg</t>
  </si>
  <si>
    <t xml:space="preserve">Red-billed Emerald </t>
  </si>
  <si>
    <t>Red-billed_Leiothrix_1028.jpg</t>
  </si>
  <si>
    <t xml:space="preserve">Red-billed Leiothrix </t>
  </si>
  <si>
    <t>Red-billed_Oxpecker-563495341.jpg</t>
  </si>
  <si>
    <t>Red-billed Oxpecker</t>
  </si>
  <si>
    <t>Red-billed_Parrot_3739MF.jpg</t>
  </si>
  <si>
    <t xml:space="preserve">Red-billed Parrot </t>
  </si>
  <si>
    <t>Red-billed_Parrot_4469.jpg</t>
  </si>
  <si>
    <t>Red-billed_Pigeon_4500.jpg</t>
  </si>
  <si>
    <t xml:space="preserve">Red-billed Pigeon </t>
  </si>
  <si>
    <t>Red-billed_Spurfowl_8684.jpg</t>
  </si>
  <si>
    <t xml:space="preserve">Red-billed Spurfowl </t>
  </si>
  <si>
    <t>Red-billed_Tropicbird_6772.jpg</t>
  </si>
  <si>
    <t xml:space="preserve">Red-billed Tropicbird </t>
  </si>
  <si>
    <t>Red-billed_Tropicbird_6801.jpg</t>
  </si>
  <si>
    <t>Red-breasted_Coua_-_Coua_de_Serres_5615.jpg</t>
  </si>
  <si>
    <t xml:space="preserve">Red-breasted Coua </t>
  </si>
  <si>
    <t>Red-breasted_Meadowlark_1611.jpg</t>
  </si>
  <si>
    <t xml:space="preserve">Red-breasted Meadowlark </t>
  </si>
  <si>
    <t>Red-breasted_Merganser_0282.jpg</t>
  </si>
  <si>
    <t xml:space="preserve">Red-breasted Merganser </t>
  </si>
  <si>
    <t>Red-breasted_Merganser_8100.jpg</t>
  </si>
  <si>
    <t>Red-breasted_Merganser_8493.jpg</t>
  </si>
  <si>
    <t>Red-breasted_Merganser_8942.jpg</t>
  </si>
  <si>
    <t>Red-breasted_Merganser_8946.jpg</t>
  </si>
  <si>
    <t>Red-breasted_Merganser_8947.jpg</t>
  </si>
  <si>
    <t>Red-breasted_merganser.jpg</t>
  </si>
  <si>
    <t>Red-breasted_Nuthatch_1895.jpg</t>
  </si>
  <si>
    <t xml:space="preserve">Red-breasted Nuthatch </t>
  </si>
  <si>
    <t>Red-breasted_Nuthatch_4855.jpg</t>
  </si>
  <si>
    <t>Red-breasted_Nuthatch_9092.jpg</t>
  </si>
  <si>
    <t>Red-breasted_Nuthatch_9523.jpg</t>
  </si>
  <si>
    <t>Red-breasted_Sapsucker-125949611.jpg</t>
  </si>
  <si>
    <t>Red-breasted Sapsucker</t>
  </si>
  <si>
    <t>Red-browed_Firetail_0685.jpg</t>
  </si>
  <si>
    <t xml:space="preserve">Red-browed Firetail </t>
  </si>
  <si>
    <t>Red-browed_Firetail_2744MF.jpg</t>
  </si>
  <si>
    <t>Red-capped_Lark_270.jpg</t>
  </si>
  <si>
    <t xml:space="preserve">Red-capped Lark </t>
  </si>
  <si>
    <t>Red-capped_Manakin_4186.jpg</t>
  </si>
  <si>
    <t xml:space="preserve">Red-capped Manakin </t>
  </si>
  <si>
    <t>Red-capped_Manakin_female_MF3971.jpg</t>
  </si>
  <si>
    <t>Red-capped_Plover_2848MF.jpg</t>
  </si>
  <si>
    <t xml:space="preserve">Red-capped Plover </t>
  </si>
  <si>
    <t>Red-capped_Robin-646401411.jpg</t>
  </si>
  <si>
    <t>Red-capped Robin</t>
  </si>
  <si>
    <t>Red-capped_Robin-646401663.jpg</t>
  </si>
  <si>
    <t>Red-capped_Robin-646487961.jpg</t>
  </si>
  <si>
    <t>Red-capped_Robin-Chat_3494.jpg</t>
  </si>
  <si>
    <t xml:space="preserve">Red-capped Robin-Chat </t>
  </si>
  <si>
    <t>Red-cheeked Cordonbleu 337.jpg</t>
  </si>
  <si>
    <t>Red-cheeked Cordonbleu</t>
  </si>
  <si>
    <t>Red-crested_Bustard_8886.jpg</t>
  </si>
  <si>
    <t xml:space="preserve">Red-crested Bustard </t>
  </si>
  <si>
    <t>Red-crowned_Ant-tanager_5398.jpg</t>
  </si>
  <si>
    <t xml:space="preserve">Red-crowned Ant-Tanager </t>
  </si>
  <si>
    <t>Red-crowned_Woodpecker_20261.jpg</t>
  </si>
  <si>
    <t xml:space="preserve">Red-crowned Woodpecker </t>
  </si>
  <si>
    <t>Red-crowned_Woodpecker_2180.jpg</t>
  </si>
  <si>
    <t>Red-crowned_Woodpecker_5440.jpg</t>
  </si>
  <si>
    <t>Red-crowned_Woodpecker_6100.jpg</t>
  </si>
  <si>
    <t>Red-crowned_Woodpecker_6558.jpg</t>
  </si>
  <si>
    <t>Red-crowned_Woodpecker.jpg</t>
  </si>
  <si>
    <t>Red-eyed_Dove_0499.jpg</t>
  </si>
  <si>
    <t xml:space="preserve">Red-eyed Dove </t>
  </si>
  <si>
    <t>Red-eyed_Dove_6272.jpg</t>
  </si>
  <si>
    <t>Red-eyed_Vireo_1707.jpg</t>
  </si>
  <si>
    <t xml:space="preserve">Red-eyed Vireo </t>
  </si>
  <si>
    <t>Red-eyed_Vireo_1892.jpg</t>
  </si>
  <si>
    <t>Red-eyed_Vireo_1972.jpg</t>
  </si>
  <si>
    <t>Red-eyed_Vireo_2014.jpg</t>
  </si>
  <si>
    <t>Red-eyed_Vireo_20637.jpg</t>
  </si>
  <si>
    <t>Red-eyed_Vireo_2472.jpg</t>
  </si>
  <si>
    <t>Red-eyed_Vireo_2542.jpg</t>
  </si>
  <si>
    <t>Red-eyed_Vireo_4351MF.jpg</t>
  </si>
  <si>
    <t>Red-eyed_Vireo_6118.jpg</t>
  </si>
  <si>
    <t>Red-eyed_Vireo_7793.jpg</t>
  </si>
  <si>
    <t>Red-eyed_Vireo_7824.jpg</t>
  </si>
  <si>
    <t>Red-eyed_Vireo_8727.jpg</t>
  </si>
  <si>
    <t>Red-eyed_Vireo_8794.jpg</t>
  </si>
  <si>
    <t>Red-eyed_Vireo.jpg</t>
  </si>
  <si>
    <t>Red-faced_Spinetail_6126.jpg</t>
  </si>
  <si>
    <t xml:space="preserve">Red-faced Spinetail </t>
  </si>
  <si>
    <t>Red-footed_Booby_6764.jpg</t>
  </si>
  <si>
    <t xml:space="preserve">Red-footed Booby </t>
  </si>
  <si>
    <t>Red-fronted_Coua_-_Coua_de_Reynaud_5632.jpg</t>
  </si>
  <si>
    <t xml:space="preserve">Red-fronted Coua </t>
  </si>
  <si>
    <t>Red-headed Finch 133.jpg</t>
  </si>
  <si>
    <t>Red-headed Finch</t>
  </si>
  <si>
    <t>Red-headed Woodpecker-040.jpg</t>
  </si>
  <si>
    <t>Red-headed Woodpecker</t>
  </si>
  <si>
    <t>Red-headed_Barbet_3751.jpg</t>
  </si>
  <si>
    <t xml:space="preserve">Red-headed Barbet </t>
  </si>
  <si>
    <t>Red-headed_Barbet_female_MF4435.jpg</t>
  </si>
  <si>
    <t>Red-headed_Finch_133.jpg</t>
  </si>
  <si>
    <t xml:space="preserve">Red-headed Finch </t>
  </si>
  <si>
    <t>Red-headed_Weaver-531590881.jpg</t>
  </si>
  <si>
    <t>Red-headed Weaver</t>
  </si>
  <si>
    <t>Red-headed_Weaver-563215831.jpg</t>
  </si>
  <si>
    <t>Red-headed_Woodpecker_0018.jpg</t>
  </si>
  <si>
    <t xml:space="preserve">Red-headed Woodpecker </t>
  </si>
  <si>
    <t>Red-headed_Woodpecker_0557.jpg</t>
  </si>
  <si>
    <t>Red-headed_Woodpecker_0583.jpg</t>
  </si>
  <si>
    <t>Red-headed_Woodpecker_4355MF.jpg</t>
  </si>
  <si>
    <t>Red-headed_Woodpecker_7214.jpg</t>
  </si>
  <si>
    <t>Red-headed_Woodpecker_7215.jpg</t>
  </si>
  <si>
    <t>Red-headed_Woodpecker_7236B.jpg</t>
  </si>
  <si>
    <t>Red-headed_Woodpecker_7361.jpg</t>
  </si>
  <si>
    <t>Red-headed_Woodpecker_7722.jpg</t>
  </si>
  <si>
    <t>Red-headed_Woodpecker_8085.jpg</t>
  </si>
  <si>
    <t>Red-headed_Woodpecker_9880.jpg</t>
  </si>
  <si>
    <t>Red-headed_Woodpecker_9915.jpg</t>
  </si>
  <si>
    <t>Red-headed_Woodpecker_9919MF.jpg</t>
  </si>
  <si>
    <t>Red-knobbed Coot-5981.jpg</t>
  </si>
  <si>
    <t>Red-knobbed Coot</t>
  </si>
  <si>
    <t>Red-legged_Honeycreeper_6164.jpg</t>
  </si>
  <si>
    <t xml:space="preserve">Red-legged Honeycreeper </t>
  </si>
  <si>
    <t>Red-legged_Honeycreeper_6535.jpg</t>
  </si>
  <si>
    <t>Red-legged_Honeycreeper_MF4561.jpg</t>
  </si>
  <si>
    <t>Red-lored_Amazon_240.jpg</t>
  </si>
  <si>
    <t xml:space="preserve">Red-lored Amazon </t>
  </si>
  <si>
    <t>Red-lored_Amazon_2704MF.jpg</t>
  </si>
  <si>
    <t>Red-lored_Amazon_3930.jpg</t>
  </si>
  <si>
    <t>Red-lored_Amazon_6297.jpg</t>
  </si>
  <si>
    <t>Red-lored_Amazon_7071.jpg</t>
  </si>
  <si>
    <t>Red-lored_Amazon_7368.jpg</t>
  </si>
  <si>
    <t>Red-necked Grebe-70135381.jpg</t>
  </si>
  <si>
    <t>Red-necked Grebe</t>
  </si>
  <si>
    <t>Red-necked Phalarope 9062.jpg</t>
  </si>
  <si>
    <t>Red-necked Phalarope</t>
  </si>
  <si>
    <t>Red-necked_Avocet_1217.jpg</t>
  </si>
  <si>
    <t xml:space="preserve">Red-necked Avocet </t>
  </si>
  <si>
    <t>Red-necked_Falcon.jpg</t>
  </si>
  <si>
    <t xml:space="preserve">Red-necked Falcon </t>
  </si>
  <si>
    <t>Red-necked_Phalarope_4304.jpg</t>
  </si>
  <si>
    <t xml:space="preserve">Red-necked Phalarope </t>
  </si>
  <si>
    <t>Red-necked_Phalarope_7605.jpg</t>
  </si>
  <si>
    <t>Red-necked_Spurfowl_257.jpg</t>
  </si>
  <si>
    <t xml:space="preserve">Red-necked Spurfowl </t>
  </si>
  <si>
    <t>Red-necked_Stint_3285MF.jpg</t>
  </si>
  <si>
    <t xml:space="preserve">Red-necked Stint </t>
  </si>
  <si>
    <t>Red-necked_Stint_3533MF.jpg</t>
  </si>
  <si>
    <t>Red-rumped_Parrot_2631MF.jpg</t>
  </si>
  <si>
    <t xml:space="preserve">Red-rumped Parrot </t>
  </si>
  <si>
    <t>Red-rumped_Parrot.jpg</t>
  </si>
  <si>
    <t>Red-rumped_Woodpecker_23145.jpg</t>
  </si>
  <si>
    <t xml:space="preserve">Red-rumped Woodpecker </t>
  </si>
  <si>
    <t>Red-rumped_Woodpecker_2763MF.jpg</t>
  </si>
  <si>
    <t>Red-rumped_Woodpecker_7132.jpg</t>
  </si>
  <si>
    <t>Red-rumped_Woodpecker.jpg</t>
  </si>
  <si>
    <t>Red-shouldered_Hawk_0753.jpg</t>
  </si>
  <si>
    <t xml:space="preserve">Red-shouldered Hawk </t>
  </si>
  <si>
    <t>Red-shouldered_Hawk_20501.jpg</t>
  </si>
  <si>
    <t>Red-shouldered_Hawk_221043.jpg</t>
  </si>
  <si>
    <t>Red-shouldered_Hawk_4111.jpg</t>
  </si>
  <si>
    <t>Red-shouldered_Hawk_4258.jpg</t>
  </si>
  <si>
    <t>Red-shouldered_Hawk_5776.jpg</t>
  </si>
  <si>
    <t>Red-shouldered_Hawk_5784.jpg</t>
  </si>
  <si>
    <t>Red-shouldered_Hawk_6044.jpg</t>
  </si>
  <si>
    <t>Red-shouldered_Hawk_7238.jpg</t>
  </si>
  <si>
    <t>Red-shouldered_hawk_9585.jpg</t>
  </si>
  <si>
    <t>Red-shouldered_Hawk_Immature_8595MF.jpg</t>
  </si>
  <si>
    <t>Red-shouldered_Hawk_young_on_nest_8544MF.jpg</t>
  </si>
  <si>
    <t>Red-shouldered_Vanga_-_Calicalic_a_epaulettes_0042.jpg</t>
  </si>
  <si>
    <t xml:space="preserve">Red-shouldered Vanga </t>
  </si>
  <si>
    <t>Red-shouldered_Vanga_7706.jpg</t>
  </si>
  <si>
    <t>Red-tailed_Hawk_1920MF.jpg</t>
  </si>
  <si>
    <t xml:space="preserve">Red-tailed Hawk </t>
  </si>
  <si>
    <t>Red-tailed_Hawk_5208MF.jpg</t>
  </si>
  <si>
    <t>Red-tailed_Hawk_9036.jpg</t>
  </si>
  <si>
    <t>Red-tailed_Tropicbird_-_Phaeton_a_brins_rouges_8248.jpg</t>
  </si>
  <si>
    <t xml:space="preserve">Red-tailed Tropicbird </t>
  </si>
  <si>
    <t>Red-tailed_Tropicbird_-_Phaeton_a_brins_rouges_8254.jpg</t>
  </si>
  <si>
    <t>Red-tailed_Tropicbird_-_Phaeton_a_brins_rouges_8263.jpg</t>
  </si>
  <si>
    <t>Red-tailed_Vanga_-_Calicalic_malgache_8859MF.jpg</t>
  </si>
  <si>
    <t xml:space="preserve">Red-tailed Vanga </t>
  </si>
  <si>
    <t>Red-tailed_Vanga_-_Calicalic_malgache.jpg</t>
  </si>
  <si>
    <t>Red-throated_Ant-tanager_0145.jpg</t>
  </si>
  <si>
    <t xml:space="preserve">Red-throated Ant-Tanager </t>
  </si>
  <si>
    <t>Red-throated_Ant-Tanager_21238.jpg</t>
  </si>
  <si>
    <t>Red-throated_Ant-Tanager_4855.jpg</t>
  </si>
  <si>
    <t>Red-throated_Ant-tanager.jpg</t>
  </si>
  <si>
    <t>Red-throated_Loon_848.jpg</t>
  </si>
  <si>
    <t xml:space="preserve">Red-throated Loon </t>
  </si>
  <si>
    <t>Red-throated_Loon_8977.jpg</t>
  </si>
  <si>
    <t>Red-throated_Wryneck_3566.jpg</t>
  </si>
  <si>
    <t xml:space="preserve">Red-throated Wryneck </t>
  </si>
  <si>
    <t>Red-winged_Blackbird_0285MF.jpg</t>
  </si>
  <si>
    <t xml:space="preserve">Red-winged Blackbird </t>
  </si>
  <si>
    <t>Red-winged_Blackbird_0326.jpg</t>
  </si>
  <si>
    <t>Red-winged_Blackbird_1535.jpg</t>
  </si>
  <si>
    <t>Red-winged_Blackbird_1555.jpg</t>
  </si>
  <si>
    <t>Red-winged_Blackbird_1872MF.jpg</t>
  </si>
  <si>
    <t>Red-winged_Blackbird_1949.jpg</t>
  </si>
  <si>
    <t>Red-winged_Blackbird_2831.jpg</t>
  </si>
  <si>
    <t>Red-winged_Blackbird_7404MF.jpg</t>
  </si>
  <si>
    <t>Red-winged_Blackbird_8037.jpg</t>
  </si>
  <si>
    <t>Red-winged_Blackbird_8088.jpg</t>
  </si>
  <si>
    <t>Red-winged_Blackbird_9220.jpg</t>
  </si>
  <si>
    <t>Red-winged_Blackbird_9231.jpg</t>
  </si>
  <si>
    <t>Red-winged_blackbird_female_004.jpg</t>
  </si>
  <si>
    <t>Red-winged_Starling-531440091.jpg</t>
  </si>
  <si>
    <t>Red-winged Starling</t>
  </si>
  <si>
    <t>Reddish_Egret_0226.jpg</t>
  </si>
  <si>
    <t xml:space="preserve">Reddish Egret </t>
  </si>
  <si>
    <t>Reddish_Egret_1713.jpg</t>
  </si>
  <si>
    <t>Reddish_Egret_4230.jpg</t>
  </si>
  <si>
    <t>Reddish_Egret_4236.jpg</t>
  </si>
  <si>
    <t>Reddish_Egret_4604.jpg</t>
  </si>
  <si>
    <t>Reddish_Egret_6653MF.jpg</t>
  </si>
  <si>
    <t>Reddish_Egret_6886MF.jpg</t>
  </si>
  <si>
    <t>Reddish_Egret_7628MF.jpg</t>
  </si>
  <si>
    <t>Reddish_Egret_9975.jpg</t>
  </si>
  <si>
    <t>Redhead_1209.jpg</t>
  </si>
  <si>
    <t xml:space="preserve">Redhead  </t>
  </si>
  <si>
    <t>Redhead_1249.jpg</t>
  </si>
  <si>
    <t>Redhead_2009MF.jpg</t>
  </si>
  <si>
    <t>Redhead_26703.jpg</t>
  </si>
  <si>
    <t>Redhead_3320.jpg</t>
  </si>
  <si>
    <t>Redhead_7512.jpg</t>
  </si>
  <si>
    <t>Redhead.jpg</t>
  </si>
  <si>
    <t>Redpoll_9301.jpg</t>
  </si>
  <si>
    <t xml:space="preserve">Redpoll  </t>
  </si>
  <si>
    <t>Redpoll_9501.jpg</t>
  </si>
  <si>
    <t>Redpoll_Common-410866401.jpg</t>
  </si>
  <si>
    <t>Redpoll_Common-417305621.jpg</t>
  </si>
  <si>
    <t>Redpoll_Common-419277831.jpg</t>
  </si>
  <si>
    <t>Redthroat-646366262.jpg</t>
  </si>
  <si>
    <t>Redthroat</t>
  </si>
  <si>
    <t>Redthroat-646366563.jpg</t>
  </si>
  <si>
    <t>Reed_Cormorant_2002.jpg</t>
  </si>
  <si>
    <t xml:space="preserve">Reed Cormorant </t>
  </si>
  <si>
    <t>Regent_Parrot-646429005.jpg</t>
  </si>
  <si>
    <t>Regent Parrot</t>
  </si>
  <si>
    <t>Resplendent_Quetzal_1809MF.jpg</t>
  </si>
  <si>
    <t xml:space="preserve">Resplendent Quetzal </t>
  </si>
  <si>
    <t>Resplendent_Quetzal_3253.jpg</t>
  </si>
  <si>
    <t>Resplendent_Quetzal_6114.jpg</t>
  </si>
  <si>
    <t>Resplendent_Quetzal_6233.jpg</t>
  </si>
  <si>
    <t>Resplendent_Quetzal.jpg</t>
  </si>
  <si>
    <t>Retz's_Helmetshrike-550406411.jpg</t>
  </si>
  <si>
    <t>Retz's Helmetshrike</t>
  </si>
  <si>
    <t>Ridgway's Rail-3000.jpg</t>
  </si>
  <si>
    <t>Ridgway's Rail</t>
  </si>
  <si>
    <t>Ring-billed_Gull_1498.jpg</t>
  </si>
  <si>
    <t xml:space="preserve">Ring-billed Gull </t>
  </si>
  <si>
    <t>Ring-billed_Gull_2170.jpg</t>
  </si>
  <si>
    <t>Ring-billed_Gull_2173.jpg</t>
  </si>
  <si>
    <t>Ring-billed_Gull_2191MF.jpg</t>
  </si>
  <si>
    <t>Ring-billed_Gull.jpg</t>
  </si>
  <si>
    <t>Ring-necked Dove 91.jpg</t>
  </si>
  <si>
    <t>Ring-necked Dove</t>
  </si>
  <si>
    <t>Ring-necked Duck-7383.jpg</t>
  </si>
  <si>
    <t>Ring-necked Duck</t>
  </si>
  <si>
    <t>Ring-necked_Duck_2.jpg</t>
  </si>
  <si>
    <t xml:space="preserve">Ring-necked Duck </t>
  </si>
  <si>
    <t>Ring-necked_Duck_21267.jpg</t>
  </si>
  <si>
    <t>Ring-necked_Duck_26707.jpg</t>
  </si>
  <si>
    <t>Ring-necked_Duck_7103MF.jpg</t>
  </si>
  <si>
    <t>Ring-necked_Duck_8853MF.jpg</t>
  </si>
  <si>
    <t>Ring-necked_Duck.jpg</t>
  </si>
  <si>
    <t>Ringed_Kingfisher_23121.jpg</t>
  </si>
  <si>
    <t xml:space="preserve">Ringed Kingfisher </t>
  </si>
  <si>
    <t>Ringed_Kingfisher_2723MF.jpg</t>
  </si>
  <si>
    <t>Ringed_Kingfisher_7217.jpg</t>
  </si>
  <si>
    <t>Ringed_Kingfisher1778.jpg</t>
  </si>
  <si>
    <t>Roadside_Hawk_1025.jpg</t>
  </si>
  <si>
    <t xml:space="preserve">Roadside Hawk </t>
  </si>
  <si>
    <t>Roadside_Hawk_20951.jpg</t>
  </si>
  <si>
    <t>Roadside_Hawk_548.jpg</t>
  </si>
  <si>
    <t>Roadside_Hawk_6064.jpg</t>
  </si>
  <si>
    <t>Rock Pigeon-5200.jpg</t>
  </si>
  <si>
    <t>Rock Pigeon</t>
  </si>
  <si>
    <t>Rock_Kestrel.jpg</t>
  </si>
  <si>
    <t xml:space="preserve">Rock Kestrel </t>
  </si>
  <si>
    <t>Rock_Pigeon-646474248.jpg</t>
  </si>
  <si>
    <t>Rock_Pratincole_6552.jpg</t>
  </si>
  <si>
    <t xml:space="preserve">Rock Pratincole </t>
  </si>
  <si>
    <t>Rose-breasted grosbeak-4771.jpg</t>
  </si>
  <si>
    <t>Rose-breasted Grosbeak</t>
  </si>
  <si>
    <t>Rose-breasted_Grosbeak_1293.jpg</t>
  </si>
  <si>
    <t xml:space="preserve">Rose-breasted Grosbeak </t>
  </si>
  <si>
    <t>Rose-breasted_Grosbeak_3470.jpg</t>
  </si>
  <si>
    <t>Rose-breasted_grosbeak_3774.jpg</t>
  </si>
  <si>
    <t>Rose-breasted_Grosbeak_4244MF.jpg</t>
  </si>
  <si>
    <t>Rose-breasted_Grosbeak_5435MF.jpg</t>
  </si>
  <si>
    <t>Rose-breasted_Grosbeak_8146.jpg</t>
  </si>
  <si>
    <t>Rose-breasted_Grosbeak_954.jpg</t>
  </si>
  <si>
    <t>Rose-throated_Becard_2139.jpg</t>
  </si>
  <si>
    <t xml:space="preserve">Rose-throated Becard </t>
  </si>
  <si>
    <t>Rose-throated_Becard_MF5947.jpg</t>
  </si>
  <si>
    <t>Roseate_Spoonbill_1208.jpg</t>
  </si>
  <si>
    <t xml:space="preserve">Roseate Spoonbill </t>
  </si>
  <si>
    <t>Roseate_Spoonbill_2077MF.jpg</t>
  </si>
  <si>
    <t>Roseate_Spoonbill_21087.jpg</t>
  </si>
  <si>
    <t>Roseate_Spoonbill_2703.jpg</t>
  </si>
  <si>
    <t>Roseate_Spoonbill_3681.jpg</t>
  </si>
  <si>
    <t>Roseate_Spoonbill_4477.jpg</t>
  </si>
  <si>
    <t>Roseate_Spoonbill_6325.jpg</t>
  </si>
  <si>
    <t>Roseate_Spoonbill_6457MF.jpg</t>
  </si>
  <si>
    <t>Roseate_Spoonbill_9242.jpg</t>
  </si>
  <si>
    <t>Roseate_Spoonbill_9622.jpg</t>
  </si>
  <si>
    <t>Roseate_Spoonbill_9645.jpg</t>
  </si>
  <si>
    <t>Rosy_Thrush-Tanager_9848.jpg</t>
  </si>
  <si>
    <t xml:space="preserve">Rosy Thrush-Tanager </t>
  </si>
  <si>
    <t>Rosy-faced_Lovebird_113.jpg</t>
  </si>
  <si>
    <t xml:space="preserve">Rosy-faced Lovebird </t>
  </si>
  <si>
    <t>Rosy-faced_Lovebird_64.jpg</t>
  </si>
  <si>
    <t>Rough-legged_Hawk_26659.jpg</t>
  </si>
  <si>
    <t xml:space="preserve">Rough-legged Hawk </t>
  </si>
  <si>
    <t>Rough-legged_Hawk.jpg</t>
  </si>
  <si>
    <t>Royal_Spoonbill_1555.jpg</t>
  </si>
  <si>
    <t xml:space="preserve">Royal Spoonbill </t>
  </si>
  <si>
    <t>Royal_Spoonbill_2861MF.jpg</t>
  </si>
  <si>
    <t>Royal_Tern_20016.jpg</t>
  </si>
  <si>
    <t xml:space="preserve">Royal Tern </t>
  </si>
  <si>
    <t>Royal_Tern_20211.jpg</t>
  </si>
  <si>
    <t>Royal_Tern_2206MF.jpg</t>
  </si>
  <si>
    <t>Royal_Tern_3048.jpg</t>
  </si>
  <si>
    <t>Royal_Tern_6516.jpg</t>
  </si>
  <si>
    <t>Ruby-crowned kinglet-002.jpg</t>
  </si>
  <si>
    <t>Ruby-crowned Kinglet</t>
  </si>
  <si>
    <t>Ruby-crowned_Kinglet_0268MF.jpg</t>
  </si>
  <si>
    <t xml:space="preserve">Ruby-crowned Kinglet </t>
  </si>
  <si>
    <t>Ruby-crowned_Kinglet_1694.jpg</t>
  </si>
  <si>
    <t>Ruby-crowned_Kinglet_3514.jpg</t>
  </si>
  <si>
    <t>Ruby-crowned_Kinglet_7146.jpg</t>
  </si>
  <si>
    <t>Ruby-crowned_Kinglet_7840.jpg</t>
  </si>
  <si>
    <t>Ruby-crowned_Kinglet_7998.jpg</t>
  </si>
  <si>
    <t>Ruby-crowned_Kinglet.jpg</t>
  </si>
  <si>
    <t>Ruby-throated_Hummingbird_0523MF.jpg</t>
  </si>
  <si>
    <t xml:space="preserve">Ruby-throated Hummingbird </t>
  </si>
  <si>
    <t>Ruby-throated_Hummingbird_1974.jpg</t>
  </si>
  <si>
    <t>Ruby-throated_Hummingbird_8614.jpg</t>
  </si>
  <si>
    <t>Ruby-throated_Hummingbird_9828.jpg</t>
  </si>
  <si>
    <t>Ruby-topaz_Hummingbird_6132.jpg</t>
  </si>
  <si>
    <t xml:space="preserve">Ruby-topaz Hummingbird </t>
  </si>
  <si>
    <t>Ruby-topaz_Hummingbird_6177.jpg</t>
  </si>
  <si>
    <t>Ruddy_Duck_2036.jpg</t>
  </si>
  <si>
    <t xml:space="preserve">Ruddy Duck </t>
  </si>
  <si>
    <t>Ruddy_Duck_7565.jpg</t>
  </si>
  <si>
    <t>Ruddy_Ground_Dove_1731MF.jpg</t>
  </si>
  <si>
    <t>Ruddy Ground Dove</t>
  </si>
  <si>
    <t>Ruddy_Ground_Dove_358.jpg</t>
  </si>
  <si>
    <t>Ruddy_Treerunner_5971.jpg</t>
  </si>
  <si>
    <t xml:space="preserve">Ruddy Treerunner </t>
  </si>
  <si>
    <t>Ruddy_Turnstone_0361.jpg</t>
  </si>
  <si>
    <t xml:space="preserve">Ruddy Turnstone </t>
  </si>
  <si>
    <t>Ruddy_Turnstone_1444.jpg</t>
  </si>
  <si>
    <t>Ruddy_Turnstone_1501.jpg</t>
  </si>
  <si>
    <t>Ruddy_Turnstone_6979MF.jpg</t>
  </si>
  <si>
    <t>Ruddy_Turnstone_7288MF.jpg</t>
  </si>
  <si>
    <t>Ruddy_Turnstone_7707MF.jpg</t>
  </si>
  <si>
    <t>Ruddy_Turnstone_9400.jpg</t>
  </si>
  <si>
    <t>Ruddy_Turnstone_9405MF.jpg</t>
  </si>
  <si>
    <t>Ruddy_Woodcreeper_576.jpg</t>
  </si>
  <si>
    <t xml:space="preserve">Ruddy Woodcreeper </t>
  </si>
  <si>
    <t>Ruddy-capped_Nightingale-Thrush_3333.jpg</t>
  </si>
  <si>
    <t xml:space="preserve">Ruddy-capped Nightingale-Thrush </t>
  </si>
  <si>
    <t>Ruddy-capped_Nightingale-Thrush_3512.jpg</t>
  </si>
  <si>
    <t>Ruddy-capped_Nightingale-Thrush_MF2250.jpg</t>
  </si>
  <si>
    <t>Ruddy-tailed_Flycatcher_4346.jpg</t>
  </si>
  <si>
    <t xml:space="preserve">Ruddy-tailed Flycatcher </t>
  </si>
  <si>
    <t>Ruddy-tailed_Flycatcher_5880.jpg</t>
  </si>
  <si>
    <t>Ruddy-tailed_Flycatcher_5882.jpg</t>
  </si>
  <si>
    <t>Rufescent_Tiger-Heron_1706.jpg</t>
  </si>
  <si>
    <t xml:space="preserve">Rufescent Tiger-Heron </t>
  </si>
  <si>
    <t>Rufescent_Tiger-Heron_22089.jpg</t>
  </si>
  <si>
    <t>Rufescent_Tiger-Heron_22286.jpg</t>
  </si>
  <si>
    <t>Rufescent_Tiger-Heron_2238MF.jpg</t>
  </si>
  <si>
    <t>Ruff 4782.jpg</t>
  </si>
  <si>
    <t>Ruff</t>
  </si>
  <si>
    <t>Ruffed Grouse-6440.jpg</t>
  </si>
  <si>
    <t>Ruffed Grouse</t>
  </si>
  <si>
    <t>Ruffed_grouse_7270MF.jpg</t>
  </si>
  <si>
    <t xml:space="preserve">Ruffed Grouse </t>
  </si>
  <si>
    <t>Ruffed_Grouse_9015.jpg</t>
  </si>
  <si>
    <t>Rufous Fieldwren-9396.jpg</t>
  </si>
  <si>
    <t>Rufous Fieldwren</t>
  </si>
  <si>
    <t>Rufous_bristlebird_2956MF.jpg</t>
  </si>
  <si>
    <t xml:space="preserve">Rufous Bristlebird </t>
  </si>
  <si>
    <t>Rufous_bristlebird.jpg</t>
  </si>
  <si>
    <t>Rufous_Motmot_5123.jpg</t>
  </si>
  <si>
    <t xml:space="preserve">Rufous Motmot </t>
  </si>
  <si>
    <t>Rufous_Motmot_5153.jpg</t>
  </si>
  <si>
    <t>Rufous_Whistler-646430491.jpg</t>
  </si>
  <si>
    <t>Rufous Whistler</t>
  </si>
  <si>
    <t>Rufous_Whistler-646543712.jpg</t>
  </si>
  <si>
    <t>Rufous-backed_Wren_1681.jpg</t>
  </si>
  <si>
    <t xml:space="preserve">Rufous-backed Wren </t>
  </si>
  <si>
    <t>Rufous-backed_Wren_5608.jpg</t>
  </si>
  <si>
    <t>Rufous-backed_Wren_8455.jpg</t>
  </si>
  <si>
    <t>Rufous-backed_Wren_8475.jpg</t>
  </si>
  <si>
    <t>Rufous-breasted_Chat-Tyrant-153265931.jpg</t>
  </si>
  <si>
    <t>Rufous-breasted Chat-Tyrant</t>
  </si>
  <si>
    <t>Rufous-browed_Conebill_4577.jpg</t>
  </si>
  <si>
    <t xml:space="preserve">Rufous-browed Conebill </t>
  </si>
  <si>
    <t>Rufous-browed_Conebill_4600.jpg</t>
  </si>
  <si>
    <t>Rufous-browed_Peppershrike_2742.jpg</t>
  </si>
  <si>
    <t xml:space="preserve">Rufous-browed Peppershrike </t>
  </si>
  <si>
    <t>Rufous-browed_Peppershrike.jpg</t>
  </si>
  <si>
    <t>Rufous-collared_Sparrow_1399MF.jpg</t>
  </si>
  <si>
    <t xml:space="preserve">Rufous-collared Sparrow </t>
  </si>
  <si>
    <t>Rufous-collared_Sparrow_23924.jpg</t>
  </si>
  <si>
    <t>Rufous-collared_Sparrow_2530.jpg</t>
  </si>
  <si>
    <t>Rufous-collared_Sparrow_3156.jpg</t>
  </si>
  <si>
    <t>Rufous-collared_Sparrow_4940.jpg</t>
  </si>
  <si>
    <t>Rufous-collared_Sparrow_6550.jpg</t>
  </si>
  <si>
    <t>Rufous-collared_Sparrow_7198.jpg</t>
  </si>
  <si>
    <t>Rufous-collared_Sparrow_MF2773.jpg</t>
  </si>
  <si>
    <t>Rufous-crowned_Tody-Flycatcher_6110.jpg</t>
  </si>
  <si>
    <t xml:space="preserve">Rufous-crowned Tody-Flycatcher </t>
  </si>
  <si>
    <t>Rufous-fronted_Wood-Quail_6402.jpg</t>
  </si>
  <si>
    <t xml:space="preserve">Rufous-fronted Wood-Quail </t>
  </si>
  <si>
    <t>Rufous-headed_Ground-roller_-_Brachypterolle_de_Crossley_5418.jpg</t>
  </si>
  <si>
    <t xml:space="preserve">Rufous-headed Ground-Roller </t>
  </si>
  <si>
    <t>Rufous-headed_Ground-roller_-_Brachypterolle_de_Crossley_9078MF.jpg</t>
  </si>
  <si>
    <t>Rufous-naped_Lark_154.jpg</t>
  </si>
  <si>
    <t xml:space="preserve">Rufous-naped Lark </t>
  </si>
  <si>
    <t>Rufous-naped_Lark_2718.jpg</t>
  </si>
  <si>
    <t>Rufous-tailed_Hummingbird_0212.jpg</t>
  </si>
  <si>
    <t xml:space="preserve">Rufous-tailed Hummingbird </t>
  </si>
  <si>
    <t>Rufous-tailed_Hummingbird_1631.jpg</t>
  </si>
  <si>
    <t>Rufous-tailed_Hummingbird_3598MF.jpg</t>
  </si>
  <si>
    <t>Rufous-tailed_Hummingbird_373.jpg</t>
  </si>
  <si>
    <t>Rufous-tailed_Hummingbird_MF5431.jpg</t>
  </si>
  <si>
    <t>Rufous-tailed_Jacamar_1964MF.jpg</t>
  </si>
  <si>
    <t xml:space="preserve">Rufous-tailed Jacamar </t>
  </si>
  <si>
    <t>Rufous-tailed_Jacamar_21285.jpg</t>
  </si>
  <si>
    <t>Rufous-tailed_Jacamar_2457.jpg</t>
  </si>
  <si>
    <t>Rufous-tailed_Jacamar_4596.jpg</t>
  </si>
  <si>
    <t>Rufous-tailed_Jacamar_4644.jpg</t>
  </si>
  <si>
    <t>Rufous-tailed_Jacamar_586.jpg</t>
  </si>
  <si>
    <t>Rufous-throated_Tanager_4616.jpg</t>
  </si>
  <si>
    <t xml:space="preserve">Rufous-throated Tanager </t>
  </si>
  <si>
    <t>Rufous-vented_Chachalaca_6378.jpg</t>
  </si>
  <si>
    <t xml:space="preserve">Rufous-vented Chachalaca </t>
  </si>
  <si>
    <t>Rufous-vented_Chachalaca_6450.jpg</t>
  </si>
  <si>
    <t>Rufous-winged_Woodpecker_5328.jpg</t>
  </si>
  <si>
    <t xml:space="preserve">Rufous-winged Woodpecker </t>
  </si>
  <si>
    <t>Running_Coua_-_Coua_coureur_6895.jpg</t>
  </si>
  <si>
    <t xml:space="preserve">Running Coua </t>
  </si>
  <si>
    <t>Ruppell's_Starling-417560771.jpg</t>
  </si>
  <si>
    <t>Rüppell's Starling</t>
  </si>
  <si>
    <t>Ruppells_Starling_275.jpg</t>
  </si>
  <si>
    <t>Russet-crowned_Warbler_3853.jpg</t>
  </si>
  <si>
    <t xml:space="preserve">Russet-crowned Warbler </t>
  </si>
  <si>
    <t>Russet-naped_Wood-Rail_5040.jpg</t>
  </si>
  <si>
    <t xml:space="preserve">Russet-naped Wood-Rail </t>
  </si>
  <si>
    <t>Russet-throated_Puffbird_20765.jpg</t>
  </si>
  <si>
    <t xml:space="preserve">Russet-throated Puffbird </t>
  </si>
  <si>
    <t>Russet-throated_Puffbird_3995.jpg</t>
  </si>
  <si>
    <t>Russet-throated_Puffbird_4843.jpg</t>
  </si>
  <si>
    <t>Rusty Blackbird-7365.jpg</t>
  </si>
  <si>
    <t>Rusty Blackbird</t>
  </si>
  <si>
    <t>Rusty_blackbird_0851MF.jpg</t>
  </si>
  <si>
    <t xml:space="preserve">Rusty Blackbird </t>
  </si>
  <si>
    <t>Rusty_Blackbird_7998.jpg</t>
  </si>
  <si>
    <t>Rusty_Flowerpiercer_4142.jpg</t>
  </si>
  <si>
    <t xml:space="preserve">Rusty Flowerpiercer </t>
  </si>
  <si>
    <t>Rusty_Flowerpiercer_4305.jpg</t>
  </si>
  <si>
    <t>Rusty-margined_Flycatcher_1402.jpg</t>
  </si>
  <si>
    <t xml:space="preserve">Rusty-margined Flycatcher </t>
  </si>
  <si>
    <t>Rusty-margined_Flycatcher_4672.jpg</t>
  </si>
  <si>
    <t>Rusty-margined_Flycatcher_6261.jpg</t>
  </si>
  <si>
    <t>Rusty-margined_Flycatcher_6263.jpg</t>
  </si>
  <si>
    <t>Rusty-margined_Flycatcher_7173.jpg</t>
  </si>
  <si>
    <t>Rusty-winged_Antwren_2158.jpg</t>
  </si>
  <si>
    <t xml:space="preserve">Rusty-winged Antwren </t>
  </si>
  <si>
    <t>Sacred_Kingfisher_8203.jpg</t>
  </si>
  <si>
    <t xml:space="preserve">Sacred Kingfisher </t>
  </si>
  <si>
    <t>Saddle-billed_Stork-531515631.jpg</t>
  </si>
  <si>
    <t>Saddle-billed Stork</t>
  </si>
  <si>
    <t>Saddle-billed_Stork-551147491.jpg</t>
  </si>
  <si>
    <t>Saffron_Finch_1507.jpg</t>
  </si>
  <si>
    <t xml:space="preserve">Saffron Finch </t>
  </si>
  <si>
    <t>Saffron_Finch_3836.jpg</t>
  </si>
  <si>
    <t>Saffron_Finch_7461.jpg</t>
  </si>
  <si>
    <t>Saffron_Finch_9891-.jpg</t>
  </si>
  <si>
    <t>Saffron_Finch.jpg</t>
  </si>
  <si>
    <t>Sakalava_Weaver_-_Tisserin_sakalave_7079.jpg</t>
  </si>
  <si>
    <t xml:space="preserve">Sakalava Weaver </t>
  </si>
  <si>
    <t>Sakalava_Weaver_-_Tisserin_sakalave_8371.jpg</t>
  </si>
  <si>
    <t>Sakalava_Weaver_-_Tisserin_sakalave_9437MF.jpg</t>
  </si>
  <si>
    <t>Sakalava_Weaver_-_Tisserin_sakalave_9443MF.jpg</t>
  </si>
  <si>
    <t>Sanderling_2803MF.jpg</t>
  </si>
  <si>
    <t xml:space="preserve">Sanderling  </t>
  </si>
  <si>
    <t>Sanderling_4440.jpg</t>
  </si>
  <si>
    <t>Sanderling_6192.jpg</t>
  </si>
  <si>
    <t>Sanderling_6367.jpg</t>
  </si>
  <si>
    <t>Sanderling_6874.jpg</t>
  </si>
  <si>
    <t>Sanderling_8137.jpg</t>
  </si>
  <si>
    <t>Sanderling_9792.jpg</t>
  </si>
  <si>
    <t>Sanderling-1365.jpg</t>
  </si>
  <si>
    <t>Sanderling</t>
  </si>
  <si>
    <t>Sandhill Crane-9999.jpg</t>
  </si>
  <si>
    <t>Sandhill Crane</t>
  </si>
  <si>
    <t>Sandhill_Crane_0781.jpg</t>
  </si>
  <si>
    <t xml:space="preserve">Sandhill Crane </t>
  </si>
  <si>
    <t>Sandhill_Crane_1516.jpg</t>
  </si>
  <si>
    <t>Sandhill_Crane_20456.jpg</t>
  </si>
  <si>
    <t>Sandhill_Crane_2643.jpg</t>
  </si>
  <si>
    <t>Sandhill_Crane_2873.jpg</t>
  </si>
  <si>
    <t>Sandhill_Crane_3844.jpg</t>
  </si>
  <si>
    <t>Sandhill_Crane_4053.jpg</t>
  </si>
  <si>
    <t>Sandhill_Crane_4053A.jpg</t>
  </si>
  <si>
    <t>Sandhill_Crane_5841MF.jpg</t>
  </si>
  <si>
    <t>Sandhill_Crane_7240.jpg</t>
  </si>
  <si>
    <t>Sandhill_Crane_7699.jpg</t>
  </si>
  <si>
    <t>Sandhill_Crane_7937.jpg</t>
  </si>
  <si>
    <t>Sandhill_Crane_9948.jpg</t>
  </si>
  <si>
    <t>Sandwich_Tern_6340.jpg</t>
  </si>
  <si>
    <t xml:space="preserve">Sandwich Tern </t>
  </si>
  <si>
    <t>Sandwich_Tern.jpg</t>
  </si>
  <si>
    <t>Santa_Marta_Antpitta_23585.jpg</t>
  </si>
  <si>
    <t>Santa Marta Antpitta</t>
  </si>
  <si>
    <t>Santa_Marta_Brushfinch_23493.jpg</t>
  </si>
  <si>
    <t>Santa Marta Brushfinch</t>
  </si>
  <si>
    <t>Santa_Marta_Brushfinch_23498.jpg</t>
  </si>
  <si>
    <t>Santa_Marta_Brushfinch_24051.jpg</t>
  </si>
  <si>
    <t>Santa_Marta_Bush-Tyrant_23977.jpg</t>
  </si>
  <si>
    <t>Santa Marta Bush-Tyrant</t>
  </si>
  <si>
    <t>Santa_Marta_Parakeet_23525.jpg</t>
  </si>
  <si>
    <t>Santa Marta Parakeet</t>
  </si>
  <si>
    <t>Santa_Marta_Parakeet_3039MF.jpg</t>
  </si>
  <si>
    <t>Sapphire-bellied_Hummingbird_22822.jpg</t>
  </si>
  <si>
    <t xml:space="preserve">Sapphire-bellied Hummingbird </t>
  </si>
  <si>
    <t>Sapphire-bellied_Hummingbird_22831.jpg</t>
  </si>
  <si>
    <t>Sapphire-throated_Hummingbird_0518.jpg</t>
  </si>
  <si>
    <t xml:space="preserve">Sapphire-throated Hummingbird </t>
  </si>
  <si>
    <t>Satin_Bowerbird_3348MF.jpg</t>
  </si>
  <si>
    <t xml:space="preserve">Satin Bowerbird </t>
  </si>
  <si>
    <t>Satin_Bowerbird_Female.jpg</t>
  </si>
  <si>
    <t>Satin_Flycatcher-646913558.jpg</t>
  </si>
  <si>
    <t>Satin Flycatcher</t>
  </si>
  <si>
    <t>Satin_Flycatcher-646929470.jpg</t>
  </si>
  <si>
    <t>Savanna_Hawk_2077MF.jpg</t>
  </si>
  <si>
    <t xml:space="preserve">Savanna Hawk </t>
  </si>
  <si>
    <t>Savanna_Hawk_2082MF.jpg</t>
  </si>
  <si>
    <t>Savanna_Hawk_21723.jpg</t>
  </si>
  <si>
    <t>Savanna_Hawk.jpg</t>
  </si>
  <si>
    <t>Savannah_Sparrow_0028.jpg</t>
  </si>
  <si>
    <t xml:space="preserve">Savannah Sparrow </t>
  </si>
  <si>
    <t>Savannah_Sparrow_00xx.jpg</t>
  </si>
  <si>
    <t>Savannah_Sparrow_0289.jpg</t>
  </si>
  <si>
    <t>Savannah_Sparrow_1724.jpg</t>
  </si>
  <si>
    <t>Savannah_Sparrow_2989.jpg</t>
  </si>
  <si>
    <t>Savannah_Sparrow_4017.jpg</t>
  </si>
  <si>
    <t>Savannah_Sparrow_4431.jpg</t>
  </si>
  <si>
    <t>Savannah_Sparrow_4506.jpg</t>
  </si>
  <si>
    <t>Savannah_Sparrow_4715MF.jpg</t>
  </si>
  <si>
    <t>Savannah_Sparrow_4894.jpg</t>
  </si>
  <si>
    <t>Savannah_Sparrow_7521MF.jpg</t>
  </si>
  <si>
    <t>Savannah_Sparrow_9899.jpg</t>
  </si>
  <si>
    <t>Savannah_Sparrow.jpg</t>
  </si>
  <si>
    <t>Say's Phoebe-1364.jpg</t>
  </si>
  <si>
    <t>Say's Phoebe</t>
  </si>
  <si>
    <t>Scaled_Dove_4853.jpg</t>
  </si>
  <si>
    <t xml:space="preserve">Scaled Dove </t>
  </si>
  <si>
    <t>Scaled_Dove_5245.jpg</t>
  </si>
  <si>
    <t>Scaled_fruiteater_3619.jpg</t>
  </si>
  <si>
    <t xml:space="preserve">Scaled Fruiteater </t>
  </si>
  <si>
    <t>Scaly Ground-Roller-6222.jpg</t>
  </si>
  <si>
    <t>Scaly Ground-Roller</t>
  </si>
  <si>
    <t>Scaly_Ground-Roller_-_Brachypterolle_ecaille_6222.jpg</t>
  </si>
  <si>
    <t xml:space="preserve">Scaly Ground-Roller </t>
  </si>
  <si>
    <t>Scaly_Weaver_75.jpg</t>
  </si>
  <si>
    <t xml:space="preserve">Scaly Weaver </t>
  </si>
  <si>
    <t>Scaly-breasted_Hummingbird_0267.jpg</t>
  </si>
  <si>
    <t xml:space="preserve">Scaly-breasted Hummingbird </t>
  </si>
  <si>
    <t>Scaly-throated_Foliage-gleaner_5335.jpg</t>
  </si>
  <si>
    <t xml:space="preserve">Scaly-throated Foliage-gleaner </t>
  </si>
  <si>
    <t>Scaly-throated_Foliage-gleaner_6079.jpg</t>
  </si>
  <si>
    <t>Scarlet Tanager-012.jpg</t>
  </si>
  <si>
    <t>Scarlet Tanager</t>
  </si>
  <si>
    <t>Scarlet_chested_Sunbird-531184941.jpg</t>
  </si>
  <si>
    <t>Scarlet-chested Sunbird</t>
  </si>
  <si>
    <t>Scarlet_Ibis_5749.jpg</t>
  </si>
  <si>
    <t xml:space="preserve">Scarlet Ibis </t>
  </si>
  <si>
    <t>Scarlet_Ibis_6206.jpg</t>
  </si>
  <si>
    <t>Scarlet_Ibis_6271.jpg</t>
  </si>
  <si>
    <t>Scarlet_Macaw_2515MF.jpg</t>
  </si>
  <si>
    <t xml:space="preserve">Scarlet Macaw </t>
  </si>
  <si>
    <t>Scarlet_Macaw_6719.jpg</t>
  </si>
  <si>
    <t>Scarlet_Macaw_8203.jpg</t>
  </si>
  <si>
    <t>Scarlet_Macaw_MF5734.jpg</t>
  </si>
  <si>
    <t>Scarlet_Macaw_MF5739.jpg</t>
  </si>
  <si>
    <t>Scarlet_Macaw_MF6140.jpg</t>
  </si>
  <si>
    <t>Scarlet_Robin_1037.jpg</t>
  </si>
  <si>
    <t xml:space="preserve">Scarlet Robin </t>
  </si>
  <si>
    <t>Scarlet_Tanager_0332.jpg</t>
  </si>
  <si>
    <t xml:space="preserve">Scarlet Tanager </t>
  </si>
  <si>
    <t>Scarlet_Tanager_20735.jpg</t>
  </si>
  <si>
    <t>Scarlet_tanager_2818.jpg</t>
  </si>
  <si>
    <t>Scarlet_Tanager_4203MF.jpg</t>
  </si>
  <si>
    <t>Scarlet_Tanager_7150.jpg</t>
  </si>
  <si>
    <t>Scarlet_Tanager_8658.jpg</t>
  </si>
  <si>
    <t>Scarlet_Tanager_female_4583MF.jpg</t>
  </si>
  <si>
    <t>Scarlet-bellied_Mountain_tanager.jpg</t>
  </si>
  <si>
    <t>Scarlet-bellied Mountain Tanager</t>
  </si>
  <si>
    <t>Scarlet-chested Sunbird-4420.jpg</t>
  </si>
  <si>
    <t>Scarlet-chested_Sunbird-531182341.jpg</t>
  </si>
  <si>
    <t>Scarlet-fronted_Parakeet_23642.jpg</t>
  </si>
  <si>
    <t xml:space="preserve">Scarlet-fronted Parakeet </t>
  </si>
  <si>
    <t>Scarlet-fronted_Parakeet_23862.jpg</t>
  </si>
  <si>
    <t>Scarlet-fronted_Parakeet_4336.jpg</t>
  </si>
  <si>
    <t>Scarlet-rumped_Tanager_3528MF.jpg</t>
  </si>
  <si>
    <t xml:space="preserve">Scarlet-rumped Tanager </t>
  </si>
  <si>
    <t>Scarlet-rumped_Tanager_3582MF.jpg</t>
  </si>
  <si>
    <t>Scarlet-rumped_Tanager_7655.jpg</t>
  </si>
  <si>
    <t>Scarlet-rumped_Tanager_MF3435.jpg</t>
  </si>
  <si>
    <t>Scarlet-rumped_Tanager_MF4084.jpg</t>
  </si>
  <si>
    <t>Scarlet-rumped_Tanager_MF4092.jpg</t>
  </si>
  <si>
    <t>Scissor-tailed_Flycatcher_8374MF.jpg</t>
  </si>
  <si>
    <t xml:space="preserve">Scissor-tailed Flycatcher </t>
  </si>
  <si>
    <t>Scissor-tailed_Flycatcher_8523MF.jpg</t>
  </si>
  <si>
    <t>Scrub_Greenlet_7227.jpg</t>
  </si>
  <si>
    <t xml:space="preserve">Scrub Greenlet </t>
  </si>
  <si>
    <t>Scrub_Greenlet.jpg</t>
  </si>
  <si>
    <t>Scrub_Tanager_3739.jpg</t>
  </si>
  <si>
    <t xml:space="preserve">Scrub Tanager </t>
  </si>
  <si>
    <t>Scrub_Tanager_6756.jpg</t>
  </si>
  <si>
    <t>Secretarybird_202.jpg</t>
  </si>
  <si>
    <t xml:space="preserve">Secretarybird  </t>
  </si>
  <si>
    <t>Secretarybird_208.jpg</t>
  </si>
  <si>
    <t>Secretarybird_241.jpg</t>
  </si>
  <si>
    <t>Secretarybird_277.jpg</t>
  </si>
  <si>
    <t>Secretarybird_3211.jpg</t>
  </si>
  <si>
    <t>Sedge Wren 1952.jpg</t>
  </si>
  <si>
    <t>Sedge Wren</t>
  </si>
  <si>
    <t>Sedge Wren 2012.jpg</t>
  </si>
  <si>
    <t>Sedge_Wren_1703.jpg</t>
  </si>
  <si>
    <t xml:space="preserve">Sedge Wren </t>
  </si>
  <si>
    <t>Sedge_Wren_1932.jpg</t>
  </si>
  <si>
    <t>Sedge_Wren_9194.jpg</t>
  </si>
  <si>
    <t>Semipalmated_Plover_1475.jpg</t>
  </si>
  <si>
    <t xml:space="preserve">Semipalmated Plover </t>
  </si>
  <si>
    <t>Semipalmated_Plover_1529.jpg</t>
  </si>
  <si>
    <t>Semipalmated_Plover_20004.jpg</t>
  </si>
  <si>
    <t>Semipalmated_Plover_2057.jpg</t>
  </si>
  <si>
    <t>Semipalmated_Plover_3281.jpg</t>
  </si>
  <si>
    <t>Semipalmated_Plover_4191.jpg</t>
  </si>
  <si>
    <t>Semipalmated_Plover_6184.jpg</t>
  </si>
  <si>
    <t>Semipalmated_Plover_6986.jpg</t>
  </si>
  <si>
    <t>Semipalmated_Plover_9422.jpg</t>
  </si>
  <si>
    <t>Semipalmated_Plover-2.jpg</t>
  </si>
  <si>
    <t>Semipalmated_Plover.jpg</t>
  </si>
  <si>
    <t>Semipalmated_Sandpiper_1469.jpg</t>
  </si>
  <si>
    <t xml:space="preserve">Semipalmated Sandpiper </t>
  </si>
  <si>
    <t>Semipalmated_Sandpiper_1533.jpg</t>
  </si>
  <si>
    <t>Semipalmated_Sandpiper_1798.jpg</t>
  </si>
  <si>
    <t>Semipalmated_Sandpiper_9893.jpg</t>
  </si>
  <si>
    <t>Sharp-shinned Hawk 707.jpg</t>
  </si>
  <si>
    <t>Sharp-shinned Hawk</t>
  </si>
  <si>
    <t>Sharp-tailed_Sandpiper_3514MF.jpg</t>
  </si>
  <si>
    <t xml:space="preserve">Sharp-tailed Sandpiper </t>
  </si>
  <si>
    <t>Shikra_Little_Banded_Goshawk_197.jpg</t>
  </si>
  <si>
    <t xml:space="preserve">Shikra  </t>
  </si>
  <si>
    <t>Shining_Bronze-Cuckoo_2583MF.jpg</t>
  </si>
  <si>
    <t xml:space="preserve">Shining Bronze-Cuckoo </t>
  </si>
  <si>
    <t>Shining_Honeycreeper_5157.jpg</t>
  </si>
  <si>
    <t xml:space="preserve">Shining Honeycreeper </t>
  </si>
  <si>
    <t>Shining_Sunbeam_2781.jpg</t>
  </si>
  <si>
    <t xml:space="preserve">Shining Sunbeam </t>
  </si>
  <si>
    <t>Shining_Sunbeam_2998.jpg</t>
  </si>
  <si>
    <t>Shiny_Cowbird_2400.jpg</t>
  </si>
  <si>
    <t xml:space="preserve">Shiny Cowbird </t>
  </si>
  <si>
    <t>Shiny_Cowbird_4947.jpg</t>
  </si>
  <si>
    <t>Shiny_Cowbird.jpg</t>
  </si>
  <si>
    <t>Short-billed Dowitcher 3243.jpg</t>
  </si>
  <si>
    <t>Short-billed Dowitcher</t>
  </si>
  <si>
    <t>Short-billed_Dowitcher_4172.jpg</t>
  </si>
  <si>
    <t xml:space="preserve">Short-billed Dowitcher </t>
  </si>
  <si>
    <t>Short-billed_Dowitcher_4178.jpg</t>
  </si>
  <si>
    <t>Short-billed_Dowitcher_6213.jpg</t>
  </si>
  <si>
    <t>Short-billed_Dowitcher_6289.jpg</t>
  </si>
  <si>
    <t>Short-billed_Dowitcher_6322.jpg</t>
  </si>
  <si>
    <t>Short-billed_Dowitcher_6562.jpg</t>
  </si>
  <si>
    <t>Short-billed_Dowitcher_7774MF.jpg</t>
  </si>
  <si>
    <t>Short-billed_Dowitcher.jpg</t>
  </si>
  <si>
    <t>Short-billed_pigeon_528.jpg</t>
  </si>
  <si>
    <t xml:space="preserve">Short-billed Pigeon </t>
  </si>
  <si>
    <t>Short-billed_pigeon_5816.jpg</t>
  </si>
  <si>
    <t>Short-eared_Owl_0922.jpg</t>
  </si>
  <si>
    <t xml:space="preserve">Short-eared Owl </t>
  </si>
  <si>
    <t>Short-tailed_Hawk_22777.jpg</t>
  </si>
  <si>
    <t xml:space="preserve">Short-tailed Hawk </t>
  </si>
  <si>
    <t>Short-tailed_Hawk_4552.jpg</t>
  </si>
  <si>
    <t>Short-tailed_Hawk_7651.jpg</t>
  </si>
  <si>
    <t>Short-toed_Rock-Thrush_88.jpg</t>
  </si>
  <si>
    <t xml:space="preserve">Short-toed Rock-Thrush </t>
  </si>
  <si>
    <t>Sickle-billed Vanga-7600.jpg</t>
  </si>
  <si>
    <t>Sickle-billed Vanga</t>
  </si>
  <si>
    <t>Sickle-billed_Vanga_-_Falculie_mantelee_7600.jpg</t>
  </si>
  <si>
    <t xml:space="preserve">Sickle-billed Vanga </t>
  </si>
  <si>
    <t>Sickle-billed_Vanga_-_Falculie_mantelee_7609.jpg</t>
  </si>
  <si>
    <t>Sickle-billed_Vanga_-_Falculie_mantelee_9943MF.jpg</t>
  </si>
  <si>
    <t>Sickle-billed_Vanga_7581.jpg</t>
  </si>
  <si>
    <t>Sickle-winged_Guan_6042.jpg</t>
  </si>
  <si>
    <t xml:space="preserve">Sickle-winged Guan </t>
  </si>
  <si>
    <t>Sickle-winged_Guan_6372.jpg</t>
  </si>
  <si>
    <t>Sierra_Nevada_Brushfinch_4191.jpg</t>
  </si>
  <si>
    <t>Sierra Nevada Brushfinch</t>
  </si>
  <si>
    <t>Sierra_Nevada_Brushfinch_4664.jpg</t>
  </si>
  <si>
    <t>Silver_Gull_3408MF.jpg</t>
  </si>
  <si>
    <t xml:space="preserve">Silver Gull </t>
  </si>
  <si>
    <t>Silver_Gull_9577.jpg</t>
  </si>
  <si>
    <t>Silver_Gull_9790.jpg</t>
  </si>
  <si>
    <t>Silver_Gull-503658691.jpg</t>
  </si>
  <si>
    <t>Silver Gull</t>
  </si>
  <si>
    <t>Silver_Gull-503704011.jpg</t>
  </si>
  <si>
    <t>Silver-beaked_Tanager_5205.jpg</t>
  </si>
  <si>
    <t xml:space="preserve">Silver-beaked Tanager </t>
  </si>
  <si>
    <t>Silver-throated_Tanager_2542.jpg</t>
  </si>
  <si>
    <t xml:space="preserve">Silver-throated Tanager </t>
  </si>
  <si>
    <t>Silver-throated_Tanager_6620.jpg</t>
  </si>
  <si>
    <t>Silver-throated_Tanager.jpg</t>
  </si>
  <si>
    <t>Silvereye_0322.jpg</t>
  </si>
  <si>
    <t xml:space="preserve">Silvereye  </t>
  </si>
  <si>
    <t>Silvereye_3053MF.jpg</t>
  </si>
  <si>
    <t>Silvereye_3068MF.jpg</t>
  </si>
  <si>
    <t>Silvery_Grebe_7038.jpg</t>
  </si>
  <si>
    <t xml:space="preserve">Silvery Grebe </t>
  </si>
  <si>
    <t>Silvery_Grebe_7048.jpg</t>
  </si>
  <si>
    <t>Silvery_Grebe-477460281.jpg</t>
  </si>
  <si>
    <t>Silvery Grebe</t>
  </si>
  <si>
    <t>Silvery_Grebe-477460361.jpg</t>
  </si>
  <si>
    <t>Silvery-cheeked_Hornbill_203.jpg</t>
  </si>
  <si>
    <t xml:space="preserve">Silvery-cheeked Hornbill </t>
  </si>
  <si>
    <t>Singing_honeyeater_0510.jpg</t>
  </si>
  <si>
    <t xml:space="preserve">Singing Honeyeater </t>
  </si>
  <si>
    <t>Slate-colored_Seedeater_1345.jpg</t>
  </si>
  <si>
    <t xml:space="preserve">Slate-colored Seedeater </t>
  </si>
  <si>
    <t>Slate-crowned_Antpitta_5195.jpg</t>
  </si>
  <si>
    <t xml:space="preserve">Slate-crowned Antpitta </t>
  </si>
  <si>
    <t>Slate-throated_Redstart_24038.jpg</t>
  </si>
  <si>
    <t xml:space="preserve">Slate-throated Redstart </t>
  </si>
  <si>
    <t>Slate-throated_Redstart_5774.jpg</t>
  </si>
  <si>
    <t>Slaty_Egret_9465.jpg</t>
  </si>
  <si>
    <t xml:space="preserve">Slaty Egret </t>
  </si>
  <si>
    <t>Slaty_Flowerpiercer_3344.jpg</t>
  </si>
  <si>
    <t xml:space="preserve">Slaty Flowerpiercer </t>
  </si>
  <si>
    <t>Slaty_Spinetail_1414.jpg</t>
  </si>
  <si>
    <t xml:space="preserve">Slaty Spinetail </t>
  </si>
  <si>
    <t>Slaty-tailed_trogon_469.jpg</t>
  </si>
  <si>
    <t xml:space="preserve">Slaty-tailed Trogon </t>
  </si>
  <si>
    <t>Slaty-tailed_Trogon_5542.jpg</t>
  </si>
  <si>
    <t>Slaty-tailed_Trogon_9664.jpg</t>
  </si>
  <si>
    <t>Slaty-tailed_Trogon_9955.jpg</t>
  </si>
  <si>
    <t>Slaty-tailed_Trogon_MF3865.jpg</t>
  </si>
  <si>
    <t>Slender-billed_Thornbill-646262207.jpg</t>
  </si>
  <si>
    <t>Slender-billed Thornbill</t>
  </si>
  <si>
    <t>Slender-billed_Thornbill-646946656.jpg</t>
  </si>
  <si>
    <t>Slender-billed_Thornbill-646946657.jpg</t>
  </si>
  <si>
    <t>Smoke-colored_Pewee_4161.jpg</t>
  </si>
  <si>
    <t xml:space="preserve">Smoke-colored Pewee </t>
  </si>
  <si>
    <t>Smoke-colored_Pewee_5301.jpg</t>
  </si>
  <si>
    <t>Smoke-colored_Pewee_6278.jpg</t>
  </si>
  <si>
    <t>Smoke-colored_Pewee.jpg</t>
  </si>
  <si>
    <t>Smoky-brown_Woodpecker_4797.jpg</t>
  </si>
  <si>
    <t xml:space="preserve">Smoky-brown Woodpecker </t>
  </si>
  <si>
    <t>Smooth-billed_Ani_21656.jpg</t>
  </si>
  <si>
    <t xml:space="preserve">Smooth-billed Ani </t>
  </si>
  <si>
    <t>Smooth-billed_Ani_6437.jpg</t>
  </si>
  <si>
    <t>Snail_Kite_103.jpg</t>
  </si>
  <si>
    <t xml:space="preserve">Snail Kite </t>
  </si>
  <si>
    <t>Snail_Kite_2138MF.jpg</t>
  </si>
  <si>
    <t>Snail_Kite_22041.jpg</t>
  </si>
  <si>
    <t>Snail_Kite_279.jpg</t>
  </si>
  <si>
    <t>Snail_Kite_6677.jpg</t>
  </si>
  <si>
    <t>Snow_Bunting_9025.jpg</t>
  </si>
  <si>
    <t xml:space="preserve">Snow Bunting </t>
  </si>
  <si>
    <t>Snow_Goose_01.jpg</t>
  </si>
  <si>
    <t xml:space="preserve">Snow Goose </t>
  </si>
  <si>
    <t>Snow_Goose_02.jpg</t>
  </si>
  <si>
    <t>Snow_Goose_03.jpg</t>
  </si>
  <si>
    <t>Snow_Goose_1370.jpg</t>
  </si>
  <si>
    <t>Snow_Goose_2014-12.jpg</t>
  </si>
  <si>
    <t>Snow_Goose_26720.jpg</t>
  </si>
  <si>
    <t>Snow_Goose_7098MF.jpg</t>
  </si>
  <si>
    <t>Snow_Goose_7769.jpg</t>
  </si>
  <si>
    <t>Snow_Goose_8243.jpg</t>
  </si>
  <si>
    <t>Snow_Goose_8323.jpg</t>
  </si>
  <si>
    <t>Snow_Goose_8657.jpg</t>
  </si>
  <si>
    <t>Snowcap_female_3915.jpg</t>
  </si>
  <si>
    <t xml:space="preserve">Snowcap  </t>
  </si>
  <si>
    <t>Snowcap_male_3979.jpg</t>
  </si>
  <si>
    <t>Snowcap_male_3994.jpg</t>
  </si>
  <si>
    <t>Snowcap_male_4610.jpg</t>
  </si>
  <si>
    <t>Snowcap.jpg</t>
  </si>
  <si>
    <t>Snowy_Cotinga_6013.jpg</t>
  </si>
  <si>
    <t xml:space="preserve">Snowy Cotinga </t>
  </si>
  <si>
    <t>Snowy_Cotinga_MF4267.jpg</t>
  </si>
  <si>
    <t>Snowy_Egret_1340.jpg</t>
  </si>
  <si>
    <t xml:space="preserve">Snowy Egret </t>
  </si>
  <si>
    <t>Snowy_Egret_21169.jpg</t>
  </si>
  <si>
    <t>Snowy_Egret_22321.jpg</t>
  </si>
  <si>
    <t>Snowy_Egret_22688.jpg</t>
  </si>
  <si>
    <t>Snowy_Egret_2319MF.jpg</t>
  </si>
  <si>
    <t>Snowy_Egret_2359.jpg</t>
  </si>
  <si>
    <t>Snowy_Egret_6087.jpg</t>
  </si>
  <si>
    <t>Snowy_Egret_6358.jpg</t>
  </si>
  <si>
    <t>Snowy_Egret_6372.jpg</t>
  </si>
  <si>
    <t>Snowy_Egret_6810MF.jpg</t>
  </si>
  <si>
    <t>Snowy_Egret_9787.jpg</t>
  </si>
  <si>
    <t>Snowy_Egret_MF4890.jpg</t>
  </si>
  <si>
    <t>Snowy_Owl_119.jpg</t>
  </si>
  <si>
    <t xml:space="preserve">Snowy Owl </t>
  </si>
  <si>
    <t>Snowy_Owl_211.jpg</t>
  </si>
  <si>
    <t>Snowy_Owl_7058.jpg</t>
  </si>
  <si>
    <t>Snowy_Plover_7667MF.jpg</t>
  </si>
  <si>
    <t xml:space="preserve">Snowy Plover </t>
  </si>
  <si>
    <t>Snowy_Plover_7678MF.jpg</t>
  </si>
  <si>
    <t>Snowy_Plover_7690MF.jpg</t>
  </si>
  <si>
    <t>Snowy_Plover.jpg</t>
  </si>
  <si>
    <t>Snowy-bellied Hummingbird 2890.jpg</t>
  </si>
  <si>
    <t>Snowy-bellied Hummingbird</t>
  </si>
  <si>
    <t>Social_Flycatcher_20997.jpg</t>
  </si>
  <si>
    <t xml:space="preserve">Social Flycatcher </t>
  </si>
  <si>
    <t>Social_Flycatcher_2680.jpg</t>
  </si>
  <si>
    <t>Social_Flycatcher_5296.jpg</t>
  </si>
  <si>
    <t>Social_Flycatcher_MF3016.jpg</t>
  </si>
  <si>
    <t>Social_Flycatcher.jpg</t>
  </si>
  <si>
    <t>Solitary_Sandpiper_1827.jpg</t>
  </si>
  <si>
    <t xml:space="preserve">Solitary Sandpiper </t>
  </si>
  <si>
    <t>Solitary_Sandpiper_2014-006.jpg</t>
  </si>
  <si>
    <t>Solitary_Sandpiper_2513.jpg</t>
  </si>
  <si>
    <t>Solitary_Sandpiper_2521.jpg</t>
  </si>
  <si>
    <t>Solitary_Sandpiper_2739.jpg</t>
  </si>
  <si>
    <t>Solitary_Sandpiper_2742.jpg</t>
  </si>
  <si>
    <t>Solitary_Sandpiper_4856.jpg</t>
  </si>
  <si>
    <t>Solitary_Sandpiper_4876MF.jpg</t>
  </si>
  <si>
    <t>Solitary_Sandpiper_4956MF.jpg</t>
  </si>
  <si>
    <t>Solitary_Sandpiper_5647MF.jpg</t>
  </si>
  <si>
    <t>Solitary_Sandpiper_6932.jpg</t>
  </si>
  <si>
    <t>Solitary_Sandpiper_717.jpg</t>
  </si>
  <si>
    <t>Solitary_Sandpiper_MF.jpg</t>
  </si>
  <si>
    <t>Solitary_Sandpiper.jpg</t>
  </si>
  <si>
    <t>Sombre Greenbul-4342.jpg</t>
  </si>
  <si>
    <t>Sombre Greenbul</t>
  </si>
  <si>
    <t>Song_Sparrow_0241DR.jpg</t>
  </si>
  <si>
    <t xml:space="preserve">Song Sparrow </t>
  </si>
  <si>
    <t>Song_Sparrow_1267.jpg</t>
  </si>
  <si>
    <t>Song_Sparrow_1267MF.jpg</t>
  </si>
  <si>
    <t>Song_Sparrow_1775.jpg</t>
  </si>
  <si>
    <t>Song_Sparrow_2198.jpg</t>
  </si>
  <si>
    <t>Song_Sparrow_2623MF.jpg</t>
  </si>
  <si>
    <t>Song_Sparrow_26616.jpg</t>
  </si>
  <si>
    <t>Song_Sparrow_4391MF.jpg</t>
  </si>
  <si>
    <t>Song_Sparrow_4539.jpg</t>
  </si>
  <si>
    <t>Song_Sparrow_5763MF.jpg</t>
  </si>
  <si>
    <t>Song_Sparrow_7235MF.jpg</t>
  </si>
  <si>
    <t>Song_Sparrow_7911.jpg</t>
  </si>
  <si>
    <t>Song_Sparrow_8492MF.jpg</t>
  </si>
  <si>
    <t>Song_Sparrow_9071.jpg</t>
  </si>
  <si>
    <t>Song_Wren_0051.jpg</t>
  </si>
  <si>
    <t xml:space="preserve">Song Wren </t>
  </si>
  <si>
    <t>Song_Wren_6932.jpg</t>
  </si>
  <si>
    <t>Song_Wren_6942.jpg</t>
  </si>
  <si>
    <t>Song_Wren_6950.jpg</t>
  </si>
  <si>
    <t>Sooty_Oystercatcher_4166MF.jpg</t>
  </si>
  <si>
    <t xml:space="preserve">Sooty Oystercatcher </t>
  </si>
  <si>
    <t>Sooty_Oystercatcher_9681.jpg</t>
  </si>
  <si>
    <t>Sooty_Tern_8147.jpg</t>
  </si>
  <si>
    <t xml:space="preserve">Sooty Tern </t>
  </si>
  <si>
    <t>Sooty-capped_Chlorospingus_1488MF.jpg</t>
  </si>
  <si>
    <t xml:space="preserve">Sooty-capped Chlorospingus </t>
  </si>
  <si>
    <t>Sooty-capped_Chlorospingus_1638MF.jpg</t>
  </si>
  <si>
    <t>Sooty-capped_Chlorospingus_2106.jpg</t>
  </si>
  <si>
    <t>Sooty-headed_Tyrannulet_1107.jpg</t>
  </si>
  <si>
    <t xml:space="preserve">Sooty-headed Tyrannulet </t>
  </si>
  <si>
    <t>Sora_20364.jpg</t>
  </si>
  <si>
    <t xml:space="preserve">Sora  </t>
  </si>
  <si>
    <t>Sora_3650.jpg</t>
  </si>
  <si>
    <t>Sora_3831.jpg</t>
  </si>
  <si>
    <t>Sora_6738.jpg</t>
  </si>
  <si>
    <t>Sora_Pair_Mating_3144.jpg</t>
  </si>
  <si>
    <t>Sora_Pair_Mating_3145.jpg</t>
  </si>
  <si>
    <t>Sora_Pair_Mating_3146.jpg</t>
  </si>
  <si>
    <t>Sora_Pair_Mating_3147.jpg</t>
  </si>
  <si>
    <t>Sora_Pair_Mating_3148.jpg</t>
  </si>
  <si>
    <t>Sora_Pair_Mating_3149.jpg</t>
  </si>
  <si>
    <t>Sora_Pair_Mating_3150.jpg</t>
  </si>
  <si>
    <t>Sora_Pair_Mating_3151.jpg</t>
  </si>
  <si>
    <t>Sora_Pair_Mating_3157.jpg</t>
  </si>
  <si>
    <t>Sora_Pair_Mating_3158.jpg</t>
  </si>
  <si>
    <t>Sora_Pair_Mating_3163.jpg</t>
  </si>
  <si>
    <t>Sora_Pair_Mating_3164.jpg</t>
  </si>
  <si>
    <t>Sora_Pair_Mating_3165.jpg</t>
  </si>
  <si>
    <t>Sora.jpg</t>
  </si>
  <si>
    <t>Souimanga_Sunbird_-_Souimanga_malgache_9094.jpg</t>
  </si>
  <si>
    <t xml:space="preserve">Souimanga Sunbird </t>
  </si>
  <si>
    <t>Souimanga_Sunbird_8868.jpg</t>
  </si>
  <si>
    <t>Souimanga_Sunbird_8877.jpg</t>
  </si>
  <si>
    <t>Souimanga_Sunbird_8894.jpg</t>
  </si>
  <si>
    <t>South_African_Shelduck.jpg</t>
  </si>
  <si>
    <t>South African Shelduck</t>
  </si>
  <si>
    <t>Southern Black-Tit-1137.jpg</t>
  </si>
  <si>
    <t>Southern Black-Tit</t>
  </si>
  <si>
    <t>Southern Brown-throated Weaver-3875.jpg</t>
  </si>
  <si>
    <t>Southern Brown-throated Weaver</t>
  </si>
  <si>
    <t>Southern Crested Guineafowl-4505.jpg</t>
  </si>
  <si>
    <t>Southern Crested Guineafowl</t>
  </si>
  <si>
    <t>Southern Gray-headed Sparrow 207.jpg</t>
  </si>
  <si>
    <t>Southern Gray-headed Sparrow</t>
  </si>
  <si>
    <t>Southern Masked-Weaver-5830.jpg</t>
  </si>
  <si>
    <t>Southern Masked-Weaver</t>
  </si>
  <si>
    <t>Southern Pochard-6027.jpg</t>
  </si>
  <si>
    <t>Southern Pochard</t>
  </si>
  <si>
    <t>Southern Red Bishop-5774.jpg</t>
  </si>
  <si>
    <t>Southern Red Bishop</t>
  </si>
  <si>
    <t>Southern_Bald_Ibis_2789.jpg</t>
  </si>
  <si>
    <t>Southern Bald Ibis</t>
  </si>
  <si>
    <t>Southern_Black-Flycatcher_2341.jpg</t>
  </si>
  <si>
    <t xml:space="preserve">Southern Black-Flycatcher </t>
  </si>
  <si>
    <t>Southern_Carmine_Bee-eater_7947.jpg</t>
  </si>
  <si>
    <t>Southern Carmine Bee-eater</t>
  </si>
  <si>
    <t>Southern_Cordonbleu_3481.jpg</t>
  </si>
  <si>
    <t xml:space="preserve">Southern Cordonbleu </t>
  </si>
  <si>
    <t>Southern_Emerald-Toucanet_4266.jpg</t>
  </si>
  <si>
    <t xml:space="preserve">Southern Emerald-Toucanet </t>
  </si>
  <si>
    <t>Southern_Emerald-Toucanet_4268.jpg</t>
  </si>
  <si>
    <t>Southern_Emuwren_3041MF.jpg</t>
  </si>
  <si>
    <t xml:space="preserve">Southern Emuwren </t>
  </si>
  <si>
    <t>Southern_Fiscal_2712.jpg</t>
  </si>
  <si>
    <t xml:space="preserve">Southern Fiscal </t>
  </si>
  <si>
    <t>Southern_Fiscal_2837.jpg</t>
  </si>
  <si>
    <t>Southern_Fiscal_female_2837.jpg</t>
  </si>
  <si>
    <t>Southern_Gray-headed_Sparrow-563202371.jpg</t>
  </si>
  <si>
    <t>Southern_Ground-hornbill_328.jpg</t>
  </si>
  <si>
    <t xml:space="preserve">Southern Ground-Hornbill </t>
  </si>
  <si>
    <t>Southern_Ground-hornbill_6359.jpg</t>
  </si>
  <si>
    <t>Southern_House_Wren_20694.jpg</t>
  </si>
  <si>
    <t>Southern House Wren</t>
  </si>
  <si>
    <t>Southern_Lapwing_1429MF.jpg</t>
  </si>
  <si>
    <t xml:space="preserve">Southern Lapwing </t>
  </si>
  <si>
    <t>Southern_Lapwing_1517.jpg</t>
  </si>
  <si>
    <t>Southern_Lapwing_22313.jpg</t>
  </si>
  <si>
    <t>Southern_Lapwing_2317MF.jpg</t>
  </si>
  <si>
    <t>Southern_Lapwing_2662.jpg</t>
  </si>
  <si>
    <t>Southern_Lapwing_5997.jpg</t>
  </si>
  <si>
    <t>Southern_Lapwing_6554.jpg</t>
  </si>
  <si>
    <t>Southern_Red-billed_Hornbill.jpg</t>
  </si>
  <si>
    <t>Southern Red-billed Hornbill</t>
  </si>
  <si>
    <t>Southern_rough-winged_swallow_2803MF.jpg</t>
  </si>
  <si>
    <t>Southern Rough-winged Swallow</t>
  </si>
  <si>
    <t>Southern_Scrub_Robin-646360823.jpg</t>
  </si>
  <si>
    <t>Southern Scrub-Robin</t>
  </si>
  <si>
    <t>Southern_Whiteface-646402033.jpg</t>
  </si>
  <si>
    <t>Southern Whiteface</t>
  </si>
  <si>
    <t>Southern_Whiteface-646402556.jpg</t>
  </si>
  <si>
    <t>Southern_yellow-billed_hornbill_180.jpg</t>
  </si>
  <si>
    <t>Southern Yellow-billed Hornbill</t>
  </si>
  <si>
    <t>Southern_yellow-billed_hornbill_20.jpg</t>
  </si>
  <si>
    <t>Spangle-cheeked_Tanager_3086.jpg</t>
  </si>
  <si>
    <t xml:space="preserve">Spangle-cheeked Tanager </t>
  </si>
  <si>
    <t>Spangle-cheeked_Tanager_5997.jpg</t>
  </si>
  <si>
    <t>Sparkling_Violetear_23469.jpg</t>
  </si>
  <si>
    <t xml:space="preserve">Sparkling Violetear </t>
  </si>
  <si>
    <t>Sparkling_Violetear_4945.jpg</t>
  </si>
  <si>
    <t>Sparkling_Violetear_6471.jpg</t>
  </si>
  <si>
    <t>Sparkling_Violetear_6620.jpg</t>
  </si>
  <si>
    <t>Sparkling_Violetear_6754.jpg</t>
  </si>
  <si>
    <t>Speckle-fronted_Weaver_359.jpg</t>
  </si>
  <si>
    <t xml:space="preserve">Speckle-fronted Weaver </t>
  </si>
  <si>
    <t>Speckled Hummingbird.jpg</t>
  </si>
  <si>
    <t>Speckled Hummingbird</t>
  </si>
  <si>
    <t>Speckled_Mousebird_2493.jpg</t>
  </si>
  <si>
    <t xml:space="preserve">Speckled Mousebird </t>
  </si>
  <si>
    <t>Speckled_Pigeon_58.jpg</t>
  </si>
  <si>
    <t xml:space="preserve">Speckled Pigeon </t>
  </si>
  <si>
    <t>Spectacled_Owl_1313.jpg</t>
  </si>
  <si>
    <t xml:space="preserve">Spectacled Owl </t>
  </si>
  <si>
    <t>Spectacled_Owl_5001.jpg</t>
  </si>
  <si>
    <t>Spectacled_Owl_5018.jpg</t>
  </si>
  <si>
    <t>Spectacled_Owl_MF3597.jpg</t>
  </si>
  <si>
    <t>Spectacled_Owl.jpg</t>
  </si>
  <si>
    <t>Spectacled_Parrotlet_7317.jpg</t>
  </si>
  <si>
    <t xml:space="preserve">Spectacled Parrotlet </t>
  </si>
  <si>
    <t>Spectacled_Redstart_Whitestart.jpg</t>
  </si>
  <si>
    <t xml:space="preserve">Spectacled Redstart </t>
  </si>
  <si>
    <t>Spectacled_Thrush_4671.jpg</t>
  </si>
  <si>
    <t xml:space="preserve">Spectacled Thrush </t>
  </si>
  <si>
    <t>Spectacled_Tyrannulet_4155.jpg</t>
  </si>
  <si>
    <t xml:space="preserve">Spectacled Tyrannulet </t>
  </si>
  <si>
    <t>Spectacled_Weaver-550417651.jpg</t>
  </si>
  <si>
    <t>Spectacled Weaver</t>
  </si>
  <si>
    <t>Spiny-cheeked_Honeyeater-646452970.jpg</t>
  </si>
  <si>
    <t>Spiny-cheeked Honeyeater</t>
  </si>
  <si>
    <t>Splendid_Fairywren-646405363.jpg</t>
  </si>
  <si>
    <t>Splendid Fairywren</t>
  </si>
  <si>
    <t>Splendid_Fairywren-646406656.jpg</t>
  </si>
  <si>
    <t>Spot-breasted_Oriole_2.jpg</t>
  </si>
  <si>
    <t xml:space="preserve">Spot-breasted Oriole </t>
  </si>
  <si>
    <t>Spot-breasted_Oriole_2339.jpg</t>
  </si>
  <si>
    <t>Spot-breasted_Oriole.jpg</t>
  </si>
  <si>
    <t>Spot-breasted_Woodpecker_0485.jpg</t>
  </si>
  <si>
    <t xml:space="preserve">Spot-breasted Woodpecker </t>
  </si>
  <si>
    <t>Spot-breasted_Woodpecker_1970MF.jpg</t>
  </si>
  <si>
    <t>Spot-breasted_Woodpecker_2125MF.jpg</t>
  </si>
  <si>
    <t>Spot-breasted_Woodpecker_21313.jpg</t>
  </si>
  <si>
    <t>Spot-breasted_Wren_412_2.jpg</t>
  </si>
  <si>
    <t xml:space="preserve">Spot-breasted Wren </t>
  </si>
  <si>
    <t>Spot-breasted_Wren_412.jpg</t>
  </si>
  <si>
    <t>Spot-crowned_Barbet_3703.jpg</t>
  </si>
  <si>
    <t xml:space="preserve">Spot-crowned Barbet </t>
  </si>
  <si>
    <t>Spot-crowned_Barbet.jpg</t>
  </si>
  <si>
    <t>Spot-crowned_Woodcreeper_2344.jpg</t>
  </si>
  <si>
    <t xml:space="preserve">Spot-crowned Woodcreeper </t>
  </si>
  <si>
    <t>Spot-crowned_Woodcreeper_5924.jpg</t>
  </si>
  <si>
    <t>Spot-crowned_Woodcreeper_5946.jpg</t>
  </si>
  <si>
    <t>Spotted Sandpiper 5416.jpg</t>
  </si>
  <si>
    <t>Spotted Sandpiper</t>
  </si>
  <si>
    <t>Spotted Sandpiper 9839.jpg</t>
  </si>
  <si>
    <t>Spotted Sandpiper 9841.jpg</t>
  </si>
  <si>
    <t>Spotted Sandpiper.jpg</t>
  </si>
  <si>
    <t>Spotted_Antbird_11235.jpg</t>
  </si>
  <si>
    <t xml:space="preserve">Spotted Antbird </t>
  </si>
  <si>
    <t>Spotted_Antbird_4123.jpg</t>
  </si>
  <si>
    <t>Spotted_Antbird_4208.jpg</t>
  </si>
  <si>
    <t>Spotted_Antbird_9613.jpg</t>
  </si>
  <si>
    <t>Spotted_Barbtail_6053.jpg</t>
  </si>
  <si>
    <t xml:space="preserve">Spotted Barbtail </t>
  </si>
  <si>
    <t>Spotted_Dove_0136.jpg</t>
  </si>
  <si>
    <t xml:space="preserve">Spotted Dove </t>
  </si>
  <si>
    <t>Spotted_Dove_9865.jpg</t>
  </si>
  <si>
    <t>Spotted_Eagle-Owl_345.jpg</t>
  </si>
  <si>
    <t xml:space="preserve">Spotted Eagle-Owl </t>
  </si>
  <si>
    <t>Spotted_Pardalote_9379.jpg</t>
  </si>
  <si>
    <t xml:space="preserve">Spotted Pardalote </t>
  </si>
  <si>
    <t>Spotted_Sandpiper_1414.jpg</t>
  </si>
  <si>
    <t xml:space="preserve">Spotted Sandpiper </t>
  </si>
  <si>
    <t>Spotted_Sandpiper_1489.jpg</t>
  </si>
  <si>
    <t>Spotted_Sandpiper_1827.jpg</t>
  </si>
  <si>
    <t>Spotted_Sandpiper_221014.jpg</t>
  </si>
  <si>
    <t>Spotted_Sandpiper_22738.jpg</t>
  </si>
  <si>
    <t>Spotted_Sandpiper_2430.jpg</t>
  </si>
  <si>
    <t>Spotted_sandpiper_342.jpg</t>
  </si>
  <si>
    <t>Spotted_sandpiper_4843MF.jpg</t>
  </si>
  <si>
    <t>Spotted_Sandpiper_4855.jpg</t>
  </si>
  <si>
    <t>Spotted_Sandpiper_5014MF.jpg</t>
  </si>
  <si>
    <t>Spotted_Sandpiper_5416.jpg</t>
  </si>
  <si>
    <t>Spotted_Sandpiper_5687.jpg</t>
  </si>
  <si>
    <t>Spotted_Sandpiper_6321.jpg</t>
  </si>
  <si>
    <t>Spotted_Sandpiper_6362.jpg</t>
  </si>
  <si>
    <t>Spotted_Sandpiper_7405.jpg</t>
  </si>
  <si>
    <t>Spotted_Towhee_7007.jpg</t>
  </si>
  <si>
    <t xml:space="preserve">Spotted Towhee </t>
  </si>
  <si>
    <t>Spotted_Wood-Quail_2016MF.jpg</t>
  </si>
  <si>
    <t xml:space="preserve">Spotted Wood-Quail </t>
  </si>
  <si>
    <t>Spotted_Wood-Quail_3659.jpg</t>
  </si>
  <si>
    <t>Spotted_Wood-Quail_MF2878.jpg</t>
  </si>
  <si>
    <t>Spotted_Wood-Quail_MF2895.jpg</t>
  </si>
  <si>
    <t>Spotted_Woodcreeper_6039.jpg</t>
  </si>
  <si>
    <t xml:space="preserve">Spotted Woodcreeper </t>
  </si>
  <si>
    <t>Spruce_grouse-2.jpg</t>
  </si>
  <si>
    <t xml:space="preserve">Spruce Grouse </t>
  </si>
  <si>
    <t>Spruce_grouse-male.jpg</t>
  </si>
  <si>
    <t>Spruce_grouse.jpg</t>
  </si>
  <si>
    <t>Spur-winged_Goose_8450.jpg</t>
  </si>
  <si>
    <t xml:space="preserve">Spur-winged Goose </t>
  </si>
  <si>
    <t>Spur-winged_Lapwing_353.jpg</t>
  </si>
  <si>
    <t xml:space="preserve">Spur-winged Lapwing </t>
  </si>
  <si>
    <t>Squacco_Heron_0071.jpg</t>
  </si>
  <si>
    <t xml:space="preserve">Squacco Heron </t>
  </si>
  <si>
    <t>Squacco_Heron_357.jpg</t>
  </si>
  <si>
    <t>Squacco_Heron_7124.jpg</t>
  </si>
  <si>
    <t>Squacco_Heron_9714.jpg</t>
  </si>
  <si>
    <t>Squacco_Heron_9761.jpg</t>
  </si>
  <si>
    <t>Squacco_Heron_9804.jpg</t>
  </si>
  <si>
    <t>Squacco_Heron_9810.jpg</t>
  </si>
  <si>
    <t>Squacco_Heron_9831.jpg</t>
  </si>
  <si>
    <t>Square-tailed Drongo-3631.jpg</t>
  </si>
  <si>
    <t>Square-tailed Drongo</t>
  </si>
  <si>
    <t>Square-tailed_Kite-646517477.jpg</t>
  </si>
  <si>
    <t>Square-tailed Kite</t>
  </si>
  <si>
    <t>Square-tailed_Kite-646517569.jpg</t>
  </si>
  <si>
    <t>Steely-vented_Hummingbird_23441.jpg</t>
  </si>
  <si>
    <t xml:space="preserve">Steely-vented Hummingbird </t>
  </si>
  <si>
    <t>Stellers_Jay_2409.jpg</t>
  </si>
  <si>
    <t>Steller's Jay</t>
  </si>
  <si>
    <t>Stout-billed_Cinclodes_6676.jpg</t>
  </si>
  <si>
    <t xml:space="preserve">Stout-billed Cinclodes </t>
  </si>
  <si>
    <t>Stout-billed_Cinclodes_6813.jpg</t>
  </si>
  <si>
    <t>Straight-billed_Woodcreeper_2991.jpg</t>
  </si>
  <si>
    <t xml:space="preserve">Straight-billed Woodcreeper </t>
  </si>
  <si>
    <t>Streak-backed_Oriole_8098.jpg</t>
  </si>
  <si>
    <t xml:space="preserve">Streak-backed Oriole </t>
  </si>
  <si>
    <t>Streak-backed_Oriole_MF6320.jpg</t>
  </si>
  <si>
    <t>Streak-capped_Spinetail_23722.jpg</t>
  </si>
  <si>
    <t xml:space="preserve">Streak-capped Spinetail </t>
  </si>
  <si>
    <t>Streak-capped_Spinetail_23886.jpg</t>
  </si>
  <si>
    <t>Streak-headed_Woodcreeper_0393.jpg</t>
  </si>
  <si>
    <t xml:space="preserve">Streak-headed Woodcreeper </t>
  </si>
  <si>
    <t>Streak-headed_Woodcreeper_6712.jpg</t>
  </si>
  <si>
    <t>Streak-throated_Bush-tyrant_2931.jpg</t>
  </si>
  <si>
    <t xml:space="preserve">Streak-throated Bush-Tyrant </t>
  </si>
  <si>
    <t>Streaked_Flycatcher_20920.jpg</t>
  </si>
  <si>
    <t xml:space="preserve">Streaked Flycatcher </t>
  </si>
  <si>
    <t>Streaked_Flycatcher_2588MF.jpg</t>
  </si>
  <si>
    <t>Streaked_Flycatcher_2672.jpg</t>
  </si>
  <si>
    <t>Streaked_Flycatcher_5576.jpg</t>
  </si>
  <si>
    <t>Streaked_Flycatcher_7120.jpg</t>
  </si>
  <si>
    <t>Streaked_Flycatcher_MF6264.jpg</t>
  </si>
  <si>
    <t>Streaked_Saltator_6732.jpg</t>
  </si>
  <si>
    <t xml:space="preserve">Streaked Saltator </t>
  </si>
  <si>
    <t>Streaky-headed_Seedeater_2683.jpg</t>
  </si>
  <si>
    <t xml:space="preserve">Streaky-headed Seedeater </t>
  </si>
  <si>
    <t>Striated Thornbill - Acanthize ridé 2319MF.jpg</t>
  </si>
  <si>
    <t>Striated Thornbill</t>
  </si>
  <si>
    <t>Striated_Fieldwren_2822MF.jpg</t>
  </si>
  <si>
    <t xml:space="preserve">Striated Fieldwren </t>
  </si>
  <si>
    <t>Striated_Fieldwren_3031MF.jpg</t>
  </si>
  <si>
    <t>Striated_Grasswren-646458066.jpg</t>
  </si>
  <si>
    <t>Striated Grasswren</t>
  </si>
  <si>
    <t>Striated_Heron_4770.jpg</t>
  </si>
  <si>
    <t xml:space="preserve">Striated Heron </t>
  </si>
  <si>
    <t>Striated_Heron_6837.jpg</t>
  </si>
  <si>
    <t>Striated_Heron_9420.jpg</t>
  </si>
  <si>
    <t>Striated_Pardalote-646328326.jpg</t>
  </si>
  <si>
    <t>Striated Pardalote</t>
  </si>
  <si>
    <t>Striated_Pardalote-646457530.jpg</t>
  </si>
  <si>
    <t>Stripe-backed_Wren_1600MF.jpg</t>
  </si>
  <si>
    <t xml:space="preserve">Stripe-backed Wren </t>
  </si>
  <si>
    <t>Stripe-backed_Wren_20724.jpg</t>
  </si>
  <si>
    <t>Stripe-backed_Wren_21675.jpg</t>
  </si>
  <si>
    <t>Stripe-breasted_Wren_5879.jpg</t>
  </si>
  <si>
    <t xml:space="preserve">Stripe-breasted Wren </t>
  </si>
  <si>
    <t>Stripe-breasted_Wren_MF4064.jpg</t>
  </si>
  <si>
    <t>Stripe-breasted_Wren_MF4073.jpg</t>
  </si>
  <si>
    <t>Stripe-breasted_Wren.jpg</t>
  </si>
  <si>
    <t>Stripe-headed_Sparrow_8094.jpg</t>
  </si>
  <si>
    <t xml:space="preserve">Stripe-headed Sparrow </t>
  </si>
  <si>
    <t>Stripe-tailed_Hummingbird_7304.jpg</t>
  </si>
  <si>
    <t xml:space="preserve">Stripe-tailed Hummingbird </t>
  </si>
  <si>
    <t>Stripe-throated_Hermit_6245.jpg</t>
  </si>
  <si>
    <t xml:space="preserve">Stripe-throated Hermit </t>
  </si>
  <si>
    <t>Stripe-throated_Hermit_7685.jpg</t>
  </si>
  <si>
    <t>Stripe-throated_Jery_-_Grande_Eroesse_.jpg</t>
  </si>
  <si>
    <t xml:space="preserve">Stripe-throated Jery </t>
  </si>
  <si>
    <t>Stripe-throated_Jery_-_Grande_Eroesse_5345.jpg</t>
  </si>
  <si>
    <t>Stripe-throated_Jery_-_Grande_Eroesse_9323MF.jpg</t>
  </si>
  <si>
    <t>Stripe-throated_Jery_-_Grande_Eroesse.jpg</t>
  </si>
  <si>
    <t>Striped_Honeyeater-646455696.jpg</t>
  </si>
  <si>
    <t>Striped Honeyeater</t>
  </si>
  <si>
    <t>Strong-billed_Honeyeater-646928942.jpg</t>
  </si>
  <si>
    <t>Strong-billed Honeyeater</t>
  </si>
  <si>
    <t>Strong-billed_Woodcreeper_4109.jpg</t>
  </si>
  <si>
    <t xml:space="preserve">Strong-billed Woodcreeper </t>
  </si>
  <si>
    <t>Stygian_Owl_495.jpg</t>
  </si>
  <si>
    <t xml:space="preserve">Stygian Owl </t>
  </si>
  <si>
    <t>Stygian_Owl_496.jpg</t>
  </si>
  <si>
    <t>Subdesert_Brush-Warbler_-_Nesille_de_Lantz_7686.jpg</t>
  </si>
  <si>
    <t xml:space="preserve">Subdesert Brush-Warbler </t>
  </si>
  <si>
    <t>Subdesert_Mesite_-_Mesite_monias_6692.jpg</t>
  </si>
  <si>
    <t xml:space="preserve">Subdesert Mesite </t>
  </si>
  <si>
    <t>Subdesert_Mesite_-_Mesite_monias_6714.jpg</t>
  </si>
  <si>
    <t>Sulphur-bellied_Flycatcher_7595.jpg</t>
  </si>
  <si>
    <t xml:space="preserve">Sulphur-bellied Flycatcher </t>
  </si>
  <si>
    <t>Sulphur-bellied_Flycatcher_MF5272.jpg</t>
  </si>
  <si>
    <t>Sulphur-breasted_Bushshrike_2883.jpg</t>
  </si>
  <si>
    <t xml:space="preserve">Sulphur-breasted Bushshrike </t>
  </si>
  <si>
    <t>Sulphur-crested_Cockatoo_2269.jpg</t>
  </si>
  <si>
    <t xml:space="preserve">Sulphur-crested Cockatoo </t>
  </si>
  <si>
    <t>Sulphur-crested_Cockatoo_8159.jpg</t>
  </si>
  <si>
    <t>Sulphur-winged_Parakeet_2393.jpg</t>
  </si>
  <si>
    <t xml:space="preserve">Sulphur-winged Parakeet </t>
  </si>
  <si>
    <t>Sulphur-winged_Parakeet_2664.jpg</t>
  </si>
  <si>
    <t>Summer_Tanager_1270MF.jpg</t>
  </si>
  <si>
    <t xml:space="preserve">Summer Tanager </t>
  </si>
  <si>
    <t>Summer_Tanager_1380.jpg</t>
  </si>
  <si>
    <t>Summer_Tanager_20652.jpg</t>
  </si>
  <si>
    <t>Summer_Tanager_2507MF.jpg</t>
  </si>
  <si>
    <t>Summer_Tanager_3120.jpg</t>
  </si>
  <si>
    <t>Summer_Tanager_523.jpg</t>
  </si>
  <si>
    <t>Summer_Tanager_6489.jpg</t>
  </si>
  <si>
    <t>Summer_Tanager_7458.jpg</t>
  </si>
  <si>
    <t>Sunbittern_4464.jpg</t>
  </si>
  <si>
    <t xml:space="preserve">Sunbittern  </t>
  </si>
  <si>
    <t>Sunbittern_4487.jpg</t>
  </si>
  <si>
    <t>Sunbittern_9439.jpg</t>
  </si>
  <si>
    <t>Sunbittern_MF3282.jpg</t>
  </si>
  <si>
    <t>Superb_Fairywren_0583.jpg</t>
  </si>
  <si>
    <t xml:space="preserve">Superb Fairywren </t>
  </si>
  <si>
    <t>Superb_Fairywren_2593MF.jpg</t>
  </si>
  <si>
    <t>Superb_Lyrebird-646671674.jpg</t>
  </si>
  <si>
    <t>Superb Lyrebird</t>
  </si>
  <si>
    <t>Superb_Parrot-646460603.jpg</t>
  </si>
  <si>
    <t>Superb Parrot</t>
  </si>
  <si>
    <t>Superb_Parrot-646460954.jpg</t>
  </si>
  <si>
    <t>Superb_Parrot-646475807.jpg</t>
  </si>
  <si>
    <t>Superb_Starling_371.jpg</t>
  </si>
  <si>
    <t xml:space="preserve">Superb Starling </t>
  </si>
  <si>
    <t>Superciliaried_Hemispingus_4120.jpg</t>
  </si>
  <si>
    <t xml:space="preserve">Superciliaried Hemispingus </t>
  </si>
  <si>
    <t>Surf_Scoter_1954MF.jpg</t>
  </si>
  <si>
    <t xml:space="preserve">Surf Scoter </t>
  </si>
  <si>
    <t>Surf_Scoter_4048.jpg</t>
  </si>
  <si>
    <t>Surf_Scoter_8600.jpg</t>
  </si>
  <si>
    <t>Surf_Scoter_9119.jpg</t>
  </si>
  <si>
    <t>Swainson Thrush-007.jpg</t>
  </si>
  <si>
    <t>Swainson's Thrush</t>
  </si>
  <si>
    <t>Swainsons_Spurfowl_9345.jpg</t>
  </si>
  <si>
    <t>Swainson's Spurfowl</t>
  </si>
  <si>
    <t>Swainsons_Thrush_0136.jpg</t>
  </si>
  <si>
    <t>Swainsons_Thrush_0888.jpg</t>
  </si>
  <si>
    <t>Swainsons_Thrush_0918.jpg</t>
  </si>
  <si>
    <t>Swainsons_Thrush_6292.jpg</t>
  </si>
  <si>
    <t>Swainsons_Thrush_7057MF.jpg</t>
  </si>
  <si>
    <t>Swainsons_Thrush_8113.jpg</t>
  </si>
  <si>
    <t>Swainsons_Thrush_8395.jpg</t>
  </si>
  <si>
    <t>Swallow_Tanager_23194.jpg</t>
  </si>
  <si>
    <t xml:space="preserve">Swallow Tanager </t>
  </si>
  <si>
    <t>Swallow_Tanager_23286.jpg</t>
  </si>
  <si>
    <t>Swallow_Tanager_23311.jpg</t>
  </si>
  <si>
    <t>Swallow_Tanager_2925MF.jpg</t>
  </si>
  <si>
    <t>Swallow-tailed_Gull_44.jpg</t>
  </si>
  <si>
    <t xml:space="preserve">Swallow-tailed Gull </t>
  </si>
  <si>
    <t>Swallow-tailed_Kite_2087.jpg</t>
  </si>
  <si>
    <t xml:space="preserve">Swallow-tailed Kite </t>
  </si>
  <si>
    <t>Swallow-tailed_Kite_4947.jpg</t>
  </si>
  <si>
    <t>Swallow-tailed_Kite_5393.jpg</t>
  </si>
  <si>
    <t>Swallow-tailed_Kite_5397.jpg</t>
  </si>
  <si>
    <t>Swallow-tailed_Kite_5414.jpg</t>
  </si>
  <si>
    <t>Swallow-tailed_Kite_5513.jpg</t>
  </si>
  <si>
    <t>Swallow-tailed_Kite_5514.jpg</t>
  </si>
  <si>
    <t>Swallow-tailed_Kite_7670.jpg</t>
  </si>
  <si>
    <t>Swallow-tailed_Kite_8566MF.jpg</t>
  </si>
  <si>
    <t>Swallow-tailed_Kite_8673MF.jpg</t>
  </si>
  <si>
    <t>Swallow-tailed_Kite_8714MF.jpg</t>
  </si>
  <si>
    <t>Swamp Sparrow-7201.jpg</t>
  </si>
  <si>
    <t>Swamp Sparrow</t>
  </si>
  <si>
    <t>Swamp_Harrier_2249.jpg</t>
  </si>
  <si>
    <t xml:space="preserve">Swamp Harrier </t>
  </si>
  <si>
    <t>Swamp_Sparrow_0292.jpg</t>
  </si>
  <si>
    <t xml:space="preserve">Swamp Sparrow </t>
  </si>
  <si>
    <t>Swamp_Sparrow_0942MF.jpg</t>
  </si>
  <si>
    <t>Swamp_Sparrow_1001MF.jpg</t>
  </si>
  <si>
    <t>Swamp_Sparrow_1548.jpg</t>
  </si>
  <si>
    <t>Swamp_Sparrow_1552.jpg</t>
  </si>
  <si>
    <t>Swamp_Sparrow_1858MF.jpg</t>
  </si>
  <si>
    <t>Swamp_Sparrow_2558.jpg</t>
  </si>
  <si>
    <t>Swamp_Sparrow_3552.jpg</t>
  </si>
  <si>
    <t>Swamp_Sparrow_4609.jpg</t>
  </si>
  <si>
    <t>Swamp_Sparrow_7955.jpg</t>
  </si>
  <si>
    <t>Swamp_Sparrow_91544.jpg</t>
  </si>
  <si>
    <t>Swamp_Sparrow_9525MF.jpg</t>
  </si>
  <si>
    <t>Swamp_Sparrow.jpg</t>
  </si>
  <si>
    <t>Swift_Parrot-646914699.jpg</t>
  </si>
  <si>
    <t>Swift Parrot</t>
  </si>
  <si>
    <t>Sword-billed_Hummingbird_2820.jpg</t>
  </si>
  <si>
    <t xml:space="preserve">Sword-billed Hummingbird </t>
  </si>
  <si>
    <t>Talamanca_Hummingbird_1848.jpg</t>
  </si>
  <si>
    <t xml:space="preserve">Talamanca Hummingbird </t>
  </si>
  <si>
    <t>Talamanca_Hummingbird_1880.jpg</t>
  </si>
  <si>
    <t>Talamanca_Hummingbird_female_3368.jpg</t>
  </si>
  <si>
    <t>Talamanca_Hummingbird_MF2037.jpg</t>
  </si>
  <si>
    <t>Tasmanian_Nativehen_3865MF.jpg</t>
  </si>
  <si>
    <t xml:space="preserve">Tasmanian Nativehen </t>
  </si>
  <si>
    <t>Tasmanian_Scrubwren-646930691.jpg</t>
  </si>
  <si>
    <t>Tasmanian Scrubwren</t>
  </si>
  <si>
    <t>Tasmanian_Thornbill_4345MF.jpg</t>
  </si>
  <si>
    <t xml:space="preserve">Tasmanian Thornbill </t>
  </si>
  <si>
    <t>Tasmanian_Thornbill_4760MF.jpg</t>
  </si>
  <si>
    <t>Tawny_Antpitta-151779881.jpg</t>
  </si>
  <si>
    <t>Tawny Antpitta</t>
  </si>
  <si>
    <t>Tawny_Eagle_8023.jpg</t>
  </si>
  <si>
    <t xml:space="preserve">Tawny Eagle </t>
  </si>
  <si>
    <t>Tawny_Eagle_8156.jpg</t>
  </si>
  <si>
    <t>Tawny_Frogmouth_5064MF.jpg</t>
  </si>
  <si>
    <t xml:space="preserve">Tawny Frogmouth </t>
  </si>
  <si>
    <t>Tawny-capped_Euphonia.jpg</t>
  </si>
  <si>
    <t xml:space="preserve">Tawny-capped Euphonia </t>
  </si>
  <si>
    <t>Tawny-crested_Tanager_4331.jpg</t>
  </si>
  <si>
    <t xml:space="preserve">Tawny-crested Tanager </t>
  </si>
  <si>
    <t>Tawny-crested_Tanager_4339.jpg</t>
  </si>
  <si>
    <t>Tawny-flanked_Prinia_7286.jpg</t>
  </si>
  <si>
    <t xml:space="preserve">Tawny-flanked Prinia </t>
  </si>
  <si>
    <t>Tawny-winged_Woodcreeper_MF6015.jpg</t>
  </si>
  <si>
    <t xml:space="preserve">Tawny-winged Woodcreeper </t>
  </si>
  <si>
    <t>Tennessee_Warbler_23442.jpg</t>
  </si>
  <si>
    <t xml:space="preserve">Tennessee Warbler </t>
  </si>
  <si>
    <t>Tennessee_Warbler_4481.jpg</t>
  </si>
  <si>
    <t>Tennessee_Warbler_4693.jpg</t>
  </si>
  <si>
    <t>Tennessee_Warbler_4734.jpg.jpg</t>
  </si>
  <si>
    <t>Tennessee_Warbler_5636.jpg</t>
  </si>
  <si>
    <t>Thick-billed_Euphonia_1139.jpg</t>
  </si>
  <si>
    <t xml:space="preserve">Thick-billed Euphonia </t>
  </si>
  <si>
    <t>Thick-billed_Euphonia_1497.jpg</t>
  </si>
  <si>
    <t>Thick-billed_Euphonia_3669.jpg</t>
  </si>
  <si>
    <t>Thick-billed_Euphonia_6643.jpg</t>
  </si>
  <si>
    <t>Thick-billed_Euphonia_7107.jpg</t>
  </si>
  <si>
    <t>Thick-billed_Seed-Finch.jpg</t>
  </si>
  <si>
    <t xml:space="preserve">Thick-billed Seed-Finch </t>
  </si>
  <si>
    <t>Three-banded_Plover_112.jpg</t>
  </si>
  <si>
    <t xml:space="preserve">Three-banded Plover </t>
  </si>
  <si>
    <t>Three-banded_Plover_251.jpg</t>
  </si>
  <si>
    <t>Three-wattled_Bellbird_7828.jpg</t>
  </si>
  <si>
    <t xml:space="preserve">Three-wattled Bellbird </t>
  </si>
  <si>
    <t>Three-wattled_Bellbird_7844.jpg</t>
  </si>
  <si>
    <t>Timberline_Wren_2320.jpg</t>
  </si>
  <si>
    <t xml:space="preserve">Timberline Wren </t>
  </si>
  <si>
    <t>Tiny_Hawk_1432.jpg</t>
  </si>
  <si>
    <t xml:space="preserve">Tiny Hawk </t>
  </si>
  <si>
    <t>Tiny_Hawk_5725.jpg</t>
  </si>
  <si>
    <t>Tody_motmot_2168.jpg</t>
  </si>
  <si>
    <t xml:space="preserve">Tody Motmot </t>
  </si>
  <si>
    <t>Tody_Motmot.jpg</t>
  </si>
  <si>
    <t>Torrent_Duck.jpg</t>
  </si>
  <si>
    <t xml:space="preserve">Torrent Duck </t>
  </si>
  <si>
    <t>Torrent_Tyrannulet_1731MF.jpg</t>
  </si>
  <si>
    <t xml:space="preserve">Torrent Tyrannulet </t>
  </si>
  <si>
    <t>Torrent_Tyrannulet_3297.jpg</t>
  </si>
  <si>
    <t>Torrent_Tyrannulet_3327.jpg</t>
  </si>
  <si>
    <t>Torrent_Tyrannulet_5701.jpg</t>
  </si>
  <si>
    <t>Torrent_Tyrannulet_5908.jpg</t>
  </si>
  <si>
    <t>Toucan_Barbet.jpg</t>
  </si>
  <si>
    <t xml:space="preserve">Toucan Barbet </t>
  </si>
  <si>
    <t>Tourmaline_Sunangel_3206.jpg</t>
  </si>
  <si>
    <t xml:space="preserve">Tourmaline Sunangel </t>
  </si>
  <si>
    <t>Tourmaline_Sunangel_5878.jpg</t>
  </si>
  <si>
    <t>Townsend's Warbler-901.jpg</t>
  </si>
  <si>
    <t>Townsend's Warbler</t>
  </si>
  <si>
    <t>Tree Swallow-016.jpg</t>
  </si>
  <si>
    <t>Tree Swallow</t>
  </si>
  <si>
    <t>Tree_Swallow_1623MF.jpg</t>
  </si>
  <si>
    <t xml:space="preserve">Tree Swallow </t>
  </si>
  <si>
    <t>Tree_Swallow_5369MF.jpg</t>
  </si>
  <si>
    <t>Tricolored_Heron_1589.jpg</t>
  </si>
  <si>
    <t xml:space="preserve">Tricolored Heron </t>
  </si>
  <si>
    <t>Tricolored_Heron_2033.jpg</t>
  </si>
  <si>
    <t>Tricolored_Heron_20382.jpg</t>
  </si>
  <si>
    <t>Tricolored_Heron_20969.jpg</t>
  </si>
  <si>
    <t>Tricolored_Heron_2490.jpg</t>
  </si>
  <si>
    <t>Tricolored_Heron_2492.jpg</t>
  </si>
  <si>
    <t>Tricolored_Heron_3918.jpg</t>
  </si>
  <si>
    <t>Tricolored_Heron_4580.jpg</t>
  </si>
  <si>
    <t>Tricolored_Heron_4805MF.jpg</t>
  </si>
  <si>
    <t>Tricolored_Heron_5934.jpg</t>
  </si>
  <si>
    <t>Tricolored_Heron_6630MF.jpg</t>
  </si>
  <si>
    <t>Tricolored_Heron_7108.jpg</t>
  </si>
  <si>
    <t>Tricolored_Heron_7134.jpg</t>
  </si>
  <si>
    <t>Tricolored_Heron_7246.jpg</t>
  </si>
  <si>
    <t>Tricolored_Heron_9601.jpg</t>
  </si>
  <si>
    <t>Tricolored_Heron_9853.jpg</t>
  </si>
  <si>
    <t>Trinidad_Euphonia.jpg</t>
  </si>
  <si>
    <t xml:space="preserve">Trinidad Euphonia </t>
  </si>
  <si>
    <t>Trinidad_Motmot_6267.jpg</t>
  </si>
  <si>
    <t xml:space="preserve">Trinidad Motmot </t>
  </si>
  <si>
    <t>Tropical_Gnatcatcher_4840MF.jpg</t>
  </si>
  <si>
    <t xml:space="preserve">Tropical Gnatcatcher </t>
  </si>
  <si>
    <t>Tropical_Gnatcatcher_5117.jpg</t>
  </si>
  <si>
    <t>Tropical_Gnatcatcher_5974.jpg</t>
  </si>
  <si>
    <t>Tropical_Kingbird_1179.jpg</t>
  </si>
  <si>
    <t xml:space="preserve">Tropical Kingbird </t>
  </si>
  <si>
    <t>Tropical_Kingbird_2256.jpg</t>
  </si>
  <si>
    <t>Tropical_Kingbird_3305.jpg</t>
  </si>
  <si>
    <t>Tropical_Kingbird_347.jpg</t>
  </si>
  <si>
    <t>Tropical_Kingbird_4824.jpg</t>
  </si>
  <si>
    <t>Tropical_Kingbird_5751.jpg</t>
  </si>
  <si>
    <t>Tropical_Kingbird_6446.jpg</t>
  </si>
  <si>
    <t>Tropical_Kingbird_691.jpg</t>
  </si>
  <si>
    <t>Tropical_Mockingbird_2912MF.jpg</t>
  </si>
  <si>
    <t xml:space="preserve">Tropical Mockingbird </t>
  </si>
  <si>
    <t>Tropical_Mockingbird_3973MF.jpg</t>
  </si>
  <si>
    <t>Tropical_Mockingbird_4040.jpg</t>
  </si>
  <si>
    <t>Tropical_Mockingbird_5663.jpg</t>
  </si>
  <si>
    <t>Tropical_Mockingbird_5971.jpg</t>
  </si>
  <si>
    <t>Tropical_Mockingbird_647.jpg</t>
  </si>
  <si>
    <t>Tropical_Mockingbird_6492.jpg</t>
  </si>
  <si>
    <t>Tropical_Mockingbird.jpg</t>
  </si>
  <si>
    <t>Tropical_Parula_3501MF.jpg</t>
  </si>
  <si>
    <t xml:space="preserve">Tropical Parula </t>
  </si>
  <si>
    <t>Tropical_Parula_6164.jpg</t>
  </si>
  <si>
    <t>Tropical_Royal_Flycatcher_1771.jpg</t>
  </si>
  <si>
    <t>Tropical Royal Flycatcher</t>
  </si>
  <si>
    <t>Tropical_Royal_Flycatcher_7232A.jpg</t>
  </si>
  <si>
    <t>Tropical_Screech-Owl_0949.jpg</t>
  </si>
  <si>
    <t xml:space="preserve">Tropical Screech-Owl </t>
  </si>
  <si>
    <t>Tropical_Screech-Owl_5568.jpg</t>
  </si>
  <si>
    <t>Trumpeter Hornbill-4253.jpg</t>
  </si>
  <si>
    <t>Trumpeter Hornbill</t>
  </si>
  <si>
    <t>Trumpeter_Swan_1356.jpg</t>
  </si>
  <si>
    <t xml:space="preserve">Trumpeter Swan </t>
  </si>
  <si>
    <t>Trumpeter_Swan_5532MF.jpg</t>
  </si>
  <si>
    <t>Tufted_Coquette_4473.jpg</t>
  </si>
  <si>
    <t xml:space="preserve">Tufted Coquette </t>
  </si>
  <si>
    <t>Tufted_Coquette_5178.jpg</t>
  </si>
  <si>
    <t>Tufted_Flycatcher_6062.jpg</t>
  </si>
  <si>
    <t xml:space="preserve">Tufted Flycatcher </t>
  </si>
  <si>
    <t>Tufted_Titmouse_0361.jpg</t>
  </si>
  <si>
    <t xml:space="preserve">Tufted Titmouse </t>
  </si>
  <si>
    <t>Tufted_Titmouse_8063.jpg</t>
  </si>
  <si>
    <t>Tufted_Titmouse_8071.jpg</t>
  </si>
  <si>
    <t>Tufted_Titmouse_8782MF.jpg</t>
  </si>
  <si>
    <t>Tufted_Titmouse_9471.jpg</t>
  </si>
  <si>
    <t>Tundra Swan 8943.jpg</t>
  </si>
  <si>
    <t>Tundra Swan</t>
  </si>
  <si>
    <t>Tundra_Swan_3025.jpg</t>
  </si>
  <si>
    <t xml:space="preserve">Tundra Swan </t>
  </si>
  <si>
    <t>Tundra_Swan_4108.jpg</t>
  </si>
  <si>
    <t>Turkey_Vulture_1536MF.jpg</t>
  </si>
  <si>
    <t xml:space="preserve">Turkey Vulture </t>
  </si>
  <si>
    <t>Turkey_Vulture_1537.jpg</t>
  </si>
  <si>
    <t>Turkey_Vulture_2827.jpg</t>
  </si>
  <si>
    <t>Turkey_Vulture_3769.jpg</t>
  </si>
  <si>
    <t>Turkey_Vulture_8879MF.jpg</t>
  </si>
  <si>
    <t>Turkey_Vulture_8939.jpg</t>
  </si>
  <si>
    <t>Turquoise_Parrot-646557082.jpg</t>
  </si>
  <si>
    <t>Turquoise Parrot</t>
  </si>
  <si>
    <t>Turquoise-browed_Motmot_8749.jpg</t>
  </si>
  <si>
    <t xml:space="preserve">Turquoise-browed Motmot </t>
  </si>
  <si>
    <t>Turquoise-browed_Motmot_MF5829.jpg</t>
  </si>
  <si>
    <t>Turquoise-winged_Parrotlet_21528.jpg</t>
  </si>
  <si>
    <t xml:space="preserve">Turquoise-winged Parrotlet </t>
  </si>
  <si>
    <t>Tylas_Vanga_-_Tylas_a_tete_noire_6081.jpg</t>
  </si>
  <si>
    <t xml:space="preserve">Tylas Vanga </t>
  </si>
  <si>
    <t>Tyrannine_Woodcreeper_4014.jpg</t>
  </si>
  <si>
    <t xml:space="preserve">Tyrannine Woodcreeper </t>
  </si>
  <si>
    <t>Uniform_Crake_6373.jpg</t>
  </si>
  <si>
    <t xml:space="preserve">Uniform Crake </t>
  </si>
  <si>
    <t>Upland Sandpiper 1776.jpg</t>
  </si>
  <si>
    <t>Upland Sandpiper</t>
  </si>
  <si>
    <t>Upland_Sandpiper_1611.jpg</t>
  </si>
  <si>
    <t xml:space="preserve">Upland Sandpiper </t>
  </si>
  <si>
    <t>Variable_Seedeater_3368.jpg</t>
  </si>
  <si>
    <t xml:space="preserve">Variable Seedeater </t>
  </si>
  <si>
    <t>Veery_3153.jpg</t>
  </si>
  <si>
    <t xml:space="preserve">Veery  </t>
  </si>
  <si>
    <t>Veery_3475.jpg</t>
  </si>
  <si>
    <t>Veery_5758MF.jpg</t>
  </si>
  <si>
    <t>Veery_7142.jpg</t>
  </si>
  <si>
    <t>Veery_7188MF.jpg</t>
  </si>
  <si>
    <t>Veery_7564.jpg</t>
  </si>
  <si>
    <t>Veery_8073.jpg</t>
  </si>
  <si>
    <t>Velvet_Asity_-_Philepitte_veloutee_6251.jpg</t>
  </si>
  <si>
    <t xml:space="preserve">Velvet Asity </t>
  </si>
  <si>
    <t>Velvet_Asity_-_Philepitte_veloutee_6252_copy.jpg</t>
  </si>
  <si>
    <t>Velvet_Asity_-_Philepitte_veloutee_6252.jpg</t>
  </si>
  <si>
    <t>Velvet_Asity_-_Philepitte_veloutee_6252O.jpg</t>
  </si>
  <si>
    <t>Velvet_Asity_-_Philepitte_veloutee_9137-1200.jpg</t>
  </si>
  <si>
    <t>Velvet_Asity_-_Philepitte_veloutee_9137.jpg</t>
  </si>
  <si>
    <t>Velvet-purple_Coronet_5453.jpg</t>
  </si>
  <si>
    <t xml:space="preserve">Velvet-purple Coronet </t>
  </si>
  <si>
    <t>Velvety_Manakin_4481.jpg</t>
  </si>
  <si>
    <t xml:space="preserve">Velvety Manakin </t>
  </si>
  <si>
    <t>Venezuelan_Flycatcher_6520.jpg</t>
  </si>
  <si>
    <t xml:space="preserve">Venezuelan Flycatcher </t>
  </si>
  <si>
    <t>Veraguan Mango 2919.jpg</t>
  </si>
  <si>
    <t>Veraguan Mango</t>
  </si>
  <si>
    <t>Vermilion_Cardinal_4289MF.jpg</t>
  </si>
  <si>
    <t xml:space="preserve">Vermilion Cardinal </t>
  </si>
  <si>
    <t>Vermilion_Cardinal_5142.jpg</t>
  </si>
  <si>
    <t>Vermilion_Cardinal_5165.jpg</t>
  </si>
  <si>
    <t>Vermilion_Cardinal_5772.jpg</t>
  </si>
  <si>
    <t>Vermilion_Cardinal-Vermillion_Cardinal_5072.jpg</t>
  </si>
  <si>
    <t>Vermilion_Flycatcher_388.jpg</t>
  </si>
  <si>
    <t xml:space="preserve">Vermilion Flycatcher </t>
  </si>
  <si>
    <t>Vermilion_Flycatcher_3955MF.jpg</t>
  </si>
  <si>
    <t>Vermilion_Flycatcher_4338MF.jpg</t>
  </si>
  <si>
    <t>Vermilion_Flycatcher_4819.jpg</t>
  </si>
  <si>
    <t>Vermilion_Flycatcher_5218.jpg</t>
  </si>
  <si>
    <t>Vermilion_Flycatcher_6485.jpg</t>
  </si>
  <si>
    <t>Vermilion_Flycatcher_685_2.jpg</t>
  </si>
  <si>
    <t>Vermilion_Flycatcher_685.jpg</t>
  </si>
  <si>
    <t>Verreauxs_Coua_7791.jpg</t>
  </si>
  <si>
    <t>Verreaux's Coua</t>
  </si>
  <si>
    <t>Verreauxs_Coua.jpg</t>
  </si>
  <si>
    <t>Verreauxs_Eagle-Owl.jpg</t>
  </si>
  <si>
    <t>Verreaux's Eagle-Owl</t>
  </si>
  <si>
    <t>Vesper Sparrow-7421.jpg</t>
  </si>
  <si>
    <t>Vesper Sparrow</t>
  </si>
  <si>
    <t>Vesper_sparrow_0274.jpg</t>
  </si>
  <si>
    <t xml:space="preserve">Vesper Sparrow </t>
  </si>
  <si>
    <t>Village_Weaver_2535.jpg</t>
  </si>
  <si>
    <t xml:space="preserve">Village Weaver </t>
  </si>
  <si>
    <t>Village_Weaver_2545.jpg</t>
  </si>
  <si>
    <t>Village_Weaver_2546.jpg</t>
  </si>
  <si>
    <t>Violaceous_Euphonia_4128.jpg</t>
  </si>
  <si>
    <t xml:space="preserve">Violaceous Euphonia </t>
  </si>
  <si>
    <t>Violet_Sabrewing_3159MF.jpg</t>
  </si>
  <si>
    <t xml:space="preserve">Violet Sabrewing </t>
  </si>
  <si>
    <t>Violet_Sabrewing_3220MF.jpg</t>
  </si>
  <si>
    <t>Violet_Sabrewing_7899.jpg</t>
  </si>
  <si>
    <t>Violet_Sabrewing_7952.jpg</t>
  </si>
  <si>
    <t>Violet-bellied_Hummingbird_5051.jpg</t>
  </si>
  <si>
    <t xml:space="preserve">Violet-bellied Hummingbird </t>
  </si>
  <si>
    <t>Violet-eared_Waxbill_208.jpg</t>
  </si>
  <si>
    <t xml:space="preserve">Violet-eared Waxbill </t>
  </si>
  <si>
    <t>Violet-eared_Waxbill_209.jpg</t>
  </si>
  <si>
    <t>Violet-tailed_Sylph_3797.jpg</t>
  </si>
  <si>
    <t xml:space="preserve">Violet-tailed Sylph </t>
  </si>
  <si>
    <t>Violet-tailed_Sylph_5474.jpg</t>
  </si>
  <si>
    <t>Virginia_Rail_1089.jpg</t>
  </si>
  <si>
    <t xml:space="preserve">Virginia Rail </t>
  </si>
  <si>
    <t>Virginia_Rail_2890.jpg</t>
  </si>
  <si>
    <t>Virginia_Rail_4216.jpg</t>
  </si>
  <si>
    <t>Virginia_Rail_4234.jpg</t>
  </si>
  <si>
    <t>Virginia_Rail_4383A.jpg</t>
  </si>
  <si>
    <t>Virginia_Rail_4395.jpg</t>
  </si>
  <si>
    <t>Virginia_rail_4592.jpg</t>
  </si>
  <si>
    <t>Virginia_rail_4623.jpg</t>
  </si>
  <si>
    <t>Virginia_Rail_4753.jpg</t>
  </si>
  <si>
    <t>Virginia_Rail_5590MF.jpg</t>
  </si>
  <si>
    <t>Virginia_Rail_702.jpg</t>
  </si>
  <si>
    <t>Virginia_rail_9074MF.jpg</t>
  </si>
  <si>
    <t>Virginia_Rail_9295.jpg</t>
  </si>
  <si>
    <t>Virginia_Rail_Copulation.jpg</t>
  </si>
  <si>
    <t>Virginia_Rail-2.jpg</t>
  </si>
  <si>
    <t>Virginia_Rail.jpg</t>
  </si>
  <si>
    <t>Viridian_Metaltail_2864.jpg</t>
  </si>
  <si>
    <t xml:space="preserve">Viridian Metaltail </t>
  </si>
  <si>
    <t>Volcano_Hummingbird_2124.jpg</t>
  </si>
  <si>
    <t xml:space="preserve">Volcano Hummingbird </t>
  </si>
  <si>
    <t>Volcano_Hummingbird_5835.jpg</t>
  </si>
  <si>
    <t>Volcano_Hummingbird_female_1925.jpg</t>
  </si>
  <si>
    <t>Volcano_Junco_2233.jpg</t>
  </si>
  <si>
    <t xml:space="preserve">Volcano Junco </t>
  </si>
  <si>
    <t>Von_der_Deckens_Hornbill_185.jpg</t>
  </si>
  <si>
    <t>Von der Decken's Hornbill</t>
  </si>
  <si>
    <t>Wahlberg's Eagle-1870.jpg</t>
  </si>
  <si>
    <t>Wahlberg's Eagle</t>
  </si>
  <si>
    <t>Wahlbergs_Eagle_1870.jpg</t>
  </si>
  <si>
    <t>Wandering_Tattler_0392.jpg</t>
  </si>
  <si>
    <t xml:space="preserve">Wandering Tattler </t>
  </si>
  <si>
    <t>Warbling Vireo-006.jpg</t>
  </si>
  <si>
    <t>Warbling_White-eye_1615.jpg</t>
  </si>
  <si>
    <t xml:space="preserve">Warbling White-eye </t>
  </si>
  <si>
    <t>Water_Thick-knee_1926.jpg</t>
  </si>
  <si>
    <t xml:space="preserve">Water Thick-knee </t>
  </si>
  <si>
    <t>Wattled Lapwing-1464.jpg</t>
  </si>
  <si>
    <t>Wattled Lapwing</t>
  </si>
  <si>
    <t>Wattled_Crane_0007.jpg</t>
  </si>
  <si>
    <t xml:space="preserve">Wattled Crane </t>
  </si>
  <si>
    <t>Wattled_Jacana_1874MF.jpg</t>
  </si>
  <si>
    <t xml:space="preserve">Wattled Jacana </t>
  </si>
  <si>
    <t>Wattled_Jacana_2072MF.jpg</t>
  </si>
  <si>
    <t>Wattled_Jacana_4031.jpg</t>
  </si>
  <si>
    <t>Wattled_Jacana_4839.jpg</t>
  </si>
  <si>
    <t>Wattled_jacana_6413.jpg</t>
  </si>
  <si>
    <t>Wattled_jacana_6421.jpg</t>
  </si>
  <si>
    <t>Wattled_Jacana_juvenile_5964.jpg</t>
  </si>
  <si>
    <t>Wattled_Jacana.jpg</t>
  </si>
  <si>
    <t>Wattled_Lapwing_7852.jpg</t>
  </si>
  <si>
    <t xml:space="preserve">Wattled Lapwing </t>
  </si>
  <si>
    <t>Wattled_Starling_0416.jpg</t>
  </si>
  <si>
    <t xml:space="preserve">Wattled Starling </t>
  </si>
  <si>
    <t>Waved_Albatross_27.jpg</t>
  </si>
  <si>
    <t xml:space="preserve">Waved Albatross </t>
  </si>
  <si>
    <t>Wedge-tailed_Eagle_1316.jpg</t>
  </si>
  <si>
    <t xml:space="preserve">Wedge-tailed Eagle </t>
  </si>
  <si>
    <t>Weebill 1103.jpg</t>
  </si>
  <si>
    <t>Weebill</t>
  </si>
  <si>
    <t>Welcome_Swallow_0954.jpg</t>
  </si>
  <si>
    <t xml:space="preserve">Welcome Swallow </t>
  </si>
  <si>
    <t>Welcome_Swallow_4378MF.jpg</t>
  </si>
  <si>
    <t>Western Bluebird 084.jpg</t>
  </si>
  <si>
    <t>Western Bluebird</t>
  </si>
  <si>
    <t>Western Grebe 451.jpg</t>
  </si>
  <si>
    <t>Western Grebe</t>
  </si>
  <si>
    <t>Western Meadowlark 1803.jpg</t>
  </si>
  <si>
    <t>Western Meadowlark</t>
  </si>
  <si>
    <t>Western Meadowlark.jpg</t>
  </si>
  <si>
    <t>Western_Cattle-Egret_22697.jpg</t>
  </si>
  <si>
    <t xml:space="preserve">Western Cattle-Egret </t>
  </si>
  <si>
    <t>Western_Cattle-Egret_2346MF.jpg</t>
  </si>
  <si>
    <t>Western_Emerald_6540.jpg</t>
  </si>
  <si>
    <t xml:space="preserve">Western Emerald </t>
  </si>
  <si>
    <t>Western_Gerygone-646515789.jpg</t>
  </si>
  <si>
    <t>Western Gerygone</t>
  </si>
  <si>
    <t>Western_Gull_9778.jpg</t>
  </si>
  <si>
    <t xml:space="preserve">Western Gull </t>
  </si>
  <si>
    <t>Western_Kingbird_1218.jpg</t>
  </si>
  <si>
    <t xml:space="preserve">Western Kingbird </t>
  </si>
  <si>
    <t>Western_Kingbird_8357MF.jpg</t>
  </si>
  <si>
    <t>Western_Meadowlark_1628.jpg</t>
  </si>
  <si>
    <t xml:space="preserve">Western Meadowlark </t>
  </si>
  <si>
    <t>Western_Olivaceous_Flatbill_1358.jpg</t>
  </si>
  <si>
    <t>Western Olivaceous Flatbill</t>
  </si>
  <si>
    <t>Western_Sandpiper_6394.jpg</t>
  </si>
  <si>
    <t xml:space="preserve">Western Sandpiper </t>
  </si>
  <si>
    <t>Western_Sandpiper_9162MF.jpg</t>
  </si>
  <si>
    <t>Western_Sandpiper.jpg</t>
  </si>
  <si>
    <t>Western_Spindalis-79546941.jpg</t>
  </si>
  <si>
    <t>Western Spindalis</t>
  </si>
  <si>
    <t>Western_Wood-pewee_5907.jpg</t>
  </si>
  <si>
    <t xml:space="preserve">Western Wood-Pewee </t>
  </si>
  <si>
    <t>Western_Woodhaunter_0190.jpg</t>
  </si>
  <si>
    <t xml:space="preserve">Western Woodhaunter </t>
  </si>
  <si>
    <t>Whiskered_Tern_2875MF.jpg</t>
  </si>
  <si>
    <t xml:space="preserve">Whiskered Tern </t>
  </si>
  <si>
    <t>Whistling_Kite_1618.jpg</t>
  </si>
  <si>
    <t xml:space="preserve">Whistling Kite </t>
  </si>
  <si>
    <t>White_Hawk_393.jpg</t>
  </si>
  <si>
    <t xml:space="preserve">White Hawk </t>
  </si>
  <si>
    <t>White_Hawk_6126.jpg</t>
  </si>
  <si>
    <t>White_Ibis_0505.jpg</t>
  </si>
  <si>
    <t xml:space="preserve">White Ibis </t>
  </si>
  <si>
    <t>White_Ibis_1001.jpg</t>
  </si>
  <si>
    <t>White_Ibis_1471MF.jpg</t>
  </si>
  <si>
    <t>White_Ibis_20520.jpg</t>
  </si>
  <si>
    <t>White_Ibis_2622.jpg</t>
  </si>
  <si>
    <t>White_Ibis_2719.jpg</t>
  </si>
  <si>
    <t>White_Ibis_5101MF.jpg</t>
  </si>
  <si>
    <t>White_Ibis_5803.jpg</t>
  </si>
  <si>
    <t>White_Ibis_6598.jpg</t>
  </si>
  <si>
    <t>White_Ibis_8648.jpg</t>
  </si>
  <si>
    <t>White_Ibis_9694.jpg</t>
  </si>
  <si>
    <t>White-backed Vulture 0060.jpg</t>
  </si>
  <si>
    <t>White-backed Vulture</t>
  </si>
  <si>
    <t>White-backed Vulture-266.jpg</t>
  </si>
  <si>
    <t>White-backed_Swallow-646519619.jpg</t>
  </si>
  <si>
    <t>White-backed Swallow</t>
  </si>
  <si>
    <t>White-banded_Tyrannulet_5095.jpg</t>
  </si>
  <si>
    <t xml:space="preserve">White-banded Tyrannulet </t>
  </si>
  <si>
    <t>White-bearded_Manakin_5350.jpg</t>
  </si>
  <si>
    <t xml:space="preserve">White-bearded Manakin </t>
  </si>
  <si>
    <t>White-bellied_Antbird_7354.jpg</t>
  </si>
  <si>
    <t xml:space="preserve">White-bellied Antbird </t>
  </si>
  <si>
    <t>White-bellied_Antbird_7358.jpg</t>
  </si>
  <si>
    <t>White-bellied_Go-away-bird_245.jpg</t>
  </si>
  <si>
    <t xml:space="preserve">White-bellied Go-away-bird </t>
  </si>
  <si>
    <t>White-bellied_Sea-Eagle_4847MF.jpg</t>
  </si>
  <si>
    <t xml:space="preserve">White-bellied Sea-Eagle </t>
  </si>
  <si>
    <t>White-bellied_Sunbird_3433.jpg</t>
  </si>
  <si>
    <t xml:space="preserve">White-bellied Sunbird </t>
  </si>
  <si>
    <t>White-bellied_Woodstar_2.jpg</t>
  </si>
  <si>
    <t xml:space="preserve">White-bellied Woodstar </t>
  </si>
  <si>
    <t>White-bellied_Woodstar_4932.jpg</t>
  </si>
  <si>
    <t>White-bellied_Woodstar.jpg</t>
  </si>
  <si>
    <t>White-booted_Racket-tail_3443.jpg</t>
  </si>
  <si>
    <t xml:space="preserve">White-booted Racket-tail </t>
  </si>
  <si>
    <t>White-breasted_nuthatch_1447.jpg</t>
  </si>
  <si>
    <t xml:space="preserve">White-breasted Nuthatch </t>
  </si>
  <si>
    <t>White-breasted_Nuthatch_3667MF.jpg</t>
  </si>
  <si>
    <t>White-breasted_nuthatch_7451MF.jpg</t>
  </si>
  <si>
    <t>White-breasted_nuthatch_8575MF.jpg</t>
  </si>
  <si>
    <t>White-breasted_Nuthatch_9063.jpg</t>
  </si>
  <si>
    <t>White-breasted_Wood-Wren_MF3178.jpg</t>
  </si>
  <si>
    <t xml:space="preserve">White-breasted Wood-Wren </t>
  </si>
  <si>
    <t>White-breasted_Woodswallow-647027845.jpg</t>
  </si>
  <si>
    <t>White-breasted Woodswallow</t>
  </si>
  <si>
    <t>White-browed Scrub-robin-1841.jpg</t>
  </si>
  <si>
    <t>White-browed Scrub-Robin</t>
  </si>
  <si>
    <t>White-browed Treecreeper-0612.jpg</t>
  </si>
  <si>
    <t>White-browed Treecreeper</t>
  </si>
  <si>
    <t>White-browed_Babbler-646361591.jpg</t>
  </si>
  <si>
    <t>White-browed Babbler</t>
  </si>
  <si>
    <t>White-browed_Babbler-646367060.jpg</t>
  </si>
  <si>
    <t>White-browed_Coucal_262.jpg</t>
  </si>
  <si>
    <t xml:space="preserve">White-browed Coucal </t>
  </si>
  <si>
    <t>White-browed_Owl_-_Chevechette_a_sourcil_blanc_6434.jpg</t>
  </si>
  <si>
    <t xml:space="preserve">White-browed Owl </t>
  </si>
  <si>
    <t>White-browed_Robin-Chat_1895.jpg</t>
  </si>
  <si>
    <t xml:space="preserve">White-browed Robin-Chat </t>
  </si>
  <si>
    <t>White-browed_Scrub-robin_1841.jpg</t>
  </si>
  <si>
    <t xml:space="preserve">White-browed Scrub-Robin </t>
  </si>
  <si>
    <t>White-browed_Scrubwren.jpg</t>
  </si>
  <si>
    <t xml:space="preserve">White-browed Scrubwren </t>
  </si>
  <si>
    <t>White-browed_Woodswallow-646418698.jpg</t>
  </si>
  <si>
    <t>White-browed Woodswallow</t>
  </si>
  <si>
    <t>White-capped_Dipper_3218.jpg</t>
  </si>
  <si>
    <t xml:space="preserve">White-capped Dipper </t>
  </si>
  <si>
    <t>White-capped_Dipper_5807.jpg</t>
  </si>
  <si>
    <t>White-capped_Tanager_5397.jpg</t>
  </si>
  <si>
    <t xml:space="preserve">White-capped Tanager </t>
  </si>
  <si>
    <t>White-capped_Tanager_5442.jpg</t>
  </si>
  <si>
    <t>White-capped_Tanager_5459.jpg</t>
  </si>
  <si>
    <t>White-cheeked Honeyeater-77376651.jpg</t>
  </si>
  <si>
    <t>White-cheeked Honeyeater</t>
  </si>
  <si>
    <t>White-chested_Emerald_4109.jpg</t>
  </si>
  <si>
    <t xml:space="preserve">White-chested Emerald </t>
  </si>
  <si>
    <t>White-chinned_Thistletail_4913.jpg</t>
  </si>
  <si>
    <t xml:space="preserve">White-chinned Thistletail </t>
  </si>
  <si>
    <t>White-collared_Manakin_-_Manakin_a_col_blanc_-MF3760.jpg</t>
  </si>
  <si>
    <t xml:space="preserve">White-collared Manakin </t>
  </si>
  <si>
    <t>White-collared_Manakin_5411.jpg</t>
  </si>
  <si>
    <t>White-collared_Swift_4553.jpg</t>
  </si>
  <si>
    <t xml:space="preserve">White-collared Swift </t>
  </si>
  <si>
    <t>White-collared_Swift_4572.jpg</t>
  </si>
  <si>
    <t>White-crested_Helmetshrike-531930891.jpg</t>
  </si>
  <si>
    <t>White-crested Helmetshrike</t>
  </si>
  <si>
    <t>White-crowned Sparrow-020.jpg</t>
  </si>
  <si>
    <t>White-crowned Sparrow</t>
  </si>
  <si>
    <t>White-crowned_Lapwing-530272901.jpg</t>
  </si>
  <si>
    <t>White-crowned Lapwing</t>
  </si>
  <si>
    <t>White-crowned_Parrot_MF3494.jpg</t>
  </si>
  <si>
    <t xml:space="preserve">White-crowned Parrot </t>
  </si>
  <si>
    <t>White-crowned_Shrike_9335.jpg</t>
  </si>
  <si>
    <t xml:space="preserve">White-crowned Shrike </t>
  </si>
  <si>
    <t>White-crowned_Sparrow_2014-101.jpg</t>
  </si>
  <si>
    <t xml:space="preserve">White-crowned Sparrow </t>
  </si>
  <si>
    <t>White-crowned_Sparrow_2504MF.jpg</t>
  </si>
  <si>
    <t>White-crowned_Sparrow_2932.jpg</t>
  </si>
  <si>
    <t>White-crowned_Sparrow_3486.jpg</t>
  </si>
  <si>
    <t>White-crowned_Sparrow_5477MF.jpg</t>
  </si>
  <si>
    <t>White-crowned_Sparrow_6854.jpg</t>
  </si>
  <si>
    <t>White-crowned_Sparrow_9542.jpg</t>
  </si>
  <si>
    <t>White-crowned_Sparrow_9967MF.jpg</t>
  </si>
  <si>
    <t>White-eared Barbet-4344.jpg</t>
  </si>
  <si>
    <t>White-eared Barbet</t>
  </si>
  <si>
    <t>White-eared_Ground-Sparrow_3259.jpg</t>
  </si>
  <si>
    <t xml:space="preserve">White-eared Ground-Sparrow </t>
  </si>
  <si>
    <t>White-eared_Honeyeater_3207MF.jpg</t>
  </si>
  <si>
    <t xml:space="preserve">White-eared Honeyeater </t>
  </si>
  <si>
    <t>White-eyed_Vireo_3325.jpg</t>
  </si>
  <si>
    <t xml:space="preserve">White-eyed Vireo </t>
  </si>
  <si>
    <t>White-eyed_Vireo_4154.jpg</t>
  </si>
  <si>
    <t>White-eyed_Vireo_6653MF.jpg</t>
  </si>
  <si>
    <t>White-eyed_Vireo_7083MF.jpg</t>
  </si>
  <si>
    <t>White-eyed_Vireo_7637.jpg</t>
  </si>
  <si>
    <t>White-eyed_Vireo_8297.jpg</t>
  </si>
  <si>
    <t>White-eyed_Vireo_838MF.jpg</t>
  </si>
  <si>
    <t>White-eyed_Vireo_8555MF.jpg</t>
  </si>
  <si>
    <t>White-eyed_Vireo_9846.jpg</t>
  </si>
  <si>
    <t>White-faced Ibis-1343.jpg</t>
  </si>
  <si>
    <t>White-faced Ibis</t>
  </si>
  <si>
    <t>White-faced_Heron_1081.jpg</t>
  </si>
  <si>
    <t xml:space="preserve">White-faced Heron </t>
  </si>
  <si>
    <t>White-faced_Heron_3938MF.jpg</t>
  </si>
  <si>
    <t>White-faced_Heron_immature.jpg</t>
  </si>
  <si>
    <t>White-faced_heron.jpg</t>
  </si>
  <si>
    <t>White-faced_Whistling-Duck_0346.jpg</t>
  </si>
  <si>
    <t xml:space="preserve">White-faced Whistling-Duck </t>
  </si>
  <si>
    <t>White-faced_Whistling-Duck_1908.jpg</t>
  </si>
  <si>
    <t>White-faced_Whistling-Duck_22165.jpg</t>
  </si>
  <si>
    <t>White-faced_Whistling-Duck_9105.jpg</t>
  </si>
  <si>
    <t>White-fronted_Amazon_2703MF.jpg</t>
  </si>
  <si>
    <t xml:space="preserve">White-fronted Amazon </t>
  </si>
  <si>
    <t>White-fronted_Bee-eater_6854.jpg</t>
  </si>
  <si>
    <t xml:space="preserve">White-fronted Bee-eater </t>
  </si>
  <si>
    <t>White-fronted_Chat_3578MF.jpg</t>
  </si>
  <si>
    <t xml:space="preserve">White-fronted Chat </t>
  </si>
  <si>
    <t>White-fronted_Honeyeater-646408010.jpg</t>
  </si>
  <si>
    <t>White-fronted Honeyeater</t>
  </si>
  <si>
    <t>White-fronted_Plover_-_Pluvier_a_front_blanc_7264.jpg</t>
  </si>
  <si>
    <t xml:space="preserve">White-fronted Plover </t>
  </si>
  <si>
    <t>White-fronted_Plover_-_Pluvier_a_front_blanc_9785MF.jpg</t>
  </si>
  <si>
    <t>White-headed_Buffalo-weaver_342.jpg</t>
  </si>
  <si>
    <t xml:space="preserve">White-headed Buffalo-Weaver </t>
  </si>
  <si>
    <t>White-headed_Marsh_Tyrant_4774.jpg</t>
  </si>
  <si>
    <t>White-headed Marsh Tyrant</t>
  </si>
  <si>
    <t>White-headed_Marsh_Tyrant.jpg</t>
  </si>
  <si>
    <t>White-headed_Wren.jpg</t>
  </si>
  <si>
    <t xml:space="preserve">White-headed Wren </t>
  </si>
  <si>
    <t>White-lined_Tanager_4066.jpg</t>
  </si>
  <si>
    <t xml:space="preserve">White-lined Tanager </t>
  </si>
  <si>
    <t>White-lined_Tanager_5246.jpg</t>
  </si>
  <si>
    <t>White-lined_Tanager_5987.jpg</t>
  </si>
  <si>
    <t>White-lined_Tanager_7291.jpg</t>
  </si>
  <si>
    <t>White-lored_Warbler_4704.jpg</t>
  </si>
  <si>
    <t xml:space="preserve">White-lored Warbler </t>
  </si>
  <si>
    <t>White-lored_Warbler_4706.jpg</t>
  </si>
  <si>
    <t>White-naped_Brushfinch_2624.jpg</t>
  </si>
  <si>
    <t xml:space="preserve">White-naped Brushfinch </t>
  </si>
  <si>
    <t>White-naped_Brushfinch_3491.jpg</t>
  </si>
  <si>
    <t>White-naped_Brushfinch_3494.jpg</t>
  </si>
  <si>
    <t>White-naped_Honeyeater_3327MF.jpg</t>
  </si>
  <si>
    <t xml:space="preserve">White-naped Honeyeater </t>
  </si>
  <si>
    <t>White-necked_Jacobin_4095.jpg</t>
  </si>
  <si>
    <t xml:space="preserve">White-necked Jacobin </t>
  </si>
  <si>
    <t>White-necked_Jacobin_4636.jpg</t>
  </si>
  <si>
    <t>White-necked_Jacobin_4730.jpg</t>
  </si>
  <si>
    <t>White-necked_Jacobin_6180.jpg</t>
  </si>
  <si>
    <t>White-necked_Jacobin_6292.jpg</t>
  </si>
  <si>
    <t>White-necked_Puffbird_0724.jpg</t>
  </si>
  <si>
    <t xml:space="preserve">White-necked Puffbird </t>
  </si>
  <si>
    <t>White-necked_Puffbird_1975.jpg</t>
  </si>
  <si>
    <t>White-necked_Thrush_4248.jpg</t>
  </si>
  <si>
    <t xml:space="preserve">White-necked Thrush </t>
  </si>
  <si>
    <t>White-plumed_Honeyeater_1953.jpg</t>
  </si>
  <si>
    <t xml:space="preserve">White-plumed Honeyeater </t>
  </si>
  <si>
    <t>White-plumed_Honeyeater_3767MF.jpg</t>
  </si>
  <si>
    <t>White-quilled_Bustard_219.jpg</t>
  </si>
  <si>
    <t xml:space="preserve">White-quilled Bustard </t>
  </si>
  <si>
    <t>White-quilled_Bustard_267.jpg</t>
  </si>
  <si>
    <t>White-rumped_Hawk_23659.jpg</t>
  </si>
  <si>
    <t xml:space="preserve">White-rumped Hawk </t>
  </si>
  <si>
    <t>White-rumped_Sandpiper_4817MF.jpg</t>
  </si>
  <si>
    <t xml:space="preserve">White-rumped Sandpiper </t>
  </si>
  <si>
    <t>White-rumped_Shrike_165.jpg</t>
  </si>
  <si>
    <t xml:space="preserve">White-rumped Shrike </t>
  </si>
  <si>
    <t>White-shouldered_Tanager_female_5208.jpg</t>
  </si>
  <si>
    <t xml:space="preserve">White-shouldered Tanager </t>
  </si>
  <si>
    <t>White-shouldered_Tanager_MF3496.jpg</t>
  </si>
  <si>
    <t>White-sided_Flowerpiercer_3549.jpg</t>
  </si>
  <si>
    <t xml:space="preserve">White-sided Flowerpiercer </t>
  </si>
  <si>
    <t>White-sided_Flowerpiercer_4305.jpg</t>
  </si>
  <si>
    <t>White-sided_Flowerpiercer_4654.jpg</t>
  </si>
  <si>
    <t>White-sided_Flowerpiercer_4784.jpg</t>
  </si>
  <si>
    <t>White-tailed_Kite_6790.jpg</t>
  </si>
  <si>
    <t xml:space="preserve">White-tailed Kite </t>
  </si>
  <si>
    <t>White-tailed_Kite_7513.jpg</t>
  </si>
  <si>
    <t>White-tailed_Kite.jpg</t>
  </si>
  <si>
    <t>White-tailed_Nightjar_6015.jpg</t>
  </si>
  <si>
    <t xml:space="preserve">White-tailed Nightjar </t>
  </si>
  <si>
    <t>White-tailed_Nightjar_6594.jpg</t>
  </si>
  <si>
    <t>White-tailed_Nightjar_6600.jpg</t>
  </si>
  <si>
    <t>White-tailed_Nightjar_6620.jpg</t>
  </si>
  <si>
    <t>White-tailed_Sabrewing_6687.jpg</t>
  </si>
  <si>
    <t xml:space="preserve">White-tailed Sabrewing </t>
  </si>
  <si>
    <t>White-tailed_Shrike.jpg</t>
  </si>
  <si>
    <t xml:space="preserve">White-tailed Shrike </t>
  </si>
  <si>
    <t>White-tailed_Starfrontlet_23937.jpg</t>
  </si>
  <si>
    <t xml:space="preserve">White-tailed Starfrontlet </t>
  </si>
  <si>
    <t>White-tailed_Starfrontlet_23945.jpg</t>
  </si>
  <si>
    <t>White-tailed_Starfrontlet_23958.jpg</t>
  </si>
  <si>
    <t>White-tailed_Starfrontlet_3334MF.jpg</t>
  </si>
  <si>
    <t>White-tailed_Trogon_4637.jpg</t>
  </si>
  <si>
    <t xml:space="preserve">White-tailed Trogon </t>
  </si>
  <si>
    <t>White-tailed_Tropicbird_0555.jpg</t>
  </si>
  <si>
    <t xml:space="preserve">White-tailed Tropicbird </t>
  </si>
  <si>
    <t>White-tailed_Tropicbird_0564.jpg</t>
  </si>
  <si>
    <t>White-throated Sparrow-103.jpg</t>
  </si>
  <si>
    <t>White-throated Sparrow</t>
  </si>
  <si>
    <t>White-throated Sparrow-115.jpg</t>
  </si>
  <si>
    <t>White-throated_Crake_6871.jpg</t>
  </si>
  <si>
    <t xml:space="preserve">White-throated Crake </t>
  </si>
  <si>
    <t>White-throated_Gerygone-646554368.jpg</t>
  </si>
  <si>
    <t>White-throated Gerygone</t>
  </si>
  <si>
    <t>White-throated_Magpie-Jay_2724MF.jpg</t>
  </si>
  <si>
    <t xml:space="preserve">White-throated Magpie-Jay </t>
  </si>
  <si>
    <t>White-throated_Magpie-Jay_8795.jpg</t>
  </si>
  <si>
    <t>White-throated_Magpie-Jay_8843.jpg</t>
  </si>
  <si>
    <t>White-throated_Mountain-gem_1527MF.jpg</t>
  </si>
  <si>
    <t xml:space="preserve">White-throated Mountain-gem </t>
  </si>
  <si>
    <t>White-throated_Mountain-gem_2461.jpg</t>
  </si>
  <si>
    <t>White-throated_Mountain-gem_5896.jpg</t>
  </si>
  <si>
    <t>White-throated_Mountain-gem.jpg</t>
  </si>
  <si>
    <t>White-throated_Quail-Dove_3908.jpg</t>
  </si>
  <si>
    <t xml:space="preserve">White-throated Quail-Dove </t>
  </si>
  <si>
    <t>White-throated_Rail_-_Rale_de_Cuvier_9225.jpg</t>
  </si>
  <si>
    <t xml:space="preserve">White-throated Rail </t>
  </si>
  <si>
    <t>White-throated_Rail_-_Rale_de_Cuvier_9442.jpg</t>
  </si>
  <si>
    <t>White-throated_Rail_-_Rale_de_Cuvier_9474.jpg</t>
  </si>
  <si>
    <t>White-throated_Sparrow_1892.jpg</t>
  </si>
  <si>
    <t xml:space="preserve">White-throated Sparrow </t>
  </si>
  <si>
    <t>White-throated_Sparrow_1988MF.jpg</t>
  </si>
  <si>
    <t>White-throated_Sparrow_5906MF.jpg</t>
  </si>
  <si>
    <t>White-throated_Sparrow_6658MF.jpg</t>
  </si>
  <si>
    <t>White-throated_Sparrow_7433.jpg</t>
  </si>
  <si>
    <t>White-throated_Sparrow_8797MF.jpg</t>
  </si>
  <si>
    <t>White-throated_Sparrow_9268.jpg</t>
  </si>
  <si>
    <t>White-throated_Sparrow.jpg</t>
  </si>
  <si>
    <t>White-throated_Thrush_7737.jpg</t>
  </si>
  <si>
    <t xml:space="preserve">White-throated Thrush </t>
  </si>
  <si>
    <t>White-throated_Treecreeper-646486656.jpg</t>
  </si>
  <si>
    <t>White-throated Treecreeper</t>
  </si>
  <si>
    <t>White-throated_Tyrannulet_23878.jpg</t>
  </si>
  <si>
    <t xml:space="preserve">White-throated Tyrannulet </t>
  </si>
  <si>
    <t>White-throated_Tyrannulet.jpg</t>
  </si>
  <si>
    <t>White-tipped_Dove_0954.jpg</t>
  </si>
  <si>
    <t xml:space="preserve">White-tipped Dove </t>
  </si>
  <si>
    <t>White-vented_Plumeleteer_3970.jpg</t>
  </si>
  <si>
    <t xml:space="preserve">White-vented Plumeleteer </t>
  </si>
  <si>
    <t>White-vented_Plumeleteer_6339.jpg</t>
  </si>
  <si>
    <t>White-whiskered_Hermit_5198.jpg</t>
  </si>
  <si>
    <t xml:space="preserve">White-whiskered Hermit </t>
  </si>
  <si>
    <t>White-whiskered_Puffbird_0040.jpg</t>
  </si>
  <si>
    <t xml:space="preserve">White-whiskered Puffbird </t>
  </si>
  <si>
    <t>White-whiskered_Puffbird_572_2.jpg</t>
  </si>
  <si>
    <t>White-whiskered_Puffbird_572.jpg</t>
  </si>
  <si>
    <t>White-whiskered_Puffbird_8701.jpg</t>
  </si>
  <si>
    <t>White-whiskered_Puffbird_9604.jpg</t>
  </si>
  <si>
    <t>White-whiskered_Puffbird_MF6072.jpg</t>
  </si>
  <si>
    <t>White-whiskered_Spinetail_4719MF.jpg</t>
  </si>
  <si>
    <t xml:space="preserve">White-whiskered Spinetail </t>
  </si>
  <si>
    <t>White-winged Fairywren-061.jpg</t>
  </si>
  <si>
    <t>White-winged Fairywren</t>
  </si>
  <si>
    <t>White-winged_Becard-638498314.jpg</t>
  </si>
  <si>
    <t>White-winged Becard</t>
  </si>
  <si>
    <t>White-winged_Brushfinch_3447.jpg</t>
  </si>
  <si>
    <t xml:space="preserve">White-winged Brushfinch </t>
  </si>
  <si>
    <t>White-winged_Chough-646701343.jpg</t>
  </si>
  <si>
    <t>White-winged Chough</t>
  </si>
  <si>
    <t>White-winged_Dove_1823.jpg</t>
  </si>
  <si>
    <t xml:space="preserve">White-winged Dove </t>
  </si>
  <si>
    <t>White-winged_Dove_208.jpg</t>
  </si>
  <si>
    <t>White-winged_Dove_6270.jpg</t>
  </si>
  <si>
    <t>White-winged_Dove_8448.jpg</t>
  </si>
  <si>
    <t>White-winged_Dove_MF5929.jpg</t>
  </si>
  <si>
    <t>White-winged_Scoter_1927MF.jpg</t>
  </si>
  <si>
    <t xml:space="preserve">White-winged Scoter </t>
  </si>
  <si>
    <t>White-winged_Scoter_3058.jpg</t>
  </si>
  <si>
    <t>White-winged_Scoter_4046.jpg</t>
  </si>
  <si>
    <t>White-winged_Snowfinch-649664113.jpg</t>
  </si>
  <si>
    <t>White-winged Snowfinch</t>
  </si>
  <si>
    <t>White-winged_Swallow_4919.jpg</t>
  </si>
  <si>
    <t xml:space="preserve">White-winged Swallow </t>
  </si>
  <si>
    <t>White-winged_Swallow_5940.jpg</t>
  </si>
  <si>
    <t>White-winged_Triller-646454787.jpg</t>
  </si>
  <si>
    <t>White-winged Triller</t>
  </si>
  <si>
    <t>Whooping Crane-9999.jpg</t>
  </si>
  <si>
    <t>Whooping Crane</t>
  </si>
  <si>
    <t>Whooping_Motmot_21695.jpg</t>
  </si>
  <si>
    <t xml:space="preserve">Whooping Motmot </t>
  </si>
  <si>
    <t>Wild_Turkey_1789.jpg</t>
  </si>
  <si>
    <t xml:space="preserve">Wild Turkey </t>
  </si>
  <si>
    <t>Wild_Turkey_2488.jpg</t>
  </si>
  <si>
    <t>Wild_Turkey_7693MF.jpg</t>
  </si>
  <si>
    <t>Willet_2255MF.jpg</t>
  </si>
  <si>
    <t xml:space="preserve">Willet  </t>
  </si>
  <si>
    <t>Willet_3622.jpg</t>
  </si>
  <si>
    <t>Willet_6224.jpg</t>
  </si>
  <si>
    <t>Willet_6435.jpg</t>
  </si>
  <si>
    <t>Willet_6887.jpg</t>
  </si>
  <si>
    <t>Willet_9554.jpg</t>
  </si>
  <si>
    <t>Willet_breeding_7107MF.jpg</t>
  </si>
  <si>
    <t>Willet-023.jpg</t>
  </si>
  <si>
    <t>Willet</t>
  </si>
  <si>
    <t>Willie-Wagtail_0105.jpg</t>
  </si>
  <si>
    <t xml:space="preserve">Willie-wagtail  </t>
  </si>
  <si>
    <t>Willie-Wagtail_8142.jpg</t>
  </si>
  <si>
    <t>Willie-Wagtail.jpg</t>
  </si>
  <si>
    <t>Willow Ptarmigan 3549E.jpg</t>
  </si>
  <si>
    <t>Willow Ptarmigan</t>
  </si>
  <si>
    <t>Willow Ptarmigan 5033.jpg</t>
  </si>
  <si>
    <t>Willow Ptarmigan 5053.jpg</t>
  </si>
  <si>
    <t>Willow Ptarmigan 9454.jpg</t>
  </si>
  <si>
    <t>Willow_Flycatcher_7461.jpg</t>
  </si>
  <si>
    <t xml:space="preserve">Willow Flycatcher </t>
  </si>
  <si>
    <t>Willow_Flycatcher_7525.jpg</t>
  </si>
  <si>
    <t>Willow_Flycatcher_7529.jpg</t>
  </si>
  <si>
    <t>Willow_Flycatcher_9158.jpg</t>
  </si>
  <si>
    <t>Willow_Ptarmigan_2507.jpg</t>
  </si>
  <si>
    <t xml:space="preserve">Willow Ptarmigan </t>
  </si>
  <si>
    <t>Willow_Ptarmigan_3121.jpg</t>
  </si>
  <si>
    <t>Wilson's Snipe 1477.jpg</t>
  </si>
  <si>
    <t>Wilson's Snipe</t>
  </si>
  <si>
    <t>Wilsons_Phalarope_3382.jpg</t>
  </si>
  <si>
    <t>Wilson's Phalarope</t>
  </si>
  <si>
    <t>Wilsons_Phalarope_9500.jpg</t>
  </si>
  <si>
    <t>Wilsons_Plover_22625.jpg</t>
  </si>
  <si>
    <t>Wilson's Plover</t>
  </si>
  <si>
    <t>Wilsons_Snipe_1470.jpg</t>
  </si>
  <si>
    <t>Wilsons_Snipe_20720.jpg</t>
  </si>
  <si>
    <t>Wilsons_Snipe_21280.jpg</t>
  </si>
  <si>
    <t>Wilsons_Snipe_9632.jpg</t>
  </si>
  <si>
    <t>Wilsons_Warbler_0779.jpg</t>
  </si>
  <si>
    <t>Wilson's Warbler</t>
  </si>
  <si>
    <t>Wilsons_Warbler_0876.jpg</t>
  </si>
  <si>
    <t>Wilsons_Warbler_2014-002.jpg</t>
  </si>
  <si>
    <t>Wilsons_Warbler_3085MF.jpg</t>
  </si>
  <si>
    <t>Wilsons_Warbler_4859.jpg</t>
  </si>
  <si>
    <t>Wilsons_Warbler_8731.jpg</t>
  </si>
  <si>
    <t>Wilsons_Warbler_9178.jpg</t>
  </si>
  <si>
    <t>Winter_Wren-568011691.jpg</t>
  </si>
  <si>
    <t>Winter Wren</t>
  </si>
  <si>
    <t>Wood_Duck_1377.jpg</t>
  </si>
  <si>
    <t xml:space="preserve">Wood Duck </t>
  </si>
  <si>
    <t>Wood_Duck_1684.jpg</t>
  </si>
  <si>
    <t>Wood_Duck_1938.jpg</t>
  </si>
  <si>
    <t>Wood_Duck_2346.jpg</t>
  </si>
  <si>
    <t>Wood_Duck_4546.jpg</t>
  </si>
  <si>
    <t>Wood_Duck_5558MF.jpg</t>
  </si>
  <si>
    <t>Wood_Duck_7630.jpg</t>
  </si>
  <si>
    <t>Wood_Stork_1019.jpg</t>
  </si>
  <si>
    <t xml:space="preserve">Wood Stork </t>
  </si>
  <si>
    <t>Wood_Stork_1045.jpg</t>
  </si>
  <si>
    <t>Wood_Stork_1962.jpg</t>
  </si>
  <si>
    <t>Wood_Stork_20661.jpg</t>
  </si>
  <si>
    <t>Wood_Stork_2817MF.jpg</t>
  </si>
  <si>
    <t>Wood_Stork_4310.jpg</t>
  </si>
  <si>
    <t>Wood_Stork_4325.jpg</t>
  </si>
  <si>
    <t>Wood_Stork_6503.jpg</t>
  </si>
  <si>
    <t>Wood_Stork_7473MF.jpg</t>
  </si>
  <si>
    <t>Wood_Stork_8582MF.jpg</t>
  </si>
  <si>
    <t>Wood_Stork_9742.jpg</t>
  </si>
  <si>
    <t>Wood_Thrush_0301.jpg</t>
  </si>
  <si>
    <t xml:space="preserve">Wood Thrush </t>
  </si>
  <si>
    <t>Wood_Thrush_0804.jpg</t>
  </si>
  <si>
    <t>Wood_Thrush_0978.jpg</t>
  </si>
  <si>
    <t>Wood_Thrush_2043.jpg</t>
  </si>
  <si>
    <t>Wood_Thrush_7672.jpg</t>
  </si>
  <si>
    <t>Wood_Thrush_8527.jpg</t>
  </si>
  <si>
    <t>Wrentit-124560931.jpg</t>
  </si>
  <si>
    <t>Wrentit</t>
  </si>
  <si>
    <t>Yellow_Oriole_22852.jpg</t>
  </si>
  <si>
    <t xml:space="preserve">Yellow Oriole </t>
  </si>
  <si>
    <t>Yellow_Oriole_23124.jpg</t>
  </si>
  <si>
    <t>Yellow_Oriole_4924.jpg</t>
  </si>
  <si>
    <t>Yellow_Oriole_5044.jpg</t>
  </si>
  <si>
    <t>Yellow_Oriole_5658.jpg</t>
  </si>
  <si>
    <t>Yellow_Wattlebird_3999MF.jpg</t>
  </si>
  <si>
    <t xml:space="preserve">Yellow Wattlebird </t>
  </si>
  <si>
    <t>Yellow_Wattlebird_5123MF.jpg</t>
  </si>
  <si>
    <t>Yellow-backed_Oriole_6224.jpg</t>
  </si>
  <si>
    <t xml:space="preserve">Yellow-backed Oriole </t>
  </si>
  <si>
    <t>Yellow-backed_Oriole_8816.jpg</t>
  </si>
  <si>
    <t>Yellow-backed_Oriole_9789.jpg</t>
  </si>
  <si>
    <t>Yellow-bellied Greenbul-4857.jpg</t>
  </si>
  <si>
    <t>Yellow-bellied Greenbul</t>
  </si>
  <si>
    <t>Yellow-bellied_Chat-Tyrant_23706.jpg</t>
  </si>
  <si>
    <t xml:space="preserve">Yellow-bellied Chat-Tyrant </t>
  </si>
  <si>
    <t>Yellow-bellied_Elaenia_0460.jpg</t>
  </si>
  <si>
    <t xml:space="preserve">Yellow-bellied Elaenia </t>
  </si>
  <si>
    <t>Yellow-bellied_Elaenia_4375.jpg</t>
  </si>
  <si>
    <t>Yellow-bellied_Elaenia_4417.jpg</t>
  </si>
  <si>
    <t>Yellow-bellied_Elaenia_5295.jpg</t>
  </si>
  <si>
    <t>Yellow-bellied_Elaenia_6338.jpg</t>
  </si>
  <si>
    <t>Yellow-bellied_Elaenia_6598.jpg</t>
  </si>
  <si>
    <t>Yellow-bellied_Elaenia_MF2699.jpg</t>
  </si>
  <si>
    <t>Yellow-bellied_Flycatcher_6277.jpg</t>
  </si>
  <si>
    <t xml:space="preserve">Yellow-bellied Flycatcher </t>
  </si>
  <si>
    <t>Yellow-bellied_Flycatcher_6282.jpg</t>
  </si>
  <si>
    <t>Yellow-bellied_Sapsucker_-_Timmins.jpg</t>
  </si>
  <si>
    <t xml:space="preserve">Yellow-bellied Sapsucker </t>
  </si>
  <si>
    <t>Yellow-bellied_Sapsucker_0432.jpg</t>
  </si>
  <si>
    <t>Yellow-bellied_Sapsucker_0483.jpg</t>
  </si>
  <si>
    <t>Yellow-bellied_Sapsucker_0534.jpg</t>
  </si>
  <si>
    <t>Yellow-bellied_Sapsucker_1694.jpg</t>
  </si>
  <si>
    <t>Yellow-bellied_Sapsucker_1699.jpg</t>
  </si>
  <si>
    <t>Yellow-bellied_Sapsucker_1768.jpg</t>
  </si>
  <si>
    <t>Yellow-bellied_Sapsucker_9199.jpg</t>
  </si>
  <si>
    <t>Yellow-bellied_Sapsucker_9201.jpg</t>
  </si>
  <si>
    <t>Yellow-bellied_Sapsucker_juv_4619.jpg</t>
  </si>
  <si>
    <t>Yellow-bellied_Seedeater_1850.jpg</t>
  </si>
  <si>
    <t xml:space="preserve">Yellow-bellied Seedeater </t>
  </si>
  <si>
    <t>Yellow-bellied_Siskin_2805.jpg</t>
  </si>
  <si>
    <t xml:space="preserve">Yellow-bellied Siskin </t>
  </si>
  <si>
    <t>Yellow-billed Duck-6147.jpg</t>
  </si>
  <si>
    <t>Yellow-billed Duck</t>
  </si>
  <si>
    <t>Yellow-billed_Cacique_4674.jpg</t>
  </si>
  <si>
    <t xml:space="preserve">Yellow-billed Cacique </t>
  </si>
  <si>
    <t>Yellow-billed_Cacique_MF4540.jpg</t>
  </si>
  <si>
    <t>Yellow-billed_Cardinal_0110.jpg</t>
  </si>
  <si>
    <t xml:space="preserve">Yellow-billed Cardinal </t>
  </si>
  <si>
    <t>Yellow-billed_Cuckoo_6362.jpg</t>
  </si>
  <si>
    <t xml:space="preserve">Yellow-billed Cuckoo </t>
  </si>
  <si>
    <t>Yellow-billed_Cuckoo_7027.jpg</t>
  </si>
  <si>
    <t>Yellow-billed_Spoonbill_1583.jpg</t>
  </si>
  <si>
    <t xml:space="preserve">Yellow-billed Spoonbill </t>
  </si>
  <si>
    <t>Yellow-billed_Spoonbill_3635MF.jpg</t>
  </si>
  <si>
    <t>Yellow-billed_Stork_1767.jpg</t>
  </si>
  <si>
    <t xml:space="preserve">Yellow-billed Stork </t>
  </si>
  <si>
    <t>Yellow-billed_Stork_6604.jpg</t>
  </si>
  <si>
    <t>Yellow-breasted_Chat_7589.jpg</t>
  </si>
  <si>
    <t xml:space="preserve">Yellow-breasted Chat </t>
  </si>
  <si>
    <t>Yellow-breasted_Crake_22390.jpg</t>
  </si>
  <si>
    <t xml:space="preserve">Yellow-breasted Crake </t>
  </si>
  <si>
    <t>Yellow-breasted_Crake_22390DR.jpg</t>
  </si>
  <si>
    <t>Yellow-breasted_Crake_22420.jpg</t>
  </si>
  <si>
    <t>Yellow-breasted_Crake_2410MF.jpg</t>
  </si>
  <si>
    <t>Yellow-chinned_Spinetail_23030.jpg</t>
  </si>
  <si>
    <t xml:space="preserve">Yellow-chinned Spinetail </t>
  </si>
  <si>
    <t>Yellow-chinned_Spinetail_4905.jpg</t>
  </si>
  <si>
    <t>Yellow-collared_Lovebird_169.jpg</t>
  </si>
  <si>
    <t xml:space="preserve">Yellow-collared Lovebird </t>
  </si>
  <si>
    <t>Yellow-crowned_Amazon_22837.jpg</t>
  </si>
  <si>
    <t xml:space="preserve">Yellow-crowned Amazon </t>
  </si>
  <si>
    <t>Yellow-crowned_Amazon_2560MF.jpg</t>
  </si>
  <si>
    <t>Yellow-crowned_Amazon_4866.jpg</t>
  </si>
  <si>
    <t>Yellow-crowned_Euphonia_2528.jpg</t>
  </si>
  <si>
    <t xml:space="preserve">Yellow-crowned Euphonia </t>
  </si>
  <si>
    <t>Yellow-crowned_Euphonia_5259.jpg</t>
  </si>
  <si>
    <t>Yellow-crowned_Night_Heron_1777.jpg</t>
  </si>
  <si>
    <t>Yellow-crowned Night Heron</t>
  </si>
  <si>
    <t>Yellow-crowned_Night_Heron_6463.jpg</t>
  </si>
  <si>
    <t>Yellow-crowned_Night_Heron_7082.jpg</t>
  </si>
  <si>
    <t>Yellow-crowned_Redstart_23874.jpg</t>
  </si>
  <si>
    <t xml:space="preserve">Yellow-crowned Redstart </t>
  </si>
  <si>
    <t>Yellow-crowned_Redstart_3251MF.jpg</t>
  </si>
  <si>
    <t>Yellow-crowned_Tyrannulet_21507.jpg</t>
  </si>
  <si>
    <t xml:space="preserve">Yellow-crowned Tyrannulet </t>
  </si>
  <si>
    <t>Yellow-faced_Grassquit_2411.jpg</t>
  </si>
  <si>
    <t xml:space="preserve">Yellow-faced Grassquit </t>
  </si>
  <si>
    <t>Yellow-faced_Grassquit_3908.jpg</t>
  </si>
  <si>
    <t>Yellow-faced_Grassquit_4409.jpg</t>
  </si>
  <si>
    <t>Yellow-faced_Grassquit_448.jpg</t>
  </si>
  <si>
    <t>Yellow-faced_Grassquit_7876.jpg</t>
  </si>
  <si>
    <t>Yellow-faced_Grassquit.jpg</t>
  </si>
  <si>
    <t>Yellow-faced_Honeyeater_2545MF.jpg</t>
  </si>
  <si>
    <t xml:space="preserve">Yellow-faced Honeyeater </t>
  </si>
  <si>
    <t>Yellow-faced_Honeyeater.jpg</t>
  </si>
  <si>
    <t>Yellow-fronted_Canary_0733.jpg</t>
  </si>
  <si>
    <t xml:space="preserve">Yellow-fronted Canary </t>
  </si>
  <si>
    <t>Yellow-fronted_Canary_2687.jpg</t>
  </si>
  <si>
    <t>Yellow-fronted_Canary_3007.jpg</t>
  </si>
  <si>
    <t>Yellow-green_Vireo_8959.jpg</t>
  </si>
  <si>
    <t xml:space="preserve">Yellow-green Vireo </t>
  </si>
  <si>
    <t>Yellow-green_Vireo_8963.jpg</t>
  </si>
  <si>
    <t>Yellow-headed Blackbird 1282.jpg</t>
  </si>
  <si>
    <t>Yellow-headed Blackbird</t>
  </si>
  <si>
    <t>Yellow-headed_Blackbird_1282.jpg</t>
  </si>
  <si>
    <t xml:space="preserve">Yellow-headed Blackbird </t>
  </si>
  <si>
    <t>Yellow-headed_Blackbird.jpg</t>
  </si>
  <si>
    <t>Yellow-headed_Caracara_1443MF.jpg</t>
  </si>
  <si>
    <t xml:space="preserve">Yellow-headed Caracara </t>
  </si>
  <si>
    <t>Yellow-headed_Caracara_2904.jpg</t>
  </si>
  <si>
    <t>Yellow-headed_Caracara_MF5760.jpg</t>
  </si>
  <si>
    <t>Yellow-hooded_Blackbird_22066.jpg</t>
  </si>
  <si>
    <t xml:space="preserve">Yellow-hooded Blackbird </t>
  </si>
  <si>
    <t>Yellow-hooded_Blackbird_22354.jpg</t>
  </si>
  <si>
    <t>Yellow-hooded_Blackbird_5592.jpg</t>
  </si>
  <si>
    <t>Yellow-hooded_blackbird_TT.jpg</t>
  </si>
  <si>
    <t>Yellow-legged_Thrush_4358.jpg</t>
  </si>
  <si>
    <t xml:space="preserve">Yellow-legged Thrush </t>
  </si>
  <si>
    <t>Yellow-naped_Amazon_MF6166.jpg</t>
  </si>
  <si>
    <t xml:space="preserve">Yellow-naped Amazon </t>
  </si>
  <si>
    <t>Yellow-necked_Spurfowl_325.jpg</t>
  </si>
  <si>
    <t xml:space="preserve">Yellow-necked Spurfowl </t>
  </si>
  <si>
    <t>Yellow-plumed_Honeyeater-646413092.jpg</t>
  </si>
  <si>
    <t>Yellow-plumed Honeyeater</t>
  </si>
  <si>
    <t>Yellow-plumed_Honeyeater-646413381.jpg</t>
  </si>
  <si>
    <t>Yellow-rumped Tinkerbird-4390.jpg</t>
  </si>
  <si>
    <t>Yellow-rumped Tinkerbird</t>
  </si>
  <si>
    <t>Yellow-rumped Warbler-001.jpg</t>
  </si>
  <si>
    <t>Yellow-rumped Warbler</t>
  </si>
  <si>
    <t>Yellow-rumped_Cacique_4977.jpg</t>
  </si>
  <si>
    <t xml:space="preserve">Yellow-rumped Cacique </t>
  </si>
  <si>
    <t>Yellow-rumped_Cacique_8848.jpg</t>
  </si>
  <si>
    <t>Yellow-rumped_Thornbill_4156MF.jpg</t>
  </si>
  <si>
    <t xml:space="preserve">Yellow-rumped Thornbill </t>
  </si>
  <si>
    <t>Yellow-rumped_Warbler_1710.jpg</t>
  </si>
  <si>
    <t xml:space="preserve">Yellow-rumped Warbler </t>
  </si>
  <si>
    <t>Yellow-rumped_Warbler_2309MF.jpg</t>
  </si>
  <si>
    <t>Yellow-rumped_Warbler_2460.jpg</t>
  </si>
  <si>
    <t>Yellow-rumped_Warbler_5290.jpg</t>
  </si>
  <si>
    <t>Yellow-rumped_Warbler_5486MF.jpg</t>
  </si>
  <si>
    <t>Yellow-rumped_Warbler_6797.jpg</t>
  </si>
  <si>
    <t>Yellow-rumped_Warbler_7048.jpg</t>
  </si>
  <si>
    <t>Yellow-rumped_Warbler_8078.jpg</t>
  </si>
  <si>
    <t>Yellow-rumped_Warbler_8848.jpg</t>
  </si>
  <si>
    <t>Yellow-rumped_Warbler_8897.jpg</t>
  </si>
  <si>
    <t>Yellow-rumped_Warbler_CT_2014-004.jpg</t>
  </si>
  <si>
    <t>Yellow-rumped_warbler_SJDLR_2014-001.jpg</t>
  </si>
  <si>
    <t>Yellow-rumped_Warbler-2.jpg</t>
  </si>
  <si>
    <t>Yellow-rumped_Warbler.jpg</t>
  </si>
  <si>
    <t>Yellow-tailed_Black-Cockatoo_1885.jpg</t>
  </si>
  <si>
    <t xml:space="preserve">Yellow-tailed Black-Cockatoo </t>
  </si>
  <si>
    <t>Yellow-tailed_Black-Cockatoo_2758MF.jpg</t>
  </si>
  <si>
    <t>Yellow-tailed_Black-cockatoo_8768.jpg</t>
  </si>
  <si>
    <t>Yellow-tailed_Black-cockatoo-2.jpg</t>
  </si>
  <si>
    <t>Yellow-tailed_Black-cockatoo.jpg</t>
  </si>
  <si>
    <t>Yellow-tailed_Oriole_383.jpg</t>
  </si>
  <si>
    <t xml:space="preserve">Yellow-tailed Oriole </t>
  </si>
  <si>
    <t>Yellow-thighed_Brushfinch_2730.jpg</t>
  </si>
  <si>
    <t xml:space="preserve">Yellow-thighed Brushfinch </t>
  </si>
  <si>
    <t>Yellow-thighed_Brushfinch_3383.jpg</t>
  </si>
  <si>
    <t>Yellow-throated Miner-9740.jpg</t>
  </si>
  <si>
    <t>Yellow-throated Miner</t>
  </si>
  <si>
    <t>Yellow-throated Vireo-055.jpg</t>
  </si>
  <si>
    <t>Yellow-throated Vireo</t>
  </si>
  <si>
    <t>Yellow-throated_Chlorospingus_6088.jpg</t>
  </si>
  <si>
    <t xml:space="preserve">Yellow-throated Chlorospingus </t>
  </si>
  <si>
    <t>Yellow-throated_Euphonia_3131MF.jpg</t>
  </si>
  <si>
    <t xml:space="preserve">Yellow-throated Euphonia </t>
  </si>
  <si>
    <t>Yellow-throated_Euphonia_3151MF.jpg</t>
  </si>
  <si>
    <t>Yellow-throated_Euphonia_MF4605.jpg</t>
  </si>
  <si>
    <t>Yellow-throated_Honeyeater-646932986.jpg</t>
  </si>
  <si>
    <t>Yellow-throated Honeyeater</t>
  </si>
  <si>
    <t>Yellow-throated_Longclaw_187.jpg</t>
  </si>
  <si>
    <t xml:space="preserve">Yellow-throated Longclaw </t>
  </si>
  <si>
    <t>Yellow-throated_Toucan_5488.jpg</t>
  </si>
  <si>
    <t xml:space="preserve">Yellow-throated Toucan </t>
  </si>
  <si>
    <t>Yellow-throated_Toucan_5493.jpg</t>
  </si>
  <si>
    <t>Yellow-throated_Toucan_MF3824.jpg</t>
  </si>
  <si>
    <t>Yellow-throated_Vireo_0061.jpg</t>
  </si>
  <si>
    <t xml:space="preserve">Yellow-throated Vireo </t>
  </si>
  <si>
    <t>Yellow-throated_Vireo_2155.jpg</t>
  </si>
  <si>
    <t>Yellow-throated_Vireo_4336.jpg</t>
  </si>
  <si>
    <t>Yellow-throated_Vireo_4395.jpg</t>
  </si>
  <si>
    <t>Yellow-throated_Vireo_8705.jpg</t>
  </si>
  <si>
    <t>Yellow-throated_Vireo_9719.jpg</t>
  </si>
  <si>
    <t>Yellow-throated_Warbler_2563.jpg</t>
  </si>
  <si>
    <t xml:space="preserve">Yellow-throated Warbler </t>
  </si>
  <si>
    <t>Yellow-throated_Warbler_5381.jpg</t>
  </si>
  <si>
    <t>Yellow-throated_Warbler_8354MF.jpg</t>
  </si>
  <si>
    <t>Yellow-throated_Warbler_8414MF.jpg</t>
  </si>
  <si>
    <t>Yellow-tufted_Honeyeater-647205362.jpg</t>
  </si>
  <si>
    <t>Yellow-tufted Honeyeater</t>
  </si>
  <si>
    <t>Yellowish_Flycatcher_1555MF.jpg</t>
  </si>
  <si>
    <t xml:space="preserve">Yellowish Flycatcher </t>
  </si>
  <si>
    <t>Yellowish_Flycatcher_5880.jpg</t>
  </si>
  <si>
    <t>Yellowish_Flycatcher_7195.jpg</t>
  </si>
  <si>
    <t>Yucatan_Woodpecker-79545541.jpg</t>
  </si>
  <si>
    <t>Yucatan Woodpecker</t>
  </si>
  <si>
    <t>Zebra_Dove_0023.jpg</t>
  </si>
  <si>
    <t xml:space="preserve">Zebra Dove </t>
  </si>
  <si>
    <t>Zeledon's_Antbird-172849401.jpg</t>
  </si>
  <si>
    <t>Zeledon's Antbird</t>
  </si>
  <si>
    <t>Zeledons_Antbird_5912.jpg</t>
  </si>
  <si>
    <t>Old Order</t>
  </si>
  <si>
    <t>Current order</t>
  </si>
  <si>
    <t>Category</t>
  </si>
  <si>
    <t>Scientific Name</t>
  </si>
  <si>
    <t>Taxon</t>
  </si>
  <si>
    <t>Location</t>
  </si>
  <si>
    <t>S/P</t>
  </si>
  <si>
    <t>Date</t>
  </si>
  <si>
    <t>LocID</t>
  </si>
  <si>
    <t>SubID</t>
  </si>
  <si>
    <t>Exotic</t>
  </si>
  <si>
    <t>Countable</t>
  </si>
  <si>
    <t>species</t>
  </si>
  <si>
    <t>Acadian Flycatcher</t>
  </si>
  <si>
    <t>Moucherolle vert</t>
  </si>
  <si>
    <t>Empidonax virescens</t>
  </si>
  <si>
    <t>Passeriformes</t>
  </si>
  <si>
    <t>Tyrannidae (Tyrant Flycatchers)</t>
  </si>
  <si>
    <t>8.6042x-80.0880 - Nov 13, 2016, 7:51 AM</t>
  </si>
  <si>
    <t>PA-8</t>
  </si>
  <si>
    <t>L5079093</t>
  </si>
  <si>
    <t>S32519336</t>
  </si>
  <si>
    <t>Acorn Woodpecker</t>
  </si>
  <si>
    <t>Pic glandivore</t>
  </si>
  <si>
    <t>Melanerpes formicivorus</t>
  </si>
  <si>
    <t>Piciformes</t>
  </si>
  <si>
    <t>Picidae (Woodpeckers)</t>
  </si>
  <si>
    <t>Orange Walk</t>
  </si>
  <si>
    <t>BZ-OW</t>
  </si>
  <si>
    <t>L295270</t>
  </si>
  <si>
    <t>S15368874</t>
  </si>
  <si>
    <t>Loriot masqué</t>
  </si>
  <si>
    <t>Oriolus larvatus</t>
  </si>
  <si>
    <t>Oriolidae (Old World Orioles)</t>
  </si>
  <si>
    <t>Kruger NP--Letaba-Olifants Rd</t>
  </si>
  <si>
    <t>ZA-LP</t>
  </si>
  <si>
    <t>L2355950</t>
  </si>
  <si>
    <t>S20317879</t>
  </si>
  <si>
    <t>Baza coucou</t>
  </si>
  <si>
    <t>Aviceda cuculoides</t>
  </si>
  <si>
    <t>Accipitriformes</t>
  </si>
  <si>
    <t>Accipitridae (Hawks, Eagles, and Kites)</t>
  </si>
  <si>
    <t>St Lucia--iMfolozi River mouth</t>
  </si>
  <si>
    <t>ZA-NL</t>
  </si>
  <si>
    <t>L4209873</t>
  </si>
  <si>
    <t>S20614058</t>
  </si>
  <si>
    <t>African Darter</t>
  </si>
  <si>
    <t>Anhinga d'Afrique</t>
  </si>
  <si>
    <t>Anhinga rufa</t>
  </si>
  <si>
    <t>Suliformes</t>
  </si>
  <si>
    <t>Anhingidae (Anhingas)</t>
  </si>
  <si>
    <t>Kruger NP--southern section (please be more specific)</t>
  </si>
  <si>
    <t>ZA-MP</t>
  </si>
  <si>
    <t>L972510</t>
  </si>
  <si>
    <t>S20390197</t>
  </si>
  <si>
    <t>African Firefinch</t>
  </si>
  <si>
    <t>Amarante foncé</t>
  </si>
  <si>
    <t>Lagonosticta rubricata</t>
  </si>
  <si>
    <t>Estrildidae (Waxbills and Allies)</t>
  </si>
  <si>
    <t>African Fish-Eagle</t>
  </si>
  <si>
    <t>Pygargue vocifer</t>
  </si>
  <si>
    <t>Icthyophaga vocifer</t>
  </si>
  <si>
    <t>African Golden-Weaver</t>
  </si>
  <si>
    <t>Tisserin jaune</t>
  </si>
  <si>
    <t>Ploceus subaureus</t>
  </si>
  <si>
    <t>Ploceidae (Weavers and Allies)</t>
  </si>
  <si>
    <t>S20565478</t>
  </si>
  <si>
    <t>African Goshawk</t>
  </si>
  <si>
    <t>Autour tachiro</t>
  </si>
  <si>
    <t>Aerospiza tachiro</t>
  </si>
  <si>
    <t>Moremi--Khwai River (north side)</t>
  </si>
  <si>
    <t>BW-NW</t>
  </si>
  <si>
    <t>L1220375</t>
  </si>
  <si>
    <t>S20696955</t>
  </si>
  <si>
    <t>Gobemouche à petit bec</t>
  </si>
  <si>
    <t>Bradornis microrhynchus</t>
  </si>
  <si>
    <t>Muscicapidae (Old World Flycatchers)</t>
  </si>
  <si>
    <t>Lake Manyara NP (Arusha)</t>
  </si>
  <si>
    <t>TZ-01</t>
  </si>
  <si>
    <t>L1033409</t>
  </si>
  <si>
    <t>S15379179</t>
  </si>
  <si>
    <t>Calao à bec noir</t>
  </si>
  <si>
    <t>Lophoceros nasutus</t>
  </si>
  <si>
    <t>Bucerotiformes</t>
  </si>
  <si>
    <t>Bucerotidae (Hornbills)</t>
  </si>
  <si>
    <t>Erongo Lodge</t>
  </si>
  <si>
    <t>NA-ER</t>
  </si>
  <si>
    <t>L17656026</t>
  </si>
  <si>
    <t>S102100868</t>
  </si>
  <si>
    <t>African Green-Pigeon</t>
  </si>
  <si>
    <t>Colombar à front nu</t>
  </si>
  <si>
    <t>Treron calvus</t>
  </si>
  <si>
    <t>Columbiformes</t>
  </si>
  <si>
    <t>Columbidae (Pigeons and Doves)</t>
  </si>
  <si>
    <t>African Harrier-Hawk</t>
  </si>
  <si>
    <t>Gymnogène d'Afrique</t>
  </si>
  <si>
    <t>Polyboroides typus</t>
  </si>
  <si>
    <t>Aigle fascié</t>
  </si>
  <si>
    <t>Aquila spilogaster</t>
  </si>
  <si>
    <t>S20314308</t>
  </si>
  <si>
    <t>Jacana à poitrine dorée</t>
  </si>
  <si>
    <t>Actophilornis africanus</t>
  </si>
  <si>
    <t>Charadriiformes</t>
  </si>
  <si>
    <t>Jacanidae (Jacanas)</t>
  </si>
  <si>
    <t>Kruger NP--Skukuza Camp (Camp only; please use more precise hotspots for drives)</t>
  </si>
  <si>
    <t>L951360</t>
  </si>
  <si>
    <t>S20389946</t>
  </si>
  <si>
    <t>Busard grenouillard</t>
  </si>
  <si>
    <t>Circus ranivorus</t>
  </si>
  <si>
    <t>Ithala GR</t>
  </si>
  <si>
    <t>L3161131</t>
  </si>
  <si>
    <t>S20535371</t>
  </si>
  <si>
    <t>African Openbill</t>
  </si>
  <si>
    <t>Bec-ouvert africain</t>
  </si>
  <si>
    <t>Anastomus lamelligerus</t>
  </si>
  <si>
    <t>Ciconiiformes</t>
  </si>
  <si>
    <t>Ciconiidae (Storks)</t>
  </si>
  <si>
    <t>African Oystercatcher</t>
  </si>
  <si>
    <t>Huîtrier de Moquin</t>
  </si>
  <si>
    <t>Haematopus moquini</t>
  </si>
  <si>
    <t>Haematopodidae (Oystercatchers)</t>
  </si>
  <si>
    <t>Lüderitz (town)</t>
  </si>
  <si>
    <t>NA-KA</t>
  </si>
  <si>
    <t>L1488282</t>
  </si>
  <si>
    <t>S102155147</t>
  </si>
  <si>
    <t>African Palm Swift</t>
  </si>
  <si>
    <t>Martinet des palmes</t>
  </si>
  <si>
    <t>Cypsiurus parvus</t>
  </si>
  <si>
    <t>Apodiformes</t>
  </si>
  <si>
    <t>Apodidae (Swifts)</t>
  </si>
  <si>
    <t>Nhlangano</t>
  </si>
  <si>
    <t>SZ-SH</t>
  </si>
  <si>
    <t>L3159754</t>
  </si>
  <si>
    <t>S20523644</t>
  </si>
  <si>
    <t>African Paradise-Flycatcher</t>
  </si>
  <si>
    <t>Tchitrec d'Afrique</t>
  </si>
  <si>
    <t>Terpsiphone viridis</t>
  </si>
  <si>
    <t>Monarchidae (Monarch Flycatchers)</t>
  </si>
  <si>
    <t>R69</t>
  </si>
  <si>
    <t>L3164567</t>
  </si>
  <si>
    <t>S20565272</t>
  </si>
  <si>
    <t>Bergeronnette pie</t>
  </si>
  <si>
    <t>Motacilla aguimp</t>
  </si>
  <si>
    <t>Motacillidae (Wagtails and Pipits)</t>
  </si>
  <si>
    <t>Lake Eyasi</t>
  </si>
  <si>
    <t>L2082292</t>
  </si>
  <si>
    <t>S15379188</t>
  </si>
  <si>
    <t>African Pipit</t>
  </si>
  <si>
    <t>Pipit africain</t>
  </si>
  <si>
    <t>Anthus cinnamomeus</t>
  </si>
  <si>
    <t>Ibis sacré</t>
  </si>
  <si>
    <t>Threskiornis aethiopicus</t>
  </si>
  <si>
    <t>Pelecaniformes</t>
  </si>
  <si>
    <t>Threskiornithidae (Ibises and Spoonbills)</t>
  </si>
  <si>
    <t>African Silverbill</t>
  </si>
  <si>
    <t>Capucin bec-d'argent</t>
  </si>
  <si>
    <t>Euodice cantans</t>
  </si>
  <si>
    <t>Francis H. I'i Brown North Course, Kamuela US-HI (19.9409,-155.8603)</t>
  </si>
  <si>
    <t>US-HI</t>
  </si>
  <si>
    <t>L8081156</t>
  </si>
  <si>
    <t>S49516203</t>
  </si>
  <si>
    <t>N</t>
  </si>
  <si>
    <t>African Skimmer</t>
  </si>
  <si>
    <t>Bec-en-ciseaux d'Afrique</t>
  </si>
  <si>
    <t>Rynchops flavirostris</t>
  </si>
  <si>
    <t>Laridae (Gulls, Terns, and Skimmers)</t>
  </si>
  <si>
    <t>Chobe River--west of Kasane</t>
  </si>
  <si>
    <t>L2538778</t>
  </si>
  <si>
    <t>S20699076</t>
  </si>
  <si>
    <t>African Spoonbill</t>
  </si>
  <si>
    <t>Spatule d'Afrique</t>
  </si>
  <si>
    <t>Platalea alba</t>
  </si>
  <si>
    <t>African Stonechat</t>
  </si>
  <si>
    <t>Monticole rocar</t>
  </si>
  <si>
    <t>Saxicola torquatus</t>
  </si>
  <si>
    <t>African Swamphen</t>
  </si>
  <si>
    <t>Talève d'Afrique</t>
  </si>
  <si>
    <t>Porphyrio madagascariensis</t>
  </si>
  <si>
    <t>Gruiformes</t>
  </si>
  <si>
    <t>Rallidae (Rails, Gallinules, and Coots)</t>
  </si>
  <si>
    <t>Korsman Bird Sanctuary</t>
  </si>
  <si>
    <t>ZA-GT</t>
  </si>
  <si>
    <t>L1912725</t>
  </si>
  <si>
    <t>S20305927</t>
  </si>
  <si>
    <t>Cigogne à pattes noires</t>
  </si>
  <si>
    <t>Ciconia microscelis</t>
  </si>
  <si>
    <t>Agami Heron</t>
  </si>
  <si>
    <t>Héron agami</t>
  </si>
  <si>
    <t>Agamia agami</t>
  </si>
  <si>
    <t>Ardeidae (Herons, Egrets, and Bitterns)</t>
  </si>
  <si>
    <t>Refugio mixto Caño Negro</t>
  </si>
  <si>
    <t>CR-A</t>
  </si>
  <si>
    <t>L691866</t>
  </si>
  <si>
    <t>S112726151</t>
  </si>
  <si>
    <t>Akiapolaau</t>
  </si>
  <si>
    <t>Akiapolaau d'Hawaï</t>
  </si>
  <si>
    <t>Hemignathus wilsoni</t>
  </si>
  <si>
    <t>Fringillidae (Finches, Euphonias, and Allies)</t>
  </si>
  <si>
    <t>Pu'u O'o Trail, Kipuka Ainahou section (first 2 miles)</t>
  </si>
  <si>
    <t>L366605</t>
  </si>
  <si>
    <t>S49612040</t>
  </si>
  <si>
    <t>Alder Flycatcher</t>
  </si>
  <si>
    <t>Moucherolle des aulnes</t>
  </si>
  <si>
    <t>Empidonax alnorum</t>
  </si>
  <si>
    <t>Osgoode, Ottawa CA-ON (45.2238,-75.6297)</t>
  </si>
  <si>
    <t>CA-ON</t>
  </si>
  <si>
    <t>L9160902</t>
  </si>
  <si>
    <t>S72160828</t>
  </si>
  <si>
    <t>Alpine Accentor</t>
  </si>
  <si>
    <t>Accenteur alpin</t>
  </si>
  <si>
    <t>Prunella collaris</t>
  </si>
  <si>
    <t>Prunellidae (Accentors)</t>
  </si>
  <si>
    <t>Peisey-Nancroix (ville)</t>
  </si>
  <si>
    <t>FR-ARA</t>
  </si>
  <si>
    <t>L8433472</t>
  </si>
  <si>
    <t>S52089497</t>
  </si>
  <si>
    <t>Colibri d'Allen</t>
  </si>
  <si>
    <t>Selasphorus sasin</t>
  </si>
  <si>
    <t>Trochilidae (Hummingbirds)</t>
  </si>
  <si>
    <t>Mission Creek--SB Museum of Natural History</t>
  </si>
  <si>
    <t>US-CA</t>
  </si>
  <si>
    <t>L600095</t>
  </si>
  <si>
    <t>S15451608</t>
  </si>
  <si>
    <t>Altamira Oriole</t>
  </si>
  <si>
    <t>Oriole à gros bec</t>
  </si>
  <si>
    <t>Icterus gularis</t>
  </si>
  <si>
    <t>Icteridae (Troupials and Allies)</t>
  </si>
  <si>
    <t>Amazon Kingfisher</t>
  </si>
  <si>
    <t>Martin-pêcheur d'Amazonie</t>
  </si>
  <si>
    <t>Chloroceryle amazona</t>
  </si>
  <si>
    <t>Coraciiformes</t>
  </si>
  <si>
    <t>Alcedinidae (Kingfishers)</t>
  </si>
  <si>
    <t>Avocette d'Amérique</t>
  </si>
  <si>
    <t>Recurvirostra americana</t>
  </si>
  <si>
    <t>Recurvirostridae (Stilts and Avocets)</t>
  </si>
  <si>
    <t>Mersea Rd 2 west bridge</t>
  </si>
  <si>
    <t>L3619669</t>
  </si>
  <si>
    <t>S23478734</t>
  </si>
  <si>
    <t>Effraie d'Amérique</t>
  </si>
  <si>
    <t>Tyto furcata</t>
  </si>
  <si>
    <t>Strigiformes</t>
  </si>
  <si>
    <t>Tytonidae (Barn-Owls)</t>
  </si>
  <si>
    <t>Santa Cruz--Área general (por favor usar un hotspot más específico)</t>
  </si>
  <si>
    <t>EC-W</t>
  </si>
  <si>
    <t>L471636</t>
  </si>
  <si>
    <t>S15379722</t>
  </si>
  <si>
    <t>Butor d'Amérique</t>
  </si>
  <si>
    <t>Botaurus lentiginosus</t>
  </si>
  <si>
    <t>Marais 3 à 5 (Canards Illimités)</t>
  </si>
  <si>
    <t>CA-QC</t>
  </si>
  <si>
    <t>L1145146</t>
  </si>
  <si>
    <t>S15364580</t>
  </si>
  <si>
    <t>Canard noir</t>
  </si>
  <si>
    <t>Anas rubripes</t>
  </si>
  <si>
    <t>Anseriformes</t>
  </si>
  <si>
    <t>Anatidae (Ducks, Geese, and Waterfowl)</t>
  </si>
  <si>
    <t>Britannia CA--Britannia Ridge</t>
  </si>
  <si>
    <t>L1535778</t>
  </si>
  <si>
    <t>S15359906</t>
  </si>
  <si>
    <t>Foulque d'Amérique</t>
  </si>
  <si>
    <t>Fulica americana</t>
  </si>
  <si>
    <t>American Crow</t>
  </si>
  <si>
    <t>Corneille d'Amérique</t>
  </si>
  <si>
    <t>Corvus brachyrhynchos</t>
  </si>
  <si>
    <t>Corvidae (Crows, Jays, and Magpies)</t>
  </si>
  <si>
    <t>Point Pelee NP* general (use more precise loc.)</t>
  </si>
  <si>
    <t>L131153</t>
  </si>
  <si>
    <t>S15364735</t>
  </si>
  <si>
    <t>American Dipper</t>
  </si>
  <si>
    <t>Cincle d'Amérique</t>
  </si>
  <si>
    <t>Cinclus mexicanus</t>
  </si>
  <si>
    <t>Cinclidae (Dippers)</t>
  </si>
  <si>
    <t>Burnaby Lake--Avalon entrance</t>
  </si>
  <si>
    <t>CA-BC</t>
  </si>
  <si>
    <t>L452571</t>
  </si>
  <si>
    <t>S49326481</t>
  </si>
  <si>
    <t>American Flamingo</t>
  </si>
  <si>
    <t>Flamant des Caraïbes</t>
  </si>
  <si>
    <t>Phoenicopterus ruber</t>
  </si>
  <si>
    <t>Phoenicopteriformes</t>
  </si>
  <si>
    <t>Phoenicopteridae (Flamingos)</t>
  </si>
  <si>
    <t>Playa Los Dos Compadres</t>
  </si>
  <si>
    <t>MX-ROO</t>
  </si>
  <si>
    <t>L3530195</t>
  </si>
  <si>
    <t>S41139758</t>
  </si>
  <si>
    <t>American Golden-Plover</t>
  </si>
  <si>
    <t>Pluvier bronzé</t>
  </si>
  <si>
    <t>Pluvialis dominica</t>
  </si>
  <si>
    <t>Charadriidae (Plovers and Lapwings)</t>
  </si>
  <si>
    <t>Hillman Marsh CA (general location)</t>
  </si>
  <si>
    <t>L283720</t>
  </si>
  <si>
    <t>S29500079</t>
  </si>
  <si>
    <t>Chardonneret jaune</t>
  </si>
  <si>
    <t>Spinus tristis</t>
  </si>
  <si>
    <t>Ottawa--MacDonald-Cartier International Airport (High Road)</t>
  </si>
  <si>
    <t>L1217618</t>
  </si>
  <si>
    <t>S15371413</t>
  </si>
  <si>
    <t>Goéland hudsonien</t>
  </si>
  <si>
    <t>Larus smithsonianus</t>
  </si>
  <si>
    <t>47.5697x-70.2058 - May 25, 2014, 4:01 PM</t>
  </si>
  <si>
    <t>L2879050</t>
  </si>
  <si>
    <t>S18562113</t>
  </si>
  <si>
    <t>American Kestrel</t>
  </si>
  <si>
    <t>Crécerelle d'Amérique</t>
  </si>
  <si>
    <t>Falco sparverius</t>
  </si>
  <si>
    <t>Falconiformes</t>
  </si>
  <si>
    <t>Falconidae (Falcons and Caracaras)</t>
  </si>
  <si>
    <t>Huîtrier d'Amérique</t>
  </si>
  <si>
    <t>Haematopus palliatus</t>
  </si>
  <si>
    <t>St. Marks NWR--Lighthouse Pool &amp; Flats</t>
  </si>
  <si>
    <t>US-FL</t>
  </si>
  <si>
    <t>L578621</t>
  </si>
  <si>
    <t>S25816542</t>
  </si>
  <si>
    <t>American Pipit</t>
  </si>
  <si>
    <t>Pipit d'Amérique</t>
  </si>
  <si>
    <t>Anthus rubescens</t>
  </si>
  <si>
    <t>North Bay--Amelia Park</t>
  </si>
  <si>
    <t>L1254491</t>
  </si>
  <si>
    <t>S15371330</t>
  </si>
  <si>
    <t>Martin-pêcheur nain</t>
  </si>
  <si>
    <t>Chloroceryle aenea</t>
  </si>
  <si>
    <t>Ammo Dump Ponds</t>
  </si>
  <si>
    <t>PA-3</t>
  </si>
  <si>
    <t>L1740339</t>
  </si>
  <si>
    <t>S32679563</t>
  </si>
  <si>
    <t>Paruline flamboyante</t>
  </si>
  <si>
    <t>Setophaga ruticilla</t>
  </si>
  <si>
    <t>Parulidae (New World Warblers)</t>
  </si>
  <si>
    <t>American Robin</t>
  </si>
  <si>
    <t>Merle d'Amérique</t>
  </si>
  <si>
    <t>Turdus migratorius</t>
  </si>
  <si>
    <t>Turdidae (Thrushes and Allies)</t>
  </si>
  <si>
    <t>Pic à dos rayé</t>
  </si>
  <si>
    <t>Picoides dorsalis</t>
  </si>
  <si>
    <t>Base de plein air de Ste-Foy</t>
  </si>
  <si>
    <t>L663110</t>
  </si>
  <si>
    <t>S306257654</t>
  </si>
  <si>
    <t>Bruant hudsonien</t>
  </si>
  <si>
    <t>Spizelloides arborea</t>
  </si>
  <si>
    <t>Passerellidae (New World Sparrows)</t>
  </si>
  <si>
    <t>Ottawa--Rideau Forest</t>
  </si>
  <si>
    <t>L2381380</t>
  </si>
  <si>
    <t>S16034103</t>
  </si>
  <si>
    <t>Pélican d'Amérique</t>
  </si>
  <si>
    <t>Pelecanus erythrorhynchos</t>
  </si>
  <si>
    <t>Pelecanidae (Pelicans)</t>
  </si>
  <si>
    <t>Paynes Prairie Preserve SP--East of US 441 (Please consider using a more specific location/hotspot)</t>
  </si>
  <si>
    <t>L127275</t>
  </si>
  <si>
    <t>S15370904</t>
  </si>
  <si>
    <t>Canard d'Amérique</t>
  </si>
  <si>
    <t>Mareca americana</t>
  </si>
  <si>
    <t>Merritt Island NWR--Black Point Wildlife Drive</t>
  </si>
  <si>
    <t>L127381</t>
  </si>
  <si>
    <t>S15371043</t>
  </si>
  <si>
    <t>Bécasse d'Amérique</t>
  </si>
  <si>
    <t>Scolopax minor</t>
  </si>
  <si>
    <t>Scolopacidae (Sandpipers and Allies)</t>
  </si>
  <si>
    <t>Magee Marsh--Boardwalk</t>
  </si>
  <si>
    <t>US-OH</t>
  </si>
  <si>
    <t>L275986</t>
  </si>
  <si>
    <t>S29416878</t>
  </si>
  <si>
    <t>Amethyst Sunbird</t>
  </si>
  <si>
    <t>Souimanga améthyste</t>
  </si>
  <si>
    <t>Chalcomitra amethystina</t>
  </si>
  <si>
    <t>Nectariniidae (Sunbirds and Spiderhunters)</t>
  </si>
  <si>
    <t>Dullstroom Nature Reserve</t>
  </si>
  <si>
    <t>L2522918</t>
  </si>
  <si>
    <t>S20310028</t>
  </si>
  <si>
    <t>Andean Cock-of-the-rock</t>
  </si>
  <si>
    <t>Coq-de-roche péruvien</t>
  </si>
  <si>
    <t>Rupicola peruvianus</t>
  </si>
  <si>
    <t>Cotingidae (Cotingas)</t>
  </si>
  <si>
    <t>Tandayapa--San Jorge Tandayapa</t>
  </si>
  <si>
    <t>EC-P</t>
  </si>
  <si>
    <t>L1907810</t>
  </si>
  <si>
    <t>S54617813</t>
  </si>
  <si>
    <t>Andean Condor</t>
  </si>
  <si>
    <t>Condor des Andes</t>
  </si>
  <si>
    <t>Vultur gryphus</t>
  </si>
  <si>
    <t>Cathartiformes</t>
  </si>
  <si>
    <t>Cathartidae (New World Vultures)</t>
  </si>
  <si>
    <t>PN Antisana--pradera de los ibis y alrededores</t>
  </si>
  <si>
    <t>EC-N</t>
  </si>
  <si>
    <t>L2761741</t>
  </si>
  <si>
    <t>S54867630</t>
  </si>
  <si>
    <t>Érismature des Andes</t>
  </si>
  <si>
    <t>Oxyura ferruginea</t>
  </si>
  <si>
    <t>Represa Cameguadua</t>
  </si>
  <si>
    <t>CO-CAL</t>
  </si>
  <si>
    <t>L3786045</t>
  </si>
  <si>
    <t>S20932040</t>
  </si>
  <si>
    <t>Andean Emerald</t>
  </si>
  <si>
    <t>Ariane de Francia</t>
  </si>
  <si>
    <t>Uranomitra franciae</t>
  </si>
  <si>
    <t>Reserva Ecológica Río Blanco--Lodge</t>
  </si>
  <si>
    <t>L1252500</t>
  </si>
  <si>
    <t>S20954319</t>
  </si>
  <si>
    <t>Andean Guan</t>
  </si>
  <si>
    <t>Pénélope des Andes</t>
  </si>
  <si>
    <t>Penelope montagnii</t>
  </si>
  <si>
    <t>Galliformes</t>
  </si>
  <si>
    <t>Cracidae (Guans, Chachalacas, and Curassows)</t>
  </si>
  <si>
    <t>Reserva Yanacocha</t>
  </si>
  <si>
    <t>L1396997</t>
  </si>
  <si>
    <t>S54575597</t>
  </si>
  <si>
    <t>Andean Gull</t>
  </si>
  <si>
    <t>Mouette des Andes</t>
  </si>
  <si>
    <t>Chroicocephalus serranus</t>
  </si>
  <si>
    <t>Andean Ibis</t>
  </si>
  <si>
    <t>Ibis des Andes</t>
  </si>
  <si>
    <t>Theristicus branickii</t>
  </si>
  <si>
    <t>Andean Motmot</t>
  </si>
  <si>
    <t>Motmot d'Équateur</t>
  </si>
  <si>
    <t>Momotus aequatorialis</t>
  </si>
  <si>
    <t>Momotidae (Motmots)</t>
  </si>
  <si>
    <t>Andean Pygmy-Owl</t>
  </si>
  <si>
    <t>Chevêchette des Andes</t>
  </si>
  <si>
    <t>Glaucidium jardinii</t>
  </si>
  <si>
    <t>Strigidae (Owls)</t>
  </si>
  <si>
    <t>Reserva Bioandina--Camino de Entrada</t>
  </si>
  <si>
    <t>CO-CUN</t>
  </si>
  <si>
    <t>L2694900</t>
  </si>
  <si>
    <t>S61535405</t>
  </si>
  <si>
    <t>Andean Siskin</t>
  </si>
  <si>
    <t>Tarin des Andes</t>
  </si>
  <si>
    <t>Spinus spinescens</t>
  </si>
  <si>
    <t>Andean Solitaire</t>
  </si>
  <si>
    <t>Solitaire des Andes</t>
  </si>
  <si>
    <t>Myadestes ralloides</t>
  </si>
  <si>
    <t>Reserva Mashpi-Amagusa (Sergio y Doris)</t>
  </si>
  <si>
    <t>L3175551</t>
  </si>
  <si>
    <t>S54680739</t>
  </si>
  <si>
    <t>Andean Teal</t>
  </si>
  <si>
    <t>Sarcelle des Andes</t>
  </si>
  <si>
    <t>Anas andium</t>
  </si>
  <si>
    <t>PNN Los Nevados--Centro de Visitantes La Cueva</t>
  </si>
  <si>
    <t>L7895434</t>
  </si>
  <si>
    <t>S20941471</t>
  </si>
  <si>
    <t>Andean Tit-Spinetail</t>
  </si>
  <si>
    <t>Synallaxe des Andes</t>
  </si>
  <si>
    <t>Leptasthenura andicola</t>
  </si>
  <si>
    <t>Furnariidae (Ovenbirds and Woodcreepers)</t>
  </si>
  <si>
    <t>Anhinga</t>
  </si>
  <si>
    <t>Anhinga d'Amérique</t>
  </si>
  <si>
    <t>Anhinga anhinga</t>
  </si>
  <si>
    <t>Lamanai Maya site</t>
  </si>
  <si>
    <t>L454524</t>
  </si>
  <si>
    <t>S15367549</t>
  </si>
  <si>
    <t>Colibri d'Anna</t>
  </si>
  <si>
    <t>Calypte anna</t>
  </si>
  <si>
    <t>Point Loma--general area</t>
  </si>
  <si>
    <t>L109307</t>
  </si>
  <si>
    <t>S15396825</t>
  </si>
  <si>
    <t>Apapane</t>
  </si>
  <si>
    <t>Picchion cramoisi</t>
  </si>
  <si>
    <t>Himatione sanguinea</t>
  </si>
  <si>
    <t>Hawai_i Volcanoes NP--K_lauea Iki and Thurston Lava Tube</t>
  </si>
  <si>
    <t>L837288</t>
  </si>
  <si>
    <t>S49588034</t>
  </si>
  <si>
    <t>Apical Flycatcher</t>
  </si>
  <si>
    <t>Tyran à queue givrée</t>
  </si>
  <si>
    <t>Myiarchus apicalis</t>
  </si>
  <si>
    <t>DRMI Bosques Secos del Chicamocha--Vereda La Costa</t>
  </si>
  <si>
    <t>CO-BOY</t>
  </si>
  <si>
    <t>L3216165</t>
  </si>
  <si>
    <t>S61626495</t>
  </si>
  <si>
    <t>Faucon aplomado</t>
  </si>
  <si>
    <t>Falco femoralis</t>
  </si>
  <si>
    <t>8.3753x-80.2276 - Nov 14, 2016, 10:27 AM</t>
  </si>
  <si>
    <t>PA-2</t>
  </si>
  <si>
    <t>L5082470</t>
  </si>
  <si>
    <t>S32557075</t>
  </si>
  <si>
    <t>Apôtre gris</t>
  </si>
  <si>
    <t>Struthidea cinerea</t>
  </si>
  <si>
    <t>Corcoracidae (White-winged Chough and Apostlebird)</t>
  </si>
  <si>
    <t>Ikara-Flinders Ranges National Park--Wilpena Pound Campground</t>
  </si>
  <si>
    <t>AU-SA</t>
  </si>
  <si>
    <t>L2536104</t>
  </si>
  <si>
    <t>S282947450</t>
  </si>
  <si>
    <t>Farifotra d'Appert</t>
  </si>
  <si>
    <t>Xanthomixis apperti</t>
  </si>
  <si>
    <t>Bernieridae (Malagasy Warblers)</t>
  </si>
  <si>
    <t>Zombitse-Vohibasia NP</t>
  </si>
  <si>
    <t>MG-U</t>
  </si>
  <si>
    <t>L920160</t>
  </si>
  <si>
    <t>S202373817</t>
  </si>
  <si>
    <t>Newtonie d'Archbold</t>
  </si>
  <si>
    <t>Newtonia archboldi</t>
  </si>
  <si>
    <t>Vangidae (Vangas, Helmetshrikes, and Allies)</t>
  </si>
  <si>
    <t>Ifaty--spiny forest reserves</t>
  </si>
  <si>
    <t>L920191</t>
  </si>
  <si>
    <t>S202372400</t>
  </si>
  <si>
    <t>Arctic Tern</t>
  </si>
  <si>
    <t>Sterne arctique</t>
  </si>
  <si>
    <t>Sterna paradisaea</t>
  </si>
  <si>
    <t>Churchill--Launch Road</t>
  </si>
  <si>
    <t>CA-MB</t>
  </si>
  <si>
    <t>L349496</t>
  </si>
  <si>
    <t>S46905278</t>
  </si>
  <si>
    <t>Arrow-marked Babbler</t>
  </si>
  <si>
    <t>Cratérope fléché</t>
  </si>
  <si>
    <t>Turdoides jardineii</t>
  </si>
  <si>
    <t>Leiothrichidae (Laughingthrushes and Allies)</t>
  </si>
  <si>
    <t>Ash-browed Spinetail</t>
  </si>
  <si>
    <t>Synallaxe à sourcils gris</t>
  </si>
  <si>
    <t>Cranioleuca curtata</t>
  </si>
  <si>
    <t>Laguna de Pedro Palo</t>
  </si>
  <si>
    <t>L1156336</t>
  </si>
  <si>
    <t>S61468916</t>
  </si>
  <si>
    <t>Ashy Starling</t>
  </si>
  <si>
    <t>Choucador cendré</t>
  </si>
  <si>
    <t>Lamprotornis unicolor</t>
  </si>
  <si>
    <t>Sturnidae (Starlings)</t>
  </si>
  <si>
    <t>Tarangire NP</t>
  </si>
  <si>
    <t>TZ-26</t>
  </si>
  <si>
    <t>L1044008</t>
  </si>
  <si>
    <t>S15379289</t>
  </si>
  <si>
    <t>Atlantic Puffin</t>
  </si>
  <si>
    <t>Macareux moine</t>
  </si>
  <si>
    <t>Fratercula arctica</t>
  </si>
  <si>
    <t>Alcidae (Auks, Murres, and Puffins)</t>
  </si>
  <si>
    <t>PN Archipel-de-Mingan--Île aux Perroquets</t>
  </si>
  <si>
    <t>L2995251</t>
  </si>
  <si>
    <t>S31316311</t>
  </si>
  <si>
    <t>Buse augure</t>
  </si>
  <si>
    <t>Buteo augur</t>
  </si>
  <si>
    <t>Anhinga d'Australie</t>
  </si>
  <si>
    <t>Anhinga novaehollandiae</t>
  </si>
  <si>
    <t>Sydney Airport Wetlands</t>
  </si>
  <si>
    <t>AU-NSW</t>
  </si>
  <si>
    <t>L2557248</t>
  </si>
  <si>
    <t>S282123952</t>
  </si>
  <si>
    <t>Sphécothère de Vieillot</t>
  </si>
  <si>
    <t>Sphecotheres vieilloti</t>
  </si>
  <si>
    <t>Royal Botanic Gardens (Sydney)</t>
  </si>
  <si>
    <t>L915566</t>
  </si>
  <si>
    <t>S285893084</t>
  </si>
  <si>
    <t>Australasian Gannet</t>
  </si>
  <si>
    <t>Fou austral</t>
  </si>
  <si>
    <t>Morus serrator</t>
  </si>
  <si>
    <t>Sulidae (Boobies and Gannets)</t>
  </si>
  <si>
    <t>Kiama Blowhole and Seawatch</t>
  </si>
  <si>
    <t>L3795842</t>
  </si>
  <si>
    <t>S39929736</t>
  </si>
  <si>
    <t>Australasian Grebe</t>
  </si>
  <si>
    <t>Grèbe australasien</t>
  </si>
  <si>
    <t>Tachybaptus novaehollandiae</t>
  </si>
  <si>
    <t>Podicipediformes</t>
  </si>
  <si>
    <t>Podicipedidae (Grebes)</t>
  </si>
  <si>
    <t>Royal National Park--Ironbark Flat</t>
  </si>
  <si>
    <t>L2556392</t>
  </si>
  <si>
    <t>S39822365</t>
  </si>
  <si>
    <t>Canard bridé</t>
  </si>
  <si>
    <t>Spatula rhynchotis</t>
  </si>
  <si>
    <t>Beach Rd, Point Wilson</t>
  </si>
  <si>
    <t>AU-VIC</t>
  </si>
  <si>
    <t>L46984038</t>
  </si>
  <si>
    <t>S284648976</t>
  </si>
  <si>
    <t>Australasian Swamphen</t>
  </si>
  <si>
    <t>Talève australe</t>
  </si>
  <si>
    <t>Porphyrio melanotus</t>
  </si>
  <si>
    <t>Australian Boobook</t>
  </si>
  <si>
    <t>Ninoxe d'Australie</t>
  </si>
  <si>
    <t>Ninox boobook</t>
  </si>
  <si>
    <t>Ikara-Flinders Ranges National Park--Wilpena Pound</t>
  </si>
  <si>
    <t>L1239946</t>
  </si>
  <si>
    <t>S282962836</t>
  </si>
  <si>
    <t>Australian Brushturkey</t>
  </si>
  <si>
    <t>Talégalle de Latham</t>
  </si>
  <si>
    <t>Alectura lathami</t>
  </si>
  <si>
    <t>Megapodiidae (Megapodes)</t>
  </si>
  <si>
    <t>Blue Mountains Botanic Garden</t>
  </si>
  <si>
    <t>L2556612</t>
  </si>
  <si>
    <t>S39782646</t>
  </si>
  <si>
    <t>Australian Crake</t>
  </si>
  <si>
    <t>Marouette d'Australie</t>
  </si>
  <si>
    <t>Porzana fluminea</t>
  </si>
  <si>
    <t>Port Gawler Conservation Park</t>
  </si>
  <si>
    <t>L2555831</t>
  </si>
  <si>
    <t>S282631617</t>
  </si>
  <si>
    <t>Petit Faucon</t>
  </si>
  <si>
    <t>Falco longipennis</t>
  </si>
  <si>
    <t>Wilsons Promontory National Park--Tidal River</t>
  </si>
  <si>
    <t>L2548714</t>
  </si>
  <si>
    <t>S40006040</t>
  </si>
  <si>
    <t>Australian Ibis</t>
  </si>
  <si>
    <t>Ibis à cou noir</t>
  </si>
  <si>
    <t>Threskiornis molucca</t>
  </si>
  <si>
    <t>S39591405</t>
  </si>
  <si>
    <t>Australian King-Parrot</t>
  </si>
  <si>
    <t>Perruche royale</t>
  </si>
  <si>
    <t>Alisterus scapularis</t>
  </si>
  <si>
    <t>Psittaciformes</t>
  </si>
  <si>
    <t>Psittaculidae (Old World Parrots)</t>
  </si>
  <si>
    <t>Royal National Park--The Forest Path</t>
  </si>
  <si>
    <t>L2555880</t>
  </si>
  <si>
    <t>S39855810</t>
  </si>
  <si>
    <t>Australian Magpie</t>
  </si>
  <si>
    <t>Cassican flûteur</t>
  </si>
  <si>
    <t>Gymnorhina tibicen</t>
  </si>
  <si>
    <t>Artamidae (Woodswallows, Bellmagpies, and Allies)</t>
  </si>
  <si>
    <t>Égothèle d'Australie</t>
  </si>
  <si>
    <t>Aegotheles cristatus</t>
  </si>
  <si>
    <t>Aegotheliformes</t>
  </si>
  <si>
    <t>Aegothelidae (Owlet-nightjars)</t>
  </si>
  <si>
    <t>Cobb Highway at -35.333, 144.848</t>
  </si>
  <si>
    <t>L7738433</t>
  </si>
  <si>
    <t>S283855815</t>
  </si>
  <si>
    <t>Australian Pelican</t>
  </si>
  <si>
    <t>Pélican à lunettes</t>
  </si>
  <si>
    <t>Pelecanus conspicillatus</t>
  </si>
  <si>
    <t>Australian Pipit</t>
  </si>
  <si>
    <t>Pipit d'Australie</t>
  </si>
  <si>
    <t>Anthus australis</t>
  </si>
  <si>
    <t>Point Cook Coastal Park--The Tower</t>
  </si>
  <si>
    <t>L3025678</t>
  </si>
  <si>
    <t>S40053163</t>
  </si>
  <si>
    <t>Glaréole isabelle</t>
  </si>
  <si>
    <t>Glareola isabella</t>
  </si>
  <si>
    <t>Glareolidae (Pratincoles and Coursers)</t>
  </si>
  <si>
    <t>Warwillah Rd, Wanganella (no access away from roadway)</t>
  </si>
  <si>
    <t>L7738455</t>
  </si>
  <si>
    <t>S283855987</t>
  </si>
  <si>
    <t>Corbeau d'Australie</t>
  </si>
  <si>
    <t>Corvus coronoides</t>
  </si>
  <si>
    <t>Bundeena</t>
  </si>
  <si>
    <t>L3005370</t>
  </si>
  <si>
    <t>S39823132</t>
  </si>
  <si>
    <t>Rousserolle d'Australie</t>
  </si>
  <si>
    <t>Acrocephalus australis</t>
  </si>
  <si>
    <t>Acrocephalidae (Reed Warblers and Allies)</t>
  </si>
  <si>
    <t>Tower Hill Wildlife Reserve</t>
  </si>
  <si>
    <t>L1557351</t>
  </si>
  <si>
    <t>S40079154</t>
  </si>
  <si>
    <t>Perruche à col jaune</t>
  </si>
  <si>
    <t>Barnardius zonarius</t>
  </si>
  <si>
    <t>Ikara-Flinders Ranges National Park--Brachina Gorge Lookout</t>
  </si>
  <si>
    <t>L4913364</t>
  </si>
  <si>
    <t>S282936967</t>
  </si>
  <si>
    <t>Rhipidure roux</t>
  </si>
  <si>
    <t>Rhipidura rufifrons</t>
  </si>
  <si>
    <t>Rhipiduridae (Fantails)</t>
  </si>
  <si>
    <t>Toolangi State Forest--Wirrawilla Rainforest</t>
  </si>
  <si>
    <t>L2301671</t>
  </si>
  <si>
    <t>S284185848</t>
  </si>
  <si>
    <t>Australian Shelduck</t>
  </si>
  <si>
    <t>Tadorne d'Australie</t>
  </si>
  <si>
    <t>Tadorna tadornoides</t>
  </si>
  <si>
    <t>Old Ocean Road at Princetown</t>
  </si>
  <si>
    <t>L1431899</t>
  </si>
  <si>
    <t>S40059483</t>
  </si>
  <si>
    <t>Azara's Spinetail</t>
  </si>
  <si>
    <t>Synallaxe d'Azara</t>
  </si>
  <si>
    <t>Synallaxis azarae</t>
  </si>
  <si>
    <t>Azure Kingfisher</t>
  </si>
  <si>
    <t>Martin-pêcheur à dos bleu</t>
  </si>
  <si>
    <t>Ceyx azureus</t>
  </si>
  <si>
    <t>Bald Eagle</t>
  </si>
  <si>
    <t>Pygargue à tête blanche</t>
  </si>
  <si>
    <t>Haliaeetus leucocephalus</t>
  </si>
  <si>
    <t>Oriole de Baltimore</t>
  </si>
  <si>
    <t>Icterus galbula</t>
  </si>
  <si>
    <t>Bananaquit</t>
  </si>
  <si>
    <t>Sucrier à ventre jaune</t>
  </si>
  <si>
    <t>Coereba flaveola</t>
  </si>
  <si>
    <t>Thraupidae (Tanagers and Allies)</t>
  </si>
  <si>
    <t>Band-backed Wren</t>
  </si>
  <si>
    <t>Troglodyte zoné</t>
  </si>
  <si>
    <t>Campylorhynchus zonatus</t>
  </si>
  <si>
    <t>Troglodytidae (Wrens)</t>
  </si>
  <si>
    <t>Band-tailed Guan</t>
  </si>
  <si>
    <t>Pénélope à queue barrée</t>
  </si>
  <si>
    <t>Penelope argyrotis</t>
  </si>
  <si>
    <t>Bellavista--Vereda</t>
  </si>
  <si>
    <t>CO-MAG</t>
  </si>
  <si>
    <t>L2146838</t>
  </si>
  <si>
    <t>S223933895</t>
  </si>
  <si>
    <t>Pigeon à queue barrée</t>
  </si>
  <si>
    <t>Patagioenas fasciata</t>
  </si>
  <si>
    <t>S20960630</t>
  </si>
  <si>
    <t>Band-winged Nightjar</t>
  </si>
  <si>
    <t>Engoulevent à miroir</t>
  </si>
  <si>
    <t>Systellura longirostris</t>
  </si>
  <si>
    <t>Caprimulgiformes</t>
  </si>
  <si>
    <t>Caprimulgidae (Nightjars and Allies)</t>
  </si>
  <si>
    <t>Vanneau tricolore</t>
  </si>
  <si>
    <t>Vanellus tricolor</t>
  </si>
  <si>
    <t>Banded Stilt</t>
  </si>
  <si>
    <t>Échasse à tête blanche</t>
  </si>
  <si>
    <t>Cladorhynchus leucocephalus</t>
  </si>
  <si>
    <t>17–29 Mulgaria Rd, Witchelina AU-SA -30.06746, 138.13051</t>
  </si>
  <si>
    <t>L54773533</t>
  </si>
  <si>
    <t>S282786364</t>
  </si>
  <si>
    <t>Banded Wren</t>
  </si>
  <si>
    <t>Troglodyte barré</t>
  </si>
  <si>
    <t>Thryophilus pleurostictus</t>
  </si>
  <si>
    <t>Guacimo Road</t>
  </si>
  <si>
    <t>CR-P</t>
  </si>
  <si>
    <t>L1456808</t>
  </si>
  <si>
    <t>S113178762</t>
  </si>
  <si>
    <t>Bank Swallow</t>
  </si>
  <si>
    <t>Hirondelle de rivage</t>
  </si>
  <si>
    <t>Riparia riparia</t>
  </si>
  <si>
    <t>Hirundinidae (Swallows)</t>
  </si>
  <si>
    <t>Batara de Lafresnaye</t>
  </si>
  <si>
    <t>Thamnophilus multistriatus</t>
  </si>
  <si>
    <t>Thamnophilidae (Typical Antbirds)</t>
  </si>
  <si>
    <t>Bar-tailed Godwit</t>
  </si>
  <si>
    <t>Barge rousse</t>
  </si>
  <si>
    <t>Limosa lapponica</t>
  </si>
  <si>
    <t>Bar-throated Apalis</t>
  </si>
  <si>
    <t>Apalis à collier</t>
  </si>
  <si>
    <t>Apalis thoracica</t>
  </si>
  <si>
    <t>Cisticolidae (Cisticolas and Allies)</t>
  </si>
  <si>
    <t>Bare-crowned Antbird</t>
  </si>
  <si>
    <t>Alapi à tête nue</t>
  </si>
  <si>
    <t>Gymnocichla nudiceps</t>
  </si>
  <si>
    <t>Lajas Blancas</t>
  </si>
  <si>
    <t>PA-EM</t>
  </si>
  <si>
    <t>L5683119</t>
  </si>
  <si>
    <t>S35739384</t>
  </si>
  <si>
    <t>Bare-eyed Pigeon</t>
  </si>
  <si>
    <t>Pigeon jounud</t>
  </si>
  <si>
    <t>Patagioenas corensis</t>
  </si>
  <si>
    <t>SFF Los Flamencos--Resguardo Perratpu/Boca de Camarones</t>
  </si>
  <si>
    <t>CO-LAG</t>
  </si>
  <si>
    <t>L2080823</t>
  </si>
  <si>
    <t>S224053174</t>
  </si>
  <si>
    <t>Bare-faced Ibis</t>
  </si>
  <si>
    <t>Ibis à face nue</t>
  </si>
  <si>
    <t>Phimosus infuscatus</t>
  </si>
  <si>
    <t>Bare-throated Tiger-Heron</t>
  </si>
  <si>
    <t>Onoré du Mexique</t>
  </si>
  <si>
    <t>Tigrisoma mexicanum</t>
  </si>
  <si>
    <t>Via Parque Isla de Salamanca--Lagunas Costeras</t>
  </si>
  <si>
    <t>L1051521</t>
  </si>
  <si>
    <t>S103525654</t>
  </si>
  <si>
    <t>Barn Swallow</t>
  </si>
  <si>
    <t>Hirondelle rustique</t>
  </si>
  <si>
    <t>Hirundo rustica</t>
  </si>
  <si>
    <t>Barred Antshrike</t>
  </si>
  <si>
    <t>Batara rayé</t>
  </si>
  <si>
    <t>Thamnophilus doliatus</t>
  </si>
  <si>
    <t>Barred Becard</t>
  </si>
  <si>
    <t>Bécarde barrée</t>
  </si>
  <si>
    <t>Pachyramphus versicolor</t>
  </si>
  <si>
    <t>Tityridae (Tityras and Allies)</t>
  </si>
  <si>
    <t>Barred Hawk</t>
  </si>
  <si>
    <t>Buse barrée</t>
  </si>
  <si>
    <t>Morphnarchus princeps</t>
  </si>
  <si>
    <t>S54629295</t>
  </si>
  <si>
    <t>Barred Owl</t>
  </si>
  <si>
    <t>Chouette rayée</t>
  </si>
  <si>
    <t>Strix varia</t>
  </si>
  <si>
    <t>Wolfe Island</t>
  </si>
  <si>
    <t>L1022214</t>
  </si>
  <si>
    <t>S15371295</t>
  </si>
  <si>
    <t>Barred Puffbird</t>
  </si>
  <si>
    <t>Tamatia barré</t>
  </si>
  <si>
    <t>Nystalus radiatus</t>
  </si>
  <si>
    <t>Bucconidae (Puffbirds)</t>
  </si>
  <si>
    <t>Camino a Nuevo Vigía--Puente sobre Río Chucunaque</t>
  </si>
  <si>
    <t>L2736449</t>
  </si>
  <si>
    <t>S35717559</t>
  </si>
  <si>
    <t>Garrot d'Islande</t>
  </si>
  <si>
    <t>Bucephala islandica</t>
  </si>
  <si>
    <t>Ottawa--Rideau River Eastern Pathway north of Hurdman Bridge</t>
  </si>
  <si>
    <t>L8184252</t>
  </si>
  <si>
    <t>S100506914</t>
  </si>
  <si>
    <t>Bassian Thrush</t>
  </si>
  <si>
    <t>Grive à lunules</t>
  </si>
  <si>
    <t>Zoothera lunulata</t>
  </si>
  <si>
    <t>Booderee National Park--Booderee Botanic Gardens</t>
  </si>
  <si>
    <t>L2541277</t>
  </si>
  <si>
    <t>S39909622</t>
  </si>
  <si>
    <t>Bat Falcon</t>
  </si>
  <si>
    <t>Faucon des chauves-souris</t>
  </si>
  <si>
    <t>Falco rufigularis</t>
  </si>
  <si>
    <t>Bateleur</t>
  </si>
  <si>
    <t>Bateleur des savanes</t>
  </si>
  <si>
    <t>Terathopius ecaudatus</t>
  </si>
  <si>
    <t>Bay Wren</t>
  </si>
  <si>
    <t>Troglodyte à calotte noire</t>
  </si>
  <si>
    <t>Cantorchilus nigricapillus</t>
  </si>
  <si>
    <t>Camino La Mesa-Rio Indio</t>
  </si>
  <si>
    <t>L499992</t>
  </si>
  <si>
    <t>S32526147</t>
  </si>
  <si>
    <t>Bay-breasted Warbler</t>
  </si>
  <si>
    <t>Paruline à poitrine baie</t>
  </si>
  <si>
    <t>Setophaga castanea</t>
  </si>
  <si>
    <t>CA-QC-Saint-Joseph-de-la-Rive-576-598 Chemin du Quai</t>
  </si>
  <si>
    <t>L2876762</t>
  </si>
  <si>
    <t>S18547836</t>
  </si>
  <si>
    <t>Bay-headed Tanager</t>
  </si>
  <si>
    <t>Calliste rouverdin</t>
  </si>
  <si>
    <t>Tangara gyrola</t>
  </si>
  <si>
    <t>Reserva El Romeral</t>
  </si>
  <si>
    <t>CO-ANT</t>
  </si>
  <si>
    <t>L2786192</t>
  </si>
  <si>
    <t>S21004893</t>
  </si>
  <si>
    <t>Bearded Bellbird</t>
  </si>
  <si>
    <t>Araponga barbu</t>
  </si>
  <si>
    <t>Procnias averano</t>
  </si>
  <si>
    <t>Asa Wright Nature Center</t>
  </si>
  <si>
    <t>TT-TUP</t>
  </si>
  <si>
    <t>L40158136</t>
  </si>
  <si>
    <t>S44325960</t>
  </si>
  <si>
    <t>Bearded Vulture</t>
  </si>
  <si>
    <t>Gypaète barbu</t>
  </si>
  <si>
    <t>Gypaetus barbatus</t>
  </si>
  <si>
    <t>RNN de Tignes-Champagny (RNN2)</t>
  </si>
  <si>
    <t>L3250005</t>
  </si>
  <si>
    <t>S21770433</t>
  </si>
  <si>
    <t>Bearded Woodpecker</t>
  </si>
  <si>
    <t>Pic barbu</t>
  </si>
  <si>
    <t>Chloropicus namaquus</t>
  </si>
  <si>
    <t>Okavango Delta--Moremi GR (Please use more specific locations)</t>
  </si>
  <si>
    <t>L1084531</t>
  </si>
  <si>
    <t>S20697106</t>
  </si>
  <si>
    <t>Bell Miner</t>
  </si>
  <si>
    <t>Méliphage à sourcils noirs</t>
  </si>
  <si>
    <t>Manorina melanophrys</t>
  </si>
  <si>
    <t>Meliphagidae (Honeyeaters)</t>
  </si>
  <si>
    <t>Royal Botanic Gardens Melbourne</t>
  </si>
  <si>
    <t>L919153</t>
  </si>
  <si>
    <t>S40182624</t>
  </si>
  <si>
    <t>Belted Kingfisher</t>
  </si>
  <si>
    <t>Martin-pêcheur d'Amérique</t>
  </si>
  <si>
    <t>Megaceryle alcyon</t>
  </si>
  <si>
    <t>Beryl-spangled Tanager</t>
  </si>
  <si>
    <t>Calliste béryl</t>
  </si>
  <si>
    <t>Tangara nigroviridis</t>
  </si>
  <si>
    <t>Troglodyte de Bewick</t>
  </si>
  <si>
    <t>Thryomanes bewickii</t>
  </si>
  <si>
    <t>Balboa Park--general area</t>
  </si>
  <si>
    <t>L337602</t>
  </si>
  <si>
    <t>S15405311</t>
  </si>
  <si>
    <t>Bicolored Antbird</t>
  </si>
  <si>
    <t>Fourmilier bicolore</t>
  </si>
  <si>
    <t>Gymnopithys bicolor</t>
  </si>
  <si>
    <t>Panama Rainforest Discovery Center</t>
  </si>
  <si>
    <t>L454707</t>
  </si>
  <si>
    <t>S32596489</t>
  </si>
  <si>
    <t>Bicolored Antpitta</t>
  </si>
  <si>
    <t>Grallaire bicolore</t>
  </si>
  <si>
    <t>Grallaria rufocinerea</t>
  </si>
  <si>
    <t>Grallariidae (Antpittas)</t>
  </si>
  <si>
    <t>Bicolored Conebill</t>
  </si>
  <si>
    <t>Conirostre bicolore</t>
  </si>
  <si>
    <t>Conirostrum bicolor</t>
  </si>
  <si>
    <t>Bicolored Wren</t>
  </si>
  <si>
    <t>Troglodyte bicolore</t>
  </si>
  <si>
    <t>Campylorhynchus griseus</t>
  </si>
  <si>
    <t>Black Antshrike</t>
  </si>
  <si>
    <t>Batara noir</t>
  </si>
  <si>
    <t>Thamnophilus nigriceps</t>
  </si>
  <si>
    <t>S35694556</t>
  </si>
  <si>
    <t>Moqueur noir</t>
  </si>
  <si>
    <t>Melanoptila glabrirostris</t>
  </si>
  <si>
    <t>Mimidae (Mockingbirds and Thrashers)</t>
  </si>
  <si>
    <t>El Cedral (Pueblo)</t>
  </si>
  <si>
    <t>L1973735</t>
  </si>
  <si>
    <t>S41173836</t>
  </si>
  <si>
    <t>Black Crake</t>
  </si>
  <si>
    <t>Marouette à bec jaune</t>
  </si>
  <si>
    <t>Zapornia flavirostra</t>
  </si>
  <si>
    <t>S20351042</t>
  </si>
  <si>
    <t>Réveilleur noir</t>
  </si>
  <si>
    <t>Strepera fuliginosa</t>
  </si>
  <si>
    <t>3688–3730 Bruny Island Main Rd, Alonnah AU-TAS -43.31371, 147.27388</t>
  </si>
  <si>
    <t>AU-TAS</t>
  </si>
  <si>
    <t>L55253169</t>
  </si>
  <si>
    <t>S285139795</t>
  </si>
  <si>
    <t>Black Falcon</t>
  </si>
  <si>
    <t>Faucon noir</t>
  </si>
  <si>
    <t>Falco subniger</t>
  </si>
  <si>
    <t>71–115 Middleton Rd, Loxton AU-SA -34.47338, 140.59692</t>
  </si>
  <si>
    <t>L54849035</t>
  </si>
  <si>
    <t>S283177742</t>
  </si>
  <si>
    <t>Black Flowerpiercer</t>
  </si>
  <si>
    <t>Percefleur noir</t>
  </si>
  <si>
    <t>Diglossa humeralis</t>
  </si>
  <si>
    <t>Black Francolin</t>
  </si>
  <si>
    <t>Francolin noir</t>
  </si>
  <si>
    <t>Francolinus francolinus</t>
  </si>
  <si>
    <t>Phasianidae (Pheasants, Grouse, and Allies)</t>
  </si>
  <si>
    <t>Road to Cement Plant Rd</t>
  </si>
  <si>
    <t>L1430537</t>
  </si>
  <si>
    <t>S49602576</t>
  </si>
  <si>
    <t>Black Guan</t>
  </si>
  <si>
    <t>Pénélope unicolore</t>
  </si>
  <si>
    <t>Chamaepetes unicolor</t>
  </si>
  <si>
    <t>Canopy Lodge</t>
  </si>
  <si>
    <t>L604642</t>
  </si>
  <si>
    <t>S32519275</t>
  </si>
  <si>
    <t>Guillemot à miroir</t>
  </si>
  <si>
    <t>Cepphus grylle</t>
  </si>
  <si>
    <t>Black Hawk-Eagle</t>
  </si>
  <si>
    <t>Aigle tyran</t>
  </si>
  <si>
    <t>Spizaetus tyrannus</t>
  </si>
  <si>
    <t>Black Heron</t>
  </si>
  <si>
    <t>Aigrette ardoisée</t>
  </si>
  <si>
    <t>Egretta ardesiaca</t>
  </si>
  <si>
    <t>Parc de Tsarasaotra (Lac Alarobia)</t>
  </si>
  <si>
    <t>MG-T</t>
  </si>
  <si>
    <t>L8083407</t>
  </si>
  <si>
    <t>S202747664</t>
  </si>
  <si>
    <t>Black Inca</t>
  </si>
  <si>
    <t>Inca noir</t>
  </si>
  <si>
    <t>Coeligena prunellei</t>
  </si>
  <si>
    <t>RNSC Rogitama Biodiversidad (Acceso Restringido)</t>
  </si>
  <si>
    <t>L23874322</t>
  </si>
  <si>
    <t>S61592522</t>
  </si>
  <si>
    <t>Black Kite</t>
  </si>
  <si>
    <t>Milan noir</t>
  </si>
  <si>
    <t>Milvus migrans</t>
  </si>
  <si>
    <t>Black Oropendola</t>
  </si>
  <si>
    <t>Cassique noir</t>
  </si>
  <si>
    <t>Psarocolius guatimozinus</t>
  </si>
  <si>
    <t>Yaviza wetlands</t>
  </si>
  <si>
    <t>PA-5</t>
  </si>
  <si>
    <t>L1345923</t>
  </si>
  <si>
    <t>S35705073</t>
  </si>
  <si>
    <t>Black Oystercatcher</t>
  </si>
  <si>
    <t>Huîtrier de Bachman</t>
  </si>
  <si>
    <t>Haematopus bachmani</t>
  </si>
  <si>
    <t>Lighthouse Marine Park, Point Roberts</t>
  </si>
  <si>
    <t>US-WA</t>
  </si>
  <si>
    <t>L336663</t>
  </si>
  <si>
    <t>S49294349</t>
  </si>
  <si>
    <t>Moucherolle noir</t>
  </si>
  <si>
    <t>Sayornis nigricans</t>
  </si>
  <si>
    <t>Sunset Cliffs--pullouts</t>
  </si>
  <si>
    <t>L386081</t>
  </si>
  <si>
    <t>S15396965</t>
  </si>
  <si>
    <t>Black Scoter</t>
  </si>
  <si>
    <t>Macreuse à bec jaune</t>
  </si>
  <si>
    <t>Melanitta americana</t>
  </si>
  <si>
    <t>Fort Clinch SP</t>
  </si>
  <si>
    <t>L127287</t>
  </si>
  <si>
    <t>S26006356</t>
  </si>
  <si>
    <t>Black Skimmer</t>
  </si>
  <si>
    <t>Bec-en-ciseaux noir</t>
  </si>
  <si>
    <t>Rynchops niger</t>
  </si>
  <si>
    <t>Santa Barbara Harbor--Stearns Wharf</t>
  </si>
  <si>
    <t>L374051</t>
  </si>
  <si>
    <t>S15442696</t>
  </si>
  <si>
    <t>Black Swan</t>
  </si>
  <si>
    <t>Cygne noir</t>
  </si>
  <si>
    <t>Cygnus atratus</t>
  </si>
  <si>
    <t>Sanctuary Point (Saint Georges Basin)</t>
  </si>
  <si>
    <t>L2541460</t>
  </si>
  <si>
    <t>S39923983</t>
  </si>
  <si>
    <t>Guifette noire</t>
  </si>
  <si>
    <t>Chlidonias niger</t>
  </si>
  <si>
    <t>Magee Marsh (Ottawa Co.)</t>
  </si>
  <si>
    <t>L275517</t>
  </si>
  <si>
    <t>S23424405</t>
  </si>
  <si>
    <t>Black Turnstone</t>
  </si>
  <si>
    <t>Tournepierre noir</t>
  </si>
  <si>
    <t>Arenaria melanocephala</t>
  </si>
  <si>
    <t>S15428483</t>
  </si>
  <si>
    <t>Black Vulture</t>
  </si>
  <si>
    <t>Urubu noir</t>
  </si>
  <si>
    <t>Coragyps atratus</t>
  </si>
  <si>
    <t>Crooked Tree Village</t>
  </si>
  <si>
    <t>BZ-BZ</t>
  </si>
  <si>
    <t>L2084266</t>
  </si>
  <si>
    <t>S15367479</t>
  </si>
  <si>
    <t>Black-and-white Hawk-Eagle</t>
  </si>
  <si>
    <t>Aigle noir et blanc</t>
  </si>
  <si>
    <t>Spizaetus melanoleucus</t>
  </si>
  <si>
    <t>Black-and-white Owl</t>
  </si>
  <si>
    <t>Chouette à lignes noires</t>
  </si>
  <si>
    <t>Strix nigrolineata</t>
  </si>
  <si>
    <t>Sendero Bogarín</t>
  </si>
  <si>
    <t>L3220631</t>
  </si>
  <si>
    <t>S112605875</t>
  </si>
  <si>
    <t>Paruline noir et blanc</t>
  </si>
  <si>
    <t>Mniotilta varia</t>
  </si>
  <si>
    <t>Black-and-yellow Silky-flycatcher</t>
  </si>
  <si>
    <t>Phénoptile noir et jaune</t>
  </si>
  <si>
    <t>Phainoptila melanoxantha</t>
  </si>
  <si>
    <t>Ptiliogonatidae (Silky-flycatchers)</t>
  </si>
  <si>
    <t>Paraiso Quetzal Lodge - Km 70</t>
  </si>
  <si>
    <t>CR-SJ</t>
  </si>
  <si>
    <t>L1457094</t>
  </si>
  <si>
    <t>S112058480</t>
  </si>
  <si>
    <t>Tangara loriot</t>
  </si>
  <si>
    <t>Chrysothlypis chrysomelas</t>
  </si>
  <si>
    <t>Black-backed Antshrike</t>
  </si>
  <si>
    <t>Batara à dos noir</t>
  </si>
  <si>
    <t>Thamnophilus melanonotus</t>
  </si>
  <si>
    <t>Vía a La Plazoleta</t>
  </si>
  <si>
    <t>L6492602</t>
  </si>
  <si>
    <t>S224196660</t>
  </si>
  <si>
    <t>Black-backed Grosbeak</t>
  </si>
  <si>
    <t>Cardinal à dos noir</t>
  </si>
  <si>
    <t>Pheucticus aureoventris</t>
  </si>
  <si>
    <t>Cardinalidae (Cardinals and Allies)</t>
  </si>
  <si>
    <t>PNN Chingaza (Dept. Cundinamarca)</t>
  </si>
  <si>
    <t>L1127703</t>
  </si>
  <si>
    <t>S61489575</t>
  </si>
  <si>
    <t>Black-backed Puffback</t>
  </si>
  <si>
    <t>Cubla boule-de-neige</t>
  </si>
  <si>
    <t>Dryoscopus cubla</t>
  </si>
  <si>
    <t>Malaconotidae (Bushshrikes and Allies)</t>
  </si>
  <si>
    <t>Black-backed Woodpecker</t>
  </si>
  <si>
    <t>Pic à dos noir</t>
  </si>
  <si>
    <t>Picoides arcticus</t>
  </si>
  <si>
    <t>S306571307</t>
  </si>
  <si>
    <t>Black-bellied Hummingbird</t>
  </si>
  <si>
    <t>Colibri à ventre noir</t>
  </si>
  <si>
    <t>Eupherusa nigriventris</t>
  </si>
  <si>
    <t>Galeria de Colibrí y Soda Cinchona - Mirador San Fernando</t>
  </si>
  <si>
    <t>L436224</t>
  </si>
  <si>
    <t>S112532008</t>
  </si>
  <si>
    <t>Black-bellied Plover</t>
  </si>
  <si>
    <t>Pluvier argenté</t>
  </si>
  <si>
    <t>Pluvialis squatarola</t>
  </si>
  <si>
    <t>Sweetwater NWR</t>
  </si>
  <si>
    <t>L2388387</t>
  </si>
  <si>
    <t>S15413421</t>
  </si>
  <si>
    <t>Black-bellied Whistling-Duck</t>
  </si>
  <si>
    <t>Dendrocygne à ventre noir</t>
  </si>
  <si>
    <t>Dendrocygna autumnalis</t>
  </si>
  <si>
    <t>Troglodyte à ventre noir</t>
  </si>
  <si>
    <t>Pheugopedius fasciatoventris</t>
  </si>
  <si>
    <t>Parque Municipal Summit</t>
  </si>
  <si>
    <t>L454709</t>
  </si>
  <si>
    <t>S32610414</t>
  </si>
  <si>
    <t>Black-billed Cuckoo</t>
  </si>
  <si>
    <t>Coulicou à bec noir</t>
  </si>
  <si>
    <t>Coccyzus erythropthalmus</t>
  </si>
  <si>
    <t>Cuculiformes</t>
  </si>
  <si>
    <t>Cuculidae (Cuckoos)</t>
  </si>
  <si>
    <t>Point Pelee NP--Tip</t>
  </si>
  <si>
    <t>L611224</t>
  </si>
  <si>
    <t>S23509543</t>
  </si>
  <si>
    <t>Pie d'Amérique</t>
  </si>
  <si>
    <t>Pica hudsonia</t>
  </si>
  <si>
    <t>Kamloops - T'kumlups marsh</t>
  </si>
  <si>
    <t>L294899</t>
  </si>
  <si>
    <t>S22409437</t>
  </si>
  <si>
    <t>Black-billed Mountain-Toucan</t>
  </si>
  <si>
    <t>Toucan à bec noir</t>
  </si>
  <si>
    <t>Andigena nigrirostris</t>
  </si>
  <si>
    <t>Ramphastidae (Toucans)</t>
  </si>
  <si>
    <t>S20957406</t>
  </si>
  <si>
    <t>Black-billed Nightingale-Thrush</t>
  </si>
  <si>
    <t>Grive à bec noir</t>
  </si>
  <si>
    <t>Catharus gracilirostris</t>
  </si>
  <si>
    <t>Black-billed Peppershrike</t>
  </si>
  <si>
    <t>Sourciroux à bec noir</t>
  </si>
  <si>
    <t>Cyclarhis nigrirostris</t>
  </si>
  <si>
    <t>Vireonidae (Vireos, Shrike-Babblers, and Erpornis)</t>
  </si>
  <si>
    <t>Black-billed Shrike-Tyrant</t>
  </si>
  <si>
    <t>Gaucho à bec noir</t>
  </si>
  <si>
    <t>Agriornis montanus</t>
  </si>
  <si>
    <t>Black-billed Thrush</t>
  </si>
  <si>
    <t>Merle à bec noir</t>
  </si>
  <si>
    <t>Turdus ignobilis</t>
  </si>
  <si>
    <t>Medellin--El Poblado (comuna)</t>
  </si>
  <si>
    <t>L807023</t>
  </si>
  <si>
    <t>S20913061</t>
  </si>
  <si>
    <t>Bondrée à plastron</t>
  </si>
  <si>
    <t>Hamirostra melanosternon</t>
  </si>
  <si>
    <t>Muloorina Station</t>
  </si>
  <si>
    <t>L2554517</t>
  </si>
  <si>
    <t>S282802832</t>
  </si>
  <si>
    <t>Black-breasted Puffbird</t>
  </si>
  <si>
    <t>Tamatia à plastron</t>
  </si>
  <si>
    <t>Notharchus pectoralis</t>
  </si>
  <si>
    <t>Canopy Tower</t>
  </si>
  <si>
    <t>L454638</t>
  </si>
  <si>
    <t>S32596455</t>
  </si>
  <si>
    <t>Black-capped Chickadee</t>
  </si>
  <si>
    <t>Mésange à tête noire</t>
  </si>
  <si>
    <t>Poecile atricapillus</t>
  </si>
  <si>
    <t>Paridae (Tits, Chickadees, and Titmice)</t>
  </si>
  <si>
    <t>S15665404</t>
  </si>
  <si>
    <t>Black-capped Donacobius</t>
  </si>
  <si>
    <t>Donacobe à miroir</t>
  </si>
  <si>
    <t>Donacobius atricapilla</t>
  </si>
  <si>
    <t>Donacobiidae (Donacobius)</t>
  </si>
  <si>
    <t>Río Napo--Isla Anaconda/nearby small river islands</t>
  </si>
  <si>
    <t>EC-D</t>
  </si>
  <si>
    <t>L947605</t>
  </si>
  <si>
    <t>S102086721</t>
  </si>
  <si>
    <t>Black-capped Flycatcher</t>
  </si>
  <si>
    <t>Moucherolle à tête noire</t>
  </si>
  <si>
    <t>Empidonax atriceps</t>
  </si>
  <si>
    <t>Black-capped Hemispingus</t>
  </si>
  <si>
    <t>Tangara à calotte noire</t>
  </si>
  <si>
    <t>Kleinothraupis atropileus</t>
  </si>
  <si>
    <t>Black-capped Pygmy-Tyrant</t>
  </si>
  <si>
    <t>Microtyran à calotte noire</t>
  </si>
  <si>
    <t>Myiornis atricapillus</t>
  </si>
  <si>
    <t>Rio Silanche Bird Sanctuary</t>
  </si>
  <si>
    <t>L1396974</t>
  </si>
  <si>
    <t>S54759271</t>
  </si>
  <si>
    <t>Black-capped Tanager</t>
  </si>
  <si>
    <t>Calliste à calotte noire</t>
  </si>
  <si>
    <t>Stilpnia heinei</t>
  </si>
  <si>
    <t>S54584423</t>
  </si>
  <si>
    <t>Black-capped Tyrannulet</t>
  </si>
  <si>
    <t>Tyranneau à tête noire</t>
  </si>
  <si>
    <t>Tyranniscus nigrocapillus</t>
  </si>
  <si>
    <t>Tangara de Santa Marta</t>
  </si>
  <si>
    <t>Anisognathus melanogenys</t>
  </si>
  <si>
    <t>Cuchilla San Lorenzo</t>
  </si>
  <si>
    <t>L2146871</t>
  </si>
  <si>
    <t>S223403184</t>
  </si>
  <si>
    <t>Black-cheeked Warbler</t>
  </si>
  <si>
    <t>Paruline sombre</t>
  </si>
  <si>
    <t>Basileuterus melanogenys</t>
  </si>
  <si>
    <t>San Gerardo de Dota--Sendero Catarata</t>
  </si>
  <si>
    <t>L830190</t>
  </si>
  <si>
    <t>S155674783</t>
  </si>
  <si>
    <t>Black-cheeked Woodpecker</t>
  </si>
  <si>
    <t>Pic de Pucheran</t>
  </si>
  <si>
    <t>Melanerpes pucherani</t>
  </si>
  <si>
    <t>Black-chested Buzzard-Eagle</t>
  </si>
  <si>
    <t>Buse aguia</t>
  </si>
  <si>
    <t>Geranoaetus melanoleucus</t>
  </si>
  <si>
    <t>San Jorge Ecolodge (Quito)</t>
  </si>
  <si>
    <t>L895012</t>
  </si>
  <si>
    <t>S54519444</t>
  </si>
  <si>
    <t>Black-chested Jay</t>
  </si>
  <si>
    <t>Geai à poitrine noire</t>
  </si>
  <si>
    <t>Cyanocorax affinis</t>
  </si>
  <si>
    <t>Camino a La Mesa</t>
  </si>
  <si>
    <t>L2149551</t>
  </si>
  <si>
    <t>S32494405</t>
  </si>
  <si>
    <t>Black-chested Snake-Eagle</t>
  </si>
  <si>
    <t>Circaète à poitrine noire</t>
  </si>
  <si>
    <t>Circaetus pectoralis</t>
  </si>
  <si>
    <t>S20579355</t>
  </si>
  <si>
    <t>Méliphage à menton noir</t>
  </si>
  <si>
    <t>Melithreptus gularis</t>
  </si>
  <si>
    <t>Chiltern-Mt Pilot National Park--Barnawartha Depot Road</t>
  </si>
  <si>
    <t>L13170290</t>
  </si>
  <si>
    <t>S284059663</t>
  </si>
  <si>
    <t>Black-chinned Mountain Tanager</t>
  </si>
  <si>
    <t>Tangara à menton noir</t>
  </si>
  <si>
    <t>Anisognathus notabilis</t>
  </si>
  <si>
    <t>Barbican à collier</t>
  </si>
  <si>
    <t>Lybius torquatus</t>
  </si>
  <si>
    <t>Lybiidae (African Barbets)</t>
  </si>
  <si>
    <t>Black-collared Hawk</t>
  </si>
  <si>
    <t>Buse à tête blanche</t>
  </si>
  <si>
    <t>Busarellus nigricollis</t>
  </si>
  <si>
    <t>Black-cowled Oriole</t>
  </si>
  <si>
    <t>Oriole monacal</t>
  </si>
  <si>
    <t>Icterus prosthemelas</t>
  </si>
  <si>
    <t>Black-crested Antshrike</t>
  </si>
  <si>
    <t>Batara huppé</t>
  </si>
  <si>
    <t>Sakesphorus canadensis</t>
  </si>
  <si>
    <t>Nariva Swamp</t>
  </si>
  <si>
    <t>TT-RCM</t>
  </si>
  <si>
    <t>L471384</t>
  </si>
  <si>
    <t>S44410326</t>
  </si>
  <si>
    <t>Black-crested Coquette</t>
  </si>
  <si>
    <t>Coquette d'Hélène</t>
  </si>
  <si>
    <t>Lophornis helenae</t>
  </si>
  <si>
    <t>Arenal Observatory Lodge</t>
  </si>
  <si>
    <t>L436229</t>
  </si>
  <si>
    <t>S112605831</t>
  </si>
  <si>
    <t>Black-crested Warbler</t>
  </si>
  <si>
    <t>Paruline à cimier noir</t>
  </si>
  <si>
    <t>Myiothlypis nigrocristata</t>
  </si>
  <si>
    <t>Pittasome à tête noire</t>
  </si>
  <si>
    <t>Pittasoma michleri</t>
  </si>
  <si>
    <t>Conopophagidae (Gnateaters)</t>
  </si>
  <si>
    <t>Quebrada Félix</t>
  </si>
  <si>
    <t>L3384849</t>
  </si>
  <si>
    <t>S35694159</t>
  </si>
  <si>
    <t>Black-crowned Antshrike</t>
  </si>
  <si>
    <t>Batara à nuque noire</t>
  </si>
  <si>
    <t>Thamnophilus atrinucha</t>
  </si>
  <si>
    <t>Semaphore Hill Road--Parque Nacional Soberanía</t>
  </si>
  <si>
    <t>L454718</t>
  </si>
  <si>
    <t>S32635012</t>
  </si>
  <si>
    <t>Bihoreau gris</t>
  </si>
  <si>
    <t>Nycticorax nycticorax</t>
  </si>
  <si>
    <t>Tchagra à tête noire</t>
  </si>
  <si>
    <t>Tchagra senegalus</t>
  </si>
  <si>
    <t>Black-crowned Tityra</t>
  </si>
  <si>
    <t>Tityre à tête noire</t>
  </si>
  <si>
    <t>Tityra inquisitor</t>
  </si>
  <si>
    <t>Tortí</t>
  </si>
  <si>
    <t>L2732559</t>
  </si>
  <si>
    <t>S35679291</t>
  </si>
  <si>
    <t>Coucou oreillard</t>
  </si>
  <si>
    <t>Chalcites osculans</t>
  </si>
  <si>
    <t>Black-eared Hemispingus</t>
  </si>
  <si>
    <t>Tangara barbouillé</t>
  </si>
  <si>
    <t>Sphenopsis melanotis</t>
  </si>
  <si>
    <t>Black-faced Antthrush</t>
  </si>
  <si>
    <t>Tétéma coq-de-bois</t>
  </si>
  <si>
    <t>Formicarius analis</t>
  </si>
  <si>
    <t>Formicariidae (Antthrushes)</t>
  </si>
  <si>
    <t>Cormoran de Tasmanie</t>
  </si>
  <si>
    <t>Phalacrocorax fuscescens</t>
  </si>
  <si>
    <t>Phalacrocoracidae (Cormorants and Shags)</t>
  </si>
  <si>
    <t>Cape Bruny</t>
  </si>
  <si>
    <t>L1482910</t>
  </si>
  <si>
    <t>S285124407</t>
  </si>
  <si>
    <t>Black-faced Cuckooshrike</t>
  </si>
  <si>
    <t>Échenilleur à masque noir</t>
  </si>
  <si>
    <t>Coracina novaehollandiae</t>
  </si>
  <si>
    <t>Campephagidae (Cuckooshrikes)</t>
  </si>
  <si>
    <t>Everglades Gardens, Leura AU-NSW (-33.7223,150.3375)</t>
  </si>
  <si>
    <t>L6337117</t>
  </si>
  <si>
    <t>S39803379</t>
  </si>
  <si>
    <t>Black-faced Grassquit</t>
  </si>
  <si>
    <t>Cici verdinère</t>
  </si>
  <si>
    <t>Melanospiza bicolor</t>
  </si>
  <si>
    <t>TT-Trinidad and Tobago-Craig Hall (11.2361,-60.7149)</t>
  </si>
  <si>
    <t>TT-TOB</t>
  </si>
  <si>
    <t>L7214344</t>
  </si>
  <si>
    <t>S44517846</t>
  </si>
  <si>
    <t>Black-faced Grosbeak</t>
  </si>
  <si>
    <t>Cardinal à ventre blanc</t>
  </si>
  <si>
    <t>Caryothraustes poliogaster</t>
  </si>
  <si>
    <t>Cockscomb Basin Wildlife Sanctuary</t>
  </si>
  <si>
    <t>BZ-SC</t>
  </si>
  <si>
    <t>L330946</t>
  </si>
  <si>
    <t>S15367676</t>
  </si>
  <si>
    <t>Black-faced Solitaire</t>
  </si>
  <si>
    <t>Solitaire masqué</t>
  </si>
  <si>
    <t>Myadestes melanops</t>
  </si>
  <si>
    <t>Savegre Hotel</t>
  </si>
  <si>
    <t>L501858</t>
  </si>
  <si>
    <t>S112097326</t>
  </si>
  <si>
    <t>Langrayen gris</t>
  </si>
  <si>
    <t>Artamus cinereus</t>
  </si>
  <si>
    <t>Black-fronted Bulbul</t>
  </si>
  <si>
    <t>Bulbul brunoir</t>
  </si>
  <si>
    <t>Pycnonotus nigricans</t>
  </si>
  <si>
    <t>Pycnonotidae (Bulbuls)</t>
  </si>
  <si>
    <t>Okonjima Nature Reserve</t>
  </si>
  <si>
    <t>NA-OD</t>
  </si>
  <si>
    <t>L2439691</t>
  </si>
  <si>
    <t>S102159093</t>
  </si>
  <si>
    <t>Black-fronted Dotterel</t>
  </si>
  <si>
    <t>Pluvier à face noire</t>
  </si>
  <si>
    <t>Thinornis melanops</t>
  </si>
  <si>
    <t>Lake Fyans</t>
  </si>
  <si>
    <t>L2117956</t>
  </si>
  <si>
    <t>S40125379</t>
  </si>
  <si>
    <t>Black-fronted Nunbird</t>
  </si>
  <si>
    <t>Barbacou unicolore</t>
  </si>
  <si>
    <t>Monasa nigrifrons</t>
  </si>
  <si>
    <t>Black-headed Gull</t>
  </si>
  <si>
    <t>Mouette rieuse</t>
  </si>
  <si>
    <t>Chroicocephalus ridibundus</t>
  </si>
  <si>
    <t>Port d'Albigny, Annecy-le-Vieux</t>
  </si>
  <si>
    <t>L4602237</t>
  </si>
  <si>
    <t>S52287903</t>
  </si>
  <si>
    <t>Black-headed Heron</t>
  </si>
  <si>
    <t>Héron mélanocéphale</t>
  </si>
  <si>
    <t>Ardea melanocephala</t>
  </si>
  <si>
    <t>Ngorongoro Conservation Area--Ngorongoro Crater</t>
  </si>
  <si>
    <t>L951508</t>
  </si>
  <si>
    <t>S15379258</t>
  </si>
  <si>
    <t>Black-headed Honeyeater</t>
  </si>
  <si>
    <t>Méliphage à tête noire</t>
  </si>
  <si>
    <t>Melithreptus affinis</t>
  </si>
  <si>
    <t>Peter Murrell Reserves</t>
  </si>
  <si>
    <t>L1168823</t>
  </si>
  <si>
    <t>S284993389</t>
  </si>
  <si>
    <t>Black-headed Nightingale-Thrush</t>
  </si>
  <si>
    <t>Grive à tête noire</t>
  </si>
  <si>
    <t>Catharus mexicanus</t>
  </si>
  <si>
    <t>Refugio de Vida Silvestre La Marta (Pejibaye)</t>
  </si>
  <si>
    <t>CR-C</t>
  </si>
  <si>
    <t>L3504258</t>
  </si>
  <si>
    <t>S112320203</t>
  </si>
  <si>
    <t>Black-headed Saltator</t>
  </si>
  <si>
    <t>Saltator à tête noire</t>
  </si>
  <si>
    <t>Saltator atriceps</t>
  </si>
  <si>
    <t>Black-headed Siskin</t>
  </si>
  <si>
    <t>Tarin à tête noire</t>
  </si>
  <si>
    <t>Spinus notatus</t>
  </si>
  <si>
    <t>Black-headed Tanager</t>
  </si>
  <si>
    <t>Calliste à tête noire</t>
  </si>
  <si>
    <t>Stilpnia cyanoptera</t>
  </si>
  <si>
    <t>S223736301</t>
  </si>
  <si>
    <t>Black-headed Tody-Flycatcher</t>
  </si>
  <si>
    <t>Todirostre à tête noire</t>
  </si>
  <si>
    <t>Todirostrum nigriceps</t>
  </si>
  <si>
    <t>S32636985</t>
  </si>
  <si>
    <t>Trogon à tête noire</t>
  </si>
  <si>
    <t>Trogon melanocephalus</t>
  </si>
  <si>
    <t>Trogoniformes</t>
  </si>
  <si>
    <t>Trogonidae (Trogons)</t>
  </si>
  <si>
    <t>Mountain Pine Ridge--Big Rock Falls</t>
  </si>
  <si>
    <t>BZ-CY</t>
  </si>
  <si>
    <t>L1087359</t>
  </si>
  <si>
    <t>S15367631</t>
  </si>
  <si>
    <t>Black-hooded Antshrike</t>
  </si>
  <si>
    <t>Batara capucin</t>
  </si>
  <si>
    <t>Thamnophilus bridgesi</t>
  </si>
  <si>
    <t>PN Carara-Entrada principal [senderos Quebrada Bonita y Universal]</t>
  </si>
  <si>
    <t>L3354750</t>
  </si>
  <si>
    <t>S113005968</t>
  </si>
  <si>
    <t>Black-hooded Thrush</t>
  </si>
  <si>
    <t>Merle à froc noir</t>
  </si>
  <si>
    <t>Turdus olivater</t>
  </si>
  <si>
    <t>Reserve Natural Adentro</t>
  </si>
  <si>
    <t>L21832864</t>
  </si>
  <si>
    <t>S223177962</t>
  </si>
  <si>
    <t>Black-legged Kittiwake</t>
  </si>
  <si>
    <t>Mouette tridactyle</t>
  </si>
  <si>
    <t>Rissa tridactyla</t>
  </si>
  <si>
    <t>Centre de découverte du milieu marin</t>
  </si>
  <si>
    <t>L3974482</t>
  </si>
  <si>
    <t>S31230296</t>
  </si>
  <si>
    <t>Black-necked Stilt</t>
  </si>
  <si>
    <t>Échasse d'Amérique</t>
  </si>
  <si>
    <t>Himantopus mexicanus</t>
  </si>
  <si>
    <t>Sand point - Playa Salguero</t>
  </si>
  <si>
    <t>L17888609</t>
  </si>
  <si>
    <t>S103520459</t>
  </si>
  <si>
    <t>Black-shouldered Kite</t>
  </si>
  <si>
    <t>Élanion d'Australie</t>
  </si>
  <si>
    <t>Elanus axillaris</t>
  </si>
  <si>
    <t>Wilsons Promontory National Park--Five Mile Rd</t>
  </si>
  <si>
    <t>L2548730</t>
  </si>
  <si>
    <t>S39987650</t>
  </si>
  <si>
    <t>Black-striped Sparrow</t>
  </si>
  <si>
    <t>Tohi ligné</t>
  </si>
  <si>
    <t>Arremonops conirostris</t>
  </si>
  <si>
    <t>Black-striped Woodcreeper</t>
  </si>
  <si>
    <t>Grimpar maillé</t>
  </si>
  <si>
    <t>Xiphorhynchus lachrymosus</t>
  </si>
  <si>
    <t>Black-tailed Flycatcher</t>
  </si>
  <si>
    <t>Barbichon à queue noire</t>
  </si>
  <si>
    <t>Myiobius atricaudus</t>
  </si>
  <si>
    <t>Onychorhynchidae (Royal Flycatchers and Allies)</t>
  </si>
  <si>
    <t>Summit Ponds</t>
  </si>
  <si>
    <t>L589165</t>
  </si>
  <si>
    <t>S35623855</t>
  </si>
  <si>
    <t>Gallinule aborigène</t>
  </si>
  <si>
    <t>Tribonyx ventralis</t>
  </si>
  <si>
    <t>Black-tailed Trainbearer</t>
  </si>
  <si>
    <t>Porte-traîne lesbie</t>
  </si>
  <si>
    <t>Lesbia victoriae</t>
  </si>
  <si>
    <t>S54511182</t>
  </si>
  <si>
    <t>Black-tailed Trogon</t>
  </si>
  <si>
    <t>Trogon à queue noire</t>
  </si>
  <si>
    <t>Trogon melanurus</t>
  </si>
  <si>
    <t>Astrild à queue noire</t>
  </si>
  <si>
    <t>Glaucestrilda perreini</t>
  </si>
  <si>
    <t>Black-thighed Grosbeak</t>
  </si>
  <si>
    <t>Cardinal à cuisses noires</t>
  </si>
  <si>
    <t>Pheucticus tibialis</t>
  </si>
  <si>
    <t>Érione de Derby</t>
  </si>
  <si>
    <t>Eriocnemis derbyi</t>
  </si>
  <si>
    <t>Paruline bleue</t>
  </si>
  <si>
    <t>Setophaga caerulescens</t>
  </si>
  <si>
    <t>RNF du Cap-Tourmente--Secteur du Centre-d'Interprétation</t>
  </si>
  <si>
    <t>L164932</t>
  </si>
  <si>
    <t>S18523822</t>
  </si>
  <si>
    <t>Black-throated Bobwhite</t>
  </si>
  <si>
    <t>Colin à gorge noire</t>
  </si>
  <si>
    <t>Colinus nigrogularis</t>
  </si>
  <si>
    <t>Odontophoridae (New World Quail)</t>
  </si>
  <si>
    <t>Camino Nuevo Tekal</t>
  </si>
  <si>
    <t>MX-YUC</t>
  </si>
  <si>
    <t>L4211106</t>
  </si>
  <si>
    <t>S41227132</t>
  </si>
  <si>
    <t>Paruline grise</t>
  </si>
  <si>
    <t>Setophaga nigrescens</t>
  </si>
  <si>
    <t>Grand Canyon NP--North Rim</t>
  </si>
  <si>
    <t>US-AZ</t>
  </si>
  <si>
    <t>L244396</t>
  </si>
  <si>
    <t>S81584260</t>
  </si>
  <si>
    <t>Paruline à gorge noire</t>
  </si>
  <si>
    <t>Setophaga virens</t>
  </si>
  <si>
    <t>Black-throated Mango</t>
  </si>
  <si>
    <t>Mango à cravate noire</t>
  </si>
  <si>
    <t>Anthracothorax nigricollis</t>
  </si>
  <si>
    <t>Black-throated Shrike-Tanager</t>
  </si>
  <si>
    <t>Tangara à gorge noire</t>
  </si>
  <si>
    <t>Lanio aurantius</t>
  </si>
  <si>
    <t>Black-throated Wren</t>
  </si>
  <si>
    <t>Troglodyte à gorge noire</t>
  </si>
  <si>
    <t>Pheugopedius atrogularis</t>
  </si>
  <si>
    <t>Puffin cul-noir</t>
  </si>
  <si>
    <t>Puffinus opisthomelas</t>
  </si>
  <si>
    <t>Procellariiformes</t>
  </si>
  <si>
    <t>Procellariidae (Shearwaters and Petrels)</t>
  </si>
  <si>
    <t>Santa Cruz Island--Scorpion Canyon Campgrounds</t>
  </si>
  <si>
    <t>L2442150</t>
  </si>
  <si>
    <t>S15464627</t>
  </si>
  <si>
    <t>Black-winged Ground Dove</t>
  </si>
  <si>
    <t>Colombe à ailes noires</t>
  </si>
  <si>
    <t>Metriopelia melanoptera</t>
  </si>
  <si>
    <t>Black-winged Kite</t>
  </si>
  <si>
    <t>Élanion blanc</t>
  </si>
  <si>
    <t>Elanus caeruleus</t>
  </si>
  <si>
    <t>Black-winged Saltator</t>
  </si>
  <si>
    <t>Saltator à ailes noires</t>
  </si>
  <si>
    <t>Saltator atripennis</t>
  </si>
  <si>
    <t>San Jorge de Milpe</t>
  </si>
  <si>
    <t>L1960641</t>
  </si>
  <si>
    <t>S54727042</t>
  </si>
  <si>
    <t>Black-winged Stilt</t>
  </si>
  <si>
    <t>Échasse blanche</t>
  </si>
  <si>
    <t>Himantopus himantopus</t>
  </si>
  <si>
    <t>Paruline à gorge orangée</t>
  </si>
  <si>
    <t>Setophaga fusca</t>
  </si>
  <si>
    <t>S15364807</t>
  </si>
  <si>
    <t>Blackish Rail</t>
  </si>
  <si>
    <t>Râle noirâtre</t>
  </si>
  <si>
    <t>Pardirallus nigricans</t>
  </si>
  <si>
    <t>Blackpoll Warbler</t>
  </si>
  <si>
    <t>Paruline rayée</t>
  </si>
  <si>
    <t>Setophaga striata</t>
  </si>
  <si>
    <t>Metzger Marsh--Woodlot</t>
  </si>
  <si>
    <t>L3594591</t>
  </si>
  <si>
    <t>S23409948</t>
  </si>
  <si>
    <t>Blacksmith Lapwing</t>
  </si>
  <si>
    <t>Vanneau armé</t>
  </si>
  <si>
    <t>Vanellus armatus</t>
  </si>
  <si>
    <t>Blue Cotinga</t>
  </si>
  <si>
    <t>Cotinga bleu</t>
  </si>
  <si>
    <t>Cotinga nattererii</t>
  </si>
  <si>
    <t>Blue Coua</t>
  </si>
  <si>
    <t>Coua bleu</t>
  </si>
  <si>
    <t>Coua caerulea</t>
  </si>
  <si>
    <t>Analamazaotra Forest Station</t>
  </si>
  <si>
    <t>MG-A</t>
  </si>
  <si>
    <t>L3936735</t>
  </si>
  <si>
    <t>S201573687</t>
  </si>
  <si>
    <t>Blue Crane</t>
  </si>
  <si>
    <t>Grue de paradis</t>
  </si>
  <si>
    <t>Grus paradiseus</t>
  </si>
  <si>
    <t>Gruidae (Cranes)</t>
  </si>
  <si>
    <t>Etosha NP* general (use more precise loc.)</t>
  </si>
  <si>
    <t>NA-OT</t>
  </si>
  <si>
    <t>L2428142</t>
  </si>
  <si>
    <t>S102122621</t>
  </si>
  <si>
    <t>Blue Dacnis</t>
  </si>
  <si>
    <t>Dacnis bleu</t>
  </si>
  <si>
    <t>Dacnis cayana</t>
  </si>
  <si>
    <t>Hotel Tinalandia</t>
  </si>
  <si>
    <t>EC-SD</t>
  </si>
  <si>
    <t>L489494</t>
  </si>
  <si>
    <t>S102090106</t>
  </si>
  <si>
    <t>Blue Grosbeak</t>
  </si>
  <si>
    <t>Guiraca bleu</t>
  </si>
  <si>
    <t>Passerina caerulea</t>
  </si>
  <si>
    <t>Blue Ground Dove</t>
  </si>
  <si>
    <t>Colombe bleutée</t>
  </si>
  <si>
    <t>Claravis pretiosa</t>
  </si>
  <si>
    <t>Geai bleu</t>
  </si>
  <si>
    <t>Cyanocitta cristata</t>
  </si>
  <si>
    <t>Blue-and-black Tanager</t>
  </si>
  <si>
    <t>Calliste bleu et noir</t>
  </si>
  <si>
    <t>Tangara vassorii</t>
  </si>
  <si>
    <t>Blue-and-white Swallow</t>
  </si>
  <si>
    <t>Hirondelle bleu et blanc</t>
  </si>
  <si>
    <t>Pygochelidon cyanoleuca</t>
  </si>
  <si>
    <t>Blue-and-yellow Macaw</t>
  </si>
  <si>
    <t>Ara bleu</t>
  </si>
  <si>
    <t>Ara ararauna</t>
  </si>
  <si>
    <t>Psittacidae (New World and African Parrots)</t>
  </si>
  <si>
    <t>Blue-and-yellow Tanager</t>
  </si>
  <si>
    <t>Tangara fourchu</t>
  </si>
  <si>
    <t>Rauenia bonariensis</t>
  </si>
  <si>
    <t>Blue-backed Manakin</t>
  </si>
  <si>
    <t>Manakin tijé</t>
  </si>
  <si>
    <t>Chiroxiphia pareola</t>
  </si>
  <si>
    <t>Pipridae (Manakins)</t>
  </si>
  <si>
    <t>Main Ridge Forest Reserve</t>
  </si>
  <si>
    <t>L623631</t>
  </si>
  <si>
    <t>S44561237</t>
  </si>
  <si>
    <t>Blue-billed Duck</t>
  </si>
  <si>
    <t>Érismature australe</t>
  </si>
  <si>
    <t>Oxyura australis</t>
  </si>
  <si>
    <t>Blue-billed Teal</t>
  </si>
  <si>
    <t>Sarcelle à bec bleu</t>
  </si>
  <si>
    <t>Spatula hottentota</t>
  </si>
  <si>
    <t>Blue-black Grassquit</t>
  </si>
  <si>
    <t>Jacarini noir</t>
  </si>
  <si>
    <t>Volatinia jacarina</t>
  </si>
  <si>
    <t>Blue-black Grosbeak</t>
  </si>
  <si>
    <t>Évêque bleu-noir</t>
  </si>
  <si>
    <t>Cyanoloxia cyanoides</t>
  </si>
  <si>
    <t>Tangara à tête bleue</t>
  </si>
  <si>
    <t>Sporathraupis cyanocephala</t>
  </si>
  <si>
    <t>Blue-chested Hummingbird</t>
  </si>
  <si>
    <t>Ariane aimable</t>
  </si>
  <si>
    <t>Polyerata amabilis</t>
  </si>
  <si>
    <t>S32602853</t>
  </si>
  <si>
    <t>Blue-chinned Sapphire</t>
  </si>
  <si>
    <t>Colibri à menton bleu</t>
  </si>
  <si>
    <t>Chlorestes notata</t>
  </si>
  <si>
    <t>S44312870</t>
  </si>
  <si>
    <t>Blue-crowned Parakeet</t>
  </si>
  <si>
    <t>Conure à tête bleue</t>
  </si>
  <si>
    <t>Thectocercus acuticaudatus</t>
  </si>
  <si>
    <t>Topeekeegee Yugnee Park</t>
  </si>
  <si>
    <t>L578423</t>
  </si>
  <si>
    <t>S105090547</t>
  </si>
  <si>
    <t>P</t>
  </si>
  <si>
    <t>Blue-faced Honeyeater</t>
  </si>
  <si>
    <t>Méliphage à oreillons bleus</t>
  </si>
  <si>
    <t>Entomyzon cyanotis</t>
  </si>
  <si>
    <t>Wanganella</t>
  </si>
  <si>
    <t>L7738464</t>
  </si>
  <si>
    <t>S283856056</t>
  </si>
  <si>
    <t>Blue-footed Booby</t>
  </si>
  <si>
    <t>Fou à pieds bleus</t>
  </si>
  <si>
    <t>Sula nebouxii</t>
  </si>
  <si>
    <t>Española--Bahía Gardner</t>
  </si>
  <si>
    <t>L471682</t>
  </si>
  <si>
    <t>S102080263</t>
  </si>
  <si>
    <t>Blue-fronted Parrotlet</t>
  </si>
  <si>
    <t>Toui à front bleu</t>
  </si>
  <si>
    <t>Touit dilectissimus</t>
  </si>
  <si>
    <t>S54821403</t>
  </si>
  <si>
    <t>Blue-gray Gnatcatcher</t>
  </si>
  <si>
    <t>Gobemoucheron gris-bleu</t>
  </si>
  <si>
    <t>Polioptila caerulea</t>
  </si>
  <si>
    <t>Polioptilidae (Gnatcatchers)</t>
  </si>
  <si>
    <t>Blue-gray Tanager</t>
  </si>
  <si>
    <t>Tangara évêque</t>
  </si>
  <si>
    <t>Thraupis episcopus</t>
  </si>
  <si>
    <t>Blue-headed Parrot</t>
  </si>
  <si>
    <t>Pione à tête bleue</t>
  </si>
  <si>
    <t>Pionus menstruus</t>
  </si>
  <si>
    <t>Viréo à tête bleue</t>
  </si>
  <si>
    <t>Vireo solitarius</t>
  </si>
  <si>
    <t>Blue-naped Chlorophonia</t>
  </si>
  <si>
    <t>Organiste à nuque bleue</t>
  </si>
  <si>
    <t>Chlorophonia cyanea</t>
  </si>
  <si>
    <t>Blue-necked Tanager</t>
  </si>
  <si>
    <t>Calliste à cou bleu</t>
  </si>
  <si>
    <t>Stilpnia cyanicollis</t>
  </si>
  <si>
    <t>Blue-tailed Trogon</t>
  </si>
  <si>
    <t>Trogon aux yeux blancs</t>
  </si>
  <si>
    <t>Trogon comptus</t>
  </si>
  <si>
    <t>Blue-throated Goldentail</t>
  </si>
  <si>
    <t>Colibri d'Élicia</t>
  </si>
  <si>
    <t>Chlorestes eliciae</t>
  </si>
  <si>
    <t>Blue-throated Starfrontlet</t>
  </si>
  <si>
    <t>Inca porphyre</t>
  </si>
  <si>
    <t>Coeligena helianthea</t>
  </si>
  <si>
    <t>Observatorio de Colibries</t>
  </si>
  <si>
    <t>L3892139</t>
  </si>
  <si>
    <t>S61503001</t>
  </si>
  <si>
    <t>Blue-vented Hummingbird</t>
  </si>
  <si>
    <t>Ariane de Hoffmann</t>
  </si>
  <si>
    <t>Saucerottia hoffmanni</t>
  </si>
  <si>
    <t>S112585041</t>
  </si>
  <si>
    <t>Tangara somptueux</t>
  </si>
  <si>
    <t>Anisognathus somptuosus</t>
  </si>
  <si>
    <t>Blue-winged Parrot</t>
  </si>
  <si>
    <t>Perruche à bouche d'or</t>
  </si>
  <si>
    <t>Neophema chrysostoma</t>
  </si>
  <si>
    <t>Point Addis</t>
  </si>
  <si>
    <t>L921929</t>
  </si>
  <si>
    <t>S284448570</t>
  </si>
  <si>
    <t>Blue-winged Teal</t>
  </si>
  <si>
    <t>Sarcelle à ailes bleues</t>
  </si>
  <si>
    <t>Spatula discors</t>
  </si>
  <si>
    <t>Paruline à ailes bleues</t>
  </si>
  <si>
    <t>Vermivora cyanoptera</t>
  </si>
  <si>
    <t>Bluish Flowerpiercer</t>
  </si>
  <si>
    <t>Percefleur bleuté</t>
  </si>
  <si>
    <t>Diglossa caerulescens</t>
  </si>
  <si>
    <t>Boat-billed Flycatcher</t>
  </si>
  <si>
    <t>Tyran pitangua</t>
  </si>
  <si>
    <t>Megarynchus pitangua</t>
  </si>
  <si>
    <t>Boat-billed Heron</t>
  </si>
  <si>
    <t>Savacou huppé</t>
  </si>
  <si>
    <t>Cochlearius cochlearius</t>
  </si>
  <si>
    <t>Boat-tailed Grackle</t>
  </si>
  <si>
    <t>Quiscale des marais</t>
  </si>
  <si>
    <t>Quiscalus major</t>
  </si>
  <si>
    <t>St. Marks NWR--Headquarters Pond</t>
  </si>
  <si>
    <t>L580975</t>
  </si>
  <si>
    <t>S25814964</t>
  </si>
  <si>
    <t>Bobolink</t>
  </si>
  <si>
    <t>Goglu des prés</t>
  </si>
  <si>
    <t>Dolichonyx oryzivorus</t>
  </si>
  <si>
    <t>S15371438</t>
  </si>
  <si>
    <t>Bogota Rail</t>
  </si>
  <si>
    <t>Râle de Bogota</t>
  </si>
  <si>
    <t>Rallus semiplumbeus</t>
  </si>
  <si>
    <t>Gravilleras de Capilla de Siecha</t>
  </si>
  <si>
    <t>L2237397</t>
  </si>
  <si>
    <t>S61552141</t>
  </si>
  <si>
    <t>Jaseur boréal</t>
  </si>
  <si>
    <t>Bombycilla garrulus</t>
  </si>
  <si>
    <t>Bombycillidae (Waxwings)</t>
  </si>
  <si>
    <t>S22560414</t>
  </si>
  <si>
    <t>Mouette de Bonaparte</t>
  </si>
  <si>
    <t>Chroicocephalus philadelphia</t>
  </si>
  <si>
    <t>Calao de Bradfield</t>
  </si>
  <si>
    <t>Lophoceros bradfieldi</t>
  </si>
  <si>
    <t>Chobe NP--Savuti Camp</t>
  </si>
  <si>
    <t>L1026975</t>
  </si>
  <si>
    <t>S20736714</t>
  </si>
  <si>
    <t>Bran-colored Flycatcher</t>
  </si>
  <si>
    <t>Moucherolle fascié</t>
  </si>
  <si>
    <t>Myiophobus fasciatus</t>
  </si>
  <si>
    <t>Cormoran de Brandt</t>
  </si>
  <si>
    <t>Urile penicillatus</t>
  </si>
  <si>
    <t>Point La Jolla--seawatch</t>
  </si>
  <si>
    <t>L233548</t>
  </si>
  <si>
    <t>S15407693</t>
  </si>
  <si>
    <t>Brant</t>
  </si>
  <si>
    <t>Bernache cravant</t>
  </si>
  <si>
    <t>Branta bernicla</t>
  </si>
  <si>
    <t>Malibu Lagoon--State Beach including Lagoon</t>
  </si>
  <si>
    <t>L597658</t>
  </si>
  <si>
    <t>S15491549</t>
  </si>
  <si>
    <t>Brewer's Blackbird</t>
  </si>
  <si>
    <t>Quiscale de Brewer</t>
  </si>
  <si>
    <t>Euphagus cyanocephalus</t>
  </si>
  <si>
    <t>Ventura Harbor--general</t>
  </si>
  <si>
    <t>L351583</t>
  </si>
  <si>
    <t>S15460540</t>
  </si>
  <si>
    <t>Bright-rumped Attila</t>
  </si>
  <si>
    <t>Attila à croupion jaune</t>
  </si>
  <si>
    <t>Attila spadiceus</t>
  </si>
  <si>
    <t>Plantation Road--Parque Nacional Soberanía</t>
  </si>
  <si>
    <t>L454712</t>
  </si>
  <si>
    <t>S35560462</t>
  </si>
  <si>
    <t>Broad-billed Motmot</t>
  </si>
  <si>
    <t>Motmot à bec large</t>
  </si>
  <si>
    <t>Electron platyrhynchum</t>
  </si>
  <si>
    <t>Broad-billed Roller</t>
  </si>
  <si>
    <t>Rolle violet</t>
  </si>
  <si>
    <t>Eurystomus glaucurus</t>
  </si>
  <si>
    <t>Coraciidae (Rollers)</t>
  </si>
  <si>
    <t>S20696861</t>
  </si>
  <si>
    <t>Broad-winged Hawk</t>
  </si>
  <si>
    <t>Petite Buse</t>
  </si>
  <si>
    <t>Buteo platypterus</t>
  </si>
  <si>
    <t>S17996416</t>
  </si>
  <si>
    <t>Grue brolga</t>
  </si>
  <si>
    <t>Antigone rubicunda</t>
  </si>
  <si>
    <t>Bronze-tailed Plumeleteer</t>
  </si>
  <si>
    <t>Colibri à queue bronzée</t>
  </si>
  <si>
    <t>Chalybura urochrysia</t>
  </si>
  <si>
    <t>Bronze-tailed Thornbill</t>
  </si>
  <si>
    <t>Métallure à queue bronzée</t>
  </si>
  <si>
    <t>Chalcostigma heteropogon</t>
  </si>
  <si>
    <t>S61503966</t>
  </si>
  <si>
    <t>Bronze-winged Parrot</t>
  </si>
  <si>
    <t>Pione noire</t>
  </si>
  <si>
    <t>Pionus chalcopterus</t>
  </si>
  <si>
    <t>Tulipe--museum and archaeological site</t>
  </si>
  <si>
    <t>L2691355</t>
  </si>
  <si>
    <t>S54688834</t>
  </si>
  <si>
    <t>Bronzed Cowbird</t>
  </si>
  <si>
    <t>Vacher bronzé</t>
  </si>
  <si>
    <t>Molothrus aeneus</t>
  </si>
  <si>
    <t>Bronzy Inca</t>
  </si>
  <si>
    <t>Inca céleste</t>
  </si>
  <si>
    <t>Coeligena coeligena</t>
  </si>
  <si>
    <t>Brown Booby</t>
  </si>
  <si>
    <t>Fou brun</t>
  </si>
  <si>
    <t>Sula leucogaster</t>
  </si>
  <si>
    <t>Little Tobago Island</t>
  </si>
  <si>
    <t>L832975</t>
  </si>
  <si>
    <t>S44569525</t>
  </si>
  <si>
    <t>Brown Creeper</t>
  </si>
  <si>
    <t>Grimpereau brun</t>
  </si>
  <si>
    <t>Certhia americana</t>
  </si>
  <si>
    <t>Certhiidae (Treecreepers)</t>
  </si>
  <si>
    <t>Brown Cuckoo-Dove</t>
  </si>
  <si>
    <t>Phasianelle brune</t>
  </si>
  <si>
    <t>Macropygia phasianella</t>
  </si>
  <si>
    <t>Leura</t>
  </si>
  <si>
    <t>L2557633</t>
  </si>
  <si>
    <t>S39803208</t>
  </si>
  <si>
    <t>Brown Falcon</t>
  </si>
  <si>
    <t>Faucon bérigora</t>
  </si>
  <si>
    <t>Falco berigora</t>
  </si>
  <si>
    <t>Brown Goshawk</t>
  </si>
  <si>
    <t>Autour australien</t>
  </si>
  <si>
    <t>Tachyspiza fasciata</t>
  </si>
  <si>
    <t>Big Rock Road Dam</t>
  </si>
  <si>
    <t>L5778682</t>
  </si>
  <si>
    <t>S284342440</t>
  </si>
  <si>
    <t>Brown Inca</t>
  </si>
  <si>
    <t>Inca brun</t>
  </si>
  <si>
    <t>Coeligena wilsoni</t>
  </si>
  <si>
    <t>Brown Jay</t>
  </si>
  <si>
    <t>Geai enfumé</t>
  </si>
  <si>
    <t>Cyanocorax morio</t>
  </si>
  <si>
    <t>Brown Mesite</t>
  </si>
  <si>
    <t>Mésite unicolore</t>
  </si>
  <si>
    <t>Mesitornis unicolor</t>
  </si>
  <si>
    <t>Mesitornithiformes</t>
  </si>
  <si>
    <t>Mesitornithidae (Mesites)</t>
  </si>
  <si>
    <t>Ranomafana NP—Sahamalaotra Track</t>
  </si>
  <si>
    <t>MG-F</t>
  </si>
  <si>
    <t>L10007555</t>
  </si>
  <si>
    <t>S202373978</t>
  </si>
  <si>
    <t>Brown Pelican</t>
  </si>
  <si>
    <t>Pélican brun</t>
  </si>
  <si>
    <t>Pelecanus occidentalis</t>
  </si>
  <si>
    <t>Seymour norte (senderos y alrededores)</t>
  </si>
  <si>
    <t>L471674</t>
  </si>
  <si>
    <t>S15379667</t>
  </si>
  <si>
    <t>Circaète brun</t>
  </si>
  <si>
    <t>Circaetus cinereus</t>
  </si>
  <si>
    <t>Kasane--town</t>
  </si>
  <si>
    <t>L1070000</t>
  </si>
  <si>
    <t>S20614376</t>
  </si>
  <si>
    <t>Brown Songlark</t>
  </si>
  <si>
    <t>Mégalure brune</t>
  </si>
  <si>
    <t>Cincloramphus cruralis</t>
  </si>
  <si>
    <t>Locustellidae (Grassbirds and Allies)</t>
  </si>
  <si>
    <t>Yongala</t>
  </si>
  <si>
    <t>L3146383</t>
  </si>
  <si>
    <t>S283069087</t>
  </si>
  <si>
    <t>Brown Thornbill</t>
  </si>
  <si>
    <t>Acanthize mignon</t>
  </si>
  <si>
    <t>Acanthiza pusilla</t>
  </si>
  <si>
    <t>Acanthizidae (Thornbills and Allies)</t>
  </si>
  <si>
    <t>Moqueur roux</t>
  </si>
  <si>
    <t>Toxostoma rufum</t>
  </si>
  <si>
    <t>Brown Treecreeper</t>
  </si>
  <si>
    <t>Échelet brun</t>
  </si>
  <si>
    <t>Climacteris picumnus</t>
  </si>
  <si>
    <t>Climacteridae (Australasian Treecreepers)</t>
  </si>
  <si>
    <t>Brown Violetear</t>
  </si>
  <si>
    <t>Colibri de Delphine</t>
  </si>
  <si>
    <t>Colibri delphinae</t>
  </si>
  <si>
    <t>Brown-backed Chat-Tyrant</t>
  </si>
  <si>
    <t>Pitajo à dos brun</t>
  </si>
  <si>
    <t>Ochthoeca fumicolor</t>
  </si>
  <si>
    <t>Brown-banded Antpitta</t>
  </si>
  <si>
    <t>Grallaire ceinturée</t>
  </si>
  <si>
    <t>Grallaria milleri</t>
  </si>
  <si>
    <t>Brown-bellied Swallow</t>
  </si>
  <si>
    <t>Hirondelle à ventre brun</t>
  </si>
  <si>
    <t>Orochelidon murina</t>
  </si>
  <si>
    <t>Grimpar à bec brun</t>
  </si>
  <si>
    <t>Campylorhamphus pusillus</t>
  </si>
  <si>
    <t>Brown-breasted Parakeet</t>
  </si>
  <si>
    <t>Conure à poitrine brune</t>
  </si>
  <si>
    <t>Pyrrhura calliptera</t>
  </si>
  <si>
    <t>Brown-capped Tyrannulet</t>
  </si>
  <si>
    <t>Tyranneau à tête brune</t>
  </si>
  <si>
    <t>Ornithion brunneicapillus</t>
  </si>
  <si>
    <t>Brown-capped Vireo</t>
  </si>
  <si>
    <t>Viréo à calotte brune</t>
  </si>
  <si>
    <t>Vireo leucophrys</t>
  </si>
  <si>
    <t>Brown-crested Flycatcher</t>
  </si>
  <si>
    <t>Tyran de Wied</t>
  </si>
  <si>
    <t>Myiarchus tyrannulus</t>
  </si>
  <si>
    <t>S44518322</t>
  </si>
  <si>
    <t>Tchagra à tête brune</t>
  </si>
  <si>
    <t>Tchagra australis</t>
  </si>
  <si>
    <t>Brown-headed Cowbird</t>
  </si>
  <si>
    <t>Vacher à tête brune</t>
  </si>
  <si>
    <t>Molothrus ater</t>
  </si>
  <si>
    <t>Grand Canyon NP--South Rim</t>
  </si>
  <si>
    <t>L281856</t>
  </si>
  <si>
    <t>S15371239</t>
  </si>
  <si>
    <t>Méliphage à tête brune</t>
  </si>
  <si>
    <t>Melithreptus brevirostris</t>
  </si>
  <si>
    <t>Booderee National Park--Cave Beach</t>
  </si>
  <si>
    <t>L3127234</t>
  </si>
  <si>
    <t>S39909626</t>
  </si>
  <si>
    <t>Sittelle à tête brune</t>
  </si>
  <si>
    <t>Sitta pusilla</t>
  </si>
  <si>
    <t>Sittidae (Nuthatches)</t>
  </si>
  <si>
    <t>Jekyll Island (please consider using more specific locations)</t>
  </si>
  <si>
    <t>US-GA</t>
  </si>
  <si>
    <t>L140461</t>
  </si>
  <si>
    <t>S26014453</t>
  </si>
  <si>
    <t>Perroquet à tête brune</t>
  </si>
  <si>
    <t>Poicephalus cryptoxanthus</t>
  </si>
  <si>
    <t>Brown-hooded Kingfisher</t>
  </si>
  <si>
    <t>Martin-chasseur à tête brune</t>
  </si>
  <si>
    <t>Halcyon albiventris</t>
  </si>
  <si>
    <t>Brown-hooded Parrot</t>
  </si>
  <si>
    <t>Caïque à capuchon</t>
  </si>
  <si>
    <t>Pyrilia haematotis</t>
  </si>
  <si>
    <t>S32494590</t>
  </si>
  <si>
    <t>Brown-throated Parakeet</t>
  </si>
  <si>
    <t>Conure cuivrée</t>
  </si>
  <si>
    <t>Eupsittula pertinax</t>
  </si>
  <si>
    <t>8.4416x-80.2557 - Nov 14, 2016, 3:56 PM</t>
  </si>
  <si>
    <t>L5083900</t>
  </si>
  <si>
    <t>S32565224</t>
  </si>
  <si>
    <t>Brubru</t>
  </si>
  <si>
    <t>Brubru africain</t>
  </si>
  <si>
    <t>Nilaus afer</t>
  </si>
  <si>
    <t>Tangara à poitrine fauve</t>
  </si>
  <si>
    <t>Dubusia taeniata</t>
  </si>
  <si>
    <t>Buff-breasted Wren</t>
  </si>
  <si>
    <t>Troglodyte à face pâle</t>
  </si>
  <si>
    <t>Cantorchilus leucotis</t>
  </si>
  <si>
    <t>Buff-fronted Foliage-gleaner</t>
  </si>
  <si>
    <t>Anabate roux</t>
  </si>
  <si>
    <t>Dendroma rufa</t>
  </si>
  <si>
    <t>Buff-fronted Quail-Dove</t>
  </si>
  <si>
    <t>Colombe du Costa Rica</t>
  </si>
  <si>
    <t>Zentrygon costaricensis</t>
  </si>
  <si>
    <t>Batsú Gardens, Savegre</t>
  </si>
  <si>
    <t>L7272525</t>
  </si>
  <si>
    <t>S112126386</t>
  </si>
  <si>
    <t>Buff-necked Ibis</t>
  </si>
  <si>
    <t>Ibis mandore</t>
  </si>
  <si>
    <t>Theristicus caudatus</t>
  </si>
  <si>
    <t>Acanthize à croupion beige</t>
  </si>
  <si>
    <t>Acanthiza reguloides</t>
  </si>
  <si>
    <t>Murray Valley National Park--Gulpa Island</t>
  </si>
  <si>
    <t>L943119</t>
  </si>
  <si>
    <t>S283784029</t>
  </si>
  <si>
    <t>Buff-rumped Warbler</t>
  </si>
  <si>
    <t>Paruline à croupion fauve</t>
  </si>
  <si>
    <t>Myiothlypis fulvicauda</t>
  </si>
  <si>
    <t>Sendero Ibe Igar</t>
  </si>
  <si>
    <t>PA-KY</t>
  </si>
  <si>
    <t>L473673</t>
  </si>
  <si>
    <t>S35679214</t>
  </si>
  <si>
    <t>Buff-tailed Coronet</t>
  </si>
  <si>
    <t>Colibri flavescent</t>
  </si>
  <si>
    <t>Boissonneaua flavescens</t>
  </si>
  <si>
    <t>Tandayapa-Bellavista general area (*HISTORICAL DATA ONLY; please use a more specific location for current checklists)</t>
  </si>
  <si>
    <t>L5130044</t>
  </si>
  <si>
    <t>S102099845</t>
  </si>
  <si>
    <t>Buff-throated Saltator</t>
  </si>
  <si>
    <t>Saltator des grands-bois</t>
  </si>
  <si>
    <t>Saltator maximus</t>
  </si>
  <si>
    <t>Barbosa</t>
  </si>
  <si>
    <t>L3241767</t>
  </si>
  <si>
    <t>S21041635</t>
  </si>
  <si>
    <t>Buff-winged Starfrontlet</t>
  </si>
  <si>
    <t>Inca à gemme bleue</t>
  </si>
  <si>
    <t>Coeligena lutetiae</t>
  </si>
  <si>
    <t>Bufflehead</t>
  </si>
  <si>
    <t>Petit Garrot</t>
  </si>
  <si>
    <t>Bucephala albeola</t>
  </si>
  <si>
    <t>Ottawa--Andrew Haydon Park</t>
  </si>
  <si>
    <t>L384642</t>
  </si>
  <si>
    <t>S15371371</t>
  </si>
  <si>
    <t>Buffy Helmetcrest</t>
  </si>
  <si>
    <t>Colibri de Stübel</t>
  </si>
  <si>
    <t>Oxypogon stuebelii</t>
  </si>
  <si>
    <t>Buffy Hummingbird</t>
  </si>
  <si>
    <t>Colibri trompeur</t>
  </si>
  <si>
    <t>Leucippus fallax</t>
  </si>
  <si>
    <t>SFF Los Flamencos--Resguardo Perratpu/Sendero Mainshi-Rutshi</t>
  </si>
  <si>
    <t>L6492604</t>
  </si>
  <si>
    <t>S224096608</t>
  </si>
  <si>
    <t>Buffy Tuftedcheek</t>
  </si>
  <si>
    <t>Anabate chamois</t>
  </si>
  <si>
    <t>Pseudocolaptes lawrencii</t>
  </si>
  <si>
    <t>Coucal de Burchell</t>
  </si>
  <si>
    <t>Centropus burchellii</t>
  </si>
  <si>
    <t>Ganga de Burchell</t>
  </si>
  <si>
    <t>Pterocles burchelli</t>
  </si>
  <si>
    <t>Pterocliformes</t>
  </si>
  <si>
    <t>Pteroclidae (Sandgrouse)</t>
  </si>
  <si>
    <t>Choucador de Burchell</t>
  </si>
  <si>
    <t>Lamprotornis australis</t>
  </si>
  <si>
    <t>Burrowing Owl</t>
  </si>
  <si>
    <t>Chevêche des terriers</t>
  </si>
  <si>
    <t>Athene cunicularia</t>
  </si>
  <si>
    <t>Markham Park</t>
  </si>
  <si>
    <t>L2933693</t>
  </si>
  <si>
    <t>S105420679</t>
  </si>
  <si>
    <t>Orite buissonnière</t>
  </si>
  <si>
    <t>Psaltriparus minimus</t>
  </si>
  <si>
    <t>Aegithalidae (Long-tailed Tits)</t>
  </si>
  <si>
    <t>San Elijo Lagoon--west</t>
  </si>
  <si>
    <t>L761141</t>
  </si>
  <si>
    <t>S15423499</t>
  </si>
  <si>
    <t>Cabanis's Ground-Sparrow</t>
  </si>
  <si>
    <t>Tohi de Cabanis</t>
  </si>
  <si>
    <t>Melozone cabanisi</t>
  </si>
  <si>
    <t>Ujarrás (Cartago)</t>
  </si>
  <si>
    <t>L2356602</t>
  </si>
  <si>
    <t>S112233075</t>
  </si>
  <si>
    <t>Cabanis's Wren</t>
  </si>
  <si>
    <t>Troglodyte modeste</t>
  </si>
  <si>
    <t>Cantorchilus modestus</t>
  </si>
  <si>
    <t>Monteverde--Hotel de Montaña Monteverde</t>
  </si>
  <si>
    <t>L1850443</t>
  </si>
  <si>
    <t>S112814927</t>
  </si>
  <si>
    <t>Cackling Goose</t>
  </si>
  <si>
    <t>Bernache de Hutchins</t>
  </si>
  <si>
    <t>Branta hutchinsii</t>
  </si>
  <si>
    <t>Regina--Wascana Lake (between Broad St. &amp; Albert St.)</t>
  </si>
  <si>
    <t>CA-SK</t>
  </si>
  <si>
    <t>L2239509</t>
  </si>
  <si>
    <t>S25419816</t>
  </si>
  <si>
    <t>Condor de Californie</t>
  </si>
  <si>
    <t>Gymnogyps californianus</t>
  </si>
  <si>
    <t>Road to North Rim</t>
  </si>
  <si>
    <t>L2381390</t>
  </si>
  <si>
    <t>S15364933</t>
  </si>
  <si>
    <t>California Gull</t>
  </si>
  <si>
    <t>Goéland de Californie</t>
  </si>
  <si>
    <t>Larus californicus</t>
  </si>
  <si>
    <t>Latimer's Landing</t>
  </si>
  <si>
    <t>L2752723</t>
  </si>
  <si>
    <t>S196385967</t>
  </si>
  <si>
    <t>California Quail</t>
  </si>
  <si>
    <t>Colin de Californie</t>
  </si>
  <si>
    <t>Callipepla californica</t>
  </si>
  <si>
    <t>Sonoma Botanical Garden</t>
  </si>
  <si>
    <t>L474156</t>
  </si>
  <si>
    <t>S49953958</t>
  </si>
  <si>
    <t>Geai buissonnier</t>
  </si>
  <si>
    <t>Aphelocoma californica</t>
  </si>
  <si>
    <t>S15420453</t>
  </si>
  <si>
    <t>Moqueur de Californie</t>
  </si>
  <si>
    <t>Toxostoma redivivum</t>
  </si>
  <si>
    <t>I5 Lookout</t>
  </si>
  <si>
    <t>L2384986</t>
  </si>
  <si>
    <t>S15388731</t>
  </si>
  <si>
    <t>Tohi de Californie</t>
  </si>
  <si>
    <t>Melozone crissalis</t>
  </si>
  <si>
    <t>Canada Goose</t>
  </si>
  <si>
    <t>Bernache du Canada</t>
  </si>
  <si>
    <t>Branta canadensis</t>
  </si>
  <si>
    <t>Ottawa--Nicolls Island</t>
  </si>
  <si>
    <t>L2381325</t>
  </si>
  <si>
    <t>S15364453</t>
  </si>
  <si>
    <t>Canada Jay</t>
  </si>
  <si>
    <t>Mésangeai du Canada</t>
  </si>
  <si>
    <t>Perisoreus canadensis</t>
  </si>
  <si>
    <t>CA-SK-Waskesiu Lake - 53.9083x-106.0602 - Oct 7, 2015, 7:30 PM</t>
  </si>
  <si>
    <t>L3946773</t>
  </si>
  <si>
    <t>S25337651</t>
  </si>
  <si>
    <t>Canada Warbler</t>
  </si>
  <si>
    <t>Paruline du Canada</t>
  </si>
  <si>
    <t>Cardellina canadensis</t>
  </si>
  <si>
    <t>S18549902</t>
  </si>
  <si>
    <t>Canebrake Wren</t>
  </si>
  <si>
    <t>Troglodyte de Zeledon</t>
  </si>
  <si>
    <t>Cantorchilus zeledoni</t>
  </si>
  <si>
    <t>Comandancia de Sarapiquí Road</t>
  </si>
  <si>
    <t>CR-H</t>
  </si>
  <si>
    <t>L2941045</t>
  </si>
  <si>
    <t>S112411699</t>
  </si>
  <si>
    <t>Émeraude de Canivet</t>
  </si>
  <si>
    <t>Cynanthus canivetii</t>
  </si>
  <si>
    <t>Canvasback</t>
  </si>
  <si>
    <t>Fuligule à dos blanc</t>
  </si>
  <si>
    <t>Aythya valisineria</t>
  </si>
  <si>
    <t>Blane Lakes</t>
  </si>
  <si>
    <t>L3946769</t>
  </si>
  <si>
    <t>S25337627</t>
  </si>
  <si>
    <t>Céréopse cendré</t>
  </si>
  <si>
    <t>Cereopsis novaehollandiae</t>
  </si>
  <si>
    <t>Serendip Sanctuary</t>
  </si>
  <si>
    <t>L1818531</t>
  </si>
  <si>
    <t>S284346430</t>
  </si>
  <si>
    <t>Cape Bunting</t>
  </si>
  <si>
    <t>Bruant du Cap</t>
  </si>
  <si>
    <t>Emberiza capensis</t>
  </si>
  <si>
    <t>Emberizidae (Old World Buntings)</t>
  </si>
  <si>
    <t>Cape Cormorant</t>
  </si>
  <si>
    <t>Cormoran du Cap</t>
  </si>
  <si>
    <t>Phalacrocorax capensis</t>
  </si>
  <si>
    <t>Walvis Bay Nearshore Waters (boat trips)</t>
  </si>
  <si>
    <t>L9949511</t>
  </si>
  <si>
    <t>S102204050</t>
  </si>
  <si>
    <t>Cape Griffon</t>
  </si>
  <si>
    <t>Vautour chassefiente</t>
  </si>
  <si>
    <t>Gyps coprotheres</t>
  </si>
  <si>
    <t>Paruline tigrée</t>
  </si>
  <si>
    <t>Setophaga tigrina</t>
  </si>
  <si>
    <t>Cape Robin-Chat</t>
  </si>
  <si>
    <t>Cossyphe du Cap</t>
  </si>
  <si>
    <t>Dessonornis caffer</t>
  </si>
  <si>
    <t>Foresters Arms</t>
  </si>
  <si>
    <t>SZ-MA</t>
  </si>
  <si>
    <t>L3159704</t>
  </si>
  <si>
    <t>S20523304</t>
  </si>
  <si>
    <t>Cape Rock-Thrush</t>
  </si>
  <si>
    <t>Traquet familier</t>
  </si>
  <si>
    <t>Monticola rupestris</t>
  </si>
  <si>
    <t>Cape Sparrow</t>
  </si>
  <si>
    <t>Moineau mélanure</t>
  </si>
  <si>
    <t>Passer melanurus</t>
  </si>
  <si>
    <t>Passeridae (Old World Sparrows)</t>
  </si>
  <si>
    <t>Cape Starling</t>
  </si>
  <si>
    <t>Choucador à épaulettes rouges</t>
  </si>
  <si>
    <t>Lamprotornis nitens</t>
  </si>
  <si>
    <t>Cape Teal</t>
  </si>
  <si>
    <t>Canard du Cap</t>
  </si>
  <si>
    <t>Anas capensis</t>
  </si>
  <si>
    <t>Cape Wagtail</t>
  </si>
  <si>
    <t>Bergeronnette du Cap</t>
  </si>
  <si>
    <t>Motacilla capensis</t>
  </si>
  <si>
    <t>Cape Weaver</t>
  </si>
  <si>
    <t>Tisserin du Cap</t>
  </si>
  <si>
    <t>Ploceus capensis</t>
  </si>
  <si>
    <t>Cape White-eye</t>
  </si>
  <si>
    <t>Zostérops du Cap</t>
  </si>
  <si>
    <t>Zosterops virens</t>
  </si>
  <si>
    <t>Zosteropidae (White-eyes, Yuhinas, and Allies)</t>
  </si>
  <si>
    <t>Kruger NP--S114/Skukuza to Malelane Gate (Decommissioned Hotspot--do not use)</t>
  </si>
  <si>
    <t>L2978028</t>
  </si>
  <si>
    <t>S20523442</t>
  </si>
  <si>
    <t>Capped Conebill</t>
  </si>
  <si>
    <t>Conirostre coiffé</t>
  </si>
  <si>
    <t>Conirostrum albifrons</t>
  </si>
  <si>
    <t>Capped Heron</t>
  </si>
  <si>
    <t>Héron coiffé</t>
  </si>
  <si>
    <t>Pilherodius pileatus</t>
  </si>
  <si>
    <t>Cardinal Woodpecker</t>
  </si>
  <si>
    <t>Pic cardinal</t>
  </si>
  <si>
    <t>Dendropicos fuscescens</t>
  </si>
  <si>
    <t>Carib Grackle</t>
  </si>
  <si>
    <t>Quiscale merle</t>
  </si>
  <si>
    <t>Quiscalus lugubris</t>
  </si>
  <si>
    <t>Brasso Seco</t>
  </si>
  <si>
    <t>L686801</t>
  </si>
  <si>
    <t>S44374846</t>
  </si>
  <si>
    <t>Caribbean Hornero</t>
  </si>
  <si>
    <t>Fournier du Venezuela</t>
  </si>
  <si>
    <t>Furnarius longirostris</t>
  </si>
  <si>
    <t>Auto selected 10.35207, -75.42743</t>
  </si>
  <si>
    <t>CO-BOL</t>
  </si>
  <si>
    <t>L41982305</t>
  </si>
  <si>
    <t>S222359696</t>
  </si>
  <si>
    <t>Caribbean Martin</t>
  </si>
  <si>
    <t>Hirondelle à ventre blanc</t>
  </si>
  <si>
    <t>Progne dominicensis</t>
  </si>
  <si>
    <t>Bon Accord Sewage Treatment Ponds</t>
  </si>
  <si>
    <t>L623632</t>
  </si>
  <si>
    <t>S44500469</t>
  </si>
  <si>
    <t>Carmiol's Tanager</t>
  </si>
  <si>
    <t>Habia de Carmiol</t>
  </si>
  <si>
    <t>Chlorothraupis carmioli</t>
  </si>
  <si>
    <t>Carolina Chickadee</t>
  </si>
  <si>
    <t>Mésange de Caroline</t>
  </si>
  <si>
    <t>Poecile carolinensis</t>
  </si>
  <si>
    <t>Carolina Wren</t>
  </si>
  <si>
    <t>Troglodyte de Caroline</t>
  </si>
  <si>
    <t>Thryothorus ludovicianus</t>
  </si>
  <si>
    <t>Sheldon Marsh State Nature Preserve</t>
  </si>
  <si>
    <t>L275453</t>
  </si>
  <si>
    <t>S36536876</t>
  </si>
  <si>
    <t>Carrion Crow</t>
  </si>
  <si>
    <t>Corneille noire</t>
  </si>
  <si>
    <t>Corvus corone</t>
  </si>
  <si>
    <t>Bois des Mouilles</t>
  </si>
  <si>
    <t>CH-GE</t>
  </si>
  <si>
    <t>L5168443</t>
  </si>
  <si>
    <t>S51854116</t>
  </si>
  <si>
    <t>Carunculated Caracara</t>
  </si>
  <si>
    <t>Caracara caronculé</t>
  </si>
  <si>
    <t>Daptrius carunculatus</t>
  </si>
  <si>
    <t>Caspian Tern</t>
  </si>
  <si>
    <t>Sterne caspienne</t>
  </si>
  <si>
    <t>Hydroprogne caspia</t>
  </si>
  <si>
    <t>Cassin's Kingbird</t>
  </si>
  <si>
    <t>Tyran de Cassin</t>
  </si>
  <si>
    <t>Tyrannus vociferans</t>
  </si>
  <si>
    <t>Cattle Tyrant</t>
  </si>
  <si>
    <t>Tyran querelleur</t>
  </si>
  <si>
    <t>Machetornis rixosa</t>
  </si>
  <si>
    <t>PNN Tayrona--Arrecifes</t>
  </si>
  <si>
    <t>L5239031</t>
  </si>
  <si>
    <t>S103510896</t>
  </si>
  <si>
    <t>Cedar Waxwing</t>
  </si>
  <si>
    <t>Jaseur d'Amérique</t>
  </si>
  <si>
    <t>Bombycilla cedrorum</t>
  </si>
  <si>
    <t>S15665777</t>
  </si>
  <si>
    <t>Cerulean Warbler</t>
  </si>
  <si>
    <t>Paruline azurée</t>
  </si>
  <si>
    <t>Setophaga cerulea</t>
  </si>
  <si>
    <t>S29587443</t>
  </si>
  <si>
    <t>Artamie chabert</t>
  </si>
  <si>
    <t>Leptopterus chabert</t>
  </si>
  <si>
    <t>Alaotra-Mangoro, MG (-18,99, 48,435)</t>
  </si>
  <si>
    <t>L37867592</t>
  </si>
  <si>
    <t>S201831901</t>
  </si>
  <si>
    <t>Channel-billed Toucan</t>
  </si>
  <si>
    <t>Toucan vitellin</t>
  </si>
  <si>
    <t>Ramphastos vitellinus</t>
  </si>
  <si>
    <t>Checker-throated Stipplethroat</t>
  </si>
  <si>
    <t>Myrmidon fauve</t>
  </si>
  <si>
    <t>Epinecrophylla fulviventris</t>
  </si>
  <si>
    <t>Chestnut Piculet</t>
  </si>
  <si>
    <t>Picumne cannelle</t>
  </si>
  <si>
    <t>Picumnus cinnamomeus</t>
  </si>
  <si>
    <t>Via Parque Isla de Salamanca--Centro Administrativo Los Cocos</t>
  </si>
  <si>
    <t>L1856337</t>
  </si>
  <si>
    <t>S222944042</t>
  </si>
  <si>
    <t>Cinclosome marron</t>
  </si>
  <si>
    <t>Cinclosoma castanotum</t>
  </si>
  <si>
    <t>Cinclosomatidae (Quail-thrushes and Jewel-babblers)</t>
  </si>
  <si>
    <t>Murray-Sunset NP--Taplan Gate</t>
  </si>
  <si>
    <t>L38990623</t>
  </si>
  <si>
    <t>S283231538</t>
  </si>
  <si>
    <t>Chestnut Teal</t>
  </si>
  <si>
    <t>Sarcelle rousse</t>
  </si>
  <si>
    <t>Anas castanea</t>
  </si>
  <si>
    <t>Chestnut-backed Antbird</t>
  </si>
  <si>
    <t>Alapi à dos roux</t>
  </si>
  <si>
    <t>Poliocrania exsul</t>
  </si>
  <si>
    <t>Chestnut-backed Chickadee</t>
  </si>
  <si>
    <t>Mésange à dos marron</t>
  </si>
  <si>
    <t>Poecile rufescens</t>
  </si>
  <si>
    <t>Stanley Park--Beaver Lake</t>
  </si>
  <si>
    <t>L344388</t>
  </si>
  <si>
    <t>S49275033</t>
  </si>
  <si>
    <t>Chestnut-bellied Hummingbird</t>
  </si>
  <si>
    <t>Ariane à ventre roux</t>
  </si>
  <si>
    <t>Saucerottia castaneiventris</t>
  </si>
  <si>
    <t>Chestnut-capped Brushfinch</t>
  </si>
  <si>
    <t>Tohi à nuque brune</t>
  </si>
  <si>
    <t>Arremon brunneinucha</t>
  </si>
  <si>
    <t>Chestnut-capped Warbler</t>
  </si>
  <si>
    <t>Paruline de Delattre</t>
  </si>
  <si>
    <t>Basileuterus delattrii</t>
  </si>
  <si>
    <t>PA-Panamá-Panama City-Calle Gorgas - 8.9623x-79.5489</t>
  </si>
  <si>
    <t>L5075189</t>
  </si>
  <si>
    <t>S32494739</t>
  </si>
  <si>
    <t>Chestnut-colored Woodpecker</t>
  </si>
  <si>
    <t>Pic roux</t>
  </si>
  <si>
    <t>Celeus castaneus</t>
  </si>
  <si>
    <t>Estación Biológica La Selva-OTS</t>
  </si>
  <si>
    <t>L436195</t>
  </si>
  <si>
    <t>S112459039</t>
  </si>
  <si>
    <t>Chestnut-crowned Antpitta</t>
  </si>
  <si>
    <t>Grallaire à tête rousse</t>
  </si>
  <si>
    <t>Grallaria ruficapilla</t>
  </si>
  <si>
    <t>Chestnut-crowned Babbler</t>
  </si>
  <si>
    <t>Pomatostome à calotte marron</t>
  </si>
  <si>
    <t>Pomatostomus ruficeps</t>
  </si>
  <si>
    <t>Pomatostomidae (Pseudo-Babblers)</t>
  </si>
  <si>
    <t>Yarrara Flora and Fauna Reserve</t>
  </si>
  <si>
    <t>L937591</t>
  </si>
  <si>
    <t>S283358920</t>
  </si>
  <si>
    <t>Chestnut-fronted Macaw</t>
  </si>
  <si>
    <t>Ara vert</t>
  </si>
  <si>
    <t>Ara severus</t>
  </si>
  <si>
    <t>Miller Drive Roost (Brewer Park)</t>
  </si>
  <si>
    <t>L578426</t>
  </si>
  <si>
    <t>S106727010</t>
  </si>
  <si>
    <t>Cassique à tête brune</t>
  </si>
  <si>
    <t>Psarocolius wagleri</t>
  </si>
  <si>
    <t>Chestnut-naped Antpitta</t>
  </si>
  <si>
    <t>Grallaire à nuque rousse</t>
  </si>
  <si>
    <t>Grallaria nuchalis</t>
  </si>
  <si>
    <t>Acanthize à croupion roux</t>
  </si>
  <si>
    <t>Acanthiza uropygialis</t>
  </si>
  <si>
    <t>Paruline à flancs marron</t>
  </si>
  <si>
    <t>Setophaga pensylvanica</t>
  </si>
  <si>
    <t>S15665385</t>
  </si>
  <si>
    <t>Chestnut-winged Chachalaca</t>
  </si>
  <si>
    <t>Ortalide babillarde</t>
  </si>
  <si>
    <t>Ortalis garrula</t>
  </si>
  <si>
    <t>Agrícola Camelias</t>
  </si>
  <si>
    <t>L15083845</t>
  </si>
  <si>
    <t>S222468822</t>
  </si>
  <si>
    <t>Chestnut-winged Cinclodes</t>
  </si>
  <si>
    <t>Cinclode à miroir marron</t>
  </si>
  <si>
    <t>Cinclodes albidiventris</t>
  </si>
  <si>
    <t>Chimney Swift</t>
  </si>
  <si>
    <t>Martinet ramoneur</t>
  </si>
  <si>
    <t>Chaetura pelagica</t>
  </si>
  <si>
    <t>Magee Marsh (Lucas Co.)</t>
  </si>
  <si>
    <t>L317582</t>
  </si>
  <si>
    <t>S23442730</t>
  </si>
  <si>
    <t>Pririt molitor</t>
  </si>
  <si>
    <t>Batis molitor</t>
  </si>
  <si>
    <t>Platysteiridae (Wattle-eyes and Batises)</t>
  </si>
  <si>
    <t>Chipping Sparrow</t>
  </si>
  <si>
    <t>Bruant familier</t>
  </si>
  <si>
    <t>Spizella passerina</t>
  </si>
  <si>
    <t>Psophode babillard</t>
  </si>
  <si>
    <t>Psophodes cristatus</t>
  </si>
  <si>
    <t>Psophodidae (Whipbirds and Wedgebills)</t>
  </si>
  <si>
    <t>Farina</t>
  </si>
  <si>
    <t>L2554790</t>
  </si>
  <si>
    <t>S282786422</t>
  </si>
  <si>
    <t>Chivi Vireo</t>
  </si>
  <si>
    <t>Viréo chivi</t>
  </si>
  <si>
    <t>Vireo chivi</t>
  </si>
  <si>
    <t>Cuffie River Nature Retreat</t>
  </si>
  <si>
    <t>L470121</t>
  </si>
  <si>
    <t>S44526821</t>
  </si>
  <si>
    <t>Choco Brushfinch</t>
  </si>
  <si>
    <t>Tohi à bec fort</t>
  </si>
  <si>
    <t>Atlapetes crassus</t>
  </si>
  <si>
    <t>S54603202</t>
  </si>
  <si>
    <t>Choco Sirystes</t>
  </si>
  <si>
    <t>Tyran du Choco</t>
  </si>
  <si>
    <t>Sirystes albogriseus</t>
  </si>
  <si>
    <t>Choco Toucan</t>
  </si>
  <si>
    <t>Toucan du Choco</t>
  </si>
  <si>
    <t>Ramphastos brevis</t>
  </si>
  <si>
    <t>Milpe Bird Sanctuary (including former Milpe Gardens)</t>
  </si>
  <si>
    <t>L493675</t>
  </si>
  <si>
    <t>S54718299</t>
  </si>
  <si>
    <t>Choco Tyrannulet</t>
  </si>
  <si>
    <t>Tyranneau du Choco</t>
  </si>
  <si>
    <t>Zimmerius albigularis</t>
  </si>
  <si>
    <t>Choco Warbler</t>
  </si>
  <si>
    <t>Paruline du Choco</t>
  </si>
  <si>
    <t>Myiothlypis chlorophrys</t>
  </si>
  <si>
    <t>S54723055</t>
  </si>
  <si>
    <t>Engoulevent de Caroline</t>
  </si>
  <si>
    <t>Antrostomus carolinensis</t>
  </si>
  <si>
    <t>Green Cay Wetlands &amp; Nature Center</t>
  </si>
  <si>
    <t>L246929</t>
  </si>
  <si>
    <t>S105358092</t>
  </si>
  <si>
    <t>Chukar</t>
  </si>
  <si>
    <t>Perdrix choukar</t>
  </si>
  <si>
    <t>Alectoris chukar</t>
  </si>
  <si>
    <t>HI: Haleakala NP - Visitors' Center (lower)</t>
  </si>
  <si>
    <t>L1614549</t>
  </si>
  <si>
    <t>S49813922</t>
  </si>
  <si>
    <t>Cinereous Becard</t>
  </si>
  <si>
    <t>Bécarde cendrée</t>
  </si>
  <si>
    <t>Pachyramphus rufus</t>
  </si>
  <si>
    <t>Laguna El Tabacal</t>
  </si>
  <si>
    <t>L1252637</t>
  </si>
  <si>
    <t>S61700588</t>
  </si>
  <si>
    <t>Cinereous Conebill</t>
  </si>
  <si>
    <t>Conirostre cendré</t>
  </si>
  <si>
    <t>Conirostrum cinereum</t>
  </si>
  <si>
    <t>Cinnamon Becard</t>
  </si>
  <si>
    <t>Bécarde cannelle</t>
  </si>
  <si>
    <t>Pachyramphus cinnamomeus</t>
  </si>
  <si>
    <t>Gamboa Rainforest Reserve</t>
  </si>
  <si>
    <t>L454674</t>
  </si>
  <si>
    <t>S35593822</t>
  </si>
  <si>
    <t>Cinnamon Flycatcher</t>
  </si>
  <si>
    <t>Moucherolle cannelle</t>
  </si>
  <si>
    <t>Pyrrhomyias cinnamomeus</t>
  </si>
  <si>
    <t>Cinnamon Hummingbird</t>
  </si>
  <si>
    <t>Ariane cannelle</t>
  </si>
  <si>
    <t>Amazilia rutila</t>
  </si>
  <si>
    <t>Cinclosome cannelle</t>
  </si>
  <si>
    <t>Cinclosoma cinnamomeum</t>
  </si>
  <si>
    <t>Cinnamon Woodpecker</t>
  </si>
  <si>
    <t>Pic cannelle</t>
  </si>
  <si>
    <t>Celeus loricatus</t>
  </si>
  <si>
    <t>S32606575</t>
  </si>
  <si>
    <t>Cinnamon-bellied Saltator</t>
  </si>
  <si>
    <t>Saltator du Mexique</t>
  </si>
  <si>
    <t>Saltator grandis</t>
  </si>
  <si>
    <t>Guêpier montagnard</t>
  </si>
  <si>
    <t>Merops oreobates</t>
  </si>
  <si>
    <t>Meropidae (Bee-eaters)</t>
  </si>
  <si>
    <t>Cassenoix d'Amérique</t>
  </si>
  <si>
    <t>Nucifraga columbiana</t>
  </si>
  <si>
    <t>Sun Peaks Resort</t>
  </si>
  <si>
    <t>L2312627</t>
  </si>
  <si>
    <t>S22388299</t>
  </si>
  <si>
    <t>Clay-colored Sparrow</t>
  </si>
  <si>
    <t>Bruant des plaines</t>
  </si>
  <si>
    <t>Spizella pallida</t>
  </si>
  <si>
    <t>S18164526</t>
  </si>
  <si>
    <t>Clay-colored Thrush</t>
  </si>
  <si>
    <t>Merle fauve</t>
  </si>
  <si>
    <t>Turdus grayi</t>
  </si>
  <si>
    <t>Cliff Swallow</t>
  </si>
  <si>
    <t>Hirondelle à front blanc</t>
  </si>
  <si>
    <t>Petrochelidon pyrrhonota</t>
  </si>
  <si>
    <t>Cocoa Thrush</t>
  </si>
  <si>
    <t>Merle cacao</t>
  </si>
  <si>
    <t>Turdus fumigatus</t>
  </si>
  <si>
    <t>Cocoa Woodcreeper</t>
  </si>
  <si>
    <t>Grimpar cacao</t>
  </si>
  <si>
    <t>Xiphorhynchus susurrans</t>
  </si>
  <si>
    <t>Chorro Macho (Canopy Adventure)</t>
  </si>
  <si>
    <t>L9526634</t>
  </si>
  <si>
    <t>S32571233</t>
  </si>
  <si>
    <t>Cocoi Heron</t>
  </si>
  <si>
    <t>Héron cocoi</t>
  </si>
  <si>
    <t>Ardea cocoi</t>
  </si>
  <si>
    <t>Cocos Booby</t>
  </si>
  <si>
    <t>Fou des Cocos</t>
  </si>
  <si>
    <t>Sula brewsteri</t>
  </si>
  <si>
    <t>Playa Panama</t>
  </si>
  <si>
    <t>CR-G</t>
  </si>
  <si>
    <t>L4375102</t>
  </si>
  <si>
    <t>S155913705</t>
  </si>
  <si>
    <t>Araçari à collier</t>
  </si>
  <si>
    <t>Pteroglossus torquatus</t>
  </si>
  <si>
    <t>Minca (y alrededores/general area)</t>
  </si>
  <si>
    <t>L1161669</t>
  </si>
  <si>
    <t>S103523030</t>
  </si>
  <si>
    <t>Collared Inca</t>
  </si>
  <si>
    <t>Inca à collier</t>
  </si>
  <si>
    <t>Coeligena torquata</t>
  </si>
  <si>
    <t>Collared Plover</t>
  </si>
  <si>
    <t>Pluvier d'Azara</t>
  </si>
  <si>
    <t>Anarhynchus collaris</t>
  </si>
  <si>
    <t>Tárcoles--Tour en Bote</t>
  </si>
  <si>
    <t>L1456779</t>
  </si>
  <si>
    <t>S112965518</t>
  </si>
  <si>
    <t>Collared Pratincole</t>
  </si>
  <si>
    <t>Glaréole à collier</t>
  </si>
  <si>
    <t>Glareola pratincola</t>
  </si>
  <si>
    <t>Collared Redstart</t>
  </si>
  <si>
    <t>Paruline ceinturée</t>
  </si>
  <si>
    <t>Myioborus torquatus</t>
  </si>
  <si>
    <t>Souimanga à collier</t>
  </si>
  <si>
    <t>Hedydipna collaris</t>
  </si>
  <si>
    <t>Trogon rosalba</t>
  </si>
  <si>
    <t>Trogon collaris</t>
  </si>
  <si>
    <t>Ortalide de Colombie</t>
  </si>
  <si>
    <t>Ortalis columbiana</t>
  </si>
  <si>
    <t>Buse noire</t>
  </si>
  <si>
    <t>Buteogallus anthracinus</t>
  </si>
  <si>
    <t>Common Bronzewing</t>
  </si>
  <si>
    <t>Colombine lumachelle</t>
  </si>
  <si>
    <t>Phaps chalcoptera</t>
  </si>
  <si>
    <t>Halls Gap</t>
  </si>
  <si>
    <t>L2551915</t>
  </si>
  <si>
    <t>S40125320</t>
  </si>
  <si>
    <t>Common Bulbul</t>
  </si>
  <si>
    <t>Bulbul des jardins</t>
  </si>
  <si>
    <t>Pycnonotus barbatus</t>
  </si>
  <si>
    <t>Common Buzzard</t>
  </si>
  <si>
    <t>Buse variable</t>
  </si>
  <si>
    <t>Buteo buteo</t>
  </si>
  <si>
    <t>Common Chaffinch</t>
  </si>
  <si>
    <t>Pinson des arbres</t>
  </si>
  <si>
    <t>Fringilla coelebs</t>
  </si>
  <si>
    <t>Les Menuires, Saint-Martin-de-Belleville FR-Rhône-Alpes (45.3220,6.5270)</t>
  </si>
  <si>
    <t>L10715950</t>
  </si>
  <si>
    <t>S64306841</t>
  </si>
  <si>
    <t>Common Chlorospingus</t>
  </si>
  <si>
    <t>Chlorospin des buissons</t>
  </si>
  <si>
    <t>Chlorospingus flavopectus</t>
  </si>
  <si>
    <t>Common Eider</t>
  </si>
  <si>
    <t>Eider à duvet</t>
  </si>
  <si>
    <t>Somateria mollissima</t>
  </si>
  <si>
    <t>Gare fluviale St-Joseph-de-la-Rive</t>
  </si>
  <si>
    <t>L14613891</t>
  </si>
  <si>
    <t>S18531976</t>
  </si>
  <si>
    <t>Common Gallinule</t>
  </si>
  <si>
    <t>Gallinule d'Amérique</t>
  </si>
  <si>
    <t>Gallinula galeata</t>
  </si>
  <si>
    <t>Common Goldeneye</t>
  </si>
  <si>
    <t>Garrot à oeil d'or</t>
  </si>
  <si>
    <t>Bucephala clangula</t>
  </si>
  <si>
    <t>Britannia CA--Mud Lake</t>
  </si>
  <si>
    <t>L1795397</t>
  </si>
  <si>
    <t>S15364462</t>
  </si>
  <si>
    <t>Common Grackle</t>
  </si>
  <si>
    <t>Quiscale bronzé</t>
  </si>
  <si>
    <t>Quiscalus quiscula</t>
  </si>
  <si>
    <t>Chevalier aboyeur</t>
  </si>
  <si>
    <t>Tringa nebularia</t>
  </si>
  <si>
    <t>Colombe à queue noire</t>
  </si>
  <si>
    <t>Columbina passerina</t>
  </si>
  <si>
    <t>Bosque Protector Jerusalem</t>
  </si>
  <si>
    <t>L2762008</t>
  </si>
  <si>
    <t>S54527484</t>
  </si>
  <si>
    <t>Common Hoopoe</t>
  </si>
  <si>
    <t>Huppe fasciée</t>
  </si>
  <si>
    <t>Upupa epops</t>
  </si>
  <si>
    <t>Upupidae (Hoopoes)</t>
  </si>
  <si>
    <t>Common Jery</t>
  </si>
  <si>
    <t>Petite Éroesse</t>
  </si>
  <si>
    <t>Neomixis tenella</t>
  </si>
  <si>
    <t>Iaroka Forest</t>
  </si>
  <si>
    <t>L6489758</t>
  </si>
  <si>
    <t>S202373999</t>
  </si>
  <si>
    <t>Common Loon</t>
  </si>
  <si>
    <t>Plongeon huard</t>
  </si>
  <si>
    <t>Gavia immer</t>
  </si>
  <si>
    <t>Gaviiformes</t>
  </si>
  <si>
    <t>Gaviidae (Loons)</t>
  </si>
  <si>
    <t>CA-ON-Timmins-7-9 McIntyre Rd</t>
  </si>
  <si>
    <t>L2899988</t>
  </si>
  <si>
    <t>S18686657</t>
  </si>
  <si>
    <t>Common Merganser</t>
  </si>
  <si>
    <t>Grand Harle</t>
  </si>
  <si>
    <t>Mergus merganser</t>
  </si>
  <si>
    <t>Presqu'ile Provincial Park (general location)</t>
  </si>
  <si>
    <t>L351706</t>
  </si>
  <si>
    <t>S17772174</t>
  </si>
  <si>
    <t>Common Murre</t>
  </si>
  <si>
    <t>Guillemot marmette</t>
  </si>
  <si>
    <t>Uria aalge</t>
  </si>
  <si>
    <t>Centre d’int. et d’obs. de Cap-de-Bon-Désir</t>
  </si>
  <si>
    <t>L3769317</t>
  </si>
  <si>
    <t>S143571727</t>
  </si>
  <si>
    <t>Common Myna</t>
  </si>
  <si>
    <t>Martin triste</t>
  </si>
  <si>
    <t>Acridotheres tristis</t>
  </si>
  <si>
    <t>Common Newtonia</t>
  </si>
  <si>
    <t>Newtonie commune</t>
  </si>
  <si>
    <t>Newtonia brunneicauda</t>
  </si>
  <si>
    <t>Engoulevent d'Amérique</t>
  </si>
  <si>
    <t>Chordeiles minor</t>
  </si>
  <si>
    <t>S23408525</t>
  </si>
  <si>
    <t>Common Ostrich</t>
  </si>
  <si>
    <t>Autruche d'Afrique</t>
  </si>
  <si>
    <t>Struthio camelus</t>
  </si>
  <si>
    <t>Struthioniformes</t>
  </si>
  <si>
    <t>Struthionidae (Ostriches)</t>
  </si>
  <si>
    <t>Serengeti NP--Seronera</t>
  </si>
  <si>
    <t>TZ-13</t>
  </si>
  <si>
    <t>L1327024</t>
  </si>
  <si>
    <t>S15379241</t>
  </si>
  <si>
    <t>Common Pauraque</t>
  </si>
  <si>
    <t>Engoulevent pauraqué</t>
  </si>
  <si>
    <t>Nyctidromus albicollis</t>
  </si>
  <si>
    <t>Common Potoo</t>
  </si>
  <si>
    <t>Ibijau gris</t>
  </si>
  <si>
    <t>Nyctibius griseus</t>
  </si>
  <si>
    <t>Nyctibiiformes</t>
  </si>
  <si>
    <t>Nyctibiidae (Potoos)</t>
  </si>
  <si>
    <t>Grand Corbeau</t>
  </si>
  <si>
    <t>Corvus corax</t>
  </si>
  <si>
    <t>Common Ringed Plover</t>
  </si>
  <si>
    <t>Pluvier grand-gravelot</t>
  </si>
  <si>
    <t>Charadrius hiaticula</t>
  </si>
  <si>
    <t>Ifaty--salt pans</t>
  </si>
  <si>
    <t>L3099280</t>
  </si>
  <si>
    <t>S202342521</t>
  </si>
  <si>
    <t>Common Sandpiper</t>
  </si>
  <si>
    <t>Chevalier guignette</t>
  </si>
  <si>
    <t>Actitis hypoleucos</t>
  </si>
  <si>
    <t>Common Squirrel-Cuckoo</t>
  </si>
  <si>
    <t>Piaye écureuil</t>
  </si>
  <si>
    <t>Piaya cayana</t>
  </si>
  <si>
    <t>El Pilar Archaeological Site</t>
  </si>
  <si>
    <t>L499342</t>
  </si>
  <si>
    <t>S15367578</t>
  </si>
  <si>
    <t>Common Tern</t>
  </si>
  <si>
    <t>Sterne pierregarin</t>
  </si>
  <si>
    <t>Sterna hirundo</t>
  </si>
  <si>
    <t>Common Tody-Flycatcher</t>
  </si>
  <si>
    <t>Todirostre familier</t>
  </si>
  <si>
    <t>Todirostrum cinereum</t>
  </si>
  <si>
    <t>Hopkins-Sittee River area</t>
  </si>
  <si>
    <t>L660679</t>
  </si>
  <si>
    <t>S15367714</t>
  </si>
  <si>
    <t>Common Waxbill</t>
  </si>
  <si>
    <t>Astrild ondulé</t>
  </si>
  <si>
    <t>Estrilda astrild</t>
  </si>
  <si>
    <t>Common Wood-Pigeon</t>
  </si>
  <si>
    <t>Pigeon ramier</t>
  </si>
  <si>
    <t>Columba palumbus</t>
  </si>
  <si>
    <t>Jetée et Port des Pâquis</t>
  </si>
  <si>
    <t>L926699</t>
  </si>
  <si>
    <t>S64523020</t>
  </si>
  <si>
    <t>Paruline masquée</t>
  </si>
  <si>
    <t>Geothlypis trichas</t>
  </si>
  <si>
    <t>Épervier de Cooper</t>
  </si>
  <si>
    <t>Astur cooperii</t>
  </si>
  <si>
    <t>S15665321</t>
  </si>
  <si>
    <t>Copper-rumped Hummingbird</t>
  </si>
  <si>
    <t>Ariane de Félicie</t>
  </si>
  <si>
    <t>Saucerottia tobaci</t>
  </si>
  <si>
    <t>Coppery Emerald</t>
  </si>
  <si>
    <t>Émeraude cuivrée</t>
  </si>
  <si>
    <t>Chlorostilbon russatus</t>
  </si>
  <si>
    <t>El Campano</t>
  </si>
  <si>
    <t>L11802673</t>
  </si>
  <si>
    <t>S223934047</t>
  </si>
  <si>
    <t>Coppery-headed Emerald</t>
  </si>
  <si>
    <t>Colibri à tête cuivrée</t>
  </si>
  <si>
    <t>Microchera cupreiceps</t>
  </si>
  <si>
    <t>Coppery-tailed Coucal</t>
  </si>
  <si>
    <t>Coucal des papyrus</t>
  </si>
  <si>
    <t>Centropus cupreicaudus</t>
  </si>
  <si>
    <t>Coua de Coquerel</t>
  </si>
  <si>
    <t>Coua coquereli</t>
  </si>
  <si>
    <t>Coqui Francolin</t>
  </si>
  <si>
    <t>Francolin coqui</t>
  </si>
  <si>
    <t>Campocolinus coqui</t>
  </si>
  <si>
    <t>Paruline du Costa Rica</t>
  </si>
  <si>
    <t>Basileuterus melanotis</t>
  </si>
  <si>
    <t>Reserva Biológica Bosque Nuboso Monteverde</t>
  </si>
  <si>
    <t>L552342</t>
  </si>
  <si>
    <t>S112944944</t>
  </si>
  <si>
    <t>Tyran de Couch</t>
  </si>
  <si>
    <t>Tyrannus couchii</t>
  </si>
  <si>
    <t>Émeraude de Cozumel</t>
  </si>
  <si>
    <t>Cynanthus forficatus</t>
  </si>
  <si>
    <t>Viréo de Cozumel</t>
  </si>
  <si>
    <t>Vireo bairdi</t>
  </si>
  <si>
    <t>Entrada a Club de Campo Cozumel</t>
  </si>
  <si>
    <t>L5626137</t>
  </si>
  <si>
    <t>S41178613</t>
  </si>
  <si>
    <t>Drome ardéole</t>
  </si>
  <si>
    <t>Dromas ardeola</t>
  </si>
  <si>
    <t>Dromadidae (Crab-Plover)</t>
  </si>
  <si>
    <t>MG (-23,633, 43,601)</t>
  </si>
  <si>
    <t>L38036757</t>
  </si>
  <si>
    <t>S202791296</t>
  </si>
  <si>
    <t>Crane Hawk</t>
  </si>
  <si>
    <t>Buse échasse</t>
  </si>
  <si>
    <t>Geranospiza caerulescens</t>
  </si>
  <si>
    <t>Crescent Honeyeater</t>
  </si>
  <si>
    <t>Méliphage à croissants</t>
  </si>
  <si>
    <t>Phylidonyris pyrrhopterus</t>
  </si>
  <si>
    <t>S284195246</t>
  </si>
  <si>
    <t>Crested Barbet</t>
  </si>
  <si>
    <t>Barbican promépic</t>
  </si>
  <si>
    <t>Trachyphonus vaillantii</t>
  </si>
  <si>
    <t>Carillonneur huppé</t>
  </si>
  <si>
    <t>Oreoica gutturalis</t>
  </si>
  <si>
    <t>Oreoicidae (Australo-Papuan Bellbirds)</t>
  </si>
  <si>
    <t>Whitedam Conservation Park, Maude AU-SA -33.92653, 139.49638</t>
  </si>
  <si>
    <t>L54830749</t>
  </si>
  <si>
    <t>S283077148</t>
  </si>
  <si>
    <t>Caracara huppé</t>
  </si>
  <si>
    <t>Caracara plancus</t>
  </si>
  <si>
    <t>Crested Coua</t>
  </si>
  <si>
    <t>Coua huppé</t>
  </si>
  <si>
    <t>Coua cristata</t>
  </si>
  <si>
    <t>Drongo malgache</t>
  </si>
  <si>
    <t>Dicrurus forficatus</t>
  </si>
  <si>
    <t>Dicruridae (Drongos)</t>
  </si>
  <si>
    <t>Crested Eagle</t>
  </si>
  <si>
    <t>Harpie huppée</t>
  </si>
  <si>
    <t>Morphnus guianensis</t>
  </si>
  <si>
    <t>8.5775x-77.8576 - Apr 6, 2017, 2:37 PM</t>
  </si>
  <si>
    <t>L5663749</t>
  </si>
  <si>
    <t>S35758753</t>
  </si>
  <si>
    <t>Crested Francolin</t>
  </si>
  <si>
    <t>Francolin huppé</t>
  </si>
  <si>
    <t>Ortygornis sephaena</t>
  </si>
  <si>
    <t>Crested Guan</t>
  </si>
  <si>
    <t>Pénélope panachée</t>
  </si>
  <si>
    <t>Penelope purpurascens</t>
  </si>
  <si>
    <t>S112439329</t>
  </si>
  <si>
    <t>Crested Oropendola</t>
  </si>
  <si>
    <t>Cassique huppé</t>
  </si>
  <si>
    <t>Psarocolius decumanus</t>
  </si>
  <si>
    <t>Crested Owl</t>
  </si>
  <si>
    <t>Duc à aigrettes</t>
  </si>
  <si>
    <t>Lophostrix cristata</t>
  </si>
  <si>
    <t>Flores</t>
  </si>
  <si>
    <t>CR-L</t>
  </si>
  <si>
    <t>L1122705</t>
  </si>
  <si>
    <t>S112403738</t>
  </si>
  <si>
    <t>Crested Pigeon</t>
  </si>
  <si>
    <t>Colombine longup</t>
  </si>
  <si>
    <t>Ocyphaps lophotes</t>
  </si>
  <si>
    <t>Perruche de Pennant</t>
  </si>
  <si>
    <t>Platycercus elegans</t>
  </si>
  <si>
    <t>Crimson-backed Tanager</t>
  </si>
  <si>
    <t>Tangara à dos rouge</t>
  </si>
  <si>
    <t>Ramphocelus dimidiatus</t>
  </si>
  <si>
    <t>Crimson-breasted Gonolek</t>
  </si>
  <si>
    <t>Gonolek rouge et noir</t>
  </si>
  <si>
    <t>Laniarius atrococcineus</t>
  </si>
  <si>
    <t>Crimson-collared Tanager</t>
  </si>
  <si>
    <t>Tangara ceinturé</t>
  </si>
  <si>
    <t>Ramphocelus sanguinolentus</t>
  </si>
  <si>
    <t>Blue Hole National Park</t>
  </si>
  <si>
    <t>L2381840</t>
  </si>
  <si>
    <t>S15367650</t>
  </si>
  <si>
    <t>Crimson-crested Woodpecker</t>
  </si>
  <si>
    <t>Pic de Malherbe</t>
  </si>
  <si>
    <t>Campephilus melanoleucos</t>
  </si>
  <si>
    <t>Crimson-fronted Parakeet</t>
  </si>
  <si>
    <t>Conure de Finsch</t>
  </si>
  <si>
    <t>Psittacara finschi</t>
  </si>
  <si>
    <t>Hotel Bougainvillea</t>
  </si>
  <si>
    <t>L487975</t>
  </si>
  <si>
    <t>S112022395</t>
  </si>
  <si>
    <t>Crimson-mantled Woodpecker</t>
  </si>
  <si>
    <t>Pic de Rivoli</t>
  </si>
  <si>
    <t>Colaptes rivolii</t>
  </si>
  <si>
    <t>Crimson-rumped Toucanet</t>
  </si>
  <si>
    <t>Toucanet à croupion rouge</t>
  </si>
  <si>
    <t>Aulacorhynchus haematopygus</t>
  </si>
  <si>
    <t>Crossley's Vanga</t>
  </si>
  <si>
    <t>Mystacorne de Crossley</t>
  </si>
  <si>
    <t>Mystacornis crossleyi</t>
  </si>
  <si>
    <t>Crowned Chat-Tyrant</t>
  </si>
  <si>
    <t>Pitajo couronné</t>
  </si>
  <si>
    <t>Silvicultrix frontalis</t>
  </si>
  <si>
    <t>Crowned Hornbill</t>
  </si>
  <si>
    <t>Calao couronné</t>
  </si>
  <si>
    <t>Lophoceros alboterminatus</t>
  </si>
  <si>
    <t>Crowned Lapwing</t>
  </si>
  <si>
    <t>Vanneau couronné</t>
  </si>
  <si>
    <t>Vanellus coronatus</t>
  </si>
  <si>
    <t>Dryade couronnée</t>
  </si>
  <si>
    <t>Thalurania colombica</t>
  </si>
  <si>
    <t>8.6040x-80.0884 - Nov 13, 2016, 10:24 AM</t>
  </si>
  <si>
    <t>L5079097</t>
  </si>
  <si>
    <t>S32519353</t>
  </si>
  <si>
    <t>Cryptic Warbler</t>
  </si>
  <si>
    <t>Sylvicole cryptique</t>
  </si>
  <si>
    <t>Cryptosylvicola randrianasoloi</t>
  </si>
  <si>
    <t>Cuckoo-roller</t>
  </si>
  <si>
    <t>Courol vouroudriou</t>
  </si>
  <si>
    <t>Leptosomus discolor</t>
  </si>
  <si>
    <t>Leptosomiformes</t>
  </si>
  <si>
    <t>Leptosomidae (Cuckoo-roller)</t>
  </si>
  <si>
    <t>Curlew Sandpiper</t>
  </si>
  <si>
    <t>Bécasseau cocorli</t>
  </si>
  <si>
    <t>Calidris ferruginea</t>
  </si>
  <si>
    <t>Dark Newtonia</t>
  </si>
  <si>
    <t>Newtonie sombre</t>
  </si>
  <si>
    <t>Newtonia amphichroa</t>
  </si>
  <si>
    <t>Dark Pewee</t>
  </si>
  <si>
    <t>Moucherolle ombré</t>
  </si>
  <si>
    <t>Contopus lugubris</t>
  </si>
  <si>
    <t>San Gerardo de Dota</t>
  </si>
  <si>
    <t>L448041</t>
  </si>
  <si>
    <t>S112126477</t>
  </si>
  <si>
    <t>Tisserin bicolore</t>
  </si>
  <si>
    <t>Ploceus bicolor</t>
  </si>
  <si>
    <t>Dark-eyed Junco</t>
  </si>
  <si>
    <t>Junco ardoisé</t>
  </si>
  <si>
    <t>Junco hyemalis</t>
  </si>
  <si>
    <t>S15665757</t>
  </si>
  <si>
    <t>Diamant à gouttelettes</t>
  </si>
  <si>
    <t>Stagonopleura guttata</t>
  </si>
  <si>
    <t>Warby-Ovens National Park--Nason Springs</t>
  </si>
  <si>
    <t>L2904903</t>
  </si>
  <si>
    <t>S283947043</t>
  </si>
  <si>
    <t>Dollarbird</t>
  </si>
  <si>
    <t>Rolle oriental</t>
  </si>
  <si>
    <t>Eurystomus orientalis</t>
  </si>
  <si>
    <t>Dot-winged Antwren</t>
  </si>
  <si>
    <t>Grisin étoilé</t>
  </si>
  <si>
    <t>Microrhopias quixensis</t>
  </si>
  <si>
    <t>Queue-grise des feuilles</t>
  </si>
  <si>
    <t>Xenerpestes minlosi</t>
  </si>
  <si>
    <t>Canopy Camp</t>
  </si>
  <si>
    <t>L3379895</t>
  </si>
  <si>
    <t>S35679439</t>
  </si>
  <si>
    <t>Double-banded Sandgrouse</t>
  </si>
  <si>
    <t>Ganga bibande</t>
  </si>
  <si>
    <t>Pterocles bicinctus</t>
  </si>
  <si>
    <t>Double-crested Cormorant</t>
  </si>
  <si>
    <t>Cormoran à aigrettes</t>
  </si>
  <si>
    <t>Nannopterum auritum</t>
  </si>
  <si>
    <t>Everglades NP (Please consider using more specific locations)</t>
  </si>
  <si>
    <t>L3499263</t>
  </si>
  <si>
    <t>S15371142</t>
  </si>
  <si>
    <t>Double-striped Thick-knee</t>
  </si>
  <si>
    <t>Oedicnème bistrié</t>
  </si>
  <si>
    <t>Hesperoburhinus bistriatus</t>
  </si>
  <si>
    <t>Burhinidae (Thick-knees)</t>
  </si>
  <si>
    <t>Downy Woodpecker</t>
  </si>
  <si>
    <t>Pic mineur</t>
  </si>
  <si>
    <t>Dryobates pubescens</t>
  </si>
  <si>
    <t>Dull-colored Grassquit</t>
  </si>
  <si>
    <t>Cici obscur</t>
  </si>
  <si>
    <t>Asemospiza obscura</t>
  </si>
  <si>
    <t>S223237915</t>
  </si>
  <si>
    <t>Dull-mantled Antbird</t>
  </si>
  <si>
    <t>Alapi tabac</t>
  </si>
  <si>
    <t>Sipia laemosticta</t>
  </si>
  <si>
    <t>Rancho Naturalista</t>
  </si>
  <si>
    <t>L468901</t>
  </si>
  <si>
    <t>S112257955</t>
  </si>
  <si>
    <t>Dunlin</t>
  </si>
  <si>
    <t>Bécasseau variable</t>
  </si>
  <si>
    <t>Calidris alpina</t>
  </si>
  <si>
    <t>Dusky Antbird</t>
  </si>
  <si>
    <t>Grisin sombre</t>
  </si>
  <si>
    <t>Cercomacroides tyrannina</t>
  </si>
  <si>
    <t>Dusky Chlorospingus</t>
  </si>
  <si>
    <t>Chlorospin ombré</t>
  </si>
  <si>
    <t>Chlorospingus semifuscus</t>
  </si>
  <si>
    <t>San Tadeo Birdwatching (Feeders)</t>
  </si>
  <si>
    <t>L9410437</t>
  </si>
  <si>
    <t>S54712012</t>
  </si>
  <si>
    <t>Dusky Lark</t>
  </si>
  <si>
    <t>Alouette brune</t>
  </si>
  <si>
    <t>Pinarocorys nigricans</t>
  </si>
  <si>
    <t>Alaudidae (Larks)</t>
  </si>
  <si>
    <t>Dusky Moorhen</t>
  </si>
  <si>
    <t>Gallinule sombre</t>
  </si>
  <si>
    <t>Gallinula tenebrosa</t>
  </si>
  <si>
    <t>Dusky Piha</t>
  </si>
  <si>
    <t>Piauhau sombre</t>
  </si>
  <si>
    <t>Lipaugus fuscocinereus</t>
  </si>
  <si>
    <t>Dusky Robin</t>
  </si>
  <si>
    <t>Miro de Tasmanie</t>
  </si>
  <si>
    <t>Melanodryas vittata</t>
  </si>
  <si>
    <t>Petroicidae (Australasian Robins)</t>
  </si>
  <si>
    <t>Inala (restricted access)</t>
  </si>
  <si>
    <t>L942969</t>
  </si>
  <si>
    <t>S285114568</t>
  </si>
  <si>
    <t>Langrayen sordide</t>
  </si>
  <si>
    <t>Artamus cyanopterus</t>
  </si>
  <si>
    <t>Murray Valley National Park--Gulpa Creek Reed Beds</t>
  </si>
  <si>
    <t>L2480595</t>
  </si>
  <si>
    <t>S283759296</t>
  </si>
  <si>
    <t>Dusky-backed Jacamar</t>
  </si>
  <si>
    <t>Jacamar sombre</t>
  </si>
  <si>
    <t>Brachygalba salmoni</t>
  </si>
  <si>
    <t>Galbulidae (Jacamars)</t>
  </si>
  <si>
    <t>Dusky-capped Flycatcher</t>
  </si>
  <si>
    <t>Tyran olivâtre</t>
  </si>
  <si>
    <t>Myiarchus tuberculifer</t>
  </si>
  <si>
    <t>Dusky-faced Tanager</t>
  </si>
  <si>
    <t>Mitrospin obscur</t>
  </si>
  <si>
    <t>Mitrospingus cassinii</t>
  </si>
  <si>
    <t>Mitrospingidae (Mitrospingid Tanagers)</t>
  </si>
  <si>
    <t>Eared Dove</t>
  </si>
  <si>
    <t>Tourterelle oreillarde</t>
  </si>
  <si>
    <t>Zenaida auriculata</t>
  </si>
  <si>
    <t>Grèbe à cou noir</t>
  </si>
  <si>
    <t>Podiceps nigricollis</t>
  </si>
  <si>
    <t>S15429571</t>
  </si>
  <si>
    <t>Eastern Bluebird</t>
  </si>
  <si>
    <t>Merlebleu de l'Est</t>
  </si>
  <si>
    <t>Sialia sialis</t>
  </si>
  <si>
    <t>Eastern Cattle-Egret</t>
  </si>
  <si>
    <t>Héron de Coromandel</t>
  </si>
  <si>
    <t>Ardea coromanda</t>
  </si>
  <si>
    <t>Wollongong Botanic Garden</t>
  </si>
  <si>
    <t>L1314800</t>
  </si>
  <si>
    <t>S39889198</t>
  </si>
  <si>
    <t>Tyran tritri</t>
  </si>
  <si>
    <t>Tyrannus tyrannus</t>
  </si>
  <si>
    <t>Eastern Meadowlark</t>
  </si>
  <si>
    <t>Sturnelle des prés</t>
  </si>
  <si>
    <t>Sturnella magna</t>
  </si>
  <si>
    <t>Ottawa--Earl Armstrong Rd</t>
  </si>
  <si>
    <t>L2092728</t>
  </si>
  <si>
    <t>S17878091</t>
  </si>
  <si>
    <t>Eastern Phoebe</t>
  </si>
  <si>
    <t>Moucherolle phébi</t>
  </si>
  <si>
    <t>Sayornis phoebe</t>
  </si>
  <si>
    <t>Eastern Rosella</t>
  </si>
  <si>
    <t>Perruche omnicolore</t>
  </si>
  <si>
    <t>Platycercus eximius</t>
  </si>
  <si>
    <t>Eastern Screech-Owl</t>
  </si>
  <si>
    <t>Petit-duc maculé</t>
  </si>
  <si>
    <t>Megascops asio</t>
  </si>
  <si>
    <t>S23404804</t>
  </si>
  <si>
    <t>Falconelle à casque</t>
  </si>
  <si>
    <t>Falcunculus frontatus</t>
  </si>
  <si>
    <t>Falcunculidae (Shrike-tits)</t>
  </si>
  <si>
    <t>Murray Valley Regional Park--Deniliquin Town Block</t>
  </si>
  <si>
    <t>L10100482</t>
  </si>
  <si>
    <t>S283808018</t>
  </si>
  <si>
    <t>Eastern Spinebill</t>
  </si>
  <si>
    <t>Méliphage à bec grêle</t>
  </si>
  <si>
    <t>Acanthorhynchus tenuirostris</t>
  </si>
  <si>
    <t>Eastern Towhee</t>
  </si>
  <si>
    <t>Tohi à flancs roux</t>
  </si>
  <si>
    <t>Pipilo erythrophthalmus</t>
  </si>
  <si>
    <t>Viréo mélodieux</t>
  </si>
  <si>
    <t>Vireo gilvus</t>
  </si>
  <si>
    <t>Eastern Whip-poor-will</t>
  </si>
  <si>
    <t>Engoulevent bois-pourri</t>
  </si>
  <si>
    <t>Antrostomus vociferus</t>
  </si>
  <si>
    <t>Rondeau Provincial Park (general location)</t>
  </si>
  <si>
    <t>L265518</t>
  </si>
  <si>
    <t>S45497464</t>
  </si>
  <si>
    <t>Eastern Wood-Pewee</t>
  </si>
  <si>
    <t>Pioui de l'Est</t>
  </si>
  <si>
    <t>Contopus virens</t>
  </si>
  <si>
    <t>S19634457</t>
  </si>
  <si>
    <t>Miro à poitrine jaune</t>
  </si>
  <si>
    <t>Eopsaltria australis</t>
  </si>
  <si>
    <t>Ecuadorian Hillstar</t>
  </si>
  <si>
    <t>Colibri du Chimborazo</t>
  </si>
  <si>
    <t>Oreotrochilus chimborazo</t>
  </si>
  <si>
    <t>Ecuadorian Thrush</t>
  </si>
  <si>
    <t>Merle d'Équateur</t>
  </si>
  <si>
    <t>Turdus maculirostris</t>
  </si>
  <si>
    <t>S54707862</t>
  </si>
  <si>
    <t>Ouette d'Égypte</t>
  </si>
  <si>
    <t>Alopochen aegyptiaca</t>
  </si>
  <si>
    <t>Elegant Euphonia</t>
  </si>
  <si>
    <t>Organiste à capuchon</t>
  </si>
  <si>
    <t>Chlorophonia elegantissima</t>
  </si>
  <si>
    <t>Curi-Cancha Refugio de Vida Silvestre</t>
  </si>
  <si>
    <t>L1468729</t>
  </si>
  <si>
    <t>S156080994</t>
  </si>
  <si>
    <t>Perruche élégante</t>
  </si>
  <si>
    <t>Neophema elegans</t>
  </si>
  <si>
    <t>The Outback Hwy at Moralana Creek</t>
  </si>
  <si>
    <t>L2536082</t>
  </si>
  <si>
    <t>S283063153</t>
  </si>
  <si>
    <t>Emerald Tanager</t>
  </si>
  <si>
    <t>Calliste émeraude</t>
  </si>
  <si>
    <t>Tangara florida</t>
  </si>
  <si>
    <t>Rio Indio</t>
  </si>
  <si>
    <t>L1532334</t>
  </si>
  <si>
    <t>S61402411</t>
  </si>
  <si>
    <t>Emerald-spotted Wood-Dove</t>
  </si>
  <si>
    <t>Tourtelette émeraudine</t>
  </si>
  <si>
    <t>Turtur chalcospilos</t>
  </si>
  <si>
    <t>Empress Brilliant</t>
  </si>
  <si>
    <t>Brillant impératrice</t>
  </si>
  <si>
    <t>Heliodoxa imperatrix</t>
  </si>
  <si>
    <t>Emu</t>
  </si>
  <si>
    <t>Émeu d'Australie</t>
  </si>
  <si>
    <t>Dromaius novaehollandiae</t>
  </si>
  <si>
    <t>Casuariiformes</t>
  </si>
  <si>
    <t>Casuariidae (Cassowaries and Emu)</t>
  </si>
  <si>
    <t>Wilsons Promontory National Park--Wildlife Viewing Area</t>
  </si>
  <si>
    <t>L2855396</t>
  </si>
  <si>
    <t>S39990712</t>
  </si>
  <si>
    <t>Equatorial Antpitta</t>
  </si>
  <si>
    <t>Grallaire d'Équateur</t>
  </si>
  <si>
    <t>Grallaria saturata</t>
  </si>
  <si>
    <t>Francolin d'Erckel</t>
  </si>
  <si>
    <t>Pternistis erckelii</t>
  </si>
  <si>
    <t>Volcano Golf Course and Volcano Winery (Pi'i Mauna Drive)</t>
  </si>
  <si>
    <t>L2679607</t>
  </si>
  <si>
    <t>S49590172</t>
  </si>
  <si>
    <t>Euler's Flycatcher</t>
  </si>
  <si>
    <t>Moucherolle d'Euler</t>
  </si>
  <si>
    <t>Lathrotriccus euleri</t>
  </si>
  <si>
    <t>Aripo Savannah--Cumuto Road</t>
  </si>
  <si>
    <t>TT-SGE</t>
  </si>
  <si>
    <t>L652732</t>
  </si>
  <si>
    <t>S44449217</t>
  </si>
  <si>
    <t>Eurasian Blackbird</t>
  </si>
  <si>
    <t>Merle noir</t>
  </si>
  <si>
    <t>Turdus merula</t>
  </si>
  <si>
    <t>Eurasian Blue Tit</t>
  </si>
  <si>
    <t>Mésange bleue</t>
  </si>
  <si>
    <t>Cyanistes caeruleus</t>
  </si>
  <si>
    <t>Promenade Jacquet (Le Pâquier)--Lac d'Annecy</t>
  </si>
  <si>
    <t>L9486575</t>
  </si>
  <si>
    <t>S64490073</t>
  </si>
  <si>
    <t>Eurasian Collared-Dove</t>
  </si>
  <si>
    <t>Tourterelle turque</t>
  </si>
  <si>
    <t>Streptopelia decaocto</t>
  </si>
  <si>
    <t>Tranquille</t>
  </si>
  <si>
    <t>L344713</t>
  </si>
  <si>
    <t>S22427405</t>
  </si>
  <si>
    <t>Foulque macroule</t>
  </si>
  <si>
    <t>Fulica atra</t>
  </si>
  <si>
    <t>Eurasian Jackdaw</t>
  </si>
  <si>
    <t>Choucas des tours</t>
  </si>
  <si>
    <t>Coloeus monedula</t>
  </si>
  <si>
    <t>RNN du Plan de Tuéda (RNN100)</t>
  </si>
  <si>
    <t>L3155036</t>
  </si>
  <si>
    <t>S21771440</t>
  </si>
  <si>
    <t>Eurasian Kestrel</t>
  </si>
  <si>
    <t>Faucon crécerelle</t>
  </si>
  <si>
    <t>Falco tinnunculus</t>
  </si>
  <si>
    <t>Liane, Copponex FR-Rhône-Alpes (46.0566,6.0795)</t>
  </si>
  <si>
    <t>L10659212</t>
  </si>
  <si>
    <t>S63993845</t>
  </si>
  <si>
    <t>Eurasian Magpie</t>
  </si>
  <si>
    <t>Pie bavarde</t>
  </si>
  <si>
    <t>Pica pica</t>
  </si>
  <si>
    <t>Val Thorens</t>
  </si>
  <si>
    <t>L4931202</t>
  </si>
  <si>
    <t>S64156399</t>
  </si>
  <si>
    <t>Eurasian Moorhen</t>
  </si>
  <si>
    <t>Gallinule poule-d'eau</t>
  </si>
  <si>
    <t>Gallinula chloropus</t>
  </si>
  <si>
    <t>Eurasian Skylark</t>
  </si>
  <si>
    <t>Alouette des champs</t>
  </si>
  <si>
    <t>Alauda arvensis</t>
  </si>
  <si>
    <t>Moineau friquet</t>
  </si>
  <si>
    <t>Passer montanus</t>
  </si>
  <si>
    <t>Eurasian Whimbrel</t>
  </si>
  <si>
    <t>Courlis corlieu</t>
  </si>
  <si>
    <t>Numenius phaeopus</t>
  </si>
  <si>
    <t>S202372442</t>
  </si>
  <si>
    <t>Eurasian Wigeon</t>
  </si>
  <si>
    <t>Canard siffleur</t>
  </si>
  <si>
    <t>Mareca penelope</t>
  </si>
  <si>
    <t>Blackie Spit (Incl. Dunsmuir Farm &amp; Nicomekl estuary)</t>
  </si>
  <si>
    <t>L285197</t>
  </si>
  <si>
    <t>S49305332</t>
  </si>
  <si>
    <t>Guêpier d'Europe</t>
  </si>
  <si>
    <t>Merops apiaster</t>
  </si>
  <si>
    <t>European Goldfinch</t>
  </si>
  <si>
    <t>Chardonneret élégant</t>
  </si>
  <si>
    <t>Carduelis carduelis</t>
  </si>
  <si>
    <t>Naringal</t>
  </si>
  <si>
    <t>L3156701</t>
  </si>
  <si>
    <t>S40076405</t>
  </si>
  <si>
    <t>European Greenfinch</t>
  </si>
  <si>
    <t>Verdier d'Europe</t>
  </si>
  <si>
    <t>Chloris chloris</t>
  </si>
  <si>
    <t>Russell Clark Reserve</t>
  </si>
  <si>
    <t>L2704258</t>
  </si>
  <si>
    <t>S40091492</t>
  </si>
  <si>
    <t>European Starling</t>
  </si>
  <si>
    <t>Étourneau sansonnet</t>
  </si>
  <si>
    <t>Sturnus vulgaris</t>
  </si>
  <si>
    <t>Ottawa--Limebank road</t>
  </si>
  <si>
    <t>L2405870</t>
  </si>
  <si>
    <t>S17653963</t>
  </si>
  <si>
    <t>Gros-bec errant</t>
  </si>
  <si>
    <t>Hesperiphona vespertina</t>
  </si>
  <si>
    <t>PN du Mt-Tremblant--Secteur Tremblant</t>
  </si>
  <si>
    <t>L3335256</t>
  </si>
  <si>
    <t>S79202991</t>
  </si>
  <si>
    <t>Eye-ringed Flatbill</t>
  </si>
  <si>
    <t>Tyranneau à bec court</t>
  </si>
  <si>
    <t>Rhynchocyclus brevirostris</t>
  </si>
  <si>
    <t>Fairy Martin</t>
  </si>
  <si>
    <t>Hirondelle ariel</t>
  </si>
  <si>
    <t>Petrochelidon ariel</t>
  </si>
  <si>
    <t>Familiar Chat</t>
  </si>
  <si>
    <t>Tarier d'Afrique</t>
  </si>
  <si>
    <t>Oenanthe familiaris</t>
  </si>
  <si>
    <t>Fan-tailed Cuckoo</t>
  </si>
  <si>
    <t>Coucou à éventail</t>
  </si>
  <si>
    <t>Cacomantis flabelliformis</t>
  </si>
  <si>
    <t>Far Eastern Curlew</t>
  </si>
  <si>
    <t>Courlis de Sibérie</t>
  </si>
  <si>
    <t>Numenius madagascariensis</t>
  </si>
  <si>
    <t>Riverside Ave, Ocean Grove</t>
  </si>
  <si>
    <t>L16052106</t>
  </si>
  <si>
    <t>S284495342</t>
  </si>
  <si>
    <t>Fasciated Antshrike</t>
  </si>
  <si>
    <t>Batara fascié</t>
  </si>
  <si>
    <t>Cymbilaimus lineatus</t>
  </si>
  <si>
    <t>Fawn-breasted Brilliant</t>
  </si>
  <si>
    <t>Brillant rubinoïde</t>
  </si>
  <si>
    <t>Heliodoxa rubinoides</t>
  </si>
  <si>
    <t>Tangara à dos noir</t>
  </si>
  <si>
    <t>Pipraeidea melanonota</t>
  </si>
  <si>
    <t>Fawn-throated Foliage-gleaner</t>
  </si>
  <si>
    <t>Anabate de Sclater</t>
  </si>
  <si>
    <t>Automolus cervinigularis</t>
  </si>
  <si>
    <t>S112369645</t>
  </si>
  <si>
    <t>Ferruginous Pygmy-Owl</t>
  </si>
  <si>
    <t>Chevêchette brune</t>
  </si>
  <si>
    <t>Glaucidium brasilianum</t>
  </si>
  <si>
    <t>Santa Clara</t>
  </si>
  <si>
    <t>L879799</t>
  </si>
  <si>
    <t>S32558458</t>
  </si>
  <si>
    <t>Field Sparrow</t>
  </si>
  <si>
    <t>Bruant des champs</t>
  </si>
  <si>
    <t>Spizella pusilla</t>
  </si>
  <si>
    <t>Mersea Rd 21 fields</t>
  </si>
  <si>
    <t>L2817016</t>
  </si>
  <si>
    <t>S18176947</t>
  </si>
  <si>
    <t>Fiery-billed Aracari</t>
  </si>
  <si>
    <t>Araçari de Frantzius</t>
  </si>
  <si>
    <t>Pteroglossus frantzii</t>
  </si>
  <si>
    <t>Fiery-throated Hummingbird</t>
  </si>
  <si>
    <t>Colibri insigne</t>
  </si>
  <si>
    <t>Panterpe insignis</t>
  </si>
  <si>
    <t>Fish Crow</t>
  </si>
  <si>
    <t>Corneille de rivage</t>
  </si>
  <si>
    <t>Corvus ossifragus</t>
  </si>
  <si>
    <t>Government Rd. (Broward Co.)</t>
  </si>
  <si>
    <t>L586629</t>
  </si>
  <si>
    <t>S25839192</t>
  </si>
  <si>
    <t>Flame Robin</t>
  </si>
  <si>
    <t>Miro embrasé</t>
  </si>
  <si>
    <t>Petroica phoenicea</t>
  </si>
  <si>
    <t>Grampians National Park--Sundial Carpark</t>
  </si>
  <si>
    <t>L2551749</t>
  </si>
  <si>
    <t>S40110470</t>
  </si>
  <si>
    <t>Flame-colored Tanager</t>
  </si>
  <si>
    <t>Piranga à dos rayé</t>
  </si>
  <si>
    <t>Piranga bidentata</t>
  </si>
  <si>
    <t>Savegre Valley--Miriam's Restaurant</t>
  </si>
  <si>
    <t>L1577770</t>
  </si>
  <si>
    <t>S112058604</t>
  </si>
  <si>
    <t>Flame-faced Tanager</t>
  </si>
  <si>
    <t>Calliste à face rouge</t>
  </si>
  <si>
    <t>Tangara parzudakii</t>
  </si>
  <si>
    <t>Tangara flamboyant</t>
  </si>
  <si>
    <t>Ramphocelus flammigerus</t>
  </si>
  <si>
    <t>Flame-throated Warbler</t>
  </si>
  <si>
    <t>Paruline embrasée</t>
  </si>
  <si>
    <t>Oreothlypis gutturalis</t>
  </si>
  <si>
    <t>Flavescent Flycatcher</t>
  </si>
  <si>
    <t>Moucherolle flavescent</t>
  </si>
  <si>
    <t>Myiophobus flavicans</t>
  </si>
  <si>
    <t>Florida Scrub-Jay</t>
  </si>
  <si>
    <t>Geai à gorge blanche</t>
  </si>
  <si>
    <t>Aphelocoma coerulescens</t>
  </si>
  <si>
    <t>North Peninsula SP</t>
  </si>
  <si>
    <t>L505472</t>
  </si>
  <si>
    <t>S25991610</t>
  </si>
  <si>
    <t>Forest Elaenia</t>
  </si>
  <si>
    <t>Élénie de Gaimard</t>
  </si>
  <si>
    <t>Myiopagis gaimardii</t>
  </si>
  <si>
    <t>Parque Natural Metropolitano</t>
  </si>
  <si>
    <t>L454708</t>
  </si>
  <si>
    <t>S32619553</t>
  </si>
  <si>
    <t>Forest Fody</t>
  </si>
  <si>
    <t>Foudi de forêt</t>
  </si>
  <si>
    <t>Foudia omissa</t>
  </si>
  <si>
    <t>Forest Raven</t>
  </si>
  <si>
    <t>Corbeau de Tasmanie</t>
  </si>
  <si>
    <t>Corvus tasmanicus</t>
  </si>
  <si>
    <t>Wilsons Promontory National Park--Telegraph Carpark to Sealers Cove</t>
  </si>
  <si>
    <t>L2548715</t>
  </si>
  <si>
    <t>S40006029</t>
  </si>
  <si>
    <t>Forest Rock-Thrush</t>
  </si>
  <si>
    <t>Monticole de forêt</t>
  </si>
  <si>
    <t>Monticola sharpei</t>
  </si>
  <si>
    <t>Ranomafana NP--Telatekely</t>
  </si>
  <si>
    <t>L3341582</t>
  </si>
  <si>
    <t>S202373983</t>
  </si>
  <si>
    <t>Fork-tailed Drongo</t>
  </si>
  <si>
    <t>Drongo brillant</t>
  </si>
  <si>
    <t>Dicrurus adsimilis</t>
  </si>
  <si>
    <t>Fork-tailed Flycatcher</t>
  </si>
  <si>
    <t>Tyran des savanes</t>
  </si>
  <si>
    <t>Tyrannus savana</t>
  </si>
  <si>
    <t>Fork-tailed Palm Swift</t>
  </si>
  <si>
    <t>Martinet claudia</t>
  </si>
  <si>
    <t>Tachornis squamata</t>
  </si>
  <si>
    <t>Sterne de Forster</t>
  </si>
  <si>
    <t>Sterna forsteri</t>
  </si>
  <si>
    <t>S18168553</t>
  </si>
  <si>
    <t>Pardalote de Tasmanie</t>
  </si>
  <si>
    <t>Pardalotus quadragintus</t>
  </si>
  <si>
    <t>Pardalotidae (Pardalotes)</t>
  </si>
  <si>
    <t>Bruant fauve</t>
  </si>
  <si>
    <t>Passerella iliaca</t>
  </si>
  <si>
    <t>Churchill</t>
  </si>
  <si>
    <t>L299411</t>
  </si>
  <si>
    <t>S46929229</t>
  </si>
  <si>
    <t>Épervier de Frances</t>
  </si>
  <si>
    <t>Tachyspiza francesiae</t>
  </si>
  <si>
    <t>Franklin's Gull</t>
  </si>
  <si>
    <t>Mouette de Franklin</t>
  </si>
  <si>
    <t>Leucophaeus pipixcan</t>
  </si>
  <si>
    <t>Buena Vista overlook</t>
  </si>
  <si>
    <t>L3193038</t>
  </si>
  <si>
    <t>S25415591</t>
  </si>
  <si>
    <t>Stictonette tachetée</t>
  </si>
  <si>
    <t>Stictonetta naevosa</t>
  </si>
  <si>
    <t>Western Treatment Plant--Ponds 28-30 and Adjacent Coast (restricted access)</t>
  </si>
  <si>
    <t>L2548494</t>
  </si>
  <si>
    <t>S284358969</t>
  </si>
  <si>
    <t>Fulvous Whistling-Duck</t>
  </si>
  <si>
    <t>Dendrocygne fauve</t>
  </si>
  <si>
    <t>Dendrocygna bicolor</t>
  </si>
  <si>
    <t>Lake Apopka Wildlife Drive</t>
  </si>
  <si>
    <t>L298649</t>
  </si>
  <si>
    <t>S123390040</t>
  </si>
  <si>
    <t>Fulvous-vented Euphonia</t>
  </si>
  <si>
    <t>Organiste cul-roux</t>
  </si>
  <si>
    <t>Euphonia fulvicrissa</t>
  </si>
  <si>
    <t>Canopy Bed &amp; Breakfast</t>
  </si>
  <si>
    <t>L1293072</t>
  </si>
  <si>
    <t>S32642102</t>
  </si>
  <si>
    <t>Fuscous Flycatcher</t>
  </si>
  <si>
    <t>Moucherolle fuligineux</t>
  </si>
  <si>
    <t>Cnemotriccus fuscatus</t>
  </si>
  <si>
    <t>Fuscous Honeyeater</t>
  </si>
  <si>
    <t>Méliphage grisâtre</t>
  </si>
  <si>
    <t>Ptilotula fusca</t>
  </si>
  <si>
    <t>Chiltern-Mt Pilot National Park--Bartleys Block</t>
  </si>
  <si>
    <t>L1192699</t>
  </si>
  <si>
    <t>S283964368</t>
  </si>
  <si>
    <t>Gabar Goshawk</t>
  </si>
  <si>
    <t>Autour gabar</t>
  </si>
  <si>
    <t>Micronisus gabar</t>
  </si>
  <si>
    <t>Gabon Boubou</t>
  </si>
  <si>
    <t>Gonolek à ventre blanc</t>
  </si>
  <si>
    <t>Laniarius bicolor</t>
  </si>
  <si>
    <t>S20880227</t>
  </si>
  <si>
    <t>Gadwall</t>
  </si>
  <si>
    <t>Canard chipeau</t>
  </si>
  <si>
    <t>Mareca strepera</t>
  </si>
  <si>
    <t>S15420955</t>
  </si>
  <si>
    <t>Galah</t>
  </si>
  <si>
    <t>Cacatoès rosalbin</t>
  </si>
  <si>
    <t>Eolophus roseicapilla</t>
  </si>
  <si>
    <t>Cacatuidae (Cockatoos)</t>
  </si>
  <si>
    <t>Galapagos Dove</t>
  </si>
  <si>
    <t>Tourterelle des Galapagos</t>
  </si>
  <si>
    <t>Zenaida galapagoensis</t>
  </si>
  <si>
    <t>Galapagos Hawk</t>
  </si>
  <si>
    <t>Buse des Galapagos</t>
  </si>
  <si>
    <t>Buteo galapagoensis</t>
  </si>
  <si>
    <t>Galapagos Mockingbird</t>
  </si>
  <si>
    <t>Moqueur des Galapagos</t>
  </si>
  <si>
    <t>Mimus parvulus</t>
  </si>
  <si>
    <t>Santa Cruz Island</t>
  </si>
  <si>
    <t>L17651666</t>
  </si>
  <si>
    <t>S102077299</t>
  </si>
  <si>
    <t>Galapagos Penguin</t>
  </si>
  <si>
    <t>Manchot des Galapagos</t>
  </si>
  <si>
    <t>Spheniscus mendiculus</t>
  </si>
  <si>
    <t>Sphenisciformes</t>
  </si>
  <si>
    <t>Spheniscidae (Penguins)</t>
  </si>
  <si>
    <t>Isla Floreana</t>
  </si>
  <si>
    <t>L11538063</t>
  </si>
  <si>
    <t>S102079720</t>
  </si>
  <si>
    <t>Gang-gang Cockatoo</t>
  </si>
  <si>
    <t>Cacatoès à tête rouge</t>
  </si>
  <si>
    <t>Callocephalon fimbriatum</t>
  </si>
  <si>
    <t>Garden Emerald</t>
  </si>
  <si>
    <t>Émeraude du Panama</t>
  </si>
  <si>
    <t>Chlorostilbon assimilis</t>
  </si>
  <si>
    <t>Trogon pattu</t>
  </si>
  <si>
    <t>Trogon caligatus</t>
  </si>
  <si>
    <t>S32625767</t>
  </si>
  <si>
    <t>Coua géant</t>
  </si>
  <si>
    <t>Coua gigas</t>
  </si>
  <si>
    <t>Giant Cowbird</t>
  </si>
  <si>
    <t>Vacher géant</t>
  </si>
  <si>
    <t>Molothrus oryzivorus</t>
  </si>
  <si>
    <t>Giant Hummingbird</t>
  </si>
  <si>
    <t>Colibri géant</t>
  </si>
  <si>
    <t>Patagona gigas</t>
  </si>
  <si>
    <t>Giant Kingfisher</t>
  </si>
  <si>
    <t>Martin-pêcheur géant</t>
  </si>
  <si>
    <t>Megaceryle maxima</t>
  </si>
  <si>
    <t>Glaucous Tanager</t>
  </si>
  <si>
    <t>Tangara glauque</t>
  </si>
  <si>
    <t>Thraupis glaucocolpa</t>
  </si>
  <si>
    <t>Matute Birding Nature Reserve</t>
  </si>
  <si>
    <t>L24053056</t>
  </si>
  <si>
    <t>S222264034</t>
  </si>
  <si>
    <t>Glaucous-winged Gull</t>
  </si>
  <si>
    <t>Goéland à ailes grises</t>
  </si>
  <si>
    <t>Larus glaucescens</t>
  </si>
  <si>
    <t>Iona Island (General)</t>
  </si>
  <si>
    <t>L261851</t>
  </si>
  <si>
    <t>S49253659</t>
  </si>
  <si>
    <t>Glistening-green Tanager</t>
  </si>
  <si>
    <t>Tangara étincelant</t>
  </si>
  <si>
    <t>Chlorochrysa phoenicotis</t>
  </si>
  <si>
    <t>Glossy Black-Cockatoo</t>
  </si>
  <si>
    <t>Cacatoès de Latham</t>
  </si>
  <si>
    <t>Calyptorhynchus lathami</t>
  </si>
  <si>
    <t>Sublime Point Road, Leura</t>
  </si>
  <si>
    <t>L2790521</t>
  </si>
  <si>
    <t>S39815967</t>
  </si>
  <si>
    <t>Glossy Ibis</t>
  </si>
  <si>
    <t>Ibis falcinelle</t>
  </si>
  <si>
    <t>Plegadis falcinellus</t>
  </si>
  <si>
    <t>Glossy-black Thrush</t>
  </si>
  <si>
    <t>Merle lustré</t>
  </si>
  <si>
    <t>Turdus serranus</t>
  </si>
  <si>
    <t>Glowing Puffleg</t>
  </si>
  <si>
    <t>Érione pattue</t>
  </si>
  <si>
    <t>Eriocnemis vestita</t>
  </si>
  <si>
    <t>Golden Grosbeak</t>
  </si>
  <si>
    <t>Cardinal à tête jaune</t>
  </si>
  <si>
    <t>Pheucticus chrysogaster</t>
  </si>
  <si>
    <t>Golden Tanager</t>
  </si>
  <si>
    <t>Calliste doré</t>
  </si>
  <si>
    <t>Tangara arthus</t>
  </si>
  <si>
    <t>Golden Whistler</t>
  </si>
  <si>
    <t>Siffleur doré</t>
  </si>
  <si>
    <t>Pachycephala pectoralis</t>
  </si>
  <si>
    <t>Pachycephalidae (Whistlers and Allies)</t>
  </si>
  <si>
    <t>Murray-Sunset National Park--Shearers Quarters</t>
  </si>
  <si>
    <t>L2556520</t>
  </si>
  <si>
    <t>S283231513</t>
  </si>
  <si>
    <t>Golden-bellied Flycatcher</t>
  </si>
  <si>
    <t>Tyran à ventre d'or</t>
  </si>
  <si>
    <t>Myiodynastes hemichrysus</t>
  </si>
  <si>
    <t>Inca de Bonaparte</t>
  </si>
  <si>
    <t>Coeligena bonapartei</t>
  </si>
  <si>
    <t>Parque Natural Chicaque</t>
  </si>
  <si>
    <t>L1612184</t>
  </si>
  <si>
    <t>S61473872</t>
  </si>
  <si>
    <t>Bruant à poitrine dorée</t>
  </si>
  <si>
    <t>Emberiza flaviventris</t>
  </si>
  <si>
    <t>Érione à poitrine d'or</t>
  </si>
  <si>
    <t>Eriocnemis mosquera</t>
  </si>
  <si>
    <t>Golden-browed Chlorophonia</t>
  </si>
  <si>
    <t>Organiste à sourcils jaunes</t>
  </si>
  <si>
    <t>Chlorophonia callophrys</t>
  </si>
  <si>
    <t>Golden-collared Honeycreeper</t>
  </si>
  <si>
    <t>Tangara sucrier</t>
  </si>
  <si>
    <t>Iridophanes pulcherrimus</t>
  </si>
  <si>
    <t>Golden-collared Manakin</t>
  </si>
  <si>
    <t>Manakin à col d'or</t>
  </si>
  <si>
    <t>Manacus vitellinus</t>
  </si>
  <si>
    <t>Cara Iguana</t>
  </si>
  <si>
    <t>L2119256</t>
  </si>
  <si>
    <t>S32565218</t>
  </si>
  <si>
    <t>Golden-crowned Kinglet</t>
  </si>
  <si>
    <t>Roitelet à couronne dorée</t>
  </si>
  <si>
    <t>Regulus satrapa</t>
  </si>
  <si>
    <t>Regulidae (Kinglets)</t>
  </si>
  <si>
    <t>Kettle Lakes Provincial Park</t>
  </si>
  <si>
    <t>L1807260</t>
  </si>
  <si>
    <t>S18697311</t>
  </si>
  <si>
    <t>Golden-crowned Spadebill</t>
  </si>
  <si>
    <t>Platyrhynque à tête d'or</t>
  </si>
  <si>
    <t>Platyrinchus coronatus</t>
  </si>
  <si>
    <t>Golden-crowned Sparrow</t>
  </si>
  <si>
    <t>Bruant à couronne dorée</t>
  </si>
  <si>
    <t>Zonotrichia atricapilla</t>
  </si>
  <si>
    <t>Reifel Bird Sanctuary</t>
  </si>
  <si>
    <t>L124345</t>
  </si>
  <si>
    <t>S49239705</t>
  </si>
  <si>
    <t>Golden-crowned Tanager</t>
  </si>
  <si>
    <t>Tangara auréolé</t>
  </si>
  <si>
    <t>Iridosornis rufivertex</t>
  </si>
  <si>
    <t>S61517417</t>
  </si>
  <si>
    <t>Golden-crowned Warbler</t>
  </si>
  <si>
    <t>Paruline à couronne dorée</t>
  </si>
  <si>
    <t>Basileuterus culicivorus</t>
  </si>
  <si>
    <t>Aripo Livestock (Agriculture Research) Station</t>
  </si>
  <si>
    <t>L621687</t>
  </si>
  <si>
    <t>S44400850</t>
  </si>
  <si>
    <t>Tyranneau à face d'or</t>
  </si>
  <si>
    <t>Zimmerius chrysops</t>
  </si>
  <si>
    <t>Golden-fronted Greenlet</t>
  </si>
  <si>
    <t>Viréon à front d'or</t>
  </si>
  <si>
    <t>Pachysylvia aurantiifrons</t>
  </si>
  <si>
    <t>Golden-fronted Redstart</t>
  </si>
  <si>
    <t>Paruline dorée</t>
  </si>
  <si>
    <t>Myioborus ornatus</t>
  </si>
  <si>
    <t>Golden-fronted Woodpecker</t>
  </si>
  <si>
    <t>Pic à front doré</t>
  </si>
  <si>
    <t>Melanerpes aurifrons</t>
  </si>
  <si>
    <t>Golden-green Woodpecker</t>
  </si>
  <si>
    <t>Pic vert-doré</t>
  </si>
  <si>
    <t>Piculus chrysochloros</t>
  </si>
  <si>
    <t>Golden-headed Manakin</t>
  </si>
  <si>
    <t>Manakin à tête d'or</t>
  </si>
  <si>
    <t>Ceratopipra erythrocephala</t>
  </si>
  <si>
    <t>Golden-headed Quetzal</t>
  </si>
  <si>
    <t>Quetzal doré</t>
  </si>
  <si>
    <t>Pharomachrus auriceps</t>
  </si>
  <si>
    <t>Mindo Loma</t>
  </si>
  <si>
    <t>L889462</t>
  </si>
  <si>
    <t>S54823917</t>
  </si>
  <si>
    <t>Golden-hooded Tanager</t>
  </si>
  <si>
    <t>Calliste à coiffe d'or</t>
  </si>
  <si>
    <t>Stilpnia larvata</t>
  </si>
  <si>
    <t>Golden-naped Tanager</t>
  </si>
  <si>
    <t>Calliste à nuque d'or</t>
  </si>
  <si>
    <t>Chalcothraupis ruficervix</t>
  </si>
  <si>
    <t>Golden-olive Woodpecker</t>
  </si>
  <si>
    <t>Pic or-olive</t>
  </si>
  <si>
    <t>Colaptes rubiginosus</t>
  </si>
  <si>
    <t>Golden-plumed Parakeet</t>
  </si>
  <si>
    <t>Conure à pinceaux d'or</t>
  </si>
  <si>
    <t>Leptosittaca branickii</t>
  </si>
  <si>
    <t>Pic à queue dorée</t>
  </si>
  <si>
    <t>Campethera abingoni</t>
  </si>
  <si>
    <t>Golden-winged Manakin</t>
  </si>
  <si>
    <t>Manakin à ailes d'or</t>
  </si>
  <si>
    <t>Masius chrysopterus</t>
  </si>
  <si>
    <t>Golden-winged Sparrow</t>
  </si>
  <si>
    <t>Tohi de Schlegel</t>
  </si>
  <si>
    <t>Arremon schlegeli</t>
  </si>
  <si>
    <t>Golden-winged Warbler</t>
  </si>
  <si>
    <t>Paruline à ailes dorées</t>
  </si>
  <si>
    <t>Vermivora chrysoptera</t>
  </si>
  <si>
    <t>Héron goliath</t>
  </si>
  <si>
    <t>Ardea goliath</t>
  </si>
  <si>
    <t>Gorgeted Sunangel</t>
  </si>
  <si>
    <t>Héliange à queue bleue</t>
  </si>
  <si>
    <t>Heliangelus strophianus</t>
  </si>
  <si>
    <t>Gorgeted Woodstar</t>
  </si>
  <si>
    <t>Colibri d'Héliodore</t>
  </si>
  <si>
    <t>Chaetocercus heliodor</t>
  </si>
  <si>
    <t>Grace's Warbler</t>
  </si>
  <si>
    <t>Paruline de Grace</t>
  </si>
  <si>
    <t>Setophaga graciae</t>
  </si>
  <si>
    <t>Trogon de Cabanis</t>
  </si>
  <si>
    <t>Trogon tenellus</t>
  </si>
  <si>
    <t>Grass Wren</t>
  </si>
  <si>
    <t>Troglodyte de Latham</t>
  </si>
  <si>
    <t>Cistothorus platensis</t>
  </si>
  <si>
    <t>Grass-green Tanager</t>
  </si>
  <si>
    <t>Tangara de Rieffer</t>
  </si>
  <si>
    <t>Chlorornis riefferii</t>
  </si>
  <si>
    <t>Grasshopper Sparrow</t>
  </si>
  <si>
    <t>Bruant sauterelle</t>
  </si>
  <si>
    <t>Ammodramus savannarum</t>
  </si>
  <si>
    <t>Point Pelee NP--West Beach</t>
  </si>
  <si>
    <t>L1824113</t>
  </si>
  <si>
    <t>S45631400</t>
  </si>
  <si>
    <t>Grassland Yellow-Finch</t>
  </si>
  <si>
    <t>Sicale des savanes</t>
  </si>
  <si>
    <t>Sicalis luteola</t>
  </si>
  <si>
    <t>Gray Butcherbird</t>
  </si>
  <si>
    <t>Cassican à collier</t>
  </si>
  <si>
    <t>Cracticus torquatus</t>
  </si>
  <si>
    <t>Gray Catbird</t>
  </si>
  <si>
    <t>Moqueur chat</t>
  </si>
  <si>
    <t>Dumetella carolinensis</t>
  </si>
  <si>
    <t>Gray Crowned-Crane</t>
  </si>
  <si>
    <t>Grue royale</t>
  </si>
  <si>
    <t>Balearica regulorum</t>
  </si>
  <si>
    <t>Réveilleur cendré</t>
  </si>
  <si>
    <t>Strepera versicolor</t>
  </si>
  <si>
    <t>Hattah-Kulkyne National Park--Visitors Centre</t>
  </si>
  <si>
    <t>L2557495</t>
  </si>
  <si>
    <t>S283596332</t>
  </si>
  <si>
    <t>Gray Fantail</t>
  </si>
  <si>
    <t>Rhipidure gris</t>
  </si>
  <si>
    <t>Rhipidura albiscapa</t>
  </si>
  <si>
    <t>Royal National Park--The Meadows Trail</t>
  </si>
  <si>
    <t>L4214132</t>
  </si>
  <si>
    <t>S39855621</t>
  </si>
  <si>
    <t>Gray Francolin</t>
  </si>
  <si>
    <t>Francolin gris</t>
  </si>
  <si>
    <t>Ortygornis pondicerianus</t>
  </si>
  <si>
    <t>Gray Go-away-bird</t>
  </si>
  <si>
    <t>Touraco concolore</t>
  </si>
  <si>
    <t>Crinifer concolor</t>
  </si>
  <si>
    <t>Musophagiformes</t>
  </si>
  <si>
    <t>Musophagidae (Turacos)</t>
  </si>
  <si>
    <t>Autour blanc</t>
  </si>
  <si>
    <t>Tachyspiza novaehollandiae</t>
  </si>
  <si>
    <t>Royal National Park--Garie Beach</t>
  </si>
  <si>
    <t>L2967168</t>
  </si>
  <si>
    <t>S39855626</t>
  </si>
  <si>
    <t>Gray Hawk</t>
  </si>
  <si>
    <t>Buse grise</t>
  </si>
  <si>
    <t>Buteo plagiatus</t>
  </si>
  <si>
    <t>Gray Heron</t>
  </si>
  <si>
    <t>Héron cendré</t>
  </si>
  <si>
    <t>Ardea cinerea</t>
  </si>
  <si>
    <t>Gray Kingbird</t>
  </si>
  <si>
    <t>Tyran gris</t>
  </si>
  <si>
    <t>Tyrannus dominicensis</t>
  </si>
  <si>
    <t>Perdrix grise</t>
  </si>
  <si>
    <t>Perdix perdix</t>
  </si>
  <si>
    <t>51.4059x-106.8711 - Oct 10, 2015, 3:12 PM</t>
  </si>
  <si>
    <t>L3951100</t>
  </si>
  <si>
    <t>S25370255</t>
  </si>
  <si>
    <t>Gray Shrikethrush</t>
  </si>
  <si>
    <t>Siffleur gris</t>
  </si>
  <si>
    <t>Colluricincla harmonica</t>
  </si>
  <si>
    <t>AU-VIC-1567 Pomonal Road (-37.1471,142.6425)</t>
  </si>
  <si>
    <t>L6379808</t>
  </si>
  <si>
    <t>S40139220</t>
  </si>
  <si>
    <t>Sarcelle australasienne</t>
  </si>
  <si>
    <t>Anas gracilis</t>
  </si>
  <si>
    <t>Gray-backed Fiscal</t>
  </si>
  <si>
    <t>Pie-grièche à dos gris</t>
  </si>
  <si>
    <t>Lanius excubitoroides</t>
  </si>
  <si>
    <t>Laniidae (Shrikes)</t>
  </si>
  <si>
    <t>Gray-backed Sparrow-Lark</t>
  </si>
  <si>
    <t>Moinelette à dos gris</t>
  </si>
  <si>
    <t>Eremopterix verticalis</t>
  </si>
  <si>
    <t>Sossusvlei</t>
  </si>
  <si>
    <t>NA-HA</t>
  </si>
  <si>
    <t>L2303177</t>
  </si>
  <si>
    <t>S102166427</t>
  </si>
  <si>
    <t>Gray-breasted Martin</t>
  </si>
  <si>
    <t>Hirondelle chalybée</t>
  </si>
  <si>
    <t>Progne chalybea</t>
  </si>
  <si>
    <t>8.5583x-80.1896 - Nov 14, 2016, 7:09 AM</t>
  </si>
  <si>
    <t>L5082358</t>
  </si>
  <si>
    <t>S32556364</t>
  </si>
  <si>
    <t>Troglodyte à poitrine grise</t>
  </si>
  <si>
    <t>Henicorhina leucophrys</t>
  </si>
  <si>
    <t>Gray-browed Brushfinch</t>
  </si>
  <si>
    <t>Tohi à raies grises</t>
  </si>
  <si>
    <t>Arremon assimilis</t>
  </si>
  <si>
    <t>Gray-capped Flycatcher</t>
  </si>
  <si>
    <t>Tyran à tête grise</t>
  </si>
  <si>
    <t>Myiozetetes granadensis</t>
  </si>
  <si>
    <t>Gray-cheeked Nunlet</t>
  </si>
  <si>
    <t>Barbacou à joues grises</t>
  </si>
  <si>
    <t>Nonnula frontalis</t>
  </si>
  <si>
    <t>Gray-cheeked Thrush</t>
  </si>
  <si>
    <t>Grive à joues grises</t>
  </si>
  <si>
    <t>Catharus minimus</t>
  </si>
  <si>
    <t>Maumee Bay SP--Boardwalk</t>
  </si>
  <si>
    <t>L339541</t>
  </si>
  <si>
    <t>S23427346</t>
  </si>
  <si>
    <t>Gray-chested Dove</t>
  </si>
  <si>
    <t>Colombe de Cassin</t>
  </si>
  <si>
    <t>Leptotila cassinii</t>
  </si>
  <si>
    <t>Gray-cowled Wood-Rail</t>
  </si>
  <si>
    <t>Râle de Cayenne</t>
  </si>
  <si>
    <t>Aramides cajaneus</t>
  </si>
  <si>
    <t>Pomatostome à calotte grise</t>
  </si>
  <si>
    <t>Pomatostomus temporalis</t>
  </si>
  <si>
    <t>Pretty Pine</t>
  </si>
  <si>
    <t>L2541584</t>
  </si>
  <si>
    <t>S283802736</t>
  </si>
  <si>
    <t>Paruline à calotte grise</t>
  </si>
  <si>
    <t>Geothlypis poliocephala</t>
  </si>
  <si>
    <t>(21.4350,-87.7616)</t>
  </si>
  <si>
    <t>L6589466</t>
  </si>
  <si>
    <t>S41227147</t>
  </si>
  <si>
    <t>Gray-fronted Dove</t>
  </si>
  <si>
    <t>Colombe à front gris</t>
  </si>
  <si>
    <t>Leptotila rufaxilla</t>
  </si>
  <si>
    <t>S44332605</t>
  </si>
  <si>
    <t>Méliphage à plumet noir</t>
  </si>
  <si>
    <t>Ptilotula plumula</t>
  </si>
  <si>
    <t>Gladiateur de Blanchot</t>
  </si>
  <si>
    <t>Malaconotus blanchoti</t>
  </si>
  <si>
    <t>Gray-headed Chachalaca</t>
  </si>
  <si>
    <t>Ortalide à tête grise</t>
  </si>
  <si>
    <t>Ortalis cinereiceps</t>
  </si>
  <si>
    <t>Gray-headed Kingfisher</t>
  </si>
  <si>
    <t>Martin-chasseur à tête grise</t>
  </si>
  <si>
    <t>Halcyon leucocephala</t>
  </si>
  <si>
    <t>Gray-headed Kite</t>
  </si>
  <si>
    <t>Bec-en-croc de Cayenne</t>
  </si>
  <si>
    <t>Leptodon cayanensis</t>
  </si>
  <si>
    <t>Gray-headed Lovebird</t>
  </si>
  <si>
    <t>Inséparable à tête grise</t>
  </si>
  <si>
    <t>Agapornis canus</t>
  </si>
  <si>
    <t>Le Relais de la Reine/Le Jardin du Roy</t>
  </si>
  <si>
    <t>L3350363</t>
  </si>
  <si>
    <t>S202373863</t>
  </si>
  <si>
    <t>Gray-headed Swamphen</t>
  </si>
  <si>
    <t>Talève à tête grise</t>
  </si>
  <si>
    <t>Porphyrio poliocephalus</t>
  </si>
  <si>
    <t>Chapel Trail (Sheridan Street Mitigation Bank)</t>
  </si>
  <si>
    <t>L580881</t>
  </si>
  <si>
    <t>S25922909</t>
  </si>
  <si>
    <t>Gray-headed Tanager</t>
  </si>
  <si>
    <t>Tangara à tête grise</t>
  </si>
  <si>
    <t>Eucometis penicillata</t>
  </si>
  <si>
    <t>Mouette à tête grise</t>
  </si>
  <si>
    <t>Chroicocephalus cirrocephalus</t>
  </si>
  <si>
    <t>Gray-lined Hawk</t>
  </si>
  <si>
    <t>Buse cendrée</t>
  </si>
  <si>
    <t>Buteo nitidus</t>
  </si>
  <si>
    <t>Gray-rumped Swift</t>
  </si>
  <si>
    <t>Martinet à croupion gris</t>
  </si>
  <si>
    <t>Chaetura cinereiventris</t>
  </si>
  <si>
    <t>Gray-throated Leaftosser</t>
  </si>
  <si>
    <t>Sclérure à gorge grise</t>
  </si>
  <si>
    <t>Sclerurus albigularis</t>
  </si>
  <si>
    <t>Santa Marta (Dist. ESP. ), Santa Marta CO-Magdalena 11.09748, -74.07725</t>
  </si>
  <si>
    <t>L42260412</t>
  </si>
  <si>
    <t>S223736577</t>
  </si>
  <si>
    <t>Grayish Piculet</t>
  </si>
  <si>
    <t>Picumne gris</t>
  </si>
  <si>
    <t>Picumnus granadensis</t>
  </si>
  <si>
    <t>Great Antshrike</t>
  </si>
  <si>
    <t>Grand Batara</t>
  </si>
  <si>
    <t>Taraba major</t>
  </si>
  <si>
    <t>Buse urubu</t>
  </si>
  <si>
    <t>Buteogallus urubitinga</t>
  </si>
  <si>
    <t>Goéland marin</t>
  </si>
  <si>
    <t>Larus marinus</t>
  </si>
  <si>
    <t>S15542295</t>
  </si>
  <si>
    <t>Grand Héron</t>
  </si>
  <si>
    <t>Ardea herodias</t>
  </si>
  <si>
    <t>Great Cormorant</t>
  </si>
  <si>
    <t>Grand Cormoran</t>
  </si>
  <si>
    <t>Phalacrocorax carbo</t>
  </si>
  <si>
    <t>Tyran huppé</t>
  </si>
  <si>
    <t>Myiarchus crinitus</t>
  </si>
  <si>
    <t>Grèbe huppé</t>
  </si>
  <si>
    <t>Podiceps cristatus</t>
  </si>
  <si>
    <t>AU-VIC-Lake Lonsdale (-37.0109,142.6110)</t>
  </si>
  <si>
    <t>L6377670</t>
  </si>
  <si>
    <t>S40124851</t>
  </si>
  <si>
    <t>Sterne huppée</t>
  </si>
  <si>
    <t>Thalasseus bergii</t>
  </si>
  <si>
    <t>Great Curassow</t>
  </si>
  <si>
    <t>Grand Hocco</t>
  </si>
  <si>
    <t>Crax rubra</t>
  </si>
  <si>
    <t>Grande Aigrette</t>
  </si>
  <si>
    <t>Ardea alba</t>
  </si>
  <si>
    <t>Chouette lapone</t>
  </si>
  <si>
    <t>Strix nebulosa</t>
  </si>
  <si>
    <t>Ottawa--Kanata (March Valley Road)</t>
  </si>
  <si>
    <t>L371379</t>
  </si>
  <si>
    <t>S15364854</t>
  </si>
  <si>
    <t>Ara de Buffon</t>
  </si>
  <si>
    <t>Ara ambiguus</t>
  </si>
  <si>
    <t>Las Doncellas (Aligandí)</t>
  </si>
  <si>
    <t>L4233775</t>
  </si>
  <si>
    <t>S35725123</t>
  </si>
  <si>
    <t>Grand-duc d'Amérique</t>
  </si>
  <si>
    <t>Bubo virginianus</t>
  </si>
  <si>
    <t>S15364866</t>
  </si>
  <si>
    <t>Grand Jacamar</t>
  </si>
  <si>
    <t>Jacamerops aureus</t>
  </si>
  <si>
    <t>Reserva San Francisco</t>
  </si>
  <si>
    <t>L1092612</t>
  </si>
  <si>
    <t>S35794454</t>
  </si>
  <si>
    <t>Great Kiskadee</t>
  </si>
  <si>
    <t>Tyran quiquivi</t>
  </si>
  <si>
    <t>Pitangus sulphuratus</t>
  </si>
  <si>
    <t>Crystal Paradise Resort</t>
  </si>
  <si>
    <t>L607774</t>
  </si>
  <si>
    <t>S15367600</t>
  </si>
  <si>
    <t>Great Potoo</t>
  </si>
  <si>
    <t>Grand Ibijau</t>
  </si>
  <si>
    <t>Nyctibius grandis</t>
  </si>
  <si>
    <t>Pipeline Road (Camino del Oleoducto) (Área general)</t>
  </si>
  <si>
    <t>L454711</t>
  </si>
  <si>
    <t>S35609914</t>
  </si>
  <si>
    <t>Grand Moineau</t>
  </si>
  <si>
    <t>Passer motitensis</t>
  </si>
  <si>
    <t>Great Sapphirewing</t>
  </si>
  <si>
    <t>Colibri à ailes saphir</t>
  </si>
  <si>
    <t>Pterophanes cyanopterus</t>
  </si>
  <si>
    <t>Great Thrush</t>
  </si>
  <si>
    <t>Merle géant</t>
  </si>
  <si>
    <t>Turdus fuscater</t>
  </si>
  <si>
    <t>Great Tinamou</t>
  </si>
  <si>
    <t>Grand Tinamou</t>
  </si>
  <si>
    <t>Tinamus major</t>
  </si>
  <si>
    <t>Tinamiformes</t>
  </si>
  <si>
    <t>Tinamidae (Tinamous)</t>
  </si>
  <si>
    <t>Great Tit</t>
  </si>
  <si>
    <t>Mésange charbonnière</t>
  </si>
  <si>
    <t>Parus major</t>
  </si>
  <si>
    <t>Pélican blanc</t>
  </si>
  <si>
    <t>Pelecanus onocrotalus</t>
  </si>
  <si>
    <t>Great-tailed Grackle</t>
  </si>
  <si>
    <t>Quiscale à longue queue</t>
  </si>
  <si>
    <t>Quiscalus mexicanus</t>
  </si>
  <si>
    <t>Greater Ani</t>
  </si>
  <si>
    <t>Ani des palétuviers</t>
  </si>
  <si>
    <t>Crotophaga major</t>
  </si>
  <si>
    <t>Greater Bluebonnet</t>
  </si>
  <si>
    <t>Perruche à bonnet bleu</t>
  </si>
  <si>
    <t>Northiella haematogaster</t>
  </si>
  <si>
    <t>Souimanga à plastron rouge</t>
  </si>
  <si>
    <t>Cinnyris afer</t>
  </si>
  <si>
    <t>Greater Flamingo</t>
  </si>
  <si>
    <t>Flamant rose</t>
  </si>
  <si>
    <t>Phoenicopterus roseus</t>
  </si>
  <si>
    <t>Greater Kestrel</t>
  </si>
  <si>
    <t>Crécerelle aux yeux blancs</t>
  </si>
  <si>
    <t>Falco rupicoloides</t>
  </si>
  <si>
    <t>Greater Painted-Snipe</t>
  </si>
  <si>
    <t>Rhynchée peinte</t>
  </si>
  <si>
    <t>Rostratula benghalensis</t>
  </si>
  <si>
    <t>Rostratulidae (Painted-Snipes)</t>
  </si>
  <si>
    <t>Grand Géocoucou</t>
  </si>
  <si>
    <t>Geococcyx californianus</t>
  </si>
  <si>
    <t>Border Field State Park</t>
  </si>
  <si>
    <t>L2388765</t>
  </si>
  <si>
    <t>S15415762</t>
  </si>
  <si>
    <t>Greater Scaup</t>
  </si>
  <si>
    <t>Fuligule milouinan</t>
  </si>
  <si>
    <t>Aythya marila</t>
  </si>
  <si>
    <t>Greater Striped Swallow</t>
  </si>
  <si>
    <t>Hirondelle à tête rousse</t>
  </si>
  <si>
    <t>Cecropis cucullata</t>
  </si>
  <si>
    <t>Grand Vaza</t>
  </si>
  <si>
    <t>Coracopsis vasa</t>
  </si>
  <si>
    <t>Oie rieuse</t>
  </si>
  <si>
    <t>Anser albifrons</t>
  </si>
  <si>
    <t>Del Rey Lagoon Park</t>
  </si>
  <si>
    <t>L198793</t>
  </si>
  <si>
    <t>S15489118</t>
  </si>
  <si>
    <t>Greater Yellowlegs</t>
  </si>
  <si>
    <t>Grand Chevalier</t>
  </si>
  <si>
    <t>Tringa melanoleuca</t>
  </si>
  <si>
    <t>Green Catbird</t>
  </si>
  <si>
    <t>Jardinier vert</t>
  </si>
  <si>
    <t>Ailuroedus crassirostris</t>
  </si>
  <si>
    <t>Ptilonorhynchidae (Bowerbirds)</t>
  </si>
  <si>
    <t>Green Hermit</t>
  </si>
  <si>
    <t>Ermite vert</t>
  </si>
  <si>
    <t>Phaethornis guy</t>
  </si>
  <si>
    <t>Green Heron</t>
  </si>
  <si>
    <t>Héron vert</t>
  </si>
  <si>
    <t>Butorides virescens</t>
  </si>
  <si>
    <t>Green Honeycreeper</t>
  </si>
  <si>
    <t>Tangara émeraude</t>
  </si>
  <si>
    <t>Chlorophanes spiza</t>
  </si>
  <si>
    <t>Green Ibis</t>
  </si>
  <si>
    <t>Ibis vert</t>
  </si>
  <si>
    <t>Mesembrinibis cayennensis</t>
  </si>
  <si>
    <t>Calle Santa Rosa, Turrialba CR-Cartago 9.81993, -83.55438</t>
  </si>
  <si>
    <t>L19506771</t>
  </si>
  <si>
    <t>S112340630</t>
  </si>
  <si>
    <t>Green Jay</t>
  </si>
  <si>
    <t>Geai vert</t>
  </si>
  <si>
    <t>Cyanocorax yncas</t>
  </si>
  <si>
    <t>Green Jery</t>
  </si>
  <si>
    <t>Éroesse verte</t>
  </si>
  <si>
    <t>Neomixis viridis</t>
  </si>
  <si>
    <t>Green Kingfisher</t>
  </si>
  <si>
    <t>Martin-pêcheur vert</t>
  </si>
  <si>
    <t>Chloroceryle americana</t>
  </si>
  <si>
    <t>Green Rosella</t>
  </si>
  <si>
    <t>Perruche à ventre jaune</t>
  </si>
  <si>
    <t>Platycercus caledonicus</t>
  </si>
  <si>
    <t>Green Shrike-Vireo</t>
  </si>
  <si>
    <t>Smaragdan émeraude</t>
  </si>
  <si>
    <t>Vireolanius pulchellus</t>
  </si>
  <si>
    <t>Green Thorntail</t>
  </si>
  <si>
    <t>Coquette à queue fine</t>
  </si>
  <si>
    <t>Discosura conversii</t>
  </si>
  <si>
    <t>Green Woodhoopoe</t>
  </si>
  <si>
    <t>Irrisor moqueur</t>
  </si>
  <si>
    <t>Phoeniculus purpureus</t>
  </si>
  <si>
    <t>Phoeniculidae (Woodhoopoes and Scimitarbills)</t>
  </si>
  <si>
    <t>Green-and-black Fruiteater</t>
  </si>
  <si>
    <t>Cotinga vert et noir</t>
  </si>
  <si>
    <t>Pipreola riefferii</t>
  </si>
  <si>
    <t>Green-and-rufous Kingfisher</t>
  </si>
  <si>
    <t>Martin-pêcheur bicolore</t>
  </si>
  <si>
    <t>Chloroceryle inda</t>
  </si>
  <si>
    <t>Nuevo Vigía Emberá</t>
  </si>
  <si>
    <t>L1129836</t>
  </si>
  <si>
    <t>S35716829</t>
  </si>
  <si>
    <t>Green-backed Camaroptera</t>
  </si>
  <si>
    <t>Camaroptère à tête grise</t>
  </si>
  <si>
    <t>Camaroptera brachyura</t>
  </si>
  <si>
    <t>Green-backed Sparrow</t>
  </si>
  <si>
    <t>Tohi à dos vert</t>
  </si>
  <si>
    <t>Arremonops chloronotus</t>
  </si>
  <si>
    <t>Green-backed Trogon</t>
  </si>
  <si>
    <t>Trogon à queue blanche</t>
  </si>
  <si>
    <t>Trogon viridis</t>
  </si>
  <si>
    <t>Green-breasted Mango</t>
  </si>
  <si>
    <t>Mango de Prévost</t>
  </si>
  <si>
    <t>Anthracothorax prevostii</t>
  </si>
  <si>
    <t>Green-crowned Brilliant</t>
  </si>
  <si>
    <t>Brillant fer-de-lance</t>
  </si>
  <si>
    <t>Heliodoxa jacula</t>
  </si>
  <si>
    <t>Green-fronted Lancebill</t>
  </si>
  <si>
    <t>Porte-lance de Louise</t>
  </si>
  <si>
    <t>Doryfera ludovicae</t>
  </si>
  <si>
    <t>Green-rumped Parrotlet</t>
  </si>
  <si>
    <t>Toui été</t>
  </si>
  <si>
    <t>Forpus passerinus</t>
  </si>
  <si>
    <t>Green-throated Mango</t>
  </si>
  <si>
    <t>Mango à cravate verte</t>
  </si>
  <si>
    <t>Anthracothorax viridigula</t>
  </si>
  <si>
    <t>Caroni Swamp</t>
  </si>
  <si>
    <t>TT-SJL</t>
  </si>
  <si>
    <t>L616318</t>
  </si>
  <si>
    <t>S44476325</t>
  </si>
  <si>
    <t>Green-winged Pytilia</t>
  </si>
  <si>
    <t>Beaumarquet melba</t>
  </si>
  <si>
    <t>Pytilia melba</t>
  </si>
  <si>
    <t>Green-winged Teal</t>
  </si>
  <si>
    <t>Sarcelle d'hiver</t>
  </si>
  <si>
    <t>Anas crecca</t>
  </si>
  <si>
    <t>Groove-billed Ani</t>
  </si>
  <si>
    <t>Ani à bec cannelé</t>
  </si>
  <si>
    <t>Crotophaga sulcirostris</t>
  </si>
  <si>
    <t>Groove-billed Toucanet</t>
  </si>
  <si>
    <t>Toucanet à bec sillonné</t>
  </si>
  <si>
    <t>Aulacorhynchus sulcatus</t>
  </si>
  <si>
    <t>Amblyospize à front blanc</t>
  </si>
  <si>
    <t>Amblyospiza albifrons</t>
  </si>
  <si>
    <t>Groundscraper Thrush</t>
  </si>
  <si>
    <t>Grive litsitsirupa</t>
  </si>
  <si>
    <t>Turdus litsitsirupa</t>
  </si>
  <si>
    <t>Waterberg Resort (NWR)</t>
  </si>
  <si>
    <t>L1070078</t>
  </si>
  <si>
    <t>S102205418</t>
  </si>
  <si>
    <t>Guianan Violaceous Trogon</t>
  </si>
  <si>
    <t>Trogon violacé</t>
  </si>
  <si>
    <t>Trogon violaceus</t>
  </si>
  <si>
    <t>Guira Tanager</t>
  </si>
  <si>
    <t>Tangara guira</t>
  </si>
  <si>
    <t>Hemithraupis guira</t>
  </si>
  <si>
    <t>Ibis hagedash</t>
  </si>
  <si>
    <t>Bostrychia hagedash</t>
  </si>
  <si>
    <t>Hairy Woodpecker</t>
  </si>
  <si>
    <t>Pic chevelu</t>
  </si>
  <si>
    <t>Leuconotopicus villosus</t>
  </si>
  <si>
    <t>Ottawa--Old Quarry Trail</t>
  </si>
  <si>
    <t>L1796320</t>
  </si>
  <si>
    <t>S15364362</t>
  </si>
  <si>
    <t>Half-collared Kingfisher</t>
  </si>
  <si>
    <t>Martin-pêcheur à demi-collier</t>
  </si>
  <si>
    <t>Alcedo semitorquata</t>
  </si>
  <si>
    <t>Hamerkop</t>
  </si>
  <si>
    <t>Ombrette africaine</t>
  </si>
  <si>
    <t>Scopus umbretta</t>
  </si>
  <si>
    <t>Scopidae (Hamerkop)</t>
  </si>
  <si>
    <t>Hardhead</t>
  </si>
  <si>
    <t>Fuligule austral</t>
  </si>
  <si>
    <t>Aythya australis</t>
  </si>
  <si>
    <t>Harlequin Duck</t>
  </si>
  <si>
    <t>Arlequin plongeur</t>
  </si>
  <si>
    <t>Histrionicus histrionicus</t>
  </si>
  <si>
    <t>Ottawa--Rideau Tennis Club</t>
  </si>
  <si>
    <t>L638741</t>
  </si>
  <si>
    <t>S35315878</t>
  </si>
  <si>
    <t>Buse de Harris</t>
  </si>
  <si>
    <t>Parabuteo unicinctus</t>
  </si>
  <si>
    <t>Tilajari Hotel Resort</t>
  </si>
  <si>
    <t>L2292251</t>
  </si>
  <si>
    <t>S112532479</t>
  </si>
  <si>
    <t>Bruant à face noire</t>
  </si>
  <si>
    <t>Zonotrichia querula</t>
  </si>
  <si>
    <t>S46950528</t>
  </si>
  <si>
    <t>Cratérope de Hartlaub</t>
  </si>
  <si>
    <t>Turdoides hartlaubii</t>
  </si>
  <si>
    <t>Hawaii Amakihi</t>
  </si>
  <si>
    <t>Amakihi familier</t>
  </si>
  <si>
    <t>Chlorodrepanis virens</t>
  </si>
  <si>
    <t>Kaumana Trail (between mile markers 19 to 20)</t>
  </si>
  <si>
    <t>L880992</t>
  </si>
  <si>
    <t>S49583467</t>
  </si>
  <si>
    <t>Hawaii Creeper</t>
  </si>
  <si>
    <t>Loxopse mana</t>
  </si>
  <si>
    <t>Loxops mana</t>
  </si>
  <si>
    <t>Hawaii Elepaio</t>
  </si>
  <si>
    <t>Monarque d'Hawaï</t>
  </si>
  <si>
    <t>Chasiempis sandwichensis</t>
  </si>
  <si>
    <t>Pu'u La'au, Palila Discovery Trail and Ka'ohe GMA</t>
  </si>
  <si>
    <t>L285813</t>
  </si>
  <si>
    <t>S49605134</t>
  </si>
  <si>
    <t>Hawaiian Coot</t>
  </si>
  <si>
    <t>Foulque des Hawaï</t>
  </si>
  <si>
    <t>Fulica alai</t>
  </si>
  <si>
    <t>Kaloko-Honok_hau NHP--_Aimakap_ Pond</t>
  </si>
  <si>
    <t>L336863</t>
  </si>
  <si>
    <t>S49571402</t>
  </si>
  <si>
    <t>Hawaiian Goose</t>
  </si>
  <si>
    <t>Bernache néné</t>
  </si>
  <si>
    <t>Branta sandvicensis</t>
  </si>
  <si>
    <t>Hawaiian Hawk</t>
  </si>
  <si>
    <t>Buse d'Hawaï</t>
  </si>
  <si>
    <t>Buteo solitarius</t>
  </si>
  <si>
    <t>Goéland de Heermann</t>
  </si>
  <si>
    <t>Larus heermanni</t>
  </si>
  <si>
    <t>Helmeted Guineafowl</t>
  </si>
  <si>
    <t>Pintade de Numidie</t>
  </si>
  <si>
    <t>Numida meleagris</t>
  </si>
  <si>
    <t>Numididae (Guineafowl)</t>
  </si>
  <si>
    <t>Bruant de Henslow</t>
  </si>
  <si>
    <t>Centronyx henslowii</t>
  </si>
  <si>
    <t>S18213534</t>
  </si>
  <si>
    <t>Hepatic Tanager</t>
  </si>
  <si>
    <t>Piranga orangé</t>
  </si>
  <si>
    <t>Piranga flava</t>
  </si>
  <si>
    <t>Hermit Thrush</t>
  </si>
  <si>
    <t>Grive solitaire</t>
  </si>
  <si>
    <t>Catharus guttatus</t>
  </si>
  <si>
    <t>Santa Barbara Botanic Garden</t>
  </si>
  <si>
    <t>L798142</t>
  </si>
  <si>
    <t>S15454386</t>
  </si>
  <si>
    <t>Hermit Wood-Wren</t>
  </si>
  <si>
    <t>Troglodyte ermite</t>
  </si>
  <si>
    <t>Henicorhina anachoreta</t>
  </si>
  <si>
    <t>Francolin de Hildebrandt</t>
  </si>
  <si>
    <t>Pternistis hildebrandti</t>
  </si>
  <si>
    <t>Choucador de Hildebrandt</t>
  </si>
  <si>
    <t>Lamprotornis hildebrandti</t>
  </si>
  <si>
    <t>Hoary-headed Grebe</t>
  </si>
  <si>
    <t>Grèbe argenté</t>
  </si>
  <si>
    <t>Poliocephalus poliocephalus</t>
  </si>
  <si>
    <t>Royal Botanic Gardens (Cranbourne)</t>
  </si>
  <si>
    <t>L2040933</t>
  </si>
  <si>
    <t>S40023085</t>
  </si>
  <si>
    <t>Pic de Hoffmann</t>
  </si>
  <si>
    <t>Melanerpes hoffmannii</t>
  </si>
  <si>
    <t>Tisserin safran</t>
  </si>
  <si>
    <t>Ploceus xanthops</t>
  </si>
  <si>
    <t>Hooded Crow</t>
  </si>
  <si>
    <t>Corneille mantelée</t>
  </si>
  <si>
    <t>Corvus cornix</t>
  </si>
  <si>
    <t>Colosseo (Colosseum or Coliseum)</t>
  </si>
  <si>
    <t>IT-62</t>
  </si>
  <si>
    <t>L1107525</t>
  </si>
  <si>
    <t>S80123785</t>
  </si>
  <si>
    <t>Hooded Merganser</t>
  </si>
  <si>
    <t>Harle couronné</t>
  </si>
  <si>
    <t>Lophodytes cucullatus</t>
  </si>
  <si>
    <t>Ottawa--Billings Bridge</t>
  </si>
  <si>
    <t>L1924584</t>
  </si>
  <si>
    <t>S15364885</t>
  </si>
  <si>
    <t>Tangara montagnard</t>
  </si>
  <si>
    <t>Buthraupis montana</t>
  </si>
  <si>
    <t>Hooded Oriole</t>
  </si>
  <si>
    <t>Oriole masqué</t>
  </si>
  <si>
    <t>Icterus cucullatus</t>
  </si>
  <si>
    <t>Hooded Plover</t>
  </si>
  <si>
    <t>Pluvier à camail</t>
  </si>
  <si>
    <t>Thinornis cucullatus</t>
  </si>
  <si>
    <t>Point Roadknight</t>
  </si>
  <si>
    <t>L2547426</t>
  </si>
  <si>
    <t>S284476977</t>
  </si>
  <si>
    <t>Miro à capuchon</t>
  </si>
  <si>
    <t>Melanodryas cucullata</t>
  </si>
  <si>
    <t>Hooded Siskin</t>
  </si>
  <si>
    <t>Tarin de Magellan</t>
  </si>
  <si>
    <t>Spinus magellanicus</t>
  </si>
  <si>
    <t>Hooded Tanager</t>
  </si>
  <si>
    <t>Tangara coiffe-noire</t>
  </si>
  <si>
    <t>Nemosia pileata</t>
  </si>
  <si>
    <t>S222506241</t>
  </si>
  <si>
    <t>Hooded Vulture</t>
  </si>
  <si>
    <t>Vautour charognard</t>
  </si>
  <si>
    <t>Necrosyrtes monachus</t>
  </si>
  <si>
    <t>Hooded Warbler</t>
  </si>
  <si>
    <t>Paruline à capuchon</t>
  </si>
  <si>
    <t>Setophaga citrina</t>
  </si>
  <si>
    <t>Hook-billed Kite</t>
  </si>
  <si>
    <t>Bec-en-croc de Temminck</t>
  </si>
  <si>
    <t>Chondrohierax uncinatus</t>
  </si>
  <si>
    <t>Hook-billed Vanga</t>
  </si>
  <si>
    <t>Vanga écorcheur</t>
  </si>
  <si>
    <t>Vanga curvirostris</t>
  </si>
  <si>
    <t>Ranomafana NP</t>
  </si>
  <si>
    <t>L10960986</t>
  </si>
  <si>
    <t>S202373981</t>
  </si>
  <si>
    <t>Horned Grebe</t>
  </si>
  <si>
    <t>Grèbe esclavon</t>
  </si>
  <si>
    <t>Podiceps auritus</t>
  </si>
  <si>
    <t>Horned Lark</t>
  </si>
  <si>
    <t>Alouette hausse-col</t>
  </si>
  <si>
    <t>Eremophila alpestris</t>
  </si>
  <si>
    <t>S18224357</t>
  </si>
  <si>
    <t>Coucou de Horsfield</t>
  </si>
  <si>
    <t>Chalcites basalis</t>
  </si>
  <si>
    <t>Eight Mile Creek at Wanganella</t>
  </si>
  <si>
    <t>L2543236</t>
  </si>
  <si>
    <t>S283856305</t>
  </si>
  <si>
    <t>House Finch</t>
  </si>
  <si>
    <t>Roselin familier</t>
  </si>
  <si>
    <t>Haemorhous mexicanus</t>
  </si>
  <si>
    <t>House Sparrow</t>
  </si>
  <si>
    <t>Moineau domestique</t>
  </si>
  <si>
    <t>Passer domesticus</t>
  </si>
  <si>
    <t>Barge hudsonienne</t>
  </si>
  <si>
    <t>Limosa haemastica</t>
  </si>
  <si>
    <t>Courlis hudsonien</t>
  </si>
  <si>
    <t>Numenius hudsonicus</t>
  </si>
  <si>
    <t>Torrey Pines State Reserve--upper trails &amp; beach</t>
  </si>
  <si>
    <t>L1435475</t>
  </si>
  <si>
    <t>S15407770</t>
  </si>
  <si>
    <t>Héron de Humblot</t>
  </si>
  <si>
    <t>Ardea humbloti</t>
  </si>
  <si>
    <t>Viréo de Hutton</t>
  </si>
  <si>
    <t>Vireo huttoni</t>
  </si>
  <si>
    <t>Goéland arctique</t>
  </si>
  <si>
    <t>Larus glaucoides</t>
  </si>
  <si>
    <t>S40877543</t>
  </si>
  <si>
    <t>Iiwi</t>
  </si>
  <si>
    <t>Iiwi rouge</t>
  </si>
  <si>
    <t>Drepanis coccinea</t>
  </si>
  <si>
    <t>Inca Dove</t>
  </si>
  <si>
    <t>Colombe inca</t>
  </si>
  <si>
    <t>Columbina inca</t>
  </si>
  <si>
    <t>Cerro Lodge</t>
  </si>
  <si>
    <t>L1456434</t>
  </si>
  <si>
    <t>S112983565</t>
  </si>
  <si>
    <t>Indigo Bunting</t>
  </si>
  <si>
    <t>Passerin indigo</t>
  </si>
  <si>
    <t>Passerina cyanea</t>
  </si>
  <si>
    <t>Indigo-capped Hummingbird</t>
  </si>
  <si>
    <t>Ariane à front bleu</t>
  </si>
  <si>
    <t>Saucerottia cyanifrons</t>
  </si>
  <si>
    <t>Jardín Encantado</t>
  </si>
  <si>
    <t>L17644333</t>
  </si>
  <si>
    <t>S61713814</t>
  </si>
  <si>
    <t>Inland Thornbill</t>
  </si>
  <si>
    <t>Acanthize troglodyte</t>
  </si>
  <si>
    <t>Acanthiza apicalis</t>
  </si>
  <si>
    <t>Isthmian Wren</t>
  </si>
  <si>
    <t>Troglodyte du Panama</t>
  </si>
  <si>
    <t>Cantorchilus elutus</t>
  </si>
  <si>
    <t>8.3423x-80.2152 - Nov 14, 2016, 11:03 AM</t>
  </si>
  <si>
    <t>L5082475</t>
  </si>
  <si>
    <t>S61339444</t>
  </si>
  <si>
    <t>Ivory-billed Woodcreeper</t>
  </si>
  <si>
    <t>Grimpar à bec ivoire</t>
  </si>
  <si>
    <t>Xiphorhynchus flavigaster</t>
  </si>
  <si>
    <t>Jabiru</t>
  </si>
  <si>
    <t>Jabiru d'Amérique</t>
  </si>
  <si>
    <t>Jabiru mycteria</t>
  </si>
  <si>
    <t>Jackal Buzzard</t>
  </si>
  <si>
    <t>Buse rounoir</t>
  </si>
  <si>
    <t>Buteo rufofuscus</t>
  </si>
  <si>
    <t>Miro enchanteur</t>
  </si>
  <si>
    <t>Microeca fascinans</t>
  </si>
  <si>
    <t>Java Sparrow</t>
  </si>
  <si>
    <t>Padda de Java</t>
  </si>
  <si>
    <t>Padda oryzivora</t>
  </si>
  <si>
    <t>Samuel M. Spencer Beach Park and Puukohola Heiau</t>
  </si>
  <si>
    <t>L330906</t>
  </si>
  <si>
    <t>S49532050</t>
  </si>
  <si>
    <t>Jet Antbird</t>
  </si>
  <si>
    <t>Grisin de jais</t>
  </si>
  <si>
    <t>Cercomacra nigricans</t>
  </si>
  <si>
    <t>Kalij Pheasant</t>
  </si>
  <si>
    <t>Faisan leucomèle</t>
  </si>
  <si>
    <t>Lophura leucomelanos</t>
  </si>
  <si>
    <t>Keel-billed Motmot</t>
  </si>
  <si>
    <t>Motmot à bec caréné</t>
  </si>
  <si>
    <t>Electron carinatum</t>
  </si>
  <si>
    <t>Puerto Viejo de Sarapiqui--Posada Andrea Christina</t>
  </si>
  <si>
    <t>L1252105</t>
  </si>
  <si>
    <t>S112476750</t>
  </si>
  <si>
    <t>Keel-billed Toucan</t>
  </si>
  <si>
    <t>Toucan à carène</t>
  </si>
  <si>
    <t>Ramphastos sulfuratus</t>
  </si>
  <si>
    <t>Kelp Gull</t>
  </si>
  <si>
    <t>Goéland dominicain</t>
  </si>
  <si>
    <t>Larus dominicanus</t>
  </si>
  <si>
    <t>Kentucky Warbler</t>
  </si>
  <si>
    <t>Paruline du Kentucky</t>
  </si>
  <si>
    <t>Geothlypis formosa</t>
  </si>
  <si>
    <t>Killdeer</t>
  </si>
  <si>
    <t>Pluvier kildir</t>
  </si>
  <si>
    <t>Charadrius vociferus</t>
  </si>
  <si>
    <t>King Vulture</t>
  </si>
  <si>
    <t>Sarcoramphe roi</t>
  </si>
  <si>
    <t>Sarcoramphus papa</t>
  </si>
  <si>
    <t>Paruline de Kirtland</t>
  </si>
  <si>
    <t>Setophaga kirtlandii</t>
  </si>
  <si>
    <t>S29515962</t>
  </si>
  <si>
    <t>Pluvier pâtre</t>
  </si>
  <si>
    <t>Anarhynchus pecuarius</t>
  </si>
  <si>
    <t>Knob-billed Duck</t>
  </si>
  <si>
    <t>Canard à bosse</t>
  </si>
  <si>
    <t>Sarkidiornis melanotos</t>
  </si>
  <si>
    <t>Kori Bustard</t>
  </si>
  <si>
    <t>Outarde kori</t>
  </si>
  <si>
    <t>Ardeotis kori</t>
  </si>
  <si>
    <t>Otidiformes</t>
  </si>
  <si>
    <t>Otididae (Bustards)</t>
  </si>
  <si>
    <t>Merle kurrichane</t>
  </si>
  <si>
    <t>Turdus libonyana</t>
  </si>
  <si>
    <t>Lacrimose Mountain Tanager</t>
  </si>
  <si>
    <t>Tangara larmoyant</t>
  </si>
  <si>
    <t>Anisognathus lacrymosus</t>
  </si>
  <si>
    <t>Vanga de Lafresnaye</t>
  </si>
  <si>
    <t>Xenopirostris xenopirostris</t>
  </si>
  <si>
    <t>Aire protégée Tsinjoriake</t>
  </si>
  <si>
    <t>L8022895</t>
  </si>
  <si>
    <t>S202475930</t>
  </si>
  <si>
    <t>Lance-tailed Manakin</t>
  </si>
  <si>
    <t>Manakin lancéolé</t>
  </si>
  <si>
    <t>Chiroxiphia lanceolata</t>
  </si>
  <si>
    <t>8.4622x-80.2520 - Nov 14, 2016, 8:02 AM</t>
  </si>
  <si>
    <t>L5082453</t>
  </si>
  <si>
    <t>S32556975</t>
  </si>
  <si>
    <t>Lapland Longspur</t>
  </si>
  <si>
    <t>Plectrophane lapon</t>
  </si>
  <si>
    <t>Calcarius lapponicus</t>
  </si>
  <si>
    <t>Calcariidae (Longspurs and Snow Buntings)</t>
  </si>
  <si>
    <t>9104–9180 Castor Rd, Ottawa CA-ON 45.18859, -75.38533</t>
  </si>
  <si>
    <t>L17763147</t>
  </si>
  <si>
    <t>S102737530</t>
  </si>
  <si>
    <t>Lappet-faced Vulture</t>
  </si>
  <si>
    <t>Vautour oricou</t>
  </si>
  <si>
    <t>Torgos tracheliotos</t>
  </si>
  <si>
    <t>Large-billed Tern</t>
  </si>
  <si>
    <t>Sterne à gros bec</t>
  </si>
  <si>
    <t>Phaetusa simplex</t>
  </si>
  <si>
    <t>Malecón Puerta de Oro</t>
  </si>
  <si>
    <t>CO-ATL</t>
  </si>
  <si>
    <t>L6695349</t>
  </si>
  <si>
    <t>S222858526</t>
  </si>
  <si>
    <t>Large-footed Finch</t>
  </si>
  <si>
    <t>Tohi à grands pieds</t>
  </si>
  <si>
    <t>Pezopetes capitalis</t>
  </si>
  <si>
    <t>S112233255</t>
  </si>
  <si>
    <t>Lark Sparrow</t>
  </si>
  <si>
    <t>Bruant à joues marron</t>
  </si>
  <si>
    <t>Chondestes grammacus</t>
  </si>
  <si>
    <t>Sonoma Valley Regional Park, Glen Ellen US-CA (38.3641,-122.5124)</t>
  </si>
  <si>
    <t>L8144000</t>
  </si>
  <si>
    <t>S49955936</t>
  </si>
  <si>
    <t>Lark-like Bunting</t>
  </si>
  <si>
    <t>Bruant des rochers</t>
  </si>
  <si>
    <t>Emberiza impetuani</t>
  </si>
  <si>
    <t>Bécassine du Japon</t>
  </si>
  <si>
    <t>Gallinago hardwickii</t>
  </si>
  <si>
    <t>Lake King, Rutherglen</t>
  </si>
  <si>
    <t>L3139323</t>
  </si>
  <si>
    <t>S283959490</t>
  </si>
  <si>
    <t>Tourterelle maillée</t>
  </si>
  <si>
    <t>Spilopelia senegalensis</t>
  </si>
  <si>
    <t>Laughing Falcon</t>
  </si>
  <si>
    <t>Macagua rieur</t>
  </si>
  <si>
    <t>Herpetotheres cachinnans</t>
  </si>
  <si>
    <t>Carretera 295/Río Lagartos-Tizimín--Pantano a Km 90</t>
  </si>
  <si>
    <t>L2611603</t>
  </si>
  <si>
    <t>S41235920</t>
  </si>
  <si>
    <t>Laughing Gull</t>
  </si>
  <si>
    <t>Mouette atricille</t>
  </si>
  <si>
    <t>Leucophaeus atricilla</t>
  </si>
  <si>
    <t>Homestead Bayfront Park</t>
  </si>
  <si>
    <t>L127432</t>
  </si>
  <si>
    <t>S15371112</t>
  </si>
  <si>
    <t>Laughing Kookaburra</t>
  </si>
  <si>
    <t>Martin-chasseur géant</t>
  </si>
  <si>
    <t>Dacelo novaeguineae</t>
  </si>
  <si>
    <t>Lava Heron</t>
  </si>
  <si>
    <t>Héron des Galapagos</t>
  </si>
  <si>
    <t>Butorides sundevalli</t>
  </si>
  <si>
    <t>Lazuline Sabrewing</t>
  </si>
  <si>
    <t>Campyloptère lazulite</t>
  </si>
  <si>
    <t>Campylopterus falcatus</t>
  </si>
  <si>
    <t>Least Bittern</t>
  </si>
  <si>
    <t>Petit Blongios</t>
  </si>
  <si>
    <t>Botaurus exilis</t>
  </si>
  <si>
    <t>Colonel Samuel Smith Park</t>
  </si>
  <si>
    <t>L421884</t>
  </si>
  <si>
    <t>S19783790</t>
  </si>
  <si>
    <t>Least Flycatcher</t>
  </si>
  <si>
    <t>Moucherolle tchébec</t>
  </si>
  <si>
    <t>Empidonax minimus</t>
  </si>
  <si>
    <t>Least Grebe</t>
  </si>
  <si>
    <t>Grèbe minime</t>
  </si>
  <si>
    <t>Tachybaptus dominicus</t>
  </si>
  <si>
    <t>Least Sandpiper</t>
  </si>
  <si>
    <t>Bécasseau minuscule</t>
  </si>
  <si>
    <t>Calidris minutilla</t>
  </si>
  <si>
    <t>Goéland brun</t>
  </si>
  <si>
    <t>Larus fuscus</t>
  </si>
  <si>
    <t>S36716767</t>
  </si>
  <si>
    <t>Sterne voyageuse</t>
  </si>
  <si>
    <t>Thalasseus bengalensis</t>
  </si>
  <si>
    <t>MG (-23,465, 43,682)</t>
  </si>
  <si>
    <t>L38036784</t>
  </si>
  <si>
    <t>S202791306</t>
  </si>
  <si>
    <t>Chardonneret mineur</t>
  </si>
  <si>
    <t>Spinus psaltria</t>
  </si>
  <si>
    <t>Lesser Greenlet</t>
  </si>
  <si>
    <t>Viréon menu</t>
  </si>
  <si>
    <t>Pachysylvia decurtata</t>
  </si>
  <si>
    <t>Lesser Ground-Cuckoo</t>
  </si>
  <si>
    <t>Géocoucou de Lesson</t>
  </si>
  <si>
    <t>Morococcyx erythropygus</t>
  </si>
  <si>
    <t>Lesser Jacana</t>
  </si>
  <si>
    <t>Jacana nain</t>
  </si>
  <si>
    <t>Microparra capensis</t>
  </si>
  <si>
    <t>Lesser Kiskadee</t>
  </si>
  <si>
    <t>Tyran licteur</t>
  </si>
  <si>
    <t>Philohydor lictor</t>
  </si>
  <si>
    <t>Gamboa Rainforest Reserve--Camino al teleférico</t>
  </si>
  <si>
    <t>L3275044</t>
  </si>
  <si>
    <t>S32587104</t>
  </si>
  <si>
    <t>Tisserin intermédiaire</t>
  </si>
  <si>
    <t>Ploceus intermedius</t>
  </si>
  <si>
    <t>Lesser Scaup</t>
  </si>
  <si>
    <t>Petit Fuligule</t>
  </si>
  <si>
    <t>Aythya affinis</t>
  </si>
  <si>
    <t>Hirondelle striée</t>
  </si>
  <si>
    <t>Cecropis abyssinica</t>
  </si>
  <si>
    <t>Lesser Swallow-tailed Swift</t>
  </si>
  <si>
    <t>Martinet de Cayenne</t>
  </si>
  <si>
    <t>Panyptila cayennensis</t>
  </si>
  <si>
    <t>Lesser Vasa Parrot</t>
  </si>
  <si>
    <t>Vaza noir</t>
  </si>
  <si>
    <t>Coracopsis nigra</t>
  </si>
  <si>
    <t>S202373995</t>
  </si>
  <si>
    <t>Lesser Violetear</t>
  </si>
  <si>
    <t>Colibri cyanote</t>
  </si>
  <si>
    <t>Colibri cyanotus</t>
  </si>
  <si>
    <t>Urubu à tête jaune</t>
  </si>
  <si>
    <t>Cathartes burrovianus</t>
  </si>
  <si>
    <t>Lesser Yellowlegs</t>
  </si>
  <si>
    <t>Petit Chevalier</t>
  </si>
  <si>
    <t>Tringa flavipes</t>
  </si>
  <si>
    <t>Motmot de Lesson</t>
  </si>
  <si>
    <t>Momotus lessonii</t>
  </si>
  <si>
    <t>Lewin's Honeyeater</t>
  </si>
  <si>
    <t>Méliphage de Lewin</t>
  </si>
  <si>
    <t>Meliphaga lewinii</t>
  </si>
  <si>
    <t>Râle à poitrine grise</t>
  </si>
  <si>
    <t>Lewinia pectoralis</t>
  </si>
  <si>
    <t>Rotary Centennial Park (Kingston Beach)</t>
  </si>
  <si>
    <t>L2548356</t>
  </si>
  <si>
    <t>S285703468</t>
  </si>
  <si>
    <t>Lilac-breasted Roller</t>
  </si>
  <si>
    <t>Rollier à longs brins</t>
  </si>
  <si>
    <t>Coracias caudatus</t>
  </si>
  <si>
    <t>Limpkin</t>
  </si>
  <si>
    <t>Courlan brun</t>
  </si>
  <si>
    <t>Aramus guarauna</t>
  </si>
  <si>
    <t>Aramidae (Limpkin)</t>
  </si>
  <si>
    <t>Bruant de Lincoln</t>
  </si>
  <si>
    <t>Melospiza lincolnii</t>
  </si>
  <si>
    <t>S29378061</t>
  </si>
  <si>
    <t>Lineated Foliage-gleaner</t>
  </si>
  <si>
    <t>Anabate vergeté</t>
  </si>
  <si>
    <t>Syndactyla subalaris</t>
  </si>
  <si>
    <t>Lineated Woodpecker</t>
  </si>
  <si>
    <t>Pic ouentou</t>
  </si>
  <si>
    <t>Dryocopus lineatus</t>
  </si>
  <si>
    <t>Lined Quail-Dove</t>
  </si>
  <si>
    <t>Colombe bridée</t>
  </si>
  <si>
    <t>Zentrygon linearis</t>
  </si>
  <si>
    <t>S223757802</t>
  </si>
  <si>
    <t>Little Bee-eater</t>
  </si>
  <si>
    <t>Guêpier nain</t>
  </si>
  <si>
    <t>Merops pusillus</t>
  </si>
  <si>
    <t>Cormoran noir</t>
  </si>
  <si>
    <t>Phalacrocorax sulcirostris</t>
  </si>
  <si>
    <t>Aigrette bleue</t>
  </si>
  <si>
    <t>Egretta caerulea</t>
  </si>
  <si>
    <t>Little Corella</t>
  </si>
  <si>
    <t>Cacatoès corella</t>
  </si>
  <si>
    <t>Cacatua sanguinea</t>
  </si>
  <si>
    <t>Port Campbell National Park--Loch Ard Gorge</t>
  </si>
  <si>
    <t>L921671</t>
  </si>
  <si>
    <t>S40074079</t>
  </si>
  <si>
    <t>Little Crow</t>
  </si>
  <si>
    <t>Corbeau du désert</t>
  </si>
  <si>
    <t>Corvus bennetti</t>
  </si>
  <si>
    <t>Aigle nain</t>
  </si>
  <si>
    <t>Hieraaetus morphnoides</t>
  </si>
  <si>
    <t>Devils Garden State Forest</t>
  </si>
  <si>
    <t>L2117960</t>
  </si>
  <si>
    <t>S40125315</t>
  </si>
  <si>
    <t>Little Egret</t>
  </si>
  <si>
    <t>Aigrette garzette</t>
  </si>
  <si>
    <t>Egretta garzetta</t>
  </si>
  <si>
    <t>Polochion à menton jaune</t>
  </si>
  <si>
    <t>Philemon citreogularis</t>
  </si>
  <si>
    <t>Island Sanctuary, Deniliquin</t>
  </si>
  <si>
    <t>L2747615</t>
  </si>
  <si>
    <t>S283628839</t>
  </si>
  <si>
    <t>Little Grassbird</t>
  </si>
  <si>
    <t>Mégalure menue</t>
  </si>
  <si>
    <t>Poodytes gramineus</t>
  </si>
  <si>
    <t>Grèbe castagneux</t>
  </si>
  <si>
    <t>Tachybaptus ruficollis</t>
  </si>
  <si>
    <t>Little Gull</t>
  </si>
  <si>
    <t>Mouette pygmée</t>
  </si>
  <si>
    <t>Hydrocoloeus minutus</t>
  </si>
  <si>
    <t>S137637093</t>
  </si>
  <si>
    <t>Little Hermit</t>
  </si>
  <si>
    <t>Ermite nain</t>
  </si>
  <si>
    <t>Phaethornis longuemareus</t>
  </si>
  <si>
    <t>Héron des mangroves</t>
  </si>
  <si>
    <t>Butorides atricapilla</t>
  </si>
  <si>
    <t>Little Penguin</t>
  </si>
  <si>
    <t>Manchot pygmée</t>
  </si>
  <si>
    <t>Eudyptula minor</t>
  </si>
  <si>
    <t>St Kilda Pier</t>
  </si>
  <si>
    <t>L2081599</t>
  </si>
  <si>
    <t>S40033452</t>
  </si>
  <si>
    <t>Cormoran pie</t>
  </si>
  <si>
    <t>Microcarbo melanoleucos</t>
  </si>
  <si>
    <t>Little Raven</t>
  </si>
  <si>
    <t>Petit Corbeau</t>
  </si>
  <si>
    <t>Corvus mellori</t>
  </si>
  <si>
    <t>Birrarung Marr</t>
  </si>
  <si>
    <t>L2531561</t>
  </si>
  <si>
    <t>S39970919</t>
  </si>
  <si>
    <t>Little Sparrowhawk</t>
  </si>
  <si>
    <t>Épervier minule</t>
  </si>
  <si>
    <t>Tachyspiza minulla</t>
  </si>
  <si>
    <t>Bécasseau minute</t>
  </si>
  <si>
    <t>Calidris minuta</t>
  </si>
  <si>
    <t>Little Tern</t>
  </si>
  <si>
    <t>Sterne naine</t>
  </si>
  <si>
    <t>Sternula albifrons</t>
  </si>
  <si>
    <t>Avalon Beach</t>
  </si>
  <si>
    <t>L2550213</t>
  </si>
  <si>
    <t>S284352819</t>
  </si>
  <si>
    <t>Little Tinamou</t>
  </si>
  <si>
    <t>Tinamou soui</t>
  </si>
  <si>
    <t>Crypturellus soui</t>
  </si>
  <si>
    <t>Little Wattlebird</t>
  </si>
  <si>
    <t>Méliphage à gouttelettes</t>
  </si>
  <si>
    <t>Anthochaera chrysoptera</t>
  </si>
  <si>
    <t>Monticole du littoral</t>
  </si>
  <si>
    <t>Monticola imerina</t>
  </si>
  <si>
    <t>Route Sans Nom, Anakao, Atsimo-Andrefana, MG (-23,647, 43,653)</t>
  </si>
  <si>
    <t>L38038020</t>
  </si>
  <si>
    <t>S202791261</t>
  </si>
  <si>
    <t>Loggerhead Shrike</t>
  </si>
  <si>
    <t>Pie-grièche migratrice</t>
  </si>
  <si>
    <t>Lanius ludovicianus</t>
  </si>
  <si>
    <t>Long-billed Bernieria</t>
  </si>
  <si>
    <t>Tétraka malgache</t>
  </si>
  <si>
    <t>Bernieria madagascariensis</t>
  </si>
  <si>
    <t>Long-billed Corella</t>
  </si>
  <si>
    <t>Cacatoès nasique</t>
  </si>
  <si>
    <t>Cacatua tenuirostris</t>
  </si>
  <si>
    <t>Port Campbell National Park (general location - please use a more specific location if possible)</t>
  </si>
  <si>
    <t>L2549124</t>
  </si>
  <si>
    <t>S40059479</t>
  </si>
  <si>
    <t>Long-billed Crombec</t>
  </si>
  <si>
    <t>Crombec à long bec</t>
  </si>
  <si>
    <t>Sylvietta rufescens</t>
  </si>
  <si>
    <t>Macrosphenidae (African Warblers)</t>
  </si>
  <si>
    <t>Long-billed Curlew</t>
  </si>
  <si>
    <t>Courlis à long bec</t>
  </si>
  <si>
    <t>Numenius americanus</t>
  </si>
  <si>
    <t>Bayshore Bikeway--Emory Cove &amp; Pond 11</t>
  </si>
  <si>
    <t>L761524</t>
  </si>
  <si>
    <t>S15396554</t>
  </si>
  <si>
    <t>Long-billed Dowitcher</t>
  </si>
  <si>
    <t>Bécassin à long bec</t>
  </si>
  <si>
    <t>Limnodromus scolopaceus</t>
  </si>
  <si>
    <t>Islamorada</t>
  </si>
  <si>
    <t>L250986</t>
  </si>
  <si>
    <t>S15371090</t>
  </si>
  <si>
    <t>Long-billed Gnatwren</t>
  </si>
  <si>
    <t>Microbate à long bec</t>
  </si>
  <si>
    <t>Ramphocaenus melanurus</t>
  </si>
  <si>
    <t>Long-billed Hermit</t>
  </si>
  <si>
    <t>Ermite à longue queue</t>
  </si>
  <si>
    <t>Phaethornis longirostris</t>
  </si>
  <si>
    <t>Long-billed Starthroat</t>
  </si>
  <si>
    <t>Colibri corinne</t>
  </si>
  <si>
    <t>Heliomaster longirostris</t>
  </si>
  <si>
    <t>Long-crested Eagle</t>
  </si>
  <si>
    <t>Aigle huppard</t>
  </si>
  <si>
    <t>Lophaetus occipitalis</t>
  </si>
  <si>
    <t>Long-eared Owl</t>
  </si>
  <si>
    <t>Hibou moyen-duc</t>
  </si>
  <si>
    <t>Asio otus</t>
  </si>
  <si>
    <t>S55960536</t>
  </si>
  <si>
    <t>Long-tailed Duck</t>
  </si>
  <si>
    <t>Harelde kakawi</t>
  </si>
  <si>
    <t>Clangula hyemalis</t>
  </si>
  <si>
    <t>Long-tailed Fiscal</t>
  </si>
  <si>
    <t>Pie-grièche à longue queue</t>
  </si>
  <si>
    <t>Lanius cabanisi</t>
  </si>
  <si>
    <t>Brachyptérolle à longue queue</t>
  </si>
  <si>
    <t>Uratelornis chimaera</t>
  </si>
  <si>
    <t>Brachypteraciidae (Ground-Rollers)</t>
  </si>
  <si>
    <t>Long-tailed Manakin</t>
  </si>
  <si>
    <t>Manakin fastueux</t>
  </si>
  <si>
    <t>Chiroxiphia linearis</t>
  </si>
  <si>
    <t>S112868615</t>
  </si>
  <si>
    <t>Long-tailed Silky-flycatcher</t>
  </si>
  <si>
    <t>Ptilogon à longue queue</t>
  </si>
  <si>
    <t>Ptiliogonys caudatus</t>
  </si>
  <si>
    <t>Long-tailed Sylph</t>
  </si>
  <si>
    <t>Sylphe à queue d'azur</t>
  </si>
  <si>
    <t>Aglaiocercus kingii</t>
  </si>
  <si>
    <t>Long-tailed Tyrant</t>
  </si>
  <si>
    <t>Moucherolle à longs brins</t>
  </si>
  <si>
    <t>Colonia colonus</t>
  </si>
  <si>
    <t>Long-toed Lapwing</t>
  </si>
  <si>
    <t>Vanneau à ailes blanches</t>
  </si>
  <si>
    <t>Vanellus crassirostris</t>
  </si>
  <si>
    <t>Long-winged Harrier</t>
  </si>
  <si>
    <t>Busard de Buffon</t>
  </si>
  <si>
    <t>Circus buffoni</t>
  </si>
  <si>
    <t>Longuemare's Sunangel</t>
  </si>
  <si>
    <t>Héliange de Clarisse</t>
  </si>
  <si>
    <t>Heliangelus clarisse</t>
  </si>
  <si>
    <t>Louisiana Waterthrush</t>
  </si>
  <si>
    <t>Paruline hochequeue</t>
  </si>
  <si>
    <t>Parkesia motacilla</t>
  </si>
  <si>
    <t>Luapula Cisticola</t>
  </si>
  <si>
    <t>Cisticole du Luapula</t>
  </si>
  <si>
    <t>Cisticola luapula</t>
  </si>
  <si>
    <t>Artamie azurée</t>
  </si>
  <si>
    <t>Cyanolanius madagascarinus</t>
  </si>
  <si>
    <t>V.O.I. M.M.A (Community Reserve)</t>
  </si>
  <si>
    <t>L4943092</t>
  </si>
  <si>
    <t>S201667901</t>
  </si>
  <si>
    <t>Madagascar Blue-Pigeon</t>
  </si>
  <si>
    <t>Founingo bleu</t>
  </si>
  <si>
    <t>Alectroenas madagascariensis</t>
  </si>
  <si>
    <t>Madagascar Buttonquail</t>
  </si>
  <si>
    <t>Turnix de Madagascar</t>
  </si>
  <si>
    <t>Turnix nigricollis</t>
  </si>
  <si>
    <t>Turnicidae (Buttonquail)</t>
  </si>
  <si>
    <t>Madagascar Buzzard</t>
  </si>
  <si>
    <t>Buse de Madagascar</t>
  </si>
  <si>
    <t>Buteo brachypterus</t>
  </si>
  <si>
    <t>S202374003</t>
  </si>
  <si>
    <t>Madagascar Cisticola</t>
  </si>
  <si>
    <t>Cisticole malgache</t>
  </si>
  <si>
    <t>Cisticola cherina</t>
  </si>
  <si>
    <t>S202374001</t>
  </si>
  <si>
    <t>Madagascar Cuckoo</t>
  </si>
  <si>
    <t>Coucou de Madagascar</t>
  </si>
  <si>
    <t>Cuculus rochii</t>
  </si>
  <si>
    <t>Madagascar Cuckoo-Hawk</t>
  </si>
  <si>
    <t>Baza malgache</t>
  </si>
  <si>
    <t>Aviceda madagascariensis</t>
  </si>
  <si>
    <t>S202371087</t>
  </si>
  <si>
    <t>Madagascar Cuckooshrike</t>
  </si>
  <si>
    <t>Échenilleur malgache</t>
  </si>
  <si>
    <t>Ceblepyris cinereus</t>
  </si>
  <si>
    <t>Madagascar Forest Rail</t>
  </si>
  <si>
    <t>Râle à gorge blanche</t>
  </si>
  <si>
    <t>Mentocrex kioloides</t>
  </si>
  <si>
    <t>Sarothruridae (Flufftails)</t>
  </si>
  <si>
    <t>Madagascar Green-Pigeon</t>
  </si>
  <si>
    <t>Colombar maïtsou</t>
  </si>
  <si>
    <t>Treron australis</t>
  </si>
  <si>
    <t>Eulophiella</t>
  </si>
  <si>
    <t>L8033539</t>
  </si>
  <si>
    <t>S201831902</t>
  </si>
  <si>
    <t>Madagascar Harrier-Hawk</t>
  </si>
  <si>
    <t>Gymnogène de Madagascar</t>
  </si>
  <si>
    <t>Polyboroides radiatus</t>
  </si>
  <si>
    <t>Madagascar Hoopoe</t>
  </si>
  <si>
    <t>Huppe de Madagascar</t>
  </si>
  <si>
    <t>Upupa marginata</t>
  </si>
  <si>
    <t>S202373873</t>
  </si>
  <si>
    <t>Madagascar Ibis</t>
  </si>
  <si>
    <t>Ibis huppé</t>
  </si>
  <si>
    <t>Lophotibis cristata</t>
  </si>
  <si>
    <t>Madagascar Lark</t>
  </si>
  <si>
    <t>Moinelette malgache</t>
  </si>
  <si>
    <t>Eremopterix hova</t>
  </si>
  <si>
    <t>RN7, Ihorombe, MG (-22,412, 46,025)</t>
  </si>
  <si>
    <t>L37967534</t>
  </si>
  <si>
    <t>S202373972</t>
  </si>
  <si>
    <t>Shama de Madagascar</t>
  </si>
  <si>
    <t>Copsychus albospecularis</t>
  </si>
  <si>
    <t>Madagascar Martin</t>
  </si>
  <si>
    <t>Hirondelle de Madagascar</t>
  </si>
  <si>
    <t>Riparia cowani</t>
  </si>
  <si>
    <t>Tamboho Hotel</t>
  </si>
  <si>
    <t>L10216015</t>
  </si>
  <si>
    <t>S201541931</t>
  </si>
  <si>
    <t>Madagascar Munia</t>
  </si>
  <si>
    <t>Capucin de Madagascar</t>
  </si>
  <si>
    <t>Lepidopygia nana</t>
  </si>
  <si>
    <t>S202373998</t>
  </si>
  <si>
    <t>Madagascar Nightjar</t>
  </si>
  <si>
    <t>Engoulevent malgache</t>
  </si>
  <si>
    <t>Caprimulgus madagascariensis</t>
  </si>
  <si>
    <t>Tananarive, Analamanga, MG (-18,89, 47,525)</t>
  </si>
  <si>
    <t>L37849928</t>
  </si>
  <si>
    <t>S202374010</t>
  </si>
  <si>
    <t>Madagascar Owl</t>
  </si>
  <si>
    <t>Hibou malgache</t>
  </si>
  <si>
    <t>Asio madagascariensis</t>
  </si>
  <si>
    <t>Madagascar Partridge</t>
  </si>
  <si>
    <t>Caille de Madagascar</t>
  </si>
  <si>
    <t>Margaroperdix madagarensis</t>
  </si>
  <si>
    <t>S201731242</t>
  </si>
  <si>
    <t>Madagascar Pratincole</t>
  </si>
  <si>
    <t>Glaréole malgache</t>
  </si>
  <si>
    <t>Glareola ocularis</t>
  </si>
  <si>
    <t>Mangoro River Crossing</t>
  </si>
  <si>
    <t>L3104928</t>
  </si>
  <si>
    <t>S201831803</t>
  </si>
  <si>
    <t>Martin-pêcheur malgache</t>
  </si>
  <si>
    <t>Corythornis madagascariensis</t>
  </si>
  <si>
    <t>Madagascar Scops-Owl</t>
  </si>
  <si>
    <t>Petit-duc malgache</t>
  </si>
  <si>
    <t>Otus rutilus</t>
  </si>
  <si>
    <t>Madagascar Sparrowhawk</t>
  </si>
  <si>
    <t>Épervier de Madagascar</t>
  </si>
  <si>
    <t>Accipiter madagascariensis</t>
  </si>
  <si>
    <t>Madagascar Spinetail</t>
  </si>
  <si>
    <t>Martinet de Grandidier</t>
  </si>
  <si>
    <t>Zoonavena grandidieri</t>
  </si>
  <si>
    <t>RN2, Alaotra-Mangoro, MG (-18,933, 48,199)</t>
  </si>
  <si>
    <t>L37854161</t>
  </si>
  <si>
    <t>S202374004</t>
  </si>
  <si>
    <t>Madagascar Starling</t>
  </si>
  <si>
    <t>Étourneau malgache</t>
  </si>
  <si>
    <t>Hartlaubius auratus</t>
  </si>
  <si>
    <t>Rousserolle de Newton</t>
  </si>
  <si>
    <t>Acrocephalus newtoni</t>
  </si>
  <si>
    <t>Madagascar Wagtail</t>
  </si>
  <si>
    <t>Bergeronnette malgache</t>
  </si>
  <si>
    <t>Motacilla flaviventris</t>
  </si>
  <si>
    <t>Auto selected -18.89571, 47.77804</t>
  </si>
  <si>
    <t>L37852429</t>
  </si>
  <si>
    <t>S201544690</t>
  </si>
  <si>
    <t>Magenta-throated Woodstar</t>
  </si>
  <si>
    <t>Colibri magenta</t>
  </si>
  <si>
    <t>Philodice bryantae</t>
  </si>
  <si>
    <t>Magnificent Frigatebird</t>
  </si>
  <si>
    <t>Frégate superbe</t>
  </si>
  <si>
    <t>Fregata magnificens</t>
  </si>
  <si>
    <t>Fregatidae (Frigatebirds)</t>
  </si>
  <si>
    <t>Paruline à tête cendrée</t>
  </si>
  <si>
    <t>Setophaga magnolia</t>
  </si>
  <si>
    <t>Canaroie semipalmée</t>
  </si>
  <si>
    <t>Anseranas semipalmata</t>
  </si>
  <si>
    <t>Anseranatidae (Magpie Goose)</t>
  </si>
  <si>
    <t>Magpie Shrike</t>
  </si>
  <si>
    <t>Corvinelle noir et blanc</t>
  </si>
  <si>
    <t>Urolestes melanoleucus</t>
  </si>
  <si>
    <t>Magpie-lark</t>
  </si>
  <si>
    <t>Gralline pie</t>
  </si>
  <si>
    <t>Grallina cyanoleuca</t>
  </si>
  <si>
    <t>Malachite Kingfisher</t>
  </si>
  <si>
    <t>Martin-pêcheur huppé</t>
  </si>
  <si>
    <t>Corythornis cristatus</t>
  </si>
  <si>
    <t>Malagasy Brush-Warbler</t>
  </si>
  <si>
    <t>Nésille malgache</t>
  </si>
  <si>
    <t>Nesillas typica</t>
  </si>
  <si>
    <t>Malagasy Bulbul</t>
  </si>
  <si>
    <t>Bulbul de Madagascar</t>
  </si>
  <si>
    <t>Hypsipetes madagascariensis</t>
  </si>
  <si>
    <t>Malagasy Coucal</t>
  </si>
  <si>
    <t>Coucal toulou</t>
  </si>
  <si>
    <t>Centropus toulou</t>
  </si>
  <si>
    <t>Malagasy Kestrel</t>
  </si>
  <si>
    <t>Crécerelle malgache</t>
  </si>
  <si>
    <t>Falco newtoni</t>
  </si>
  <si>
    <t>Malagasy Kingfisher</t>
  </si>
  <si>
    <t>Martin-pêcheur vintsi</t>
  </si>
  <si>
    <t>Corythornis vintsioides</t>
  </si>
  <si>
    <t>Malagasy Palm Swift</t>
  </si>
  <si>
    <t>Martinet de Madagascar</t>
  </si>
  <si>
    <t>Cypsiurus gracilis</t>
  </si>
  <si>
    <t>Tchitrec malgache</t>
  </si>
  <si>
    <t>Terpsiphone mutata</t>
  </si>
  <si>
    <t>RN2, Manjakandriana, Analamanga, MG (-18,929, 47,82)</t>
  </si>
  <si>
    <t>L37852534</t>
  </si>
  <si>
    <t>S202374006</t>
  </si>
  <si>
    <t>Crabier blanc</t>
  </si>
  <si>
    <t>Ardeola idae</t>
  </si>
  <si>
    <t>Malagasy Sunbird</t>
  </si>
  <si>
    <t>Souimanga angaladian</t>
  </si>
  <si>
    <t>Cinnyris notatus</t>
  </si>
  <si>
    <t>Malagasy Swift</t>
  </si>
  <si>
    <t>Martinet malgache</t>
  </si>
  <si>
    <t>Apus balstoni</t>
  </si>
  <si>
    <t>Malagasy Turtle-Dove</t>
  </si>
  <si>
    <t>Pigeon de Madagascar</t>
  </si>
  <si>
    <t>Nesoenas picturatus</t>
  </si>
  <si>
    <t>Malagasy White-eye</t>
  </si>
  <si>
    <t>Zostérops malgache</t>
  </si>
  <si>
    <t>Zosterops maderaspatanus</t>
  </si>
  <si>
    <t>Mallard</t>
  </si>
  <si>
    <t>Canard colvert</t>
  </si>
  <si>
    <t>Anas platyrhynchos</t>
  </si>
  <si>
    <t>S15665764</t>
  </si>
  <si>
    <t>Léipoa ocellé</t>
  </si>
  <si>
    <t>Leipoa ocellata</t>
  </si>
  <si>
    <t>Maned Duck</t>
  </si>
  <si>
    <t>Canard à crinière</t>
  </si>
  <si>
    <t>Chenonetta jubata</t>
  </si>
  <si>
    <t>S39613319</t>
  </si>
  <si>
    <t>Mangrove Cuckoo</t>
  </si>
  <si>
    <t>Coulicou manioc</t>
  </si>
  <si>
    <t>Coccyzus minor</t>
  </si>
  <si>
    <t>Mangrove Swallow</t>
  </si>
  <si>
    <t>Hirondelle des mangroves</t>
  </si>
  <si>
    <t>Tachycineta albilinea</t>
  </si>
  <si>
    <t>Mangrove Vireo</t>
  </si>
  <si>
    <t>Viréo des mangroves</t>
  </si>
  <si>
    <t>Vireo pallens</t>
  </si>
  <si>
    <t>Paruline des mangroves</t>
  </si>
  <si>
    <t>Setophaga petechia</t>
  </si>
  <si>
    <t>Marabou Stork</t>
  </si>
  <si>
    <t>Marabout d'Afrique</t>
  </si>
  <si>
    <t>Leptoptilos crumenifer</t>
  </si>
  <si>
    <t>Marble-faced Bristle-Tyrant</t>
  </si>
  <si>
    <t>Tyranneau marbré</t>
  </si>
  <si>
    <t>Pogonotriccus ophthalmicus</t>
  </si>
  <si>
    <t>S54776617</t>
  </si>
  <si>
    <t>Marbled Godwit</t>
  </si>
  <si>
    <t>Barge marbrée</t>
  </si>
  <si>
    <t>Limosa fedoa</t>
  </si>
  <si>
    <t>Southern Wildlife Preserve</t>
  </si>
  <si>
    <t>L2386324</t>
  </si>
  <si>
    <t>S15396496</t>
  </si>
  <si>
    <t>Souimanga du Marico</t>
  </si>
  <si>
    <t>Cinnyris mariquensis</t>
  </si>
  <si>
    <t>Maroon-tailed Parakeet</t>
  </si>
  <si>
    <t>Conure de Souancé</t>
  </si>
  <si>
    <t>Pyrrhura melanura</t>
  </si>
  <si>
    <t>Marsh Sandpiper</t>
  </si>
  <si>
    <t>Chevalier stagnatile</t>
  </si>
  <si>
    <t>Tringa stagnatilis</t>
  </si>
  <si>
    <t>Marsh Wren</t>
  </si>
  <si>
    <t>Troglodyte des marais</t>
  </si>
  <si>
    <t>Cistothorus palustris</t>
  </si>
  <si>
    <t>Martial Eagle</t>
  </si>
  <si>
    <t>Aigle martial</t>
  </si>
  <si>
    <t>Polemaetus bellicosus</t>
  </si>
  <si>
    <t>Mascarene Martin</t>
  </si>
  <si>
    <t>Hirondelle des Mascareignes</t>
  </si>
  <si>
    <t>Phedina borbonica</t>
  </si>
  <si>
    <t>S202374002</t>
  </si>
  <si>
    <t>Masked Cardinal</t>
  </si>
  <si>
    <t>Paroare masqué</t>
  </si>
  <si>
    <t>Paroaria nigrogenis</t>
  </si>
  <si>
    <t>Masked Flowerpiercer</t>
  </si>
  <si>
    <t>Percefleur masqué</t>
  </si>
  <si>
    <t>Diglossa cyanea</t>
  </si>
  <si>
    <t>Masked Lapwing</t>
  </si>
  <si>
    <t>Vanneau soldat</t>
  </si>
  <si>
    <t>Vanellus miles</t>
  </si>
  <si>
    <t>Masked Tityra</t>
  </si>
  <si>
    <t>Tityre masqué</t>
  </si>
  <si>
    <t>Tityra semifasciata</t>
  </si>
  <si>
    <t>Masked Trogon</t>
  </si>
  <si>
    <t>Trogon masqué</t>
  </si>
  <si>
    <t>Trogon personatus</t>
  </si>
  <si>
    <t>Masked Water-Tyrant</t>
  </si>
  <si>
    <t>Moucherolle aquatique</t>
  </si>
  <si>
    <t>Fluvicola nengeta</t>
  </si>
  <si>
    <t>Langrayen masqué</t>
  </si>
  <si>
    <t>Artamus personatus</t>
  </si>
  <si>
    <t>Masked Yellowthroat</t>
  </si>
  <si>
    <t>Paruline équatoriale</t>
  </si>
  <si>
    <t>Geothlypis aequinoctialis</t>
  </si>
  <si>
    <t>Mealy Amazon</t>
  </si>
  <si>
    <t>Amazone poudrée</t>
  </si>
  <si>
    <t>Amazona farinosa</t>
  </si>
  <si>
    <t>Medium Ground-Finch</t>
  </si>
  <si>
    <t>Géospize à bec moyen</t>
  </si>
  <si>
    <t>Geospiza fortis</t>
  </si>
  <si>
    <t>Canard de Meller</t>
  </si>
  <si>
    <t>Anas melleri</t>
  </si>
  <si>
    <t>Melodious Blackbird</t>
  </si>
  <si>
    <t>Quiscale chanteur</t>
  </si>
  <si>
    <t>Dives dives</t>
  </si>
  <si>
    <t>Merlin</t>
  </si>
  <si>
    <t>Faucon émerillon</t>
  </si>
  <si>
    <t>Falco columbarius</t>
  </si>
  <si>
    <t>Emerald Links</t>
  </si>
  <si>
    <t>L2381401</t>
  </si>
  <si>
    <t>S15365016</t>
  </si>
  <si>
    <t>Metallic-green Tanager</t>
  </si>
  <si>
    <t>Calliste vert</t>
  </si>
  <si>
    <t>Tangara labradorides</t>
  </si>
  <si>
    <t>Choucador de Meves</t>
  </si>
  <si>
    <t>Lamprotornis mevesii</t>
  </si>
  <si>
    <t>Mexican Sheartail</t>
  </si>
  <si>
    <t>Colibri d'Eliza</t>
  </si>
  <si>
    <t>Doricha eliza</t>
  </si>
  <si>
    <t>Posada Diego y Matilda</t>
  </si>
  <si>
    <t>L4401826</t>
  </si>
  <si>
    <t>S41230701</t>
  </si>
  <si>
    <t>Meyer's Parrot</t>
  </si>
  <si>
    <t>Perroquet de Meyer</t>
  </si>
  <si>
    <t>Poicephalus meyeri</t>
  </si>
  <si>
    <t>Mississippi Kite</t>
  </si>
  <si>
    <t>Milan du Mississippi</t>
  </si>
  <si>
    <t>Ictinia mississippiensis</t>
  </si>
  <si>
    <t>Mistletoe Tyrannulet</t>
  </si>
  <si>
    <t>Tyranneau menu</t>
  </si>
  <si>
    <t>Zimmerius parvus</t>
  </si>
  <si>
    <t>S61299027</t>
  </si>
  <si>
    <t>Dicée hirondelle</t>
  </si>
  <si>
    <t>Dicaeum hirundinaceum</t>
  </si>
  <si>
    <t>Dicaeidae (Flowerpeckers)</t>
  </si>
  <si>
    <t>AU-VIC-112-142 Birdswing Road (-37.1573,142.5689)</t>
  </si>
  <si>
    <t>L6380311</t>
  </si>
  <si>
    <t>S40141570</t>
  </si>
  <si>
    <t>Mitred Parakeet</t>
  </si>
  <si>
    <t>Conure mitrée</t>
  </si>
  <si>
    <t>Psittacara mitratus</t>
  </si>
  <si>
    <t>Holiday Park</t>
  </si>
  <si>
    <t>L3107258</t>
  </si>
  <si>
    <t>S123171645</t>
  </si>
  <si>
    <t>Mocking Cliff-Chat</t>
  </si>
  <si>
    <t>Traquet à ventre roux</t>
  </si>
  <si>
    <t>Thamnolaea cinnamomeiventris</t>
  </si>
  <si>
    <t>Monk Parakeet</t>
  </si>
  <si>
    <t>Conure veuve</t>
  </si>
  <si>
    <t>Myiopsitta monachus</t>
  </si>
  <si>
    <t>Frost Park</t>
  </si>
  <si>
    <t>L8849724</t>
  </si>
  <si>
    <t>S106322849</t>
  </si>
  <si>
    <t>Montane Foliage-gleaner</t>
  </si>
  <si>
    <t>Anabate montagnard</t>
  </si>
  <si>
    <t>Anabacerthia striaticollis</t>
  </si>
  <si>
    <t>Montane Woodcreeper</t>
  </si>
  <si>
    <t>Grimpar montagnard</t>
  </si>
  <si>
    <t>Lepidocolaptes lacrymiger</t>
  </si>
  <si>
    <t>Montezuma Oropendola</t>
  </si>
  <si>
    <t>Cassique de Montezuma</t>
  </si>
  <si>
    <t>Psarocolius montezuma</t>
  </si>
  <si>
    <t>Sporophile de Morelet</t>
  </si>
  <si>
    <t>Sporophila morelleti</t>
  </si>
  <si>
    <t>Moss-backed Tanager</t>
  </si>
  <si>
    <t>Tangara d'Edwards</t>
  </si>
  <si>
    <t>Bangsia edwardsi</t>
  </si>
  <si>
    <t>Mottled Duck</t>
  </si>
  <si>
    <t>Canard brun</t>
  </si>
  <si>
    <t>Anas fulvigula</t>
  </si>
  <si>
    <t>J. N. Ding Darling NWR (please consider using a more precise location)</t>
  </si>
  <si>
    <t>L127397</t>
  </si>
  <si>
    <t>S25903730</t>
  </si>
  <si>
    <t>Mottled Owl</t>
  </si>
  <si>
    <t>Chouette mouchetée</t>
  </si>
  <si>
    <t>Strix virgata</t>
  </si>
  <si>
    <t>Mountain Cacique</t>
  </si>
  <si>
    <t>Cassique montagnard</t>
  </si>
  <si>
    <t>Cacicus chrysonotus</t>
  </si>
  <si>
    <t>Mountain Chat</t>
  </si>
  <si>
    <t>Traquet montagnard</t>
  </si>
  <si>
    <t>Myrmecocichla monticola</t>
  </si>
  <si>
    <t>Twyfelfontein Country Lodge</t>
  </si>
  <si>
    <t>NA-KU</t>
  </si>
  <si>
    <t>L3058658</t>
  </si>
  <si>
    <t>S102176353</t>
  </si>
  <si>
    <t>Mountain Chickadee</t>
  </si>
  <si>
    <t>Mésange de Gambel</t>
  </si>
  <si>
    <t>Poecile gambeli</t>
  </si>
  <si>
    <t>Mountain Elaenia</t>
  </si>
  <si>
    <t>Élénie montagnarde</t>
  </si>
  <si>
    <t>Elaenia frantzii</t>
  </si>
  <si>
    <t>Carouge montagnard</t>
  </si>
  <si>
    <t>Macroagelaius subalaris</t>
  </si>
  <si>
    <t>S61648501</t>
  </si>
  <si>
    <t>Mountain Thrush</t>
  </si>
  <si>
    <t>Merle de montagne</t>
  </si>
  <si>
    <t>Turdus plebejus</t>
  </si>
  <si>
    <t>Colibri de Lafresnaye</t>
  </si>
  <si>
    <t>Lafresnaya lafresnayi</t>
  </si>
  <si>
    <t>Mountain Wren</t>
  </si>
  <si>
    <t>Troglodyte montagnard</t>
  </si>
  <si>
    <t>Troglodytes solstitialis</t>
  </si>
  <si>
    <t>Tourterelle pleureuse</t>
  </si>
  <si>
    <t>Streptopelia decipiens</t>
  </si>
  <si>
    <t>Mourning Dove</t>
  </si>
  <si>
    <t>Tourterelle triste</t>
  </si>
  <si>
    <t>Zenaida macroura</t>
  </si>
  <si>
    <t>Mourning Warbler</t>
  </si>
  <si>
    <t>Paruline triste</t>
  </si>
  <si>
    <t>Geothlypis philadelphia</t>
  </si>
  <si>
    <t>Mouse-colored Tyrannulet</t>
  </si>
  <si>
    <t>Tyranneau souris</t>
  </si>
  <si>
    <t>Nesotriccus murinus</t>
  </si>
  <si>
    <t>Moustached Antwren</t>
  </si>
  <si>
    <t>Myrmidon de Griscom</t>
  </si>
  <si>
    <t>Myrmotherula ignota</t>
  </si>
  <si>
    <t>Moustached Brushfinch</t>
  </si>
  <si>
    <t>Tohi moustachu</t>
  </si>
  <si>
    <t>Atlapetes albofrenatus</t>
  </si>
  <si>
    <t>S61603403</t>
  </si>
  <si>
    <t>Muisca Antpitta</t>
  </si>
  <si>
    <t>Grallaire rousse</t>
  </si>
  <si>
    <t>Grallaria rufula</t>
  </si>
  <si>
    <t>Perruche multicolore</t>
  </si>
  <si>
    <t>Psephotellus varius</t>
  </si>
  <si>
    <t>Muscovy Duck</t>
  </si>
  <si>
    <t>Canard musqué</t>
  </si>
  <si>
    <t>Cairina moschata</t>
  </si>
  <si>
    <t>Érismature à barbillons</t>
  </si>
  <si>
    <t>Biziura lobata</t>
  </si>
  <si>
    <t>Musk Lorikeet</t>
  </si>
  <si>
    <t>Loriquet à bandeau rouge</t>
  </si>
  <si>
    <t>Trichoglossus concinnus</t>
  </si>
  <si>
    <t>75 Murray Valley Hwy, Lake Boga AU-VIC -35.45490, 143.62915</t>
  </si>
  <si>
    <t>L54937972</t>
  </si>
  <si>
    <t>S283613995</t>
  </si>
  <si>
    <t>Mute Swan</t>
  </si>
  <si>
    <t>Cygne tuberculé</t>
  </si>
  <si>
    <t>Cygnus olor</t>
  </si>
  <si>
    <t>Namaqua Dove</t>
  </si>
  <si>
    <t>Tourtelette masquée</t>
  </si>
  <si>
    <t>Oena capensis</t>
  </si>
  <si>
    <t>Namaqua Sandgrouse</t>
  </si>
  <si>
    <t>Ganga namaqua</t>
  </si>
  <si>
    <t>Pterocles namaqua</t>
  </si>
  <si>
    <t>Nanday Parakeet</t>
  </si>
  <si>
    <t>Conure nanday</t>
  </si>
  <si>
    <t>Aratinga nenday</t>
  </si>
  <si>
    <t>North Lido Beach Park</t>
  </si>
  <si>
    <t>L871818</t>
  </si>
  <si>
    <t>S106960257</t>
  </si>
  <si>
    <t>Nankeen Kestrel</t>
  </si>
  <si>
    <t>Crécerelle d'Australie</t>
  </si>
  <si>
    <t>Falco cenchroides</t>
  </si>
  <si>
    <t>Bihoreau cannelle</t>
  </si>
  <si>
    <t>Nycticorax caledonicus</t>
  </si>
  <si>
    <t>Chiltern-Mt Pilot National Park--Chiltern Valley #1 Dam</t>
  </si>
  <si>
    <t>L2300532</t>
  </si>
  <si>
    <t>S284079402</t>
  </si>
  <si>
    <t>Paruline à joues grises</t>
  </si>
  <si>
    <t>Leiothlypis ruficapilla</t>
  </si>
  <si>
    <t>Francolin du Natal</t>
  </si>
  <si>
    <t>Pternistis natalensis</t>
  </si>
  <si>
    <t>Nazca Booby</t>
  </si>
  <si>
    <t>Fou de Grant</t>
  </si>
  <si>
    <t>Sula granti</t>
  </si>
  <si>
    <t>Nelicourvi Weaver</t>
  </si>
  <si>
    <t>Tisserin nélicourvi</t>
  </si>
  <si>
    <t>Ploceus nelicourvi</t>
  </si>
  <si>
    <t>S202373982</t>
  </si>
  <si>
    <t>Neotropic Cormorant</t>
  </si>
  <si>
    <t>Cormoran vigua</t>
  </si>
  <si>
    <t>Nannopterum brasilianum</t>
  </si>
  <si>
    <t>Méliphage de Nouvelle-Hollande</t>
  </si>
  <si>
    <t>Phylidonyris novaehollandiae</t>
  </si>
  <si>
    <t>Sydney Harbour National Park--South Head</t>
  </si>
  <si>
    <t>L2555771</t>
  </si>
  <si>
    <t>S39611256</t>
  </si>
  <si>
    <t>Nicaraguan Grackle</t>
  </si>
  <si>
    <t>Quiscale du Nicaragua</t>
  </si>
  <si>
    <t>Quiscalus nicaraguensis</t>
  </si>
  <si>
    <t>Nicaraguan Seed-Finch</t>
  </si>
  <si>
    <t>Sporophile de Nutting</t>
  </si>
  <si>
    <t>Sporophila nuttingi</t>
  </si>
  <si>
    <t>Entrada Los Chiles (El Parque) hasta Caño Negro</t>
  </si>
  <si>
    <t>L3372882</t>
  </si>
  <si>
    <t>S112726347</t>
  </si>
  <si>
    <t>Troglodyte de Niceforo</t>
  </si>
  <si>
    <t>Thryophilus nicefori</t>
  </si>
  <si>
    <t>Nightingale Wren</t>
  </si>
  <si>
    <t>Troglodyte philomèle</t>
  </si>
  <si>
    <t>Microcerculus philomela</t>
  </si>
  <si>
    <t>Noisy Friarbird</t>
  </si>
  <si>
    <t>Polochion criard</t>
  </si>
  <si>
    <t>Philemon corniculatus</t>
  </si>
  <si>
    <t>Cahills Lookout, Katoomba</t>
  </si>
  <si>
    <t>L2557612</t>
  </si>
  <si>
    <t>S39797061</t>
  </si>
  <si>
    <t>Noisy Miner</t>
  </si>
  <si>
    <t>Méliphage bruyant</t>
  </si>
  <si>
    <t>Manorina melanocephala</t>
  </si>
  <si>
    <t>Northern Barred-Woodcreeper</t>
  </si>
  <si>
    <t>Grimpar vermiculé</t>
  </si>
  <si>
    <t>Dendrocolaptes sanctithomae</t>
  </si>
  <si>
    <t>Northern Bentbill</t>
  </si>
  <si>
    <t>Bec-en-arc cendré</t>
  </si>
  <si>
    <t>Oncostoma cinereigulare</t>
  </si>
  <si>
    <t>Cardinal rouge</t>
  </si>
  <si>
    <t>Cardinalis cardinalis</t>
  </si>
  <si>
    <t>Northern Emerald-Toucanet</t>
  </si>
  <si>
    <t>Toucanet émeraude</t>
  </si>
  <si>
    <t>Aulacorhynchus prasinus</t>
  </si>
  <si>
    <t>Pic flamboyant</t>
  </si>
  <si>
    <t>Colaptes auratus</t>
  </si>
  <si>
    <t>Northern Gannet</t>
  </si>
  <si>
    <t>Fou de Bassan</t>
  </si>
  <si>
    <t>Morus bassanus</t>
  </si>
  <si>
    <t>Northern Harrier</t>
  </si>
  <si>
    <t>Busard des marais</t>
  </si>
  <si>
    <t>Circus hudsonius</t>
  </si>
  <si>
    <t>Chouette épervière</t>
  </si>
  <si>
    <t>Surnia ulula</t>
  </si>
  <si>
    <t>Aéroport international Jean-Lesage</t>
  </si>
  <si>
    <t>L606875</t>
  </si>
  <si>
    <t>S306269227</t>
  </si>
  <si>
    <t>Troglodyte familier</t>
  </si>
  <si>
    <t>Troglodytes aedon</t>
  </si>
  <si>
    <t>S15371462</t>
  </si>
  <si>
    <t>Northern Jacana</t>
  </si>
  <si>
    <t>Jacana du Mexique</t>
  </si>
  <si>
    <t>Jacana spinosa</t>
  </si>
  <si>
    <t>Moqueur polyglotte</t>
  </si>
  <si>
    <t>Mimus polyglottos</t>
  </si>
  <si>
    <t>Northern Parula</t>
  </si>
  <si>
    <t>Paruline à collier</t>
  </si>
  <si>
    <t>Setophaga americana</t>
  </si>
  <si>
    <t>Northern Pintail</t>
  </si>
  <si>
    <t>Canard pilet</t>
  </si>
  <si>
    <t>Anas acuta</t>
  </si>
  <si>
    <t>Northern Plain-Xenops</t>
  </si>
  <si>
    <t>Sittine du Mexique</t>
  </si>
  <si>
    <t>Xenops mexicanus</t>
  </si>
  <si>
    <t>Hirondelle à ailes hérissées</t>
  </si>
  <si>
    <t>Stelgidopteryx serripennis</t>
  </si>
  <si>
    <t>Northern Schiffornis</t>
  </si>
  <si>
    <t>Antriade du Verapaz</t>
  </si>
  <si>
    <t>Schiffornis veraepacis</t>
  </si>
  <si>
    <t>S54821408</t>
  </si>
  <si>
    <t>Northern Screamer</t>
  </si>
  <si>
    <t>Kamichi chavaria</t>
  </si>
  <si>
    <t>Chauna chavaria</t>
  </si>
  <si>
    <t>Anhimidae (Screamers)</t>
  </si>
  <si>
    <t>Northern Scrub-Flycatcher</t>
  </si>
  <si>
    <t>Moucherolle des palétuviers</t>
  </si>
  <si>
    <t>Sublegatus arenarum</t>
  </si>
  <si>
    <t>Northern Shoveler</t>
  </si>
  <si>
    <t>Canard souchet</t>
  </si>
  <si>
    <t>Spatula clypeata</t>
  </si>
  <si>
    <t>Northern Shrike</t>
  </si>
  <si>
    <t>Pie-grièche boréale</t>
  </si>
  <si>
    <t>Lanius borealis</t>
  </si>
  <si>
    <t>Range Road 3063</t>
  </si>
  <si>
    <t>L3948913</t>
  </si>
  <si>
    <t>S25354757</t>
  </si>
  <si>
    <t>Northern Slaty Brushfinch</t>
  </si>
  <si>
    <t>Tohi ardoisé</t>
  </si>
  <si>
    <t>Atlapetes schistaceus</t>
  </si>
  <si>
    <t>Moucherolle de Bonaparte</t>
  </si>
  <si>
    <t>Contopus bogotensis</t>
  </si>
  <si>
    <t>Northern Waterthrush</t>
  </si>
  <si>
    <t>Paruline des ruisseaux</t>
  </si>
  <si>
    <t>Parkesia noveboracensis</t>
  </si>
  <si>
    <t>Northern White-fringed Antwren</t>
  </si>
  <si>
    <t>Grisin intermédiaire</t>
  </si>
  <si>
    <t>Formicivora intermedia</t>
  </si>
  <si>
    <t>Paruline jaune</t>
  </si>
  <si>
    <t>Setophaga aestiva</t>
  </si>
  <si>
    <t>Nuthatch-Vanga</t>
  </si>
  <si>
    <t>Hypositte malgache</t>
  </si>
  <si>
    <t>Hypositta corallirostris</t>
  </si>
  <si>
    <t>Pic de Nuttall</t>
  </si>
  <si>
    <t>Dryobates nuttallii</t>
  </si>
  <si>
    <t>Oak Titmouse</t>
  </si>
  <si>
    <t>Mésange unicolore</t>
  </si>
  <si>
    <t>Baeolophus inornatus</t>
  </si>
  <si>
    <t>Ocellated Antbird</t>
  </si>
  <si>
    <t>Fourmilier ocellé</t>
  </si>
  <si>
    <t>Phaenostictus mcleannani</t>
  </si>
  <si>
    <t>Ocellated Tapaculo</t>
  </si>
  <si>
    <t>Mérulaxe ocellé</t>
  </si>
  <si>
    <t>Acropternis orthonyx</t>
  </si>
  <si>
    <t>Rhinocryptidae (Tapaculos)</t>
  </si>
  <si>
    <t>S54831214</t>
  </si>
  <si>
    <t>Ochraceous Wren</t>
  </si>
  <si>
    <t>Troglodyte ocré</t>
  </si>
  <si>
    <t>Troglodytes ochraceus</t>
  </si>
  <si>
    <t>Ochre-bellied Flycatcher</t>
  </si>
  <si>
    <t>Pipromorphe roussâtre</t>
  </si>
  <si>
    <t>Mionectes oleagineus</t>
  </si>
  <si>
    <t>Ochre-breasted Tanager</t>
  </si>
  <si>
    <t>Habia de Stolzmann</t>
  </si>
  <si>
    <t>Chlorothraupis stolzmanni</t>
  </si>
  <si>
    <t>Ochre-crowned Greenlet</t>
  </si>
  <si>
    <t>Viréon à calotte rousse</t>
  </si>
  <si>
    <t>Tunchiornis ochraceiceps</t>
  </si>
  <si>
    <t>Ochre-lored Flatbill</t>
  </si>
  <si>
    <t>Tyranneau à poitrine jaune</t>
  </si>
  <si>
    <t>Tolmomyias flaviventris</t>
  </si>
  <si>
    <t>Ochre-throated Foliage-gleaner</t>
  </si>
  <si>
    <t>Anabate à gorge fauve</t>
  </si>
  <si>
    <t>Automolus ochrolaemus</t>
  </si>
  <si>
    <t>Oilbird</t>
  </si>
  <si>
    <t>Guacharo des cavernes</t>
  </si>
  <si>
    <t>Steatornis caripensis</t>
  </si>
  <si>
    <t>Steatornithiformes</t>
  </si>
  <si>
    <t>Steatornithidae (Oilbird)</t>
  </si>
  <si>
    <t>Trinidad ASA WNC Oilbird walk</t>
  </si>
  <si>
    <t>L7206135</t>
  </si>
  <si>
    <t>S44462762</t>
  </si>
  <si>
    <t>Olivaceous Piculet</t>
  </si>
  <si>
    <t>Picumne olivâtre</t>
  </si>
  <si>
    <t>Picumnus olivaceus</t>
  </si>
  <si>
    <t>Olivaceous Woodcreeper</t>
  </si>
  <si>
    <t>Grimpar fauvette</t>
  </si>
  <si>
    <t>Sittasomus griseicapillus</t>
  </si>
  <si>
    <t>Olive Bee-eater</t>
  </si>
  <si>
    <t>Guêpier de Madagascar</t>
  </si>
  <si>
    <t>Merops superciliosus</t>
  </si>
  <si>
    <t>Olive Sparrow</t>
  </si>
  <si>
    <t>Tohi olive</t>
  </si>
  <si>
    <t>Arremonops rufivirgatus</t>
  </si>
  <si>
    <t>Siffleur olivâtre</t>
  </si>
  <si>
    <t>Pachycephala olivacea</t>
  </si>
  <si>
    <t>Mt St Leonard</t>
  </si>
  <si>
    <t>L2552533</t>
  </si>
  <si>
    <t>S284219865</t>
  </si>
  <si>
    <t>Olive-backed Euphonia</t>
  </si>
  <si>
    <t>Organiste olive</t>
  </si>
  <si>
    <t>Euphonia gouldi</t>
  </si>
  <si>
    <t>Loriot sagittal</t>
  </si>
  <si>
    <t>Oriolus sagittatus</t>
  </si>
  <si>
    <t>Chiltern I85 Bushland Reserve</t>
  </si>
  <si>
    <t>L23648911</t>
  </si>
  <si>
    <t>S284077440</t>
  </si>
  <si>
    <t>Olive-capped Coua</t>
  </si>
  <si>
    <t>Coua à tête olive</t>
  </si>
  <si>
    <t>Coua olivaceiceps</t>
  </si>
  <si>
    <t>Olive-crowned Yellowthroat</t>
  </si>
  <si>
    <t>Paruline des bambous</t>
  </si>
  <si>
    <t>Geothlypis semiflava</t>
  </si>
  <si>
    <t>Arenal--El Castillo</t>
  </si>
  <si>
    <t>L1156977</t>
  </si>
  <si>
    <t>S112625573</t>
  </si>
  <si>
    <t>Olive-gray Saltator</t>
  </si>
  <si>
    <t>Saltator de Cabanis</t>
  </si>
  <si>
    <t>Saltator olivascens</t>
  </si>
  <si>
    <t>Olive-sided Flycatcher</t>
  </si>
  <si>
    <t>Moucherolle à côtés olive</t>
  </si>
  <si>
    <t>Contopus cooperi</t>
  </si>
  <si>
    <t>Olive-striped Flycatcher</t>
  </si>
  <si>
    <t>Pipromorphe à ventre jaune</t>
  </si>
  <si>
    <t>Mionectes galbinus</t>
  </si>
  <si>
    <t>Olive-throated Parakeet</t>
  </si>
  <si>
    <t>Conure naine</t>
  </si>
  <si>
    <t>Eupsittula nana</t>
  </si>
  <si>
    <t>Omao</t>
  </si>
  <si>
    <t>Solitaire d'Hawaï</t>
  </si>
  <si>
    <t>Myadestes obscurus</t>
  </si>
  <si>
    <t>One-colored Becard</t>
  </si>
  <si>
    <t>Bécarde unicolore</t>
  </si>
  <si>
    <t>Pachyramphus homochrous</t>
  </si>
  <si>
    <t>Río Membrillo</t>
  </si>
  <si>
    <t>L4964434</t>
  </si>
  <si>
    <t>S35716789</t>
  </si>
  <si>
    <t>Organiste à ventre orange</t>
  </si>
  <si>
    <t>Euphonia xanthogaster</t>
  </si>
  <si>
    <t>Orange-billed Nightingale-Thrush</t>
  </si>
  <si>
    <t>Grive à bec orange</t>
  </si>
  <si>
    <t>Catharus aurantiirostris</t>
  </si>
  <si>
    <t>Orange-billed Sparrow</t>
  </si>
  <si>
    <t>Tohi à bec orange</t>
  </si>
  <si>
    <t>Arremon aurantiirostris</t>
  </si>
  <si>
    <t>Orange-breasted Fruiteater</t>
  </si>
  <si>
    <t>Cotinga jucunda</t>
  </si>
  <si>
    <t>Pipreola jucunda</t>
  </si>
  <si>
    <t>Orange-chinned Parakeet</t>
  </si>
  <si>
    <t>Toui à menton d'or</t>
  </si>
  <si>
    <t>Brotogeris jugularis</t>
  </si>
  <si>
    <t>Orange-crowned Oriole</t>
  </si>
  <si>
    <t>Oriole à tête d'or</t>
  </si>
  <si>
    <t>Icterus auricapillus</t>
  </si>
  <si>
    <t>Camino a El Salto</t>
  </si>
  <si>
    <t>L1421765</t>
  </si>
  <si>
    <t>S35694229</t>
  </si>
  <si>
    <t>Orange-crowned Warbler</t>
  </si>
  <si>
    <t>Paruline verdâtre</t>
  </si>
  <si>
    <t>Leiothlypis celata</t>
  </si>
  <si>
    <t>S31839922</t>
  </si>
  <si>
    <t>Cabézon à nuque blanche</t>
  </si>
  <si>
    <t>Capito squamatus</t>
  </si>
  <si>
    <t>Capitonidae (New World Barbets)</t>
  </si>
  <si>
    <t>Orange-fronted Parakeet</t>
  </si>
  <si>
    <t>Conure à front rouge</t>
  </si>
  <si>
    <t>Eupsittula canicularis</t>
  </si>
  <si>
    <t>Calle La Barca</t>
  </si>
  <si>
    <t>L3541917</t>
  </si>
  <si>
    <t>S113019818</t>
  </si>
  <si>
    <t>Orange-throated Longclaw</t>
  </si>
  <si>
    <t>Sentinelle du Cap</t>
  </si>
  <si>
    <t>Macronyx capensis</t>
  </si>
  <si>
    <t>Orange-winged Amazon</t>
  </si>
  <si>
    <t>Amazone aourou</t>
  </si>
  <si>
    <t>Amazona amazonica</t>
  </si>
  <si>
    <t>Orchard Oriole</t>
  </si>
  <si>
    <t>Oriole des vergers</t>
  </si>
  <si>
    <t>Icterus spurius</t>
  </si>
  <si>
    <t>Orinocan Saltator</t>
  </si>
  <si>
    <t>Saltator de l'Orénoque</t>
  </si>
  <si>
    <t>Saltator orenocensis</t>
  </si>
  <si>
    <t>Ornate Flycatcher</t>
  </si>
  <si>
    <t>Moucherolle orné</t>
  </si>
  <si>
    <t>Myiotriccus ornatus</t>
  </si>
  <si>
    <t>Ornate Hawk-Eagle</t>
  </si>
  <si>
    <t>Aigle orné</t>
  </si>
  <si>
    <t>Spizaetus ornatus</t>
  </si>
  <si>
    <t>Osprey</t>
  </si>
  <si>
    <t>Balbuzard pêcheur</t>
  </si>
  <si>
    <t>Pandion haliaetus</t>
  </si>
  <si>
    <t>Pandionidae (Osprey)</t>
  </si>
  <si>
    <t>Ovenbird</t>
  </si>
  <si>
    <t>Paruline couronnée</t>
  </si>
  <si>
    <t>Seiurus aurocapilla</t>
  </si>
  <si>
    <t>Pacific Antwren</t>
  </si>
  <si>
    <t>Myrmidon du Pacifique</t>
  </si>
  <si>
    <t>Myrmotherula pacifica</t>
  </si>
  <si>
    <t>S35777823</t>
  </si>
  <si>
    <t>Canard à sourcils</t>
  </si>
  <si>
    <t>Anas superciliosa</t>
  </si>
  <si>
    <t>Pacific Golden-Plover</t>
  </si>
  <si>
    <t>Pluvier fauve</t>
  </si>
  <si>
    <t>Pluvialis fulva</t>
  </si>
  <si>
    <t>Pacific Gull</t>
  </si>
  <si>
    <t>Goéland austral</t>
  </si>
  <si>
    <t>Larus pacificus</t>
  </si>
  <si>
    <t>Duck Point</t>
  </si>
  <si>
    <t>L2548906</t>
  </si>
  <si>
    <t>S39990147</t>
  </si>
  <si>
    <t>Pacific Heron</t>
  </si>
  <si>
    <t>Héron à tête blanche</t>
  </si>
  <si>
    <t>Ardea pacifica</t>
  </si>
  <si>
    <t>Pacific Hornero</t>
  </si>
  <si>
    <t>Fournier cannelle</t>
  </si>
  <si>
    <t>Furnarius cinnamomeus</t>
  </si>
  <si>
    <t>S54821401</t>
  </si>
  <si>
    <t>Plongeon du Pacifique</t>
  </si>
  <si>
    <t>Gavia pacifica</t>
  </si>
  <si>
    <t>Pacific Screech-Owl</t>
  </si>
  <si>
    <t>Petit-duc de Cooper</t>
  </si>
  <si>
    <t>Megascops cooperi</t>
  </si>
  <si>
    <t>Pacific Wren</t>
  </si>
  <si>
    <t>Troglodyte de Baird</t>
  </si>
  <si>
    <t>Troglodytes pacificus</t>
  </si>
  <si>
    <t>US-CA-Gaviota-3190 Alisal Rd</t>
  </si>
  <si>
    <t>L2395839</t>
  </si>
  <si>
    <t>S15471072</t>
  </si>
  <si>
    <t>Painted Bunting</t>
  </si>
  <si>
    <t>Passerin nonpareil</t>
  </si>
  <si>
    <t>Passerina ciris</t>
  </si>
  <si>
    <t>S35550498</t>
  </si>
  <si>
    <t>Painted Buttonquail</t>
  </si>
  <si>
    <t>Turnix bariolé</t>
  </si>
  <si>
    <t>Turnix varius</t>
  </si>
  <si>
    <t>Méliphage peint</t>
  </si>
  <si>
    <t>Grantiella picta</t>
  </si>
  <si>
    <t>Pale Chanting-Goshawk</t>
  </si>
  <si>
    <t>Autour chanteur</t>
  </si>
  <si>
    <t>Melierax canorus</t>
  </si>
  <si>
    <t>Gobemouche pâle</t>
  </si>
  <si>
    <t>Agricola pallidus</t>
  </si>
  <si>
    <t>Pale-bellied Hermit</t>
  </si>
  <si>
    <t>Ermite anthophile</t>
  </si>
  <si>
    <t>Phaethornis anthophilus</t>
  </si>
  <si>
    <t>Pale-bellied Tapaculo</t>
  </si>
  <si>
    <t>Mérulaxe du matorral</t>
  </si>
  <si>
    <t>Scytalopus griseicollis</t>
  </si>
  <si>
    <t>Pale-billed Woodpecker</t>
  </si>
  <si>
    <t>Pic à bec clair</t>
  </si>
  <si>
    <t>Campephilus guatemalensis</t>
  </si>
  <si>
    <t>Pale-breasted Spinetail</t>
  </si>
  <si>
    <t>Synallaxe albane</t>
  </si>
  <si>
    <t>Synallaxis albescens</t>
  </si>
  <si>
    <t>Pale-breasted Thrush</t>
  </si>
  <si>
    <t>Merle leucomèle</t>
  </si>
  <si>
    <t>Turdus leucomelas</t>
  </si>
  <si>
    <t>Pale-edged Flycatcher</t>
  </si>
  <si>
    <t>Tyran givré</t>
  </si>
  <si>
    <t>Myiarchus cephalotes</t>
  </si>
  <si>
    <t>Pale-eyed Pygmy-Tyrant</t>
  </si>
  <si>
    <t>Microtyran coiffé</t>
  </si>
  <si>
    <t>Atalotriccus pilaris</t>
  </si>
  <si>
    <t>Pozo Azul</t>
  </si>
  <si>
    <t>L3235744</t>
  </si>
  <si>
    <t>S223132230</t>
  </si>
  <si>
    <t>Araçari à bec clair</t>
  </si>
  <si>
    <t>Pteroglossus erythropygius</t>
  </si>
  <si>
    <t>Pale-naped Brushfinch</t>
  </si>
  <si>
    <t>Tohi à nuque claire</t>
  </si>
  <si>
    <t>Atlapetes pallidinucha</t>
  </si>
  <si>
    <t>Pale-vented Pigeon</t>
  </si>
  <si>
    <t>Pigeon rousset</t>
  </si>
  <si>
    <t>Patagioenas cayennensis</t>
  </si>
  <si>
    <t>Pale-winged Starling</t>
  </si>
  <si>
    <t>Rufipenne nabouroup</t>
  </si>
  <si>
    <t>Onychognathus nabouroup</t>
  </si>
  <si>
    <t>Palila</t>
  </si>
  <si>
    <t>Psittirostre palila</t>
  </si>
  <si>
    <t>Loxioides bailleui</t>
  </si>
  <si>
    <t>Pallid Cuckoo</t>
  </si>
  <si>
    <t>Coucou pâle</t>
  </si>
  <si>
    <t>Heteroscenes pallidus</t>
  </si>
  <si>
    <t>Wilsons Promontory National Park--Lilly Pilly Gully</t>
  </si>
  <si>
    <t>L1121728</t>
  </si>
  <si>
    <t>S40006084</t>
  </si>
  <si>
    <t>Pallid Dove</t>
  </si>
  <si>
    <t>Colombe pâle</t>
  </si>
  <si>
    <t>Leptotila pallida</t>
  </si>
  <si>
    <t>S54835194</t>
  </si>
  <si>
    <t>Palm Tanager</t>
  </si>
  <si>
    <t>Tangara des palmiers</t>
  </si>
  <si>
    <t>Thraupis palmarum</t>
  </si>
  <si>
    <t>Paruline à couronne rousse</t>
  </si>
  <si>
    <t>Setophaga palmarum</t>
  </si>
  <si>
    <t>Panama Flycatcher</t>
  </si>
  <si>
    <t>Tyran du Panama</t>
  </si>
  <si>
    <t>Myiarchus panamensis</t>
  </si>
  <si>
    <t>Paramo Seedeater</t>
  </si>
  <si>
    <t>Cataménie du paramo</t>
  </si>
  <si>
    <t>Catamenia homochroa</t>
  </si>
  <si>
    <t>Paramo Tapaculo</t>
  </si>
  <si>
    <t>Mérulaxe du paramo</t>
  </si>
  <si>
    <t>Scytalopus opacus</t>
  </si>
  <si>
    <t>Labbe parasite</t>
  </si>
  <si>
    <t>Stercorarius parasiticus</t>
  </si>
  <si>
    <t>Stercorariidae (Skuas and Jaegers)</t>
  </si>
  <si>
    <t>Géopélie placide</t>
  </si>
  <si>
    <t>Geopelia placida</t>
  </si>
  <si>
    <t>Pearl Kite</t>
  </si>
  <si>
    <t>Élanion perle</t>
  </si>
  <si>
    <t>Gampsonyx swainsonii</t>
  </si>
  <si>
    <t>S35717094</t>
  </si>
  <si>
    <t>Chevêchette perlée</t>
  </si>
  <si>
    <t>Glaucidium perlatum</t>
  </si>
  <si>
    <t>S20697126</t>
  </si>
  <si>
    <t>Pearled Treerunner</t>
  </si>
  <si>
    <t>Anabasitte perlée</t>
  </si>
  <si>
    <t>Margarornis squamiger</t>
  </si>
  <si>
    <t>Pearly-vented Tody-Tyrant</t>
  </si>
  <si>
    <t>Todirostre à ventre perle</t>
  </si>
  <si>
    <t>Hemitriccus margaritaceiventer</t>
  </si>
  <si>
    <t>S224113903</t>
  </si>
  <si>
    <t>Pectoral Sandpiper</t>
  </si>
  <si>
    <t>Bécasseau à poitrine cendrée</t>
  </si>
  <si>
    <t>Calidris melanotos</t>
  </si>
  <si>
    <t>S25216150</t>
  </si>
  <si>
    <t>Pelagic Cormorant</t>
  </si>
  <si>
    <t>Cormoran pélagique</t>
  </si>
  <si>
    <t>Urile pelagicus</t>
  </si>
  <si>
    <t>Peregrine Falcon</t>
  </si>
  <si>
    <t>Faucon pèlerin</t>
  </si>
  <si>
    <t>Falco peregrinus</t>
  </si>
  <si>
    <t>Parc du Canal-de-Lachine</t>
  </si>
  <si>
    <t>L1014373</t>
  </si>
  <si>
    <t>S29098175</t>
  </si>
  <si>
    <t>Pheasant Cuckoo</t>
  </si>
  <si>
    <t>Géocoucou faisan</t>
  </si>
  <si>
    <t>Dromococcyx phasianellus</t>
  </si>
  <si>
    <t>Philadelphia Vireo</t>
  </si>
  <si>
    <t>Viréo de Philadelphie</t>
  </si>
  <si>
    <t>Vireo philadelphicus</t>
  </si>
  <si>
    <t>Pied Avocet</t>
  </si>
  <si>
    <t>Avocette élégante</t>
  </si>
  <si>
    <t>Recurvirostra avosetta</t>
  </si>
  <si>
    <t>Pied Barbet</t>
  </si>
  <si>
    <t>Barbican pie</t>
  </si>
  <si>
    <t>Tricholaema leucomelas</t>
  </si>
  <si>
    <t>Pied Butcherbird</t>
  </si>
  <si>
    <t>Cassican à gorge noire</t>
  </si>
  <si>
    <t>Cracticus nigrogularis</t>
  </si>
  <si>
    <t>Hattah-Kulkyne National Park--Old Calder Hwy</t>
  </si>
  <si>
    <t>L2555670</t>
  </si>
  <si>
    <t>S283586036</t>
  </si>
  <si>
    <t>Cormoran varié</t>
  </si>
  <si>
    <t>Phalacrocorax varius</t>
  </si>
  <si>
    <t>Corbeau pie</t>
  </si>
  <si>
    <t>Corvus albus</t>
  </si>
  <si>
    <t>Pied Currawong</t>
  </si>
  <si>
    <t>Grand Réveilleur</t>
  </si>
  <si>
    <t>Strepera graculina</t>
  </si>
  <si>
    <t>Pied Kingfisher</t>
  </si>
  <si>
    <t>Martin-pêcheur pie</t>
  </si>
  <si>
    <t>Ceryle rudis</t>
  </si>
  <si>
    <t>Pied Oystercatcher</t>
  </si>
  <si>
    <t>Huîtrier à long bec</t>
  </si>
  <si>
    <t>Haematopus longirostris</t>
  </si>
  <si>
    <t>Royal National Park--Cabbage Tree Basin</t>
  </si>
  <si>
    <t>L2556212</t>
  </si>
  <si>
    <t>S39855631</t>
  </si>
  <si>
    <t>Pied Puffbird</t>
  </si>
  <si>
    <t>Tamatia pie</t>
  </si>
  <si>
    <t>Notharchus tectus</t>
  </si>
  <si>
    <t>Pied Stilt</t>
  </si>
  <si>
    <t>Échasse d'Australie</t>
  </si>
  <si>
    <t>Himantopus leucocephalus</t>
  </si>
  <si>
    <t>Sandy Cove Conservation Reserve, Port Fairy</t>
  </si>
  <si>
    <t>L2986930</t>
  </si>
  <si>
    <t>S40091480</t>
  </si>
  <si>
    <t>Pied Water-Tyrant</t>
  </si>
  <si>
    <t>Moucherolle pie</t>
  </si>
  <si>
    <t>Fluvicola pica</t>
  </si>
  <si>
    <t>Pied-billed Grebe</t>
  </si>
  <si>
    <t>Grèbe à bec bigarré</t>
  </si>
  <si>
    <t>Podilymbus podiceps</t>
  </si>
  <si>
    <t>Pigeon Guillemot</t>
  </si>
  <si>
    <t>Guillemot colombin</t>
  </si>
  <si>
    <t>Cepphus columba</t>
  </si>
  <si>
    <t>Pileated Finch</t>
  </si>
  <si>
    <t>Araguira gris</t>
  </si>
  <si>
    <t>Coryphospingus pileatus</t>
  </si>
  <si>
    <t>Pileated Woodpecker</t>
  </si>
  <si>
    <t>Grand Pic</t>
  </si>
  <si>
    <t>Dryocopus pileatus</t>
  </si>
  <si>
    <t>S15364240</t>
  </si>
  <si>
    <t>Pycnoptile compagnon</t>
  </si>
  <si>
    <t>Pycnoptilus floccosus</t>
  </si>
  <si>
    <t>Pin-tailed Whydah</t>
  </si>
  <si>
    <t>Veuve dominicaine</t>
  </si>
  <si>
    <t>Vidua macroura</t>
  </si>
  <si>
    <t>Viduidae (Whydahs and Indigobirds)</t>
  </si>
  <si>
    <t>Pine Grosbeak</t>
  </si>
  <si>
    <t>Durbec des sapins</t>
  </si>
  <si>
    <t>Pinicola enucleator</t>
  </si>
  <si>
    <t>S15665814</t>
  </si>
  <si>
    <t>Pine Siskin</t>
  </si>
  <si>
    <t>Tarin des pins</t>
  </si>
  <si>
    <t>Spinus pinus</t>
  </si>
  <si>
    <t>Presque Isle SP (IBA)</t>
  </si>
  <si>
    <t>US-PA</t>
  </si>
  <si>
    <t>L129756</t>
  </si>
  <si>
    <t>S23383095</t>
  </si>
  <si>
    <t>Pine Warbler</t>
  </si>
  <si>
    <t>Paruline des pins</t>
  </si>
  <si>
    <t>Setophaga pinus</t>
  </si>
  <si>
    <t>Audubon Corkscrew Swamp Sanctuary</t>
  </si>
  <si>
    <t>L127407</t>
  </si>
  <si>
    <t>S25844050</t>
  </si>
  <si>
    <t>Pink Robin</t>
  </si>
  <si>
    <t>Miro incarnat</t>
  </si>
  <si>
    <t>Petroica rodinogaster</t>
  </si>
  <si>
    <t>Pink-billed Cnemoscopus</t>
  </si>
  <si>
    <t>Tangara capucin</t>
  </si>
  <si>
    <t>Cnemoscopus rubrirostris</t>
  </si>
  <si>
    <t>Pink-eared Duck</t>
  </si>
  <si>
    <t>Malacorhynque à oreilles roses</t>
  </si>
  <si>
    <t>Malacorhynchus membranaceus</t>
  </si>
  <si>
    <t>Melton Botanic Gardens</t>
  </si>
  <si>
    <t>L2551217</t>
  </si>
  <si>
    <t>S40163356</t>
  </si>
  <si>
    <t>Puffin à pieds roses</t>
  </si>
  <si>
    <t>Ardenna creatopus</t>
  </si>
  <si>
    <t>Piping Plover</t>
  </si>
  <si>
    <t>Pluvier siffleur</t>
  </si>
  <si>
    <t>Charadrius melodus</t>
  </si>
  <si>
    <t>S29396199</t>
  </si>
  <si>
    <t>Piratic Flycatcher</t>
  </si>
  <si>
    <t>Tyran pirate</t>
  </si>
  <si>
    <t>Legatus leucophaius</t>
  </si>
  <si>
    <t>Pitta-like Ground-Roller</t>
  </si>
  <si>
    <t>Brachyptérolle pittoïde</t>
  </si>
  <si>
    <t>Atelornis pittoides</t>
  </si>
  <si>
    <t>Plain Antvireo</t>
  </si>
  <si>
    <t>Batara gorgeret</t>
  </si>
  <si>
    <t>Dysithamnus mentalis</t>
  </si>
  <si>
    <t>Plain Chachalaca</t>
  </si>
  <si>
    <t>Ortalide chacamel</t>
  </si>
  <si>
    <t>Ortalis vetula</t>
  </si>
  <si>
    <t>Plain-breasted Ground Dove</t>
  </si>
  <si>
    <t>Colombe pygmée</t>
  </si>
  <si>
    <t>Columbina minuta</t>
  </si>
  <si>
    <t>Plain-brown Woodcreeper</t>
  </si>
  <si>
    <t>Grimpar enfumé</t>
  </si>
  <si>
    <t>Dendrocincla fuliginosa</t>
  </si>
  <si>
    <t>Gamboa--Sendero La Chunga</t>
  </si>
  <si>
    <t>L2586493</t>
  </si>
  <si>
    <t>S32596526</t>
  </si>
  <si>
    <t>Plain-capped Ground-Tyrant</t>
  </si>
  <si>
    <t>Dormilon à grands sourcils</t>
  </si>
  <si>
    <t>Muscisaxicola alpinus</t>
  </si>
  <si>
    <t>Plain-colored Seedeater</t>
  </si>
  <si>
    <t>Cataménie terne</t>
  </si>
  <si>
    <t>Catamenia inornata</t>
  </si>
  <si>
    <t>Plain-colored Tanager</t>
  </si>
  <si>
    <t>Calliste gris</t>
  </si>
  <si>
    <t>Tangara inornata</t>
  </si>
  <si>
    <t>Plain-tailed Wren</t>
  </si>
  <si>
    <t>Troglodyte maculé</t>
  </si>
  <si>
    <t>Pheugopedius euophrys</t>
  </si>
  <si>
    <t>Ecoruta (Nono-Tandayapa Road above 2500 m)</t>
  </si>
  <si>
    <t>L2735076</t>
  </si>
  <si>
    <t>S54585490</t>
  </si>
  <si>
    <t>Pédionome errant</t>
  </si>
  <si>
    <t>Pedionomus torquatus</t>
  </si>
  <si>
    <t>Pedionomidae (Plains-wanderer)</t>
  </si>
  <si>
    <t>Plate-billed Mountain-Toucan</t>
  </si>
  <si>
    <t>Toucan montagnard</t>
  </si>
  <si>
    <t>Andigena laminirostris</t>
  </si>
  <si>
    <t>Plumbeous Kite</t>
  </si>
  <si>
    <t>Milan bleuâtre</t>
  </si>
  <si>
    <t>Ictinia plumbea</t>
  </si>
  <si>
    <t>Plumbeous Pigeon</t>
  </si>
  <si>
    <t>Pigeon plombé</t>
  </si>
  <si>
    <t>Patagioenas plumbea</t>
  </si>
  <si>
    <t>Haplospize gris-de-plomb</t>
  </si>
  <si>
    <t>Geospizopsis unicolor</t>
  </si>
  <si>
    <t>Pollen's Vanga</t>
  </si>
  <si>
    <t>Vanga de Pollen</t>
  </si>
  <si>
    <t>Xenopirostris polleni</t>
  </si>
  <si>
    <t>Ranomafana NP--Varibolo</t>
  </si>
  <si>
    <t>L6342105</t>
  </si>
  <si>
    <t>S202373980</t>
  </si>
  <si>
    <t>Ninoxe puissante</t>
  </si>
  <si>
    <t>Ninox strenua</t>
  </si>
  <si>
    <t>S285898510</t>
  </si>
  <si>
    <t>Powerful Woodpecker</t>
  </si>
  <si>
    <t>Pic puissant</t>
  </si>
  <si>
    <t>Campephilus pollens</t>
  </si>
  <si>
    <t>Prairie Warbler</t>
  </si>
  <si>
    <t>Paruline des prés</t>
  </si>
  <si>
    <t>Setophaga discolor</t>
  </si>
  <si>
    <t>Point Pelee NP--Woodland Nature Trail</t>
  </si>
  <si>
    <t>L910342</t>
  </si>
  <si>
    <t>S55971849</t>
  </si>
  <si>
    <t>Prong-billed Barbet</t>
  </si>
  <si>
    <t>Cabézon de Frantzius</t>
  </si>
  <si>
    <t>Semnornis frantzii</t>
  </si>
  <si>
    <t>Semnornithidae (Toucan-Barbets)</t>
  </si>
  <si>
    <t>Prothonotary Warbler</t>
  </si>
  <si>
    <t>Paruline orangée</t>
  </si>
  <si>
    <t>Protonotaria citrea</t>
  </si>
  <si>
    <t>Roselin pourpré</t>
  </si>
  <si>
    <t>Haemorhous purpureus</t>
  </si>
  <si>
    <t>S15665791</t>
  </si>
  <si>
    <t>Purple Gallinule</t>
  </si>
  <si>
    <t>Talève violacée</t>
  </si>
  <si>
    <t>Porphyrio martinica</t>
  </si>
  <si>
    <t>Purple Heron</t>
  </si>
  <si>
    <t>Héron pourpré</t>
  </si>
  <si>
    <t>Ardea purpurea</t>
  </si>
  <si>
    <t>Purple Honeycreeper</t>
  </si>
  <si>
    <t>Guit-guit céruléen</t>
  </si>
  <si>
    <t>Cyanerpes caeruleus</t>
  </si>
  <si>
    <t>Purple Martin</t>
  </si>
  <si>
    <t>Hirondelle noire</t>
  </si>
  <si>
    <t>Progne subis</t>
  </si>
  <si>
    <t>S18179692</t>
  </si>
  <si>
    <t>Mérion violacé</t>
  </si>
  <si>
    <t>Malurus assimilis</t>
  </si>
  <si>
    <t>Maluridae (Fairywrens)</t>
  </si>
  <si>
    <t>Purple-backed Thornbill</t>
  </si>
  <si>
    <t>Colibri à petit bec</t>
  </si>
  <si>
    <t>Ramphomicron microrhynchum</t>
  </si>
  <si>
    <t>Souimanga bifascié</t>
  </si>
  <si>
    <t>Cinnyris bifasciatus</t>
  </si>
  <si>
    <t>Purple-bibbed Whitetip</t>
  </si>
  <si>
    <t>Colibri de Benjamin</t>
  </si>
  <si>
    <t>Urosticte benjamini</t>
  </si>
  <si>
    <t>Purple-chested Hummingbird</t>
  </si>
  <si>
    <t>Ariane de Rosenberg</t>
  </si>
  <si>
    <t>Polyerata rosenbergi</t>
  </si>
  <si>
    <t>Touraco à huppe splendide</t>
  </si>
  <si>
    <t>Gallirex porphyreolophus</t>
  </si>
  <si>
    <t>Purple-crowned Fairy</t>
  </si>
  <si>
    <t>Colibri féérique</t>
  </si>
  <si>
    <t>Heliothryx barroti</t>
  </si>
  <si>
    <t>Purple-throated Fruitcrow</t>
  </si>
  <si>
    <t>Coracine noire</t>
  </si>
  <si>
    <t>Querula purpurata</t>
  </si>
  <si>
    <t>Purple-throated Mountain-gem</t>
  </si>
  <si>
    <t>Colibri à gorge pourprée</t>
  </si>
  <si>
    <t>Lampornis calolaemus</t>
  </si>
  <si>
    <t>Purple-throated Woodstar</t>
  </si>
  <si>
    <t>Colibri de Mitchell</t>
  </si>
  <si>
    <t>Philodice mitchellii</t>
  </si>
  <si>
    <t>Pygmy Falcon</t>
  </si>
  <si>
    <t>Fauconnet d'Afrique</t>
  </si>
  <si>
    <t>Polihierax semitorquatus</t>
  </si>
  <si>
    <t>Guêpier arc-en-ciel</t>
  </si>
  <si>
    <t>Merops ornatus</t>
  </si>
  <si>
    <t>Rainbow Lorikeet</t>
  </si>
  <si>
    <t>Loriquet arc-en-ciel</t>
  </si>
  <si>
    <t>Trichoglossus moluccanus</t>
  </si>
  <si>
    <t>Cisticole grinçante</t>
  </si>
  <si>
    <t>Cisticola chiniana</t>
  </si>
  <si>
    <t>Razorbill</t>
  </si>
  <si>
    <t>Petit Pingouin</t>
  </si>
  <si>
    <t>Alca torda</t>
  </si>
  <si>
    <t>Red Fody</t>
  </si>
  <si>
    <t>Foudi rouge</t>
  </si>
  <si>
    <t>Foudia madagascariensis</t>
  </si>
  <si>
    <t>Red Knot</t>
  </si>
  <si>
    <t>Bécasseau maubèche</t>
  </si>
  <si>
    <t>Calidris canutus</t>
  </si>
  <si>
    <t>Red Wattlebird</t>
  </si>
  <si>
    <t>Méliphage barbe-rouge</t>
  </si>
  <si>
    <t>Anthochaera carunculata</t>
  </si>
  <si>
    <t>Red-and-yellow Barbet</t>
  </si>
  <si>
    <t>Barbican à tête rouge</t>
  </si>
  <si>
    <t>Trachyphonus erythrocephalus</t>
  </si>
  <si>
    <t>Martin-chasseur à dos de feu</t>
  </si>
  <si>
    <t>Todiramphus pyrrhopygius</t>
  </si>
  <si>
    <t>Kanyaka Waterhole/Death Rock</t>
  </si>
  <si>
    <t>L2536882</t>
  </si>
  <si>
    <t>S282662207</t>
  </si>
  <si>
    <t>Pic à ventre roux</t>
  </si>
  <si>
    <t>Melanerpes carolinus</t>
  </si>
  <si>
    <t>Red-billed Buffalo-Weaver</t>
  </si>
  <si>
    <t>Alecto à bec rouge</t>
  </si>
  <si>
    <t>Bubalornis niger</t>
  </si>
  <si>
    <t>Red-billed Duck</t>
  </si>
  <si>
    <t>Canard à bec rouge</t>
  </si>
  <si>
    <t>Anas erythrorhyncha</t>
  </si>
  <si>
    <t>Red-billed Emerald</t>
  </si>
  <si>
    <t>Émeraude de Gibson</t>
  </si>
  <si>
    <t>Chlorostilbon gibsoni</t>
  </si>
  <si>
    <t>Red-billed Leiothrix</t>
  </si>
  <si>
    <t>Léiothrix jaune</t>
  </si>
  <si>
    <t>Leiothrix lutea</t>
  </si>
  <si>
    <t>S49625136</t>
  </si>
  <si>
    <t>Piqueboeuf à bec rouge</t>
  </si>
  <si>
    <t>Buphagus erythroryncha</t>
  </si>
  <si>
    <t>Buphagidae (Oxpeckers)</t>
  </si>
  <si>
    <t>Red-billed Parrot</t>
  </si>
  <si>
    <t>Pione à bec rouge</t>
  </si>
  <si>
    <t>Pionus sordidus</t>
  </si>
  <si>
    <t>Red-billed Pigeon</t>
  </si>
  <si>
    <t>Pigeon à bec rouge</t>
  </si>
  <si>
    <t>Patagioenas flavirostris</t>
  </si>
  <si>
    <t>Travailleur à bec rouge</t>
  </si>
  <si>
    <t>Quelea quelea</t>
  </si>
  <si>
    <t>Red-billed Scythebill</t>
  </si>
  <si>
    <t>Grimpar à bec rouge</t>
  </si>
  <si>
    <t>Campylorhamphus trochilirostris</t>
  </si>
  <si>
    <t>Red-billed Spurfowl</t>
  </si>
  <si>
    <t>Francolin à bec rouge</t>
  </si>
  <si>
    <t>Pternistis adspersus</t>
  </si>
  <si>
    <t>Red-billed Tropicbird</t>
  </si>
  <si>
    <t>Phaéton à bec rouge</t>
  </si>
  <si>
    <t>Phaethon aethereus</t>
  </si>
  <si>
    <t>Phaethontiformes</t>
  </si>
  <si>
    <t>Phaethontidae (Tropicbirds)</t>
  </si>
  <si>
    <t>Red-breasted Coua</t>
  </si>
  <si>
    <t>Coua de Serrès</t>
  </si>
  <si>
    <t>Coua serriana</t>
  </si>
  <si>
    <t>Red-breasted Meadowlark</t>
  </si>
  <si>
    <t>Sturnelle militaire</t>
  </si>
  <si>
    <t>Leistes militaris</t>
  </si>
  <si>
    <t>Red-breasted Merganser</t>
  </si>
  <si>
    <t>Harle huppé</t>
  </si>
  <si>
    <t>Mergus serrator</t>
  </si>
  <si>
    <t>Red-breasted Nuthatch</t>
  </si>
  <si>
    <t>Sittelle à poitrine rousse</t>
  </si>
  <si>
    <t>Sitta canadensis</t>
  </si>
  <si>
    <t>Pic à poitrine rouge</t>
  </si>
  <si>
    <t>Sphyrapicus ruber</t>
  </si>
  <si>
    <t>Red-browed Firetail</t>
  </si>
  <si>
    <t>Diamant à cinq couleurs</t>
  </si>
  <si>
    <t>Neochmia temporalis</t>
  </si>
  <si>
    <t>Red-capped Lark</t>
  </si>
  <si>
    <t>Alouette cendrille</t>
  </si>
  <si>
    <t>Calandrella cinerea</t>
  </si>
  <si>
    <t>Red-capped Manakin</t>
  </si>
  <si>
    <t>Manakin à cuisses jaunes</t>
  </si>
  <si>
    <t>Ceratopipra mentalis</t>
  </si>
  <si>
    <t>Red-capped Plover</t>
  </si>
  <si>
    <t>Pluvier à tête rousse</t>
  </si>
  <si>
    <t>Anarhynchus ruficapillus</t>
  </si>
  <si>
    <t>Miro à front rouge</t>
  </si>
  <si>
    <t>Petroica goodenovii</t>
  </si>
  <si>
    <t>Red-capped Robin-Chat</t>
  </si>
  <si>
    <t>Cossyphe à calotte rousse</t>
  </si>
  <si>
    <t>Cossypha natalensis</t>
  </si>
  <si>
    <t>S20565154</t>
  </si>
  <si>
    <t>Cordonbleu à joues rouges</t>
  </si>
  <si>
    <t>Uraeginthus bengalus</t>
  </si>
  <si>
    <t>Red-collared Widowbird</t>
  </si>
  <si>
    <t>Euplecte veuve-noire</t>
  </si>
  <si>
    <t>Euplectes ardens</t>
  </si>
  <si>
    <t>Red-crested Bustard</t>
  </si>
  <si>
    <t>Outarde houppette</t>
  </si>
  <si>
    <t>Lophotis ruficrista</t>
  </si>
  <si>
    <t>Red-crested Cardinal</t>
  </si>
  <si>
    <t>Paroare huppé</t>
  </si>
  <si>
    <t>Paroaria coronata</t>
  </si>
  <si>
    <t>Kealia Pond NWR</t>
  </si>
  <si>
    <t>L416929</t>
  </si>
  <si>
    <t>S49709656</t>
  </si>
  <si>
    <t>Red-crested Cotinga</t>
  </si>
  <si>
    <t>Cotinga à huppe rouge</t>
  </si>
  <si>
    <t>Ampelion rubrocristatus</t>
  </si>
  <si>
    <t>Red-crowned Ant-Tanager</t>
  </si>
  <si>
    <t>Habia à couronne rouge</t>
  </si>
  <si>
    <t>Habia rubica</t>
  </si>
  <si>
    <t>Red-crowned Woodpecker</t>
  </si>
  <si>
    <t>Pic à couronne rouge</t>
  </si>
  <si>
    <t>Melanerpes rubricapillus</t>
  </si>
  <si>
    <t>Red-eyed Dove</t>
  </si>
  <si>
    <t>Tourterelle à collier</t>
  </si>
  <si>
    <t>Streptopelia semitorquata</t>
  </si>
  <si>
    <t>Zambezi River near Victoria Falls (Zimbabwe side)</t>
  </si>
  <si>
    <t>ZW-MN</t>
  </si>
  <si>
    <t>L1038161</t>
  </si>
  <si>
    <t>S127226107</t>
  </si>
  <si>
    <t>Red-eyed Vireo</t>
  </si>
  <si>
    <t>Viréo aux yeux rouges</t>
  </si>
  <si>
    <t>Vireo olivaceus</t>
  </si>
  <si>
    <t>Red-faced Spinetail</t>
  </si>
  <si>
    <t>Synallaxe à face rouge</t>
  </si>
  <si>
    <t>Cranioleuca erythrops</t>
  </si>
  <si>
    <t>Red-footed Booby</t>
  </si>
  <si>
    <t>Fou à pieds rouges</t>
  </si>
  <si>
    <t>Sula sula</t>
  </si>
  <si>
    <t>Red-fronted Coua</t>
  </si>
  <si>
    <t>Coua de Reynaud</t>
  </si>
  <si>
    <t>Coua reynaudii</t>
  </si>
  <si>
    <t>Red-headed Barbet</t>
  </si>
  <si>
    <t>Cabézon à tête rouge</t>
  </si>
  <si>
    <t>Eubucco bourcierii</t>
  </si>
  <si>
    <t>Amadine à tête rouge</t>
  </si>
  <si>
    <t>Amadina erythrocephala</t>
  </si>
  <si>
    <t>Anaplecte écarlate</t>
  </si>
  <si>
    <t>Anaplectes rubriceps</t>
  </si>
  <si>
    <t>Pic à tête rouge</t>
  </si>
  <si>
    <t>Melanerpes erythrocephalus</t>
  </si>
  <si>
    <t>Foulque à crête</t>
  </si>
  <si>
    <t>Fulica cristata</t>
  </si>
  <si>
    <t>Red-legged Honeycreeper</t>
  </si>
  <si>
    <t>Guit-guit saï</t>
  </si>
  <si>
    <t>Cyanerpes cyaneus</t>
  </si>
  <si>
    <t>Red-lored Amazon</t>
  </si>
  <si>
    <t>Amazone diadème [autumnalis ou salvini]</t>
  </si>
  <si>
    <t>Amazona autumnalis</t>
  </si>
  <si>
    <t>Red-necked Avocet</t>
  </si>
  <si>
    <t>Avocette d'Australie</t>
  </si>
  <si>
    <t>Recurvirostra novaehollandiae</t>
  </si>
  <si>
    <t>Red-necked Falcon</t>
  </si>
  <si>
    <t>Faucon chicquera</t>
  </si>
  <si>
    <t>Falco chicquera</t>
  </si>
  <si>
    <t>Grèbe jougris</t>
  </si>
  <si>
    <t>Podiceps grisegena</t>
  </si>
  <si>
    <t>S18152280</t>
  </si>
  <si>
    <t>Phalarope à bec étroit</t>
  </si>
  <si>
    <t>Phalaropus lobatus</t>
  </si>
  <si>
    <t>S15428897</t>
  </si>
  <si>
    <t>Red-necked Spurfowl</t>
  </si>
  <si>
    <t>Francolin à gorge rouge</t>
  </si>
  <si>
    <t>Pternistis afer</t>
  </si>
  <si>
    <t>Red-necked Stint</t>
  </si>
  <si>
    <t>Bécasseau à col roux</t>
  </si>
  <si>
    <t>Calidris ruficollis</t>
  </si>
  <si>
    <t>Red-rumped Parrot</t>
  </si>
  <si>
    <t>Perruche à croupion rouge</t>
  </si>
  <si>
    <t>Psephotus haematonotus</t>
  </si>
  <si>
    <t>Red-rumped Woodpecker</t>
  </si>
  <si>
    <t>Pic à croupion rouge</t>
  </si>
  <si>
    <t>Veniliornis kirkii</t>
  </si>
  <si>
    <t>Red-shouldered Hawk</t>
  </si>
  <si>
    <t>Buse à épaulettes</t>
  </si>
  <si>
    <t>Buteo lineatus</t>
  </si>
  <si>
    <t>Red-shouldered Vanga</t>
  </si>
  <si>
    <t>Calicalic à épaulettes</t>
  </si>
  <si>
    <t>Calicalicus rufocarpalis</t>
  </si>
  <si>
    <t>Route Sans Nom, Atsimo-Andrefana, MG (-23,527, 43,759)</t>
  </si>
  <si>
    <t>L38019029</t>
  </si>
  <si>
    <t>S202475933</t>
  </si>
  <si>
    <t>Red-tailed Hawk</t>
  </si>
  <si>
    <t>Buse à queue rousse</t>
  </si>
  <si>
    <t>Buteo jamaicensis</t>
  </si>
  <si>
    <t>Red-tailed Tropicbird</t>
  </si>
  <si>
    <t>Phaéton à brins rouges</t>
  </si>
  <si>
    <t>Phaethon rubricauda</t>
  </si>
  <si>
    <t>S202519485</t>
  </si>
  <si>
    <t>Red-tailed Vanga</t>
  </si>
  <si>
    <t>Calicalic malgache</t>
  </si>
  <si>
    <t>Calicalicus madagascariensis</t>
  </si>
  <si>
    <t>Red-throated Ant-Tanager</t>
  </si>
  <si>
    <t>Habia à gorge rouge</t>
  </si>
  <si>
    <t>Driophlox fuscicauda</t>
  </si>
  <si>
    <t>Red-throated Caracara</t>
  </si>
  <si>
    <t>Caracara à gorge rouge</t>
  </si>
  <si>
    <t>Ibycter americanus</t>
  </si>
  <si>
    <t>S35759813</t>
  </si>
  <si>
    <t>Red-throated Loon</t>
  </si>
  <si>
    <t>Plongeon catmarin</t>
  </si>
  <si>
    <t>Gavia stellata</t>
  </si>
  <si>
    <t>Red-throated Wryneck</t>
  </si>
  <si>
    <t>Torcol à gorge rousse</t>
  </si>
  <si>
    <t>Jynx ruficollis</t>
  </si>
  <si>
    <t>Red-winged Blackbird</t>
  </si>
  <si>
    <t>Carouge à épaulettes</t>
  </si>
  <si>
    <t>Agelaius phoeniceus</t>
  </si>
  <si>
    <t>Rufipenne morio</t>
  </si>
  <si>
    <t>Onychognathus morio</t>
  </si>
  <si>
    <t>Reddish Egret</t>
  </si>
  <si>
    <t>Aigrette roussâtre</t>
  </si>
  <si>
    <t>Egretta rufescens</t>
  </si>
  <si>
    <t>Redhead</t>
  </si>
  <si>
    <t>Fuligule à tête rouge</t>
  </si>
  <si>
    <t>Aythya americana</t>
  </si>
  <si>
    <t>Sizerin flammé</t>
  </si>
  <si>
    <t>Acanthis flammea</t>
  </si>
  <si>
    <t>S15666107</t>
  </si>
  <si>
    <t>Séricorne rougegorge</t>
  </si>
  <si>
    <t>Pyrrholaemus brunneus</t>
  </si>
  <si>
    <t>Reed Cormorant</t>
  </si>
  <si>
    <t>Cormoran africain</t>
  </si>
  <si>
    <t>Microcarbo africanus</t>
  </si>
  <si>
    <t>Perruche mélanure</t>
  </si>
  <si>
    <t>Polytelis anthopeplus</t>
  </si>
  <si>
    <t>Hattah-Kulkyne National Park--Lake Hattah Campground</t>
  </si>
  <si>
    <t>L3978848</t>
  </si>
  <si>
    <t>S283380447</t>
  </si>
  <si>
    <t>Resplendent Quetzal</t>
  </si>
  <si>
    <t>Quetzal resplendissant</t>
  </si>
  <si>
    <t>Pharomachrus mocinno</t>
  </si>
  <si>
    <t>Restless Flycatcher</t>
  </si>
  <si>
    <t>Monarque infatigable</t>
  </si>
  <si>
    <t>Myiagra inquieta</t>
  </si>
  <si>
    <t>Bagadais de Retz</t>
  </si>
  <si>
    <t>Prionops retzii</t>
  </si>
  <si>
    <t>Râle de Californie</t>
  </si>
  <si>
    <t>Rallus obsoletus</t>
  </si>
  <si>
    <t>Ring-billed Gull</t>
  </si>
  <si>
    <t>Goéland à bec cerclé</t>
  </si>
  <si>
    <t>Larus delawarensis</t>
  </si>
  <si>
    <t>Tourterelle du Cap</t>
  </si>
  <si>
    <t>Streptopelia capicola</t>
  </si>
  <si>
    <t>Fuligule à collier</t>
  </si>
  <si>
    <t>Aythya collaris</t>
  </si>
  <si>
    <t>Britannia CA--Filtration Plant/Point</t>
  </si>
  <si>
    <t>L351701</t>
  </si>
  <si>
    <t>S15364481</t>
  </si>
  <si>
    <t>Ring-necked Pheasant</t>
  </si>
  <si>
    <t>Faisan de Colchide</t>
  </si>
  <si>
    <t>Phasianus colchicus</t>
  </si>
  <si>
    <t>Ringed Kingfisher</t>
  </si>
  <si>
    <t>Martin-pêcheur à ventre roux</t>
  </si>
  <si>
    <t>Megaceryle torquata</t>
  </si>
  <si>
    <t>Riverside Wren</t>
  </si>
  <si>
    <t>Troglodyte des ruisseaux</t>
  </si>
  <si>
    <t>Cantorchilus semibadius</t>
  </si>
  <si>
    <t>Roadside Hawk</t>
  </si>
  <si>
    <t>Buse à gros bec</t>
  </si>
  <si>
    <t>Rupornis magnirostris</t>
  </si>
  <si>
    <t>Rock Kestrel</t>
  </si>
  <si>
    <t>Crécerelle des rochers</t>
  </si>
  <si>
    <t>Falco rupicolus</t>
  </si>
  <si>
    <t>Pigeon biset</t>
  </si>
  <si>
    <t>Columba livia</t>
  </si>
  <si>
    <t>Rock Pratincole</t>
  </si>
  <si>
    <t>Glaréole auréolée</t>
  </si>
  <si>
    <t>Glareola nuchalis</t>
  </si>
  <si>
    <t>Cardinal à poitrine rose</t>
  </si>
  <si>
    <t>Pheucticus ludovicianus</t>
  </si>
  <si>
    <t>Rose-throated Becard</t>
  </si>
  <si>
    <t>Bécarde à gorge rose</t>
  </si>
  <si>
    <t>Pachyramphus aglaiae</t>
  </si>
  <si>
    <t>Roseate Spoonbill</t>
  </si>
  <si>
    <t>Spatule rosée</t>
  </si>
  <si>
    <t>Platalea ajaja</t>
  </si>
  <si>
    <t>Rosy Thrush-Tanager</t>
  </si>
  <si>
    <t>Quéo rosalbin</t>
  </si>
  <si>
    <t>Rhodinocichla rosea</t>
  </si>
  <si>
    <t>Rhodinocichlidae (Thrush-Tanager)</t>
  </si>
  <si>
    <t>8.5972x-80.1314 - Nov 15, 2016, 10:45 AM</t>
  </si>
  <si>
    <t>L5083896</t>
  </si>
  <si>
    <t>S32565195</t>
  </si>
  <si>
    <t>Rosy-faced Lovebird</t>
  </si>
  <si>
    <t>Inséparable rosegorge</t>
  </si>
  <si>
    <t>Agapornis roseicollis</t>
  </si>
  <si>
    <t>Rough-legged Hawk</t>
  </si>
  <si>
    <t>Buse pattue</t>
  </si>
  <si>
    <t>Buteo lagopus</t>
  </si>
  <si>
    <t>S16483990</t>
  </si>
  <si>
    <t>Royal Spoonbill</t>
  </si>
  <si>
    <t>Spatule royale</t>
  </si>
  <si>
    <t>Platalea regia</t>
  </si>
  <si>
    <t>Allen Noble Sanctuary</t>
  </si>
  <si>
    <t>L3705675</t>
  </si>
  <si>
    <t>S40040603</t>
  </si>
  <si>
    <t>Royal Tern</t>
  </si>
  <si>
    <t>Sterne royale</t>
  </si>
  <si>
    <t>Thalasseus maximus</t>
  </si>
  <si>
    <t>Roitelet à couronne rubis</t>
  </si>
  <si>
    <t>Corthylio calendula</t>
  </si>
  <si>
    <t>Ruby-throated Hummingbird</t>
  </si>
  <si>
    <t>Colibri à gorge rubis</t>
  </si>
  <si>
    <t>Archilochus colubris</t>
  </si>
  <si>
    <t>S15665468</t>
  </si>
  <si>
    <t>Ruby-topaz Hummingbird</t>
  </si>
  <si>
    <t>Colibri rubis-topaze</t>
  </si>
  <si>
    <t>Chrysolampis mosquitus</t>
  </si>
  <si>
    <t>Ruddy Duck</t>
  </si>
  <si>
    <t>Érismature rousse</t>
  </si>
  <si>
    <t>Oxyura jamaicensis</t>
  </si>
  <si>
    <t>Ruddy Foliage-gleaner</t>
  </si>
  <si>
    <t>Anabate rubigineux</t>
  </si>
  <si>
    <t>Clibanornis rubiginosus</t>
  </si>
  <si>
    <t>Colombe rousse</t>
  </si>
  <si>
    <t>Columbina talpacoti</t>
  </si>
  <si>
    <t>Ruddy Pigeon</t>
  </si>
  <si>
    <t>Pigeon vineux</t>
  </si>
  <si>
    <t>Patagioenas subvinacea</t>
  </si>
  <si>
    <t>Ruddy Treerunner</t>
  </si>
  <si>
    <t>Anabasitte rousse</t>
  </si>
  <si>
    <t>Margarornis rubiginosus</t>
  </si>
  <si>
    <t>Ruddy Turnstone</t>
  </si>
  <si>
    <t>Tournepierre à collier</t>
  </si>
  <si>
    <t>Arenaria interpres</t>
  </si>
  <si>
    <t>Ruddy Woodcreeper</t>
  </si>
  <si>
    <t>Grimpar roux</t>
  </si>
  <si>
    <t>Dendrocincla homochroa</t>
  </si>
  <si>
    <t>Ruddy-breasted Seedeater</t>
  </si>
  <si>
    <t>Sporophile petit-louis</t>
  </si>
  <si>
    <t>Sporophila minuta</t>
  </si>
  <si>
    <t>Ruddy-capped Nightingale-Thrush</t>
  </si>
  <si>
    <t>Grive à calotte rousse</t>
  </si>
  <si>
    <t>Catharus frantzii</t>
  </si>
  <si>
    <t>Ruddy-tailed Flycatcher</t>
  </si>
  <si>
    <t>Barbichon rougequeue</t>
  </si>
  <si>
    <t>Terenotriccus erythrurus</t>
  </si>
  <si>
    <t>Rufescent Tiger-Heron</t>
  </si>
  <si>
    <t>Onoré rayé</t>
  </si>
  <si>
    <t>Tigrisoma lineatum</t>
  </si>
  <si>
    <t>Combattant varié</t>
  </si>
  <si>
    <t>Calidris pugnax</t>
  </si>
  <si>
    <t>Gélinotte huppée</t>
  </si>
  <si>
    <t>Bonasa umbellus</t>
  </si>
  <si>
    <t>Rufous Bristlebird</t>
  </si>
  <si>
    <t>Dasyorne roux</t>
  </si>
  <si>
    <t>Dasyornis broadbenti</t>
  </si>
  <si>
    <t>Dasyornithidae (Bristlebirds)</t>
  </si>
  <si>
    <t>Port Campbell National Park--The Arch</t>
  </si>
  <si>
    <t>L3990545</t>
  </si>
  <si>
    <t>S40075207</t>
  </si>
  <si>
    <t>Séricorne roussâtre</t>
  </si>
  <si>
    <t>Calamanthus campestris</t>
  </si>
  <si>
    <t>Callanna Creek at Oodnadatta Track</t>
  </si>
  <si>
    <t>L2553205</t>
  </si>
  <si>
    <t>S282802858</t>
  </si>
  <si>
    <t>Rufous Motmot</t>
  </si>
  <si>
    <t>Motmot roux</t>
  </si>
  <si>
    <t>Baryphthengus martii</t>
  </si>
  <si>
    <t>Rufous Mourner</t>
  </si>
  <si>
    <t>Tyran plaintif</t>
  </si>
  <si>
    <t>Rhytipterna holerythra</t>
  </si>
  <si>
    <t>Siffleur itchong</t>
  </si>
  <si>
    <t>Pachycephala rufiventris</t>
  </si>
  <si>
    <t>The Outback Hwy at Warriota Creek</t>
  </si>
  <si>
    <t>L4944954</t>
  </si>
  <si>
    <t>S282936994</t>
  </si>
  <si>
    <t>Rufous Wren</t>
  </si>
  <si>
    <t>Troglodyte roux</t>
  </si>
  <si>
    <t>Cinnycerthia unirufa</t>
  </si>
  <si>
    <t>Rufous-and-white Wren</t>
  </si>
  <si>
    <t>Troglodyte rufalbin</t>
  </si>
  <si>
    <t>Thryophilus rufalbus</t>
  </si>
  <si>
    <t>Rufous-backed Wren</t>
  </si>
  <si>
    <t>Troglodyte à dos roux</t>
  </si>
  <si>
    <t>Campylorhynchus capistratus</t>
  </si>
  <si>
    <t>Pitajo à poitrine rousse</t>
  </si>
  <si>
    <t>Ochthoeca rufipectoralis</t>
  </si>
  <si>
    <t>Rufous-breasted Flycatcher</t>
  </si>
  <si>
    <t>Pipromorphe à poitrine rousse</t>
  </si>
  <si>
    <t>Leptopogon rufipectus</t>
  </si>
  <si>
    <t>Rufous-breasted Hermit</t>
  </si>
  <si>
    <t>Ermite hirsute</t>
  </si>
  <si>
    <t>Glaucis hirsutus</t>
  </si>
  <si>
    <t>Rufous-breasted Wren</t>
  </si>
  <si>
    <t>Troglodyte des halliers</t>
  </si>
  <si>
    <t>Pheugopedius rutilus</t>
  </si>
  <si>
    <t>Rufous-browed Conebill</t>
  </si>
  <si>
    <t>Conirostre roux</t>
  </si>
  <si>
    <t>Conirostrum rufum</t>
  </si>
  <si>
    <t>Rufous-browed Peppershrike</t>
  </si>
  <si>
    <t>Sourciroux mélodieux</t>
  </si>
  <si>
    <t>Cyclarhis gujanensis</t>
  </si>
  <si>
    <t>8.3893x-80.2301 - Nov 14, 2016, 9:15 AM</t>
  </si>
  <si>
    <t>L5082465</t>
  </si>
  <si>
    <t>S32557060</t>
  </si>
  <si>
    <t>Rufous-browed Tyrannulet</t>
  </si>
  <si>
    <t>Tyranneau à sourcils roux</t>
  </si>
  <si>
    <t>Phylloscartes superciliaris</t>
  </si>
  <si>
    <t>Rufous-chested Swallow</t>
  </si>
  <si>
    <t>Hirondelle à ventre roux</t>
  </si>
  <si>
    <t>Cecropis semirufa</t>
  </si>
  <si>
    <t>Rufous-collared Sparrow</t>
  </si>
  <si>
    <t>Bruant chingolo</t>
  </si>
  <si>
    <t>Zonotrichia capensis</t>
  </si>
  <si>
    <t>Rufous-crowned Tody-Flycatcher</t>
  </si>
  <si>
    <t>Todirostre bariolé</t>
  </si>
  <si>
    <t>Poecilotriccus ruficeps</t>
  </si>
  <si>
    <t>Rufous-fronted Wood-Quail</t>
  </si>
  <si>
    <t>Tocro à front roux</t>
  </si>
  <si>
    <t>Odontophorus erythrops</t>
  </si>
  <si>
    <t>Rufous-headed Ground-Roller</t>
  </si>
  <si>
    <t>Brachyptérolle de Crossley</t>
  </si>
  <si>
    <t>Atelornis crossleyi</t>
  </si>
  <si>
    <t>Rufous-naped Lark</t>
  </si>
  <si>
    <t>Alouette à nuque rousse</t>
  </si>
  <si>
    <t>Corypha africana</t>
  </si>
  <si>
    <t>Rufous-tailed Hummingbird</t>
  </si>
  <si>
    <t>Ariane à ventre gris</t>
  </si>
  <si>
    <t>Amazilia tzacatl</t>
  </si>
  <si>
    <t>Rufous-tailed Jacamar</t>
  </si>
  <si>
    <t>Jacamar à queue rousse</t>
  </si>
  <si>
    <t>Galbula ruficauda</t>
  </si>
  <si>
    <t>Rufous-throated Tanager</t>
  </si>
  <si>
    <t>Calliste à gorge rousse</t>
  </si>
  <si>
    <t>Ixothraupis rufigula</t>
  </si>
  <si>
    <t>Rufous-vented Chachalaca</t>
  </si>
  <si>
    <t>Ortalide à ventre roux</t>
  </si>
  <si>
    <t>Ortalis ruficauda</t>
  </si>
  <si>
    <t>Rufous-winged Woodpecker</t>
  </si>
  <si>
    <t>Pic à ailes rousses</t>
  </si>
  <si>
    <t>Piculus simplex</t>
  </si>
  <si>
    <t>Running Coua</t>
  </si>
  <si>
    <t>Coua coureur</t>
  </si>
  <si>
    <t>Coua cursor</t>
  </si>
  <si>
    <t>Rüppell's Griffon</t>
  </si>
  <si>
    <t>Vautour de Rüppell</t>
  </si>
  <si>
    <t>Gyps rueppelli</t>
  </si>
  <si>
    <t>Choucador de Rüppell</t>
  </si>
  <si>
    <t>Lamprotornis purpuroptera</t>
  </si>
  <si>
    <t>Russet Antshrike</t>
  </si>
  <si>
    <t>Batara rousset</t>
  </si>
  <si>
    <t>Thamnistes anabatinus</t>
  </si>
  <si>
    <t>Russet-crowned Warbler</t>
  </si>
  <si>
    <t>Paruline à diadème</t>
  </si>
  <si>
    <t>Myiothlypis coronata</t>
  </si>
  <si>
    <t>Russet-naped Wood-Rail</t>
  </si>
  <si>
    <t>Râle à ventre blanc</t>
  </si>
  <si>
    <t>Aramides albiventris</t>
  </si>
  <si>
    <t>Russet-throated Puffbird</t>
  </si>
  <si>
    <t>Tamatia à gorge rousse</t>
  </si>
  <si>
    <t>Hypnelus ruficollis</t>
  </si>
  <si>
    <t>Quiscale rouilleux</t>
  </si>
  <si>
    <t>Euphagus carolinus</t>
  </si>
  <si>
    <t>Rusty Flowerpiercer</t>
  </si>
  <si>
    <t>Percefleur rouilleux</t>
  </si>
  <si>
    <t>Diglossa sittoides</t>
  </si>
  <si>
    <t>Rusty Sparrow</t>
  </si>
  <si>
    <t>Tohi roussâtre</t>
  </si>
  <si>
    <t>Aimophila rufescens</t>
  </si>
  <si>
    <t>Rusty-headed Spinetail</t>
  </si>
  <si>
    <t>Synallaxe de Santa Marta</t>
  </si>
  <si>
    <t>Synallaxis fuscorufa</t>
  </si>
  <si>
    <t>Cuchilla de San Lorenzo--Torres</t>
  </si>
  <si>
    <t>L4603955</t>
  </si>
  <si>
    <t>S223519971</t>
  </si>
  <si>
    <t>Rusty-margined Flycatcher</t>
  </si>
  <si>
    <t>Tyran de Cayenne</t>
  </si>
  <si>
    <t>Myiozetetes cayanensis</t>
  </si>
  <si>
    <t>Rusty-winged Antwren</t>
  </si>
  <si>
    <t>Grisin de Sclater</t>
  </si>
  <si>
    <t>Herpsilochmus frater</t>
  </si>
  <si>
    <t>Sacred Kingfisher</t>
  </si>
  <si>
    <t>Martin-chasseur sacré</t>
  </si>
  <si>
    <t>Todiramphus sanctus</t>
  </si>
  <si>
    <t>Jabiru d'Afrique</t>
  </si>
  <si>
    <t>Ephippiorhynchus senegalensis</t>
  </si>
  <si>
    <t>Saffron Finch</t>
  </si>
  <si>
    <t>Sicale bouton-d'or</t>
  </si>
  <si>
    <t>Sicalis flaveola</t>
  </si>
  <si>
    <t>Sahul Cicadabird</t>
  </si>
  <si>
    <t>Échenilleur cigale</t>
  </si>
  <si>
    <t>Edolisoma tenuirostre</t>
  </si>
  <si>
    <t>Sakalava Weaver</t>
  </si>
  <si>
    <t>Tisserin sakalave</t>
  </si>
  <si>
    <t>Ploceus sakalava</t>
  </si>
  <si>
    <t>Bécasseau sanderling</t>
  </si>
  <si>
    <t>Calidris alba</t>
  </si>
  <si>
    <t>Grue du Canada</t>
  </si>
  <si>
    <t>Antigone canadensis</t>
  </si>
  <si>
    <t>Sandwich Tern</t>
  </si>
  <si>
    <t>Sterne caugek</t>
  </si>
  <si>
    <t>Thalasseus sandvicensis</t>
  </si>
  <si>
    <t>Fort De Soto Park</t>
  </si>
  <si>
    <t>L127332</t>
  </si>
  <si>
    <t>S25871710</t>
  </si>
  <si>
    <t>Santa Marta Antbird</t>
  </si>
  <si>
    <t>Grisin de Santa Marta</t>
  </si>
  <si>
    <t>Drymophila hellmayri</t>
  </si>
  <si>
    <t>Grallaire de Santa Marta</t>
  </si>
  <si>
    <t>Grallaria bangsi</t>
  </si>
  <si>
    <t>Santa Marta Blossomcrown</t>
  </si>
  <si>
    <t>Colibri à tête rose</t>
  </si>
  <si>
    <t>Anthocephala floriceps</t>
  </si>
  <si>
    <t>S223259248</t>
  </si>
  <si>
    <t>Tohi de Santa Marta</t>
  </si>
  <si>
    <t>Atlapetes melanocephalus</t>
  </si>
  <si>
    <t>Moucherolle de Santa Marta</t>
  </si>
  <si>
    <t>Myiotheretes pernix</t>
  </si>
  <si>
    <t>Conure de Santa Marta</t>
  </si>
  <si>
    <t>Pyrrhura viridicata</t>
  </si>
  <si>
    <t>Santa Marta Tapaculo</t>
  </si>
  <si>
    <t>Mérulaxe de Santa Marta</t>
  </si>
  <si>
    <t>Scytalopus sanctaemartae</t>
  </si>
  <si>
    <t>Santa Marta Warbler</t>
  </si>
  <si>
    <t>Paruline de Santa Marta</t>
  </si>
  <si>
    <t>Myiothlypis basilica</t>
  </si>
  <si>
    <t>Sapayoa</t>
  </si>
  <si>
    <t>Sapayoa à bec large</t>
  </si>
  <si>
    <t>Sapayoa aenigma</t>
  </si>
  <si>
    <t>Sapayoidae (Sapayoa)</t>
  </si>
  <si>
    <t>Sapphire-bellied Hummingbird</t>
  </si>
  <si>
    <t>Colibri de Lillie</t>
  </si>
  <si>
    <t>Chrysuronia lilliae</t>
  </si>
  <si>
    <t>Sapphire-throated Hummingbird</t>
  </si>
  <si>
    <t>Colibri faux-saphir</t>
  </si>
  <si>
    <t>Chrysuronia coeruleogularis</t>
  </si>
  <si>
    <t>8.4017x-80.2638 - Nov 14, 2016, 8:47 AM</t>
  </si>
  <si>
    <t>L5082460</t>
  </si>
  <si>
    <t>S32557008</t>
  </si>
  <si>
    <t>Sapphire-vented Puffleg</t>
  </si>
  <si>
    <t>Érione catherine</t>
  </si>
  <si>
    <t>Eriocnemis luciani</t>
  </si>
  <si>
    <t>Satin Bowerbird</t>
  </si>
  <si>
    <t>Jardinier satiné</t>
  </si>
  <si>
    <t>Ptilonorhynchus violaceus</t>
  </si>
  <si>
    <t>Monarque satiné</t>
  </si>
  <si>
    <t>Myiagra cyanoleuca</t>
  </si>
  <si>
    <t>Savanna Hawk</t>
  </si>
  <si>
    <t>Buse roussâtre</t>
  </si>
  <si>
    <t>Buteogallus meridionalis</t>
  </si>
  <si>
    <t>Savannah Sparrow</t>
  </si>
  <si>
    <t>Bruant des prés</t>
  </si>
  <si>
    <t>Passerculus sandwichensis</t>
  </si>
  <si>
    <t>Moucherolle à ventre roux</t>
  </si>
  <si>
    <t>Sayornis saya</t>
  </si>
  <si>
    <t>Scale-crested Pygmy-Tyrant</t>
  </si>
  <si>
    <t>Microtyran chevelu</t>
  </si>
  <si>
    <t>Lophotriccus pileatus</t>
  </si>
  <si>
    <t>Scaled Dove</t>
  </si>
  <si>
    <t>Colombe écaillée</t>
  </si>
  <si>
    <t>Columbina squammata</t>
  </si>
  <si>
    <t>Scaled Fruiteater</t>
  </si>
  <si>
    <t>Cotinga écaillé</t>
  </si>
  <si>
    <t>Ampelioides tschudii</t>
  </si>
  <si>
    <t>Scaled Pigeon</t>
  </si>
  <si>
    <t>Pigeon ramiret</t>
  </si>
  <si>
    <t>Patagioenas speciosa</t>
  </si>
  <si>
    <t>Brachyptérolle écaillé</t>
  </si>
  <si>
    <t>Geobiastes squamiger</t>
  </si>
  <si>
    <t>S201992206</t>
  </si>
  <si>
    <t>Scaly Weaver</t>
  </si>
  <si>
    <t>Sporopipe squameux</t>
  </si>
  <si>
    <t>Sporopipes squamifrons</t>
  </si>
  <si>
    <t>Scaly-breasted Hummingbird</t>
  </si>
  <si>
    <t>Colibri de Cuvier</t>
  </si>
  <si>
    <t>Phaeochroa cuvierii</t>
  </si>
  <si>
    <t>Scaly-breasted Wren</t>
  </si>
  <si>
    <t>Troglodyte siffleur</t>
  </si>
  <si>
    <t>Microcerculus marginatus</t>
  </si>
  <si>
    <t>Scaly-naped Amazon</t>
  </si>
  <si>
    <t>Amazone mercenaire</t>
  </si>
  <si>
    <t>Amazona mercenarius</t>
  </si>
  <si>
    <t>Scaly-naped Pigeon</t>
  </si>
  <si>
    <t>Pigeon à cou rouge</t>
  </si>
  <si>
    <t>Patagioenas squamosa</t>
  </si>
  <si>
    <t>Scaly-throated Foliage-gleaner</t>
  </si>
  <si>
    <t>Anabate à lunettes</t>
  </si>
  <si>
    <t>Anabacerthia variegaticeps</t>
  </si>
  <si>
    <t>Scaly-throated Leaftosser</t>
  </si>
  <si>
    <t>Sclérure écaillé</t>
  </si>
  <si>
    <t>Sclerurus guatemalensis</t>
  </si>
  <si>
    <t>Scarlet Ibis</t>
  </si>
  <si>
    <t>Ibis rouge</t>
  </si>
  <si>
    <t>Eudocimus ruber</t>
  </si>
  <si>
    <t>Scarlet Macaw</t>
  </si>
  <si>
    <t>Ara rouge</t>
  </si>
  <si>
    <t>Ara macao</t>
  </si>
  <si>
    <t>Scarlet Robin</t>
  </si>
  <si>
    <t>Miro boodang</t>
  </si>
  <si>
    <t>Petroica boodang</t>
  </si>
  <si>
    <t>Piranga écarlate</t>
  </si>
  <si>
    <t>Piranga olivacea</t>
  </si>
  <si>
    <t>Tangara à ventre rouge</t>
  </si>
  <si>
    <t>Anisognathus igniventris</t>
  </si>
  <si>
    <t>Souimanga à poitrine rouge</t>
  </si>
  <si>
    <t>Chalcomitra senegalensis</t>
  </si>
  <si>
    <t>Scarlet-fronted Parakeet</t>
  </si>
  <si>
    <t>Conure de Wagler</t>
  </si>
  <si>
    <t>Psittacara wagleri</t>
  </si>
  <si>
    <t>Auto selected 11.13116, -74.10957</t>
  </si>
  <si>
    <t>L42133673</t>
  </si>
  <si>
    <t>S223145676</t>
  </si>
  <si>
    <t>Scarlet-rumped Cacique</t>
  </si>
  <si>
    <t>Cassique à dos rouge</t>
  </si>
  <si>
    <t>Cacicus uropygialis</t>
  </si>
  <si>
    <t>Scarlet-rumped Tanager</t>
  </si>
  <si>
    <t>Tangara à croupion rouge</t>
  </si>
  <si>
    <t>Ramphocelus passerinii</t>
  </si>
  <si>
    <t>Scarlet-thighed Dacnis</t>
  </si>
  <si>
    <t>Dacnis à cuisses rouges</t>
  </si>
  <si>
    <t>Dacnis venusta</t>
  </si>
  <si>
    <t>Jordanal</t>
  </si>
  <si>
    <t>L10146530</t>
  </si>
  <si>
    <t>S61402528</t>
  </si>
  <si>
    <t>Scintillant Hummingbird</t>
  </si>
  <si>
    <t>Colibri scintillant</t>
  </si>
  <si>
    <t>Selasphorus scintilla</t>
  </si>
  <si>
    <t>Scissor-tailed Flycatcher</t>
  </si>
  <si>
    <t>Tyran à longue queue</t>
  </si>
  <si>
    <t>Tyrannus forficatus</t>
  </si>
  <si>
    <t>Scrub Blackbird</t>
  </si>
  <si>
    <t>Quiscale buissonnier</t>
  </si>
  <si>
    <t>Dives warczewiczi</t>
  </si>
  <si>
    <t>Scrub Greenlet</t>
  </si>
  <si>
    <t>Viréon à pattes claires</t>
  </si>
  <si>
    <t>Hylophilus flavipes</t>
  </si>
  <si>
    <t>Scrub Tanager</t>
  </si>
  <si>
    <t>Calliste vitriolin</t>
  </si>
  <si>
    <t>Stilpnia vitriolina</t>
  </si>
  <si>
    <t>Scrubtit</t>
  </si>
  <si>
    <t>Séricorne de Tasmanie</t>
  </si>
  <si>
    <t>Acanthornis magna</t>
  </si>
  <si>
    <t>Junee Cave State Reserve</t>
  </si>
  <si>
    <t>L2548873</t>
  </si>
  <si>
    <t>S285246874</t>
  </si>
  <si>
    <t>Secretarybird</t>
  </si>
  <si>
    <t>Messager sagittaire</t>
  </si>
  <si>
    <t>Sagittarius serpentarius</t>
  </si>
  <si>
    <t>Sagittariidae (Secretarybird)</t>
  </si>
  <si>
    <t>Troglodyte à bec court</t>
  </si>
  <si>
    <t>Cistothorus stellaris</t>
  </si>
  <si>
    <t>S45624424</t>
  </si>
  <si>
    <t>Semipalmated Plover</t>
  </si>
  <si>
    <t>Pluvier semipalmé</t>
  </si>
  <si>
    <t>Charadrius semipalmatus</t>
  </si>
  <si>
    <t>Semipalmated Sandpiper</t>
  </si>
  <si>
    <t>Bécasseau semipalmé</t>
  </si>
  <si>
    <t>Calidris pusilla</t>
  </si>
  <si>
    <t>S23499051</t>
  </si>
  <si>
    <t>Sepia-capped Flycatcher</t>
  </si>
  <si>
    <t>Pipromorphe à tête brune</t>
  </si>
  <si>
    <t>Leptopogon amaurocephalus</t>
  </si>
  <si>
    <t>Épervier brun</t>
  </si>
  <si>
    <t>Accipiter striatus</t>
  </si>
  <si>
    <t>Sharp-tailed Sandpiper</t>
  </si>
  <si>
    <t>Bécasseau à queue pointue</t>
  </si>
  <si>
    <t>Calidris acuminata</t>
  </si>
  <si>
    <t>Sharpe's Wren</t>
  </si>
  <si>
    <t>Troglodyte de Sharpe</t>
  </si>
  <si>
    <t>Cinnycerthia olivascens</t>
  </si>
  <si>
    <t>Shikra</t>
  </si>
  <si>
    <t>Épervier shikra</t>
  </si>
  <si>
    <t>Tachyspiza badia</t>
  </si>
  <si>
    <t>Shining Bronze-Cuckoo</t>
  </si>
  <si>
    <t>Coucou éclatant</t>
  </si>
  <si>
    <t>Chalcites lucidus</t>
  </si>
  <si>
    <t>Shining Honeycreeper</t>
  </si>
  <si>
    <t>Guit-guit brillant</t>
  </si>
  <si>
    <t>Cyanerpes lucidus</t>
  </si>
  <si>
    <t>Shining Sunbeam</t>
  </si>
  <si>
    <t>Colibri étincelant</t>
  </si>
  <si>
    <t>Aglaeactis cupripennis</t>
  </si>
  <si>
    <t>Shiny Cowbird</t>
  </si>
  <si>
    <t>Vacher luisant</t>
  </si>
  <si>
    <t>Molothrus bonariensis</t>
  </si>
  <si>
    <t>Bécassin roux</t>
  </si>
  <si>
    <t>Limnodromus griseus</t>
  </si>
  <si>
    <t>Short-billed Gull</t>
  </si>
  <si>
    <t>Goéland à bec court</t>
  </si>
  <si>
    <t>Larus brachyrhynchus</t>
  </si>
  <si>
    <t>Short-billed Pigeon</t>
  </si>
  <si>
    <t>Pigeon à bec noir</t>
  </si>
  <si>
    <t>Patagioenas nigrirostris</t>
  </si>
  <si>
    <t>Short-eared Owl</t>
  </si>
  <si>
    <t>Hibou des marais</t>
  </si>
  <si>
    <t>Asio flammeus</t>
  </si>
  <si>
    <t>Short-tailed Emerald</t>
  </si>
  <si>
    <t>Émeraude à queue courte</t>
  </si>
  <si>
    <t>Chlorostilbon poortmani</t>
  </si>
  <si>
    <t>Short-tailed Hawk</t>
  </si>
  <si>
    <t>Buse à queue courte</t>
  </si>
  <si>
    <t>Buteo brachyurus</t>
  </si>
  <si>
    <t>Short-tailed Nighthawk</t>
  </si>
  <si>
    <t>Engoulevent à queue courte</t>
  </si>
  <si>
    <t>Lurocalis semitorquatus</t>
  </si>
  <si>
    <t>S44377682</t>
  </si>
  <si>
    <t>Short-tailed Shearwater</t>
  </si>
  <si>
    <t>Puffin à bec grêle</t>
  </si>
  <si>
    <t>Ardenna tenuirostris</t>
  </si>
  <si>
    <t>The Neck Rookery</t>
  </si>
  <si>
    <t>L1482875</t>
  </si>
  <si>
    <t>S285143488</t>
  </si>
  <si>
    <t>Short-tailed Swift</t>
  </si>
  <si>
    <t>Martinet polioure</t>
  </si>
  <si>
    <t>Chaetura brachyura</t>
  </si>
  <si>
    <t>Short-toed Rock-Thrush</t>
  </si>
  <si>
    <t>Monticole à doigts courts</t>
  </si>
  <si>
    <t>Monticola brevipes</t>
  </si>
  <si>
    <t>Shy Heathwren</t>
  </si>
  <si>
    <t>Séricorne timide</t>
  </si>
  <si>
    <t>Hylacola cauta</t>
  </si>
  <si>
    <t>Falculie mantelée</t>
  </si>
  <si>
    <t>Falculea palliata</t>
  </si>
  <si>
    <t>Sickle-winged Guan</t>
  </si>
  <si>
    <t>Pénélope de Goudot</t>
  </si>
  <si>
    <t>Chamaepetes goudotii</t>
  </si>
  <si>
    <t>Tohi de Bangs</t>
  </si>
  <si>
    <t>Arremon basilicus</t>
  </si>
  <si>
    <t>Sierran Elaenia</t>
  </si>
  <si>
    <t>Élénie de Pallantanga</t>
  </si>
  <si>
    <t>Elaenia pallatangae</t>
  </si>
  <si>
    <t>S54643608</t>
  </si>
  <si>
    <t>Mouette argentée</t>
  </si>
  <si>
    <t>Chroicocephalus novaehollandiae</t>
  </si>
  <si>
    <t>Silver-beaked Tanager</t>
  </si>
  <si>
    <t>Tangara à bec d'argent</t>
  </si>
  <si>
    <t>Ramphocelus carbo</t>
  </si>
  <si>
    <t>Silver-throated Tanager</t>
  </si>
  <si>
    <t>Calliste safran</t>
  </si>
  <si>
    <t>Tangara icterocephala</t>
  </si>
  <si>
    <t>Silvereye</t>
  </si>
  <si>
    <t>Zostérops à dos gris</t>
  </si>
  <si>
    <t>Zosterops lateralis</t>
  </si>
  <si>
    <t>Grèbe aux belles joues</t>
  </si>
  <si>
    <t>Podiceps occipitalis</t>
  </si>
  <si>
    <t>Silvery-cheeked Hornbill</t>
  </si>
  <si>
    <t>Calao à joues argent</t>
  </si>
  <si>
    <t>Bycanistes brevis</t>
  </si>
  <si>
    <t>Silvery-throated Spinetail</t>
  </si>
  <si>
    <t>Synallaxe à gorge argentée</t>
  </si>
  <si>
    <t>Synallaxis subpudica</t>
  </si>
  <si>
    <t>Singing Honeyeater</t>
  </si>
  <si>
    <t>Méliphage chanteur</t>
  </si>
  <si>
    <t>Gavicalis virescens</t>
  </si>
  <si>
    <t>S40074086</t>
  </si>
  <si>
    <t>Slate-colored Coot</t>
  </si>
  <si>
    <t>Foulque ardoisée</t>
  </si>
  <si>
    <t>Fulica ardesiaca</t>
  </si>
  <si>
    <t>Slate-colored Grosbeak</t>
  </si>
  <si>
    <t>Saltator ardoisé</t>
  </si>
  <si>
    <t>Saltator grossus</t>
  </si>
  <si>
    <t>Rio Silanche--general area</t>
  </si>
  <si>
    <t>L1641819</t>
  </si>
  <si>
    <t>S54744606</t>
  </si>
  <si>
    <t>Slate-colored Seedeater</t>
  </si>
  <si>
    <t>Sporophile ardoisé</t>
  </si>
  <si>
    <t>Sporophila schistacea</t>
  </si>
  <si>
    <t>Slate-crowned Antpitta</t>
  </si>
  <si>
    <t>Grallaire naine</t>
  </si>
  <si>
    <t>Grallaricula nana</t>
  </si>
  <si>
    <t>Slate-headed Tody-Flycatcher</t>
  </si>
  <si>
    <t>Todirostre de Desmarest</t>
  </si>
  <si>
    <t>Poecilotriccus sylvia</t>
  </si>
  <si>
    <t>Slate-throated Redstart</t>
  </si>
  <si>
    <t>Paruline ardoisée</t>
  </si>
  <si>
    <t>Myioborus miniatus</t>
  </si>
  <si>
    <t>Slaty Antwren</t>
  </si>
  <si>
    <t>Myrmidon ardoisé</t>
  </si>
  <si>
    <t>Myrmotherula schisticolor</t>
  </si>
  <si>
    <t>Slaty Egret</t>
  </si>
  <si>
    <t>Aigrette vineuse</t>
  </si>
  <si>
    <t>Egretta vinaceigula</t>
  </si>
  <si>
    <t>Slaty Flowerpiercer</t>
  </si>
  <si>
    <t>Percefleur ardoisé</t>
  </si>
  <si>
    <t>Diglossa plumbea</t>
  </si>
  <si>
    <t>Slaty Spinetail</t>
  </si>
  <si>
    <t>Synallaxe ardoisé</t>
  </si>
  <si>
    <t>Synallaxis brachyura</t>
  </si>
  <si>
    <t>Slaty-backed Nightingale-Thrush</t>
  </si>
  <si>
    <t>Grive ardoisée</t>
  </si>
  <si>
    <t>Catharus fuscater</t>
  </si>
  <si>
    <t>Slaty-capped Flycatcher</t>
  </si>
  <si>
    <t>Pipromorphe à tête grise</t>
  </si>
  <si>
    <t>Leptopogon superciliaris</t>
  </si>
  <si>
    <t>Slaty-capped Shrike-Vireo</t>
  </si>
  <si>
    <t>Smaragdan oreillard</t>
  </si>
  <si>
    <t>Vireolanius leucotis</t>
  </si>
  <si>
    <t>S54759993</t>
  </si>
  <si>
    <t>Slaty-tailed Trogon</t>
  </si>
  <si>
    <t>Trogon de Masséna</t>
  </si>
  <si>
    <t>Trogon massena</t>
  </si>
  <si>
    <t>Acanthize d'Iredale</t>
  </si>
  <si>
    <t>Acanthiza iredalei</t>
  </si>
  <si>
    <t>Slender-billed Tyrannulet</t>
  </si>
  <si>
    <t>Tyranneau à bec fin</t>
  </si>
  <si>
    <t>Inezia tenuirostris</t>
  </si>
  <si>
    <t>Smoke-colored Pewee</t>
  </si>
  <si>
    <t>Moucherolle bistré</t>
  </si>
  <si>
    <t>Contopus fumigatus</t>
  </si>
  <si>
    <t>Smoky Bush-Tyrant</t>
  </si>
  <si>
    <t>Moucherolle enfumé</t>
  </si>
  <si>
    <t>Myiotheretes fumigatus</t>
  </si>
  <si>
    <t>Smoky-brown Woodpecker</t>
  </si>
  <si>
    <t>Pic enfumé</t>
  </si>
  <si>
    <t>Leuconotopicus fumigatus</t>
  </si>
  <si>
    <t>Smooth-billed Ani</t>
  </si>
  <si>
    <t>Ani à bec lisse</t>
  </si>
  <si>
    <t>Crotophaga ani</t>
  </si>
  <si>
    <t>Snail Kite</t>
  </si>
  <si>
    <t>Milan des marais</t>
  </si>
  <si>
    <t>Rostrhamus sociabilis</t>
  </si>
  <si>
    <t>Snow Bunting</t>
  </si>
  <si>
    <t>Plectrophane des neiges</t>
  </si>
  <si>
    <t>Plectrophenax nivalis</t>
  </si>
  <si>
    <t>Ottawa--Navan (Wall rd)</t>
  </si>
  <si>
    <t>L2659339</t>
  </si>
  <si>
    <t>S17066743</t>
  </si>
  <si>
    <t>Snow Goose</t>
  </si>
  <si>
    <t>Oie des neiges</t>
  </si>
  <si>
    <t>Anser caerulescens</t>
  </si>
  <si>
    <t>Snowcap</t>
  </si>
  <si>
    <t>Colibri à coiffe blanche</t>
  </si>
  <si>
    <t>Microchera albocoronata</t>
  </si>
  <si>
    <t>S112248629</t>
  </si>
  <si>
    <t>Snowy Cotinga</t>
  </si>
  <si>
    <t>Cotinga neigeux</t>
  </si>
  <si>
    <t>Carpodectes nitidus</t>
  </si>
  <si>
    <t>Snowy Egret</t>
  </si>
  <si>
    <t>Aigrette neigeuse</t>
  </si>
  <si>
    <t>Egretta thula</t>
  </si>
  <si>
    <t>Snowy Owl</t>
  </si>
  <si>
    <t>Harfang des neiges</t>
  </si>
  <si>
    <t>Bubo scandiacus</t>
  </si>
  <si>
    <t>Casselman - Along 417</t>
  </si>
  <si>
    <t>L2483450</t>
  </si>
  <si>
    <t>S16078534</t>
  </si>
  <si>
    <t>Snowy Plover</t>
  </si>
  <si>
    <t>Pluvier neigeux</t>
  </si>
  <si>
    <t>Anarhynchus nivosus</t>
  </si>
  <si>
    <t>Ariane d'Edward</t>
  </si>
  <si>
    <t>Saucerottia edward</t>
  </si>
  <si>
    <t>Social Flycatcher</t>
  </si>
  <si>
    <t>Tyran sociable</t>
  </si>
  <si>
    <t>Myiozetetes similis</t>
  </si>
  <si>
    <t>Solitary Sandpiper</t>
  </si>
  <si>
    <t>Chevalier solitaire</t>
  </si>
  <si>
    <t>Tringa solitaria</t>
  </si>
  <si>
    <t>Bulbul importun</t>
  </si>
  <si>
    <t>Andropadus importunus</t>
  </si>
  <si>
    <t>Picnonotidae (Greenbuls)</t>
  </si>
  <si>
    <t>Song Sparrow</t>
  </si>
  <si>
    <t>Bruant chanteur</t>
  </si>
  <si>
    <t>Melospiza melodia</t>
  </si>
  <si>
    <t>Song Wren</t>
  </si>
  <si>
    <t>Troglodyte chanteur</t>
  </si>
  <si>
    <t>Cyphorhinus phaeocephalus</t>
  </si>
  <si>
    <t>Sooty Oystercatcher</t>
  </si>
  <si>
    <t>Huîtrier fuligineux</t>
  </si>
  <si>
    <t>Haematopus fuliginosus</t>
  </si>
  <si>
    <t>Sooty Shearwater</t>
  </si>
  <si>
    <t>Puffin fuligineux</t>
  </si>
  <si>
    <t>Ardenna grisea</t>
  </si>
  <si>
    <t>Sooty Tern</t>
  </si>
  <si>
    <t>Sterne fuligineuse</t>
  </si>
  <si>
    <t>Onychoprion fuscatus</t>
  </si>
  <si>
    <t>Sooty Thrush</t>
  </si>
  <si>
    <t>Merle fuligineux</t>
  </si>
  <si>
    <t>Turdus nigrescens</t>
  </si>
  <si>
    <t>PN Los Quetzales--Cerro Buenavista communication towers</t>
  </si>
  <si>
    <t>L1126301</t>
  </si>
  <si>
    <t>S112058530</t>
  </si>
  <si>
    <t>Sooty-capped Chlorospingus</t>
  </si>
  <si>
    <t>Chlorospin à sourcils brisés</t>
  </si>
  <si>
    <t>Chlorospingus pileatus</t>
  </si>
  <si>
    <t>Sooty-headed Tyrannulet</t>
  </si>
  <si>
    <t>Tyranneau nain</t>
  </si>
  <si>
    <t>Phyllomyias griseiceps</t>
  </si>
  <si>
    <t>Sora</t>
  </si>
  <si>
    <t>Marouette de Caroline</t>
  </si>
  <si>
    <t>Porzana carolina</t>
  </si>
  <si>
    <t>Isle-aux-Coudres</t>
  </si>
  <si>
    <t>L426059</t>
  </si>
  <si>
    <t>S18538805</t>
  </si>
  <si>
    <t>Souimanga Sunbird</t>
  </si>
  <si>
    <t>Souimanga malgache</t>
  </si>
  <si>
    <t>Cinnyris sovimanga</t>
  </si>
  <si>
    <t>Tadorne à tête grise</t>
  </si>
  <si>
    <t>Tadorna cana</t>
  </si>
  <si>
    <t>Ibis du Cap</t>
  </si>
  <si>
    <t>Geronticus calvus</t>
  </si>
  <si>
    <t>Southern Beardless-Tyrannulet</t>
  </si>
  <si>
    <t>Tyranneau passegris</t>
  </si>
  <si>
    <t>Camptostoma obsoletum</t>
  </si>
  <si>
    <t>Southern Bentbill</t>
  </si>
  <si>
    <t>Bec-en-arc de Lawrence</t>
  </si>
  <si>
    <t>Oncostoma olivaceum</t>
  </si>
  <si>
    <t>Southern Black-Flycatcher</t>
  </si>
  <si>
    <t>Gobemouche sud-africain</t>
  </si>
  <si>
    <t>Melaenornis pammelaina</t>
  </si>
  <si>
    <t>Mésange demi-deuil</t>
  </si>
  <si>
    <t>Melaniparus niger</t>
  </si>
  <si>
    <t>Tisserin à gorge brune</t>
  </si>
  <si>
    <t>Ploceus xanthopterus</t>
  </si>
  <si>
    <t>Guêpier carmin</t>
  </si>
  <si>
    <t>Merops nubicoides</t>
  </si>
  <si>
    <t>Southern Cordonbleu</t>
  </si>
  <si>
    <t>Cordonbleu d'Angola</t>
  </si>
  <si>
    <t>Uraeginthus angolensis</t>
  </si>
  <si>
    <t>Southern Crag-Martin</t>
  </si>
  <si>
    <t>Hirondelle isabelline</t>
  </si>
  <si>
    <t>Ptyonoprogne fuligula</t>
  </si>
  <si>
    <t>Pintade d'Édouard</t>
  </si>
  <si>
    <t>Guttera edouardi</t>
  </si>
  <si>
    <t>Southern Emerald-Toucanet</t>
  </si>
  <si>
    <t>Toucanet à gorge blanche</t>
  </si>
  <si>
    <t>Aulacorhynchus albivitta</t>
  </si>
  <si>
    <t>Southern Emuwren</t>
  </si>
  <si>
    <t>Queue-de-gaze du Sud</t>
  </si>
  <si>
    <t>Stipiturus malachurus</t>
  </si>
  <si>
    <t>Eumeralla Flora Reserve</t>
  </si>
  <si>
    <t>L2547646</t>
  </si>
  <si>
    <t>S284457848</t>
  </si>
  <si>
    <t>Southern Fiscal</t>
  </si>
  <si>
    <t>Pie-grièche fiscale</t>
  </si>
  <si>
    <t>Lanius collaris</t>
  </si>
  <si>
    <t>Moineau sud-africain</t>
  </si>
  <si>
    <t>Passer diffusus</t>
  </si>
  <si>
    <t>Southern Ground-Hornbill</t>
  </si>
  <si>
    <t>Bucorve du Sud</t>
  </si>
  <si>
    <t>Bucorvus leadbeateri</t>
  </si>
  <si>
    <t>Troglodyte austral</t>
  </si>
  <si>
    <t>Troglodytes musculus</t>
  </si>
  <si>
    <t>Southern Lapwing</t>
  </si>
  <si>
    <t>Vanneau téro</t>
  </si>
  <si>
    <t>Vanellus chilensis</t>
  </si>
  <si>
    <t>Tisserin à tête rousse</t>
  </si>
  <si>
    <t>Ploceus velatus</t>
  </si>
  <si>
    <t>Nette brune</t>
  </si>
  <si>
    <t>Netta erythrophthalma</t>
  </si>
  <si>
    <t>Euplecte ignicolore</t>
  </si>
  <si>
    <t>Euplectes orix</t>
  </si>
  <si>
    <t>Calao d'Afrique du Sud</t>
  </si>
  <si>
    <t>Tockus rufirostris</t>
  </si>
  <si>
    <t>Hirondelle à gorge rousse</t>
  </si>
  <si>
    <t>Stelgidopteryx ruficollis</t>
  </si>
  <si>
    <t>Drymode à croupion brun</t>
  </si>
  <si>
    <t>Drymodes brunneopygia</t>
  </si>
  <si>
    <t>Ikara-Flinders Ranges National Park--Arkaroo Rock</t>
  </si>
  <si>
    <t>L1900087</t>
  </si>
  <si>
    <t>S283067524</t>
  </si>
  <si>
    <t>Acanthize blanchâtre</t>
  </si>
  <si>
    <t>Aphelocephala leucopsis</t>
  </si>
  <si>
    <t>Calao leucomèle</t>
  </si>
  <si>
    <t>Tockus leucomelas</t>
  </si>
  <si>
    <t>Spangle-cheeked Tanager</t>
  </si>
  <si>
    <t>Calliste pailleté</t>
  </si>
  <si>
    <t>Tangara dowii</t>
  </si>
  <si>
    <t>Sparkling Violetear</t>
  </si>
  <si>
    <t>Colibri d'Anaïs</t>
  </si>
  <si>
    <t>Colibri coruscans</t>
  </si>
  <si>
    <t>Speckle-breasted Wren</t>
  </si>
  <si>
    <t>Troglodyte de Sclater</t>
  </si>
  <si>
    <t>Pheugopedius sclateri</t>
  </si>
  <si>
    <t>Speckle-fronted Weaver</t>
  </si>
  <si>
    <t>Sporopipe quadrillé</t>
  </si>
  <si>
    <t>Sporopipes frontalis</t>
  </si>
  <si>
    <t>Colibri moucheté</t>
  </si>
  <si>
    <t>Adelomyia melanogenys</t>
  </si>
  <si>
    <t>Speckled Mousebird</t>
  </si>
  <si>
    <t>Coliou rayé</t>
  </si>
  <si>
    <t>Colius striatus</t>
  </si>
  <si>
    <t>Coliiformes</t>
  </si>
  <si>
    <t>Coliidae (Mousebirds)</t>
  </si>
  <si>
    <t>Speckled Nightingale-Thrush</t>
  </si>
  <si>
    <t>Grive de Sclater</t>
  </si>
  <si>
    <t>Catharus maculatus</t>
  </si>
  <si>
    <t>Speckled Pigeon</t>
  </si>
  <si>
    <t>Pigeon roussard</t>
  </si>
  <si>
    <t>Columba guinea</t>
  </si>
  <si>
    <t>Speckled Tanager</t>
  </si>
  <si>
    <t>Calliste tiqueté</t>
  </si>
  <si>
    <t>Ixothraupis guttata</t>
  </si>
  <si>
    <t>Spectacled Owl</t>
  </si>
  <si>
    <t>Chouette à lunettes</t>
  </si>
  <si>
    <t>Pulsatrix perspicillata</t>
  </si>
  <si>
    <t>Spectacled Parrotlet</t>
  </si>
  <si>
    <t>Toui à lunettes</t>
  </si>
  <si>
    <t>Forpus conspicillatus</t>
  </si>
  <si>
    <t>S35725175</t>
  </si>
  <si>
    <t>Spectacled Redstart</t>
  </si>
  <si>
    <t>Paruline à lunettes</t>
  </si>
  <si>
    <t>Myioborus melanocephalus</t>
  </si>
  <si>
    <t>Spectacled Thrush</t>
  </si>
  <si>
    <t>Merle à lunettes</t>
  </si>
  <si>
    <t>Turdus nudigenis</t>
  </si>
  <si>
    <t>Spectacled Tyrannulet</t>
  </si>
  <si>
    <t>Tyranneau trompeur</t>
  </si>
  <si>
    <t>Zimmerius improbus</t>
  </si>
  <si>
    <t>S223736248</t>
  </si>
  <si>
    <t>Tisserin à lunettes</t>
  </si>
  <si>
    <t>Ploceus ocularis</t>
  </si>
  <si>
    <t>Méliphage à bavette</t>
  </si>
  <si>
    <t>Acanthagenys rufogularis</t>
  </si>
  <si>
    <t>Mérion splendide</t>
  </si>
  <si>
    <t>Malurus splendens</t>
  </si>
  <si>
    <t>Spot-breasted Oriole</t>
  </si>
  <si>
    <t>Oriole maculé</t>
  </si>
  <si>
    <t>Icterus pectoralis</t>
  </si>
  <si>
    <t>Highland Oaks Park</t>
  </si>
  <si>
    <t>L3098639</t>
  </si>
  <si>
    <t>S105553914</t>
  </si>
  <si>
    <t>Spot-breasted Woodpecker</t>
  </si>
  <si>
    <t>Pic de Cayenne</t>
  </si>
  <si>
    <t>Colaptes punctigula</t>
  </si>
  <si>
    <t>Spot-breasted Wren</t>
  </si>
  <si>
    <t>Troglodyte à poitrine tachetée</t>
  </si>
  <si>
    <t>Pheugopedius maculipectus</t>
  </si>
  <si>
    <t>Spot-crowned Barbet</t>
  </si>
  <si>
    <t>Cabézon à calotte tachetée</t>
  </si>
  <si>
    <t>Capito maculicoronatus</t>
  </si>
  <si>
    <t>S32519254</t>
  </si>
  <si>
    <t>Spot-crowned Woodcreeper</t>
  </si>
  <si>
    <t>Grimpar moucheté</t>
  </si>
  <si>
    <t>Lepidocolaptes affinis</t>
  </si>
  <si>
    <t>S112060413</t>
  </si>
  <si>
    <t>Spotted Antbird</t>
  </si>
  <si>
    <t>Fourmilier grivelé</t>
  </si>
  <si>
    <t>Hylophylax naevioides</t>
  </si>
  <si>
    <t>Spotted Barbtail</t>
  </si>
  <si>
    <t>Anabasitte tachetée</t>
  </si>
  <si>
    <t>Premnoplex brunnescens</t>
  </si>
  <si>
    <t>Spotted Dove</t>
  </si>
  <si>
    <t>Tourterelle tigrine</t>
  </si>
  <si>
    <t>Spilopelia chinensis</t>
  </si>
  <si>
    <t>Spotted Eagle-Owl</t>
  </si>
  <si>
    <t>Grand-duc africain</t>
  </si>
  <si>
    <t>Bubo africanus</t>
  </si>
  <si>
    <t>Spotted Pardalote</t>
  </si>
  <si>
    <t>Pardalote pointillé</t>
  </si>
  <si>
    <t>Pardalotus punctatus</t>
  </si>
  <si>
    <t>Booderee National Park--Green Patch</t>
  </si>
  <si>
    <t>L1778102</t>
  </si>
  <si>
    <t>S39909628</t>
  </si>
  <si>
    <t>Chevalier grivelé</t>
  </si>
  <si>
    <t>Actitis macularius</t>
  </si>
  <si>
    <t>Spotted Towhee</t>
  </si>
  <si>
    <t>Tohi tacheté</t>
  </si>
  <si>
    <t>Pipilo maculatus</t>
  </si>
  <si>
    <t>Spotted Wood-Quail</t>
  </si>
  <si>
    <t>Tocro tacheté</t>
  </si>
  <si>
    <t>Odontophorus guttatus</t>
  </si>
  <si>
    <t>S112193627</t>
  </si>
  <si>
    <t>Spotted Woodcreeper</t>
  </si>
  <si>
    <t>Grimpar tacheté</t>
  </si>
  <si>
    <t>Xiphorhynchus erythropygius</t>
  </si>
  <si>
    <t>Spruce Grouse</t>
  </si>
  <si>
    <t>Tétras du Canada</t>
  </si>
  <si>
    <t>Canachites canadensis</t>
  </si>
  <si>
    <t>Algonquin Provincial Park--Spruce Bog Boardwalk</t>
  </si>
  <si>
    <t>L351718</t>
  </si>
  <si>
    <t>S48781827</t>
  </si>
  <si>
    <t>Spur-winged Goose</t>
  </si>
  <si>
    <t>Oie-armée de Gambie</t>
  </si>
  <si>
    <t>Plectropterus gambensis</t>
  </si>
  <si>
    <t>Spur-winged Lapwing</t>
  </si>
  <si>
    <t>Vanneau à éperons</t>
  </si>
  <si>
    <t>Vanellus spinosus</t>
  </si>
  <si>
    <t>Squacco Heron</t>
  </si>
  <si>
    <t>Crabier chevelu</t>
  </si>
  <si>
    <t>Ardeola ralloides</t>
  </si>
  <si>
    <t>Drongo de Ludwig</t>
  </si>
  <si>
    <t>Dicrurus ludwigii</t>
  </si>
  <si>
    <t>Bondrée à queue carrée</t>
  </si>
  <si>
    <t>Lophoictinia isura</t>
  </si>
  <si>
    <t>Steely-vented Hummingbird</t>
  </si>
  <si>
    <t>Ariane de Sophie</t>
  </si>
  <si>
    <t>Saucerottia saucerottei</t>
  </si>
  <si>
    <t>Geai de Steller</t>
  </si>
  <si>
    <t>Cyanocitta stelleri</t>
  </si>
  <si>
    <t>Stout-billed Cinclodes</t>
  </si>
  <si>
    <t>Cinclode du paramo</t>
  </si>
  <si>
    <t>Cinclodes excelsior</t>
  </si>
  <si>
    <t>Straight-billed Woodcreeper</t>
  </si>
  <si>
    <t>Grimpar talapiot</t>
  </si>
  <si>
    <t>Dendroplex picus</t>
  </si>
  <si>
    <t>S32557121</t>
  </si>
  <si>
    <t>Straw-necked Ibis</t>
  </si>
  <si>
    <t>Ibis d'Australie</t>
  </si>
  <si>
    <t>Threskiornis spinicollis</t>
  </si>
  <si>
    <t>Streak-backed Canastero</t>
  </si>
  <si>
    <t>Synallaxe de Wyatt</t>
  </si>
  <si>
    <t>Asthenes wyatti</t>
  </si>
  <si>
    <t>(6.1768,-72.7664)</t>
  </si>
  <si>
    <t>L10178303</t>
  </si>
  <si>
    <t>S61654603</t>
  </si>
  <si>
    <t>Streak-backed Oriole</t>
  </si>
  <si>
    <t>Oriole à dos rayé</t>
  </si>
  <si>
    <t>Icterus pustulatus</t>
  </si>
  <si>
    <t>S112945161</t>
  </si>
  <si>
    <t>Streak-capped Spinetail</t>
  </si>
  <si>
    <t>Synallaxe des broméliades</t>
  </si>
  <si>
    <t>Cranioleuca hellmayri</t>
  </si>
  <si>
    <t>Streak-capped Treehunter</t>
  </si>
  <si>
    <t>Anabate à tête striée</t>
  </si>
  <si>
    <t>Thripadectes virgaticeps</t>
  </si>
  <si>
    <t>Streak-chested Antpitta</t>
  </si>
  <si>
    <t>Grallaire à lunettes</t>
  </si>
  <si>
    <t>Hylopezus perspicillatus</t>
  </si>
  <si>
    <t>Streak-headed Antbird</t>
  </si>
  <si>
    <t>Grisin de Chapman</t>
  </si>
  <si>
    <t>Drymophila striaticeps</t>
  </si>
  <si>
    <t>Streak-headed Woodcreeper</t>
  </si>
  <si>
    <t>Grimpar de Souleyet</t>
  </si>
  <si>
    <t>Lepidocolaptes souleyetii</t>
  </si>
  <si>
    <t>Streak-necked Flycatcher</t>
  </si>
  <si>
    <t>Pipromorphe strié</t>
  </si>
  <si>
    <t>Mionectes striaticollis</t>
  </si>
  <si>
    <t>Streak-throated Bush-Tyrant</t>
  </si>
  <si>
    <t>Moucherolle à gorge rayée</t>
  </si>
  <si>
    <t>Myiotheretes striaticollis</t>
  </si>
  <si>
    <t>Streaked Flycatcher</t>
  </si>
  <si>
    <t>Tyran audacieux</t>
  </si>
  <si>
    <t>Myiodynastes maculatus</t>
  </si>
  <si>
    <t>Streaked Saltator</t>
  </si>
  <si>
    <t>Saltator strié</t>
  </si>
  <si>
    <t>Saltator striatipectus</t>
  </si>
  <si>
    <t>S32684684</t>
  </si>
  <si>
    <t>Streaked Tuftedcheek</t>
  </si>
  <si>
    <t>Pseudocolapte de Boissonneau</t>
  </si>
  <si>
    <t>Pseudocolaptes boissonneautii</t>
  </si>
  <si>
    <t>Streaked Xenops</t>
  </si>
  <si>
    <t>Sittine striée</t>
  </si>
  <si>
    <t>Xenops rutilans</t>
  </si>
  <si>
    <t>Streaky-headed Seedeater</t>
  </si>
  <si>
    <t>Serin gris</t>
  </si>
  <si>
    <t>Crithagra gularis</t>
  </si>
  <si>
    <t>Striated Fieldwren</t>
  </si>
  <si>
    <t>Séricorne strié</t>
  </si>
  <si>
    <t>Calamanthus fuliginosus</t>
  </si>
  <si>
    <t>Avalon Saltworks--Pond A10</t>
  </si>
  <si>
    <t>L7014345</t>
  </si>
  <si>
    <t>S284353554</t>
  </si>
  <si>
    <t>Amytis strié</t>
  </si>
  <si>
    <t>Amytornis striatus</t>
  </si>
  <si>
    <t>Hattah-Kulkyne National Park--Southern Truck Stop</t>
  </si>
  <si>
    <t>L2557163</t>
  </si>
  <si>
    <t>S283564348</t>
  </si>
  <si>
    <t>Striated Heron</t>
  </si>
  <si>
    <t>Héron strié</t>
  </si>
  <si>
    <t>Butorides striata</t>
  </si>
  <si>
    <t>Pardalote à point jaune</t>
  </si>
  <si>
    <t>Pardalotus striatus</t>
  </si>
  <si>
    <t>Ikara-Flinders Ranges National Park--Bunyeroo Gorge</t>
  </si>
  <si>
    <t>L2401515</t>
  </si>
  <si>
    <t>S282936928</t>
  </si>
  <si>
    <t>Acanthize ridé</t>
  </si>
  <si>
    <t>Acanthiza lineata</t>
  </si>
  <si>
    <t>Badger Creek Caravan and Holiday Park</t>
  </si>
  <si>
    <t>L2551363</t>
  </si>
  <si>
    <t>S284097240</t>
  </si>
  <si>
    <t>Stripe-backed Wren</t>
  </si>
  <si>
    <t>Troglodyte rayé</t>
  </si>
  <si>
    <t>Campylorhynchus nuchalis</t>
  </si>
  <si>
    <t>Stripe-breasted Spinetail</t>
  </si>
  <si>
    <t>Synallaxe guiouti</t>
  </si>
  <si>
    <t>Synallaxis cinnamomea</t>
  </si>
  <si>
    <t>Stripe-breasted Wren</t>
  </si>
  <si>
    <t>Troglodyte flammé</t>
  </si>
  <si>
    <t>Cantorchilus thoracicus</t>
  </si>
  <si>
    <t>Stripe-headed Sparrow</t>
  </si>
  <si>
    <t>Bruant ligné</t>
  </si>
  <si>
    <t>Peucaea ruficauda</t>
  </si>
  <si>
    <t>S112944888</t>
  </si>
  <si>
    <t>Stripe-tailed Hummingbird</t>
  </si>
  <si>
    <t>Colibri à épaulettes</t>
  </si>
  <si>
    <t>Eupherusa eximia</t>
  </si>
  <si>
    <t>Stripe-throated Hermit</t>
  </si>
  <si>
    <t>Ermite à gorge rayée</t>
  </si>
  <si>
    <t>Phaethornis striigularis</t>
  </si>
  <si>
    <t>Stripe-throated Jery</t>
  </si>
  <si>
    <t>Grande Éroesse</t>
  </si>
  <si>
    <t>Neomixis striatigula</t>
  </si>
  <si>
    <t>Striped Cuckoo</t>
  </si>
  <si>
    <t>Géocoucou tacheté</t>
  </si>
  <si>
    <t>Tapera naevia</t>
  </si>
  <si>
    <t>Méliphage lancéolé</t>
  </si>
  <si>
    <t>Plectorhyncha lanceolata</t>
  </si>
  <si>
    <t>Striped Kingfisher</t>
  </si>
  <si>
    <t>Martin-chasseur strié</t>
  </si>
  <si>
    <t>Halcyon chelicuti</t>
  </si>
  <si>
    <t>Méliphage à bec fort</t>
  </si>
  <si>
    <t>Melithreptus validirostris</t>
  </si>
  <si>
    <t>Strong-billed Woodcreeper</t>
  </si>
  <si>
    <t>Grimpar géant</t>
  </si>
  <si>
    <t>Xiphocolaptes promeropirhynchus</t>
  </si>
  <si>
    <t>Stub-tailed Spadebill</t>
  </si>
  <si>
    <t>Platyrhynque à queue courte</t>
  </si>
  <si>
    <t>Platyrinchus cancrominus</t>
  </si>
  <si>
    <t>Stygian Owl</t>
  </si>
  <si>
    <t>Hibou maître-bois</t>
  </si>
  <si>
    <t>Asio stygius</t>
  </si>
  <si>
    <t>Subdesert Brush-Warbler</t>
  </si>
  <si>
    <t>Nésille de Lantz</t>
  </si>
  <si>
    <t>Nesillas lantzii</t>
  </si>
  <si>
    <t>Subdesert Mesite</t>
  </si>
  <si>
    <t>Mésite monias</t>
  </si>
  <si>
    <t>Monias benschi</t>
  </si>
  <si>
    <t>Sulphur-bellied Flycatcher</t>
  </si>
  <si>
    <t>Tyran tigré</t>
  </si>
  <si>
    <t>Myiodynastes luteiventris</t>
  </si>
  <si>
    <t>Sulphur-breasted Bushshrike</t>
  </si>
  <si>
    <t>Gonolek soufré</t>
  </si>
  <si>
    <t>Chlorophoneus sulfureopectus</t>
  </si>
  <si>
    <t>Sulphur-crested Cockatoo</t>
  </si>
  <si>
    <t>Cacatoès à huppe jaune</t>
  </si>
  <si>
    <t>Cacatua galerita</t>
  </si>
  <si>
    <t>Sulphur-rumped Flycatcher</t>
  </si>
  <si>
    <t>Barbichon à croupion jaune</t>
  </si>
  <si>
    <t>Myiobius sulphureipygius</t>
  </si>
  <si>
    <t>Sulphur-winged Parakeet</t>
  </si>
  <si>
    <t>Conure de Hoffmann</t>
  </si>
  <si>
    <t>Pyrrhura hoffmanni</t>
  </si>
  <si>
    <t>Summer Tanager</t>
  </si>
  <si>
    <t>Piranga vermillon</t>
  </si>
  <si>
    <t>Piranga rubra</t>
  </si>
  <si>
    <t>Sunbittern</t>
  </si>
  <si>
    <t>Caurale soleil</t>
  </si>
  <si>
    <t>Eurypyga helias</t>
  </si>
  <si>
    <t>Eurypygiformes</t>
  </si>
  <si>
    <t>Eurypygidae (Sunbittern)</t>
  </si>
  <si>
    <t>Superb Fairywren</t>
  </si>
  <si>
    <t>Mérion superbe</t>
  </si>
  <si>
    <t>Malurus cyaneus</t>
  </si>
  <si>
    <t>Ménure superbe</t>
  </si>
  <si>
    <t>Menura novaehollandiae</t>
  </si>
  <si>
    <t>Menuridae (Lyrebirds)</t>
  </si>
  <si>
    <t>S284210428</t>
  </si>
  <si>
    <t>Perruche de Barraband</t>
  </si>
  <si>
    <t>Polytelis swainsonii</t>
  </si>
  <si>
    <t>Superb Starling</t>
  </si>
  <si>
    <t>Choucador superbe</t>
  </si>
  <si>
    <t>Lamprotornis superbus</t>
  </si>
  <si>
    <t>Superciliaried Hemispingus</t>
  </si>
  <si>
    <t>Tangara bridé</t>
  </si>
  <si>
    <t>Thlypopsis superciliaris</t>
  </si>
  <si>
    <t>Surf Scoter</t>
  </si>
  <si>
    <t>Macreuse à front blanc</t>
  </si>
  <si>
    <t>Melanitta perspicillata</t>
  </si>
  <si>
    <t>S18195574</t>
  </si>
  <si>
    <t>Swainson's Hawk</t>
  </si>
  <si>
    <t>Buse de Swainson</t>
  </si>
  <si>
    <t>Buteo swainsoni</t>
  </si>
  <si>
    <t>Francolin de Swainson</t>
  </si>
  <si>
    <t>Pternistis swainsonii</t>
  </si>
  <si>
    <t>Grive à dos olive</t>
  </si>
  <si>
    <t>Catharus ustulatus</t>
  </si>
  <si>
    <t>Swallow Tanager</t>
  </si>
  <si>
    <t>Tersine hirondelle</t>
  </si>
  <si>
    <t>Tersina viridis</t>
  </si>
  <si>
    <t>Swallow-tailed Gull</t>
  </si>
  <si>
    <t>Mouette à queue fourchue</t>
  </si>
  <si>
    <t>Creagrus furcatus</t>
  </si>
  <si>
    <t>Swallow-tailed Kite</t>
  </si>
  <si>
    <t>Naucler à queue fourchue</t>
  </si>
  <si>
    <t>Elanoides forficatus</t>
  </si>
  <si>
    <t>Swamp Harrier</t>
  </si>
  <si>
    <t>Busard de Gould</t>
  </si>
  <si>
    <t>Circus approximans</t>
  </si>
  <si>
    <t>Bruant des marais</t>
  </si>
  <si>
    <t>Melospiza georgiana</t>
  </si>
  <si>
    <t>St. Marks NWR--East River Pool</t>
  </si>
  <si>
    <t>L3109497</t>
  </si>
  <si>
    <t>S25816538</t>
  </si>
  <si>
    <t>Perruche de Latham</t>
  </si>
  <si>
    <t>Lathamus discolor</t>
  </si>
  <si>
    <t>Hundred Acre Hideaway (restricted access)</t>
  </si>
  <si>
    <t>L29756764</t>
  </si>
  <si>
    <t>S285116367</t>
  </si>
  <si>
    <t>Sword-billed Hummingbird</t>
  </si>
  <si>
    <t>Colibri porte-épée</t>
  </si>
  <si>
    <t>Ensifera ensifera</t>
  </si>
  <si>
    <t>Talamanca Hummingbird</t>
  </si>
  <si>
    <t>Colibri de la Talamanca</t>
  </si>
  <si>
    <t>Eugenes spectabilis</t>
  </si>
  <si>
    <t>Tasmanian Nativehen</t>
  </si>
  <si>
    <t>Gallinule de Tasmanie</t>
  </si>
  <si>
    <t>Tribonyx mortierii</t>
  </si>
  <si>
    <t>Kingston Stormwater Wetlands</t>
  </si>
  <si>
    <t>L2498851</t>
  </si>
  <si>
    <t>S284976571</t>
  </si>
  <si>
    <t>Séricorne brun</t>
  </si>
  <si>
    <t>Sericornis humilis</t>
  </si>
  <si>
    <t>Tasmanian Thornbill</t>
  </si>
  <si>
    <t>Acanthize de Tasmanie</t>
  </si>
  <si>
    <t>Acanthiza ewingii</t>
  </si>
  <si>
    <t>Grallaire de Quito</t>
  </si>
  <si>
    <t>Grallaria quitensis</t>
  </si>
  <si>
    <t>Tawny Eagle</t>
  </si>
  <si>
    <t>Aigle ravisseur</t>
  </si>
  <si>
    <t>Aquila rapax</t>
  </si>
  <si>
    <t>Tawny Frogmouth</t>
  </si>
  <si>
    <t>Podarge gris</t>
  </si>
  <si>
    <t>Podargus strigoides</t>
  </si>
  <si>
    <t>Podargiformes</t>
  </si>
  <si>
    <t>Podargidae (Frogmouths)</t>
  </si>
  <si>
    <t>Knocklofty Reserve</t>
  </si>
  <si>
    <t>L2548533</t>
  </si>
  <si>
    <t>S285513715</t>
  </si>
  <si>
    <t>Tawny-capped Euphonia</t>
  </si>
  <si>
    <t>Organiste à couronne rousse</t>
  </si>
  <si>
    <t>Euphonia anneae</t>
  </si>
  <si>
    <t>Tawny-crested Tanager</t>
  </si>
  <si>
    <t>Tangara de Delattre</t>
  </si>
  <si>
    <t>Tachyphonus delatrii</t>
  </si>
  <si>
    <t>Tawny-faced Gnatwren</t>
  </si>
  <si>
    <t>Microbate cendré</t>
  </si>
  <si>
    <t>Microbates cinereiventris</t>
  </si>
  <si>
    <t>Tawny-flanked Prinia</t>
  </si>
  <si>
    <t>Prinia modeste</t>
  </si>
  <si>
    <t>Prinia subflava</t>
  </si>
  <si>
    <t>Tawny-winged Woodcreeper</t>
  </si>
  <si>
    <t>Grimpar à ailes rousses</t>
  </si>
  <si>
    <t>Dendrocincla anabatina</t>
  </si>
  <si>
    <t>Temminck's Courser</t>
  </si>
  <si>
    <t>Courvite de Temminck</t>
  </si>
  <si>
    <t>Cursorius temminckii</t>
  </si>
  <si>
    <t>Tennessee Warbler</t>
  </si>
  <si>
    <t>Paruline obscure</t>
  </si>
  <si>
    <t>Leiothlypis peregrina</t>
  </si>
  <si>
    <t>Thick-billed Euphonia</t>
  </si>
  <si>
    <t>Organiste à bec épais</t>
  </si>
  <si>
    <t>Euphonia laniirostris</t>
  </si>
  <si>
    <t>Thick-billed Grasswren</t>
  </si>
  <si>
    <t>Amytis à bec fort</t>
  </si>
  <si>
    <t>Amytornis modestus</t>
  </si>
  <si>
    <t>Thick-billed Seed-Finch</t>
  </si>
  <si>
    <t>Sporophile à bec fort</t>
  </si>
  <si>
    <t>Sporophila funerea</t>
  </si>
  <si>
    <t>Thicket Antpitta</t>
  </si>
  <si>
    <t>Grallaire buissonnière</t>
  </si>
  <si>
    <t>Myrmothera dives</t>
  </si>
  <si>
    <t>Three-banded Plover</t>
  </si>
  <si>
    <t>Pluvier à triple collier</t>
  </si>
  <si>
    <t>Thinornis tricollaris</t>
  </si>
  <si>
    <t>Three-striped Warbler</t>
  </si>
  <si>
    <t>Paruline triligne</t>
  </si>
  <si>
    <t>Basileuterus tristriatus</t>
  </si>
  <si>
    <t>Three-wattled Bellbird</t>
  </si>
  <si>
    <t>Araponga tricaronculé</t>
  </si>
  <si>
    <t>Procnias tricarunculatus</t>
  </si>
  <si>
    <t>Timberline Wren</t>
  </si>
  <si>
    <t>Troglodyte des volcans</t>
  </si>
  <si>
    <t>Thryorchilus browni</t>
  </si>
  <si>
    <t>Tiny Hawk</t>
  </si>
  <si>
    <t>Épervier nain</t>
  </si>
  <si>
    <t>Microspizias superciliosus</t>
  </si>
  <si>
    <t>Tocuyo Sparrow</t>
  </si>
  <si>
    <t>Tohi de Tocuyo</t>
  </si>
  <si>
    <t>Arremonops tocuyensis</t>
  </si>
  <si>
    <t>Tody Motmot</t>
  </si>
  <si>
    <t>Motmot nain</t>
  </si>
  <si>
    <t>Hylomanes momotula</t>
  </si>
  <si>
    <t>Topknot Pigeon</t>
  </si>
  <si>
    <t>Carpophage à double huppe</t>
  </si>
  <si>
    <t>Lopholaimus antarcticus</t>
  </si>
  <si>
    <t>Torrent Duck</t>
  </si>
  <si>
    <t>Merganette des torrents</t>
  </si>
  <si>
    <t>Merganetta armata</t>
  </si>
  <si>
    <t>Torrent Tyrannulet</t>
  </si>
  <si>
    <t>Tyranneau des torrents</t>
  </si>
  <si>
    <t>Serpophaga cinerea</t>
  </si>
  <si>
    <t>Toucan Barbet</t>
  </si>
  <si>
    <t>Cabézon toucan</t>
  </si>
  <si>
    <t>Semnornis ramphastinus</t>
  </si>
  <si>
    <t>Tourmaline Sunangel</t>
  </si>
  <si>
    <t>Héliange tourmaline</t>
  </si>
  <si>
    <t>Heliangelus exortis</t>
  </si>
  <si>
    <t>Paruline de Townsend</t>
  </si>
  <si>
    <t>Setophaga townsendi</t>
  </si>
  <si>
    <t>Tree Martin</t>
  </si>
  <si>
    <t>Hirondelle des arbres</t>
  </si>
  <si>
    <t>Petrochelidon nigricans</t>
  </si>
  <si>
    <t>Hirondelle bicolore</t>
  </si>
  <si>
    <t>Tachycineta bicolor</t>
  </si>
  <si>
    <t>Tricolored Heron</t>
  </si>
  <si>
    <t>Aigrette tricolore</t>
  </si>
  <si>
    <t>Egretta tricolor</t>
  </si>
  <si>
    <t>Trinidad Euphonia</t>
  </si>
  <si>
    <t>Organiste de Trinidad</t>
  </si>
  <si>
    <t>Euphonia trinitatis</t>
  </si>
  <si>
    <t>Trinidad Motmot</t>
  </si>
  <si>
    <t>Motmot de Trinidad</t>
  </si>
  <si>
    <t>Momotus bahamensis</t>
  </si>
  <si>
    <t>Tropical Gnatcatcher</t>
  </si>
  <si>
    <t>Gobemoucheron tropical</t>
  </si>
  <si>
    <t>Polioptila plumbea</t>
  </si>
  <si>
    <t>Tropical Kingbird</t>
  </si>
  <si>
    <t>Tyran mélancolique</t>
  </si>
  <si>
    <t>Tyrannus melancholicus</t>
  </si>
  <si>
    <t>Tropical Mockingbird</t>
  </si>
  <si>
    <t>Moqueur des savanes</t>
  </si>
  <si>
    <t>Mimus gilvus</t>
  </si>
  <si>
    <t>Tropical Parula</t>
  </si>
  <si>
    <t>Paruline à joues noires</t>
  </si>
  <si>
    <t>Setophaga pitiayumi</t>
  </si>
  <si>
    <t>Porte-éventail roi</t>
  </si>
  <si>
    <t>Onychorhynchus coronatus</t>
  </si>
  <si>
    <t>Tropical Screech-Owl</t>
  </si>
  <si>
    <t>Petit-duc choliba</t>
  </si>
  <si>
    <t>Megascops choliba</t>
  </si>
  <si>
    <t>Calao trompette</t>
  </si>
  <si>
    <t>Bycanistes bucinator</t>
  </si>
  <si>
    <t>Trumpeter Swan</t>
  </si>
  <si>
    <t>Cygne trompette</t>
  </si>
  <si>
    <t>Cygnus buccinator</t>
  </si>
  <si>
    <t>Burlington--LaSalle Park/Marina</t>
  </si>
  <si>
    <t>L168802</t>
  </si>
  <si>
    <t>S18234413</t>
  </si>
  <si>
    <t>Tufted Coquette</t>
  </si>
  <si>
    <t>Coquette huppe-col</t>
  </si>
  <si>
    <t>Lophornis ornatus</t>
  </si>
  <si>
    <t>Tufted Duck</t>
  </si>
  <si>
    <t>Fuligule morillon</t>
  </si>
  <si>
    <t>Aythya fuligula</t>
  </si>
  <si>
    <t>S52289929</t>
  </si>
  <si>
    <t>Tufted Flycatcher</t>
  </si>
  <si>
    <t>Moucherolle huppé</t>
  </si>
  <si>
    <t>Mitrephanes phaeocercus</t>
  </si>
  <si>
    <t>Tufted Tit-Tyrant</t>
  </si>
  <si>
    <t>Taurillon mésange</t>
  </si>
  <si>
    <t>Anairetes parulus</t>
  </si>
  <si>
    <t>Tufted Titmouse</t>
  </si>
  <si>
    <t>Mésange bicolore</t>
  </si>
  <si>
    <t>Baeolophus bicolor</t>
  </si>
  <si>
    <t>S36506146</t>
  </si>
  <si>
    <t>Cygne siffleur</t>
  </si>
  <si>
    <t>Cygnus columbianus</t>
  </si>
  <si>
    <t>Old Wives Lake Migratory Bird Sanctuary and IBA</t>
  </si>
  <si>
    <t>L717463</t>
  </si>
  <si>
    <t>S25406399</t>
  </si>
  <si>
    <t>Turkey Vulture</t>
  </si>
  <si>
    <t>Urubu à tête rouge</t>
  </si>
  <si>
    <t>Cathartes aura</t>
  </si>
  <si>
    <t>Turquoise Dacnis</t>
  </si>
  <si>
    <t>Dacnis de Hartlaub</t>
  </si>
  <si>
    <t>Dacnis hartlaubi</t>
  </si>
  <si>
    <t>Turquoise Jay</t>
  </si>
  <si>
    <t>Geai turquoise</t>
  </si>
  <si>
    <t>Cyanolyca turcosa</t>
  </si>
  <si>
    <t>Perruche turquoisine</t>
  </si>
  <si>
    <t>Neophema pulchella</t>
  </si>
  <si>
    <t>Turquoise Tanager</t>
  </si>
  <si>
    <t>Calliste diable-enrhumé</t>
  </si>
  <si>
    <t>Tangara mexicana</t>
  </si>
  <si>
    <t>Turquoise-browed Motmot</t>
  </si>
  <si>
    <t>Motmot à sourcils bleus</t>
  </si>
  <si>
    <t>Eumomota superciliosa</t>
  </si>
  <si>
    <t>Turquoise-winged Parrotlet</t>
  </si>
  <si>
    <t>Toui de Spengel</t>
  </si>
  <si>
    <t>Forpus spengeli</t>
  </si>
  <si>
    <t>Tylas Vanga</t>
  </si>
  <si>
    <t>Tylas à tête noire</t>
  </si>
  <si>
    <t>Tylas eduardi</t>
  </si>
  <si>
    <t>Tyrannine Woodcreeper</t>
  </si>
  <si>
    <t>Grimpar tyran</t>
  </si>
  <si>
    <t>Dendrocincla tyrannina</t>
  </si>
  <si>
    <t>Tyrian Metaltail</t>
  </si>
  <si>
    <t>Métallure émeraude</t>
  </si>
  <si>
    <t>Metallura tyrianthina</t>
  </si>
  <si>
    <t>Uniform Crake</t>
  </si>
  <si>
    <t>Râle concolore</t>
  </si>
  <si>
    <t>Amaurolimnas concolor</t>
  </si>
  <si>
    <t>Maubèche des champs</t>
  </si>
  <si>
    <t>Bartramia longicauda</t>
  </si>
  <si>
    <t>Lake Francis PWMA--Twin Beach Rd.</t>
  </si>
  <si>
    <t>L1148802</t>
  </si>
  <si>
    <t>S46842671</t>
  </si>
  <si>
    <t>Variable Seedeater</t>
  </si>
  <si>
    <t>Sporophile variable</t>
  </si>
  <si>
    <t>Sporophila corvina</t>
  </si>
  <si>
    <t>Vaux's Swift</t>
  </si>
  <si>
    <t>Martinet de Vaux</t>
  </si>
  <si>
    <t>Chaetura vauxi</t>
  </si>
  <si>
    <t>Veery</t>
  </si>
  <si>
    <t>Grive fauve</t>
  </si>
  <si>
    <t>Catharus fuscescens</t>
  </si>
  <si>
    <t>Velvet Asity</t>
  </si>
  <si>
    <t>Philépitte veloutée</t>
  </si>
  <si>
    <t>Philepitta castanea</t>
  </si>
  <si>
    <t>Philepittidae (Asities)</t>
  </si>
  <si>
    <t>Velvet-purple Coronet</t>
  </si>
  <si>
    <t>Colibri de Jardine</t>
  </si>
  <si>
    <t>Boissonneaua jardini</t>
  </si>
  <si>
    <t>Velvety Manakin</t>
  </si>
  <si>
    <t>Manakin velouté</t>
  </si>
  <si>
    <t>Lepidothrix velutina</t>
  </si>
  <si>
    <t>Venezuelan Flycatcher</t>
  </si>
  <si>
    <t>Tyran du Venezuela</t>
  </si>
  <si>
    <t>Myiarchus venezuelensis</t>
  </si>
  <si>
    <t>Mango de Veraguas</t>
  </si>
  <si>
    <t>Anthracothorax veraguensis</t>
  </si>
  <si>
    <t>Vermilion Cardinal</t>
  </si>
  <si>
    <t>Cardinal vermillon</t>
  </si>
  <si>
    <t>Cardinalis phoeniceus</t>
  </si>
  <si>
    <t>Vermilion Flycatcher</t>
  </si>
  <si>
    <t>Moucherolle vermillon</t>
  </si>
  <si>
    <t>Pyrocephalus rubinus</t>
  </si>
  <si>
    <t>Coua de Verreaux</t>
  </si>
  <si>
    <t>Coua verreauxi</t>
  </si>
  <si>
    <t>Grand-duc de Verreaux</t>
  </si>
  <si>
    <t>Ketupa lactea</t>
  </si>
  <si>
    <t>S102122144</t>
  </si>
  <si>
    <t>Bruant vespéral</t>
  </si>
  <si>
    <t>Pooecetes gramineus</t>
  </si>
  <si>
    <t>Village Indigobird</t>
  </si>
  <si>
    <t>Combassou du Sénégal</t>
  </si>
  <si>
    <t>Vidua chalybeata</t>
  </si>
  <si>
    <t>Village Weaver</t>
  </si>
  <si>
    <t>Tisserin gendarme</t>
  </si>
  <si>
    <t>Ploceus cucullatus</t>
  </si>
  <si>
    <t>Violaceous Euphonia</t>
  </si>
  <si>
    <t>Organiste teité</t>
  </si>
  <si>
    <t>Euphonia violacea</t>
  </si>
  <si>
    <t>Violet Sabrewing</t>
  </si>
  <si>
    <t>Campyloptère violet</t>
  </si>
  <si>
    <t>Campylopterus hemileucurus</t>
  </si>
  <si>
    <t>La Paz Waterfall Gardens</t>
  </si>
  <si>
    <t>L445844</t>
  </si>
  <si>
    <t>S102217407</t>
  </si>
  <si>
    <t>Violet-bellied Hummingbird</t>
  </si>
  <si>
    <t>Colibri de Julie</t>
  </si>
  <si>
    <t>Chlorestes julie</t>
  </si>
  <si>
    <t>S32610424</t>
  </si>
  <si>
    <t>Violet-eared Waxbill</t>
  </si>
  <si>
    <t>Cordonbleu grenadin</t>
  </si>
  <si>
    <t>Granatina granatina</t>
  </si>
  <si>
    <t>Violet-headed Hummingbird</t>
  </si>
  <si>
    <t>Colibri à tête violette</t>
  </si>
  <si>
    <t>Klais guimeti</t>
  </si>
  <si>
    <t>Violet-tailed Sylph</t>
  </si>
  <si>
    <t>Sylphe à queue violette</t>
  </si>
  <si>
    <t>Aglaiocercus coelestis</t>
  </si>
  <si>
    <t>Virginia Rail</t>
  </si>
  <si>
    <t>Râle de Virginie</t>
  </si>
  <si>
    <t>Rallus limicola</t>
  </si>
  <si>
    <t>MacGregor Point Provincial Park--Tower Trail</t>
  </si>
  <si>
    <t>L2143880</t>
  </si>
  <si>
    <t>S45466919</t>
  </si>
  <si>
    <t>Viridian Metaltail</t>
  </si>
  <si>
    <t>Métallure verte</t>
  </si>
  <si>
    <t>Metallura williami</t>
  </si>
  <si>
    <t>Volcano Hummingbird</t>
  </si>
  <si>
    <t>Colibri flammule</t>
  </si>
  <si>
    <t>Selasphorus flammula</t>
  </si>
  <si>
    <t>Volcano Junco</t>
  </si>
  <si>
    <t>Junco des volcans</t>
  </si>
  <si>
    <t>Junco vulcani</t>
  </si>
  <si>
    <t>Calao de der Decken</t>
  </si>
  <si>
    <t>Tockus deckeni</t>
  </si>
  <si>
    <t>Aigle de Wahlberg</t>
  </si>
  <si>
    <t>Hieraaetus wahlbergi</t>
  </si>
  <si>
    <t>Wandering Tattler</t>
  </si>
  <si>
    <t>Chevalier errant</t>
  </si>
  <si>
    <t>Tringa incana</t>
  </si>
  <si>
    <t>Liliuokalani Gardens, Coconut Island and Banyan Drive Hilo</t>
  </si>
  <si>
    <t>L3006267</t>
  </si>
  <si>
    <t>S49551078</t>
  </si>
  <si>
    <t>Warbling White-eye</t>
  </si>
  <si>
    <t>Zostérops du Japon</t>
  </si>
  <si>
    <t>Zosterops japonicus</t>
  </si>
  <si>
    <t>Water Thick-knee</t>
  </si>
  <si>
    <t>Oedicnème vermiculé</t>
  </si>
  <si>
    <t>Burhinus vermiculatus</t>
  </si>
  <si>
    <t>Wattled Crane</t>
  </si>
  <si>
    <t>Grue caronculée</t>
  </si>
  <si>
    <t>Grus carunculatus</t>
  </si>
  <si>
    <t>Wattled Jacana</t>
  </si>
  <si>
    <t>Jacana noir</t>
  </si>
  <si>
    <t>Jacana jacana</t>
  </si>
  <si>
    <t>Vanneau du Sénégal</t>
  </si>
  <si>
    <t>Vanellus senegallus</t>
  </si>
  <si>
    <t>Wattled Starling</t>
  </si>
  <si>
    <t>Étourneau caronculé</t>
  </si>
  <si>
    <t>Creatophora cinerea</t>
  </si>
  <si>
    <t>Waved Albatross</t>
  </si>
  <si>
    <t>Albatros des Galapagos</t>
  </si>
  <si>
    <t>Phoebastria irrorata</t>
  </si>
  <si>
    <t>Diomedeidae (Albatrosses)</t>
  </si>
  <si>
    <t>Wedge-billed Woodcreeper</t>
  </si>
  <si>
    <t>Grimpar bec-en-coin</t>
  </si>
  <si>
    <t>Glyphorynchus spirurus</t>
  </si>
  <si>
    <t>Wedge-tailed Eagle</t>
  </si>
  <si>
    <t>Aigle d'Australie</t>
  </si>
  <si>
    <t>Aquila audax</t>
  </si>
  <si>
    <t>Wedge-tailed Sabrewing</t>
  </si>
  <si>
    <t>Campyloptère pampa</t>
  </si>
  <si>
    <t>Pampa curvipennis</t>
  </si>
  <si>
    <t>Séricorne à bec court</t>
  </si>
  <si>
    <t>Smicrornis brevirostris</t>
  </si>
  <si>
    <t>Welcome Swallow</t>
  </si>
  <si>
    <t>Hirondelle messagère</t>
  </si>
  <si>
    <t>Hirundo neoxena</t>
  </si>
  <si>
    <t>Merlebleu de l'Ouest</t>
  </si>
  <si>
    <t>Sialia mexicana</t>
  </si>
  <si>
    <t>Western Cattle-Egret</t>
  </si>
  <si>
    <t>Héron garde-boeufs</t>
  </si>
  <si>
    <t>Ardea ibis</t>
  </si>
  <si>
    <t>Western Emerald</t>
  </si>
  <si>
    <t>Émeraude à bec noir</t>
  </si>
  <si>
    <t>Chlorostilbon melanorhynchus</t>
  </si>
  <si>
    <t>Recinto del Pensamiento</t>
  </si>
  <si>
    <t>L3228404</t>
  </si>
  <si>
    <t>S20966802</t>
  </si>
  <si>
    <t>Gérygone à queue blanche</t>
  </si>
  <si>
    <t>Gerygone fusca</t>
  </si>
  <si>
    <t>Grèbe élégant</t>
  </si>
  <si>
    <t>Aechmophorus occidentalis</t>
  </si>
  <si>
    <t>Cabrillo National Monument</t>
  </si>
  <si>
    <t>L280562</t>
  </si>
  <si>
    <t>S15428469</t>
  </si>
  <si>
    <t>Western Gull</t>
  </si>
  <si>
    <t>Goéland d'Audubon</t>
  </si>
  <si>
    <t>Larus occidentalis</t>
  </si>
  <si>
    <t>Western House-Martin</t>
  </si>
  <si>
    <t>Hirondelle de fenêtre</t>
  </si>
  <si>
    <t>Delichon urbicum</t>
  </si>
  <si>
    <t>Western Kingbird</t>
  </si>
  <si>
    <t>Tyran de l'Ouest</t>
  </si>
  <si>
    <t>Tyrannus verticalis</t>
  </si>
  <si>
    <t>Oak Hammock Marsh PWMA</t>
  </si>
  <si>
    <t>L17696</t>
  </si>
  <si>
    <t>S46813770</t>
  </si>
  <si>
    <t>Sturnelle de l'Ouest</t>
  </si>
  <si>
    <t>Sturnella neglecta</t>
  </si>
  <si>
    <t>Tyranneau du Napo</t>
  </si>
  <si>
    <t>Rhynchocyclus aequinoctialis</t>
  </si>
  <si>
    <t>Western Sandpiper</t>
  </si>
  <si>
    <t>Bécasseau d'Alaska</t>
  </si>
  <si>
    <t>Calidris mauri</t>
  </si>
  <si>
    <t>San Carlos Bay/Bunche Beach Preserve</t>
  </si>
  <si>
    <t>L301036</t>
  </si>
  <si>
    <t>S106853941</t>
  </si>
  <si>
    <t>Zéna à tête rayée</t>
  </si>
  <si>
    <t>Spindalis zena</t>
  </si>
  <si>
    <t>Phaenicophilidae (Greater Antillean Tanagers)</t>
  </si>
  <si>
    <t>Western Wood-Pewee</t>
  </si>
  <si>
    <t>Pioui de l'Ouest</t>
  </si>
  <si>
    <t>Contopus sordidulus</t>
  </si>
  <si>
    <t>Western Woodhaunter</t>
  </si>
  <si>
    <t>Anabate de Lawrence</t>
  </si>
  <si>
    <t>Automolus virgatus</t>
  </si>
  <si>
    <t>Whiskered Tern</t>
  </si>
  <si>
    <t>Guifette moustac</t>
  </si>
  <si>
    <t>Chlidonias hybrida</t>
  </si>
  <si>
    <t>Whistling Heron</t>
  </si>
  <si>
    <t>Héron flûte-du-soleil</t>
  </si>
  <si>
    <t>Syrigma sibilatrix</t>
  </si>
  <si>
    <t>Whistling Kite</t>
  </si>
  <si>
    <t>Milan siffleur</t>
  </si>
  <si>
    <t>Haliastur sphenurus</t>
  </si>
  <si>
    <t>White Hawk</t>
  </si>
  <si>
    <t>Buse blanche</t>
  </si>
  <si>
    <t>Pseudastur albicollis</t>
  </si>
  <si>
    <t>White Ibis</t>
  </si>
  <si>
    <t>Ibis blanc</t>
  </si>
  <si>
    <t>Eudocimus albus</t>
  </si>
  <si>
    <t>Hirondelle à dos blanc</t>
  </si>
  <si>
    <t>Cheramoeca leucosterna</t>
  </si>
  <si>
    <t>Birdsville Track, Marree Station AU-SA -29.57233, 138.15251</t>
  </si>
  <si>
    <t>L54803797</t>
  </si>
  <si>
    <t>S282937024</t>
  </si>
  <si>
    <t>Vautour africain</t>
  </si>
  <si>
    <t>Gyps africanus</t>
  </si>
  <si>
    <t>White-banded Tyrannulet</t>
  </si>
  <si>
    <t>Tyranneau à sourcils blancs</t>
  </si>
  <si>
    <t>Mecocerculus stictopterus</t>
  </si>
  <si>
    <t>White-bearded Manakin</t>
  </si>
  <si>
    <t>Manakin casse-noisette</t>
  </si>
  <si>
    <t>Manacus manacus</t>
  </si>
  <si>
    <t>White-bellied Antbird</t>
  </si>
  <si>
    <t>Alapi à ventre blanc</t>
  </si>
  <si>
    <t>Myrmeciza longipes</t>
  </si>
  <si>
    <t>White-bellied Emerald</t>
  </si>
  <si>
    <t>Ariane candide</t>
  </si>
  <si>
    <t>Chlorestes candida</t>
  </si>
  <si>
    <t>White-bellied Go-away-bird</t>
  </si>
  <si>
    <t>Touraco à ventre blanc</t>
  </si>
  <si>
    <t>Crinifer leucogaster</t>
  </si>
  <si>
    <t>White-bellied Mountain-gem</t>
  </si>
  <si>
    <t>Colibri à gorge lilas</t>
  </si>
  <si>
    <t>Lampornis hemileucus</t>
  </si>
  <si>
    <t>White-bellied Sea-Eagle</t>
  </si>
  <si>
    <t>Pygargue blagre</t>
  </si>
  <si>
    <t>Icthyophaga leucogaster</t>
  </si>
  <si>
    <t>White-bellied Sunbird</t>
  </si>
  <si>
    <t>Souimanga à ventre blanc</t>
  </si>
  <si>
    <t>Cinnyris talatala</t>
  </si>
  <si>
    <t>White-bellied Woodstar</t>
  </si>
  <si>
    <t>Colibri de Mulsant</t>
  </si>
  <si>
    <t>Chaetocercus mulsant</t>
  </si>
  <si>
    <t>White-booted Racket-tail</t>
  </si>
  <si>
    <t>Haut-de-chausses à palettes</t>
  </si>
  <si>
    <t>Ocreatus underwoodii</t>
  </si>
  <si>
    <t>White-breasted Nuthatch</t>
  </si>
  <si>
    <t>Sittelle à poitrine blanche</t>
  </si>
  <si>
    <t>Sitta carolinensis</t>
  </si>
  <si>
    <t>White-breasted Wood-Wren</t>
  </si>
  <si>
    <t>Troglodyte à poitrine blanche</t>
  </si>
  <si>
    <t>Henicorhina leucosticta</t>
  </si>
  <si>
    <t>Langrayen à ventre blanc</t>
  </si>
  <si>
    <t>Artamus leucorynchus</t>
  </si>
  <si>
    <t>Pomatostome bridé</t>
  </si>
  <si>
    <t>Pomatostomus superciliosus</t>
  </si>
  <si>
    <t>White-browed Coucal</t>
  </si>
  <si>
    <t>Coucal à sourcils blancs</t>
  </si>
  <si>
    <t>Centropus superciliosus</t>
  </si>
  <si>
    <t>White-browed Gnatcatcher</t>
  </si>
  <si>
    <t>Gobemoucheron à sourcils blancs</t>
  </si>
  <si>
    <t>Polioptila bilineata</t>
  </si>
  <si>
    <t>White-browed Owl</t>
  </si>
  <si>
    <t>Chevêche à sourcils blancs</t>
  </si>
  <si>
    <t>Athene superciliaris</t>
  </si>
  <si>
    <t>White-browed Robin-Chat</t>
  </si>
  <si>
    <t>Cossyphe de Heuglin</t>
  </si>
  <si>
    <t>Cossypha heuglini</t>
  </si>
  <si>
    <t>Agrobate à dos roux</t>
  </si>
  <si>
    <t>Cercotrichas leucophrys</t>
  </si>
  <si>
    <t>White-browed Scrubwren</t>
  </si>
  <si>
    <t>Séricorne à sourcils blancs</t>
  </si>
  <si>
    <t>Sericornis frontalis</t>
  </si>
  <si>
    <t>White-browed Spinetail</t>
  </si>
  <si>
    <t>Synallaxe à sourcils blancs</t>
  </si>
  <si>
    <t>Hellmayrea gularis</t>
  </si>
  <si>
    <t>Échelet à sourcils blancs</t>
  </si>
  <si>
    <t>Climacteris affinis</t>
  </si>
  <si>
    <t>Meringur Nature Conservation Reserve</t>
  </si>
  <si>
    <t>L2557690</t>
  </si>
  <si>
    <t>S283347600</t>
  </si>
  <si>
    <t>Langrayen bridé</t>
  </si>
  <si>
    <t>Artamus superciliosus</t>
  </si>
  <si>
    <t>White-capped Albatross</t>
  </si>
  <si>
    <t>Albatros à cape blanche</t>
  </si>
  <si>
    <t>Thalassarche cauta</t>
  </si>
  <si>
    <t>S285003227</t>
  </si>
  <si>
    <t>White-capped Dipper</t>
  </si>
  <si>
    <t>Cincle à tête blanche</t>
  </si>
  <si>
    <t>Cinclus leucocephalus</t>
  </si>
  <si>
    <t>White-capped Tanager</t>
  </si>
  <si>
    <t>Tangara à coiffe blanche</t>
  </si>
  <si>
    <t>Sericossypha albocristata</t>
  </si>
  <si>
    <t>Méliphage fardé</t>
  </si>
  <si>
    <t>Phylidonyris niger</t>
  </si>
  <si>
    <t>White-cheeked Pintail</t>
  </si>
  <si>
    <t>Canard des Bahamas</t>
  </si>
  <si>
    <t>Anas bahamensis</t>
  </si>
  <si>
    <t>White-chested Emerald</t>
  </si>
  <si>
    <t>Ariane à poitrine blanche</t>
  </si>
  <si>
    <t>Chrysuronia brevirostris</t>
  </si>
  <si>
    <t>White-chinned Thistletail</t>
  </si>
  <si>
    <t>Synallaxe à menton blanc</t>
  </si>
  <si>
    <t>Asthenes fuliginosa</t>
  </si>
  <si>
    <t>White-collared Manakin</t>
  </si>
  <si>
    <t>Manakin à col blanc</t>
  </si>
  <si>
    <t>Manacus candei</t>
  </si>
  <si>
    <t>White-collared Swift</t>
  </si>
  <si>
    <t>Martinet à collier blanc</t>
  </si>
  <si>
    <t>Streptoprocne zonaris</t>
  </si>
  <si>
    <t>White-crested Elaenia</t>
  </si>
  <si>
    <t>Élénie à cimier blanc</t>
  </si>
  <si>
    <t>Elaenia albiceps</t>
  </si>
  <si>
    <t>Bagadais casqué</t>
  </si>
  <si>
    <t>Prionops plumatus</t>
  </si>
  <si>
    <t>Vanneau à tête blanche</t>
  </si>
  <si>
    <t>Vanellus albiceps</t>
  </si>
  <si>
    <t>White-crowned Parrot</t>
  </si>
  <si>
    <t>Pione à couronne blanche</t>
  </si>
  <si>
    <t>Pionus senilis</t>
  </si>
  <si>
    <t>White-crowned Shrike</t>
  </si>
  <si>
    <t>Eurocéphale à couronne blanche</t>
  </si>
  <si>
    <t>Eurocephalus anguitimens</t>
  </si>
  <si>
    <t>Bruant à couronne blanche</t>
  </si>
  <si>
    <t>Zonotrichia leucophrys</t>
  </si>
  <si>
    <t>Barbican oreillard</t>
  </si>
  <si>
    <t>Stactolaema leucotis</t>
  </si>
  <si>
    <t>White-eared Conebill</t>
  </si>
  <si>
    <t>Conirostre oreillard</t>
  </si>
  <si>
    <t>Conirostrum leucogenys</t>
  </si>
  <si>
    <t>White-eared Ground-Sparrow</t>
  </si>
  <si>
    <t>Tohi oreillard</t>
  </si>
  <si>
    <t>Melozone leucotis</t>
  </si>
  <si>
    <t>White-eared Honeyeater</t>
  </si>
  <si>
    <t>Méliphage leucotique</t>
  </si>
  <si>
    <t>Nesoptilotis leucotis</t>
  </si>
  <si>
    <t>White-eyed Vireo</t>
  </si>
  <si>
    <t>Viréo aux yeux blancs</t>
  </si>
  <si>
    <t>Vireo griseus</t>
  </si>
  <si>
    <t>White-faced Heron</t>
  </si>
  <si>
    <t>Aigrette à face blanche</t>
  </si>
  <si>
    <t>Egretta novaehollandiae</t>
  </si>
  <si>
    <t>Ibis à face blanche</t>
  </si>
  <si>
    <t>Plegadis chihi</t>
  </si>
  <si>
    <t>White-faced Whistling-Duck</t>
  </si>
  <si>
    <t>Dendrocygne veuf</t>
  </si>
  <si>
    <t>Dendrocygna viduata</t>
  </si>
  <si>
    <t>White-flanked Antwren</t>
  </si>
  <si>
    <t>Myrmidon à flancs blancs</t>
  </si>
  <si>
    <t>Myrmotherula axillaris</t>
  </si>
  <si>
    <t>White-fronted Amazon</t>
  </si>
  <si>
    <t>Amazone à front blanc</t>
  </si>
  <si>
    <t>Amazona albifrons</t>
  </si>
  <si>
    <t>White-fronted Bee-eater</t>
  </si>
  <si>
    <t>Guêpier à front blanc</t>
  </si>
  <si>
    <t>Merops bullockoides</t>
  </si>
  <si>
    <t>White-fronted Chat</t>
  </si>
  <si>
    <t>Epthianure à front blanc</t>
  </si>
  <si>
    <t>Epthianura albifrons</t>
  </si>
  <si>
    <t>Méliphage à front blanc</t>
  </si>
  <si>
    <t>Purnella albifrons</t>
  </si>
  <si>
    <t>White-fronted Nunbird</t>
  </si>
  <si>
    <t>Barbacou à front blanc</t>
  </si>
  <si>
    <t>Monasa morphoeus</t>
  </si>
  <si>
    <t>White-fronted Plover</t>
  </si>
  <si>
    <t>Pluvier à front blanc</t>
  </si>
  <si>
    <t>Anarhynchus marginatus</t>
  </si>
  <si>
    <t>White-headed Buffalo-Weaver</t>
  </si>
  <si>
    <t>Alecto à tête blanche</t>
  </si>
  <si>
    <t>Dinemellia dinemelli</t>
  </si>
  <si>
    <t>Moucherolle à tête blanche</t>
  </si>
  <si>
    <t>Arundinicola leucocephala</t>
  </si>
  <si>
    <t>White-headed Vanga</t>
  </si>
  <si>
    <t>Artamelle à tête blanche</t>
  </si>
  <si>
    <t>Artamella viridis</t>
  </si>
  <si>
    <t>White-headed Wren</t>
  </si>
  <si>
    <t>Troglodyte à tête blanche</t>
  </si>
  <si>
    <t>Campylorhynchus albobrunneus</t>
  </si>
  <si>
    <t>White-lined Tanager</t>
  </si>
  <si>
    <t>Tangara à galons blancs</t>
  </si>
  <si>
    <t>Tachyphonus rufus</t>
  </si>
  <si>
    <t>White-lored Warbler</t>
  </si>
  <si>
    <t>Paruline à lores blancs</t>
  </si>
  <si>
    <t>Myiothlypis conspicillata</t>
  </si>
  <si>
    <t>White-naped Brushfinch</t>
  </si>
  <si>
    <t>Tohi à calotte blanche</t>
  </si>
  <si>
    <t>Atlapetes albinucha</t>
  </si>
  <si>
    <t>White-naped Honeyeater</t>
  </si>
  <si>
    <t>Méliphage à lunule</t>
  </si>
  <si>
    <t>Melithreptus lunatus</t>
  </si>
  <si>
    <t>S39822160</t>
  </si>
  <si>
    <t>White-necked Jacobin</t>
  </si>
  <si>
    <t>Colibri jacobin</t>
  </si>
  <si>
    <t>Florisuga mellivora</t>
  </si>
  <si>
    <t>White-necked Puffbird</t>
  </si>
  <si>
    <t>Tamatia à front blanc</t>
  </si>
  <si>
    <t>Notharchus hyperrhynchus</t>
  </si>
  <si>
    <t>White-necked Thrush</t>
  </si>
  <si>
    <t>Merle à col blanc</t>
  </si>
  <si>
    <t>Turdus albicollis</t>
  </si>
  <si>
    <t>White-plumed Honeyeater</t>
  </si>
  <si>
    <t>Méliphage serti</t>
  </si>
  <si>
    <t>Ptilotula penicillata</t>
  </si>
  <si>
    <t>S40141565</t>
  </si>
  <si>
    <t>White-quilled Bustard</t>
  </si>
  <si>
    <t>Outarde à miroir blanc</t>
  </si>
  <si>
    <t>Afrotis afraoides</t>
  </si>
  <si>
    <t>White-ruffed Manakin</t>
  </si>
  <si>
    <t>Manakin à fraise</t>
  </si>
  <si>
    <t>Corapipo altera</t>
  </si>
  <si>
    <t>White-rumped Hawk</t>
  </si>
  <si>
    <t>Buse cul-blanc</t>
  </si>
  <si>
    <t>Parabuteo leucorrhous</t>
  </si>
  <si>
    <t>White-rumped Sandpiper</t>
  </si>
  <si>
    <t>Bécasseau à croupion blanc</t>
  </si>
  <si>
    <t>Calidris fuscicollis</t>
  </si>
  <si>
    <t>S36743253</t>
  </si>
  <si>
    <t>White-rumped Shrike</t>
  </si>
  <si>
    <t>Eurocéphale de Rüppell</t>
  </si>
  <si>
    <t>Eurocephalus ruppelli</t>
  </si>
  <si>
    <t>White-shouldered Tanager</t>
  </si>
  <si>
    <t>Tangara à épaulettes blanches</t>
  </si>
  <si>
    <t>Loriotus luctuosus</t>
  </si>
  <si>
    <t>White-sided Flowerpiercer</t>
  </si>
  <si>
    <t>Percefleur à flancs blancs</t>
  </si>
  <si>
    <t>Diglossa albilatera</t>
  </si>
  <si>
    <t>White-tailed Hawk</t>
  </si>
  <si>
    <t>Buse à queue blanche</t>
  </si>
  <si>
    <t>Geranoaetus albicaudatus</t>
  </si>
  <si>
    <t>White-tailed Kite</t>
  </si>
  <si>
    <t>Élanion à queue blanche</t>
  </si>
  <si>
    <t>Elanus leucurus</t>
  </si>
  <si>
    <t>White-tailed Nightjar</t>
  </si>
  <si>
    <t>Engoulevent coré</t>
  </si>
  <si>
    <t>Hydropsalis cayennensis</t>
  </si>
  <si>
    <t>White-tailed Sabrewing</t>
  </si>
  <si>
    <t>Campyloptère à queue blanche</t>
  </si>
  <si>
    <t>Campylopterus ensipennis</t>
  </si>
  <si>
    <t>S44556461</t>
  </si>
  <si>
    <t>White-tailed Shrike</t>
  </si>
  <si>
    <t>Lanielle à queue blanche</t>
  </si>
  <si>
    <t>Lanioturdus torquatus</t>
  </si>
  <si>
    <t>White-tailed Starfrontlet</t>
  </si>
  <si>
    <t>Inca à queue blanche</t>
  </si>
  <si>
    <t>Coeligena phalerata</t>
  </si>
  <si>
    <t>White-tailed Trogon</t>
  </si>
  <si>
    <t>Trogon de Sclater</t>
  </si>
  <si>
    <t>Trogon chionurus</t>
  </si>
  <si>
    <t>White-tailed Tropicbird</t>
  </si>
  <si>
    <t>Phaéton à bec jaune</t>
  </si>
  <si>
    <t>Phaethon lepturus</t>
  </si>
  <si>
    <t>White-tailed Tyrannulet</t>
  </si>
  <si>
    <t>Tyranneau à queue blanche</t>
  </si>
  <si>
    <t>Mecocerculus poecilocercus</t>
  </si>
  <si>
    <t>White-thighed Swallow</t>
  </si>
  <si>
    <t>Hirondelle à cuisses blanches</t>
  </si>
  <si>
    <t>Atticora tibialis</t>
  </si>
  <si>
    <t>White-throated Crake</t>
  </si>
  <si>
    <t>Râle à menton blanc</t>
  </si>
  <si>
    <t>Laterallus albigularis</t>
  </si>
  <si>
    <t>White-throated Daggerbill</t>
  </si>
  <si>
    <t>Colibri à collier blanc</t>
  </si>
  <si>
    <t>Schistes albogularis</t>
  </si>
  <si>
    <t>Gérygone à gorge blanche</t>
  </si>
  <si>
    <t>Gerygone olivacea</t>
  </si>
  <si>
    <t>White-throated Magpie-Jay</t>
  </si>
  <si>
    <t>Geai à face blanche</t>
  </si>
  <si>
    <t>Cyanocorax formosus</t>
  </si>
  <si>
    <t>Punta Leona Resort--forest reserve</t>
  </si>
  <si>
    <t>L1574928</t>
  </si>
  <si>
    <t>S102207805</t>
  </si>
  <si>
    <t>White-throated Mountain-gem</t>
  </si>
  <si>
    <t>Colibri à ventre châtain</t>
  </si>
  <si>
    <t>Lampornis castaneoventris</t>
  </si>
  <si>
    <t>White-throated Oxylabes</t>
  </si>
  <si>
    <t>Oxylabe à gorge blanche</t>
  </si>
  <si>
    <t>Oxylabes madagascariensis</t>
  </si>
  <si>
    <t>White-throated Quail-Dove</t>
  </si>
  <si>
    <t>Colombe à gorge blanche</t>
  </si>
  <si>
    <t>Zentrygon frenata</t>
  </si>
  <si>
    <t>White-throated Rail</t>
  </si>
  <si>
    <t>Râle de Cuvier</t>
  </si>
  <si>
    <t>Dryolimnas cuvieri</t>
  </si>
  <si>
    <t>White-throated Screech-Owl</t>
  </si>
  <si>
    <t>Petit-duc à gorge blanche</t>
  </si>
  <si>
    <t>Megascops albogularis</t>
  </si>
  <si>
    <t>White-throated Shrike-Tanager</t>
  </si>
  <si>
    <t>Tangara à gorge blanche</t>
  </si>
  <si>
    <t>Lanio leucothorax</t>
  </si>
  <si>
    <t>White-throated Spadebill</t>
  </si>
  <si>
    <t>Platyrhynque à moustaches</t>
  </si>
  <si>
    <t>Platyrinchus mystaceus</t>
  </si>
  <si>
    <t>Bruant à gorge blanche</t>
  </si>
  <si>
    <t>Zonotrichia albicollis</t>
  </si>
  <si>
    <t>White-throated Thrush</t>
  </si>
  <si>
    <t>Merle à gorge blanche</t>
  </si>
  <si>
    <t>Turdus assimilis</t>
  </si>
  <si>
    <t>S112777693</t>
  </si>
  <si>
    <t>Échelet leucophée</t>
  </si>
  <si>
    <t>Cormobates leucophaea</t>
  </si>
  <si>
    <t>S40110469</t>
  </si>
  <si>
    <t>White-throated Tyrannulet</t>
  </si>
  <si>
    <t>Tyranneau à gorge blanche</t>
  </si>
  <si>
    <t>Mecocerculus leucophrys</t>
  </si>
  <si>
    <t>White-tipped Dove</t>
  </si>
  <si>
    <t>Colombe de Verreaux</t>
  </si>
  <si>
    <t>Leptotila verreauxi</t>
  </si>
  <si>
    <t>White-tipped Quetzal</t>
  </si>
  <si>
    <t>Quetzal brillant</t>
  </si>
  <si>
    <t>Pharomachrus fulgidus</t>
  </si>
  <si>
    <t>White-tipped Sicklebill</t>
  </si>
  <si>
    <t>Bec-en-faucille aigle</t>
  </si>
  <si>
    <t>Eutoxeres aquila</t>
  </si>
  <si>
    <t>White-tipped Swift</t>
  </si>
  <si>
    <t>Martinet montagnard</t>
  </si>
  <si>
    <t>Aeronautes montivagus</t>
  </si>
  <si>
    <t>Soata - Boavita, Boavita CO-Boyaca (6.3256,-72.6527)</t>
  </si>
  <si>
    <t>L10181488</t>
  </si>
  <si>
    <t>S61635512</t>
  </si>
  <si>
    <t>White-vented Euphonia</t>
  </si>
  <si>
    <t>Organiste cul-blanc</t>
  </si>
  <si>
    <t>Euphonia minuta</t>
  </si>
  <si>
    <t>White-vented Plumeleteer</t>
  </si>
  <si>
    <t>Colibri de Buffon</t>
  </si>
  <si>
    <t>Chalybura buffonii</t>
  </si>
  <si>
    <t>White-whiskered Hermit</t>
  </si>
  <si>
    <t>Ermite yaruqui</t>
  </si>
  <si>
    <t>Phaethornis yaruqui</t>
  </si>
  <si>
    <t>White-whiskered Puffbird</t>
  </si>
  <si>
    <t>Tamatia de Lafresnaye</t>
  </si>
  <si>
    <t>Malacoptila panamensis</t>
  </si>
  <si>
    <t>White-whiskered Spinetail</t>
  </si>
  <si>
    <t>Synallaxe à moustaches</t>
  </si>
  <si>
    <t>Synallaxis candei</t>
  </si>
  <si>
    <t>Bécarde à ailes blanches</t>
  </si>
  <si>
    <t>Pachyramphus polychopterus</t>
  </si>
  <si>
    <t>White-winged Brushfinch</t>
  </si>
  <si>
    <t>Tohi leucoptère</t>
  </si>
  <si>
    <t>Atlapetes leucopterus</t>
  </si>
  <si>
    <t>Corbicrave leucoptère</t>
  </si>
  <si>
    <t>Corcorax melanorhamphos</t>
  </si>
  <si>
    <t>White-winged Crossbill</t>
  </si>
  <si>
    <t>Bec-croisé bifascié</t>
  </si>
  <si>
    <t>Loxia leucoptera</t>
  </si>
  <si>
    <t>Parc de la Gatineau--Ch. Eardley Masham</t>
  </si>
  <si>
    <t>L1630986</t>
  </si>
  <si>
    <t>S65834278</t>
  </si>
  <si>
    <t>White-winged Dove</t>
  </si>
  <si>
    <t>Tourterelle à ailes blanches</t>
  </si>
  <si>
    <t>Zenaida asiatica</t>
  </si>
  <si>
    <t>Mérion leucoptère</t>
  </si>
  <si>
    <t>Malurus leucopterus</t>
  </si>
  <si>
    <t>White-winged Scoter</t>
  </si>
  <si>
    <t>Macreuse à ailes blanches</t>
  </si>
  <si>
    <t>Melanitta deglandi</t>
  </si>
  <si>
    <t>S40487942</t>
  </si>
  <si>
    <t>Niverolle alpine</t>
  </si>
  <si>
    <t>Montifringilla nivalis</t>
  </si>
  <si>
    <t>White-winged Swallow</t>
  </si>
  <si>
    <t>Hirondelle à ailes blanches</t>
  </si>
  <si>
    <t>Tachycineta albiventer</t>
  </si>
  <si>
    <t>Échenilleur tricolore</t>
  </si>
  <si>
    <t>Lalage tricolor</t>
  </si>
  <si>
    <t>Grue blanche</t>
  </si>
  <si>
    <t>Grus americana</t>
  </si>
  <si>
    <t>Meacham General Area</t>
  </si>
  <si>
    <t>L3947905</t>
  </si>
  <si>
    <t>S25346894</t>
  </si>
  <si>
    <t>Whooping Motmot</t>
  </si>
  <si>
    <t>Motmot caraïbe</t>
  </si>
  <si>
    <t>Momotus subrufescens</t>
  </si>
  <si>
    <t>Wild Turkey</t>
  </si>
  <si>
    <t>Dindon sauvage</t>
  </si>
  <si>
    <t>Meleagris gallopavo</t>
  </si>
  <si>
    <t>Chevalier semipalmé</t>
  </si>
  <si>
    <t>Tringa semipalmata</t>
  </si>
  <si>
    <t>Willie-wagtail</t>
  </si>
  <si>
    <t>Rhipidure hochequeue</t>
  </si>
  <si>
    <t>Rhipidura leucophrys</t>
  </si>
  <si>
    <t>Willow Flycatcher</t>
  </si>
  <si>
    <t>Moucherolle des saules</t>
  </si>
  <si>
    <t>Empidonax traillii</t>
  </si>
  <si>
    <t>S36793616</t>
  </si>
  <si>
    <t>Lagopède des saules</t>
  </si>
  <si>
    <t>Lagopus lagopus</t>
  </si>
  <si>
    <t>Churchill--Churchill Northern Studies Centre</t>
  </si>
  <si>
    <t>L551010</t>
  </si>
  <si>
    <t>S46932399</t>
  </si>
  <si>
    <t>Phalarope de Wilson</t>
  </si>
  <si>
    <t>Phalaropus tricolor</t>
  </si>
  <si>
    <t>Richmond CA (formerly Richmond Sewage Lagoons)</t>
  </si>
  <si>
    <t>L348844</t>
  </si>
  <si>
    <t>S68722980</t>
  </si>
  <si>
    <t>Pluvier de Wilson</t>
  </si>
  <si>
    <t>Anarhynchus wilsonia</t>
  </si>
  <si>
    <t>Bécassine de Wilson</t>
  </si>
  <si>
    <t>Gallinago delicata</t>
  </si>
  <si>
    <t>Paruline à calotte noire</t>
  </si>
  <si>
    <t>Cardellina pusilla</t>
  </si>
  <si>
    <t>Troglodyte des forêts</t>
  </si>
  <si>
    <t>Troglodytes hiemalis</t>
  </si>
  <si>
    <t>Wood Duck</t>
  </si>
  <si>
    <t>Canard branchu</t>
  </si>
  <si>
    <t>Aix sponsa</t>
  </si>
  <si>
    <t>Wood Stork</t>
  </si>
  <si>
    <t>Tantale d'Amérique</t>
  </si>
  <si>
    <t>Mycteria americana</t>
  </si>
  <si>
    <t>Wood Thrush</t>
  </si>
  <si>
    <t>Grive des bois</t>
  </si>
  <si>
    <t>Hylocichla mustelina</t>
  </si>
  <si>
    <t>Woodhouse's Scrub-Jay</t>
  </si>
  <si>
    <t>Geai de Woodhouse</t>
  </si>
  <si>
    <t>Aphelocoma woodhouseii</t>
  </si>
  <si>
    <t>Worm-eating Warbler</t>
  </si>
  <si>
    <t>Paruline vermivore</t>
  </si>
  <si>
    <t>Helmitheros vermivorum</t>
  </si>
  <si>
    <t>Cama brune</t>
  </si>
  <si>
    <t>Chamaea fasciata</t>
  </si>
  <si>
    <t>Paradoxornithidae (Parrotbills)</t>
  </si>
  <si>
    <t>Natural Bridges SB</t>
  </si>
  <si>
    <t>L200588</t>
  </si>
  <si>
    <t>S49474435</t>
  </si>
  <si>
    <t>Yellow Oriole</t>
  </si>
  <si>
    <t>Oriole jaune</t>
  </si>
  <si>
    <t>Icterus nigrogularis</t>
  </si>
  <si>
    <t>Yellow Thornbill</t>
  </si>
  <si>
    <t>Acanthize nain</t>
  </si>
  <si>
    <t>Acanthiza nana</t>
  </si>
  <si>
    <t>Yellow Tyrannulet</t>
  </si>
  <si>
    <t>Tyranneau flavéole</t>
  </si>
  <si>
    <t>Capsiempis flaveola</t>
  </si>
  <si>
    <t>Yellow Wattlebird</t>
  </si>
  <si>
    <t>Méliphage à pendeloques</t>
  </si>
  <si>
    <t>Anthochaera paradoxa</t>
  </si>
  <si>
    <t>Browns River Saltmarsh and Estuary</t>
  </si>
  <si>
    <t>L16987490</t>
  </si>
  <si>
    <t>S284983793</t>
  </si>
  <si>
    <t>Yellow-backed Oriole</t>
  </si>
  <si>
    <t>Oriole noir et or</t>
  </si>
  <si>
    <t>Icterus chrysater</t>
  </si>
  <si>
    <t>Yellow-bellied Chat-Tyrant</t>
  </si>
  <si>
    <t>Pitajo diadème</t>
  </si>
  <si>
    <t>Silvicultrix diadema</t>
  </si>
  <si>
    <t>Yellow-bellied Elaenia</t>
  </si>
  <si>
    <t>Élénie à ventre jaune</t>
  </si>
  <si>
    <t>Elaenia flavogaster</t>
  </si>
  <si>
    <t>Yellow-bellied Flycatcher</t>
  </si>
  <si>
    <t>Moucherolle à ventre jaune</t>
  </si>
  <si>
    <t>Empidonax flaviventris</t>
  </si>
  <si>
    <t>Bulbul à poitrine jaune</t>
  </si>
  <si>
    <t>Chlorocichla flaviventris</t>
  </si>
  <si>
    <t>Yellow-bellied Sapsucker</t>
  </si>
  <si>
    <t>Pic maculé</t>
  </si>
  <si>
    <t>Sphyrapicus varius</t>
  </si>
  <si>
    <t>S15665773</t>
  </si>
  <si>
    <t>Yellow-bellied Seedeater</t>
  </si>
  <si>
    <t>Sporophile à ventre jaune</t>
  </si>
  <si>
    <t>Sporophila nigricollis</t>
  </si>
  <si>
    <t>Yellow-bellied Siskin</t>
  </si>
  <si>
    <t>Tarin à ventre jaune</t>
  </si>
  <si>
    <t>Spinus xanthogastrus</t>
  </si>
  <si>
    <t>Yellow-billed Cacique</t>
  </si>
  <si>
    <t>Cassique à bec jaune</t>
  </si>
  <si>
    <t>Amblycercus holosericeus</t>
  </si>
  <si>
    <t>Yellow-billed Cardinal</t>
  </si>
  <si>
    <t>Paroare à bec jaune</t>
  </si>
  <si>
    <t>Paroaria capitata</t>
  </si>
  <si>
    <t>Yellow-billed Chough</t>
  </si>
  <si>
    <t>Chocard à bec jaune</t>
  </si>
  <si>
    <t>Pyrrhocorax graculus</t>
  </si>
  <si>
    <t>Yellow-billed Cuckoo</t>
  </si>
  <si>
    <t>Coulicou à bec jaune</t>
  </si>
  <si>
    <t>Coccyzus americanus</t>
  </si>
  <si>
    <t>Canard à bec jaune</t>
  </si>
  <si>
    <t>Anas undulata</t>
  </si>
  <si>
    <t>Yellow-billed Oxpecker</t>
  </si>
  <si>
    <t>Piqueboeuf à bec jaune</t>
  </si>
  <si>
    <t>Buphagus africanus</t>
  </si>
  <si>
    <t>Yellow-billed Spoonbill</t>
  </si>
  <si>
    <t>Spatule à bec jaune</t>
  </si>
  <si>
    <t>Platalea flavipes</t>
  </si>
  <si>
    <t>Yellow-billed Stork</t>
  </si>
  <si>
    <t>Tantale ibis</t>
  </si>
  <si>
    <t>Mycteria ibis</t>
  </si>
  <si>
    <t>Yellow-breasted Apalis</t>
  </si>
  <si>
    <t>Apalis à gorge jaune</t>
  </si>
  <si>
    <t>Apalis flavida</t>
  </si>
  <si>
    <t>Yellow-breasted Brushfinch</t>
  </si>
  <si>
    <t>Tohi à miroir</t>
  </si>
  <si>
    <t>Atlapetes latinuchus</t>
  </si>
  <si>
    <t>Yellow-breasted Chat</t>
  </si>
  <si>
    <t>Ictérie polyglotte</t>
  </si>
  <si>
    <t>Icteria virens</t>
  </si>
  <si>
    <t>Icteriidae (Yellow-breasted Chat)</t>
  </si>
  <si>
    <t>S29436056</t>
  </si>
  <si>
    <t>Yellow-breasted Crake</t>
  </si>
  <si>
    <t>Râle à sourcils blancs</t>
  </si>
  <si>
    <t>Laterallus flaviventer</t>
  </si>
  <si>
    <t>Ciénaga del Totumo--Volcán del Totumo</t>
  </si>
  <si>
    <t>L5222257</t>
  </si>
  <si>
    <t>S222685739</t>
  </si>
  <si>
    <t>Yellow-chinned Spinetail</t>
  </si>
  <si>
    <t>Synallaxe à gorge jaune</t>
  </si>
  <si>
    <t>Certhiaxis cinnamomeus</t>
  </si>
  <si>
    <t>Yellow-collared Lovebird</t>
  </si>
  <si>
    <t>Inséparable masqué</t>
  </si>
  <si>
    <t>Agapornis personatus</t>
  </si>
  <si>
    <t>Yellow-crowned Amazon</t>
  </si>
  <si>
    <t>Amazone à front jaune</t>
  </si>
  <si>
    <t>Amazona ochrocephala</t>
  </si>
  <si>
    <t>Yellow-crowned Euphonia</t>
  </si>
  <si>
    <t>Organiste à calotte jaune</t>
  </si>
  <si>
    <t>Euphonia luteicapilla</t>
  </si>
  <si>
    <t>Bihoreau violacé</t>
  </si>
  <si>
    <t>Nyctanassa violacea</t>
  </si>
  <si>
    <t>Yellow-crowned Redstart</t>
  </si>
  <si>
    <t>Paruline à cimier jaune</t>
  </si>
  <si>
    <t>Myioborus flavivertex</t>
  </si>
  <si>
    <t>Yellow-crowned Tyrannulet</t>
  </si>
  <si>
    <t>Tyranneau roitelet</t>
  </si>
  <si>
    <t>Tyrannulus elatus</t>
  </si>
  <si>
    <t>Gamboa Rainforest Reserve--Marina</t>
  </si>
  <si>
    <t>L1046865</t>
  </si>
  <si>
    <t>S32642162</t>
  </si>
  <si>
    <t>Yellow-faced Grassquit</t>
  </si>
  <si>
    <t>Tiaris grand-chanteur</t>
  </si>
  <si>
    <t>Tiaris olivaceus</t>
  </si>
  <si>
    <t>Yellow-faced Honeyeater</t>
  </si>
  <si>
    <t>Méliphage à joues d'or</t>
  </si>
  <si>
    <t>Caligavis chrysops</t>
  </si>
  <si>
    <t>Yellow-fronted Canary</t>
  </si>
  <si>
    <t>Serin du Mozambique</t>
  </si>
  <si>
    <t>Crithagra mozambica</t>
  </si>
  <si>
    <t>Yellow-green Tyrannulet</t>
  </si>
  <si>
    <t>Tyranneau jaune-vert</t>
  </si>
  <si>
    <t>Phylloscartes flavovirens</t>
  </si>
  <si>
    <t>Yellow-green Vireo</t>
  </si>
  <si>
    <t>Viréo jaune-verdâtre</t>
  </si>
  <si>
    <t>Vireo flavoviridis</t>
  </si>
  <si>
    <t>Yellow-headed Amazon</t>
  </si>
  <si>
    <t>Amazone à tête jaune</t>
  </si>
  <si>
    <t>Amazona oratrix</t>
  </si>
  <si>
    <t>Carouge à tête jaune</t>
  </si>
  <si>
    <t>Xanthocephalus xanthocephalus</t>
  </si>
  <si>
    <t>Yellow-headed Caracara</t>
  </si>
  <si>
    <t>Caracara à tête jaune</t>
  </si>
  <si>
    <t>Daptrius chimachima</t>
  </si>
  <si>
    <t>Yellow-hooded Blackbird</t>
  </si>
  <si>
    <t>Carouge à capuchon</t>
  </si>
  <si>
    <t>Chrysomus icterocephalus</t>
  </si>
  <si>
    <t>TT-Trinidad and Tobago-Orange Grove Road (10.6308,-61.3754)</t>
  </si>
  <si>
    <t>L7207299</t>
  </si>
  <si>
    <t>S44469225</t>
  </si>
  <si>
    <t>Yellow-legged Thrush</t>
  </si>
  <si>
    <t>Merle à pattes jaunes</t>
  </si>
  <si>
    <t>Turdus flavipes</t>
  </si>
  <si>
    <t>Yellow-naped Amazon</t>
  </si>
  <si>
    <t>Amazone à nuque d'or</t>
  </si>
  <si>
    <t>Amazona auropalliata</t>
  </si>
  <si>
    <t>Yellow-necked Spurfowl</t>
  </si>
  <si>
    <t>Francolin à cou jaune</t>
  </si>
  <si>
    <t>Pternistis leucoscepus</t>
  </si>
  <si>
    <t>Yellow-olive Flatbill</t>
  </si>
  <si>
    <t>Tyranneau jaune-olive</t>
  </si>
  <si>
    <t>Tolmomyias sulphurescens</t>
  </si>
  <si>
    <t>Méliphage orné</t>
  </si>
  <si>
    <t>Ptilotula ornata</t>
  </si>
  <si>
    <t>Murray-Sunset National Park--Millewa South Bore Track at Pheenys Track</t>
  </si>
  <si>
    <t>L38127494</t>
  </si>
  <si>
    <t>S283230168</t>
  </si>
  <si>
    <t>Yellow-rumped Cacique</t>
  </si>
  <si>
    <t>Cassique cul-jaune</t>
  </si>
  <si>
    <t>Cacicus cela</t>
  </si>
  <si>
    <t>Yellow-rumped Thornbill</t>
  </si>
  <si>
    <t>Acanthize à croupion jaune</t>
  </si>
  <si>
    <t>Acanthiza chrysorrhoa</t>
  </si>
  <si>
    <t>Point Cook Coastal Park--Spectacle Lake</t>
  </si>
  <si>
    <t>L3044711</t>
  </si>
  <si>
    <t>S40040588</t>
  </si>
  <si>
    <t>Barbion à croupion jaune</t>
  </si>
  <si>
    <t>Pogoniulus bilineatus</t>
  </si>
  <si>
    <t>Paruline à croupion jaune</t>
  </si>
  <si>
    <t>Setophaga coronata</t>
  </si>
  <si>
    <t>Yellow-tailed Black-Cockatoo</t>
  </si>
  <si>
    <t>Cacatoès funèbre</t>
  </si>
  <si>
    <t>Zanda funerea</t>
  </si>
  <si>
    <t>Royal National Park--National Falls</t>
  </si>
  <si>
    <t>L5075568</t>
  </si>
  <si>
    <t>S39855739</t>
  </si>
  <si>
    <t>Yellow-tailed Oriole</t>
  </si>
  <si>
    <t>Oriole à queue jaune</t>
  </si>
  <si>
    <t>Icterus mesomelas</t>
  </si>
  <si>
    <t>Yellow-thighed Brushfinch</t>
  </si>
  <si>
    <t>Tohi à cuisses jaunes</t>
  </si>
  <si>
    <t>Atlapetes tibialis</t>
  </si>
  <si>
    <t>Yellow-throated Chlorospingus</t>
  </si>
  <si>
    <t>Chlorospin à gorge jaune</t>
  </si>
  <si>
    <t>Chlorospingus flavigularis</t>
  </si>
  <si>
    <t>Yellow-throated Euphonia</t>
  </si>
  <si>
    <t>Organiste à gorge jaune</t>
  </si>
  <si>
    <t>Euphonia hirundinacea</t>
  </si>
  <si>
    <t>Méliphage à gorge jaune</t>
  </si>
  <si>
    <t>Nesoptilotis flavicollis</t>
  </si>
  <si>
    <t>Yellow-throated Longclaw</t>
  </si>
  <si>
    <t>Sentinelle à gorge jaune</t>
  </si>
  <si>
    <t>Macronyx croceus</t>
  </si>
  <si>
    <t>Méliphage à cou jaune</t>
  </si>
  <si>
    <t>Manorina flavigula</t>
  </si>
  <si>
    <t>Yellow-throated Toucan</t>
  </si>
  <si>
    <t>Toucan tocard</t>
  </si>
  <si>
    <t>Ramphastos ambiguus</t>
  </si>
  <si>
    <t>Viréo à gorge jaune</t>
  </si>
  <si>
    <t>Vireo flavifrons</t>
  </si>
  <si>
    <t>Yellow-throated Warbler</t>
  </si>
  <si>
    <t>Paruline à gorge jaune</t>
  </si>
  <si>
    <t>Setophaga dominica</t>
  </si>
  <si>
    <t>Méliphage cornu</t>
  </si>
  <si>
    <t>Lichenostomus melanops</t>
  </si>
  <si>
    <t>Shanley St, Wangaratta</t>
  </si>
  <si>
    <t>L2550526</t>
  </si>
  <si>
    <t>S283950518</t>
  </si>
  <si>
    <t>Yellow-vented Woodpecker</t>
  </si>
  <si>
    <t>Pic à ventre jaune</t>
  </si>
  <si>
    <t>Veniliornis dignus</t>
  </si>
  <si>
    <t>Yellow-winged Flatbill</t>
  </si>
  <si>
    <t>Tyranneau à ailes jaunes</t>
  </si>
  <si>
    <t>Tolmomyias flavotectus</t>
  </si>
  <si>
    <t>Yellow-winged Tanager</t>
  </si>
  <si>
    <t>Tangara à miroir jaune</t>
  </si>
  <si>
    <t>Thraupis abbas</t>
  </si>
  <si>
    <t>Yellow-winged Vireo</t>
  </si>
  <si>
    <t>Viréo à ailes jaunes</t>
  </si>
  <si>
    <t>Vireo carmioli</t>
  </si>
  <si>
    <t>Yellowish Flycatcher</t>
  </si>
  <si>
    <t>Moucherolle jaunâtre</t>
  </si>
  <si>
    <t>Empidonax flavescens</t>
  </si>
  <si>
    <t>Pic du Yucatan</t>
  </si>
  <si>
    <t>Melanerpes pygmaeus</t>
  </si>
  <si>
    <t>Zebra Dove</t>
  </si>
  <si>
    <t>Géopélie zébrée</t>
  </si>
  <si>
    <t>Geopelia striata</t>
  </si>
  <si>
    <t>Zebra Finch</t>
  </si>
  <si>
    <t>Diamant mandarin</t>
  </si>
  <si>
    <t>Taeniopygia guttata</t>
  </si>
  <si>
    <t>Alapi de Zeledon</t>
  </si>
  <si>
    <t>Hafferia zeledoni</t>
  </si>
  <si>
    <t>Zone-tailed Hawk</t>
  </si>
  <si>
    <t>Buse à queue barrée</t>
  </si>
  <si>
    <t>Buteo albonotatus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</si>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</sst>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scheme val="minor"/>
    </font>
    <font>
      <b/>
      <sz val="8"/>
      <color theme="1"/>
      <name val="Arial"/>
    </font>
    <font>
      <b/>
      <sz val="8"/>
      <color theme="1"/>
      <name val="Aptos Narrow"/>
    </font>
    <font>
      <sz val="8"/>
      <color theme="1"/>
      <name val="Aptos Narrow"/>
    </font>
    <font>
      <u/>
      <sz val="8"/>
      <color theme="10"/>
      <name val="Aptos Narrow"/>
    </font>
    <font>
      <sz val="8"/>
      <color theme="1"/>
      <name val="Arial"/>
    </font>
    <font>
      <sz val="8"/>
      <color rgb="FF000000"/>
      <name val="&quot;Aptos Narrow&quot;"/>
    </font>
    <font>
      <sz val="8"/>
      <color rgb="FF000000"/>
      <name val="Arial"/>
    </font>
    <font>
      <sz val="9"/>
      <color theme="1"/>
      <name val="Arial"/>
    </font>
    <font>
      <sz val="9"/>
      <color theme="1"/>
      <name val="Aptos Narrow"/>
      <scheme val="minor"/>
    </font>
    <font>
      <sz val="9"/>
      <color theme="1"/>
      <name val="Aptos Narrow"/>
    </font>
    <font>
      <sz val="9"/>
      <color rgb="FF363537"/>
      <name val="Arial"/>
    </font>
    <font>
      <sz val="9"/>
      <color rgb="FF000000"/>
      <name val="Arial"/>
    </font>
    <font>
      <sz val="9"/>
      <color rgb="FF000000"/>
      <name val="&quot;Helvetica Neue&quot;"/>
    </font>
    <font>
      <sz val="9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15" fontId="10" fillId="0" borderId="0" xfId="0" applyNumberFormat="1" applyFont="1"/>
    <xf numFmtId="0" fontId="11" fillId="2" borderId="0" xfId="0" applyFont="1" applyFill="1" applyAlignment="1">
      <alignment horizontal="left"/>
    </xf>
    <xf numFmtId="0" fontId="12" fillId="0" borderId="0" xfId="0" applyFont="1"/>
    <xf numFmtId="15" fontId="12" fillId="0" borderId="0" xfId="0" applyNumberFormat="1" applyFont="1" applyAlignment="1">
      <alignment horizontal="right"/>
    </xf>
    <xf numFmtId="0" fontId="13" fillId="0" borderId="0" xfId="0" applyFont="1"/>
    <xf numFmtId="15" fontId="13" fillId="0" borderId="0" xfId="0" applyNumberFormat="1" applyFont="1"/>
    <xf numFmtId="0" fontId="13" fillId="0" borderId="1" xfId="0" applyFont="1" applyBorder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85"/>
  <sheetViews>
    <sheetView tabSelected="1" zoomScale="112" workbookViewId="0"/>
  </sheetViews>
  <sheetFormatPr baseColWidth="10" defaultColWidth="11.1640625" defaultRowHeight="15" customHeight="1"/>
  <cols>
    <col min="1" max="1" width="27.83203125" customWidth="1"/>
    <col min="2" max="2" width="16.83203125" customWidth="1"/>
    <col min="3" max="3" width="9.5" customWidth="1"/>
    <col min="4" max="4" width="20.5" customWidth="1"/>
    <col min="5" max="5" width="18.1640625" customWidth="1"/>
    <col min="6" max="6" width="18.6640625" customWidth="1"/>
    <col min="7" max="7" width="13.1640625" customWidth="1"/>
    <col min="8" max="8" width="25.1640625" customWidth="1"/>
    <col min="9" max="9" width="15.5" customWidth="1"/>
  </cols>
  <sheetData>
    <row r="1" spans="1:9" ht="10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ht="10.5" customHeight="1">
      <c r="A2" s="3" t="s">
        <v>8</v>
      </c>
      <c r="B2" s="3" t="s">
        <v>9</v>
      </c>
      <c r="C2" s="3">
        <f>VLOOKUP(B2,LifeList!$E$2:$J$2038,6)</f>
        <v>16950</v>
      </c>
      <c r="D2" s="3" t="str">
        <f>VLOOKUP(B2,LifeList!$E$2:$G$2038,1)</f>
        <v>Acadian Flycatcher</v>
      </c>
      <c r="E2" s="3" t="str">
        <f>VLOOKUP(B2,LifeList!$E$2:$G$2038,2)</f>
        <v>Moucherolle vert</v>
      </c>
      <c r="F2" s="3" t="str">
        <f>VLOOKUP(B2,LifeList!$E$2:$G$2038,3)</f>
        <v>Empidonax virescens</v>
      </c>
      <c r="G2" s="3" t="str">
        <f>VLOOKUP(B2,LifeList!$E$2:$I$2038,4)</f>
        <v>Passeriformes</v>
      </c>
      <c r="H2" s="3" t="str">
        <f>VLOOKUP(B2,LifeList!$E$2:$I$2038,5)</f>
        <v>Tyrannidae (Tyrant Flycatchers)</v>
      </c>
      <c r="I2" s="3"/>
    </row>
    <row r="3" spans="1:9" ht="10.5" customHeight="1">
      <c r="A3" s="3" t="s">
        <v>10</v>
      </c>
      <c r="B3" s="3" t="s">
        <v>11</v>
      </c>
      <c r="C3" s="3">
        <f>VLOOKUP(B3,LifeList!$E$2:$J$2038,6)</f>
        <v>11146</v>
      </c>
      <c r="D3" s="3" t="str">
        <f>VLOOKUP(B3,LifeList!$E$2:$G$2038,1)</f>
        <v>Acorn Woodpecker</v>
      </c>
      <c r="E3" s="3" t="str">
        <f>VLOOKUP(B3,LifeList!$E$2:$G$2038,2)</f>
        <v>Pic glandivore</v>
      </c>
      <c r="F3" s="3" t="str">
        <f>VLOOKUP(B3,LifeList!$E$2:$G$2038,3)</f>
        <v>Melanerpes formicivorus</v>
      </c>
      <c r="G3" s="3" t="str">
        <f>VLOOKUP(B3,LifeList!$E$2:$I$2038,4)</f>
        <v>Piciformes</v>
      </c>
      <c r="H3" s="3" t="str">
        <f>VLOOKUP(B3,LifeList!$E$2:$I$2038,5)</f>
        <v>Picidae (Woodpeckers)</v>
      </c>
      <c r="I3" s="4"/>
    </row>
    <row r="4" spans="1:9" ht="10.5" customHeight="1">
      <c r="A4" s="3" t="s">
        <v>12</v>
      </c>
      <c r="B4" s="3" t="s">
        <v>11</v>
      </c>
      <c r="C4" s="3">
        <f>VLOOKUP(B4,LifeList!$E$2:$J$2038,6)</f>
        <v>11146</v>
      </c>
      <c r="D4" s="3" t="str">
        <f>VLOOKUP(B4,LifeList!$E$2:$G$2038,1)</f>
        <v>Acorn Woodpecker</v>
      </c>
      <c r="E4" s="3" t="str">
        <f>VLOOKUP(B4,LifeList!$E$2:$G$2038,2)</f>
        <v>Pic glandivore</v>
      </c>
      <c r="F4" s="3" t="str">
        <f>VLOOKUP(B4,LifeList!$E$2:$G$2038,3)</f>
        <v>Melanerpes formicivorus</v>
      </c>
      <c r="G4" s="3" t="str">
        <f>VLOOKUP(B4,LifeList!$E$2:$I$2038,4)</f>
        <v>Piciformes</v>
      </c>
      <c r="H4" s="3" t="str">
        <f>VLOOKUP(B4,LifeList!$E$2:$I$2038,5)</f>
        <v>Picidae (Woodpeckers)</v>
      </c>
      <c r="I4" s="4"/>
    </row>
    <row r="5" spans="1:9" ht="10.5" customHeight="1">
      <c r="A5" s="3" t="s">
        <v>13</v>
      </c>
      <c r="B5" s="3" t="s">
        <v>11</v>
      </c>
      <c r="C5" s="3">
        <f>VLOOKUP(B5,LifeList!$E$2:$J$2038,6)</f>
        <v>11146</v>
      </c>
      <c r="D5" s="3" t="str">
        <f>VLOOKUP(B5,LifeList!$E$2:$G$2038,1)</f>
        <v>Acorn Woodpecker</v>
      </c>
      <c r="E5" s="3" t="str">
        <f>VLOOKUP(B5,LifeList!$E$2:$G$2038,2)</f>
        <v>Pic glandivore</v>
      </c>
      <c r="F5" s="3" t="str">
        <f>VLOOKUP(B5,LifeList!$E$2:$G$2038,3)</f>
        <v>Melanerpes formicivorus</v>
      </c>
      <c r="G5" s="3" t="str">
        <f>VLOOKUP(B5,LifeList!$E$2:$I$2038,4)</f>
        <v>Piciformes</v>
      </c>
      <c r="H5" s="3" t="str">
        <f>VLOOKUP(B5,LifeList!$E$2:$I$2038,5)</f>
        <v>Picidae (Woodpeckers)</v>
      </c>
      <c r="I5" s="4"/>
    </row>
    <row r="6" spans="1:9" ht="10.5" customHeight="1">
      <c r="A6" s="5" t="s">
        <v>14</v>
      </c>
      <c r="B6" s="3" t="s">
        <v>15</v>
      </c>
      <c r="C6" s="6">
        <f>VLOOKUP(B6,LifeList!$E$2:$J$2038,6)</f>
        <v>7875</v>
      </c>
      <c r="D6" s="3" t="str">
        <f>VLOOKUP(B6,LifeList!$E$2:$G$2038,1)</f>
        <v>African Cuckoo-Hawk</v>
      </c>
      <c r="E6" s="3" t="str">
        <f>VLOOKUP(B6,LifeList!$E$2:$G$2038,2)</f>
        <v>Baza coucou</v>
      </c>
      <c r="F6" s="3" t="str">
        <f>VLOOKUP(B6,LifeList!$E$2:$G$2038,3)</f>
        <v>Aviceda cuculoides</v>
      </c>
      <c r="G6" s="3" t="str">
        <f>VLOOKUP(B6,LifeList!$E$2:$I$2038,4)</f>
        <v>Accipitriformes</v>
      </c>
      <c r="H6" s="3" t="str">
        <f>VLOOKUP(B6,LifeList!$E$2:$I$2038,5)</f>
        <v>Accipitridae (Hawks, Eagles, and Kites)</v>
      </c>
      <c r="I6" s="4"/>
    </row>
    <row r="7" spans="1:9" ht="10.5" customHeight="1">
      <c r="A7" s="5" t="s">
        <v>16</v>
      </c>
      <c r="B7" s="3" t="s">
        <v>17</v>
      </c>
      <c r="C7" s="6">
        <f>VLOOKUP(B7,LifeList!$E$2:$J$2038,6)</f>
        <v>8075</v>
      </c>
      <c r="D7" s="3" t="str">
        <f>VLOOKUP(B7,LifeList!$E$2:$G$2038,1)</f>
        <v>African Hawk-Eagle</v>
      </c>
      <c r="E7" s="3" t="str">
        <f>VLOOKUP(B7,LifeList!$E$2:$G$2038,2)</f>
        <v>Aigle fascié</v>
      </c>
      <c r="F7" s="3" t="str">
        <f>VLOOKUP(B7,LifeList!$E$2:$G$2038,3)</f>
        <v>Aquila spilogaster</v>
      </c>
      <c r="G7" s="3" t="str">
        <f>VLOOKUP(B7,LifeList!$E$2:$I$2038,4)</f>
        <v>Accipitriformes</v>
      </c>
      <c r="H7" s="3" t="str">
        <f>VLOOKUP(B7,LifeList!$E$2:$I$2038,5)</f>
        <v>Accipitridae (Hawks, Eagles, and Kites)</v>
      </c>
      <c r="I7" s="4"/>
    </row>
    <row r="8" spans="1:9" ht="10.5" customHeight="1">
      <c r="A8" s="5" t="s">
        <v>18</v>
      </c>
      <c r="B8" s="3" t="s">
        <v>19</v>
      </c>
      <c r="C8" s="6">
        <f>VLOOKUP(B8,LifeList!$E$2:$J$2038,6)</f>
        <v>6005</v>
      </c>
      <c r="D8" s="3" t="str">
        <f>VLOOKUP(B8,LifeList!$E$2:$G$2038,1)</f>
        <v>African Jacana</v>
      </c>
      <c r="E8" s="3" t="str">
        <f>VLOOKUP(B8,LifeList!$E$2:$G$2038,2)</f>
        <v>Jacana à poitrine dorée</v>
      </c>
      <c r="F8" s="3" t="str">
        <f>VLOOKUP(B8,LifeList!$E$2:$G$2038,3)</f>
        <v>Actophilornis africanus</v>
      </c>
      <c r="G8" s="3" t="str">
        <f>VLOOKUP(B8,LifeList!$E$2:$I$2038,4)</f>
        <v>Charadriiformes</v>
      </c>
      <c r="H8" s="3" t="str">
        <f>VLOOKUP(B8,LifeList!$E$2:$I$2038,5)</f>
        <v>Jacanidae (Jacanas)</v>
      </c>
      <c r="I8" s="4"/>
    </row>
    <row r="9" spans="1:9" ht="10.5" customHeight="1">
      <c r="A9" s="5" t="s">
        <v>20</v>
      </c>
      <c r="B9" s="3" t="s">
        <v>21</v>
      </c>
      <c r="C9" s="6">
        <f>VLOOKUP(B9,LifeList!$E$2:$J$2038,6)</f>
        <v>7491</v>
      </c>
      <c r="D9" s="3" t="str">
        <f>VLOOKUP(B9,LifeList!$E$2:$G$2038,1)</f>
        <v>African Sacred Ibis</v>
      </c>
      <c r="E9" s="3" t="str">
        <f>VLOOKUP(B9,LifeList!$E$2:$G$2038,2)</f>
        <v>Ibis sacré</v>
      </c>
      <c r="F9" s="3" t="str">
        <f>VLOOKUP(B9,LifeList!$E$2:$G$2038,3)</f>
        <v>Threskiornis aethiopicus</v>
      </c>
      <c r="G9" s="3" t="str">
        <f>VLOOKUP(B9,LifeList!$E$2:$I$2038,4)</f>
        <v>Pelecaniformes</v>
      </c>
      <c r="H9" s="3" t="str">
        <f>VLOOKUP(B9,LifeList!$E$2:$I$2038,5)</f>
        <v>Threskiornithidae (Ibises and Spoonbills)</v>
      </c>
      <c r="I9" s="4"/>
    </row>
    <row r="10" spans="1:9" ht="10.5" customHeight="1">
      <c r="A10" s="5" t="s">
        <v>22</v>
      </c>
      <c r="B10" s="3" t="s">
        <v>23</v>
      </c>
      <c r="C10" s="6">
        <f>VLOOKUP(B10,LifeList!$E$2:$J$2038,6)</f>
        <v>7285</v>
      </c>
      <c r="D10" s="3" t="str">
        <f>VLOOKUP(B10,LifeList!$E$2:$G$2038,1)</f>
        <v>African Woolly-necked Stork</v>
      </c>
      <c r="E10" s="3" t="str">
        <f>VLOOKUP(B10,LifeList!$E$2:$G$2038,2)</f>
        <v>Cigogne à pattes noires</v>
      </c>
      <c r="F10" s="3" t="str">
        <f>VLOOKUP(B10,LifeList!$E$2:$G$2038,3)</f>
        <v>Ciconia microscelis</v>
      </c>
      <c r="G10" s="3" t="str">
        <f>VLOOKUP(B10,LifeList!$E$2:$I$2038,4)</f>
        <v>Ciconiiformes</v>
      </c>
      <c r="H10" s="3" t="str">
        <f>VLOOKUP(B10,LifeList!$E$2:$I$2038,5)</f>
        <v>Ciconiidae (Storks)</v>
      </c>
      <c r="I10" s="4"/>
    </row>
    <row r="11" spans="1:9" ht="10.5" customHeight="1">
      <c r="A11" s="3" t="s">
        <v>24</v>
      </c>
      <c r="B11" s="3" t="s">
        <v>25</v>
      </c>
      <c r="C11" s="3">
        <f>VLOOKUP(B11,LifeList!$E$2:$J$2038,6)</f>
        <v>19676</v>
      </c>
      <c r="D11" s="3" t="str">
        <f>VLOOKUP(B11,LifeList!$E$2:$G$2038,1)</f>
        <v>African Black-headed Oriole</v>
      </c>
      <c r="E11" s="3" t="str">
        <f>VLOOKUP(B11,LifeList!$E$2:$G$2038,2)</f>
        <v>Loriot masqué</v>
      </c>
      <c r="F11" s="3" t="str">
        <f>VLOOKUP(B11,LifeList!$E$2:$G$2038,3)</f>
        <v>Oriolus larvatus</v>
      </c>
      <c r="G11" s="3" t="str">
        <f>VLOOKUP(B11,LifeList!$E$2:$I$2038,4)</f>
        <v>Passeriformes</v>
      </c>
      <c r="H11" s="3" t="str">
        <f>VLOOKUP(B11,LifeList!$E$2:$I$2038,5)</f>
        <v>Oriolidae (Old World Orioles)</v>
      </c>
      <c r="I11" s="4"/>
    </row>
    <row r="12" spans="1:9" ht="10.5" customHeight="1">
      <c r="A12" s="3" t="s">
        <v>26</v>
      </c>
      <c r="B12" s="3" t="s">
        <v>27</v>
      </c>
      <c r="C12" s="3">
        <f>VLOOKUP(B12,LifeList!$E$2:$J$2038,6)</f>
        <v>7370</v>
      </c>
      <c r="D12" s="3" t="str">
        <f>VLOOKUP(B12,LifeList!$E$2:$G$2038,1)</f>
        <v>African Darter</v>
      </c>
      <c r="E12" s="3" t="str">
        <f>VLOOKUP(B12,LifeList!$E$2:$G$2038,2)</f>
        <v>Anhinga d'Afrique</v>
      </c>
      <c r="F12" s="3" t="str">
        <f>VLOOKUP(B12,LifeList!$E$2:$G$2038,3)</f>
        <v>Anhinga rufa</v>
      </c>
      <c r="G12" s="3" t="str">
        <f>VLOOKUP(B12,LifeList!$E$2:$I$2038,4)</f>
        <v>Suliformes</v>
      </c>
      <c r="H12" s="3" t="str">
        <f>VLOOKUP(B12,LifeList!$E$2:$I$2038,5)</f>
        <v>Anhingidae (Anhingas)</v>
      </c>
      <c r="I12" s="4"/>
    </row>
    <row r="13" spans="1:9" ht="10.5" customHeight="1">
      <c r="A13" s="3" t="s">
        <v>28</v>
      </c>
      <c r="B13" s="3" t="s">
        <v>29</v>
      </c>
      <c r="C13" s="3">
        <f>VLOOKUP(B13,LifeList!$E$2:$J$2038,6)</f>
        <v>8374</v>
      </c>
      <c r="D13" s="3" t="str">
        <f>VLOOKUP(B13,LifeList!$E$2:$G$2038,1)</f>
        <v>African Fish-Eagle</v>
      </c>
      <c r="E13" s="3" t="str">
        <f>VLOOKUP(B13,LifeList!$E$2:$G$2038,2)</f>
        <v>Pygargue vocifer</v>
      </c>
      <c r="F13" s="3" t="str">
        <f>VLOOKUP(B13,LifeList!$E$2:$G$2038,3)</f>
        <v>Icthyophaga vocifer</v>
      </c>
      <c r="G13" s="3" t="str">
        <f>VLOOKUP(B13,LifeList!$E$2:$I$2038,4)</f>
        <v>Accipitriformes</v>
      </c>
      <c r="H13" s="3" t="str">
        <f>VLOOKUP(B13,LifeList!$E$2:$I$2038,5)</f>
        <v>Accipitridae (Hawks, Eagles, and Kites)</v>
      </c>
      <c r="I13" s="4"/>
    </row>
    <row r="14" spans="1:9" ht="10.5" customHeight="1">
      <c r="A14" s="3" t="s">
        <v>30</v>
      </c>
      <c r="B14" s="3" t="s">
        <v>31</v>
      </c>
      <c r="C14" s="3">
        <f>VLOOKUP(B14,LifeList!$E$2:$J$2038,6)</f>
        <v>28852</v>
      </c>
      <c r="D14" s="3" t="str">
        <f>VLOOKUP(B14,LifeList!$E$2:$G$2038,1)</f>
        <v>African Gray Flycatcher</v>
      </c>
      <c r="E14" s="3" t="str">
        <f>VLOOKUP(B14,LifeList!$E$2:$G$2038,2)</f>
        <v>Gobemouche à petit bec</v>
      </c>
      <c r="F14" s="3" t="str">
        <f>VLOOKUP(B14,LifeList!$E$2:$G$2038,3)</f>
        <v>Bradornis microrhynchus</v>
      </c>
      <c r="G14" s="3" t="str">
        <f>VLOOKUP(B14,LifeList!$E$2:$I$2038,4)</f>
        <v>Passeriformes</v>
      </c>
      <c r="H14" s="3" t="str">
        <f>VLOOKUP(B14,LifeList!$E$2:$I$2038,5)</f>
        <v>Muscicapidae (Old World Flycatchers)</v>
      </c>
      <c r="I14" s="4"/>
    </row>
    <row r="15" spans="1:9" ht="10.5" customHeight="1">
      <c r="A15" s="3" t="s">
        <v>32</v>
      </c>
      <c r="B15" s="3" t="s">
        <v>33</v>
      </c>
      <c r="C15" s="3">
        <f>VLOOKUP(B15,LifeList!$E$2:$J$2038,6)</f>
        <v>9664</v>
      </c>
      <c r="D15" s="3" t="str">
        <f>VLOOKUP(B15,LifeList!$E$2:$G$2038,1)</f>
        <v>African Gray Hornbill</v>
      </c>
      <c r="E15" s="3" t="str">
        <f>VLOOKUP(B15,LifeList!$E$2:$G$2038,2)</f>
        <v>Calao à bec noir</v>
      </c>
      <c r="F15" s="3" t="str">
        <f>VLOOKUP(B15,LifeList!$E$2:$G$2038,3)</f>
        <v>Lophoceros nasutus</v>
      </c>
      <c r="G15" s="3" t="str">
        <f>VLOOKUP(B15,LifeList!$E$2:$I$2038,4)</f>
        <v>Bucerotiformes</v>
      </c>
      <c r="H15" s="3" t="str">
        <f>VLOOKUP(B15,LifeList!$E$2:$I$2038,5)</f>
        <v>Bucerotidae (Hornbills)</v>
      </c>
      <c r="I15" s="3"/>
    </row>
    <row r="16" spans="1:9" ht="10.5" customHeight="1">
      <c r="A16" s="3" t="s">
        <v>34</v>
      </c>
      <c r="B16" s="3" t="s">
        <v>35</v>
      </c>
      <c r="C16" s="3">
        <f>VLOOKUP(B16,LifeList!$E$2:$J$2038,6)</f>
        <v>8309</v>
      </c>
      <c r="D16" s="3" t="str">
        <f>VLOOKUP(B16,LifeList!$E$2:$G$2038,1)</f>
        <v>African Marsh Harrier</v>
      </c>
      <c r="E16" s="3" t="str">
        <f>VLOOKUP(B16,LifeList!$E$2:$G$2038,2)</f>
        <v>Busard grenouillard</v>
      </c>
      <c r="F16" s="3" t="str">
        <f>VLOOKUP(B16,LifeList!$E$2:$G$2038,3)</f>
        <v>Circus ranivorus</v>
      </c>
      <c r="G16" s="3" t="str">
        <f>VLOOKUP(B16,LifeList!$E$2:$I$2038,4)</f>
        <v>Accipitriformes</v>
      </c>
      <c r="H16" s="3" t="str">
        <f>VLOOKUP(B16,LifeList!$E$2:$I$2038,5)</f>
        <v>Accipitridae (Hawks, Eagles, and Kites)</v>
      </c>
      <c r="I16" s="3"/>
    </row>
    <row r="17" spans="1:9" ht="10.5" customHeight="1">
      <c r="A17" s="3" t="s">
        <v>36</v>
      </c>
      <c r="B17" s="3" t="s">
        <v>37</v>
      </c>
      <c r="C17" s="3">
        <f>VLOOKUP(B17,LifeList!$E$2:$J$2038,6)</f>
        <v>7280</v>
      </c>
      <c r="D17" s="3" t="str">
        <f>VLOOKUP(B17,LifeList!$E$2:$G$2038,1)</f>
        <v>African Openbill</v>
      </c>
      <c r="E17" s="3" t="str">
        <f>VLOOKUP(B17,LifeList!$E$2:$G$2038,2)</f>
        <v>Bec-ouvert africain</v>
      </c>
      <c r="F17" s="3" t="str">
        <f>VLOOKUP(B17,LifeList!$E$2:$G$2038,3)</f>
        <v>Anastomus lamelligerus</v>
      </c>
      <c r="G17" s="3" t="str">
        <f>VLOOKUP(B17,LifeList!$E$2:$I$2038,4)</f>
        <v>Ciconiiformes</v>
      </c>
      <c r="H17" s="3" t="str">
        <f>VLOOKUP(B17,LifeList!$E$2:$I$2038,5)</f>
        <v>Ciconiidae (Storks)</v>
      </c>
      <c r="I17" s="3"/>
    </row>
    <row r="18" spans="1:9" ht="10.5" customHeight="1">
      <c r="A18" s="3" t="s">
        <v>38</v>
      </c>
      <c r="B18" s="3" t="s">
        <v>37</v>
      </c>
      <c r="C18" s="3">
        <f>VLOOKUP(B18,LifeList!$E$2:$J$2038,6)</f>
        <v>7280</v>
      </c>
      <c r="D18" s="3" t="str">
        <f>VLOOKUP(B18,LifeList!$E$2:$G$2038,1)</f>
        <v>African Openbill</v>
      </c>
      <c r="E18" s="3" t="str">
        <f>VLOOKUP(B18,LifeList!$E$2:$G$2038,2)</f>
        <v>Bec-ouvert africain</v>
      </c>
      <c r="F18" s="3" t="str">
        <f>VLOOKUP(B18,LifeList!$E$2:$G$2038,3)</f>
        <v>Anastomus lamelligerus</v>
      </c>
      <c r="G18" s="3" t="str">
        <f>VLOOKUP(B18,LifeList!$E$2:$I$2038,4)</f>
        <v>Ciconiiformes</v>
      </c>
      <c r="H18" s="3" t="str">
        <f>VLOOKUP(B18,LifeList!$E$2:$I$2038,5)</f>
        <v>Ciconiidae (Storks)</v>
      </c>
      <c r="I18" s="3"/>
    </row>
    <row r="19" spans="1:9" ht="10.5" customHeight="1">
      <c r="A19" s="3" t="s">
        <v>39</v>
      </c>
      <c r="B19" s="3" t="s">
        <v>40</v>
      </c>
      <c r="C19" s="3">
        <f>VLOOKUP(B19,LifeList!$E$2:$J$2038,6)</f>
        <v>20781</v>
      </c>
      <c r="D19" s="3" t="str">
        <f>VLOOKUP(B19,LifeList!$E$2:$G$2038,1)</f>
        <v>African Paradise-Flycatcher</v>
      </c>
      <c r="E19" s="3" t="str">
        <f>VLOOKUP(B19,LifeList!$E$2:$G$2038,2)</f>
        <v>Tchitrec d'Afrique</v>
      </c>
      <c r="F19" s="3" t="str">
        <f>VLOOKUP(B19,LifeList!$E$2:$G$2038,3)</f>
        <v>Terpsiphone viridis</v>
      </c>
      <c r="G19" s="3" t="str">
        <f>VLOOKUP(B19,LifeList!$E$2:$I$2038,4)</f>
        <v>Passeriformes</v>
      </c>
      <c r="H19" s="3" t="str">
        <f>VLOOKUP(B19,LifeList!$E$2:$I$2038,5)</f>
        <v>Monarchidae (Monarch Flycatchers)</v>
      </c>
      <c r="I19" s="3"/>
    </row>
    <row r="20" spans="1:9" ht="10.5" customHeight="1">
      <c r="A20" s="3" t="s">
        <v>41</v>
      </c>
      <c r="B20" s="3" t="s">
        <v>42</v>
      </c>
      <c r="C20" s="3">
        <f>VLOOKUP(B20,LifeList!$E$2:$J$2038,6)</f>
        <v>31717</v>
      </c>
      <c r="D20" s="3" t="str">
        <f>VLOOKUP(B20,LifeList!$E$2:$G$2038,1)</f>
        <v>African Pied Wagtail</v>
      </c>
      <c r="E20" s="3" t="str">
        <f>VLOOKUP(B20,LifeList!$E$2:$G$2038,2)</f>
        <v>Bergeronnette pie</v>
      </c>
      <c r="F20" s="3" t="str">
        <f>VLOOKUP(B20,LifeList!$E$2:$G$2038,3)</f>
        <v>Motacilla aguimp</v>
      </c>
      <c r="G20" s="3" t="str">
        <f>VLOOKUP(B20,LifeList!$E$2:$I$2038,4)</f>
        <v>Passeriformes</v>
      </c>
      <c r="H20" s="3" t="str">
        <f>VLOOKUP(B20,LifeList!$E$2:$I$2038,5)</f>
        <v>Motacillidae (Wagtails and Pipits)</v>
      </c>
      <c r="I20" s="3"/>
    </row>
    <row r="21" spans="1:9" ht="10.5" customHeight="1">
      <c r="A21" s="3" t="s">
        <v>43</v>
      </c>
      <c r="B21" s="3" t="s">
        <v>42</v>
      </c>
      <c r="C21" s="3">
        <f>VLOOKUP(B21,LifeList!$E$2:$J$2038,6)</f>
        <v>31717</v>
      </c>
      <c r="D21" s="3" t="str">
        <f>VLOOKUP(B21,LifeList!$E$2:$G$2038,1)</f>
        <v>African Pied Wagtail</v>
      </c>
      <c r="E21" s="3" t="str">
        <f>VLOOKUP(B21,LifeList!$E$2:$G$2038,2)</f>
        <v>Bergeronnette pie</v>
      </c>
      <c r="F21" s="3" t="str">
        <f>VLOOKUP(B21,LifeList!$E$2:$G$2038,3)</f>
        <v>Motacilla aguimp</v>
      </c>
      <c r="G21" s="3" t="str">
        <f>VLOOKUP(B21,LifeList!$E$2:$I$2038,4)</f>
        <v>Passeriformes</v>
      </c>
      <c r="H21" s="3" t="str">
        <f>VLOOKUP(B21,LifeList!$E$2:$I$2038,5)</f>
        <v>Motacillidae (Wagtails and Pipits)</v>
      </c>
      <c r="I21" s="3"/>
    </row>
    <row r="22" spans="1:9" ht="10.5" customHeight="1">
      <c r="A22" s="3" t="s">
        <v>44</v>
      </c>
      <c r="B22" s="3" t="s">
        <v>45</v>
      </c>
      <c r="C22" s="3">
        <f>VLOOKUP(B22,LifeList!$E$2:$J$2038,6)</f>
        <v>31766</v>
      </c>
      <c r="D22" s="3" t="str">
        <f>VLOOKUP(B22,LifeList!$E$2:$G$2038,1)</f>
        <v>African Pipit</v>
      </c>
      <c r="E22" s="3" t="str">
        <f>VLOOKUP(B22,LifeList!$E$2:$G$2038,2)</f>
        <v>Pipit africain</v>
      </c>
      <c r="F22" s="3" t="str">
        <f>VLOOKUP(B22,LifeList!$E$2:$G$2038,3)</f>
        <v>Anthus cinnamomeus</v>
      </c>
      <c r="G22" s="3" t="str">
        <f>VLOOKUP(B22,LifeList!$E$2:$I$2038,4)</f>
        <v>Passeriformes</v>
      </c>
      <c r="H22" s="3" t="str">
        <f>VLOOKUP(B22,LifeList!$E$2:$I$2038,5)</f>
        <v>Motacillidae (Wagtails and Pipits)</v>
      </c>
      <c r="I22" s="3"/>
    </row>
    <row r="23" spans="1:9" ht="10.5" customHeight="1">
      <c r="A23" s="3" t="s">
        <v>46</v>
      </c>
      <c r="B23" s="3" t="s">
        <v>47</v>
      </c>
      <c r="C23" s="3">
        <f>VLOOKUP(B23,LifeList!$E$2:$J$2038,6)</f>
        <v>31062</v>
      </c>
      <c r="D23" s="3" t="str">
        <f>VLOOKUP(B23,LifeList!$E$2:$G$2038,1)</f>
        <v>African Silverbill</v>
      </c>
      <c r="E23" s="3" t="str">
        <f>VLOOKUP(B23,LifeList!$E$2:$G$2038,2)</f>
        <v>Capucin bec-d'argent</v>
      </c>
      <c r="F23" s="3" t="str">
        <f>VLOOKUP(B23,LifeList!$E$2:$G$2038,3)</f>
        <v>Euodice cantans</v>
      </c>
      <c r="G23" s="3" t="str">
        <f>VLOOKUP(B23,LifeList!$E$2:$I$2038,4)</f>
        <v>Passeriformes</v>
      </c>
      <c r="H23" s="3" t="str">
        <f>VLOOKUP(B23,LifeList!$E$2:$I$2038,5)</f>
        <v>Estrildidae (Waxbills and Allies)</v>
      </c>
      <c r="I23" s="3"/>
    </row>
    <row r="24" spans="1:9" ht="10.5" customHeight="1">
      <c r="A24" s="3" t="s">
        <v>48</v>
      </c>
      <c r="B24" s="3" t="s">
        <v>49</v>
      </c>
      <c r="C24" s="3">
        <f>VLOOKUP(B24,LifeList!$E$2:$J$2038,6)</f>
        <v>6620</v>
      </c>
      <c r="D24" s="3" t="str">
        <f>VLOOKUP(B24,LifeList!$E$2:$G$2038,1)</f>
        <v>African Skimmer</v>
      </c>
      <c r="E24" s="3" t="str">
        <f>VLOOKUP(B24,LifeList!$E$2:$G$2038,2)</f>
        <v>Bec-en-ciseaux d'Afrique</v>
      </c>
      <c r="F24" s="3" t="str">
        <f>VLOOKUP(B24,LifeList!$E$2:$G$2038,3)</f>
        <v>Rynchops flavirostris</v>
      </c>
      <c r="G24" s="3" t="str">
        <f>VLOOKUP(B24,LifeList!$E$2:$I$2038,4)</f>
        <v>Charadriiformes</v>
      </c>
      <c r="H24" s="3" t="str">
        <f>VLOOKUP(B24,LifeList!$E$2:$I$2038,5)</f>
        <v>Laridae (Gulls, Terns, and Skimmers)</v>
      </c>
      <c r="I24" s="3"/>
    </row>
    <row r="25" spans="1:9" ht="10.5" customHeight="1">
      <c r="A25" s="3" t="s">
        <v>50</v>
      </c>
      <c r="B25" s="3" t="s">
        <v>51</v>
      </c>
      <c r="C25" s="3">
        <f>VLOOKUP(B25,LifeList!$E$2:$J$2038,6)</f>
        <v>7529</v>
      </c>
      <c r="D25" s="3" t="str">
        <f>VLOOKUP(B25,LifeList!$E$2:$G$2038,1)</f>
        <v>African Spoonbill</v>
      </c>
      <c r="E25" s="3" t="str">
        <f>VLOOKUP(B25,LifeList!$E$2:$G$2038,2)</f>
        <v>Spatule d'Afrique</v>
      </c>
      <c r="F25" s="3" t="str">
        <f>VLOOKUP(B25,LifeList!$E$2:$G$2038,3)</f>
        <v>Platalea alba</v>
      </c>
      <c r="G25" s="3" t="str">
        <f>VLOOKUP(B25,LifeList!$E$2:$I$2038,4)</f>
        <v>Pelecaniformes</v>
      </c>
      <c r="H25" s="3" t="str">
        <f>VLOOKUP(B25,LifeList!$E$2:$I$2038,5)</f>
        <v>Threskiornithidae (Ibises and Spoonbills)</v>
      </c>
      <c r="I25" s="3"/>
    </row>
    <row r="26" spans="1:9" ht="10.5" customHeight="1">
      <c r="A26" s="3" t="s">
        <v>52</v>
      </c>
      <c r="B26" s="3" t="s">
        <v>53</v>
      </c>
      <c r="C26" s="3">
        <f>VLOOKUP(B26,LifeList!$E$2:$J$2038,6)</f>
        <v>29690</v>
      </c>
      <c r="D26" s="3" t="str">
        <f>VLOOKUP(B26,LifeList!$E$2:$G$2038,1)</f>
        <v>African Stonechat</v>
      </c>
      <c r="E26" s="3" t="str">
        <f>VLOOKUP(B26,LifeList!$E$2:$G$2038,2)</f>
        <v>Monticole rocar</v>
      </c>
      <c r="F26" s="3" t="str">
        <f>VLOOKUP(B26,LifeList!$E$2:$G$2038,3)</f>
        <v>Saxicola torquatus</v>
      </c>
      <c r="G26" s="3" t="str">
        <f>VLOOKUP(B26,LifeList!$E$2:$I$2038,4)</f>
        <v>Passeriformes</v>
      </c>
      <c r="H26" s="3" t="str">
        <f>VLOOKUP(B26,LifeList!$E$2:$I$2038,5)</f>
        <v>Muscicapidae (Old World Flycatchers)</v>
      </c>
      <c r="I26" s="3"/>
    </row>
    <row r="27" spans="1:9" ht="10.5" customHeight="1">
      <c r="A27" s="3" t="s">
        <v>54</v>
      </c>
      <c r="B27" s="3" t="s">
        <v>55</v>
      </c>
      <c r="C27" s="3">
        <f>VLOOKUP(B27,LifeList!$E$2:$J$2038,6)</f>
        <v>7554</v>
      </c>
      <c r="D27" s="3" t="str">
        <f>VLOOKUP(B27,LifeList!$E$2:$G$2038,1)</f>
        <v>Agami Heron</v>
      </c>
      <c r="E27" s="3" t="str">
        <f>VLOOKUP(B27,LifeList!$E$2:$G$2038,2)</f>
        <v>Héron agami</v>
      </c>
      <c r="F27" s="3" t="str">
        <f>VLOOKUP(B27,LifeList!$E$2:$G$2038,3)</f>
        <v>Agamia agami</v>
      </c>
      <c r="G27" s="3" t="str">
        <f>VLOOKUP(B27,LifeList!$E$2:$I$2038,4)</f>
        <v>Pelecaniformes</v>
      </c>
      <c r="H27" s="3" t="str">
        <f>VLOOKUP(B27,LifeList!$E$2:$I$2038,5)</f>
        <v>Ardeidae (Herons, Egrets, and Bitterns)</v>
      </c>
      <c r="I27" s="3"/>
    </row>
    <row r="28" spans="1:9" ht="10.5" customHeight="1">
      <c r="A28" s="3" t="s">
        <v>56</v>
      </c>
      <c r="B28" s="3" t="s">
        <v>57</v>
      </c>
      <c r="C28" s="3">
        <f>VLOOKUP(B28,LifeList!$E$2:$J$2038,6)</f>
        <v>32129</v>
      </c>
      <c r="D28" s="3" t="str">
        <f>VLOOKUP(B28,LifeList!$E$2:$G$2038,1)</f>
        <v>Akiapolaau</v>
      </c>
      <c r="E28" s="3" t="str">
        <f>VLOOKUP(B28,LifeList!$E$2:$G$2038,2)</f>
        <v>Akiapolaau d'Hawaï</v>
      </c>
      <c r="F28" s="3" t="str">
        <f>VLOOKUP(B28,LifeList!$E$2:$G$2038,3)</f>
        <v>Hemignathus wilsoni</v>
      </c>
      <c r="G28" s="3" t="str">
        <f>VLOOKUP(B28,LifeList!$E$2:$I$2038,4)</f>
        <v>Passeriformes</v>
      </c>
      <c r="H28" s="3" t="str">
        <f>VLOOKUP(B28,LifeList!$E$2:$I$2038,5)</f>
        <v>Fringillidae (Finches, Euphonias, and Allies)</v>
      </c>
      <c r="I28" s="3"/>
    </row>
    <row r="29" spans="1:9" ht="10.5" customHeight="1">
      <c r="A29" s="3" t="s">
        <v>58</v>
      </c>
      <c r="B29" s="3" t="s">
        <v>59</v>
      </c>
      <c r="C29" s="3">
        <f>VLOOKUP(B29,LifeList!$E$2:$J$2038,6)</f>
        <v>16951</v>
      </c>
      <c r="D29" s="3" t="str">
        <f>VLOOKUP(B29,LifeList!$E$2:$G$2038,1)</f>
        <v>Alder Flycatcher</v>
      </c>
      <c r="E29" s="3" t="str">
        <f>VLOOKUP(B29,LifeList!$E$2:$G$2038,2)</f>
        <v>Moucherolle des aulnes</v>
      </c>
      <c r="F29" s="3" t="str">
        <f>VLOOKUP(B29,LifeList!$E$2:$G$2038,3)</f>
        <v>Empidonax alnorum</v>
      </c>
      <c r="G29" s="3" t="str">
        <f>VLOOKUP(B29,LifeList!$E$2:$I$2038,4)</f>
        <v>Passeriformes</v>
      </c>
      <c r="H29" s="3" t="str">
        <f>VLOOKUP(B29,LifeList!$E$2:$I$2038,5)</f>
        <v>Tyrannidae (Tyrant Flycatchers)</v>
      </c>
      <c r="I29" s="3"/>
    </row>
    <row r="30" spans="1:9" ht="10.5" customHeight="1">
      <c r="A30" s="5" t="s">
        <v>60</v>
      </c>
      <c r="B30" s="3" t="s">
        <v>61</v>
      </c>
      <c r="C30" s="3">
        <f>VLOOKUP(B30,LifeList!$E$2:$J$2038,6)</f>
        <v>16951</v>
      </c>
      <c r="D30" s="3" t="str">
        <f>VLOOKUP(B30,LifeList!$E$2:$G$2038,1)</f>
        <v>Alder Flycatcher</v>
      </c>
      <c r="E30" s="3" t="str">
        <f>VLOOKUP(B30,LifeList!$E$2:$G$2038,2)</f>
        <v>Moucherolle des aulnes</v>
      </c>
      <c r="F30" s="3" t="str">
        <f>VLOOKUP(B30,LifeList!$E$2:$G$2038,3)</f>
        <v>Empidonax alnorum</v>
      </c>
      <c r="G30" s="3" t="str">
        <f>VLOOKUP(B30,LifeList!$E$2:$I$2038,4)</f>
        <v>Passeriformes</v>
      </c>
      <c r="H30" s="3" t="str">
        <f>VLOOKUP(B30,LifeList!$E$2:$I$2038,5)</f>
        <v>Tyrannidae (Tyrant Flycatchers)</v>
      </c>
      <c r="I30" s="3"/>
    </row>
    <row r="31" spans="1:9" ht="10.5" customHeight="1">
      <c r="A31" s="3" t="s">
        <v>62</v>
      </c>
      <c r="B31" s="3" t="s">
        <v>63</v>
      </c>
      <c r="C31" s="3">
        <f>VLOOKUP(B31,LifeList!$E$2:$J$2038,6)</f>
        <v>10312</v>
      </c>
      <c r="D31" s="3" t="str">
        <f>VLOOKUP(B31,LifeList!$E$2:$G$2038,1)</f>
        <v>Amazon Kingfisher</v>
      </c>
      <c r="E31" s="3" t="str">
        <f>VLOOKUP(B31,LifeList!$E$2:$G$2038,2)</f>
        <v>Martin-pêcheur d'Amazonie</v>
      </c>
      <c r="F31" s="3" t="str">
        <f>VLOOKUP(B31,LifeList!$E$2:$G$2038,3)</f>
        <v>Chloroceryle amazona</v>
      </c>
      <c r="G31" s="3" t="str">
        <f>VLOOKUP(B31,LifeList!$E$2:$I$2038,4)</f>
        <v>Coraciiformes</v>
      </c>
      <c r="H31" s="3" t="str">
        <f>VLOOKUP(B31,LifeList!$E$2:$I$2038,5)</f>
        <v>Alcedinidae (Kingfishers)</v>
      </c>
      <c r="I31" s="3"/>
    </row>
    <row r="32" spans="1:9" ht="10.5" customHeight="1">
      <c r="A32" s="5" t="s">
        <v>64</v>
      </c>
      <c r="B32" s="3" t="s">
        <v>65</v>
      </c>
      <c r="C32" s="3">
        <f>VLOOKUP(B32,LifeList!$E$2:$J$2038,6)</f>
        <v>5780</v>
      </c>
      <c r="D32" s="3" t="str">
        <f>VLOOKUP(B32,LifeList!$E$2:$G$2038,1)</f>
        <v>American Avocet</v>
      </c>
      <c r="E32" s="3" t="str">
        <f>VLOOKUP(B32,LifeList!$E$2:$G$2038,2)</f>
        <v>Avocette d'Amérique</v>
      </c>
      <c r="F32" s="3" t="str">
        <f>VLOOKUP(B32,LifeList!$E$2:$G$2038,3)</f>
        <v>Recurvirostra americana</v>
      </c>
      <c r="G32" s="3" t="str">
        <f>VLOOKUP(B32,LifeList!$E$2:$I$2038,4)</f>
        <v>Charadriiformes</v>
      </c>
      <c r="H32" s="3" t="str">
        <f>VLOOKUP(B32,LifeList!$E$2:$I$2038,5)</f>
        <v>Recurvirostridae (Stilts and Avocets)</v>
      </c>
      <c r="I32" s="3"/>
    </row>
    <row r="33" spans="1:9" ht="10.5" customHeight="1">
      <c r="A33" s="3" t="s">
        <v>66</v>
      </c>
      <c r="B33" s="3" t="s">
        <v>67</v>
      </c>
      <c r="C33" s="3">
        <f>VLOOKUP(B33,LifeList!$E$2:$J$2038,6)</f>
        <v>7560</v>
      </c>
      <c r="D33" s="3" t="str">
        <f>VLOOKUP(B33,LifeList!$E$2:$G$2038,1)</f>
        <v>American Bittern</v>
      </c>
      <c r="E33" s="3" t="str">
        <f>VLOOKUP(B33,LifeList!$E$2:$G$2038,2)</f>
        <v>Butor d'Amérique</v>
      </c>
      <c r="F33" s="3" t="str">
        <f>VLOOKUP(B33,LifeList!$E$2:$G$2038,3)</f>
        <v>Botaurus lentiginosus</v>
      </c>
      <c r="G33" s="3" t="str">
        <f>VLOOKUP(B33,LifeList!$E$2:$I$2038,4)</f>
        <v>Pelecaniformes</v>
      </c>
      <c r="H33" s="3" t="str">
        <f>VLOOKUP(B33,LifeList!$E$2:$I$2038,5)</f>
        <v>Ardeidae (Herons, Egrets, and Bitterns)</v>
      </c>
      <c r="I33" s="3"/>
    </row>
    <row r="34" spans="1:9" ht="10.5" customHeight="1">
      <c r="A34" s="7" t="s">
        <v>68</v>
      </c>
      <c r="B34" s="8" t="s">
        <v>69</v>
      </c>
      <c r="C34" s="3">
        <f>VLOOKUP(B34,LifeList!$E$2:$J$2038,6)</f>
        <v>5500</v>
      </c>
      <c r="D34" s="3" t="str">
        <f>VLOOKUP(B34,LifeList!$E$2:$G$2038,1)</f>
        <v>American Coot</v>
      </c>
      <c r="E34" s="3" t="str">
        <f>VLOOKUP(B34,LifeList!$E$2:$G$2038,2)</f>
        <v>Foulque d'Amérique</v>
      </c>
      <c r="F34" s="3" t="str">
        <f>VLOOKUP(B34,LifeList!$E$2:$G$2038,3)</f>
        <v>Fulica americana</v>
      </c>
      <c r="G34" s="3" t="str">
        <f>VLOOKUP(B34,LifeList!$E$2:$I$2038,4)</f>
        <v>Gruiformes</v>
      </c>
      <c r="H34" s="3" t="str">
        <f>VLOOKUP(B34,LifeList!$E$2:$I$2038,5)</f>
        <v>Rallidae (Rails, Gallinules, and Coots)</v>
      </c>
      <c r="I34" s="3"/>
    </row>
    <row r="35" spans="1:9" ht="10.5" customHeight="1">
      <c r="A35" s="7" t="s">
        <v>70</v>
      </c>
      <c r="B35" s="9" t="s">
        <v>69</v>
      </c>
      <c r="C35" s="3">
        <f>VLOOKUP(B35,LifeList!$E$2:$J$2038,6)</f>
        <v>5500</v>
      </c>
      <c r="D35" s="3" t="str">
        <f>VLOOKUP(B35,LifeList!$E$2:$G$2038,1)</f>
        <v>American Coot</v>
      </c>
      <c r="E35" s="3" t="str">
        <f>VLOOKUP(B35,LifeList!$E$2:$G$2038,2)</f>
        <v>Foulque d'Amérique</v>
      </c>
      <c r="F35" s="3" t="str">
        <f>VLOOKUP(B35,LifeList!$E$2:$G$2038,3)</f>
        <v>Fulica americana</v>
      </c>
      <c r="G35" s="3" t="str">
        <f>VLOOKUP(B35,LifeList!$E$2:$I$2038,4)</f>
        <v>Gruiformes</v>
      </c>
      <c r="H35" s="3" t="str">
        <f>VLOOKUP(B35,LifeList!$E$2:$I$2038,5)</f>
        <v>Rallidae (Rails, Gallinules, and Coots)</v>
      </c>
      <c r="I35" s="3"/>
    </row>
    <row r="36" spans="1:9" ht="10.5" customHeight="1">
      <c r="A36" s="3" t="s">
        <v>71</v>
      </c>
      <c r="B36" s="3" t="s">
        <v>72</v>
      </c>
      <c r="C36" s="3">
        <f>VLOOKUP(B36,LifeList!$E$2:$J$2038,6)</f>
        <v>32617</v>
      </c>
      <c r="D36" s="3" t="str">
        <f>VLOOKUP(B36,LifeList!$E$2:$G$2038,1)</f>
        <v>American Goldfinch</v>
      </c>
      <c r="E36" s="3" t="str">
        <f>VLOOKUP(B36,LifeList!$E$2:$G$2038,2)</f>
        <v>Chardonneret jaune</v>
      </c>
      <c r="F36" s="3" t="str">
        <f>VLOOKUP(B36,LifeList!$E$2:$G$2038,3)</f>
        <v>Spinus tristis</v>
      </c>
      <c r="G36" s="3" t="str">
        <f>VLOOKUP(B36,LifeList!$E$2:$I$2038,4)</f>
        <v>Passeriformes</v>
      </c>
      <c r="H36" s="3" t="str">
        <f>VLOOKUP(B36,LifeList!$E$2:$I$2038,5)</f>
        <v>Fringillidae (Finches, Euphonias, and Allies)</v>
      </c>
      <c r="I36" s="3"/>
    </row>
    <row r="37" spans="1:9" ht="10.5" customHeight="1">
      <c r="A37" s="5" t="s">
        <v>73</v>
      </c>
      <c r="B37" s="3" t="s">
        <v>74</v>
      </c>
      <c r="C37" s="3">
        <f>VLOOKUP(B37,LifeList!$E$2:$J$2038,6)</f>
        <v>5799</v>
      </c>
      <c r="D37" s="3" t="str">
        <f>VLOOKUP(B37,LifeList!$E$2:$G$2038,1)</f>
        <v>American Oystercatcher</v>
      </c>
      <c r="E37" s="3" t="str">
        <f>VLOOKUP(B37,LifeList!$E$2:$G$2038,2)</f>
        <v>Huîtrier d'Amérique</v>
      </c>
      <c r="F37" s="3" t="str">
        <f>VLOOKUP(B37,LifeList!$E$2:$G$2038,3)</f>
        <v>Haematopus palliatus</v>
      </c>
      <c r="G37" s="3" t="str">
        <f>VLOOKUP(B37,LifeList!$E$2:$I$2038,4)</f>
        <v>Charadriiformes</v>
      </c>
      <c r="H37" s="3" t="str">
        <f>VLOOKUP(B37,LifeList!$E$2:$I$2038,5)</f>
        <v>Haematopodidae (Oystercatchers)</v>
      </c>
      <c r="I37" s="3"/>
    </row>
    <row r="38" spans="1:9" ht="10.5" customHeight="1">
      <c r="A38" s="3" t="s">
        <v>75</v>
      </c>
      <c r="B38" s="3" t="s">
        <v>76</v>
      </c>
      <c r="C38" s="3">
        <f>VLOOKUP(B38,LifeList!$E$2:$J$2038,6)</f>
        <v>34058</v>
      </c>
      <c r="D38" s="3" t="str">
        <f>VLOOKUP(B38,LifeList!$E$2:$G$2038,1)</f>
        <v>American Redstart</v>
      </c>
      <c r="E38" s="3" t="str">
        <f>VLOOKUP(B38,LifeList!$E$2:$G$2038,2)</f>
        <v>Paruline flamboyante</v>
      </c>
      <c r="F38" s="3" t="str">
        <f>VLOOKUP(B38,LifeList!$E$2:$G$2038,3)</f>
        <v>Setophaga ruticilla</v>
      </c>
      <c r="G38" s="3" t="str">
        <f>VLOOKUP(B38,LifeList!$E$2:$I$2038,4)</f>
        <v>Passeriformes</v>
      </c>
      <c r="H38" s="3" t="str">
        <f>VLOOKUP(B38,LifeList!$E$2:$I$2038,5)</f>
        <v>Parulidae (New World Warblers)</v>
      </c>
      <c r="I38" s="3"/>
    </row>
    <row r="39" spans="1:9" ht="10.5" customHeight="1">
      <c r="A39" s="5" t="s">
        <v>77</v>
      </c>
      <c r="B39" s="5" t="s">
        <v>78</v>
      </c>
      <c r="C39" s="3">
        <f>VLOOKUP(B39,LifeList!$E$2:$J$2038,6)</f>
        <v>517</v>
      </c>
      <c r="D39" s="3" t="str">
        <f>VLOOKUP(B39,LifeList!$E$2:$G$2038,1)</f>
        <v>American Wigeon</v>
      </c>
      <c r="E39" s="3" t="str">
        <f>VLOOKUP(B39,LifeList!$E$2:$G$2038,2)</f>
        <v>Canard d'Amérique</v>
      </c>
      <c r="F39" s="3" t="str">
        <f>VLOOKUP(B39,LifeList!$E$2:$G$2038,3)</f>
        <v>Mareca americana</v>
      </c>
      <c r="G39" s="3" t="str">
        <f>VLOOKUP(B39,LifeList!$E$2:$I$2038,4)</f>
        <v>Anseriformes</v>
      </c>
      <c r="H39" s="3" t="str">
        <f>VLOOKUP(B39,LifeList!$E$2:$I$2038,5)</f>
        <v>Anatidae (Ducks, Geese, and Waterfowl)</v>
      </c>
      <c r="I39" s="3"/>
    </row>
    <row r="40" spans="1:9" ht="10.5" customHeight="1">
      <c r="A40" s="5" t="s">
        <v>79</v>
      </c>
      <c r="B40" s="5" t="s">
        <v>80</v>
      </c>
      <c r="C40" s="3">
        <f>VLOOKUP(B40,LifeList!$E$2:$J$2038,6)</f>
        <v>6064</v>
      </c>
      <c r="D40" s="3" t="str">
        <f>VLOOKUP(B40,LifeList!$E$2:$G$2038,1)</f>
        <v>American Woodcock</v>
      </c>
      <c r="E40" s="3" t="str">
        <f>VLOOKUP(B40,LifeList!$E$2:$G$2038,2)</f>
        <v>Bécasse d'Amérique</v>
      </c>
      <c r="F40" s="3" t="str">
        <f>VLOOKUP(B40,LifeList!$E$2:$G$2038,3)</f>
        <v>Scolopax minor</v>
      </c>
      <c r="G40" s="3" t="str">
        <f>VLOOKUP(B40,LifeList!$E$2:$I$2038,4)</f>
        <v>Charadriiformes</v>
      </c>
      <c r="H40" s="3" t="str">
        <f>VLOOKUP(B40,LifeList!$E$2:$I$2038,5)</f>
        <v>Scolopacidae (Sandpipers and Allies)</v>
      </c>
      <c r="I40" s="3"/>
    </row>
    <row r="41" spans="1:9" ht="10.5" customHeight="1">
      <c r="A41" s="5" t="s">
        <v>81</v>
      </c>
      <c r="B41" s="5" t="s">
        <v>80</v>
      </c>
      <c r="C41" s="3">
        <f>VLOOKUP(B41,LifeList!$E$2:$J$2038,6)</f>
        <v>6064</v>
      </c>
      <c r="D41" s="3" t="str">
        <f>VLOOKUP(B41,LifeList!$E$2:$G$2038,1)</f>
        <v>American Woodcock</v>
      </c>
      <c r="E41" s="3" t="str">
        <f>VLOOKUP(B41,LifeList!$E$2:$G$2038,2)</f>
        <v>Bécasse d'Amérique</v>
      </c>
      <c r="F41" s="3" t="str">
        <f>VLOOKUP(B41,LifeList!$E$2:$G$2038,3)</f>
        <v>Scolopax minor</v>
      </c>
      <c r="G41" s="3" t="str">
        <f>VLOOKUP(B41,LifeList!$E$2:$I$2038,4)</f>
        <v>Charadriiformes</v>
      </c>
      <c r="H41" s="3" t="str">
        <f>VLOOKUP(B41,LifeList!$E$2:$I$2038,5)</f>
        <v>Scolopacidae (Sandpipers and Allies)</v>
      </c>
      <c r="I41" s="3"/>
    </row>
    <row r="42" spans="1:9" ht="10.5" customHeight="1">
      <c r="A42" s="3" t="s">
        <v>82</v>
      </c>
      <c r="B42" s="3" t="s">
        <v>83</v>
      </c>
      <c r="C42" s="3">
        <f>VLOOKUP(B42,LifeList!$E$2:$J$2038,6)</f>
        <v>5780</v>
      </c>
      <c r="D42" s="3" t="str">
        <f>VLOOKUP(B42,LifeList!$E$2:$G$2038,1)</f>
        <v>American Avocet</v>
      </c>
      <c r="E42" s="3" t="str">
        <f>VLOOKUP(B42,LifeList!$E$2:$G$2038,2)</f>
        <v>Avocette d'Amérique</v>
      </c>
      <c r="F42" s="3" t="str">
        <f>VLOOKUP(B42,LifeList!$E$2:$G$2038,3)</f>
        <v>Recurvirostra americana</v>
      </c>
      <c r="G42" s="3" t="str">
        <f>VLOOKUP(B42,LifeList!$E$2:$I$2038,4)</f>
        <v>Charadriiformes</v>
      </c>
      <c r="H42" s="3" t="str">
        <f>VLOOKUP(B42,LifeList!$E$2:$I$2038,5)</f>
        <v>Recurvirostridae (Stilts and Avocets)</v>
      </c>
      <c r="I42" s="3"/>
    </row>
    <row r="43" spans="1:9" ht="10.5" customHeight="1">
      <c r="A43" s="3" t="s">
        <v>84</v>
      </c>
      <c r="B43" s="3" t="s">
        <v>85</v>
      </c>
      <c r="C43" s="3">
        <f>VLOOKUP(B43,LifeList!$E$2:$J$2038,6)</f>
        <v>8633</v>
      </c>
      <c r="D43" s="3" t="str">
        <f>VLOOKUP(B43,LifeList!$E$2:$G$2038,1)</f>
        <v>American Barn Owl</v>
      </c>
      <c r="E43" s="3" t="str">
        <f>VLOOKUP(B43,LifeList!$E$2:$G$2038,2)</f>
        <v>Effraie d'Amérique</v>
      </c>
      <c r="F43" s="3" t="str">
        <f>VLOOKUP(B43,LifeList!$E$2:$G$2038,3)</f>
        <v>Tyto furcata</v>
      </c>
      <c r="G43" s="3" t="str">
        <f>VLOOKUP(B43,LifeList!$E$2:$I$2038,4)</f>
        <v>Strigiformes</v>
      </c>
      <c r="H43" s="3" t="str">
        <f>VLOOKUP(B43,LifeList!$E$2:$I$2038,5)</f>
        <v>Tytonidae (Barn-Owls)</v>
      </c>
      <c r="I43" s="3"/>
    </row>
    <row r="44" spans="1:9" ht="10.5" customHeight="1">
      <c r="A44" s="3" t="s">
        <v>86</v>
      </c>
      <c r="B44" s="3" t="s">
        <v>85</v>
      </c>
      <c r="C44" s="3">
        <f>VLOOKUP(B44,LifeList!$E$2:$J$2038,6)</f>
        <v>8633</v>
      </c>
      <c r="D44" s="3" t="str">
        <f>VLOOKUP(B44,LifeList!$E$2:$G$2038,1)</f>
        <v>American Barn Owl</v>
      </c>
      <c r="E44" s="3" t="str">
        <f>VLOOKUP(B44,LifeList!$E$2:$G$2038,2)</f>
        <v>Effraie d'Amérique</v>
      </c>
      <c r="F44" s="3" t="str">
        <f>VLOOKUP(B44,LifeList!$E$2:$G$2038,3)</f>
        <v>Tyto furcata</v>
      </c>
      <c r="G44" s="3" t="str">
        <f>VLOOKUP(B44,LifeList!$E$2:$I$2038,4)</f>
        <v>Strigiformes</v>
      </c>
      <c r="H44" s="3" t="str">
        <f>VLOOKUP(B44,LifeList!$E$2:$I$2038,5)</f>
        <v>Tytonidae (Barn-Owls)</v>
      </c>
      <c r="I44" s="3"/>
    </row>
    <row r="45" spans="1:9" ht="10.5" customHeight="1">
      <c r="A45" s="3" t="s">
        <v>87</v>
      </c>
      <c r="B45" s="3" t="s">
        <v>88</v>
      </c>
      <c r="C45" s="3">
        <f>VLOOKUP(B45,LifeList!$E$2:$J$2038,6)</f>
        <v>7560</v>
      </c>
      <c r="D45" s="3" t="str">
        <f>VLOOKUP(B45,LifeList!$E$2:$G$2038,1)</f>
        <v>American Bittern</v>
      </c>
      <c r="E45" s="3" t="str">
        <f>VLOOKUP(B45,LifeList!$E$2:$G$2038,2)</f>
        <v>Butor d'Amérique</v>
      </c>
      <c r="F45" s="3" t="str">
        <f>VLOOKUP(B45,LifeList!$E$2:$G$2038,3)</f>
        <v>Botaurus lentiginosus</v>
      </c>
      <c r="G45" s="3" t="str">
        <f>VLOOKUP(B45,LifeList!$E$2:$I$2038,4)</f>
        <v>Pelecaniformes</v>
      </c>
      <c r="H45" s="3" t="str">
        <f>VLOOKUP(B45,LifeList!$E$2:$I$2038,5)</f>
        <v>Ardeidae (Herons, Egrets, and Bitterns)</v>
      </c>
      <c r="I45" s="3"/>
    </row>
    <row r="46" spans="1:9" ht="10.5" customHeight="1">
      <c r="A46" s="3" t="s">
        <v>89</v>
      </c>
      <c r="B46" s="3" t="s">
        <v>88</v>
      </c>
      <c r="C46" s="3">
        <f>VLOOKUP(B46,LifeList!$E$2:$J$2038,6)</f>
        <v>7560</v>
      </c>
      <c r="D46" s="3" t="str">
        <f>VLOOKUP(B46,LifeList!$E$2:$G$2038,1)</f>
        <v>American Bittern</v>
      </c>
      <c r="E46" s="3" t="str">
        <f>VLOOKUP(B46,LifeList!$E$2:$G$2038,2)</f>
        <v>Butor d'Amérique</v>
      </c>
      <c r="F46" s="3" t="str">
        <f>VLOOKUP(B46,LifeList!$E$2:$G$2038,3)</f>
        <v>Botaurus lentiginosus</v>
      </c>
      <c r="G46" s="3" t="str">
        <f>VLOOKUP(B46,LifeList!$E$2:$I$2038,4)</f>
        <v>Pelecaniformes</v>
      </c>
      <c r="H46" s="3" t="str">
        <f>VLOOKUP(B46,LifeList!$E$2:$I$2038,5)</f>
        <v>Ardeidae (Herons, Egrets, and Bitterns)</v>
      </c>
      <c r="I46" s="3"/>
    </row>
    <row r="47" spans="1:9" ht="10.5" customHeight="1">
      <c r="A47" s="3" t="s">
        <v>90</v>
      </c>
      <c r="B47" s="3" t="s">
        <v>88</v>
      </c>
      <c r="C47" s="3">
        <f>VLOOKUP(B47,LifeList!$E$2:$J$2038,6)</f>
        <v>7560</v>
      </c>
      <c r="D47" s="3" t="str">
        <f>VLOOKUP(B47,LifeList!$E$2:$G$2038,1)</f>
        <v>American Bittern</v>
      </c>
      <c r="E47" s="3" t="str">
        <f>VLOOKUP(B47,LifeList!$E$2:$G$2038,2)</f>
        <v>Butor d'Amérique</v>
      </c>
      <c r="F47" s="3" t="str">
        <f>VLOOKUP(B47,LifeList!$E$2:$G$2038,3)</f>
        <v>Botaurus lentiginosus</v>
      </c>
      <c r="G47" s="3" t="str">
        <f>VLOOKUP(B47,LifeList!$E$2:$I$2038,4)</f>
        <v>Pelecaniformes</v>
      </c>
      <c r="H47" s="3" t="str">
        <f>VLOOKUP(B47,LifeList!$E$2:$I$2038,5)</f>
        <v>Ardeidae (Herons, Egrets, and Bitterns)</v>
      </c>
      <c r="I47" s="3"/>
    </row>
    <row r="48" spans="1:9" ht="10.5" customHeight="1">
      <c r="A48" s="3" t="s">
        <v>91</v>
      </c>
      <c r="B48" s="3" t="s">
        <v>88</v>
      </c>
      <c r="C48" s="3">
        <f>VLOOKUP(B48,LifeList!$E$2:$J$2038,6)</f>
        <v>7560</v>
      </c>
      <c r="D48" s="3" t="str">
        <f>VLOOKUP(B48,LifeList!$E$2:$G$2038,1)</f>
        <v>American Bittern</v>
      </c>
      <c r="E48" s="3" t="str">
        <f>VLOOKUP(B48,LifeList!$E$2:$G$2038,2)</f>
        <v>Butor d'Amérique</v>
      </c>
      <c r="F48" s="3" t="str">
        <f>VLOOKUP(B48,LifeList!$E$2:$G$2038,3)</f>
        <v>Botaurus lentiginosus</v>
      </c>
      <c r="G48" s="3" t="str">
        <f>VLOOKUP(B48,LifeList!$E$2:$I$2038,4)</f>
        <v>Pelecaniformes</v>
      </c>
      <c r="H48" s="3" t="str">
        <f>VLOOKUP(B48,LifeList!$E$2:$I$2038,5)</f>
        <v>Ardeidae (Herons, Egrets, and Bitterns)</v>
      </c>
      <c r="I48" s="3"/>
    </row>
    <row r="49" spans="1:9" ht="10.5" customHeight="1">
      <c r="A49" s="3" t="s">
        <v>92</v>
      </c>
      <c r="B49" s="3" t="s">
        <v>93</v>
      </c>
      <c r="C49" s="3">
        <f>VLOOKUP(B49,LifeList!$E$2:$J$2038,6)</f>
        <v>571</v>
      </c>
      <c r="D49" s="3" t="str">
        <f>VLOOKUP(B49,LifeList!$E$2:$G$2038,1)</f>
        <v>American Black Duck</v>
      </c>
      <c r="E49" s="3" t="str">
        <f>VLOOKUP(B49,LifeList!$E$2:$G$2038,2)</f>
        <v>Canard noir</v>
      </c>
      <c r="F49" s="3" t="str">
        <f>VLOOKUP(B49,LifeList!$E$2:$G$2038,3)</f>
        <v>Anas rubripes</v>
      </c>
      <c r="G49" s="3" t="str">
        <f>VLOOKUP(B49,LifeList!$E$2:$I$2038,4)</f>
        <v>Anseriformes</v>
      </c>
      <c r="H49" s="3" t="str">
        <f>VLOOKUP(B49,LifeList!$E$2:$I$2038,5)</f>
        <v>Anatidae (Ducks, Geese, and Waterfowl)</v>
      </c>
      <c r="I49" s="3"/>
    </row>
    <row r="50" spans="1:9" ht="10.5" customHeight="1">
      <c r="A50" s="3" t="s">
        <v>94</v>
      </c>
      <c r="B50" s="3" t="s">
        <v>93</v>
      </c>
      <c r="C50" s="3">
        <f>VLOOKUP(B50,LifeList!$E$2:$J$2038,6)</f>
        <v>571</v>
      </c>
      <c r="D50" s="3" t="str">
        <f>VLOOKUP(B50,LifeList!$E$2:$G$2038,1)</f>
        <v>American Black Duck</v>
      </c>
      <c r="E50" s="3" t="str">
        <f>VLOOKUP(B50,LifeList!$E$2:$G$2038,2)</f>
        <v>Canard noir</v>
      </c>
      <c r="F50" s="3" t="str">
        <f>VLOOKUP(B50,LifeList!$E$2:$G$2038,3)</f>
        <v>Anas rubripes</v>
      </c>
      <c r="G50" s="3" t="str">
        <f>VLOOKUP(B50,LifeList!$E$2:$I$2038,4)</f>
        <v>Anseriformes</v>
      </c>
      <c r="H50" s="3" t="str">
        <f>VLOOKUP(B50,LifeList!$E$2:$I$2038,5)</f>
        <v>Anatidae (Ducks, Geese, and Waterfowl)</v>
      </c>
      <c r="I50" s="3"/>
    </row>
    <row r="51" spans="1:9" ht="10.5" customHeight="1">
      <c r="A51" s="3" t="s">
        <v>95</v>
      </c>
      <c r="B51" s="3" t="s">
        <v>93</v>
      </c>
      <c r="C51" s="3">
        <f>VLOOKUP(B51,LifeList!$E$2:$J$2038,6)</f>
        <v>571</v>
      </c>
      <c r="D51" s="3" t="str">
        <f>VLOOKUP(B51,LifeList!$E$2:$G$2038,1)</f>
        <v>American Black Duck</v>
      </c>
      <c r="E51" s="3" t="str">
        <f>VLOOKUP(B51,LifeList!$E$2:$G$2038,2)</f>
        <v>Canard noir</v>
      </c>
      <c r="F51" s="3" t="str">
        <f>VLOOKUP(B51,LifeList!$E$2:$G$2038,3)</f>
        <v>Anas rubripes</v>
      </c>
      <c r="G51" s="3" t="str">
        <f>VLOOKUP(B51,LifeList!$E$2:$I$2038,4)</f>
        <v>Anseriformes</v>
      </c>
      <c r="H51" s="3" t="str">
        <f>VLOOKUP(B51,LifeList!$E$2:$I$2038,5)</f>
        <v>Anatidae (Ducks, Geese, and Waterfowl)</v>
      </c>
      <c r="I51" s="3"/>
    </row>
    <row r="52" spans="1:9" ht="10.5" customHeight="1">
      <c r="A52" s="3" t="s">
        <v>96</v>
      </c>
      <c r="B52" s="3" t="s">
        <v>97</v>
      </c>
      <c r="C52" s="3">
        <f>VLOOKUP(B52,LifeList!$E$2:$J$2038,6)</f>
        <v>5500</v>
      </c>
      <c r="D52" s="3" t="str">
        <f>VLOOKUP(B52,LifeList!$E$2:$G$2038,1)</f>
        <v>American Coot</v>
      </c>
      <c r="E52" s="3" t="str">
        <f>VLOOKUP(B52,LifeList!$E$2:$G$2038,2)</f>
        <v>Foulque d'Amérique</v>
      </c>
      <c r="F52" s="3" t="str">
        <f>VLOOKUP(B52,LifeList!$E$2:$G$2038,3)</f>
        <v>Fulica americana</v>
      </c>
      <c r="G52" s="3" t="str">
        <f>VLOOKUP(B52,LifeList!$E$2:$I$2038,4)</f>
        <v>Gruiformes</v>
      </c>
      <c r="H52" s="3" t="str">
        <f>VLOOKUP(B52,LifeList!$E$2:$I$2038,5)</f>
        <v>Rallidae (Rails, Gallinules, and Coots)</v>
      </c>
      <c r="I52" s="3"/>
    </row>
    <row r="53" spans="1:9" ht="10.5" customHeight="1">
      <c r="A53" s="3" t="s">
        <v>98</v>
      </c>
      <c r="B53" s="3" t="s">
        <v>97</v>
      </c>
      <c r="C53" s="3">
        <f>VLOOKUP(B53,LifeList!$E$2:$J$2038,6)</f>
        <v>5500</v>
      </c>
      <c r="D53" s="3" t="str">
        <f>VLOOKUP(B53,LifeList!$E$2:$G$2038,1)</f>
        <v>American Coot</v>
      </c>
      <c r="E53" s="3" t="str">
        <f>VLOOKUP(B53,LifeList!$E$2:$G$2038,2)</f>
        <v>Foulque d'Amérique</v>
      </c>
      <c r="F53" s="3" t="str">
        <f>VLOOKUP(B53,LifeList!$E$2:$G$2038,3)</f>
        <v>Fulica americana</v>
      </c>
      <c r="G53" s="3" t="str">
        <f>VLOOKUP(B53,LifeList!$E$2:$I$2038,4)</f>
        <v>Gruiformes</v>
      </c>
      <c r="H53" s="3" t="str">
        <f>VLOOKUP(B53,LifeList!$E$2:$I$2038,5)</f>
        <v>Rallidae (Rails, Gallinules, and Coots)</v>
      </c>
      <c r="I53" s="3"/>
    </row>
    <row r="54" spans="1:9" ht="10.5" customHeight="1">
      <c r="A54" s="3" t="s">
        <v>99</v>
      </c>
      <c r="B54" s="3" t="s">
        <v>97</v>
      </c>
      <c r="C54" s="3">
        <f>VLOOKUP(B54,LifeList!$E$2:$J$2038,6)</f>
        <v>5500</v>
      </c>
      <c r="D54" s="3" t="str">
        <f>VLOOKUP(B54,LifeList!$E$2:$G$2038,1)</f>
        <v>American Coot</v>
      </c>
      <c r="E54" s="3" t="str">
        <f>VLOOKUP(B54,LifeList!$E$2:$G$2038,2)</f>
        <v>Foulque d'Amérique</v>
      </c>
      <c r="F54" s="3" t="str">
        <f>VLOOKUP(B54,LifeList!$E$2:$G$2038,3)</f>
        <v>Fulica americana</v>
      </c>
      <c r="G54" s="3" t="str">
        <f>VLOOKUP(B54,LifeList!$E$2:$I$2038,4)</f>
        <v>Gruiformes</v>
      </c>
      <c r="H54" s="3" t="str">
        <f>VLOOKUP(B54,LifeList!$E$2:$I$2038,5)</f>
        <v>Rallidae (Rails, Gallinules, and Coots)</v>
      </c>
      <c r="I54" s="3"/>
    </row>
    <row r="55" spans="1:9" ht="10.5" customHeight="1">
      <c r="A55" s="3" t="s">
        <v>100</v>
      </c>
      <c r="B55" s="3" t="s">
        <v>101</v>
      </c>
      <c r="C55" s="3">
        <f>VLOOKUP(B55,LifeList!$E$2:$J$2038,6)</f>
        <v>21557</v>
      </c>
      <c r="D55" s="3" t="str">
        <f>VLOOKUP(B55,LifeList!$E$2:$G$2038,1)</f>
        <v>American Crow</v>
      </c>
      <c r="E55" s="3" t="str">
        <f>VLOOKUP(B55,LifeList!$E$2:$G$2038,2)</f>
        <v>Corneille d'Amérique</v>
      </c>
      <c r="F55" s="3" t="str">
        <f>VLOOKUP(B55,LifeList!$E$2:$G$2038,3)</f>
        <v>Corvus brachyrhynchos</v>
      </c>
      <c r="G55" s="3" t="str">
        <f>VLOOKUP(B55,LifeList!$E$2:$I$2038,4)</f>
        <v>Passeriformes</v>
      </c>
      <c r="H55" s="3" t="str">
        <f>VLOOKUP(B55,LifeList!$E$2:$I$2038,5)</f>
        <v>Corvidae (Crows, Jays, and Magpies)</v>
      </c>
      <c r="I55" s="3"/>
    </row>
    <row r="56" spans="1:9" ht="10.5" customHeight="1">
      <c r="A56" s="3" t="s">
        <v>102</v>
      </c>
      <c r="B56" s="3" t="s">
        <v>103</v>
      </c>
      <c r="C56" s="3">
        <f>VLOOKUP(B56,LifeList!$E$2:$J$2038,6)</f>
        <v>27668</v>
      </c>
      <c r="D56" s="3" t="str">
        <f>VLOOKUP(B56,LifeList!$E$2:$G$2038,1)</f>
        <v>American Dipper</v>
      </c>
      <c r="E56" s="3" t="str">
        <f>VLOOKUP(B56,LifeList!$E$2:$G$2038,2)</f>
        <v>Cincle d'Amérique</v>
      </c>
      <c r="F56" s="3" t="str">
        <f>VLOOKUP(B56,LifeList!$E$2:$G$2038,3)</f>
        <v>Cinclus mexicanus</v>
      </c>
      <c r="G56" s="3" t="str">
        <f>VLOOKUP(B56,LifeList!$E$2:$I$2038,4)</f>
        <v>Passeriformes</v>
      </c>
      <c r="H56" s="3" t="str">
        <f>VLOOKUP(B56,LifeList!$E$2:$I$2038,5)</f>
        <v>Cinclidae (Dippers)</v>
      </c>
      <c r="I56" s="3"/>
    </row>
    <row r="57" spans="1:9" ht="10.5" customHeight="1">
      <c r="A57" s="3" t="s">
        <v>104</v>
      </c>
      <c r="B57" s="3" t="s">
        <v>103</v>
      </c>
      <c r="C57" s="3">
        <f>VLOOKUP(B57,LifeList!$E$2:$J$2038,6)</f>
        <v>27668</v>
      </c>
      <c r="D57" s="3" t="str">
        <f>VLOOKUP(B57,LifeList!$E$2:$G$2038,1)</f>
        <v>American Dipper</v>
      </c>
      <c r="E57" s="3" t="str">
        <f>VLOOKUP(B57,LifeList!$E$2:$G$2038,2)</f>
        <v>Cincle d'Amérique</v>
      </c>
      <c r="F57" s="3" t="str">
        <f>VLOOKUP(B57,LifeList!$E$2:$G$2038,3)</f>
        <v>Cinclus mexicanus</v>
      </c>
      <c r="G57" s="3" t="str">
        <f>VLOOKUP(B57,LifeList!$E$2:$I$2038,4)</f>
        <v>Passeriformes</v>
      </c>
      <c r="H57" s="3" t="str">
        <f>VLOOKUP(B57,LifeList!$E$2:$I$2038,5)</f>
        <v>Cinclidae (Dippers)</v>
      </c>
      <c r="I57" s="3"/>
    </row>
    <row r="58" spans="1:9" ht="10.5" customHeight="1">
      <c r="A58" s="3" t="s">
        <v>105</v>
      </c>
      <c r="B58" s="3" t="s">
        <v>106</v>
      </c>
      <c r="C58" s="3">
        <f>VLOOKUP(B58,LifeList!$E$2:$J$2038,6)</f>
        <v>6807</v>
      </c>
      <c r="D58" s="3" t="str">
        <f>VLOOKUP(B58,LifeList!$E$2:$G$2038,1)</f>
        <v>American Flamingo</v>
      </c>
      <c r="E58" s="3" t="str">
        <f>VLOOKUP(B58,LifeList!$E$2:$G$2038,2)</f>
        <v>Flamant des Caraïbes</v>
      </c>
      <c r="F58" s="3" t="str">
        <f>VLOOKUP(B58,LifeList!$E$2:$G$2038,3)</f>
        <v>Phoenicopterus ruber</v>
      </c>
      <c r="G58" s="3" t="str">
        <f>VLOOKUP(B58,LifeList!$E$2:$I$2038,4)</f>
        <v>Phoenicopteriformes</v>
      </c>
      <c r="H58" s="3" t="str">
        <f>VLOOKUP(B58,LifeList!$E$2:$I$2038,5)</f>
        <v>Phoenicopteridae (Flamingos)</v>
      </c>
      <c r="I58" s="3"/>
    </row>
    <row r="59" spans="1:9" ht="10.5" customHeight="1">
      <c r="A59" s="3" t="s">
        <v>107</v>
      </c>
      <c r="B59" s="3" t="s">
        <v>106</v>
      </c>
      <c r="C59" s="3">
        <f>VLOOKUP(B59,LifeList!$E$2:$J$2038,6)</f>
        <v>6807</v>
      </c>
      <c r="D59" s="3" t="str">
        <f>VLOOKUP(B59,LifeList!$E$2:$G$2038,1)</f>
        <v>American Flamingo</v>
      </c>
      <c r="E59" s="3" t="str">
        <f>VLOOKUP(B59,LifeList!$E$2:$G$2038,2)</f>
        <v>Flamant des Caraïbes</v>
      </c>
      <c r="F59" s="3" t="str">
        <f>VLOOKUP(B59,LifeList!$E$2:$G$2038,3)</f>
        <v>Phoenicopterus ruber</v>
      </c>
      <c r="G59" s="3" t="str">
        <f>VLOOKUP(B59,LifeList!$E$2:$I$2038,4)</f>
        <v>Phoenicopteriformes</v>
      </c>
      <c r="H59" s="3" t="str">
        <f>VLOOKUP(B59,LifeList!$E$2:$I$2038,5)</f>
        <v>Phoenicopteridae (Flamingos)</v>
      </c>
      <c r="I59" s="3"/>
    </row>
    <row r="60" spans="1:9" ht="10.5" customHeight="1">
      <c r="A60" s="3" t="s">
        <v>108</v>
      </c>
      <c r="B60" s="3" t="s">
        <v>106</v>
      </c>
      <c r="C60" s="3">
        <f>VLOOKUP(B60,LifeList!$E$2:$J$2038,6)</f>
        <v>6807</v>
      </c>
      <c r="D60" s="3" t="str">
        <f>VLOOKUP(B60,LifeList!$E$2:$G$2038,1)</f>
        <v>American Flamingo</v>
      </c>
      <c r="E60" s="3" t="str">
        <f>VLOOKUP(B60,LifeList!$E$2:$G$2038,2)</f>
        <v>Flamant des Caraïbes</v>
      </c>
      <c r="F60" s="3" t="str">
        <f>VLOOKUP(B60,LifeList!$E$2:$G$2038,3)</f>
        <v>Phoenicopterus ruber</v>
      </c>
      <c r="G60" s="3" t="str">
        <f>VLOOKUP(B60,LifeList!$E$2:$I$2038,4)</f>
        <v>Phoenicopteriformes</v>
      </c>
      <c r="H60" s="3" t="str">
        <f>VLOOKUP(B60,LifeList!$E$2:$I$2038,5)</f>
        <v>Phoenicopteridae (Flamingos)</v>
      </c>
      <c r="I60" s="3"/>
    </row>
    <row r="61" spans="1:9" ht="10.5" customHeight="1">
      <c r="A61" s="3" t="s">
        <v>109</v>
      </c>
      <c r="B61" s="3" t="s">
        <v>106</v>
      </c>
      <c r="C61" s="3">
        <f>VLOOKUP(B61,LifeList!$E$2:$J$2038,6)</f>
        <v>6807</v>
      </c>
      <c r="D61" s="3" t="str">
        <f>VLOOKUP(B61,LifeList!$E$2:$G$2038,1)</f>
        <v>American Flamingo</v>
      </c>
      <c r="E61" s="3" t="str">
        <f>VLOOKUP(B61,LifeList!$E$2:$G$2038,2)</f>
        <v>Flamant des Caraïbes</v>
      </c>
      <c r="F61" s="3" t="str">
        <f>VLOOKUP(B61,LifeList!$E$2:$G$2038,3)</f>
        <v>Phoenicopterus ruber</v>
      </c>
      <c r="G61" s="3" t="str">
        <f>VLOOKUP(B61,LifeList!$E$2:$I$2038,4)</f>
        <v>Phoenicopteriformes</v>
      </c>
      <c r="H61" s="3" t="str">
        <f>VLOOKUP(B61,LifeList!$E$2:$I$2038,5)</f>
        <v>Phoenicopteridae (Flamingos)</v>
      </c>
      <c r="I61" s="3"/>
    </row>
    <row r="62" spans="1:9" ht="10.5" customHeight="1">
      <c r="A62" s="3" t="s">
        <v>110</v>
      </c>
      <c r="B62" s="3" t="s">
        <v>111</v>
      </c>
      <c r="C62" s="3">
        <f>VLOOKUP(B62,LifeList!$E$2:$J$2038,6)</f>
        <v>5815</v>
      </c>
      <c r="D62" s="3" t="str">
        <f>VLOOKUP(B62,LifeList!$E$2:$G$2038,1)</f>
        <v>American Golden-Plover</v>
      </c>
      <c r="E62" s="3" t="str">
        <f>VLOOKUP(B62,LifeList!$E$2:$G$2038,2)</f>
        <v>Pluvier bronzé</v>
      </c>
      <c r="F62" s="3" t="str">
        <f>VLOOKUP(B62,LifeList!$E$2:$G$2038,3)</f>
        <v>Pluvialis dominica</v>
      </c>
      <c r="G62" s="3" t="str">
        <f>VLOOKUP(B62,LifeList!$E$2:$I$2038,4)</f>
        <v>Charadriiformes</v>
      </c>
      <c r="H62" s="3" t="str">
        <f>VLOOKUP(B62,LifeList!$E$2:$I$2038,5)</f>
        <v>Charadriidae (Plovers and Lapwings)</v>
      </c>
      <c r="I62" s="3"/>
    </row>
    <row r="63" spans="1:9" ht="10.5" customHeight="1">
      <c r="A63" s="3" t="s">
        <v>112</v>
      </c>
      <c r="B63" s="3" t="s">
        <v>113</v>
      </c>
      <c r="C63" s="3">
        <f>VLOOKUP(B63,LifeList!$E$2:$J$2038,6)</f>
        <v>32617</v>
      </c>
      <c r="D63" s="3" t="str">
        <f>VLOOKUP(B63,LifeList!$E$2:$G$2038,1)</f>
        <v>American Goldfinch</v>
      </c>
      <c r="E63" s="3" t="str">
        <f>VLOOKUP(B63,LifeList!$E$2:$G$2038,2)</f>
        <v>Chardonneret jaune</v>
      </c>
      <c r="F63" s="3" t="str">
        <f>VLOOKUP(B63,LifeList!$E$2:$G$2038,3)</f>
        <v>Spinus tristis</v>
      </c>
      <c r="G63" s="3" t="str">
        <f>VLOOKUP(B63,LifeList!$E$2:$I$2038,4)</f>
        <v>Passeriformes</v>
      </c>
      <c r="H63" s="3" t="str">
        <f>VLOOKUP(B63,LifeList!$E$2:$I$2038,5)</f>
        <v>Fringillidae (Finches, Euphonias, and Allies)</v>
      </c>
      <c r="I63" s="3"/>
    </row>
    <row r="64" spans="1:9" ht="10.5" customHeight="1">
      <c r="A64" s="3" t="s">
        <v>114</v>
      </c>
      <c r="B64" s="3" t="s">
        <v>113</v>
      </c>
      <c r="C64" s="3">
        <f>VLOOKUP(B64,LifeList!$E$2:$J$2038,6)</f>
        <v>32617</v>
      </c>
      <c r="D64" s="3" t="str">
        <f>VLOOKUP(B64,LifeList!$E$2:$G$2038,1)</f>
        <v>American Goldfinch</v>
      </c>
      <c r="E64" s="3" t="str">
        <f>VLOOKUP(B64,LifeList!$E$2:$G$2038,2)</f>
        <v>Chardonneret jaune</v>
      </c>
      <c r="F64" s="3" t="str">
        <f>VLOOKUP(B64,LifeList!$E$2:$G$2038,3)</f>
        <v>Spinus tristis</v>
      </c>
      <c r="G64" s="3" t="str">
        <f>VLOOKUP(B64,LifeList!$E$2:$I$2038,4)</f>
        <v>Passeriformes</v>
      </c>
      <c r="H64" s="3" t="str">
        <f>VLOOKUP(B64,LifeList!$E$2:$I$2038,5)</f>
        <v>Fringillidae (Finches, Euphonias, and Allies)</v>
      </c>
      <c r="I64" s="3"/>
    </row>
    <row r="65" spans="1:9" ht="10.5" customHeight="1">
      <c r="A65" s="3" t="s">
        <v>115</v>
      </c>
      <c r="B65" s="3" t="s">
        <v>113</v>
      </c>
      <c r="C65" s="3">
        <f>VLOOKUP(B65,LifeList!$E$2:$J$2038,6)</f>
        <v>32617</v>
      </c>
      <c r="D65" s="3" t="str">
        <f>VLOOKUP(B65,LifeList!$E$2:$G$2038,1)</f>
        <v>American Goldfinch</v>
      </c>
      <c r="E65" s="3" t="str">
        <f>VLOOKUP(B65,LifeList!$E$2:$G$2038,2)</f>
        <v>Chardonneret jaune</v>
      </c>
      <c r="F65" s="3" t="str">
        <f>VLOOKUP(B65,LifeList!$E$2:$G$2038,3)</f>
        <v>Spinus tristis</v>
      </c>
      <c r="G65" s="3" t="str">
        <f>VLOOKUP(B65,LifeList!$E$2:$I$2038,4)</f>
        <v>Passeriformes</v>
      </c>
      <c r="H65" s="3" t="str">
        <f>VLOOKUP(B65,LifeList!$E$2:$I$2038,5)</f>
        <v>Fringillidae (Finches, Euphonias, and Allies)</v>
      </c>
      <c r="I65" s="3"/>
    </row>
    <row r="66" spans="1:9" ht="10.5" customHeight="1">
      <c r="A66" s="3" t="s">
        <v>116</v>
      </c>
      <c r="B66" s="3" t="s">
        <v>113</v>
      </c>
      <c r="C66" s="3">
        <f>VLOOKUP(B66,LifeList!$E$2:$J$2038,6)</f>
        <v>32617</v>
      </c>
      <c r="D66" s="3" t="str">
        <f>VLOOKUP(B66,LifeList!$E$2:$G$2038,1)</f>
        <v>American Goldfinch</v>
      </c>
      <c r="E66" s="3" t="str">
        <f>VLOOKUP(B66,LifeList!$E$2:$G$2038,2)</f>
        <v>Chardonneret jaune</v>
      </c>
      <c r="F66" s="3" t="str">
        <f>VLOOKUP(B66,LifeList!$E$2:$G$2038,3)</f>
        <v>Spinus tristis</v>
      </c>
      <c r="G66" s="3" t="str">
        <f>VLOOKUP(B66,LifeList!$E$2:$I$2038,4)</f>
        <v>Passeriformes</v>
      </c>
      <c r="H66" s="3" t="str">
        <f>VLOOKUP(B66,LifeList!$E$2:$I$2038,5)</f>
        <v>Fringillidae (Finches, Euphonias, and Allies)</v>
      </c>
      <c r="I66" s="3"/>
    </row>
    <row r="67" spans="1:9" ht="10.5" customHeight="1">
      <c r="A67" s="3" t="s">
        <v>117</v>
      </c>
      <c r="B67" s="3" t="s">
        <v>113</v>
      </c>
      <c r="C67" s="3">
        <f>VLOOKUP(B67,LifeList!$E$2:$J$2038,6)</f>
        <v>32617</v>
      </c>
      <c r="D67" s="3" t="str">
        <f>VLOOKUP(B67,LifeList!$E$2:$G$2038,1)</f>
        <v>American Goldfinch</v>
      </c>
      <c r="E67" s="3" t="str">
        <f>VLOOKUP(B67,LifeList!$E$2:$G$2038,2)</f>
        <v>Chardonneret jaune</v>
      </c>
      <c r="F67" s="3" t="str">
        <f>VLOOKUP(B67,LifeList!$E$2:$G$2038,3)</f>
        <v>Spinus tristis</v>
      </c>
      <c r="G67" s="3" t="str">
        <f>VLOOKUP(B67,LifeList!$E$2:$I$2038,4)</f>
        <v>Passeriformes</v>
      </c>
      <c r="H67" s="3" t="str">
        <f>VLOOKUP(B67,LifeList!$E$2:$I$2038,5)</f>
        <v>Fringillidae (Finches, Euphonias, and Allies)</v>
      </c>
      <c r="I67" s="3"/>
    </row>
    <row r="68" spans="1:9" ht="10.5" customHeight="1">
      <c r="A68" s="3" t="s">
        <v>118</v>
      </c>
      <c r="B68" s="3" t="s">
        <v>119</v>
      </c>
      <c r="C68" s="3">
        <f>VLOOKUP(B68,LifeList!$E$2:$J$2038,6)</f>
        <v>6539</v>
      </c>
      <c r="D68" s="3" t="str">
        <f>VLOOKUP(B68,LifeList!$E$2:$G$2038,1)</f>
        <v>American Herring Gull</v>
      </c>
      <c r="E68" s="3" t="str">
        <f>VLOOKUP(B68,LifeList!$E$2:$G$2038,2)</f>
        <v>Goéland hudsonien</v>
      </c>
      <c r="F68" s="3" t="str">
        <f>VLOOKUP(B68,LifeList!$E$2:$G$2038,3)</f>
        <v>Larus smithsonianus</v>
      </c>
      <c r="G68" s="3" t="str">
        <f>VLOOKUP(B68,LifeList!$E$2:$I$2038,4)</f>
        <v>Charadriiformes</v>
      </c>
      <c r="H68" s="3" t="str">
        <f>VLOOKUP(B68,LifeList!$E$2:$I$2038,5)</f>
        <v>Laridae (Gulls, Terns, and Skimmers)</v>
      </c>
      <c r="I68" s="3"/>
    </row>
    <row r="69" spans="1:9" ht="10.5" customHeight="1">
      <c r="A69" s="3" t="s">
        <v>120</v>
      </c>
      <c r="B69" s="3" t="s">
        <v>119</v>
      </c>
      <c r="C69" s="3">
        <f>VLOOKUP(B69,LifeList!$E$2:$J$2038,6)</f>
        <v>6539</v>
      </c>
      <c r="D69" s="3" t="str">
        <f>VLOOKUP(B69,LifeList!$E$2:$G$2038,1)</f>
        <v>American Herring Gull</v>
      </c>
      <c r="E69" s="3" t="str">
        <f>VLOOKUP(B69,LifeList!$E$2:$G$2038,2)</f>
        <v>Goéland hudsonien</v>
      </c>
      <c r="F69" s="3" t="str">
        <f>VLOOKUP(B69,LifeList!$E$2:$G$2038,3)</f>
        <v>Larus smithsonianus</v>
      </c>
      <c r="G69" s="3" t="str">
        <f>VLOOKUP(B69,LifeList!$E$2:$I$2038,4)</f>
        <v>Charadriiformes</v>
      </c>
      <c r="H69" s="3" t="str">
        <f>VLOOKUP(B69,LifeList!$E$2:$I$2038,5)</f>
        <v>Laridae (Gulls, Terns, and Skimmers)</v>
      </c>
      <c r="I69" s="3"/>
    </row>
    <row r="70" spans="1:9" ht="10.5" customHeight="1">
      <c r="A70" s="3" t="s">
        <v>121</v>
      </c>
      <c r="B70" s="3" t="s">
        <v>119</v>
      </c>
      <c r="C70" s="3">
        <f>VLOOKUP(B70,LifeList!$E$2:$J$2038,6)</f>
        <v>6539</v>
      </c>
      <c r="D70" s="3" t="str">
        <f>VLOOKUP(B70,LifeList!$E$2:$G$2038,1)</f>
        <v>American Herring Gull</v>
      </c>
      <c r="E70" s="3" t="str">
        <f>VLOOKUP(B70,LifeList!$E$2:$G$2038,2)</f>
        <v>Goéland hudsonien</v>
      </c>
      <c r="F70" s="3" t="str">
        <f>VLOOKUP(B70,LifeList!$E$2:$G$2038,3)</f>
        <v>Larus smithsonianus</v>
      </c>
      <c r="G70" s="3" t="str">
        <f>VLOOKUP(B70,LifeList!$E$2:$I$2038,4)</f>
        <v>Charadriiformes</v>
      </c>
      <c r="H70" s="3" t="str">
        <f>VLOOKUP(B70,LifeList!$E$2:$I$2038,5)</f>
        <v>Laridae (Gulls, Terns, and Skimmers)</v>
      </c>
      <c r="I70" s="3"/>
    </row>
    <row r="71" spans="1:9" ht="10.5" customHeight="1">
      <c r="A71" s="3" t="s">
        <v>122</v>
      </c>
      <c r="B71" s="3" t="s">
        <v>123</v>
      </c>
      <c r="C71" s="3">
        <f>VLOOKUP(B71,LifeList!$E$2:$J$2038,6)</f>
        <v>12028</v>
      </c>
      <c r="D71" s="3" t="str">
        <f>VLOOKUP(B71,LifeList!$E$2:$G$2038,1)</f>
        <v>American Kestrel</v>
      </c>
      <c r="E71" s="3" t="str">
        <f>VLOOKUP(B71,LifeList!$E$2:$G$2038,2)</f>
        <v>Crécerelle d'Amérique</v>
      </c>
      <c r="F71" s="3" t="str">
        <f>VLOOKUP(B71,LifeList!$E$2:$G$2038,3)</f>
        <v>Falco sparverius</v>
      </c>
      <c r="G71" s="3" t="str">
        <f>VLOOKUP(B71,LifeList!$E$2:$I$2038,4)</f>
        <v>Falconiformes</v>
      </c>
      <c r="H71" s="3" t="str">
        <f>VLOOKUP(B71,LifeList!$E$2:$I$2038,5)</f>
        <v>Falconidae (Falcons and Caracaras)</v>
      </c>
      <c r="I71" s="3"/>
    </row>
    <row r="72" spans="1:9" ht="10.5" customHeight="1">
      <c r="A72" s="3" t="s">
        <v>124</v>
      </c>
      <c r="B72" s="3" t="s">
        <v>123</v>
      </c>
      <c r="C72" s="3">
        <f>VLOOKUP(B72,LifeList!$E$2:$J$2038,6)</f>
        <v>12028</v>
      </c>
      <c r="D72" s="3" t="str">
        <f>VLOOKUP(B72,LifeList!$E$2:$G$2038,1)</f>
        <v>American Kestrel</v>
      </c>
      <c r="E72" s="3" t="str">
        <f>VLOOKUP(B72,LifeList!$E$2:$G$2038,2)</f>
        <v>Crécerelle d'Amérique</v>
      </c>
      <c r="F72" s="3" t="str">
        <f>VLOOKUP(B72,LifeList!$E$2:$G$2038,3)</f>
        <v>Falco sparverius</v>
      </c>
      <c r="G72" s="3" t="str">
        <f>VLOOKUP(B72,LifeList!$E$2:$I$2038,4)</f>
        <v>Falconiformes</v>
      </c>
      <c r="H72" s="3" t="str">
        <f>VLOOKUP(B72,LifeList!$E$2:$I$2038,5)</f>
        <v>Falconidae (Falcons and Caracaras)</v>
      </c>
      <c r="I72" s="3"/>
    </row>
    <row r="73" spans="1:9" ht="10.5" customHeight="1">
      <c r="A73" s="3" t="s">
        <v>125</v>
      </c>
      <c r="B73" s="3" t="s">
        <v>123</v>
      </c>
      <c r="C73" s="3">
        <f>VLOOKUP(B73,LifeList!$E$2:$J$2038,6)</f>
        <v>12028</v>
      </c>
      <c r="D73" s="3" t="str">
        <f>VLOOKUP(B73,LifeList!$E$2:$G$2038,1)</f>
        <v>American Kestrel</v>
      </c>
      <c r="E73" s="3" t="str">
        <f>VLOOKUP(B73,LifeList!$E$2:$G$2038,2)</f>
        <v>Crécerelle d'Amérique</v>
      </c>
      <c r="F73" s="3" t="str">
        <f>VLOOKUP(B73,LifeList!$E$2:$G$2038,3)</f>
        <v>Falco sparverius</v>
      </c>
      <c r="G73" s="3" t="str">
        <f>VLOOKUP(B73,LifeList!$E$2:$I$2038,4)</f>
        <v>Falconiformes</v>
      </c>
      <c r="H73" s="3" t="str">
        <f>VLOOKUP(B73,LifeList!$E$2:$I$2038,5)</f>
        <v>Falconidae (Falcons and Caracaras)</v>
      </c>
      <c r="I73" s="3"/>
    </row>
    <row r="74" spans="1:9" ht="10.5" customHeight="1">
      <c r="A74" s="3" t="s">
        <v>126</v>
      </c>
      <c r="B74" s="3" t="s">
        <v>127</v>
      </c>
      <c r="C74" s="3">
        <f>VLOOKUP(B74,LifeList!$E$2:$J$2038,6)</f>
        <v>5799</v>
      </c>
      <c r="D74" s="3" t="str">
        <f>VLOOKUP(B74,LifeList!$E$2:$G$2038,1)</f>
        <v>American Oystercatcher</v>
      </c>
      <c r="E74" s="3" t="str">
        <f>VLOOKUP(B74,LifeList!$E$2:$G$2038,2)</f>
        <v>Huîtrier d'Amérique</v>
      </c>
      <c r="F74" s="3" t="str">
        <f>VLOOKUP(B74,LifeList!$E$2:$G$2038,3)</f>
        <v>Haematopus palliatus</v>
      </c>
      <c r="G74" s="3" t="str">
        <f>VLOOKUP(B74,LifeList!$E$2:$I$2038,4)</f>
        <v>Charadriiformes</v>
      </c>
      <c r="H74" s="3" t="str">
        <f>VLOOKUP(B74,LifeList!$E$2:$I$2038,5)</f>
        <v>Haematopodidae (Oystercatchers)</v>
      </c>
      <c r="I74" s="3"/>
    </row>
    <row r="75" spans="1:9" ht="10.5" customHeight="1">
      <c r="A75" s="3" t="s">
        <v>128</v>
      </c>
      <c r="B75" s="3" t="s">
        <v>127</v>
      </c>
      <c r="C75" s="3">
        <f>VLOOKUP(B75,LifeList!$E$2:$J$2038,6)</f>
        <v>5799</v>
      </c>
      <c r="D75" s="3" t="str">
        <f>VLOOKUP(B75,LifeList!$E$2:$G$2038,1)</f>
        <v>American Oystercatcher</v>
      </c>
      <c r="E75" s="3" t="str">
        <f>VLOOKUP(B75,LifeList!$E$2:$G$2038,2)</f>
        <v>Huîtrier d'Amérique</v>
      </c>
      <c r="F75" s="3" t="str">
        <f>VLOOKUP(B75,LifeList!$E$2:$G$2038,3)</f>
        <v>Haematopus palliatus</v>
      </c>
      <c r="G75" s="3" t="str">
        <f>VLOOKUP(B75,LifeList!$E$2:$I$2038,4)</f>
        <v>Charadriiformes</v>
      </c>
      <c r="H75" s="3" t="str">
        <f>VLOOKUP(B75,LifeList!$E$2:$I$2038,5)</f>
        <v>Haematopodidae (Oystercatchers)</v>
      </c>
      <c r="I75" s="3"/>
    </row>
    <row r="76" spans="1:9" ht="10.5" customHeight="1">
      <c r="A76" s="3" t="s">
        <v>129</v>
      </c>
      <c r="B76" s="3" t="s">
        <v>127</v>
      </c>
      <c r="C76" s="3">
        <f>VLOOKUP(B76,LifeList!$E$2:$J$2038,6)</f>
        <v>5799</v>
      </c>
      <c r="D76" s="3" t="str">
        <f>VLOOKUP(B76,LifeList!$E$2:$G$2038,1)</f>
        <v>American Oystercatcher</v>
      </c>
      <c r="E76" s="3" t="str">
        <f>VLOOKUP(B76,LifeList!$E$2:$G$2038,2)</f>
        <v>Huîtrier d'Amérique</v>
      </c>
      <c r="F76" s="3" t="str">
        <f>VLOOKUP(B76,LifeList!$E$2:$G$2038,3)</f>
        <v>Haematopus palliatus</v>
      </c>
      <c r="G76" s="3" t="str">
        <f>VLOOKUP(B76,LifeList!$E$2:$I$2038,4)</f>
        <v>Charadriiformes</v>
      </c>
      <c r="H76" s="3" t="str">
        <f>VLOOKUP(B76,LifeList!$E$2:$I$2038,5)</f>
        <v>Haematopodidae (Oystercatchers)</v>
      </c>
      <c r="I76" s="3"/>
    </row>
    <row r="77" spans="1:9" ht="10.5" customHeight="1">
      <c r="A77" s="3" t="s">
        <v>130</v>
      </c>
      <c r="B77" s="3" t="s">
        <v>127</v>
      </c>
      <c r="C77" s="3">
        <f>VLOOKUP(B77,LifeList!$E$2:$J$2038,6)</f>
        <v>5799</v>
      </c>
      <c r="D77" s="3" t="str">
        <f>VLOOKUP(B77,LifeList!$E$2:$G$2038,1)</f>
        <v>American Oystercatcher</v>
      </c>
      <c r="E77" s="3" t="str">
        <f>VLOOKUP(B77,LifeList!$E$2:$G$2038,2)</f>
        <v>Huîtrier d'Amérique</v>
      </c>
      <c r="F77" s="3" t="str">
        <f>VLOOKUP(B77,LifeList!$E$2:$G$2038,3)</f>
        <v>Haematopus palliatus</v>
      </c>
      <c r="G77" s="3" t="str">
        <f>VLOOKUP(B77,LifeList!$E$2:$I$2038,4)</f>
        <v>Charadriiformes</v>
      </c>
      <c r="H77" s="3" t="str">
        <f>VLOOKUP(B77,LifeList!$E$2:$I$2038,5)</f>
        <v>Haematopodidae (Oystercatchers)</v>
      </c>
      <c r="I77" s="3"/>
    </row>
    <row r="78" spans="1:9" ht="10.5" customHeight="1">
      <c r="A78" s="3" t="s">
        <v>131</v>
      </c>
      <c r="B78" s="3" t="s">
        <v>127</v>
      </c>
      <c r="C78" s="3">
        <f>VLOOKUP(B78,LifeList!$E$2:$J$2038,6)</f>
        <v>5799</v>
      </c>
      <c r="D78" s="3" t="str">
        <f>VLOOKUP(B78,LifeList!$E$2:$G$2038,1)</f>
        <v>American Oystercatcher</v>
      </c>
      <c r="E78" s="3" t="str">
        <f>VLOOKUP(B78,LifeList!$E$2:$G$2038,2)</f>
        <v>Huîtrier d'Amérique</v>
      </c>
      <c r="F78" s="3" t="str">
        <f>VLOOKUP(B78,LifeList!$E$2:$G$2038,3)</f>
        <v>Haematopus palliatus</v>
      </c>
      <c r="G78" s="3" t="str">
        <f>VLOOKUP(B78,LifeList!$E$2:$I$2038,4)</f>
        <v>Charadriiformes</v>
      </c>
      <c r="H78" s="3" t="str">
        <f>VLOOKUP(B78,LifeList!$E$2:$I$2038,5)</f>
        <v>Haematopodidae (Oystercatchers)</v>
      </c>
      <c r="I78" s="3"/>
    </row>
    <row r="79" spans="1:9" ht="10.5" customHeight="1">
      <c r="A79" s="3" t="s">
        <v>132</v>
      </c>
      <c r="B79" s="3" t="s">
        <v>127</v>
      </c>
      <c r="C79" s="3">
        <f>VLOOKUP(B79,LifeList!$E$2:$J$2038,6)</f>
        <v>5799</v>
      </c>
      <c r="D79" s="3" t="str">
        <f>VLOOKUP(B79,LifeList!$E$2:$G$2038,1)</f>
        <v>American Oystercatcher</v>
      </c>
      <c r="E79" s="3" t="str">
        <f>VLOOKUP(B79,LifeList!$E$2:$G$2038,2)</f>
        <v>Huîtrier d'Amérique</v>
      </c>
      <c r="F79" s="3" t="str">
        <f>VLOOKUP(B79,LifeList!$E$2:$G$2038,3)</f>
        <v>Haematopus palliatus</v>
      </c>
      <c r="G79" s="3" t="str">
        <f>VLOOKUP(B79,LifeList!$E$2:$I$2038,4)</f>
        <v>Charadriiformes</v>
      </c>
      <c r="H79" s="3" t="str">
        <f>VLOOKUP(B79,LifeList!$E$2:$I$2038,5)</f>
        <v>Haematopodidae (Oystercatchers)</v>
      </c>
      <c r="I79" s="3"/>
    </row>
    <row r="80" spans="1:9" ht="10.5" customHeight="1">
      <c r="A80" s="3" t="s">
        <v>133</v>
      </c>
      <c r="B80" s="3" t="s">
        <v>134</v>
      </c>
      <c r="C80" s="3">
        <f>VLOOKUP(B80,LifeList!$E$2:$J$2038,6)</f>
        <v>31883</v>
      </c>
      <c r="D80" s="3" t="str">
        <f>VLOOKUP(B80,LifeList!$E$2:$G$2038,1)</f>
        <v>American Pipit</v>
      </c>
      <c r="E80" s="3" t="str">
        <f>VLOOKUP(B80,LifeList!$E$2:$G$2038,2)</f>
        <v>Pipit d'Amérique</v>
      </c>
      <c r="F80" s="3" t="str">
        <f>VLOOKUP(B80,LifeList!$E$2:$G$2038,3)</f>
        <v>Anthus rubescens</v>
      </c>
      <c r="G80" s="3" t="str">
        <f>VLOOKUP(B80,LifeList!$E$2:$I$2038,4)</f>
        <v>Passeriformes</v>
      </c>
      <c r="H80" s="3" t="str">
        <f>VLOOKUP(B80,LifeList!$E$2:$I$2038,5)</f>
        <v>Motacillidae (Wagtails and Pipits)</v>
      </c>
      <c r="I80" s="3"/>
    </row>
    <row r="81" spans="1:9" ht="10.5" customHeight="1">
      <c r="A81" s="3" t="s">
        <v>135</v>
      </c>
      <c r="B81" s="3" t="s">
        <v>136</v>
      </c>
      <c r="C81" s="3">
        <f>VLOOKUP(B81,LifeList!$E$2:$J$2038,6)</f>
        <v>10313</v>
      </c>
      <c r="D81" s="3" t="str">
        <f>VLOOKUP(B81,LifeList!$E$2:$G$2038,1)</f>
        <v>American Pygmy Kingfisher</v>
      </c>
      <c r="E81" s="3" t="str">
        <f>VLOOKUP(B81,LifeList!$E$2:$G$2038,2)</f>
        <v>Martin-pêcheur nain</v>
      </c>
      <c r="F81" s="3" t="str">
        <f>VLOOKUP(B81,LifeList!$E$2:$G$2038,3)</f>
        <v>Chloroceryle aenea</v>
      </c>
      <c r="G81" s="3" t="str">
        <f>VLOOKUP(B81,LifeList!$E$2:$I$2038,4)</f>
        <v>Coraciiformes</v>
      </c>
      <c r="H81" s="3" t="str">
        <f>VLOOKUP(B81,LifeList!$E$2:$I$2038,5)</f>
        <v>Alcedinidae (Kingfishers)</v>
      </c>
      <c r="I81" s="3"/>
    </row>
    <row r="82" spans="1:9" ht="10.5" customHeight="1">
      <c r="A82" s="3" t="s">
        <v>137</v>
      </c>
      <c r="B82" s="3" t="s">
        <v>136</v>
      </c>
      <c r="C82" s="3">
        <f>VLOOKUP(B82,LifeList!$E$2:$J$2038,6)</f>
        <v>10313</v>
      </c>
      <c r="D82" s="3" t="str">
        <f>VLOOKUP(B82,LifeList!$E$2:$G$2038,1)</f>
        <v>American Pygmy Kingfisher</v>
      </c>
      <c r="E82" s="3" t="str">
        <f>VLOOKUP(B82,LifeList!$E$2:$G$2038,2)</f>
        <v>Martin-pêcheur nain</v>
      </c>
      <c r="F82" s="3" t="str">
        <f>VLOOKUP(B82,LifeList!$E$2:$G$2038,3)</f>
        <v>Chloroceryle aenea</v>
      </c>
      <c r="G82" s="3" t="str">
        <f>VLOOKUP(B82,LifeList!$E$2:$I$2038,4)</f>
        <v>Coraciiformes</v>
      </c>
      <c r="H82" s="3" t="str">
        <f>VLOOKUP(B82,LifeList!$E$2:$I$2038,5)</f>
        <v>Alcedinidae (Kingfishers)</v>
      </c>
      <c r="I82" s="3"/>
    </row>
    <row r="83" spans="1:9" ht="10.5" customHeight="1">
      <c r="A83" s="3" t="s">
        <v>138</v>
      </c>
      <c r="B83" s="3" t="s">
        <v>139</v>
      </c>
      <c r="C83" s="3">
        <f>VLOOKUP(B83,LifeList!$E$2:$J$2038,6)</f>
        <v>34058</v>
      </c>
      <c r="D83" s="3" t="str">
        <f>VLOOKUP(B83,LifeList!$E$2:$G$2038,1)</f>
        <v>American Redstart</v>
      </c>
      <c r="E83" s="3" t="str">
        <f>VLOOKUP(B83,LifeList!$E$2:$G$2038,2)</f>
        <v>Paruline flamboyante</v>
      </c>
      <c r="F83" s="3" t="str">
        <f>VLOOKUP(B83,LifeList!$E$2:$G$2038,3)</f>
        <v>Setophaga ruticilla</v>
      </c>
      <c r="G83" s="3" t="str">
        <f>VLOOKUP(B83,LifeList!$E$2:$I$2038,4)</f>
        <v>Passeriformes</v>
      </c>
      <c r="H83" s="3" t="str">
        <f>VLOOKUP(B83,LifeList!$E$2:$I$2038,5)</f>
        <v>Parulidae (New World Warblers)</v>
      </c>
      <c r="I83" s="3"/>
    </row>
    <row r="84" spans="1:9" ht="10.5" customHeight="1">
      <c r="A84" s="3" t="s">
        <v>140</v>
      </c>
      <c r="B84" s="3" t="s">
        <v>139</v>
      </c>
      <c r="C84" s="3">
        <f>VLOOKUP(B84,LifeList!$E$2:$J$2038,6)</f>
        <v>34058</v>
      </c>
      <c r="D84" s="3" t="str">
        <f>VLOOKUP(B84,LifeList!$E$2:$G$2038,1)</f>
        <v>American Redstart</v>
      </c>
      <c r="E84" s="3" t="str">
        <f>VLOOKUP(B84,LifeList!$E$2:$G$2038,2)</f>
        <v>Paruline flamboyante</v>
      </c>
      <c r="F84" s="3" t="str">
        <f>VLOOKUP(B84,LifeList!$E$2:$G$2038,3)</f>
        <v>Setophaga ruticilla</v>
      </c>
      <c r="G84" s="3" t="str">
        <f>VLOOKUP(B84,LifeList!$E$2:$I$2038,4)</f>
        <v>Passeriformes</v>
      </c>
      <c r="H84" s="3" t="str">
        <f>VLOOKUP(B84,LifeList!$E$2:$I$2038,5)</f>
        <v>Parulidae (New World Warblers)</v>
      </c>
      <c r="I84" s="3"/>
    </row>
    <row r="85" spans="1:9" ht="10.5" customHeight="1">
      <c r="A85" s="3" t="s">
        <v>141</v>
      </c>
      <c r="B85" s="3" t="s">
        <v>139</v>
      </c>
      <c r="C85" s="3">
        <f>VLOOKUP(B85,LifeList!$E$2:$J$2038,6)</f>
        <v>34058</v>
      </c>
      <c r="D85" s="3" t="str">
        <f>VLOOKUP(B85,LifeList!$E$2:$G$2038,1)</f>
        <v>American Redstart</v>
      </c>
      <c r="E85" s="3" t="str">
        <f>VLOOKUP(B85,LifeList!$E$2:$G$2038,2)</f>
        <v>Paruline flamboyante</v>
      </c>
      <c r="F85" s="3" t="str">
        <f>VLOOKUP(B85,LifeList!$E$2:$G$2038,3)</f>
        <v>Setophaga ruticilla</v>
      </c>
      <c r="G85" s="3" t="str">
        <f>VLOOKUP(B85,LifeList!$E$2:$I$2038,4)</f>
        <v>Passeriformes</v>
      </c>
      <c r="H85" s="3" t="str">
        <f>VLOOKUP(B85,LifeList!$E$2:$I$2038,5)</f>
        <v>Parulidae (New World Warblers)</v>
      </c>
      <c r="I85" s="3"/>
    </row>
    <row r="86" spans="1:9" ht="10.5" customHeight="1">
      <c r="A86" s="3" t="s">
        <v>142</v>
      </c>
      <c r="B86" s="3" t="s">
        <v>139</v>
      </c>
      <c r="C86" s="3">
        <f>VLOOKUP(B86,LifeList!$E$2:$J$2038,6)</f>
        <v>34058</v>
      </c>
      <c r="D86" s="3" t="str">
        <f>VLOOKUP(B86,LifeList!$E$2:$G$2038,1)</f>
        <v>American Redstart</v>
      </c>
      <c r="E86" s="3" t="str">
        <f>VLOOKUP(B86,LifeList!$E$2:$G$2038,2)</f>
        <v>Paruline flamboyante</v>
      </c>
      <c r="F86" s="3" t="str">
        <f>VLOOKUP(B86,LifeList!$E$2:$G$2038,3)</f>
        <v>Setophaga ruticilla</v>
      </c>
      <c r="G86" s="3" t="str">
        <f>VLOOKUP(B86,LifeList!$E$2:$I$2038,4)</f>
        <v>Passeriformes</v>
      </c>
      <c r="H86" s="3" t="str">
        <f>VLOOKUP(B86,LifeList!$E$2:$I$2038,5)</f>
        <v>Parulidae (New World Warblers)</v>
      </c>
      <c r="I86" s="3"/>
    </row>
    <row r="87" spans="1:9" ht="10.5" customHeight="1">
      <c r="A87" s="3" t="s">
        <v>143</v>
      </c>
      <c r="B87" s="3" t="s">
        <v>139</v>
      </c>
      <c r="C87" s="3">
        <f>VLOOKUP(B87,LifeList!$E$2:$J$2038,6)</f>
        <v>34058</v>
      </c>
      <c r="D87" s="3" t="str">
        <f>VLOOKUP(B87,LifeList!$E$2:$G$2038,1)</f>
        <v>American Redstart</v>
      </c>
      <c r="E87" s="3" t="str">
        <f>VLOOKUP(B87,LifeList!$E$2:$G$2038,2)</f>
        <v>Paruline flamboyante</v>
      </c>
      <c r="F87" s="3" t="str">
        <f>VLOOKUP(B87,LifeList!$E$2:$G$2038,3)</f>
        <v>Setophaga ruticilla</v>
      </c>
      <c r="G87" s="3" t="str">
        <f>VLOOKUP(B87,LifeList!$E$2:$I$2038,4)</f>
        <v>Passeriformes</v>
      </c>
      <c r="H87" s="3" t="str">
        <f>VLOOKUP(B87,LifeList!$E$2:$I$2038,5)</f>
        <v>Parulidae (New World Warblers)</v>
      </c>
      <c r="I87" s="3"/>
    </row>
    <row r="88" spans="1:9" ht="10.5" customHeight="1">
      <c r="A88" s="3" t="s">
        <v>144</v>
      </c>
      <c r="B88" s="3" t="s">
        <v>139</v>
      </c>
      <c r="C88" s="3">
        <f>VLOOKUP(B88,LifeList!$E$2:$J$2038,6)</f>
        <v>34058</v>
      </c>
      <c r="D88" s="3" t="str">
        <f>VLOOKUP(B88,LifeList!$E$2:$G$2038,1)</f>
        <v>American Redstart</v>
      </c>
      <c r="E88" s="3" t="str">
        <f>VLOOKUP(B88,LifeList!$E$2:$G$2038,2)</f>
        <v>Paruline flamboyante</v>
      </c>
      <c r="F88" s="3" t="str">
        <f>VLOOKUP(B88,LifeList!$E$2:$G$2038,3)</f>
        <v>Setophaga ruticilla</v>
      </c>
      <c r="G88" s="3" t="str">
        <f>VLOOKUP(B88,LifeList!$E$2:$I$2038,4)</f>
        <v>Passeriformes</v>
      </c>
      <c r="H88" s="3" t="str">
        <f>VLOOKUP(B88,LifeList!$E$2:$I$2038,5)</f>
        <v>Parulidae (New World Warblers)</v>
      </c>
      <c r="I88" s="3"/>
    </row>
    <row r="89" spans="1:9" ht="10.5" customHeight="1">
      <c r="A89" s="3" t="s">
        <v>145</v>
      </c>
      <c r="B89" s="3" t="s">
        <v>139</v>
      </c>
      <c r="C89" s="3">
        <f>VLOOKUP(B89,LifeList!$E$2:$J$2038,6)</f>
        <v>34058</v>
      </c>
      <c r="D89" s="3" t="str">
        <f>VLOOKUP(B89,LifeList!$E$2:$G$2038,1)</f>
        <v>American Redstart</v>
      </c>
      <c r="E89" s="3" t="str">
        <f>VLOOKUP(B89,LifeList!$E$2:$G$2038,2)</f>
        <v>Paruline flamboyante</v>
      </c>
      <c r="F89" s="3" t="str">
        <f>VLOOKUP(B89,LifeList!$E$2:$G$2038,3)</f>
        <v>Setophaga ruticilla</v>
      </c>
      <c r="G89" s="3" t="str">
        <f>VLOOKUP(B89,LifeList!$E$2:$I$2038,4)</f>
        <v>Passeriformes</v>
      </c>
      <c r="H89" s="3" t="str">
        <f>VLOOKUP(B89,LifeList!$E$2:$I$2038,5)</f>
        <v>Parulidae (New World Warblers)</v>
      </c>
      <c r="I89" s="3"/>
    </row>
    <row r="90" spans="1:9" ht="10.5" customHeight="1">
      <c r="A90" s="3" t="s">
        <v>146</v>
      </c>
      <c r="B90" s="3" t="s">
        <v>139</v>
      </c>
      <c r="C90" s="3">
        <f>VLOOKUP(B90,LifeList!$E$2:$J$2038,6)</f>
        <v>34058</v>
      </c>
      <c r="D90" s="3" t="str">
        <f>VLOOKUP(B90,LifeList!$E$2:$G$2038,1)</f>
        <v>American Redstart</v>
      </c>
      <c r="E90" s="3" t="str">
        <f>VLOOKUP(B90,LifeList!$E$2:$G$2038,2)</f>
        <v>Paruline flamboyante</v>
      </c>
      <c r="F90" s="3" t="str">
        <f>VLOOKUP(B90,LifeList!$E$2:$G$2038,3)</f>
        <v>Setophaga ruticilla</v>
      </c>
      <c r="G90" s="3" t="str">
        <f>VLOOKUP(B90,LifeList!$E$2:$I$2038,4)</f>
        <v>Passeriformes</v>
      </c>
      <c r="H90" s="3" t="str">
        <f>VLOOKUP(B90,LifeList!$E$2:$I$2038,5)</f>
        <v>Parulidae (New World Warblers)</v>
      </c>
      <c r="I90" s="3"/>
    </row>
    <row r="91" spans="1:9" ht="10.5" customHeight="1">
      <c r="A91" s="3" t="s">
        <v>147</v>
      </c>
      <c r="B91" s="3" t="s">
        <v>148</v>
      </c>
      <c r="C91" s="3">
        <f>VLOOKUP(B91,LifeList!$E$2:$J$2038,6)</f>
        <v>28633</v>
      </c>
      <c r="D91" s="3" t="str">
        <f>VLOOKUP(B91,LifeList!$E$2:$G$2038,1)</f>
        <v>American Robin</v>
      </c>
      <c r="E91" s="3" t="str">
        <f>VLOOKUP(B91,LifeList!$E$2:$G$2038,2)</f>
        <v>Merle d'Amérique</v>
      </c>
      <c r="F91" s="3" t="str">
        <f>VLOOKUP(B91,LifeList!$E$2:$G$2038,3)</f>
        <v>Turdus migratorius</v>
      </c>
      <c r="G91" s="3" t="str">
        <f>VLOOKUP(B91,LifeList!$E$2:$I$2038,4)</f>
        <v>Passeriformes</v>
      </c>
      <c r="H91" s="3" t="str">
        <f>VLOOKUP(B91,LifeList!$E$2:$I$2038,5)</f>
        <v>Turdidae (Thrushes and Allies)</v>
      </c>
      <c r="I91" s="3"/>
    </row>
    <row r="92" spans="1:9" ht="10.5" customHeight="1">
      <c r="A92" s="3" t="s">
        <v>149</v>
      </c>
      <c r="B92" s="3" t="s">
        <v>150</v>
      </c>
      <c r="C92" s="3">
        <f>VLOOKUP(B92,LifeList!$E$2:$J$2038,6)</f>
        <v>11216</v>
      </c>
      <c r="D92" s="3" t="str">
        <f>VLOOKUP(B92,LifeList!$E$2:$G$2038,1)</f>
        <v>American Three-toed Woodpecker</v>
      </c>
      <c r="E92" s="3" t="str">
        <f>VLOOKUP(B92,LifeList!$E$2:$G$2038,2)</f>
        <v>Pic à dos rayé</v>
      </c>
      <c r="F92" s="3" t="str">
        <f>VLOOKUP(B92,LifeList!$E$2:$G$2038,3)</f>
        <v>Picoides dorsalis</v>
      </c>
      <c r="G92" s="3" t="str">
        <f>VLOOKUP(B92,LifeList!$E$2:$I$2038,4)</f>
        <v>Piciformes</v>
      </c>
      <c r="H92" s="3" t="str">
        <f>VLOOKUP(B92,LifeList!$E$2:$I$2038,5)</f>
        <v>Picidae (Woodpeckers)</v>
      </c>
      <c r="I92" s="3"/>
    </row>
    <row r="93" spans="1:9" ht="10.5" customHeight="1">
      <c r="A93" s="3" t="s">
        <v>151</v>
      </c>
      <c r="B93" s="3" t="s">
        <v>152</v>
      </c>
      <c r="C93" s="3">
        <f>VLOOKUP(B93,LifeList!$E$2:$J$2038,6)</f>
        <v>33095</v>
      </c>
      <c r="D93" s="3" t="str">
        <f>VLOOKUP(B93,LifeList!$E$2:$G$2038,1)</f>
        <v>American Tree Sparrow</v>
      </c>
      <c r="E93" s="3" t="str">
        <f>VLOOKUP(B93,LifeList!$E$2:$G$2038,2)</f>
        <v>Bruant hudsonien</v>
      </c>
      <c r="F93" s="3" t="str">
        <f>VLOOKUP(B93,LifeList!$E$2:$G$2038,3)</f>
        <v>Spizelloides arborea</v>
      </c>
      <c r="G93" s="3" t="str">
        <f>VLOOKUP(B93,LifeList!$E$2:$I$2038,4)</f>
        <v>Passeriformes</v>
      </c>
      <c r="H93" s="3" t="str">
        <f>VLOOKUP(B93,LifeList!$E$2:$I$2038,5)</f>
        <v>Passerellidae (New World Sparrows)</v>
      </c>
      <c r="I93" s="3"/>
    </row>
    <row r="94" spans="1:9" ht="10.5" customHeight="1">
      <c r="A94" s="3" t="s">
        <v>153</v>
      </c>
      <c r="B94" s="3" t="s">
        <v>152</v>
      </c>
      <c r="C94" s="3">
        <f>VLOOKUP(B94,LifeList!$E$2:$J$2038,6)</f>
        <v>33095</v>
      </c>
      <c r="D94" s="3" t="str">
        <f>VLOOKUP(B94,LifeList!$E$2:$G$2038,1)</f>
        <v>American Tree Sparrow</v>
      </c>
      <c r="E94" s="3" t="str">
        <f>VLOOKUP(B94,LifeList!$E$2:$G$2038,2)</f>
        <v>Bruant hudsonien</v>
      </c>
      <c r="F94" s="3" t="str">
        <f>VLOOKUP(B94,LifeList!$E$2:$G$2038,3)</f>
        <v>Spizelloides arborea</v>
      </c>
      <c r="G94" s="3" t="str">
        <f>VLOOKUP(B94,LifeList!$E$2:$I$2038,4)</f>
        <v>Passeriformes</v>
      </c>
      <c r="H94" s="3" t="str">
        <f>VLOOKUP(B94,LifeList!$E$2:$I$2038,5)</f>
        <v>Passerellidae (New World Sparrows)</v>
      </c>
      <c r="I94" s="3"/>
    </row>
    <row r="95" spans="1:9" ht="10.5" customHeight="1">
      <c r="A95" s="3" t="s">
        <v>154</v>
      </c>
      <c r="B95" s="3" t="s">
        <v>152</v>
      </c>
      <c r="C95" s="3">
        <f>VLOOKUP(B95,LifeList!$E$2:$J$2038,6)</f>
        <v>33095</v>
      </c>
      <c r="D95" s="3" t="str">
        <f>VLOOKUP(B95,LifeList!$E$2:$G$2038,1)</f>
        <v>American Tree Sparrow</v>
      </c>
      <c r="E95" s="3" t="str">
        <f>VLOOKUP(B95,LifeList!$E$2:$G$2038,2)</f>
        <v>Bruant hudsonien</v>
      </c>
      <c r="F95" s="3" t="str">
        <f>VLOOKUP(B95,LifeList!$E$2:$G$2038,3)</f>
        <v>Spizelloides arborea</v>
      </c>
      <c r="G95" s="3" t="str">
        <f>VLOOKUP(B95,LifeList!$E$2:$I$2038,4)</f>
        <v>Passeriformes</v>
      </c>
      <c r="H95" s="3" t="str">
        <f>VLOOKUP(B95,LifeList!$E$2:$I$2038,5)</f>
        <v>Passerellidae (New World Sparrows)</v>
      </c>
      <c r="I95" s="3"/>
    </row>
    <row r="96" spans="1:9" ht="10.5" customHeight="1">
      <c r="A96" s="3" t="s">
        <v>155</v>
      </c>
      <c r="B96" s="3" t="s">
        <v>156</v>
      </c>
      <c r="C96" s="3">
        <f>VLOOKUP(B96,LifeList!$E$2:$J$2038,6)</f>
        <v>7791</v>
      </c>
      <c r="D96" s="3" t="str">
        <f>VLOOKUP(B96,LifeList!$E$2:$G$2038,1)</f>
        <v>American White Pelican</v>
      </c>
      <c r="E96" s="3" t="str">
        <f>VLOOKUP(B96,LifeList!$E$2:$G$2038,2)</f>
        <v>Pélican d'Amérique</v>
      </c>
      <c r="F96" s="3" t="str">
        <f>VLOOKUP(B96,LifeList!$E$2:$G$2038,3)</f>
        <v>Pelecanus erythrorhynchos</v>
      </c>
      <c r="G96" s="3" t="str">
        <f>VLOOKUP(B96,LifeList!$E$2:$I$2038,4)</f>
        <v>Pelecaniformes</v>
      </c>
      <c r="H96" s="3" t="str">
        <f>VLOOKUP(B96,LifeList!$E$2:$I$2038,5)</f>
        <v>Pelecanidae (Pelicans)</v>
      </c>
      <c r="I96" s="3"/>
    </row>
    <row r="97" spans="1:9" ht="10.5" customHeight="1">
      <c r="A97" s="3" t="s">
        <v>157</v>
      </c>
      <c r="B97" s="3" t="s">
        <v>156</v>
      </c>
      <c r="C97" s="3">
        <f>VLOOKUP(B97,LifeList!$E$2:$J$2038,6)</f>
        <v>7791</v>
      </c>
      <c r="D97" s="3" t="str">
        <f>VLOOKUP(B97,LifeList!$E$2:$G$2038,1)</f>
        <v>American White Pelican</v>
      </c>
      <c r="E97" s="3" t="str">
        <f>VLOOKUP(B97,LifeList!$E$2:$G$2038,2)</f>
        <v>Pélican d'Amérique</v>
      </c>
      <c r="F97" s="3" t="str">
        <f>VLOOKUP(B97,LifeList!$E$2:$G$2038,3)</f>
        <v>Pelecanus erythrorhynchos</v>
      </c>
      <c r="G97" s="3" t="str">
        <f>VLOOKUP(B97,LifeList!$E$2:$I$2038,4)</f>
        <v>Pelecaniformes</v>
      </c>
      <c r="H97" s="3" t="str">
        <f>VLOOKUP(B97,LifeList!$E$2:$I$2038,5)</f>
        <v>Pelecanidae (Pelicans)</v>
      </c>
      <c r="I97" s="3"/>
    </row>
    <row r="98" spans="1:9" ht="10.5" customHeight="1">
      <c r="A98" s="3" t="s">
        <v>158</v>
      </c>
      <c r="B98" s="3" t="s">
        <v>156</v>
      </c>
      <c r="C98" s="3">
        <f>VLOOKUP(B98,LifeList!$E$2:$J$2038,6)</f>
        <v>7791</v>
      </c>
      <c r="D98" s="3" t="str">
        <f>VLOOKUP(B98,LifeList!$E$2:$G$2038,1)</f>
        <v>American White Pelican</v>
      </c>
      <c r="E98" s="3" t="str">
        <f>VLOOKUP(B98,LifeList!$E$2:$G$2038,2)</f>
        <v>Pélican d'Amérique</v>
      </c>
      <c r="F98" s="3" t="str">
        <f>VLOOKUP(B98,LifeList!$E$2:$G$2038,3)</f>
        <v>Pelecanus erythrorhynchos</v>
      </c>
      <c r="G98" s="3" t="str">
        <f>VLOOKUP(B98,LifeList!$E$2:$I$2038,4)</f>
        <v>Pelecaniformes</v>
      </c>
      <c r="H98" s="3" t="str">
        <f>VLOOKUP(B98,LifeList!$E$2:$I$2038,5)</f>
        <v>Pelecanidae (Pelicans)</v>
      </c>
      <c r="I98" s="3"/>
    </row>
    <row r="99" spans="1:9" ht="10.5" customHeight="1">
      <c r="A99" s="3" t="s">
        <v>159</v>
      </c>
      <c r="B99" s="3" t="s">
        <v>160</v>
      </c>
      <c r="C99" s="3">
        <f>VLOOKUP(B99,LifeList!$E$2:$J$2038,6)</f>
        <v>517</v>
      </c>
      <c r="D99" s="3" t="str">
        <f>VLOOKUP(B99,LifeList!$E$2:$G$2038,1)</f>
        <v>American Wigeon</v>
      </c>
      <c r="E99" s="3" t="str">
        <f>VLOOKUP(B99,LifeList!$E$2:$G$2038,2)</f>
        <v>Canard d'Amérique</v>
      </c>
      <c r="F99" s="3" t="str">
        <f>VLOOKUP(B99,LifeList!$E$2:$G$2038,3)</f>
        <v>Mareca americana</v>
      </c>
      <c r="G99" s="3" t="str">
        <f>VLOOKUP(B99,LifeList!$E$2:$I$2038,4)</f>
        <v>Anseriformes</v>
      </c>
      <c r="H99" s="3" t="str">
        <f>VLOOKUP(B99,LifeList!$E$2:$I$2038,5)</f>
        <v>Anatidae (Ducks, Geese, and Waterfowl)</v>
      </c>
      <c r="I99" s="3"/>
    </row>
    <row r="100" spans="1:9" ht="10.5" customHeight="1">
      <c r="A100" s="3" t="s">
        <v>161</v>
      </c>
      <c r="B100" s="3" t="s">
        <v>160</v>
      </c>
      <c r="C100" s="3">
        <f>VLOOKUP(B100,LifeList!$E$2:$J$2038,6)</f>
        <v>517</v>
      </c>
      <c r="D100" s="3" t="str">
        <f>VLOOKUP(B100,LifeList!$E$2:$G$2038,1)</f>
        <v>American Wigeon</v>
      </c>
      <c r="E100" s="3" t="str">
        <f>VLOOKUP(B100,LifeList!$E$2:$G$2038,2)</f>
        <v>Canard d'Amérique</v>
      </c>
      <c r="F100" s="3" t="str">
        <f>VLOOKUP(B100,LifeList!$E$2:$G$2038,3)</f>
        <v>Mareca americana</v>
      </c>
      <c r="G100" s="3" t="str">
        <f>VLOOKUP(B100,LifeList!$E$2:$I$2038,4)</f>
        <v>Anseriformes</v>
      </c>
      <c r="H100" s="3" t="str">
        <f>VLOOKUP(B100,LifeList!$E$2:$I$2038,5)</f>
        <v>Anatidae (Ducks, Geese, and Waterfowl)</v>
      </c>
      <c r="I100" s="3"/>
    </row>
    <row r="101" spans="1:9" ht="10.5" customHeight="1">
      <c r="A101" s="3" t="s">
        <v>162</v>
      </c>
      <c r="B101" s="3" t="s">
        <v>160</v>
      </c>
      <c r="C101" s="3">
        <f>VLOOKUP(B101,LifeList!$E$2:$J$2038,6)</f>
        <v>517</v>
      </c>
      <c r="D101" s="3" t="str">
        <f>VLOOKUP(B101,LifeList!$E$2:$G$2038,1)</f>
        <v>American Wigeon</v>
      </c>
      <c r="E101" s="3" t="str">
        <f>VLOOKUP(B101,LifeList!$E$2:$G$2038,2)</f>
        <v>Canard d'Amérique</v>
      </c>
      <c r="F101" s="3" t="str">
        <f>VLOOKUP(B101,LifeList!$E$2:$G$2038,3)</f>
        <v>Mareca americana</v>
      </c>
      <c r="G101" s="3" t="str">
        <f>VLOOKUP(B101,LifeList!$E$2:$I$2038,4)</f>
        <v>Anseriformes</v>
      </c>
      <c r="H101" s="3" t="str">
        <f>VLOOKUP(B101,LifeList!$E$2:$I$2038,5)</f>
        <v>Anatidae (Ducks, Geese, and Waterfowl)</v>
      </c>
      <c r="I101" s="3"/>
    </row>
    <row r="102" spans="1:9" ht="10.5" customHeight="1">
      <c r="A102" s="10" t="s">
        <v>163</v>
      </c>
      <c r="B102" s="8" t="s">
        <v>164</v>
      </c>
      <c r="C102" s="3">
        <f>VLOOKUP(B102,LifeList!$E$2:$J$2038,6)</f>
        <v>780</v>
      </c>
      <c r="D102" s="3" t="str">
        <f>VLOOKUP(B102,LifeList!$E$2:$G$2038,1)</f>
        <v>Andean Duck</v>
      </c>
      <c r="E102" s="3" t="str">
        <f>VLOOKUP(B102,LifeList!$E$2:$G$2038,2)</f>
        <v>Érismature des Andes</v>
      </c>
      <c r="F102" s="3" t="str">
        <f>VLOOKUP(B102,LifeList!$E$2:$G$2038,3)</f>
        <v>Oxyura ferruginea</v>
      </c>
      <c r="G102" s="3" t="str">
        <f>VLOOKUP(B102,LifeList!$E$2:$I$2038,4)</f>
        <v>Anseriformes</v>
      </c>
      <c r="H102" s="3" t="str">
        <f>VLOOKUP(B102,LifeList!$E$2:$I$2038,5)</f>
        <v>Anatidae (Ducks, Geese, and Waterfowl)</v>
      </c>
      <c r="I102" s="3"/>
    </row>
    <row r="103" spans="1:9" ht="10.5" customHeight="1">
      <c r="A103" s="7" t="s">
        <v>165</v>
      </c>
      <c r="B103" s="9" t="s">
        <v>164</v>
      </c>
      <c r="C103" s="3">
        <f>VLOOKUP(B103,LifeList!$E$2:$J$2038,6)</f>
        <v>780</v>
      </c>
      <c r="D103" s="3" t="str">
        <f>VLOOKUP(B103,LifeList!$E$2:$G$2038,1)</f>
        <v>Andean Duck</v>
      </c>
      <c r="E103" s="3" t="str">
        <f>VLOOKUP(B103,LifeList!$E$2:$G$2038,2)</f>
        <v>Érismature des Andes</v>
      </c>
      <c r="F103" s="3" t="str">
        <f>VLOOKUP(B103,LifeList!$E$2:$G$2038,3)</f>
        <v>Oxyura ferruginea</v>
      </c>
      <c r="G103" s="3" t="str">
        <f>VLOOKUP(B103,LifeList!$E$2:$I$2038,4)</f>
        <v>Anseriformes</v>
      </c>
      <c r="H103" s="3" t="str">
        <f>VLOOKUP(B103,LifeList!$E$2:$I$2038,5)</f>
        <v>Anatidae (Ducks, Geese, and Waterfowl)</v>
      </c>
      <c r="I103" s="3"/>
    </row>
    <row r="104" spans="1:9" ht="10.5" customHeight="1">
      <c r="A104" s="3" t="s">
        <v>166</v>
      </c>
      <c r="B104" s="3" t="s">
        <v>167</v>
      </c>
      <c r="C104" s="3">
        <f>VLOOKUP(B104,LifeList!$E$2:$J$2038,6)</f>
        <v>15900</v>
      </c>
      <c r="D104" s="3" t="str">
        <f>VLOOKUP(B104,LifeList!$E$2:$G$2038,1)</f>
        <v>Andean Cock-of-the-rock</v>
      </c>
      <c r="E104" s="3" t="str">
        <f>VLOOKUP(B104,LifeList!$E$2:$G$2038,2)</f>
        <v>Coq-de-roche péruvien</v>
      </c>
      <c r="F104" s="3" t="str">
        <f>VLOOKUP(B104,LifeList!$E$2:$G$2038,3)</f>
        <v>Rupicola peruvianus</v>
      </c>
      <c r="G104" s="3" t="str">
        <f>VLOOKUP(B104,LifeList!$E$2:$I$2038,4)</f>
        <v>Passeriformes</v>
      </c>
      <c r="H104" s="3" t="str">
        <f>VLOOKUP(B104,LifeList!$E$2:$I$2038,5)</f>
        <v>Cotingidae (Cotingas)</v>
      </c>
      <c r="I104" s="3"/>
    </row>
    <row r="105" spans="1:9" ht="10.5" customHeight="1">
      <c r="A105" s="3" t="s">
        <v>168</v>
      </c>
      <c r="B105" s="3" t="s">
        <v>169</v>
      </c>
      <c r="C105" s="3">
        <f>VLOOKUP(B105,LifeList!$E$2:$J$2038,6)</f>
        <v>7810</v>
      </c>
      <c r="D105" s="3" t="str">
        <f>VLOOKUP(B105,LifeList!$E$2:$G$2038,1)</f>
        <v>Andean Condor</v>
      </c>
      <c r="E105" s="3" t="str">
        <f>VLOOKUP(B105,LifeList!$E$2:$G$2038,2)</f>
        <v>Condor des Andes</v>
      </c>
      <c r="F105" s="3" t="str">
        <f>VLOOKUP(B105,LifeList!$E$2:$G$2038,3)</f>
        <v>Vultur gryphus</v>
      </c>
      <c r="G105" s="3" t="str">
        <f>VLOOKUP(B105,LifeList!$E$2:$I$2038,4)</f>
        <v>Cathartiformes</v>
      </c>
      <c r="H105" s="3" t="str">
        <f>VLOOKUP(B105,LifeList!$E$2:$I$2038,5)</f>
        <v>Cathartidae (New World Vultures)</v>
      </c>
      <c r="I105" s="3"/>
    </row>
    <row r="106" spans="1:9" ht="10.5" customHeight="1">
      <c r="A106" s="3" t="s">
        <v>170</v>
      </c>
      <c r="B106" s="3" t="s">
        <v>169</v>
      </c>
      <c r="C106" s="3">
        <f>VLOOKUP(B106,LifeList!$E$2:$J$2038,6)</f>
        <v>7810</v>
      </c>
      <c r="D106" s="3" t="str">
        <f>VLOOKUP(B106,LifeList!$E$2:$G$2038,1)</f>
        <v>Andean Condor</v>
      </c>
      <c r="E106" s="3" t="str">
        <f>VLOOKUP(B106,LifeList!$E$2:$G$2038,2)</f>
        <v>Condor des Andes</v>
      </c>
      <c r="F106" s="3" t="str">
        <f>VLOOKUP(B106,LifeList!$E$2:$G$2038,3)</f>
        <v>Vultur gryphus</v>
      </c>
      <c r="G106" s="3" t="str">
        <f>VLOOKUP(B106,LifeList!$E$2:$I$2038,4)</f>
        <v>Cathartiformes</v>
      </c>
      <c r="H106" s="3" t="str">
        <f>VLOOKUP(B106,LifeList!$E$2:$I$2038,5)</f>
        <v>Cathartidae (New World Vultures)</v>
      </c>
      <c r="I106" s="3"/>
    </row>
    <row r="107" spans="1:9" ht="10.5" customHeight="1">
      <c r="A107" s="3" t="s">
        <v>171</v>
      </c>
      <c r="B107" s="3" t="s">
        <v>172</v>
      </c>
      <c r="C107" s="3">
        <f>VLOOKUP(B107,LifeList!$E$2:$J$2038,6)</f>
        <v>780</v>
      </c>
      <c r="D107" s="3" t="str">
        <f>VLOOKUP(B107,LifeList!$E$2:$G$2038,1)</f>
        <v>Andean Duck</v>
      </c>
      <c r="E107" s="3" t="str">
        <f>VLOOKUP(B107,LifeList!$E$2:$G$2038,2)</f>
        <v>Érismature des Andes</v>
      </c>
      <c r="F107" s="3" t="str">
        <f>VLOOKUP(B107,LifeList!$E$2:$G$2038,3)</f>
        <v>Oxyura ferruginea</v>
      </c>
      <c r="G107" s="3" t="str">
        <f>VLOOKUP(B107,LifeList!$E$2:$I$2038,4)</f>
        <v>Anseriformes</v>
      </c>
      <c r="H107" s="3" t="str">
        <f>VLOOKUP(B107,LifeList!$E$2:$I$2038,5)</f>
        <v>Anatidae (Ducks, Geese, and Waterfowl)</v>
      </c>
      <c r="I107" s="3"/>
    </row>
    <row r="108" spans="1:9" ht="10.5" customHeight="1">
      <c r="A108" s="3" t="s">
        <v>173</v>
      </c>
      <c r="B108" s="3" t="s">
        <v>174</v>
      </c>
      <c r="C108" s="3">
        <f>VLOOKUP(B108,LifeList!$E$2:$J$2038,6)</f>
        <v>5130</v>
      </c>
      <c r="D108" s="3" t="str">
        <f>VLOOKUP(B108,LifeList!$E$2:$G$2038,1)</f>
        <v>Andean Emerald</v>
      </c>
      <c r="E108" s="3" t="str">
        <f>VLOOKUP(B108,LifeList!$E$2:$G$2038,2)</f>
        <v>Ariane de Francia</v>
      </c>
      <c r="F108" s="3" t="str">
        <f>VLOOKUP(B108,LifeList!$E$2:$G$2038,3)</f>
        <v>Uranomitra franciae</v>
      </c>
      <c r="G108" s="3" t="str">
        <f>VLOOKUP(B108,LifeList!$E$2:$I$2038,4)</f>
        <v>Apodiformes</v>
      </c>
      <c r="H108" s="3" t="str">
        <f>VLOOKUP(B108,LifeList!$E$2:$I$2038,5)</f>
        <v>Trochilidae (Hummingbirds)</v>
      </c>
      <c r="I108" s="3"/>
    </row>
    <row r="109" spans="1:9" ht="10.5" customHeight="1">
      <c r="A109" s="3" t="s">
        <v>175</v>
      </c>
      <c r="B109" s="3" t="s">
        <v>174</v>
      </c>
      <c r="C109" s="3">
        <f>VLOOKUP(B109,LifeList!$E$2:$J$2038,6)</f>
        <v>5130</v>
      </c>
      <c r="D109" s="3" t="str">
        <f>VLOOKUP(B109,LifeList!$E$2:$G$2038,1)</f>
        <v>Andean Emerald</v>
      </c>
      <c r="E109" s="3" t="str">
        <f>VLOOKUP(B109,LifeList!$E$2:$G$2038,2)</f>
        <v>Ariane de Francia</v>
      </c>
      <c r="F109" s="3" t="str">
        <f>VLOOKUP(B109,LifeList!$E$2:$G$2038,3)</f>
        <v>Uranomitra franciae</v>
      </c>
      <c r="G109" s="3" t="str">
        <f>VLOOKUP(B109,LifeList!$E$2:$I$2038,4)</f>
        <v>Apodiformes</v>
      </c>
      <c r="H109" s="3" t="str">
        <f>VLOOKUP(B109,LifeList!$E$2:$I$2038,5)</f>
        <v>Trochilidae (Hummingbirds)</v>
      </c>
      <c r="I109" s="3"/>
    </row>
    <row r="110" spans="1:9" ht="10.5" customHeight="1">
      <c r="A110" s="3" t="s">
        <v>176</v>
      </c>
      <c r="B110" s="3" t="s">
        <v>177</v>
      </c>
      <c r="C110" s="3">
        <f>VLOOKUP(B110,LifeList!$E$2:$J$2038,6)</f>
        <v>6470</v>
      </c>
      <c r="D110" s="3" t="str">
        <f>VLOOKUP(B110,LifeList!$E$2:$G$2038,1)</f>
        <v>Andean Gull</v>
      </c>
      <c r="E110" s="3" t="str">
        <f>VLOOKUP(B110,LifeList!$E$2:$G$2038,2)</f>
        <v>Mouette des Andes</v>
      </c>
      <c r="F110" s="3" t="str">
        <f>VLOOKUP(B110,LifeList!$E$2:$G$2038,3)</f>
        <v>Chroicocephalus serranus</v>
      </c>
      <c r="G110" s="3" t="str">
        <f>VLOOKUP(B110,LifeList!$E$2:$I$2038,4)</f>
        <v>Charadriiformes</v>
      </c>
      <c r="H110" s="3" t="str">
        <f>VLOOKUP(B110,LifeList!$E$2:$I$2038,5)</f>
        <v>Laridae (Gulls, Terns, and Skimmers)</v>
      </c>
      <c r="I110" s="3"/>
    </row>
    <row r="111" spans="1:9" ht="10.5" customHeight="1">
      <c r="A111" s="3" t="s">
        <v>178</v>
      </c>
      <c r="B111" s="3" t="s">
        <v>177</v>
      </c>
      <c r="C111" s="3">
        <f>VLOOKUP(B111,LifeList!$E$2:$J$2038,6)</f>
        <v>6470</v>
      </c>
      <c r="D111" s="3" t="str">
        <f>VLOOKUP(B111,LifeList!$E$2:$G$2038,1)</f>
        <v>Andean Gull</v>
      </c>
      <c r="E111" s="3" t="str">
        <f>VLOOKUP(B111,LifeList!$E$2:$G$2038,2)</f>
        <v>Mouette des Andes</v>
      </c>
      <c r="F111" s="3" t="str">
        <f>VLOOKUP(B111,LifeList!$E$2:$G$2038,3)</f>
        <v>Chroicocephalus serranus</v>
      </c>
      <c r="G111" s="3" t="str">
        <f>VLOOKUP(B111,LifeList!$E$2:$I$2038,4)</f>
        <v>Charadriiformes</v>
      </c>
      <c r="H111" s="3" t="str">
        <f>VLOOKUP(B111,LifeList!$E$2:$I$2038,5)</f>
        <v>Laridae (Gulls, Terns, and Skimmers)</v>
      </c>
      <c r="I111" s="3"/>
    </row>
    <row r="112" spans="1:9" ht="10.5" customHeight="1">
      <c r="A112" s="3" t="s">
        <v>179</v>
      </c>
      <c r="B112" s="3" t="s">
        <v>180</v>
      </c>
      <c r="C112" s="3">
        <f>VLOOKUP(B112,LifeList!$E$2:$J$2038,6)</f>
        <v>7488</v>
      </c>
      <c r="D112" s="3" t="str">
        <f>VLOOKUP(B112,LifeList!$E$2:$G$2038,1)</f>
        <v>Andean Ibis</v>
      </c>
      <c r="E112" s="3" t="str">
        <f>VLOOKUP(B112,LifeList!$E$2:$G$2038,2)</f>
        <v>Ibis des Andes</v>
      </c>
      <c r="F112" s="3" t="str">
        <f>VLOOKUP(B112,LifeList!$E$2:$G$2038,3)</f>
        <v>Theristicus branickii</v>
      </c>
      <c r="G112" s="3" t="str">
        <f>VLOOKUP(B112,LifeList!$E$2:$I$2038,4)</f>
        <v>Pelecaniformes</v>
      </c>
      <c r="H112" s="3" t="str">
        <f>VLOOKUP(B112,LifeList!$E$2:$I$2038,5)</f>
        <v>Threskiornithidae (Ibises and Spoonbills)</v>
      </c>
      <c r="I112" s="3"/>
    </row>
    <row r="113" spans="1:9" ht="10.5" customHeight="1">
      <c r="A113" s="3" t="s">
        <v>181</v>
      </c>
      <c r="B113" s="3" t="s">
        <v>182</v>
      </c>
      <c r="C113" s="3">
        <f>VLOOKUP(B113,LifeList!$E$2:$J$2038,6)</f>
        <v>9880</v>
      </c>
      <c r="D113" s="3" t="str">
        <f>VLOOKUP(B113,LifeList!$E$2:$G$2038,1)</f>
        <v>Andean Motmot</v>
      </c>
      <c r="E113" s="3" t="str">
        <f>VLOOKUP(B113,LifeList!$E$2:$G$2038,2)</f>
        <v>Motmot d'Équateur</v>
      </c>
      <c r="F113" s="3" t="str">
        <f>VLOOKUP(B113,LifeList!$E$2:$G$2038,3)</f>
        <v>Momotus aequatorialis</v>
      </c>
      <c r="G113" s="3" t="str">
        <f>VLOOKUP(B113,LifeList!$E$2:$I$2038,4)</f>
        <v>Coraciiformes</v>
      </c>
      <c r="H113" s="3" t="str">
        <f>VLOOKUP(B113,LifeList!$E$2:$I$2038,5)</f>
        <v>Momotidae (Motmots)</v>
      </c>
      <c r="I113" s="3"/>
    </row>
    <row r="114" spans="1:9" ht="10.5" customHeight="1">
      <c r="A114" s="3" t="s">
        <v>183</v>
      </c>
      <c r="B114" s="3" t="s">
        <v>182</v>
      </c>
      <c r="C114" s="3">
        <f>VLOOKUP(B114,LifeList!$E$2:$J$2038,6)</f>
        <v>9880</v>
      </c>
      <c r="D114" s="3" t="str">
        <f>VLOOKUP(B114,LifeList!$E$2:$G$2038,1)</f>
        <v>Andean Motmot</v>
      </c>
      <c r="E114" s="3" t="str">
        <f>VLOOKUP(B114,LifeList!$E$2:$G$2038,2)</f>
        <v>Motmot d'Équateur</v>
      </c>
      <c r="F114" s="3" t="str">
        <f>VLOOKUP(B114,LifeList!$E$2:$G$2038,3)</f>
        <v>Momotus aequatorialis</v>
      </c>
      <c r="G114" s="3" t="str">
        <f>VLOOKUP(B114,LifeList!$E$2:$I$2038,4)</f>
        <v>Coraciiformes</v>
      </c>
      <c r="H114" s="3" t="str">
        <f>VLOOKUP(B114,LifeList!$E$2:$I$2038,5)</f>
        <v>Momotidae (Motmots)</v>
      </c>
      <c r="I114" s="3"/>
    </row>
    <row r="115" spans="1:9" ht="10.5" customHeight="1">
      <c r="A115" s="3" t="s">
        <v>184</v>
      </c>
      <c r="B115" s="3" t="s">
        <v>185</v>
      </c>
      <c r="C115" s="3">
        <f>VLOOKUP(B115,LifeList!$E$2:$J$2038,6)</f>
        <v>9022</v>
      </c>
      <c r="D115" s="3" t="str">
        <f>VLOOKUP(B115,LifeList!$E$2:$G$2038,1)</f>
        <v>Andean Pygmy-Owl</v>
      </c>
      <c r="E115" s="3" t="str">
        <f>VLOOKUP(B115,LifeList!$E$2:$G$2038,2)</f>
        <v>Chevêchette des Andes</v>
      </c>
      <c r="F115" s="3" t="str">
        <f>VLOOKUP(B115,LifeList!$E$2:$G$2038,3)</f>
        <v>Glaucidium jardinii</v>
      </c>
      <c r="G115" s="3" t="str">
        <f>VLOOKUP(B115,LifeList!$E$2:$I$2038,4)</f>
        <v>Strigiformes</v>
      </c>
      <c r="H115" s="3" t="str">
        <f>VLOOKUP(B115,LifeList!$E$2:$I$2038,5)</f>
        <v>Strigidae (Owls)</v>
      </c>
      <c r="I115" s="3"/>
    </row>
    <row r="116" spans="1:9" ht="10.5" customHeight="1">
      <c r="A116" s="3" t="s">
        <v>186</v>
      </c>
      <c r="B116" s="3" t="s">
        <v>187</v>
      </c>
      <c r="C116" s="3">
        <f>VLOOKUP(B116,LifeList!$E$2:$J$2038,6)</f>
        <v>15336</v>
      </c>
      <c r="D116" s="3" t="str">
        <f>VLOOKUP(B116,LifeList!$E$2:$G$2038,1)</f>
        <v>Andean Tit-Spinetail</v>
      </c>
      <c r="E116" s="3" t="str">
        <f>VLOOKUP(B116,LifeList!$E$2:$G$2038,2)</f>
        <v>Synallaxe des Andes</v>
      </c>
      <c r="F116" s="3" t="str">
        <f>VLOOKUP(B116,LifeList!$E$2:$G$2038,3)</f>
        <v>Leptasthenura andicola</v>
      </c>
      <c r="G116" s="3" t="str">
        <f>VLOOKUP(B116,LifeList!$E$2:$I$2038,4)</f>
        <v>Passeriformes</v>
      </c>
      <c r="H116" s="3" t="str">
        <f>VLOOKUP(B116,LifeList!$E$2:$I$2038,5)</f>
        <v>Furnariidae (Ovenbirds and Woodcreepers)</v>
      </c>
      <c r="I116" s="3"/>
    </row>
    <row r="117" spans="1:9" ht="10.5" customHeight="1">
      <c r="A117" s="3" t="s">
        <v>188</v>
      </c>
      <c r="B117" s="3" t="s">
        <v>189</v>
      </c>
      <c r="C117" s="3">
        <f>VLOOKUP(B117,LifeList!$E$2:$J$2038,6)</f>
        <v>7367</v>
      </c>
      <c r="D117" s="3" t="str">
        <f>VLOOKUP(B117,LifeList!$E$2:$G$2038,1)</f>
        <v>Anhinga</v>
      </c>
      <c r="E117" s="3" t="str">
        <f>VLOOKUP(B117,LifeList!$E$2:$G$2038,2)</f>
        <v>Anhinga d'Amérique</v>
      </c>
      <c r="F117" s="3" t="str">
        <f>VLOOKUP(B117,LifeList!$E$2:$G$2038,3)</f>
        <v>Anhinga anhinga</v>
      </c>
      <c r="G117" s="3" t="str">
        <f>VLOOKUP(B117,LifeList!$E$2:$I$2038,4)</f>
        <v>Suliformes</v>
      </c>
      <c r="H117" s="3" t="str">
        <f>VLOOKUP(B117,LifeList!$E$2:$I$2038,5)</f>
        <v>Anhingidae (Anhingas)</v>
      </c>
      <c r="I117" s="3"/>
    </row>
    <row r="118" spans="1:9" ht="10.5" customHeight="1">
      <c r="A118" s="3" t="s">
        <v>190</v>
      </c>
      <c r="B118" s="3" t="s">
        <v>189</v>
      </c>
      <c r="C118" s="3">
        <f>VLOOKUP(B118,LifeList!$E$2:$J$2038,6)</f>
        <v>7367</v>
      </c>
      <c r="D118" s="3" t="str">
        <f>VLOOKUP(B118,LifeList!$E$2:$G$2038,1)</f>
        <v>Anhinga</v>
      </c>
      <c r="E118" s="3" t="str">
        <f>VLOOKUP(B118,LifeList!$E$2:$G$2038,2)</f>
        <v>Anhinga d'Amérique</v>
      </c>
      <c r="F118" s="3" t="str">
        <f>VLOOKUP(B118,LifeList!$E$2:$G$2038,3)</f>
        <v>Anhinga anhinga</v>
      </c>
      <c r="G118" s="3" t="str">
        <f>VLOOKUP(B118,LifeList!$E$2:$I$2038,4)</f>
        <v>Suliformes</v>
      </c>
      <c r="H118" s="3" t="str">
        <f>VLOOKUP(B118,LifeList!$E$2:$I$2038,5)</f>
        <v>Anhingidae (Anhingas)</v>
      </c>
      <c r="I118" s="3"/>
    </row>
    <row r="119" spans="1:9" ht="10.5" customHeight="1">
      <c r="A119" s="3" t="s">
        <v>191</v>
      </c>
      <c r="B119" s="3" t="s">
        <v>189</v>
      </c>
      <c r="C119" s="3">
        <f>VLOOKUP(B119,LifeList!$E$2:$J$2038,6)</f>
        <v>7367</v>
      </c>
      <c r="D119" s="3" t="str">
        <f>VLOOKUP(B119,LifeList!$E$2:$G$2038,1)</f>
        <v>Anhinga</v>
      </c>
      <c r="E119" s="3" t="str">
        <f>VLOOKUP(B119,LifeList!$E$2:$G$2038,2)</f>
        <v>Anhinga d'Amérique</v>
      </c>
      <c r="F119" s="3" t="str">
        <f>VLOOKUP(B119,LifeList!$E$2:$G$2038,3)</f>
        <v>Anhinga anhinga</v>
      </c>
      <c r="G119" s="3" t="str">
        <f>VLOOKUP(B119,LifeList!$E$2:$I$2038,4)</f>
        <v>Suliformes</v>
      </c>
      <c r="H119" s="3" t="str">
        <f>VLOOKUP(B119,LifeList!$E$2:$I$2038,5)</f>
        <v>Anhingidae (Anhingas)</v>
      </c>
      <c r="I119" s="3"/>
    </row>
    <row r="120" spans="1:9" ht="10.5" customHeight="1">
      <c r="A120" s="3" t="s">
        <v>192</v>
      </c>
      <c r="B120" s="3" t="s">
        <v>189</v>
      </c>
      <c r="C120" s="3">
        <f>VLOOKUP(B120,LifeList!$E$2:$J$2038,6)</f>
        <v>7367</v>
      </c>
      <c r="D120" s="3" t="str">
        <f>VLOOKUP(B120,LifeList!$E$2:$G$2038,1)</f>
        <v>Anhinga</v>
      </c>
      <c r="E120" s="3" t="str">
        <f>VLOOKUP(B120,LifeList!$E$2:$G$2038,2)</f>
        <v>Anhinga d'Amérique</v>
      </c>
      <c r="F120" s="3" t="str">
        <f>VLOOKUP(B120,LifeList!$E$2:$G$2038,3)</f>
        <v>Anhinga anhinga</v>
      </c>
      <c r="G120" s="3" t="str">
        <f>VLOOKUP(B120,LifeList!$E$2:$I$2038,4)</f>
        <v>Suliformes</v>
      </c>
      <c r="H120" s="3" t="str">
        <f>VLOOKUP(B120,LifeList!$E$2:$I$2038,5)</f>
        <v>Anhingidae (Anhingas)</v>
      </c>
      <c r="I120" s="3"/>
    </row>
    <row r="121" spans="1:9" ht="10.5" customHeight="1">
      <c r="A121" s="3" t="s">
        <v>193</v>
      </c>
      <c r="B121" s="3" t="s">
        <v>189</v>
      </c>
      <c r="C121" s="3">
        <f>VLOOKUP(B121,LifeList!$E$2:$J$2038,6)</f>
        <v>7367</v>
      </c>
      <c r="D121" s="3" t="str">
        <f>VLOOKUP(B121,LifeList!$E$2:$G$2038,1)</f>
        <v>Anhinga</v>
      </c>
      <c r="E121" s="3" t="str">
        <f>VLOOKUP(B121,LifeList!$E$2:$G$2038,2)</f>
        <v>Anhinga d'Amérique</v>
      </c>
      <c r="F121" s="3" t="str">
        <f>VLOOKUP(B121,LifeList!$E$2:$G$2038,3)</f>
        <v>Anhinga anhinga</v>
      </c>
      <c r="G121" s="3" t="str">
        <f>VLOOKUP(B121,LifeList!$E$2:$I$2038,4)</f>
        <v>Suliformes</v>
      </c>
      <c r="H121" s="3" t="str">
        <f>VLOOKUP(B121,LifeList!$E$2:$I$2038,5)</f>
        <v>Anhingidae (Anhingas)</v>
      </c>
      <c r="I121" s="3"/>
    </row>
    <row r="122" spans="1:9" ht="10.5" customHeight="1">
      <c r="A122" s="3" t="s">
        <v>194</v>
      </c>
      <c r="B122" s="3" t="s">
        <v>189</v>
      </c>
      <c r="C122" s="3">
        <f>VLOOKUP(B122,LifeList!$E$2:$J$2038,6)</f>
        <v>7367</v>
      </c>
      <c r="D122" s="3" t="str">
        <f>VLOOKUP(B122,LifeList!$E$2:$G$2038,1)</f>
        <v>Anhinga</v>
      </c>
      <c r="E122" s="3" t="str">
        <f>VLOOKUP(B122,LifeList!$E$2:$G$2038,2)</f>
        <v>Anhinga d'Amérique</v>
      </c>
      <c r="F122" s="3" t="str">
        <f>VLOOKUP(B122,LifeList!$E$2:$G$2038,3)</f>
        <v>Anhinga anhinga</v>
      </c>
      <c r="G122" s="3" t="str">
        <f>VLOOKUP(B122,LifeList!$E$2:$I$2038,4)</f>
        <v>Suliformes</v>
      </c>
      <c r="H122" s="3" t="str">
        <f>VLOOKUP(B122,LifeList!$E$2:$I$2038,5)</f>
        <v>Anhingidae (Anhingas)</v>
      </c>
      <c r="I122" s="3"/>
    </row>
    <row r="123" spans="1:9" ht="10.5" customHeight="1">
      <c r="A123" s="3" t="s">
        <v>195</v>
      </c>
      <c r="B123" s="3" t="s">
        <v>189</v>
      </c>
      <c r="C123" s="3">
        <f>VLOOKUP(B123,LifeList!$E$2:$J$2038,6)</f>
        <v>7367</v>
      </c>
      <c r="D123" s="3" t="str">
        <f>VLOOKUP(B123,LifeList!$E$2:$G$2038,1)</f>
        <v>Anhinga</v>
      </c>
      <c r="E123" s="3" t="str">
        <f>VLOOKUP(B123,LifeList!$E$2:$G$2038,2)</f>
        <v>Anhinga d'Amérique</v>
      </c>
      <c r="F123" s="3" t="str">
        <f>VLOOKUP(B123,LifeList!$E$2:$G$2038,3)</f>
        <v>Anhinga anhinga</v>
      </c>
      <c r="G123" s="3" t="str">
        <f>VLOOKUP(B123,LifeList!$E$2:$I$2038,4)</f>
        <v>Suliformes</v>
      </c>
      <c r="H123" s="3" t="str">
        <f>VLOOKUP(B123,LifeList!$E$2:$I$2038,5)</f>
        <v>Anhingidae (Anhingas)</v>
      </c>
      <c r="I123" s="3"/>
    </row>
    <row r="124" spans="1:9" ht="10.5" customHeight="1">
      <c r="A124" s="3" t="s">
        <v>196</v>
      </c>
      <c r="B124" s="3" t="s">
        <v>189</v>
      </c>
      <c r="C124" s="3">
        <f>VLOOKUP(B124,LifeList!$E$2:$J$2038,6)</f>
        <v>7367</v>
      </c>
      <c r="D124" s="3" t="str">
        <f>VLOOKUP(B124,LifeList!$E$2:$G$2038,1)</f>
        <v>Anhinga</v>
      </c>
      <c r="E124" s="3" t="str">
        <f>VLOOKUP(B124,LifeList!$E$2:$G$2038,2)</f>
        <v>Anhinga d'Amérique</v>
      </c>
      <c r="F124" s="3" t="str">
        <f>VLOOKUP(B124,LifeList!$E$2:$G$2038,3)</f>
        <v>Anhinga anhinga</v>
      </c>
      <c r="G124" s="3" t="str">
        <f>VLOOKUP(B124,LifeList!$E$2:$I$2038,4)</f>
        <v>Suliformes</v>
      </c>
      <c r="H124" s="3" t="str">
        <f>VLOOKUP(B124,LifeList!$E$2:$I$2038,5)</f>
        <v>Anhingidae (Anhingas)</v>
      </c>
      <c r="I124" s="3"/>
    </row>
    <row r="125" spans="1:9" ht="10.5" customHeight="1">
      <c r="A125" s="3" t="s">
        <v>197</v>
      </c>
      <c r="B125" s="3" t="s">
        <v>189</v>
      </c>
      <c r="C125" s="3">
        <f>VLOOKUP(B125,LifeList!$E$2:$J$2038,6)</f>
        <v>7367</v>
      </c>
      <c r="D125" s="3" t="str">
        <f>VLOOKUP(B125,LifeList!$E$2:$G$2038,1)</f>
        <v>Anhinga</v>
      </c>
      <c r="E125" s="3" t="str">
        <f>VLOOKUP(B125,LifeList!$E$2:$G$2038,2)</f>
        <v>Anhinga d'Amérique</v>
      </c>
      <c r="F125" s="3" t="str">
        <f>VLOOKUP(B125,LifeList!$E$2:$G$2038,3)</f>
        <v>Anhinga anhinga</v>
      </c>
      <c r="G125" s="3" t="str">
        <f>VLOOKUP(B125,LifeList!$E$2:$I$2038,4)</f>
        <v>Suliformes</v>
      </c>
      <c r="H125" s="3" t="str">
        <f>VLOOKUP(B125,LifeList!$E$2:$I$2038,5)</f>
        <v>Anhingidae (Anhingas)</v>
      </c>
      <c r="I125" s="3"/>
    </row>
    <row r="126" spans="1:9" ht="10.5" customHeight="1">
      <c r="A126" s="3" t="s">
        <v>198</v>
      </c>
      <c r="B126" s="3" t="s">
        <v>189</v>
      </c>
      <c r="C126" s="3">
        <f>VLOOKUP(B126,LifeList!$E$2:$J$2038,6)</f>
        <v>7367</v>
      </c>
      <c r="D126" s="3" t="str">
        <f>VLOOKUP(B126,LifeList!$E$2:$G$2038,1)</f>
        <v>Anhinga</v>
      </c>
      <c r="E126" s="3" t="str">
        <f>VLOOKUP(B126,LifeList!$E$2:$G$2038,2)</f>
        <v>Anhinga d'Amérique</v>
      </c>
      <c r="F126" s="3" t="str">
        <f>VLOOKUP(B126,LifeList!$E$2:$G$2038,3)</f>
        <v>Anhinga anhinga</v>
      </c>
      <c r="G126" s="3" t="str">
        <f>VLOOKUP(B126,LifeList!$E$2:$I$2038,4)</f>
        <v>Suliformes</v>
      </c>
      <c r="H126" s="3" t="str">
        <f>VLOOKUP(B126,LifeList!$E$2:$I$2038,5)</f>
        <v>Anhingidae (Anhingas)</v>
      </c>
      <c r="I126" s="3"/>
    </row>
    <row r="127" spans="1:9" ht="10.5" customHeight="1">
      <c r="A127" s="3" t="s">
        <v>199</v>
      </c>
      <c r="B127" s="3" t="s">
        <v>189</v>
      </c>
      <c r="C127" s="3">
        <f>VLOOKUP(B127,LifeList!$E$2:$J$2038,6)</f>
        <v>7367</v>
      </c>
      <c r="D127" s="3" t="str">
        <f>VLOOKUP(B127,LifeList!$E$2:$G$2038,1)</f>
        <v>Anhinga</v>
      </c>
      <c r="E127" s="3" t="str">
        <f>VLOOKUP(B127,LifeList!$E$2:$G$2038,2)</f>
        <v>Anhinga d'Amérique</v>
      </c>
      <c r="F127" s="3" t="str">
        <f>VLOOKUP(B127,LifeList!$E$2:$G$2038,3)</f>
        <v>Anhinga anhinga</v>
      </c>
      <c r="G127" s="3" t="str">
        <f>VLOOKUP(B127,LifeList!$E$2:$I$2038,4)</f>
        <v>Suliformes</v>
      </c>
      <c r="H127" s="3" t="str">
        <f>VLOOKUP(B127,LifeList!$E$2:$I$2038,5)</f>
        <v>Anhingidae (Anhingas)</v>
      </c>
      <c r="I127" s="3"/>
    </row>
    <row r="128" spans="1:9" ht="10.5" customHeight="1">
      <c r="A128" s="3" t="s">
        <v>200</v>
      </c>
      <c r="B128" s="3" t="s">
        <v>189</v>
      </c>
      <c r="C128" s="3">
        <f>VLOOKUP(B128,LifeList!$E$2:$J$2038,6)</f>
        <v>7367</v>
      </c>
      <c r="D128" s="3" t="str">
        <f>VLOOKUP(B128,LifeList!$E$2:$G$2038,1)</f>
        <v>Anhinga</v>
      </c>
      <c r="E128" s="3" t="str">
        <f>VLOOKUP(B128,LifeList!$E$2:$G$2038,2)</f>
        <v>Anhinga d'Amérique</v>
      </c>
      <c r="F128" s="3" t="str">
        <f>VLOOKUP(B128,LifeList!$E$2:$G$2038,3)</f>
        <v>Anhinga anhinga</v>
      </c>
      <c r="G128" s="3" t="str">
        <f>VLOOKUP(B128,LifeList!$E$2:$I$2038,4)</f>
        <v>Suliformes</v>
      </c>
      <c r="H128" s="3" t="str">
        <f>VLOOKUP(B128,LifeList!$E$2:$I$2038,5)</f>
        <v>Anhingidae (Anhingas)</v>
      </c>
      <c r="I128" s="3"/>
    </row>
    <row r="129" spans="1:9" ht="10.5" customHeight="1">
      <c r="A129" s="3" t="s">
        <v>201</v>
      </c>
      <c r="B129" s="3" t="s">
        <v>189</v>
      </c>
      <c r="C129" s="3">
        <f>VLOOKUP(B129,LifeList!$E$2:$J$2038,6)</f>
        <v>7367</v>
      </c>
      <c r="D129" s="3" t="str">
        <f>VLOOKUP(B129,LifeList!$E$2:$G$2038,1)</f>
        <v>Anhinga</v>
      </c>
      <c r="E129" s="3" t="str">
        <f>VLOOKUP(B129,LifeList!$E$2:$G$2038,2)</f>
        <v>Anhinga d'Amérique</v>
      </c>
      <c r="F129" s="3" t="str">
        <f>VLOOKUP(B129,LifeList!$E$2:$G$2038,3)</f>
        <v>Anhinga anhinga</v>
      </c>
      <c r="G129" s="3" t="str">
        <f>VLOOKUP(B129,LifeList!$E$2:$I$2038,4)</f>
        <v>Suliformes</v>
      </c>
      <c r="H129" s="3" t="str">
        <f>VLOOKUP(B129,LifeList!$E$2:$I$2038,5)</f>
        <v>Anhingidae (Anhingas)</v>
      </c>
      <c r="I129" s="3"/>
    </row>
    <row r="130" spans="1:9" ht="10.5" customHeight="1">
      <c r="A130" s="3" t="s">
        <v>202</v>
      </c>
      <c r="B130" s="3" t="s">
        <v>203</v>
      </c>
      <c r="C130" s="3">
        <f>VLOOKUP(B130,LifeList!$E$2:$J$2038,6)</f>
        <v>4814</v>
      </c>
      <c r="D130" s="3" t="str">
        <f>VLOOKUP(B130,LifeList!$E$2:$G$2038,1)</f>
        <v>Anna's Hummingbird</v>
      </c>
      <c r="E130" s="3" t="str">
        <f>VLOOKUP(B130,LifeList!$E$2:$G$2038,2)</f>
        <v>Colibri d'Anna</v>
      </c>
      <c r="F130" s="3" t="str">
        <f>VLOOKUP(B130,LifeList!$E$2:$G$2038,3)</f>
        <v>Calypte anna</v>
      </c>
      <c r="G130" s="3" t="str">
        <f>VLOOKUP(B130,LifeList!$E$2:$I$2038,4)</f>
        <v>Apodiformes</v>
      </c>
      <c r="H130" s="3" t="str">
        <f>VLOOKUP(B130,LifeList!$E$2:$I$2038,5)</f>
        <v>Trochilidae (Hummingbirds)</v>
      </c>
      <c r="I130" s="3"/>
    </row>
    <row r="131" spans="1:9" ht="10.5" customHeight="1">
      <c r="A131" s="3" t="s">
        <v>204</v>
      </c>
      <c r="B131" s="3" t="s">
        <v>203</v>
      </c>
      <c r="C131" s="3">
        <f>VLOOKUP(B131,LifeList!$E$2:$J$2038,6)</f>
        <v>4814</v>
      </c>
      <c r="D131" s="3" t="str">
        <f>VLOOKUP(B131,LifeList!$E$2:$G$2038,1)</f>
        <v>Anna's Hummingbird</v>
      </c>
      <c r="E131" s="3" t="str">
        <f>VLOOKUP(B131,LifeList!$E$2:$G$2038,2)</f>
        <v>Colibri d'Anna</v>
      </c>
      <c r="F131" s="3" t="str">
        <f>VLOOKUP(B131,LifeList!$E$2:$G$2038,3)</f>
        <v>Calypte anna</v>
      </c>
      <c r="G131" s="3" t="str">
        <f>VLOOKUP(B131,LifeList!$E$2:$I$2038,4)</f>
        <v>Apodiformes</v>
      </c>
      <c r="H131" s="3" t="str">
        <f>VLOOKUP(B131,LifeList!$E$2:$I$2038,5)</f>
        <v>Trochilidae (Hummingbirds)</v>
      </c>
      <c r="I131" s="3"/>
    </row>
    <row r="132" spans="1:9" ht="10.5" customHeight="1">
      <c r="A132" s="3" t="s">
        <v>205</v>
      </c>
      <c r="B132" s="3" t="s">
        <v>206</v>
      </c>
      <c r="C132" s="3">
        <f>VLOOKUP(B132,LifeList!$E$2:$J$2038,6)</f>
        <v>32117</v>
      </c>
      <c r="D132" s="3" t="str">
        <f>VLOOKUP(B132,LifeList!$E$2:$G$2038,1)</f>
        <v>Apapane</v>
      </c>
      <c r="E132" s="3" t="str">
        <f>VLOOKUP(B132,LifeList!$E$2:$G$2038,2)</f>
        <v>Picchion cramoisi</v>
      </c>
      <c r="F132" s="3" t="str">
        <f>VLOOKUP(B132,LifeList!$E$2:$G$2038,3)</f>
        <v>Himatione sanguinea</v>
      </c>
      <c r="G132" s="3" t="str">
        <f>VLOOKUP(B132,LifeList!$E$2:$I$2038,4)</f>
        <v>Passeriformes</v>
      </c>
      <c r="H132" s="3" t="str">
        <f>VLOOKUP(B132,LifeList!$E$2:$I$2038,5)</f>
        <v>Fringillidae (Finches, Euphonias, and Allies)</v>
      </c>
      <c r="I132" s="3"/>
    </row>
    <row r="133" spans="1:9" ht="10.5" customHeight="1">
      <c r="A133" s="3" t="s">
        <v>207</v>
      </c>
      <c r="B133" s="3" t="s">
        <v>206</v>
      </c>
      <c r="C133" s="3">
        <f>VLOOKUP(B133,LifeList!$E$2:$J$2038,6)</f>
        <v>32117</v>
      </c>
      <c r="D133" s="3" t="str">
        <f>VLOOKUP(B133,LifeList!$E$2:$G$2038,1)</f>
        <v>Apapane</v>
      </c>
      <c r="E133" s="3" t="str">
        <f>VLOOKUP(B133,LifeList!$E$2:$G$2038,2)</f>
        <v>Picchion cramoisi</v>
      </c>
      <c r="F133" s="3" t="str">
        <f>VLOOKUP(B133,LifeList!$E$2:$G$2038,3)</f>
        <v>Himatione sanguinea</v>
      </c>
      <c r="G133" s="3" t="str">
        <f>VLOOKUP(B133,LifeList!$E$2:$I$2038,4)</f>
        <v>Passeriformes</v>
      </c>
      <c r="H133" s="3" t="str">
        <f>VLOOKUP(B133,LifeList!$E$2:$I$2038,5)</f>
        <v>Fringillidae (Finches, Euphonias, and Allies)</v>
      </c>
      <c r="I133" s="3"/>
    </row>
    <row r="134" spans="1:9" ht="10.5" customHeight="1">
      <c r="A134" s="3" t="s">
        <v>208</v>
      </c>
      <c r="B134" s="3" t="s">
        <v>209</v>
      </c>
      <c r="C134" s="3">
        <f>VLOOKUP(B134,LifeList!$E$2:$J$2038,6)</f>
        <v>17316</v>
      </c>
      <c r="D134" s="3" t="str">
        <f>VLOOKUP(B134,LifeList!$E$2:$G$2038,1)</f>
        <v>Apical Flycatcher</v>
      </c>
      <c r="E134" s="3" t="str">
        <f>VLOOKUP(B134,LifeList!$E$2:$G$2038,2)</f>
        <v>Tyran à queue givrée</v>
      </c>
      <c r="F134" s="3" t="str">
        <f>VLOOKUP(B134,LifeList!$E$2:$G$2038,3)</f>
        <v>Myiarchus apicalis</v>
      </c>
      <c r="G134" s="3" t="str">
        <f>VLOOKUP(B134,LifeList!$E$2:$I$2038,4)</f>
        <v>Passeriformes</v>
      </c>
      <c r="H134" s="3" t="str">
        <f>VLOOKUP(B134,LifeList!$E$2:$I$2038,5)</f>
        <v>Tyrannidae (Tyrant Flycatchers)</v>
      </c>
      <c r="I134" s="3"/>
    </row>
    <row r="135" spans="1:9" ht="10.5" customHeight="1">
      <c r="A135" s="5" t="s">
        <v>210</v>
      </c>
      <c r="B135" s="3" t="s">
        <v>211</v>
      </c>
      <c r="C135" s="6">
        <f>VLOOKUP(B135,LifeList!$E$2:$J$2038,6)</f>
        <v>12092</v>
      </c>
      <c r="D135" s="3" t="str">
        <f>VLOOKUP(B135,LifeList!$E$2:$G$2038,1)</f>
        <v>Aplomado Falcon</v>
      </c>
      <c r="E135" s="3" t="str">
        <f>VLOOKUP(B135,LifeList!$E$2:$G$2038,2)</f>
        <v>Faucon aplomado</v>
      </c>
      <c r="F135" s="3" t="str">
        <f>VLOOKUP(B135,LifeList!$E$2:$G$2038,3)</f>
        <v>Falco femoralis</v>
      </c>
      <c r="G135" s="3" t="str">
        <f>VLOOKUP(B135,LifeList!$E$2:$I$2038,4)</f>
        <v>Falconiformes</v>
      </c>
      <c r="H135" s="3" t="str">
        <f>VLOOKUP(B135,LifeList!$E$2:$I$2038,5)</f>
        <v>Falconidae (Falcons and Caracaras)</v>
      </c>
      <c r="I135" s="3"/>
    </row>
    <row r="136" spans="1:9" ht="10.5" customHeight="1">
      <c r="A136" s="7" t="s">
        <v>212</v>
      </c>
      <c r="B136" s="9" t="s">
        <v>213</v>
      </c>
      <c r="C136" s="3">
        <f>VLOOKUP(B136,LifeList!$E$2:$J$2038,6)</f>
        <v>21017</v>
      </c>
      <c r="D136" s="3" t="str">
        <f>VLOOKUP(B136,LifeList!$E$2:$G$2038,1)</f>
        <v>Apostlebird</v>
      </c>
      <c r="E136" s="3" t="str">
        <f>VLOOKUP(B136,LifeList!$E$2:$G$2038,2)</f>
        <v>Apôtre gris</v>
      </c>
      <c r="F136" s="3" t="str">
        <f>VLOOKUP(B136,LifeList!$E$2:$G$2038,3)</f>
        <v>Struthidea cinerea</v>
      </c>
      <c r="G136" s="3" t="str">
        <f>VLOOKUP(B136,LifeList!$E$2:$I$2038,4)</f>
        <v>Passeriformes</v>
      </c>
      <c r="H136" s="3" t="str">
        <f>VLOOKUP(B136,LifeList!$E$2:$I$2038,5)</f>
        <v>Corcoracidae (White-winged Chough and Apostlebird)</v>
      </c>
      <c r="I136" s="3"/>
    </row>
    <row r="137" spans="1:9" ht="10.5" customHeight="1">
      <c r="A137" s="7" t="s">
        <v>212</v>
      </c>
      <c r="B137" s="9" t="s">
        <v>213</v>
      </c>
      <c r="C137" s="3">
        <f>VLOOKUP(B137,LifeList!$E$2:$J$2038,6)</f>
        <v>21017</v>
      </c>
      <c r="D137" s="3" t="str">
        <f>VLOOKUP(B137,LifeList!$E$2:$G$2038,1)</f>
        <v>Apostlebird</v>
      </c>
      <c r="E137" s="3" t="str">
        <f>VLOOKUP(B137,LifeList!$E$2:$G$2038,2)</f>
        <v>Apôtre gris</v>
      </c>
      <c r="F137" s="3" t="str">
        <f>VLOOKUP(B137,LifeList!$E$2:$G$2038,3)</f>
        <v>Struthidea cinerea</v>
      </c>
      <c r="G137" s="3" t="str">
        <f>VLOOKUP(B137,LifeList!$E$2:$I$2038,4)</f>
        <v>Passeriformes</v>
      </c>
      <c r="H137" s="3" t="str">
        <f>VLOOKUP(B137,LifeList!$E$2:$I$2038,5)</f>
        <v>Corcoracidae (White-winged Chough and Apostlebird)</v>
      </c>
      <c r="I137" s="3"/>
    </row>
    <row r="138" spans="1:9" ht="10.5" customHeight="1">
      <c r="A138" s="7" t="s">
        <v>214</v>
      </c>
      <c r="B138" s="9" t="s">
        <v>213</v>
      </c>
      <c r="C138" s="3">
        <f>VLOOKUP(B138,LifeList!$E$2:$J$2038,6)</f>
        <v>21017</v>
      </c>
      <c r="D138" s="3" t="str">
        <f>VLOOKUP(B138,LifeList!$E$2:$G$2038,1)</f>
        <v>Apostlebird</v>
      </c>
      <c r="E138" s="3" t="str">
        <f>VLOOKUP(B138,LifeList!$E$2:$G$2038,2)</f>
        <v>Apôtre gris</v>
      </c>
      <c r="F138" s="3" t="str">
        <f>VLOOKUP(B138,LifeList!$E$2:$G$2038,3)</f>
        <v>Struthidea cinerea</v>
      </c>
      <c r="G138" s="3" t="str">
        <f>VLOOKUP(B138,LifeList!$E$2:$I$2038,4)</f>
        <v>Passeriformes</v>
      </c>
      <c r="H138" s="3" t="str">
        <f>VLOOKUP(B138,LifeList!$E$2:$I$2038,5)</f>
        <v>Corcoracidae (White-winged Chough and Apostlebird)</v>
      </c>
      <c r="I138" s="3"/>
    </row>
    <row r="139" spans="1:9" ht="10.5" customHeight="1">
      <c r="A139" s="7" t="s">
        <v>214</v>
      </c>
      <c r="B139" s="9" t="s">
        <v>213</v>
      </c>
      <c r="C139" s="3">
        <f>VLOOKUP(B139,LifeList!$E$2:$J$2038,6)</f>
        <v>21017</v>
      </c>
      <c r="D139" s="3" t="str">
        <f>VLOOKUP(B139,LifeList!$E$2:$G$2038,1)</f>
        <v>Apostlebird</v>
      </c>
      <c r="E139" s="3" t="str">
        <f>VLOOKUP(B139,LifeList!$E$2:$G$2038,2)</f>
        <v>Apôtre gris</v>
      </c>
      <c r="F139" s="3" t="str">
        <f>VLOOKUP(B139,LifeList!$E$2:$G$2038,3)</f>
        <v>Struthidea cinerea</v>
      </c>
      <c r="G139" s="3" t="str">
        <f>VLOOKUP(B139,LifeList!$E$2:$I$2038,4)</f>
        <v>Passeriformes</v>
      </c>
      <c r="H139" s="3" t="str">
        <f>VLOOKUP(B139,LifeList!$E$2:$I$2038,5)</f>
        <v>Corcoracidae (White-winged Chough and Apostlebird)</v>
      </c>
      <c r="I139" s="3"/>
    </row>
    <row r="140" spans="1:9" ht="10.5" customHeight="1">
      <c r="A140" s="3" t="s">
        <v>215</v>
      </c>
      <c r="B140" s="3" t="s">
        <v>216</v>
      </c>
      <c r="C140" s="3">
        <f>VLOOKUP(B140,LifeList!$E$2:$J$2038,6)</f>
        <v>23977</v>
      </c>
      <c r="D140" s="3" t="str">
        <f>VLOOKUP(B140,LifeList!$E$2:$G$2038,1)</f>
        <v>Appert's Tetraka</v>
      </c>
      <c r="E140" s="3" t="str">
        <f>VLOOKUP(B140,LifeList!$E$2:$G$2038,2)</f>
        <v>Farifotra d'Appert</v>
      </c>
      <c r="F140" s="3" t="str">
        <f>VLOOKUP(B140,LifeList!$E$2:$G$2038,3)</f>
        <v>Xanthomixis apperti</v>
      </c>
      <c r="G140" s="3" t="str">
        <f>VLOOKUP(B140,LifeList!$E$2:$I$2038,4)</f>
        <v>Passeriformes</v>
      </c>
      <c r="H140" s="3" t="str">
        <f>VLOOKUP(B140,LifeList!$E$2:$I$2038,5)</f>
        <v>Bernieridae (Malagasy Warblers)</v>
      </c>
      <c r="I140" s="3"/>
    </row>
    <row r="141" spans="1:9" ht="10.5" customHeight="1">
      <c r="A141" s="5" t="s">
        <v>217</v>
      </c>
      <c r="B141" s="3" t="s">
        <v>218</v>
      </c>
      <c r="C141" s="3">
        <f>VLOOKUP(B141,LifeList!$E$2:$J$2038,6)</f>
        <v>19969</v>
      </c>
      <c r="D141" s="3" t="str">
        <f>VLOOKUP(B141,LifeList!$E$2:$G$2038,1)</f>
        <v>Archbold's Newtonia</v>
      </c>
      <c r="E141" s="3" t="str">
        <f>VLOOKUP(B141,LifeList!$E$2:$G$2038,2)</f>
        <v>Newtonie d'Archbold</v>
      </c>
      <c r="F141" s="3" t="str">
        <f>VLOOKUP(B141,LifeList!$E$2:$G$2038,3)</f>
        <v>Newtonia archboldi</v>
      </c>
      <c r="G141" s="3" t="str">
        <f>VLOOKUP(B141,LifeList!$E$2:$I$2038,4)</f>
        <v>Passeriformes</v>
      </c>
      <c r="H141" s="3" t="str">
        <f>VLOOKUP(B141,LifeList!$E$2:$I$2038,5)</f>
        <v>Vangidae (Vangas, Helmetshrikes, and Allies)</v>
      </c>
      <c r="I141" s="3"/>
    </row>
    <row r="142" spans="1:9" ht="10.5" customHeight="1">
      <c r="A142" s="3" t="s">
        <v>219</v>
      </c>
      <c r="B142" s="3" t="s">
        <v>218</v>
      </c>
      <c r="C142" s="3">
        <f>VLOOKUP(B142,LifeList!$E$2:$J$2038,6)</f>
        <v>19969</v>
      </c>
      <c r="D142" s="3" t="str">
        <f>VLOOKUP(B142,LifeList!$E$2:$G$2038,1)</f>
        <v>Archbold's Newtonia</v>
      </c>
      <c r="E142" s="3" t="str">
        <f>VLOOKUP(B142,LifeList!$E$2:$G$2038,2)</f>
        <v>Newtonie d'Archbold</v>
      </c>
      <c r="F142" s="3" t="str">
        <f>VLOOKUP(B142,LifeList!$E$2:$G$2038,3)</f>
        <v>Newtonia archboldi</v>
      </c>
      <c r="G142" s="3" t="str">
        <f>VLOOKUP(B142,LifeList!$E$2:$I$2038,4)</f>
        <v>Passeriformes</v>
      </c>
      <c r="H142" s="3" t="str">
        <f>VLOOKUP(B142,LifeList!$E$2:$I$2038,5)</f>
        <v>Vangidae (Vangas, Helmetshrikes, and Allies)</v>
      </c>
      <c r="I142" s="3"/>
    </row>
    <row r="143" spans="1:9" ht="10.5" customHeight="1">
      <c r="A143" s="3" t="s">
        <v>220</v>
      </c>
      <c r="B143" s="3" t="s">
        <v>218</v>
      </c>
      <c r="C143" s="3">
        <f>VLOOKUP(B143,LifeList!$E$2:$J$2038,6)</f>
        <v>19969</v>
      </c>
      <c r="D143" s="3" t="str">
        <f>VLOOKUP(B143,LifeList!$E$2:$G$2038,1)</f>
        <v>Archbold's Newtonia</v>
      </c>
      <c r="E143" s="3" t="str">
        <f>VLOOKUP(B143,LifeList!$E$2:$G$2038,2)</f>
        <v>Newtonie d'Archbold</v>
      </c>
      <c r="F143" s="3" t="str">
        <f>VLOOKUP(B143,LifeList!$E$2:$G$2038,3)</f>
        <v>Newtonia archboldi</v>
      </c>
      <c r="G143" s="3" t="str">
        <f>VLOOKUP(B143,LifeList!$E$2:$I$2038,4)</f>
        <v>Passeriformes</v>
      </c>
      <c r="H143" s="3" t="str">
        <f>VLOOKUP(B143,LifeList!$E$2:$I$2038,5)</f>
        <v>Vangidae (Vangas, Helmetshrikes, and Allies)</v>
      </c>
      <c r="I143" s="3"/>
    </row>
    <row r="144" spans="1:9" ht="10.5" customHeight="1">
      <c r="A144" s="3" t="s">
        <v>221</v>
      </c>
      <c r="B144" s="3" t="s">
        <v>218</v>
      </c>
      <c r="C144" s="3">
        <f>VLOOKUP(B144,LifeList!$E$2:$J$2038,6)</f>
        <v>19969</v>
      </c>
      <c r="D144" s="3" t="str">
        <f>VLOOKUP(B144,LifeList!$E$2:$G$2038,1)</f>
        <v>Archbold's Newtonia</v>
      </c>
      <c r="E144" s="3" t="str">
        <f>VLOOKUP(B144,LifeList!$E$2:$G$2038,2)</f>
        <v>Newtonie d'Archbold</v>
      </c>
      <c r="F144" s="3" t="str">
        <f>VLOOKUP(B144,LifeList!$E$2:$G$2038,3)</f>
        <v>Newtonia archboldi</v>
      </c>
      <c r="G144" s="3" t="str">
        <f>VLOOKUP(B144,LifeList!$E$2:$I$2038,4)</f>
        <v>Passeriformes</v>
      </c>
      <c r="H144" s="3" t="str">
        <f>VLOOKUP(B144,LifeList!$E$2:$I$2038,5)</f>
        <v>Vangidae (Vangas, Helmetshrikes, and Allies)</v>
      </c>
      <c r="I144" s="3"/>
    </row>
    <row r="145" spans="1:9" ht="10.5" customHeight="1">
      <c r="A145" s="3" t="s">
        <v>222</v>
      </c>
      <c r="B145" s="3" t="s">
        <v>223</v>
      </c>
      <c r="C145" s="3">
        <f>VLOOKUP(B145,LifeList!$E$2:$J$2038,6)</f>
        <v>6733</v>
      </c>
      <c r="D145" s="3" t="str">
        <f>VLOOKUP(B145,LifeList!$E$2:$G$2038,1)</f>
        <v>Arctic Tern</v>
      </c>
      <c r="E145" s="3" t="str">
        <f>VLOOKUP(B145,LifeList!$E$2:$G$2038,2)</f>
        <v>Sterne arctique</v>
      </c>
      <c r="F145" s="3" t="str">
        <f>VLOOKUP(B145,LifeList!$E$2:$G$2038,3)</f>
        <v>Sterna paradisaea</v>
      </c>
      <c r="G145" s="3" t="str">
        <f>VLOOKUP(B145,LifeList!$E$2:$I$2038,4)</f>
        <v>Charadriiformes</v>
      </c>
      <c r="H145" s="3" t="str">
        <f>VLOOKUP(B145,LifeList!$E$2:$I$2038,5)</f>
        <v>Laridae (Gulls, Terns, and Skimmers)</v>
      </c>
      <c r="I145" s="3"/>
    </row>
    <row r="146" spans="1:9" ht="10.5" customHeight="1">
      <c r="A146" s="3" t="s">
        <v>224</v>
      </c>
      <c r="B146" s="3" t="s">
        <v>223</v>
      </c>
      <c r="C146" s="3">
        <f>VLOOKUP(B146,LifeList!$E$2:$J$2038,6)</f>
        <v>6733</v>
      </c>
      <c r="D146" s="3" t="str">
        <f>VLOOKUP(B146,LifeList!$E$2:$G$2038,1)</f>
        <v>Arctic Tern</v>
      </c>
      <c r="E146" s="3" t="str">
        <f>VLOOKUP(B146,LifeList!$E$2:$G$2038,2)</f>
        <v>Sterne arctique</v>
      </c>
      <c r="F146" s="3" t="str">
        <f>VLOOKUP(B146,LifeList!$E$2:$G$2038,3)</f>
        <v>Sterna paradisaea</v>
      </c>
      <c r="G146" s="3" t="str">
        <f>VLOOKUP(B146,LifeList!$E$2:$I$2038,4)</f>
        <v>Charadriiformes</v>
      </c>
      <c r="H146" s="3" t="str">
        <f>VLOOKUP(B146,LifeList!$E$2:$I$2038,5)</f>
        <v>Laridae (Gulls, Terns, and Skimmers)</v>
      </c>
      <c r="I146" s="3"/>
    </row>
    <row r="147" spans="1:9" ht="10.5" customHeight="1">
      <c r="A147" s="3" t="s">
        <v>225</v>
      </c>
      <c r="B147" s="3" t="s">
        <v>226</v>
      </c>
      <c r="C147" s="3">
        <f>VLOOKUP(B147,LifeList!$E$2:$J$2038,6)</f>
        <v>26680</v>
      </c>
      <c r="D147" s="3" t="str">
        <f>VLOOKUP(B147,LifeList!$E$2:$G$2038,1)</f>
        <v>Arrow-marked Babbler</v>
      </c>
      <c r="E147" s="3" t="str">
        <f>VLOOKUP(B147,LifeList!$E$2:$G$2038,2)</f>
        <v>Cratérope fléché</v>
      </c>
      <c r="F147" s="3" t="str">
        <f>VLOOKUP(B147,LifeList!$E$2:$G$2038,3)</f>
        <v>Turdoides jardineii</v>
      </c>
      <c r="G147" s="3" t="str">
        <f>VLOOKUP(B147,LifeList!$E$2:$I$2038,4)</f>
        <v>Passeriformes</v>
      </c>
      <c r="H147" s="3" t="str">
        <f>VLOOKUP(B147,LifeList!$E$2:$I$2038,5)</f>
        <v>Leiothrichidae (Laughingthrushes and Allies)</v>
      </c>
      <c r="I147" s="3"/>
    </row>
    <row r="148" spans="1:9" ht="10.5" customHeight="1">
      <c r="A148" s="3" t="s">
        <v>227</v>
      </c>
      <c r="B148" s="3" t="s">
        <v>228</v>
      </c>
      <c r="C148" s="3">
        <f>VLOOKUP(B148,LifeList!$E$2:$J$2038,6)</f>
        <v>27957</v>
      </c>
      <c r="D148" s="3" t="str">
        <f>VLOOKUP(B148,LifeList!$E$2:$G$2038,1)</f>
        <v>Ashy Starling</v>
      </c>
      <c r="E148" s="3" t="str">
        <f>VLOOKUP(B148,LifeList!$E$2:$G$2038,2)</f>
        <v>Choucador cendré</v>
      </c>
      <c r="F148" s="3" t="str">
        <f>VLOOKUP(B148,LifeList!$E$2:$G$2038,3)</f>
        <v>Lamprotornis unicolor</v>
      </c>
      <c r="G148" s="3" t="str">
        <f>VLOOKUP(B148,LifeList!$E$2:$I$2038,4)</f>
        <v>Passeriformes</v>
      </c>
      <c r="H148" s="3" t="str">
        <f>VLOOKUP(B148,LifeList!$E$2:$I$2038,5)</f>
        <v>Sturnidae (Starlings)</v>
      </c>
      <c r="I148" s="3"/>
    </row>
    <row r="149" spans="1:9" ht="10.5" customHeight="1">
      <c r="A149" s="3" t="s">
        <v>229</v>
      </c>
      <c r="B149" s="3" t="s">
        <v>230</v>
      </c>
      <c r="C149" s="3">
        <f>VLOOKUP(B149,LifeList!$E$2:$J$2038,6)</f>
        <v>6379</v>
      </c>
      <c r="D149" s="3" t="str">
        <f>VLOOKUP(B149,LifeList!$E$2:$G$2038,1)</f>
        <v>Atlantic Puffin</v>
      </c>
      <c r="E149" s="3" t="str">
        <f>VLOOKUP(B149,LifeList!$E$2:$G$2038,2)</f>
        <v>Macareux moine</v>
      </c>
      <c r="F149" s="3" t="str">
        <f>VLOOKUP(B149,LifeList!$E$2:$G$2038,3)</f>
        <v>Fratercula arctica</v>
      </c>
      <c r="G149" s="3" t="str">
        <f>VLOOKUP(B149,LifeList!$E$2:$I$2038,4)</f>
        <v>Charadriiformes</v>
      </c>
      <c r="H149" s="3" t="str">
        <f>VLOOKUP(B149,LifeList!$E$2:$I$2038,5)</f>
        <v>Alcidae (Auks, Murres, and Puffins)</v>
      </c>
      <c r="I149" s="3"/>
    </row>
    <row r="150" spans="1:9" ht="10.5" customHeight="1">
      <c r="A150" s="3" t="s">
        <v>231</v>
      </c>
      <c r="B150" s="3" t="s">
        <v>232</v>
      </c>
      <c r="C150" s="3">
        <f>VLOOKUP(B150,LifeList!$E$2:$J$2038,6)</f>
        <v>8538</v>
      </c>
      <c r="D150" s="3" t="str">
        <f>VLOOKUP(B150,LifeList!$E$2:$G$2038,1)</f>
        <v>Augur Buzzard</v>
      </c>
      <c r="E150" s="3" t="str">
        <f>VLOOKUP(B150,LifeList!$E$2:$G$2038,2)</f>
        <v>Buse augure</v>
      </c>
      <c r="F150" s="3" t="str">
        <f>VLOOKUP(B150,LifeList!$E$2:$G$2038,3)</f>
        <v>Buteo augur</v>
      </c>
      <c r="G150" s="3" t="str">
        <f>VLOOKUP(B150,LifeList!$E$2:$I$2038,4)</f>
        <v>Accipitriformes</v>
      </c>
      <c r="H150" s="3" t="str">
        <f>VLOOKUP(B150,LifeList!$E$2:$I$2038,5)</f>
        <v>Accipitridae (Hawks, Eagles, and Kites)</v>
      </c>
      <c r="I150" s="3"/>
    </row>
    <row r="151" spans="1:9" ht="10.5" customHeight="1">
      <c r="A151" s="7" t="s">
        <v>233</v>
      </c>
      <c r="B151" s="8" t="s">
        <v>234</v>
      </c>
      <c r="C151" s="3">
        <f>VLOOKUP(B151,LifeList!$E$2:$J$2038,6)</f>
        <v>8538</v>
      </c>
      <c r="D151" s="3" t="str">
        <f>VLOOKUP(B151,LifeList!$E$2:$G$2038,1)</f>
        <v>Augur Buzzard</v>
      </c>
      <c r="E151" s="3" t="str">
        <f>VLOOKUP(B151,LifeList!$E$2:$G$2038,2)</f>
        <v>Buse augure</v>
      </c>
      <c r="F151" s="3" t="str">
        <f>VLOOKUP(B151,LifeList!$E$2:$G$2038,3)</f>
        <v>Buteo augur</v>
      </c>
      <c r="G151" s="3" t="str">
        <f>VLOOKUP(B151,LifeList!$E$2:$I$2038,4)</f>
        <v>Accipitriformes</v>
      </c>
      <c r="H151" s="3" t="str">
        <f>VLOOKUP(B151,LifeList!$E$2:$I$2038,5)</f>
        <v>Accipitridae (Hawks, Eagles, and Kites)</v>
      </c>
      <c r="I151" s="3"/>
    </row>
    <row r="152" spans="1:9" ht="10.5" customHeight="1">
      <c r="A152" s="7" t="s">
        <v>235</v>
      </c>
      <c r="B152" s="9" t="s">
        <v>236</v>
      </c>
      <c r="C152" s="3">
        <f>VLOOKUP(B152,LifeList!$E$2:$J$2038,6)</f>
        <v>7375</v>
      </c>
      <c r="D152" s="3" t="str">
        <f>VLOOKUP(B152,LifeList!$E$2:$G$2038,1)</f>
        <v>Australasian Darter</v>
      </c>
      <c r="E152" s="3" t="str">
        <f>VLOOKUP(B152,LifeList!$E$2:$G$2038,2)</f>
        <v>Anhinga d'Australie</v>
      </c>
      <c r="F152" s="3" t="str">
        <f>VLOOKUP(B152,LifeList!$E$2:$G$2038,3)</f>
        <v>Anhinga novaehollandiae</v>
      </c>
      <c r="G152" s="3" t="str">
        <f>VLOOKUP(B152,LifeList!$E$2:$I$2038,4)</f>
        <v>Suliformes</v>
      </c>
      <c r="H152" s="3" t="str">
        <f>VLOOKUP(B152,LifeList!$E$2:$I$2038,5)</f>
        <v>Anhingidae (Anhingas)</v>
      </c>
      <c r="I152" s="3"/>
    </row>
    <row r="153" spans="1:9" ht="10.5" customHeight="1">
      <c r="A153" s="7" t="s">
        <v>237</v>
      </c>
      <c r="B153" s="9" t="s">
        <v>238</v>
      </c>
      <c r="C153" s="3">
        <f>VLOOKUP(B153,LifeList!$E$2:$J$2038,6)</f>
        <v>19708</v>
      </c>
      <c r="D153" s="3" t="str">
        <f>VLOOKUP(B153,LifeList!$E$2:$G$2038,1)</f>
        <v>Australasian Figbird</v>
      </c>
      <c r="E153" s="3" t="str">
        <f>VLOOKUP(B153,LifeList!$E$2:$G$2038,2)</f>
        <v>Sphécothère de Vieillot</v>
      </c>
      <c r="F153" s="3" t="str">
        <f>VLOOKUP(B153,LifeList!$E$2:$G$2038,3)</f>
        <v>Sphecotheres vieilloti</v>
      </c>
      <c r="G153" s="3" t="str">
        <f>VLOOKUP(B153,LifeList!$E$2:$I$2038,4)</f>
        <v>Passeriformes</v>
      </c>
      <c r="H153" s="3" t="str">
        <f>VLOOKUP(B153,LifeList!$E$2:$I$2038,5)</f>
        <v>Oriolidae (Old World Orioles)</v>
      </c>
      <c r="I153" s="3"/>
    </row>
    <row r="154" spans="1:9" ht="10.5" customHeight="1">
      <c r="A154" s="7" t="s">
        <v>239</v>
      </c>
      <c r="B154" s="9" t="s">
        <v>238</v>
      </c>
      <c r="C154" s="3">
        <f>VLOOKUP(B154,LifeList!$E$2:$J$2038,6)</f>
        <v>19708</v>
      </c>
      <c r="D154" s="3" t="str">
        <f>VLOOKUP(B154,LifeList!$E$2:$G$2038,1)</f>
        <v>Australasian Figbird</v>
      </c>
      <c r="E154" s="3" t="str">
        <f>VLOOKUP(B154,LifeList!$E$2:$G$2038,2)</f>
        <v>Sphécothère de Vieillot</v>
      </c>
      <c r="F154" s="3" t="str">
        <f>VLOOKUP(B154,LifeList!$E$2:$G$2038,3)</f>
        <v>Sphecotheres vieilloti</v>
      </c>
      <c r="G154" s="3" t="str">
        <f>VLOOKUP(B154,LifeList!$E$2:$I$2038,4)</f>
        <v>Passeriformes</v>
      </c>
      <c r="H154" s="3" t="str">
        <f>VLOOKUP(B154,LifeList!$E$2:$I$2038,5)</f>
        <v>Oriolidae (Old World Orioles)</v>
      </c>
      <c r="I154" s="3"/>
    </row>
    <row r="155" spans="1:9" ht="10.5" customHeight="1">
      <c r="A155" s="3" t="s">
        <v>240</v>
      </c>
      <c r="B155" s="3" t="s">
        <v>241</v>
      </c>
      <c r="C155" s="3">
        <f>VLOOKUP(B155,LifeList!$E$2:$J$2038,6)</f>
        <v>7335</v>
      </c>
      <c r="D155" s="3" t="str">
        <f>VLOOKUP(B155,LifeList!$E$2:$G$2038,1)</f>
        <v>Australasian Gannet</v>
      </c>
      <c r="E155" s="3" t="str">
        <f>VLOOKUP(B155,LifeList!$E$2:$G$2038,2)</f>
        <v>Fou austral</v>
      </c>
      <c r="F155" s="3" t="str">
        <f>VLOOKUP(B155,LifeList!$E$2:$G$2038,3)</f>
        <v>Morus serrator</v>
      </c>
      <c r="G155" s="3" t="str">
        <f>VLOOKUP(B155,LifeList!$E$2:$I$2038,4)</f>
        <v>Suliformes</v>
      </c>
      <c r="H155" s="3" t="str">
        <f>VLOOKUP(B155,LifeList!$E$2:$I$2038,5)</f>
        <v>Sulidae (Boobies and Gannets)</v>
      </c>
      <c r="I155" s="3"/>
    </row>
    <row r="156" spans="1:9" ht="10.5" customHeight="1">
      <c r="A156" s="3" t="s">
        <v>242</v>
      </c>
      <c r="B156" s="3" t="s">
        <v>241</v>
      </c>
      <c r="C156" s="3">
        <f>VLOOKUP(B156,LifeList!$E$2:$J$2038,6)</f>
        <v>7335</v>
      </c>
      <c r="D156" s="3" t="str">
        <f>VLOOKUP(B156,LifeList!$E$2:$G$2038,1)</f>
        <v>Australasian Gannet</v>
      </c>
      <c r="E156" s="3" t="str">
        <f>VLOOKUP(B156,LifeList!$E$2:$G$2038,2)</f>
        <v>Fou austral</v>
      </c>
      <c r="F156" s="3" t="str">
        <f>VLOOKUP(B156,LifeList!$E$2:$G$2038,3)</f>
        <v>Morus serrator</v>
      </c>
      <c r="G156" s="3" t="str">
        <f>VLOOKUP(B156,LifeList!$E$2:$I$2038,4)</f>
        <v>Suliformes</v>
      </c>
      <c r="H156" s="3" t="str">
        <f>VLOOKUP(B156,LifeList!$E$2:$I$2038,5)</f>
        <v>Sulidae (Boobies and Gannets)</v>
      </c>
      <c r="I156" s="3"/>
    </row>
    <row r="157" spans="1:9" ht="10.5" customHeight="1">
      <c r="A157" s="3" t="s">
        <v>243</v>
      </c>
      <c r="B157" s="3" t="s">
        <v>244</v>
      </c>
      <c r="C157" s="3">
        <f>VLOOKUP(B157,LifeList!$E$2:$J$2038,6)</f>
        <v>6840</v>
      </c>
      <c r="D157" s="3" t="str">
        <f>VLOOKUP(B157,LifeList!$E$2:$G$2038,1)</f>
        <v>Australasian Grebe</v>
      </c>
      <c r="E157" s="3" t="str">
        <f>VLOOKUP(B157,LifeList!$E$2:$G$2038,2)</f>
        <v>Grèbe australasien</v>
      </c>
      <c r="F157" s="3" t="str">
        <f>VLOOKUP(B157,LifeList!$E$2:$G$2038,3)</f>
        <v>Tachybaptus novaehollandiae</v>
      </c>
      <c r="G157" s="3" t="str">
        <f>VLOOKUP(B157,LifeList!$E$2:$I$2038,4)</f>
        <v>Podicipediformes</v>
      </c>
      <c r="H157" s="3" t="str">
        <f>VLOOKUP(B157,LifeList!$E$2:$I$2038,5)</f>
        <v>Podicipedidae (Grebes)</v>
      </c>
      <c r="I157" s="3"/>
    </row>
    <row r="158" spans="1:9" ht="10.5" customHeight="1">
      <c r="A158" s="7" t="s">
        <v>245</v>
      </c>
      <c r="B158" s="9" t="s">
        <v>246</v>
      </c>
      <c r="C158" s="3">
        <f>VLOOKUP(B158,LifeList!$E$2:$J$2038,6)</f>
        <v>498</v>
      </c>
      <c r="D158" s="3" t="str">
        <f>VLOOKUP(B158,LifeList!$E$2:$G$2038,1)</f>
        <v>Australasian Shoveler</v>
      </c>
      <c r="E158" s="3" t="str">
        <f>VLOOKUP(B158,LifeList!$E$2:$G$2038,2)</f>
        <v>Canard bridé</v>
      </c>
      <c r="F158" s="3" t="str">
        <f>VLOOKUP(B158,LifeList!$E$2:$G$2038,3)</f>
        <v>Spatula rhynchotis</v>
      </c>
      <c r="G158" s="3" t="str">
        <f>VLOOKUP(B158,LifeList!$E$2:$I$2038,4)</f>
        <v>Anseriformes</v>
      </c>
      <c r="H158" s="3" t="str">
        <f>VLOOKUP(B158,LifeList!$E$2:$I$2038,5)</f>
        <v>Anatidae (Ducks, Geese, and Waterfowl)</v>
      </c>
      <c r="I158" s="3"/>
    </row>
    <row r="159" spans="1:9" ht="10.5" customHeight="1">
      <c r="A159" s="3" t="s">
        <v>247</v>
      </c>
      <c r="B159" s="3" t="s">
        <v>248</v>
      </c>
      <c r="C159" s="3">
        <f>VLOOKUP(B159,LifeList!$E$2:$J$2038,6)</f>
        <v>5525</v>
      </c>
      <c r="D159" s="3" t="str">
        <f>VLOOKUP(B159,LifeList!$E$2:$G$2038,1)</f>
        <v>Australasian Swamphen</v>
      </c>
      <c r="E159" s="3" t="str">
        <f>VLOOKUP(B159,LifeList!$E$2:$G$2038,2)</f>
        <v>Talève australe</v>
      </c>
      <c r="F159" s="3" t="str">
        <f>VLOOKUP(B159,LifeList!$E$2:$G$2038,3)</f>
        <v>Porphyrio melanotus</v>
      </c>
      <c r="G159" s="3" t="str">
        <f>VLOOKUP(B159,LifeList!$E$2:$I$2038,4)</f>
        <v>Gruiformes</v>
      </c>
      <c r="H159" s="3" t="str">
        <f>VLOOKUP(B159,LifeList!$E$2:$I$2038,5)</f>
        <v>Rallidae (Rails, Gallinules, and Coots)</v>
      </c>
      <c r="I159" s="3"/>
    </row>
    <row r="160" spans="1:9" ht="10.5" customHeight="1">
      <c r="A160" s="3" t="s">
        <v>249</v>
      </c>
      <c r="B160" s="3" t="s">
        <v>250</v>
      </c>
      <c r="C160" s="3">
        <f>VLOOKUP(B160,LifeList!$E$2:$J$2038,6)</f>
        <v>795</v>
      </c>
      <c r="D160" s="3" t="str">
        <f>VLOOKUP(B160,LifeList!$E$2:$G$2038,1)</f>
        <v>Australian Brushturkey</v>
      </c>
      <c r="E160" s="3" t="str">
        <f>VLOOKUP(B160,LifeList!$E$2:$G$2038,2)</f>
        <v>Talégalle de Latham</v>
      </c>
      <c r="F160" s="3" t="str">
        <f>VLOOKUP(B160,LifeList!$E$2:$G$2038,3)</f>
        <v>Alectura lathami</v>
      </c>
      <c r="G160" s="3" t="str">
        <f>VLOOKUP(B160,LifeList!$E$2:$I$2038,4)</f>
        <v>Galliformes</v>
      </c>
      <c r="H160" s="3" t="str">
        <f>VLOOKUP(B160,LifeList!$E$2:$I$2038,5)</f>
        <v>Megapodiidae (Megapodes)</v>
      </c>
      <c r="I160" s="3"/>
    </row>
    <row r="161" spans="1:9" ht="10.5" customHeight="1">
      <c r="A161" s="3" t="s">
        <v>251</v>
      </c>
      <c r="B161" s="3" t="s">
        <v>252</v>
      </c>
      <c r="C161" s="3">
        <f>VLOOKUP(B161,LifeList!$E$2:$J$2038,6)</f>
        <v>5457</v>
      </c>
      <c r="D161" s="3" t="str">
        <f>VLOOKUP(B161,LifeList!$E$2:$G$2038,1)</f>
        <v>Australian Crake</v>
      </c>
      <c r="E161" s="3" t="str">
        <f>VLOOKUP(B161,LifeList!$E$2:$G$2038,2)</f>
        <v>Marouette d'Australie</v>
      </c>
      <c r="F161" s="3" t="str">
        <f>VLOOKUP(B161,LifeList!$E$2:$G$2038,3)</f>
        <v>Porzana fluminea</v>
      </c>
      <c r="G161" s="3" t="str">
        <f>VLOOKUP(B161,LifeList!$E$2:$I$2038,4)</f>
        <v>Gruiformes</v>
      </c>
      <c r="H161" s="3" t="str">
        <f>VLOOKUP(B161,LifeList!$E$2:$I$2038,5)</f>
        <v>Rallidae (Rails, Gallinules, and Coots)</v>
      </c>
      <c r="I161" s="3"/>
    </row>
    <row r="162" spans="1:9" ht="10.5" customHeight="1">
      <c r="A162" s="7" t="s">
        <v>253</v>
      </c>
      <c r="B162" s="9" t="s">
        <v>254</v>
      </c>
      <c r="C162" s="3">
        <f>VLOOKUP(B162,LifeList!$E$2:$J$2038,6)</f>
        <v>12080</v>
      </c>
      <c r="D162" s="3" t="str">
        <f>VLOOKUP(B162,LifeList!$E$2:$G$2038,1)</f>
        <v>Australian Hobby</v>
      </c>
      <c r="E162" s="3" t="str">
        <f>VLOOKUP(B162,LifeList!$E$2:$G$2038,2)</f>
        <v>Petit Faucon</v>
      </c>
      <c r="F162" s="3" t="str">
        <f>VLOOKUP(B162,LifeList!$E$2:$G$2038,3)</f>
        <v>Falco longipennis</v>
      </c>
      <c r="G162" s="3" t="str">
        <f>VLOOKUP(B162,LifeList!$E$2:$I$2038,4)</f>
        <v>Falconiformes</v>
      </c>
      <c r="H162" s="3" t="str">
        <f>VLOOKUP(B162,LifeList!$E$2:$I$2038,5)</f>
        <v>Falconidae (Falcons and Caracaras)</v>
      </c>
      <c r="I162" s="3"/>
    </row>
    <row r="163" spans="1:9" ht="10.5" customHeight="1">
      <c r="A163" s="3" t="s">
        <v>255</v>
      </c>
      <c r="B163" s="3" t="s">
        <v>256</v>
      </c>
      <c r="C163" s="3">
        <f>VLOOKUP(B163,LifeList!$E$2:$J$2038,6)</f>
        <v>7498</v>
      </c>
      <c r="D163" s="3" t="str">
        <f>VLOOKUP(B163,LifeList!$E$2:$G$2038,1)</f>
        <v>Australian Ibis</v>
      </c>
      <c r="E163" s="3" t="str">
        <f>VLOOKUP(B163,LifeList!$E$2:$G$2038,2)</f>
        <v>Ibis à cou noir</v>
      </c>
      <c r="F163" s="3" t="str">
        <f>VLOOKUP(B163,LifeList!$E$2:$G$2038,3)</f>
        <v>Threskiornis molucca</v>
      </c>
      <c r="G163" s="3" t="str">
        <f>VLOOKUP(B163,LifeList!$E$2:$I$2038,4)</f>
        <v>Pelecaniformes</v>
      </c>
      <c r="H163" s="3" t="str">
        <f>VLOOKUP(B163,LifeList!$E$2:$I$2038,5)</f>
        <v>Threskiornithidae (Ibises and Spoonbills)</v>
      </c>
      <c r="I163" s="3"/>
    </row>
    <row r="164" spans="1:9" ht="10.5" customHeight="1">
      <c r="A164" s="3" t="s">
        <v>257</v>
      </c>
      <c r="B164" s="3" t="s">
        <v>258</v>
      </c>
      <c r="C164" s="3">
        <f>VLOOKUP(B164,LifeList!$E$2:$J$2038,6)</f>
        <v>12265</v>
      </c>
      <c r="D164" s="3" t="str">
        <f>VLOOKUP(B164,LifeList!$E$2:$G$2038,1)</f>
        <v>Australian King-Parrot</v>
      </c>
      <c r="E164" s="3" t="str">
        <f>VLOOKUP(B164,LifeList!$E$2:$G$2038,2)</f>
        <v>Perruche royale</v>
      </c>
      <c r="F164" s="3" t="str">
        <f>VLOOKUP(B164,LifeList!$E$2:$G$2038,3)</f>
        <v>Alisterus scapularis</v>
      </c>
      <c r="G164" s="3" t="str">
        <f>VLOOKUP(B164,LifeList!$E$2:$I$2038,4)</f>
        <v>Psittaciformes</v>
      </c>
      <c r="H164" s="3" t="str">
        <f>VLOOKUP(B164,LifeList!$E$2:$I$2038,5)</f>
        <v>Psittaculidae (Old World Parrots)</v>
      </c>
      <c r="I164" s="3"/>
    </row>
    <row r="165" spans="1:9" ht="10.5" customHeight="1">
      <c r="A165" s="3" t="s">
        <v>259</v>
      </c>
      <c r="B165" s="3" t="s">
        <v>258</v>
      </c>
      <c r="C165" s="3">
        <f>VLOOKUP(B165,LifeList!$E$2:$J$2038,6)</f>
        <v>12265</v>
      </c>
      <c r="D165" s="3" t="str">
        <f>VLOOKUP(B165,LifeList!$E$2:$G$2038,1)</f>
        <v>Australian King-Parrot</v>
      </c>
      <c r="E165" s="3" t="str">
        <f>VLOOKUP(B165,LifeList!$E$2:$G$2038,2)</f>
        <v>Perruche royale</v>
      </c>
      <c r="F165" s="3" t="str">
        <f>VLOOKUP(B165,LifeList!$E$2:$G$2038,3)</f>
        <v>Alisterus scapularis</v>
      </c>
      <c r="G165" s="3" t="str">
        <f>VLOOKUP(B165,LifeList!$E$2:$I$2038,4)</f>
        <v>Psittaciformes</v>
      </c>
      <c r="H165" s="3" t="str">
        <f>VLOOKUP(B165,LifeList!$E$2:$I$2038,5)</f>
        <v>Psittaculidae (Old World Parrots)</v>
      </c>
      <c r="I165" s="3"/>
    </row>
    <row r="166" spans="1:9" ht="10.5" customHeight="1">
      <c r="A166" s="3" t="s">
        <v>260</v>
      </c>
      <c r="B166" s="3" t="s">
        <v>261</v>
      </c>
      <c r="C166" s="3">
        <f>VLOOKUP(B166,LifeList!$E$2:$J$2038,6)</f>
        <v>19793</v>
      </c>
      <c r="D166" s="3" t="str">
        <f>VLOOKUP(B166,LifeList!$E$2:$G$2038,1)</f>
        <v>Australian Magpie</v>
      </c>
      <c r="E166" s="3" t="str">
        <f>VLOOKUP(B166,LifeList!$E$2:$G$2038,2)</f>
        <v>Cassican flûteur</v>
      </c>
      <c r="F166" s="3" t="str">
        <f>VLOOKUP(B166,LifeList!$E$2:$G$2038,3)</f>
        <v>Gymnorhina tibicen</v>
      </c>
      <c r="G166" s="3" t="str">
        <f>VLOOKUP(B166,LifeList!$E$2:$I$2038,4)</f>
        <v>Passeriformes</v>
      </c>
      <c r="H166" s="3" t="str">
        <f>VLOOKUP(B166,LifeList!$E$2:$I$2038,5)</f>
        <v>Artamidae (Woodswallows, Bellmagpies, and Allies)</v>
      </c>
      <c r="I166" s="3"/>
    </row>
    <row r="167" spans="1:9" ht="10.5" customHeight="1">
      <c r="A167" s="3" t="s">
        <v>262</v>
      </c>
      <c r="B167" s="3" t="s">
        <v>261</v>
      </c>
      <c r="C167" s="3">
        <f>VLOOKUP(B167,LifeList!$E$2:$J$2038,6)</f>
        <v>19793</v>
      </c>
      <c r="D167" s="3" t="str">
        <f>VLOOKUP(B167,LifeList!$E$2:$G$2038,1)</f>
        <v>Australian Magpie</v>
      </c>
      <c r="E167" s="3" t="str">
        <f>VLOOKUP(B167,LifeList!$E$2:$G$2038,2)</f>
        <v>Cassican flûteur</v>
      </c>
      <c r="F167" s="3" t="str">
        <f>VLOOKUP(B167,LifeList!$E$2:$G$2038,3)</f>
        <v>Gymnorhina tibicen</v>
      </c>
      <c r="G167" s="3" t="str">
        <f>VLOOKUP(B167,LifeList!$E$2:$I$2038,4)</f>
        <v>Passeriformes</v>
      </c>
      <c r="H167" s="3" t="str">
        <f>VLOOKUP(B167,LifeList!$E$2:$I$2038,5)</f>
        <v>Artamidae (Woodswallows, Bellmagpies, and Allies)</v>
      </c>
      <c r="I167" s="3"/>
    </row>
    <row r="168" spans="1:9" ht="10.5" customHeight="1">
      <c r="A168" s="7" t="s">
        <v>263</v>
      </c>
      <c r="B168" s="8" t="s">
        <v>264</v>
      </c>
      <c r="C168" s="3">
        <f>VLOOKUP(B168,LifeList!$E$2:$J$2038,6)</f>
        <v>3814</v>
      </c>
      <c r="D168" s="3" t="str">
        <f>VLOOKUP(B168,LifeList!$E$2:$G$2038,1)</f>
        <v>Australian Owlet-nightjar</v>
      </c>
      <c r="E168" s="3" t="str">
        <f>VLOOKUP(B168,LifeList!$E$2:$G$2038,2)</f>
        <v>Égothèle d'Australie</v>
      </c>
      <c r="F168" s="3" t="str">
        <f>VLOOKUP(B168,LifeList!$E$2:$G$2038,3)</f>
        <v>Aegotheles cristatus</v>
      </c>
      <c r="G168" s="3" t="str">
        <f>VLOOKUP(B168,LifeList!$E$2:$I$2038,4)</f>
        <v>Aegotheliformes</v>
      </c>
      <c r="H168" s="3" t="str">
        <f>VLOOKUP(B168,LifeList!$E$2:$I$2038,5)</f>
        <v>Aegothelidae (Owlet-nightjars)</v>
      </c>
      <c r="I168" s="3"/>
    </row>
    <row r="169" spans="1:9" ht="10.5" customHeight="1">
      <c r="A169" s="3" t="s">
        <v>265</v>
      </c>
      <c r="B169" s="3" t="s">
        <v>266</v>
      </c>
      <c r="C169" s="3">
        <f>VLOOKUP(B169,LifeList!$E$2:$J$2038,6)</f>
        <v>7801</v>
      </c>
      <c r="D169" s="3" t="str">
        <f>VLOOKUP(B169,LifeList!$E$2:$G$2038,1)</f>
        <v>Australian Pelican</v>
      </c>
      <c r="E169" s="3" t="str">
        <f>VLOOKUP(B169,LifeList!$E$2:$G$2038,2)</f>
        <v>Pélican à lunettes</v>
      </c>
      <c r="F169" s="3" t="str">
        <f>VLOOKUP(B169,LifeList!$E$2:$G$2038,3)</f>
        <v>Pelecanus conspicillatus</v>
      </c>
      <c r="G169" s="3" t="str">
        <f>VLOOKUP(B169,LifeList!$E$2:$I$2038,4)</f>
        <v>Pelecaniformes</v>
      </c>
      <c r="H169" s="3" t="str">
        <f>VLOOKUP(B169,LifeList!$E$2:$I$2038,5)</f>
        <v>Pelecanidae (Pelicans)</v>
      </c>
      <c r="I169" s="3"/>
    </row>
    <row r="170" spans="1:9" ht="10.5" customHeight="1">
      <c r="A170" s="3" t="s">
        <v>267</v>
      </c>
      <c r="B170" s="3" t="s">
        <v>266</v>
      </c>
      <c r="C170" s="3">
        <f>VLOOKUP(B170,LifeList!$E$2:$J$2038,6)</f>
        <v>7801</v>
      </c>
      <c r="D170" s="3" t="str">
        <f>VLOOKUP(B170,LifeList!$E$2:$G$2038,1)</f>
        <v>Australian Pelican</v>
      </c>
      <c r="E170" s="3" t="str">
        <f>VLOOKUP(B170,LifeList!$E$2:$G$2038,2)</f>
        <v>Pélican à lunettes</v>
      </c>
      <c r="F170" s="3" t="str">
        <f>VLOOKUP(B170,LifeList!$E$2:$G$2038,3)</f>
        <v>Pelecanus conspicillatus</v>
      </c>
      <c r="G170" s="3" t="str">
        <f>VLOOKUP(B170,LifeList!$E$2:$I$2038,4)</f>
        <v>Pelecaniformes</v>
      </c>
      <c r="H170" s="3" t="str">
        <f>VLOOKUP(B170,LifeList!$E$2:$I$2038,5)</f>
        <v>Pelecanidae (Pelicans)</v>
      </c>
      <c r="I170" s="3"/>
    </row>
    <row r="171" spans="1:9" ht="10.5" customHeight="1">
      <c r="A171" s="3" t="s">
        <v>268</v>
      </c>
      <c r="B171" s="3" t="s">
        <v>269</v>
      </c>
      <c r="C171" s="3">
        <f>VLOOKUP(B171,LifeList!$E$2:$J$2038,6)</f>
        <v>31738</v>
      </c>
      <c r="D171" s="3" t="str">
        <f>VLOOKUP(B171,LifeList!$E$2:$G$2038,1)</f>
        <v>Australian Pipit</v>
      </c>
      <c r="E171" s="3" t="str">
        <f>VLOOKUP(B171,LifeList!$E$2:$G$2038,2)</f>
        <v>Pipit d'Australie</v>
      </c>
      <c r="F171" s="3" t="str">
        <f>VLOOKUP(B171,LifeList!$E$2:$G$2038,3)</f>
        <v>Anthus australis</v>
      </c>
      <c r="G171" s="3" t="str">
        <f>VLOOKUP(B171,LifeList!$E$2:$I$2038,4)</f>
        <v>Passeriformes</v>
      </c>
      <c r="H171" s="3" t="str">
        <f>VLOOKUP(B171,LifeList!$E$2:$I$2038,5)</f>
        <v>Motacillidae (Wagtails and Pipits)</v>
      </c>
      <c r="I171" s="3"/>
    </row>
    <row r="172" spans="1:9" ht="10.5" customHeight="1">
      <c r="A172" s="3" t="s">
        <v>270</v>
      </c>
      <c r="B172" s="3" t="s">
        <v>269</v>
      </c>
      <c r="C172" s="3">
        <f>VLOOKUP(B172,LifeList!$E$2:$J$2038,6)</f>
        <v>31738</v>
      </c>
      <c r="D172" s="3" t="str">
        <f>VLOOKUP(B172,LifeList!$E$2:$G$2038,1)</f>
        <v>Australian Pipit</v>
      </c>
      <c r="E172" s="3" t="str">
        <f>VLOOKUP(B172,LifeList!$E$2:$G$2038,2)</f>
        <v>Pipit d'Australie</v>
      </c>
      <c r="F172" s="3" t="str">
        <f>VLOOKUP(B172,LifeList!$E$2:$G$2038,3)</f>
        <v>Anthus australis</v>
      </c>
      <c r="G172" s="3" t="str">
        <f>VLOOKUP(B172,LifeList!$E$2:$I$2038,4)</f>
        <v>Passeriformes</v>
      </c>
      <c r="H172" s="3" t="str">
        <f>VLOOKUP(B172,LifeList!$E$2:$I$2038,5)</f>
        <v>Motacillidae (Wagtails and Pipits)</v>
      </c>
      <c r="I172" s="3"/>
    </row>
    <row r="173" spans="1:9" ht="10.5" customHeight="1">
      <c r="A173" s="7" t="s">
        <v>271</v>
      </c>
      <c r="B173" s="9" t="s">
        <v>272</v>
      </c>
      <c r="C173" s="3">
        <f>VLOOKUP(B173,LifeList!$E$2:$J$2038,6)</f>
        <v>6343</v>
      </c>
      <c r="D173" s="3" t="str">
        <f>VLOOKUP(B173,LifeList!$E$2:$G$2038,1)</f>
        <v>Australian Pratincole</v>
      </c>
      <c r="E173" s="3" t="str">
        <f>VLOOKUP(B173,LifeList!$E$2:$G$2038,2)</f>
        <v>Glaréole isabelle</v>
      </c>
      <c r="F173" s="3" t="str">
        <f>VLOOKUP(B173,LifeList!$E$2:$G$2038,3)</f>
        <v>Glareola isabella</v>
      </c>
      <c r="G173" s="3" t="str">
        <f>VLOOKUP(B173,LifeList!$E$2:$I$2038,4)</f>
        <v>Charadriiformes</v>
      </c>
      <c r="H173" s="3" t="str">
        <f>VLOOKUP(B173,LifeList!$E$2:$I$2038,5)</f>
        <v>Glareolidae (Pratincoles and Coursers)</v>
      </c>
      <c r="I173" s="3"/>
    </row>
    <row r="174" spans="1:9" ht="10.5" customHeight="1">
      <c r="A174" s="7" t="s">
        <v>273</v>
      </c>
      <c r="B174" s="9" t="s">
        <v>272</v>
      </c>
      <c r="C174" s="3">
        <f>VLOOKUP(B174,LifeList!$E$2:$J$2038,6)</f>
        <v>6343</v>
      </c>
      <c r="D174" s="3" t="str">
        <f>VLOOKUP(B174,LifeList!$E$2:$G$2038,1)</f>
        <v>Australian Pratincole</v>
      </c>
      <c r="E174" s="3" t="str">
        <f>VLOOKUP(B174,LifeList!$E$2:$G$2038,2)</f>
        <v>Glaréole isabelle</v>
      </c>
      <c r="F174" s="3" t="str">
        <f>VLOOKUP(B174,LifeList!$E$2:$G$2038,3)</f>
        <v>Glareola isabella</v>
      </c>
      <c r="G174" s="3" t="str">
        <f>VLOOKUP(B174,LifeList!$E$2:$I$2038,4)</f>
        <v>Charadriiformes</v>
      </c>
      <c r="H174" s="3" t="str">
        <f>VLOOKUP(B174,LifeList!$E$2:$I$2038,5)</f>
        <v>Glareolidae (Pratincoles and Coursers)</v>
      </c>
      <c r="I174" s="3"/>
    </row>
    <row r="175" spans="1:9" ht="10.5" customHeight="1">
      <c r="A175" s="7" t="s">
        <v>274</v>
      </c>
      <c r="B175" s="9" t="s">
        <v>275</v>
      </c>
      <c r="C175" s="3">
        <f>VLOOKUP(B175,LifeList!$E$2:$J$2038,6)</f>
        <v>21608</v>
      </c>
      <c r="D175" s="3" t="str">
        <f>VLOOKUP(B175,LifeList!$E$2:$G$2038,1)</f>
        <v>Australian Raven</v>
      </c>
      <c r="E175" s="3" t="str">
        <f>VLOOKUP(B175,LifeList!$E$2:$G$2038,2)</f>
        <v>Corbeau d'Australie</v>
      </c>
      <c r="F175" s="3" t="str">
        <f>VLOOKUP(B175,LifeList!$E$2:$G$2038,3)</f>
        <v>Corvus coronoides</v>
      </c>
      <c r="G175" s="3" t="str">
        <f>VLOOKUP(B175,LifeList!$E$2:$I$2038,4)</f>
        <v>Passeriformes</v>
      </c>
      <c r="H175" s="3" t="str">
        <f>VLOOKUP(B175,LifeList!$E$2:$I$2038,5)</f>
        <v>Corvidae (Crows, Jays, and Magpies)</v>
      </c>
      <c r="I175" s="3"/>
    </row>
    <row r="176" spans="1:9" ht="10.5" customHeight="1">
      <c r="A176" s="3" t="s">
        <v>276</v>
      </c>
      <c r="B176" s="3" t="s">
        <v>277</v>
      </c>
      <c r="C176" s="3">
        <f>VLOOKUP(B176,LifeList!$E$2:$J$2038,6)</f>
        <v>23728</v>
      </c>
      <c r="D176" s="3" t="str">
        <f>VLOOKUP(B176,LifeList!$E$2:$G$2038,1)</f>
        <v>Australian Reed Warbler</v>
      </c>
      <c r="E176" s="3" t="str">
        <f>VLOOKUP(B176,LifeList!$E$2:$G$2038,2)</f>
        <v>Rousserolle d'Australie</v>
      </c>
      <c r="F176" s="3" t="str">
        <f>VLOOKUP(B176,LifeList!$E$2:$G$2038,3)</f>
        <v>Acrocephalus australis</v>
      </c>
      <c r="G176" s="3" t="str">
        <f>VLOOKUP(B176,LifeList!$E$2:$I$2038,4)</f>
        <v>Passeriformes</v>
      </c>
      <c r="H176" s="3" t="str">
        <f>VLOOKUP(B176,LifeList!$E$2:$I$2038,5)</f>
        <v>Acrocephalidae (Reed Warblers and Allies)</v>
      </c>
      <c r="I176" s="3"/>
    </row>
    <row r="177" spans="1:9" ht="10.5" customHeight="1">
      <c r="A177" s="7" t="s">
        <v>278</v>
      </c>
      <c r="B177" s="9" t="s">
        <v>279</v>
      </c>
      <c r="C177" s="3">
        <f>VLOOKUP(B177,LifeList!$E$2:$J$2038,6)</f>
        <v>12472</v>
      </c>
      <c r="D177" s="3" t="str">
        <f>VLOOKUP(B177,LifeList!$E$2:$G$2038,1)</f>
        <v>Australian Ringneck</v>
      </c>
      <c r="E177" s="3" t="str">
        <f>VLOOKUP(B177,LifeList!$E$2:$G$2038,2)</f>
        <v>Perruche à col jaune</v>
      </c>
      <c r="F177" s="3" t="str">
        <f>VLOOKUP(B177,LifeList!$E$2:$G$2038,3)</f>
        <v>Barnardius zonarius</v>
      </c>
      <c r="G177" s="3" t="str">
        <f>VLOOKUP(B177,LifeList!$E$2:$I$2038,4)</f>
        <v>Psittaciformes</v>
      </c>
      <c r="H177" s="3" t="str">
        <f>VLOOKUP(B177,LifeList!$E$2:$I$2038,5)</f>
        <v>Psittaculidae (Old World Parrots)</v>
      </c>
      <c r="I177" s="3"/>
    </row>
    <row r="178" spans="1:9" ht="10.5" customHeight="1">
      <c r="A178" s="7" t="s">
        <v>280</v>
      </c>
      <c r="B178" s="9" t="s">
        <v>279</v>
      </c>
      <c r="C178" s="3">
        <f>VLOOKUP(B178,LifeList!$E$2:$J$2038,6)</f>
        <v>12472</v>
      </c>
      <c r="D178" s="3" t="str">
        <f>VLOOKUP(B178,LifeList!$E$2:$G$2038,1)</f>
        <v>Australian Ringneck</v>
      </c>
      <c r="E178" s="3" t="str">
        <f>VLOOKUP(B178,LifeList!$E$2:$G$2038,2)</f>
        <v>Perruche à col jaune</v>
      </c>
      <c r="F178" s="3" t="str">
        <f>VLOOKUP(B178,LifeList!$E$2:$G$2038,3)</f>
        <v>Barnardius zonarius</v>
      </c>
      <c r="G178" s="3" t="str">
        <f>VLOOKUP(B178,LifeList!$E$2:$I$2038,4)</f>
        <v>Psittaciformes</v>
      </c>
      <c r="H178" s="3" t="str">
        <f>VLOOKUP(B178,LifeList!$E$2:$I$2038,5)</f>
        <v>Psittaculidae (Old World Parrots)</v>
      </c>
      <c r="I178" s="3"/>
    </row>
    <row r="179" spans="1:9" ht="10.5" customHeight="1">
      <c r="A179" s="3" t="s">
        <v>281</v>
      </c>
      <c r="B179" s="3" t="s">
        <v>282</v>
      </c>
      <c r="C179" s="3">
        <f>VLOOKUP(B179,LifeList!$E$2:$J$2038,6)</f>
        <v>20338</v>
      </c>
      <c r="D179" s="3" t="str">
        <f>VLOOKUP(B179,LifeList!$E$2:$G$2038,1)</f>
        <v>Australian Rufous Fantail</v>
      </c>
      <c r="E179" s="3" t="str">
        <f>VLOOKUP(B179,LifeList!$E$2:$G$2038,2)</f>
        <v>Rhipidure roux</v>
      </c>
      <c r="F179" s="3" t="str">
        <f>VLOOKUP(B179,LifeList!$E$2:$G$2038,3)</f>
        <v>Rhipidura rufifrons</v>
      </c>
      <c r="G179" s="3" t="str">
        <f>VLOOKUP(B179,LifeList!$E$2:$I$2038,4)</f>
        <v>Passeriformes</v>
      </c>
      <c r="H179" s="3" t="str">
        <f>VLOOKUP(B179,LifeList!$E$2:$I$2038,5)</f>
        <v>Rhipiduridae (Fantails)</v>
      </c>
      <c r="I179" s="3"/>
    </row>
    <row r="180" spans="1:9" ht="10.5" customHeight="1">
      <c r="A180" s="3" t="s">
        <v>283</v>
      </c>
      <c r="B180" s="3" t="s">
        <v>284</v>
      </c>
      <c r="C180" s="3">
        <f>VLOOKUP(B180,LifeList!$E$2:$J$2038,6)</f>
        <v>424</v>
      </c>
      <c r="D180" s="3" t="str">
        <f>VLOOKUP(B180,LifeList!$E$2:$G$2038,1)</f>
        <v>Australian Shelduck</v>
      </c>
      <c r="E180" s="3" t="str">
        <f>VLOOKUP(B180,LifeList!$E$2:$G$2038,2)</f>
        <v>Tadorne d'Australie</v>
      </c>
      <c r="F180" s="3" t="str">
        <f>VLOOKUP(B180,LifeList!$E$2:$G$2038,3)</f>
        <v>Tadorna tadornoides</v>
      </c>
      <c r="G180" s="3" t="str">
        <f>VLOOKUP(B180,LifeList!$E$2:$I$2038,4)</f>
        <v>Anseriformes</v>
      </c>
      <c r="H180" s="3" t="str">
        <f>VLOOKUP(B180,LifeList!$E$2:$I$2038,5)</f>
        <v>Anatidae (Ducks, Geese, and Waterfowl)</v>
      </c>
      <c r="I180" s="3"/>
    </row>
    <row r="181" spans="1:9" ht="10.5" customHeight="1">
      <c r="A181" s="3" t="s">
        <v>285</v>
      </c>
      <c r="B181" s="3" t="s">
        <v>286</v>
      </c>
      <c r="C181" s="3">
        <f>VLOOKUP(B181,LifeList!$E$2:$J$2038,6)</f>
        <v>8367</v>
      </c>
      <c r="D181" s="3" t="str">
        <f>VLOOKUP(B181,LifeList!$E$2:$G$2038,1)</f>
        <v>Bald Eagle</v>
      </c>
      <c r="E181" s="3" t="str">
        <f>VLOOKUP(B181,LifeList!$E$2:$G$2038,2)</f>
        <v>Pygargue à tête blanche</v>
      </c>
      <c r="F181" s="3" t="str">
        <f>VLOOKUP(B181,LifeList!$E$2:$G$2038,3)</f>
        <v>Haliaeetus leucocephalus</v>
      </c>
      <c r="G181" s="3" t="str">
        <f>VLOOKUP(B181,LifeList!$E$2:$I$2038,4)</f>
        <v>Accipitriformes</v>
      </c>
      <c r="H181" s="3" t="str">
        <f>VLOOKUP(B181,LifeList!$E$2:$I$2038,5)</f>
        <v>Accipitridae (Hawks, Eagles, and Kites)</v>
      </c>
      <c r="I181" s="3"/>
    </row>
    <row r="182" spans="1:9" ht="10.5" customHeight="1">
      <c r="A182" s="3" t="s">
        <v>287</v>
      </c>
      <c r="B182" s="3" t="s">
        <v>286</v>
      </c>
      <c r="C182" s="3">
        <f>VLOOKUP(B182,LifeList!$E$2:$J$2038,6)</f>
        <v>8367</v>
      </c>
      <c r="D182" s="3" t="str">
        <f>VLOOKUP(B182,LifeList!$E$2:$G$2038,1)</f>
        <v>Bald Eagle</v>
      </c>
      <c r="E182" s="3" t="str">
        <f>VLOOKUP(B182,LifeList!$E$2:$G$2038,2)</f>
        <v>Pygargue à tête blanche</v>
      </c>
      <c r="F182" s="3" t="str">
        <f>VLOOKUP(B182,LifeList!$E$2:$G$2038,3)</f>
        <v>Haliaeetus leucocephalus</v>
      </c>
      <c r="G182" s="3" t="str">
        <f>VLOOKUP(B182,LifeList!$E$2:$I$2038,4)</f>
        <v>Accipitriformes</v>
      </c>
      <c r="H182" s="3" t="str">
        <f>VLOOKUP(B182,LifeList!$E$2:$I$2038,5)</f>
        <v>Accipitridae (Hawks, Eagles, and Kites)</v>
      </c>
      <c r="I182" s="3"/>
    </row>
    <row r="183" spans="1:9" ht="10.5" customHeight="1">
      <c r="A183" s="3" t="s">
        <v>288</v>
      </c>
      <c r="B183" s="3" t="s">
        <v>286</v>
      </c>
      <c r="C183" s="3">
        <f>VLOOKUP(B183,LifeList!$E$2:$J$2038,6)</f>
        <v>8367</v>
      </c>
      <c r="D183" s="3" t="str">
        <f>VLOOKUP(B183,LifeList!$E$2:$G$2038,1)</f>
        <v>Bald Eagle</v>
      </c>
      <c r="E183" s="3" t="str">
        <f>VLOOKUP(B183,LifeList!$E$2:$G$2038,2)</f>
        <v>Pygargue à tête blanche</v>
      </c>
      <c r="F183" s="3" t="str">
        <f>VLOOKUP(B183,LifeList!$E$2:$G$2038,3)</f>
        <v>Haliaeetus leucocephalus</v>
      </c>
      <c r="G183" s="3" t="str">
        <f>VLOOKUP(B183,LifeList!$E$2:$I$2038,4)</f>
        <v>Accipitriformes</v>
      </c>
      <c r="H183" s="3" t="str">
        <f>VLOOKUP(B183,LifeList!$E$2:$I$2038,5)</f>
        <v>Accipitridae (Hawks, Eagles, and Kites)</v>
      </c>
      <c r="I183" s="3"/>
    </row>
    <row r="184" spans="1:9" ht="10.5" customHeight="1">
      <c r="A184" s="3" t="s">
        <v>289</v>
      </c>
      <c r="B184" s="3" t="s">
        <v>286</v>
      </c>
      <c r="C184" s="3">
        <f>VLOOKUP(B184,LifeList!$E$2:$J$2038,6)</f>
        <v>8367</v>
      </c>
      <c r="D184" s="3" t="str">
        <f>VLOOKUP(B184,LifeList!$E$2:$G$2038,1)</f>
        <v>Bald Eagle</v>
      </c>
      <c r="E184" s="3" t="str">
        <f>VLOOKUP(B184,LifeList!$E$2:$G$2038,2)</f>
        <v>Pygargue à tête blanche</v>
      </c>
      <c r="F184" s="3" t="str">
        <f>VLOOKUP(B184,LifeList!$E$2:$G$2038,3)</f>
        <v>Haliaeetus leucocephalus</v>
      </c>
      <c r="G184" s="3" t="str">
        <f>VLOOKUP(B184,LifeList!$E$2:$I$2038,4)</f>
        <v>Accipitriformes</v>
      </c>
      <c r="H184" s="3" t="str">
        <f>VLOOKUP(B184,LifeList!$E$2:$I$2038,5)</f>
        <v>Accipitridae (Hawks, Eagles, and Kites)</v>
      </c>
      <c r="I184" s="3"/>
    </row>
    <row r="185" spans="1:9" ht="10.5" customHeight="1">
      <c r="A185" s="3" t="s">
        <v>290</v>
      </c>
      <c r="B185" s="3" t="s">
        <v>286</v>
      </c>
      <c r="C185" s="3">
        <f>VLOOKUP(B185,LifeList!$E$2:$J$2038,6)</f>
        <v>8367</v>
      </c>
      <c r="D185" s="3" t="str">
        <f>VLOOKUP(B185,LifeList!$E$2:$G$2038,1)</f>
        <v>Bald Eagle</v>
      </c>
      <c r="E185" s="3" t="str">
        <f>VLOOKUP(B185,LifeList!$E$2:$G$2038,2)</f>
        <v>Pygargue à tête blanche</v>
      </c>
      <c r="F185" s="3" t="str">
        <f>VLOOKUP(B185,LifeList!$E$2:$G$2038,3)</f>
        <v>Haliaeetus leucocephalus</v>
      </c>
      <c r="G185" s="3" t="str">
        <f>VLOOKUP(B185,LifeList!$E$2:$I$2038,4)</f>
        <v>Accipitriformes</v>
      </c>
      <c r="H185" s="3" t="str">
        <f>VLOOKUP(B185,LifeList!$E$2:$I$2038,5)</f>
        <v>Accipitridae (Hawks, Eagles, and Kites)</v>
      </c>
      <c r="I185" s="3"/>
    </row>
    <row r="186" spans="1:9" ht="10.5" customHeight="1">
      <c r="A186" s="3" t="s">
        <v>291</v>
      </c>
      <c r="B186" s="3" t="s">
        <v>286</v>
      </c>
      <c r="C186" s="3">
        <f>VLOOKUP(B186,LifeList!$E$2:$J$2038,6)</f>
        <v>8367</v>
      </c>
      <c r="D186" s="3" t="str">
        <f>VLOOKUP(B186,LifeList!$E$2:$G$2038,1)</f>
        <v>Bald Eagle</v>
      </c>
      <c r="E186" s="3" t="str">
        <f>VLOOKUP(B186,LifeList!$E$2:$G$2038,2)</f>
        <v>Pygargue à tête blanche</v>
      </c>
      <c r="F186" s="3" t="str">
        <f>VLOOKUP(B186,LifeList!$E$2:$G$2038,3)</f>
        <v>Haliaeetus leucocephalus</v>
      </c>
      <c r="G186" s="3" t="str">
        <f>VLOOKUP(B186,LifeList!$E$2:$I$2038,4)</f>
        <v>Accipitriformes</v>
      </c>
      <c r="H186" s="3" t="str">
        <f>VLOOKUP(B186,LifeList!$E$2:$I$2038,5)</f>
        <v>Accipitridae (Hawks, Eagles, and Kites)</v>
      </c>
      <c r="I186" s="3"/>
    </row>
    <row r="187" spans="1:9" ht="10.5" customHeight="1">
      <c r="A187" s="5" t="s">
        <v>292</v>
      </c>
      <c r="B187" s="3" t="s">
        <v>293</v>
      </c>
      <c r="C187" s="3">
        <f>VLOOKUP(B187,LifeList!$E$2:$J$2038,6)</f>
        <v>33770</v>
      </c>
      <c r="D187" s="3" t="str">
        <f>VLOOKUP(B187,LifeList!$E$2:$G$2038,1)</f>
        <v>Baltimore Oriole</v>
      </c>
      <c r="E187" s="3" t="str">
        <f>VLOOKUP(B187,LifeList!$E$2:$G$2038,2)</f>
        <v>Oriole de Baltimore</v>
      </c>
      <c r="F187" s="3" t="str">
        <f>VLOOKUP(B187,LifeList!$E$2:$G$2038,3)</f>
        <v>Icterus galbula</v>
      </c>
      <c r="G187" s="3" t="str">
        <f>VLOOKUP(B187,LifeList!$E$2:$I$2038,4)</f>
        <v>Passeriformes</v>
      </c>
      <c r="H187" s="3" t="str">
        <f>VLOOKUP(B187,LifeList!$E$2:$I$2038,5)</f>
        <v>Icteridae (Troupials and Allies)</v>
      </c>
      <c r="I187" s="3"/>
    </row>
    <row r="188" spans="1:9" ht="10.5" customHeight="1">
      <c r="A188" s="3" t="s">
        <v>294</v>
      </c>
      <c r="B188" s="3" t="s">
        <v>295</v>
      </c>
      <c r="C188" s="3">
        <f>VLOOKUP(B188,LifeList!$E$2:$J$2038,6)</f>
        <v>33770</v>
      </c>
      <c r="D188" s="3" t="str">
        <f>VLOOKUP(B188,LifeList!$E$2:$G$2038,1)</f>
        <v>Baltimore Oriole</v>
      </c>
      <c r="E188" s="3" t="str">
        <f>VLOOKUP(B188,LifeList!$E$2:$G$2038,2)</f>
        <v>Oriole de Baltimore</v>
      </c>
      <c r="F188" s="3" t="str">
        <f>VLOOKUP(B188,LifeList!$E$2:$G$2038,3)</f>
        <v>Icterus galbula</v>
      </c>
      <c r="G188" s="3" t="str">
        <f>VLOOKUP(B188,LifeList!$E$2:$I$2038,4)</f>
        <v>Passeriformes</v>
      </c>
      <c r="H188" s="3" t="str">
        <f>VLOOKUP(B188,LifeList!$E$2:$I$2038,5)</f>
        <v>Icteridae (Troupials and Allies)</v>
      </c>
      <c r="I188" s="3"/>
    </row>
    <row r="189" spans="1:9" ht="10.5" customHeight="1">
      <c r="A189" s="3" t="s">
        <v>296</v>
      </c>
      <c r="B189" s="3" t="s">
        <v>295</v>
      </c>
      <c r="C189" s="3">
        <f>VLOOKUP(B189,LifeList!$E$2:$J$2038,6)</f>
        <v>33770</v>
      </c>
      <c r="D189" s="3" t="str">
        <f>VLOOKUP(B189,LifeList!$E$2:$G$2038,1)</f>
        <v>Baltimore Oriole</v>
      </c>
      <c r="E189" s="3" t="str">
        <f>VLOOKUP(B189,LifeList!$E$2:$G$2038,2)</f>
        <v>Oriole de Baltimore</v>
      </c>
      <c r="F189" s="3" t="str">
        <f>VLOOKUP(B189,LifeList!$E$2:$G$2038,3)</f>
        <v>Icterus galbula</v>
      </c>
      <c r="G189" s="3" t="str">
        <f>VLOOKUP(B189,LifeList!$E$2:$I$2038,4)</f>
        <v>Passeriformes</v>
      </c>
      <c r="H189" s="3" t="str">
        <f>VLOOKUP(B189,LifeList!$E$2:$I$2038,5)</f>
        <v>Icteridae (Troupials and Allies)</v>
      </c>
      <c r="I189" s="3"/>
    </row>
    <row r="190" spans="1:9" ht="10.5" customHeight="1">
      <c r="A190" s="3" t="s">
        <v>297</v>
      </c>
      <c r="B190" s="3" t="s">
        <v>295</v>
      </c>
      <c r="C190" s="3">
        <f>VLOOKUP(B190,LifeList!$E$2:$J$2038,6)</f>
        <v>33770</v>
      </c>
      <c r="D190" s="3" t="str">
        <f>VLOOKUP(B190,LifeList!$E$2:$G$2038,1)</f>
        <v>Baltimore Oriole</v>
      </c>
      <c r="E190" s="3" t="str">
        <f>VLOOKUP(B190,LifeList!$E$2:$G$2038,2)</f>
        <v>Oriole de Baltimore</v>
      </c>
      <c r="F190" s="3" t="str">
        <f>VLOOKUP(B190,LifeList!$E$2:$G$2038,3)</f>
        <v>Icterus galbula</v>
      </c>
      <c r="G190" s="3" t="str">
        <f>VLOOKUP(B190,LifeList!$E$2:$I$2038,4)</f>
        <v>Passeriformes</v>
      </c>
      <c r="H190" s="3" t="str">
        <f>VLOOKUP(B190,LifeList!$E$2:$I$2038,5)</f>
        <v>Icteridae (Troupials and Allies)</v>
      </c>
      <c r="I190" s="3"/>
    </row>
    <row r="191" spans="1:9" ht="10.5" customHeight="1">
      <c r="A191" s="3" t="s">
        <v>298</v>
      </c>
      <c r="B191" s="3" t="s">
        <v>295</v>
      </c>
      <c r="C191" s="3">
        <f>VLOOKUP(B191,LifeList!$E$2:$J$2038,6)</f>
        <v>33770</v>
      </c>
      <c r="D191" s="3" t="str">
        <f>VLOOKUP(B191,LifeList!$E$2:$G$2038,1)</f>
        <v>Baltimore Oriole</v>
      </c>
      <c r="E191" s="3" t="str">
        <f>VLOOKUP(B191,LifeList!$E$2:$G$2038,2)</f>
        <v>Oriole de Baltimore</v>
      </c>
      <c r="F191" s="3" t="str">
        <f>VLOOKUP(B191,LifeList!$E$2:$G$2038,3)</f>
        <v>Icterus galbula</v>
      </c>
      <c r="G191" s="3" t="str">
        <f>VLOOKUP(B191,LifeList!$E$2:$I$2038,4)</f>
        <v>Passeriformes</v>
      </c>
      <c r="H191" s="3" t="str">
        <f>VLOOKUP(B191,LifeList!$E$2:$I$2038,5)</f>
        <v>Icteridae (Troupials and Allies)</v>
      </c>
      <c r="I191" s="3"/>
    </row>
    <row r="192" spans="1:9" ht="10.5" customHeight="1">
      <c r="A192" s="3" t="s">
        <v>299</v>
      </c>
      <c r="B192" s="3" t="s">
        <v>300</v>
      </c>
      <c r="C192" s="3">
        <f>VLOOKUP(B192,LifeList!$E$2:$J$2038,6)</f>
        <v>35644</v>
      </c>
      <c r="D192" s="3" t="str">
        <f>VLOOKUP(B192,LifeList!$E$2:$G$2038,1)</f>
        <v>Bananaquit</v>
      </c>
      <c r="E192" s="3" t="str">
        <f>VLOOKUP(B192,LifeList!$E$2:$G$2038,2)</f>
        <v>Sucrier à ventre jaune</v>
      </c>
      <c r="F192" s="3" t="str">
        <f>VLOOKUP(B192,LifeList!$E$2:$G$2038,3)</f>
        <v>Coereba flaveola</v>
      </c>
      <c r="G192" s="3" t="str">
        <f>VLOOKUP(B192,LifeList!$E$2:$I$2038,4)</f>
        <v>Passeriformes</v>
      </c>
      <c r="H192" s="3" t="str">
        <f>VLOOKUP(B192,LifeList!$E$2:$I$2038,5)</f>
        <v>Thraupidae (Tanagers and Allies)</v>
      </c>
      <c r="I192" s="3"/>
    </row>
    <row r="193" spans="1:9" ht="10.5" customHeight="1">
      <c r="A193" s="3" t="s">
        <v>301</v>
      </c>
      <c r="B193" s="3" t="s">
        <v>300</v>
      </c>
      <c r="C193" s="3">
        <f>VLOOKUP(B193,LifeList!$E$2:$J$2038,6)</f>
        <v>35644</v>
      </c>
      <c r="D193" s="3" t="str">
        <f>VLOOKUP(B193,LifeList!$E$2:$G$2038,1)</f>
        <v>Bananaquit</v>
      </c>
      <c r="E193" s="3" t="str">
        <f>VLOOKUP(B193,LifeList!$E$2:$G$2038,2)</f>
        <v>Sucrier à ventre jaune</v>
      </c>
      <c r="F193" s="3" t="str">
        <f>VLOOKUP(B193,LifeList!$E$2:$G$2038,3)</f>
        <v>Coereba flaveola</v>
      </c>
      <c r="G193" s="3" t="str">
        <f>VLOOKUP(B193,LifeList!$E$2:$I$2038,4)</f>
        <v>Passeriformes</v>
      </c>
      <c r="H193" s="3" t="str">
        <f>VLOOKUP(B193,LifeList!$E$2:$I$2038,5)</f>
        <v>Thraupidae (Tanagers and Allies)</v>
      </c>
      <c r="I193" s="3"/>
    </row>
    <row r="194" spans="1:9" ht="10.5" customHeight="1">
      <c r="A194" s="3" t="s">
        <v>302</v>
      </c>
      <c r="B194" s="3" t="s">
        <v>300</v>
      </c>
      <c r="C194" s="3">
        <f>VLOOKUP(B194,LifeList!$E$2:$J$2038,6)</f>
        <v>35644</v>
      </c>
      <c r="D194" s="3" t="str">
        <f>VLOOKUP(B194,LifeList!$E$2:$G$2038,1)</f>
        <v>Bananaquit</v>
      </c>
      <c r="E194" s="3" t="str">
        <f>VLOOKUP(B194,LifeList!$E$2:$G$2038,2)</f>
        <v>Sucrier à ventre jaune</v>
      </c>
      <c r="F194" s="3" t="str">
        <f>VLOOKUP(B194,LifeList!$E$2:$G$2038,3)</f>
        <v>Coereba flaveola</v>
      </c>
      <c r="G194" s="3" t="str">
        <f>VLOOKUP(B194,LifeList!$E$2:$I$2038,4)</f>
        <v>Passeriformes</v>
      </c>
      <c r="H194" s="3" t="str">
        <f>VLOOKUP(B194,LifeList!$E$2:$I$2038,5)</f>
        <v>Thraupidae (Tanagers and Allies)</v>
      </c>
      <c r="I194" s="3"/>
    </row>
    <row r="195" spans="1:9" ht="10.5" customHeight="1">
      <c r="A195" s="3" t="s">
        <v>303</v>
      </c>
      <c r="B195" s="3" t="s">
        <v>304</v>
      </c>
      <c r="C195" s="3">
        <f>VLOOKUP(B195,LifeList!$E$2:$J$2038,6)</f>
        <v>27383</v>
      </c>
      <c r="D195" s="3" t="str">
        <f>VLOOKUP(B195,LifeList!$E$2:$G$2038,1)</f>
        <v>Band-backed Wren</v>
      </c>
      <c r="E195" s="3" t="str">
        <f>VLOOKUP(B195,LifeList!$E$2:$G$2038,2)</f>
        <v>Troglodyte zoné</v>
      </c>
      <c r="F195" s="3" t="str">
        <f>VLOOKUP(B195,LifeList!$E$2:$G$2038,3)</f>
        <v>Campylorhynchus zonatus</v>
      </c>
      <c r="G195" s="3" t="str">
        <f>VLOOKUP(B195,LifeList!$E$2:$I$2038,4)</f>
        <v>Passeriformes</v>
      </c>
      <c r="H195" s="3" t="str">
        <f>VLOOKUP(B195,LifeList!$E$2:$I$2038,5)</f>
        <v>Troglodytidae (Wrens)</v>
      </c>
      <c r="I195" s="3"/>
    </row>
    <row r="196" spans="1:9" ht="10.5" customHeight="1">
      <c r="A196" s="3" t="s">
        <v>305</v>
      </c>
      <c r="B196" s="3" t="s">
        <v>306</v>
      </c>
      <c r="C196" s="3">
        <f>VLOOKUP(B196,LifeList!$E$2:$J$2038,6)</f>
        <v>873</v>
      </c>
      <c r="D196" s="3" t="str">
        <f>VLOOKUP(B196,LifeList!$E$2:$G$2038,1)</f>
        <v>Band-tailed Guan</v>
      </c>
      <c r="E196" s="3" t="str">
        <f>VLOOKUP(B196,LifeList!$E$2:$G$2038,2)</f>
        <v>Pénélope à queue barrée</v>
      </c>
      <c r="F196" s="3" t="str">
        <f>VLOOKUP(B196,LifeList!$E$2:$G$2038,3)</f>
        <v>Penelope argyrotis</v>
      </c>
      <c r="G196" s="3" t="str">
        <f>VLOOKUP(B196,LifeList!$E$2:$I$2038,4)</f>
        <v>Galliformes</v>
      </c>
      <c r="H196" s="3" t="str">
        <f>VLOOKUP(B196,LifeList!$E$2:$I$2038,5)</f>
        <v>Cracidae (Guans, Chachalacas, and Curassows)</v>
      </c>
      <c r="I196" s="3"/>
    </row>
    <row r="197" spans="1:9" ht="10.5" customHeight="1">
      <c r="A197" s="3" t="s">
        <v>307</v>
      </c>
      <c r="B197" s="3" t="s">
        <v>306</v>
      </c>
      <c r="C197" s="3">
        <f>VLOOKUP(B197,LifeList!$E$2:$J$2038,6)</f>
        <v>873</v>
      </c>
      <c r="D197" s="3" t="str">
        <f>VLOOKUP(B197,LifeList!$E$2:$G$2038,1)</f>
        <v>Band-tailed Guan</v>
      </c>
      <c r="E197" s="3" t="str">
        <f>VLOOKUP(B197,LifeList!$E$2:$G$2038,2)</f>
        <v>Pénélope à queue barrée</v>
      </c>
      <c r="F197" s="3" t="str">
        <f>VLOOKUP(B197,LifeList!$E$2:$G$2038,3)</f>
        <v>Penelope argyrotis</v>
      </c>
      <c r="G197" s="3" t="str">
        <f>VLOOKUP(B197,LifeList!$E$2:$I$2038,4)</f>
        <v>Galliformes</v>
      </c>
      <c r="H197" s="3" t="str">
        <f>VLOOKUP(B197,LifeList!$E$2:$I$2038,5)</f>
        <v>Cracidae (Guans, Chachalacas, and Curassows)</v>
      </c>
      <c r="I197" s="3"/>
    </row>
    <row r="198" spans="1:9" ht="10.5" customHeight="1">
      <c r="A198" s="3" t="s">
        <v>308</v>
      </c>
      <c r="B198" s="3" t="s">
        <v>309</v>
      </c>
      <c r="C198" s="3">
        <f>VLOOKUP(B198,LifeList!$E$2:$J$2038,6)</f>
        <v>1966</v>
      </c>
      <c r="D198" s="3" t="str">
        <f>VLOOKUP(B198,LifeList!$E$2:$G$2038,1)</f>
        <v>Band-tailed Pigeon</v>
      </c>
      <c r="E198" s="3" t="str">
        <f>VLOOKUP(B198,LifeList!$E$2:$G$2038,2)</f>
        <v>Pigeon à queue barrée</v>
      </c>
      <c r="F198" s="3" t="str">
        <f>VLOOKUP(B198,LifeList!$E$2:$G$2038,3)</f>
        <v>Patagioenas fasciata</v>
      </c>
      <c r="G198" s="3" t="str">
        <f>VLOOKUP(B198,LifeList!$E$2:$I$2038,4)</f>
        <v>Columbiformes</v>
      </c>
      <c r="H198" s="3" t="str">
        <f>VLOOKUP(B198,LifeList!$E$2:$I$2038,5)</f>
        <v>Columbidae (Pigeons and Doves)</v>
      </c>
      <c r="I198" s="3"/>
    </row>
    <row r="199" spans="1:9" ht="10.5" customHeight="1">
      <c r="A199" s="3" t="s">
        <v>310</v>
      </c>
      <c r="B199" s="3" t="s">
        <v>309</v>
      </c>
      <c r="C199" s="3">
        <f>VLOOKUP(B199,LifeList!$E$2:$J$2038,6)</f>
        <v>1966</v>
      </c>
      <c r="D199" s="3" t="str">
        <f>VLOOKUP(B199,LifeList!$E$2:$G$2038,1)</f>
        <v>Band-tailed Pigeon</v>
      </c>
      <c r="E199" s="3" t="str">
        <f>VLOOKUP(B199,LifeList!$E$2:$G$2038,2)</f>
        <v>Pigeon à queue barrée</v>
      </c>
      <c r="F199" s="3" t="str">
        <f>VLOOKUP(B199,LifeList!$E$2:$G$2038,3)</f>
        <v>Patagioenas fasciata</v>
      </c>
      <c r="G199" s="3" t="str">
        <f>VLOOKUP(B199,LifeList!$E$2:$I$2038,4)</f>
        <v>Columbiformes</v>
      </c>
      <c r="H199" s="3" t="str">
        <f>VLOOKUP(B199,LifeList!$E$2:$I$2038,5)</f>
        <v>Columbidae (Pigeons and Doves)</v>
      </c>
      <c r="I199" s="3"/>
    </row>
    <row r="200" spans="1:9" ht="10.5" customHeight="1">
      <c r="A200" s="7" t="s">
        <v>311</v>
      </c>
      <c r="B200" s="9" t="s">
        <v>312</v>
      </c>
      <c r="C200" s="3">
        <f>VLOOKUP(B200,LifeList!$E$2:$J$2038,6)</f>
        <v>5890</v>
      </c>
      <c r="D200" s="3" t="str">
        <f>VLOOKUP(B200,LifeList!$E$2:$G$2038,1)</f>
        <v>Banded Lapwing</v>
      </c>
      <c r="E200" s="3" t="str">
        <f>VLOOKUP(B200,LifeList!$E$2:$G$2038,2)</f>
        <v>Vanneau tricolore</v>
      </c>
      <c r="F200" s="3" t="str">
        <f>VLOOKUP(B200,LifeList!$E$2:$G$2038,3)</f>
        <v>Vanellus tricolor</v>
      </c>
      <c r="G200" s="3" t="str">
        <f>VLOOKUP(B200,LifeList!$E$2:$I$2038,4)</f>
        <v>Charadriiformes</v>
      </c>
      <c r="H200" s="3" t="str">
        <f>VLOOKUP(B200,LifeList!$E$2:$I$2038,5)</f>
        <v>Charadriidae (Plovers and Lapwings)</v>
      </c>
      <c r="I200" s="3"/>
    </row>
    <row r="201" spans="1:9" ht="10.5" customHeight="1">
      <c r="A201" s="7" t="s">
        <v>313</v>
      </c>
      <c r="B201" s="9" t="s">
        <v>312</v>
      </c>
      <c r="C201" s="3">
        <f>VLOOKUP(B201,LifeList!$E$2:$J$2038,6)</f>
        <v>5890</v>
      </c>
      <c r="D201" s="3" t="str">
        <f>VLOOKUP(B201,LifeList!$E$2:$G$2038,1)</f>
        <v>Banded Lapwing</v>
      </c>
      <c r="E201" s="3" t="str">
        <f>VLOOKUP(B201,LifeList!$E$2:$G$2038,2)</f>
        <v>Vanneau tricolore</v>
      </c>
      <c r="F201" s="3" t="str">
        <f>VLOOKUP(B201,LifeList!$E$2:$G$2038,3)</f>
        <v>Vanellus tricolor</v>
      </c>
      <c r="G201" s="3" t="str">
        <f>VLOOKUP(B201,LifeList!$E$2:$I$2038,4)</f>
        <v>Charadriiformes</v>
      </c>
      <c r="H201" s="3" t="str">
        <f>VLOOKUP(B201,LifeList!$E$2:$I$2038,5)</f>
        <v>Charadriidae (Plovers and Lapwings)</v>
      </c>
      <c r="I201" s="3"/>
    </row>
    <row r="202" spans="1:9" ht="10.5" customHeight="1">
      <c r="A202" s="7" t="s">
        <v>314</v>
      </c>
      <c r="B202" s="8" t="s">
        <v>315</v>
      </c>
      <c r="C202" s="3">
        <f>VLOOKUP(B202,LifeList!$E$2:$J$2038,6)</f>
        <v>1966</v>
      </c>
      <c r="D202" s="3" t="str">
        <f>VLOOKUP(B202,LifeList!$E$2:$G$2038,1)</f>
        <v>Band-tailed Pigeon</v>
      </c>
      <c r="E202" s="3" t="str">
        <f>VLOOKUP(B202,LifeList!$E$2:$G$2038,2)</f>
        <v>Pigeon à queue barrée</v>
      </c>
      <c r="F202" s="3" t="str">
        <f>VLOOKUP(B202,LifeList!$E$2:$G$2038,3)</f>
        <v>Patagioenas fasciata</v>
      </c>
      <c r="G202" s="3" t="str">
        <f>VLOOKUP(B202,LifeList!$E$2:$I$2038,4)</f>
        <v>Columbiformes</v>
      </c>
      <c r="H202" s="3" t="str">
        <f>VLOOKUP(B202,LifeList!$E$2:$I$2038,5)</f>
        <v>Columbidae (Pigeons and Doves)</v>
      </c>
      <c r="I202" s="3"/>
    </row>
    <row r="203" spans="1:9" ht="10.5" customHeight="1">
      <c r="A203" s="5" t="s">
        <v>316</v>
      </c>
      <c r="B203" s="3" t="s">
        <v>317</v>
      </c>
      <c r="C203" s="6">
        <f>VLOOKUP(B203,LifeList!$E$2:$J$2038,6)</f>
        <v>13518</v>
      </c>
      <c r="D203" s="3" t="str">
        <f>VLOOKUP(B203,LifeList!$E$2:$G$2038,1)</f>
        <v>Bar-crested Antshrike</v>
      </c>
      <c r="E203" s="3" t="str">
        <f>VLOOKUP(B203,LifeList!$E$2:$G$2038,2)</f>
        <v>Batara de Lafresnaye</v>
      </c>
      <c r="F203" s="3" t="str">
        <f>VLOOKUP(B203,LifeList!$E$2:$G$2038,3)</f>
        <v>Thamnophilus multistriatus</v>
      </c>
      <c r="G203" s="3" t="str">
        <f>VLOOKUP(B203,LifeList!$E$2:$I$2038,4)</f>
        <v>Passeriformes</v>
      </c>
      <c r="H203" s="3" t="str">
        <f>VLOOKUP(B203,LifeList!$E$2:$I$2038,5)</f>
        <v>Thamnophilidae (Typical Antbirds)</v>
      </c>
      <c r="I203" s="3"/>
    </row>
    <row r="204" spans="1:9" ht="10.5" customHeight="1">
      <c r="A204" s="3" t="s">
        <v>318</v>
      </c>
      <c r="B204" s="3" t="s">
        <v>319</v>
      </c>
      <c r="C204" s="3">
        <f>VLOOKUP(B204,LifeList!$E$2:$J$2038,6)</f>
        <v>6033</v>
      </c>
      <c r="D204" s="3" t="str">
        <f>VLOOKUP(B204,LifeList!$E$2:$G$2038,1)</f>
        <v>Bar-tailed Godwit</v>
      </c>
      <c r="E204" s="3" t="str">
        <f>VLOOKUP(B204,LifeList!$E$2:$G$2038,2)</f>
        <v>Barge rousse</v>
      </c>
      <c r="F204" s="3" t="str">
        <f>VLOOKUP(B204,LifeList!$E$2:$G$2038,3)</f>
        <v>Limosa lapponica</v>
      </c>
      <c r="G204" s="3" t="str">
        <f>VLOOKUP(B204,LifeList!$E$2:$I$2038,4)</f>
        <v>Charadriiformes</v>
      </c>
      <c r="H204" s="3" t="str">
        <f>VLOOKUP(B204,LifeList!$E$2:$I$2038,5)</f>
        <v>Scolopacidae (Sandpipers and Allies)</v>
      </c>
      <c r="I204" s="3"/>
    </row>
    <row r="205" spans="1:9" ht="10.5" customHeight="1">
      <c r="A205" s="3" t="s">
        <v>320</v>
      </c>
      <c r="B205" s="3" t="s">
        <v>321</v>
      </c>
      <c r="C205" s="3">
        <f>VLOOKUP(B205,LifeList!$E$2:$J$2038,6)</f>
        <v>23050</v>
      </c>
      <c r="D205" s="3" t="str">
        <f>VLOOKUP(B205,LifeList!$E$2:$G$2038,1)</f>
        <v>Bar-throated Apalis</v>
      </c>
      <c r="E205" s="3" t="str">
        <f>VLOOKUP(B205,LifeList!$E$2:$G$2038,2)</f>
        <v>Apalis à collier</v>
      </c>
      <c r="F205" s="3" t="str">
        <f>VLOOKUP(B205,LifeList!$E$2:$G$2038,3)</f>
        <v>Apalis thoracica</v>
      </c>
      <c r="G205" s="3" t="str">
        <f>VLOOKUP(B205,LifeList!$E$2:$I$2038,4)</f>
        <v>Passeriformes</v>
      </c>
      <c r="H205" s="3" t="str">
        <f>VLOOKUP(B205,LifeList!$E$2:$I$2038,5)</f>
        <v>Cisticolidae (Cisticolas and Allies)</v>
      </c>
      <c r="I205" s="3"/>
    </row>
    <row r="206" spans="1:9" ht="10.5" customHeight="1">
      <c r="A206" s="3" t="s">
        <v>322</v>
      </c>
      <c r="B206" s="3" t="s">
        <v>323</v>
      </c>
      <c r="C206" s="3">
        <f>VLOOKUP(B206,LifeList!$E$2:$J$2038,6)</f>
        <v>13979</v>
      </c>
      <c r="D206" s="3" t="str">
        <f>VLOOKUP(B206,LifeList!$E$2:$G$2038,1)</f>
        <v>Bare-crowned Antbird</v>
      </c>
      <c r="E206" s="3" t="str">
        <f>VLOOKUP(B206,LifeList!$E$2:$G$2038,2)</f>
        <v>Alapi à tête nue</v>
      </c>
      <c r="F206" s="3" t="str">
        <f>VLOOKUP(B206,LifeList!$E$2:$G$2038,3)</f>
        <v>Gymnocichla nudiceps</v>
      </c>
      <c r="G206" s="3" t="str">
        <f>VLOOKUP(B206,LifeList!$E$2:$I$2038,4)</f>
        <v>Passeriformes</v>
      </c>
      <c r="H206" s="3" t="str">
        <f>VLOOKUP(B206,LifeList!$E$2:$I$2038,5)</f>
        <v>Thamnophilidae (Typical Antbirds)</v>
      </c>
      <c r="I206" s="3"/>
    </row>
    <row r="207" spans="1:9" ht="10.5" customHeight="1">
      <c r="A207" s="3" t="s">
        <v>324</v>
      </c>
      <c r="B207" s="3" t="s">
        <v>323</v>
      </c>
      <c r="C207" s="3">
        <f>VLOOKUP(B207,LifeList!$E$2:$J$2038,6)</f>
        <v>13979</v>
      </c>
      <c r="D207" s="3" t="str">
        <f>VLOOKUP(B207,LifeList!$E$2:$G$2038,1)</f>
        <v>Bare-crowned Antbird</v>
      </c>
      <c r="E207" s="3" t="str">
        <f>VLOOKUP(B207,LifeList!$E$2:$G$2038,2)</f>
        <v>Alapi à tête nue</v>
      </c>
      <c r="F207" s="3" t="str">
        <f>VLOOKUP(B207,LifeList!$E$2:$G$2038,3)</f>
        <v>Gymnocichla nudiceps</v>
      </c>
      <c r="G207" s="3" t="str">
        <f>VLOOKUP(B207,LifeList!$E$2:$I$2038,4)</f>
        <v>Passeriformes</v>
      </c>
      <c r="H207" s="3" t="str">
        <f>VLOOKUP(B207,LifeList!$E$2:$I$2038,5)</f>
        <v>Thamnophilidae (Typical Antbirds)</v>
      </c>
      <c r="I207" s="3"/>
    </row>
    <row r="208" spans="1:9" ht="10.5" customHeight="1">
      <c r="A208" s="3" t="s">
        <v>325</v>
      </c>
      <c r="B208" s="3" t="s">
        <v>326</v>
      </c>
      <c r="C208" s="3">
        <f>VLOOKUP(B208,LifeList!$E$2:$J$2038,6)</f>
        <v>1952</v>
      </c>
      <c r="D208" s="3" t="str">
        <f>VLOOKUP(B208,LifeList!$E$2:$G$2038,1)</f>
        <v>Bare-eyed Pigeon</v>
      </c>
      <c r="E208" s="3" t="str">
        <f>VLOOKUP(B208,LifeList!$E$2:$G$2038,2)</f>
        <v>Pigeon jounud</v>
      </c>
      <c r="F208" s="3" t="str">
        <f>VLOOKUP(B208,LifeList!$E$2:$G$2038,3)</f>
        <v>Patagioenas corensis</v>
      </c>
      <c r="G208" s="3" t="str">
        <f>VLOOKUP(B208,LifeList!$E$2:$I$2038,4)</f>
        <v>Columbiformes</v>
      </c>
      <c r="H208" s="3" t="str">
        <f>VLOOKUP(B208,LifeList!$E$2:$I$2038,5)</f>
        <v>Columbidae (Pigeons and Doves)</v>
      </c>
      <c r="I208" s="3"/>
    </row>
    <row r="209" spans="1:9" ht="10.5" customHeight="1">
      <c r="A209" s="3" t="s">
        <v>327</v>
      </c>
      <c r="B209" s="3" t="s">
        <v>326</v>
      </c>
      <c r="C209" s="3">
        <f>VLOOKUP(B209,LifeList!$E$2:$J$2038,6)</f>
        <v>1952</v>
      </c>
      <c r="D209" s="3" t="str">
        <f>VLOOKUP(B209,LifeList!$E$2:$G$2038,1)</f>
        <v>Bare-eyed Pigeon</v>
      </c>
      <c r="E209" s="3" t="str">
        <f>VLOOKUP(B209,LifeList!$E$2:$G$2038,2)</f>
        <v>Pigeon jounud</v>
      </c>
      <c r="F209" s="3" t="str">
        <f>VLOOKUP(B209,LifeList!$E$2:$G$2038,3)</f>
        <v>Patagioenas corensis</v>
      </c>
      <c r="G209" s="3" t="str">
        <f>VLOOKUP(B209,LifeList!$E$2:$I$2038,4)</f>
        <v>Columbiformes</v>
      </c>
      <c r="H209" s="3" t="str">
        <f>VLOOKUP(B209,LifeList!$E$2:$I$2038,5)</f>
        <v>Columbidae (Pigeons and Doves)</v>
      </c>
      <c r="I209" s="3"/>
    </row>
    <row r="210" spans="1:9" ht="10.5" customHeight="1">
      <c r="A210" s="3" t="s">
        <v>328</v>
      </c>
      <c r="B210" s="3" t="s">
        <v>329</v>
      </c>
      <c r="C210" s="3">
        <f>VLOOKUP(B210,LifeList!$E$2:$J$2038,6)</f>
        <v>7478</v>
      </c>
      <c r="D210" s="3" t="str">
        <f>VLOOKUP(B210,LifeList!$E$2:$G$2038,1)</f>
        <v>Bare-faced Ibis</v>
      </c>
      <c r="E210" s="3" t="str">
        <f>VLOOKUP(B210,LifeList!$E$2:$G$2038,2)</f>
        <v>Ibis à face nue</v>
      </c>
      <c r="F210" s="3" t="str">
        <f>VLOOKUP(B210,LifeList!$E$2:$G$2038,3)</f>
        <v>Phimosus infuscatus</v>
      </c>
      <c r="G210" s="3" t="str">
        <f>VLOOKUP(B210,LifeList!$E$2:$I$2038,4)</f>
        <v>Pelecaniformes</v>
      </c>
      <c r="H210" s="3" t="str">
        <f>VLOOKUP(B210,LifeList!$E$2:$I$2038,5)</f>
        <v>Threskiornithidae (Ibises and Spoonbills)</v>
      </c>
      <c r="I210" s="3"/>
    </row>
    <row r="211" spans="1:9" ht="10.5" customHeight="1">
      <c r="A211" s="3" t="s">
        <v>330</v>
      </c>
      <c r="B211" s="3" t="s">
        <v>329</v>
      </c>
      <c r="C211" s="3">
        <f>VLOOKUP(B211,LifeList!$E$2:$J$2038,6)</f>
        <v>7478</v>
      </c>
      <c r="D211" s="3" t="str">
        <f>VLOOKUP(B211,LifeList!$E$2:$G$2038,1)</f>
        <v>Bare-faced Ibis</v>
      </c>
      <c r="E211" s="3" t="str">
        <f>VLOOKUP(B211,LifeList!$E$2:$G$2038,2)</f>
        <v>Ibis à face nue</v>
      </c>
      <c r="F211" s="3" t="str">
        <f>VLOOKUP(B211,LifeList!$E$2:$G$2038,3)</f>
        <v>Phimosus infuscatus</v>
      </c>
      <c r="G211" s="3" t="str">
        <f>VLOOKUP(B211,LifeList!$E$2:$I$2038,4)</f>
        <v>Pelecaniformes</v>
      </c>
      <c r="H211" s="3" t="str">
        <f>VLOOKUP(B211,LifeList!$E$2:$I$2038,5)</f>
        <v>Threskiornithidae (Ibises and Spoonbills)</v>
      </c>
      <c r="I211" s="3"/>
    </row>
    <row r="212" spans="1:9" ht="10.5" customHeight="1">
      <c r="A212" s="3" t="s">
        <v>331</v>
      </c>
      <c r="B212" s="3" t="s">
        <v>329</v>
      </c>
      <c r="C212" s="3">
        <f>VLOOKUP(B212,LifeList!$E$2:$J$2038,6)</f>
        <v>7478</v>
      </c>
      <c r="D212" s="3" t="str">
        <f>VLOOKUP(B212,LifeList!$E$2:$G$2038,1)</f>
        <v>Bare-faced Ibis</v>
      </c>
      <c r="E212" s="3" t="str">
        <f>VLOOKUP(B212,LifeList!$E$2:$G$2038,2)</f>
        <v>Ibis à face nue</v>
      </c>
      <c r="F212" s="3" t="str">
        <f>VLOOKUP(B212,LifeList!$E$2:$G$2038,3)</f>
        <v>Phimosus infuscatus</v>
      </c>
      <c r="G212" s="3" t="str">
        <f>VLOOKUP(B212,LifeList!$E$2:$I$2038,4)</f>
        <v>Pelecaniformes</v>
      </c>
      <c r="H212" s="3" t="str">
        <f>VLOOKUP(B212,LifeList!$E$2:$I$2038,5)</f>
        <v>Threskiornithidae (Ibises and Spoonbills)</v>
      </c>
      <c r="I212" s="3"/>
    </row>
    <row r="213" spans="1:9" ht="10.5" customHeight="1">
      <c r="A213" s="3" t="s">
        <v>332</v>
      </c>
      <c r="B213" s="3" t="s">
        <v>333</v>
      </c>
      <c r="C213" s="3">
        <f>VLOOKUP(B213,LifeList!$E$2:$J$2038,6)</f>
        <v>7540</v>
      </c>
      <c r="D213" s="3" t="str">
        <f>VLOOKUP(B213,LifeList!$E$2:$G$2038,1)</f>
        <v>Bare-throated Tiger-Heron</v>
      </c>
      <c r="E213" s="3" t="str">
        <f>VLOOKUP(B213,LifeList!$E$2:$G$2038,2)</f>
        <v>Onoré du Mexique</v>
      </c>
      <c r="F213" s="3" t="str">
        <f>VLOOKUP(B213,LifeList!$E$2:$G$2038,3)</f>
        <v>Tigrisoma mexicanum</v>
      </c>
      <c r="G213" s="3" t="str">
        <f>VLOOKUP(B213,LifeList!$E$2:$I$2038,4)</f>
        <v>Pelecaniformes</v>
      </c>
      <c r="H213" s="3" t="str">
        <f>VLOOKUP(B213,LifeList!$E$2:$I$2038,5)</f>
        <v>Ardeidae (Herons, Egrets, and Bitterns)</v>
      </c>
      <c r="I213" s="3"/>
    </row>
    <row r="214" spans="1:9" ht="10.5" customHeight="1">
      <c r="A214" s="3" t="s">
        <v>334</v>
      </c>
      <c r="B214" s="3" t="s">
        <v>333</v>
      </c>
      <c r="C214" s="3">
        <f>VLOOKUP(B214,LifeList!$E$2:$J$2038,6)</f>
        <v>7540</v>
      </c>
      <c r="D214" s="3" t="str">
        <f>VLOOKUP(B214,LifeList!$E$2:$G$2038,1)</f>
        <v>Bare-throated Tiger-Heron</v>
      </c>
      <c r="E214" s="3" t="str">
        <f>VLOOKUP(B214,LifeList!$E$2:$G$2038,2)</f>
        <v>Onoré du Mexique</v>
      </c>
      <c r="F214" s="3" t="str">
        <f>VLOOKUP(B214,LifeList!$E$2:$G$2038,3)</f>
        <v>Tigrisoma mexicanum</v>
      </c>
      <c r="G214" s="3" t="str">
        <f>VLOOKUP(B214,LifeList!$E$2:$I$2038,4)</f>
        <v>Pelecaniformes</v>
      </c>
      <c r="H214" s="3" t="str">
        <f>VLOOKUP(B214,LifeList!$E$2:$I$2038,5)</f>
        <v>Ardeidae (Herons, Egrets, and Bitterns)</v>
      </c>
      <c r="I214" s="3"/>
    </row>
    <row r="215" spans="1:9" ht="10.5" customHeight="1">
      <c r="A215" s="3" t="s">
        <v>335</v>
      </c>
      <c r="B215" s="3" t="s">
        <v>336</v>
      </c>
      <c r="C215" s="3">
        <f>VLOOKUP(B215,LifeList!$E$2:$J$2038,6)</f>
        <v>24187</v>
      </c>
      <c r="D215" s="3" t="str">
        <f>VLOOKUP(B215,LifeList!$E$2:$G$2038,1)</f>
        <v>Barn Swallow</v>
      </c>
      <c r="E215" s="3" t="str">
        <f>VLOOKUP(B215,LifeList!$E$2:$G$2038,2)</f>
        <v>Hirondelle rustique</v>
      </c>
      <c r="F215" s="3" t="str">
        <f>VLOOKUP(B215,LifeList!$E$2:$G$2038,3)</f>
        <v>Hirundo rustica</v>
      </c>
      <c r="G215" s="3" t="str">
        <f>VLOOKUP(B215,LifeList!$E$2:$I$2038,4)</f>
        <v>Passeriformes</v>
      </c>
      <c r="H215" s="3" t="str">
        <f>VLOOKUP(B215,LifeList!$E$2:$I$2038,5)</f>
        <v>Hirundinidae (Swallows)</v>
      </c>
      <c r="I215" s="3"/>
    </row>
    <row r="216" spans="1:9" ht="10.5" customHeight="1">
      <c r="A216" s="3" t="s">
        <v>337</v>
      </c>
      <c r="B216" s="3" t="s">
        <v>336</v>
      </c>
      <c r="C216" s="3">
        <f>VLOOKUP(B216,LifeList!$E$2:$J$2038,6)</f>
        <v>24187</v>
      </c>
      <c r="D216" s="3" t="str">
        <f>VLOOKUP(B216,LifeList!$E$2:$G$2038,1)</f>
        <v>Barn Swallow</v>
      </c>
      <c r="E216" s="3" t="str">
        <f>VLOOKUP(B216,LifeList!$E$2:$G$2038,2)</f>
        <v>Hirondelle rustique</v>
      </c>
      <c r="F216" s="3" t="str">
        <f>VLOOKUP(B216,LifeList!$E$2:$G$2038,3)</f>
        <v>Hirundo rustica</v>
      </c>
      <c r="G216" s="3" t="str">
        <f>VLOOKUP(B216,LifeList!$E$2:$I$2038,4)</f>
        <v>Passeriformes</v>
      </c>
      <c r="H216" s="3" t="str">
        <f>VLOOKUP(B216,LifeList!$E$2:$I$2038,5)</f>
        <v>Hirundinidae (Swallows)</v>
      </c>
      <c r="I216" s="3"/>
    </row>
    <row r="217" spans="1:9" ht="10.5" customHeight="1">
      <c r="A217" s="3" t="s">
        <v>338</v>
      </c>
      <c r="B217" s="3" t="s">
        <v>336</v>
      </c>
      <c r="C217" s="3">
        <f>VLOOKUP(B217,LifeList!$E$2:$J$2038,6)</f>
        <v>24187</v>
      </c>
      <c r="D217" s="3" t="str">
        <f>VLOOKUP(B217,LifeList!$E$2:$G$2038,1)</f>
        <v>Barn Swallow</v>
      </c>
      <c r="E217" s="3" t="str">
        <f>VLOOKUP(B217,LifeList!$E$2:$G$2038,2)</f>
        <v>Hirondelle rustique</v>
      </c>
      <c r="F217" s="3" t="str">
        <f>VLOOKUP(B217,LifeList!$E$2:$G$2038,3)</f>
        <v>Hirundo rustica</v>
      </c>
      <c r="G217" s="3" t="str">
        <f>VLOOKUP(B217,LifeList!$E$2:$I$2038,4)</f>
        <v>Passeriformes</v>
      </c>
      <c r="H217" s="3" t="str">
        <f>VLOOKUP(B217,LifeList!$E$2:$I$2038,5)</f>
        <v>Hirundinidae (Swallows)</v>
      </c>
      <c r="I217" s="3"/>
    </row>
    <row r="218" spans="1:9" ht="10.5" customHeight="1">
      <c r="A218" s="3" t="s">
        <v>339</v>
      </c>
      <c r="B218" s="3" t="s">
        <v>340</v>
      </c>
      <c r="C218" s="3">
        <f>VLOOKUP(B218,LifeList!$E$2:$J$2038,6)</f>
        <v>13491</v>
      </c>
      <c r="D218" s="3" t="str">
        <f>VLOOKUP(B218,LifeList!$E$2:$G$2038,1)</f>
        <v>Barred Antshrike</v>
      </c>
      <c r="E218" s="3" t="str">
        <f>VLOOKUP(B218,LifeList!$E$2:$G$2038,2)</f>
        <v>Batara rayé</v>
      </c>
      <c r="F218" s="3" t="str">
        <f>VLOOKUP(B218,LifeList!$E$2:$G$2038,3)</f>
        <v>Thamnophilus doliatus</v>
      </c>
      <c r="G218" s="3" t="str">
        <f>VLOOKUP(B218,LifeList!$E$2:$I$2038,4)</f>
        <v>Passeriformes</v>
      </c>
      <c r="H218" s="3" t="str">
        <f>VLOOKUP(B218,LifeList!$E$2:$I$2038,5)</f>
        <v>Thamnophilidae (Typical Antbirds)</v>
      </c>
      <c r="I218" s="3"/>
    </row>
    <row r="219" spans="1:9" ht="10.5" customHeight="1">
      <c r="A219" s="3" t="s">
        <v>341</v>
      </c>
      <c r="B219" s="3" t="s">
        <v>340</v>
      </c>
      <c r="C219" s="3">
        <f>VLOOKUP(B219,LifeList!$E$2:$J$2038,6)</f>
        <v>13491</v>
      </c>
      <c r="D219" s="3" t="str">
        <f>VLOOKUP(B219,LifeList!$E$2:$G$2038,1)</f>
        <v>Barred Antshrike</v>
      </c>
      <c r="E219" s="3" t="str">
        <f>VLOOKUP(B219,LifeList!$E$2:$G$2038,2)</f>
        <v>Batara rayé</v>
      </c>
      <c r="F219" s="3" t="str">
        <f>VLOOKUP(B219,LifeList!$E$2:$G$2038,3)</f>
        <v>Thamnophilus doliatus</v>
      </c>
      <c r="G219" s="3" t="str">
        <f>VLOOKUP(B219,LifeList!$E$2:$I$2038,4)</f>
        <v>Passeriformes</v>
      </c>
      <c r="H219" s="3" t="str">
        <f>VLOOKUP(B219,LifeList!$E$2:$I$2038,5)</f>
        <v>Thamnophilidae (Typical Antbirds)</v>
      </c>
      <c r="I219" s="3"/>
    </row>
    <row r="220" spans="1:9" ht="10.5" customHeight="1">
      <c r="A220" s="3" t="s">
        <v>342</v>
      </c>
      <c r="B220" s="3" t="s">
        <v>340</v>
      </c>
      <c r="C220" s="3">
        <f>VLOOKUP(B220,LifeList!$E$2:$J$2038,6)</f>
        <v>13491</v>
      </c>
      <c r="D220" s="3" t="str">
        <f>VLOOKUP(B220,LifeList!$E$2:$G$2038,1)</f>
        <v>Barred Antshrike</v>
      </c>
      <c r="E220" s="3" t="str">
        <f>VLOOKUP(B220,LifeList!$E$2:$G$2038,2)</f>
        <v>Batara rayé</v>
      </c>
      <c r="F220" s="3" t="str">
        <f>VLOOKUP(B220,LifeList!$E$2:$G$2038,3)</f>
        <v>Thamnophilus doliatus</v>
      </c>
      <c r="G220" s="3" t="str">
        <f>VLOOKUP(B220,LifeList!$E$2:$I$2038,4)</f>
        <v>Passeriformes</v>
      </c>
      <c r="H220" s="3" t="str">
        <f>VLOOKUP(B220,LifeList!$E$2:$I$2038,5)</f>
        <v>Thamnophilidae (Typical Antbirds)</v>
      </c>
      <c r="I220" s="3"/>
    </row>
    <row r="221" spans="1:9" ht="10.5" customHeight="1">
      <c r="A221" s="3" t="s">
        <v>343</v>
      </c>
      <c r="B221" s="3" t="s">
        <v>340</v>
      </c>
      <c r="C221" s="3">
        <f>VLOOKUP(B221,LifeList!$E$2:$J$2038,6)</f>
        <v>13491</v>
      </c>
      <c r="D221" s="3" t="str">
        <f>VLOOKUP(B221,LifeList!$E$2:$G$2038,1)</f>
        <v>Barred Antshrike</v>
      </c>
      <c r="E221" s="3" t="str">
        <f>VLOOKUP(B221,LifeList!$E$2:$G$2038,2)</f>
        <v>Batara rayé</v>
      </c>
      <c r="F221" s="3" t="str">
        <f>VLOOKUP(B221,LifeList!$E$2:$G$2038,3)</f>
        <v>Thamnophilus doliatus</v>
      </c>
      <c r="G221" s="3" t="str">
        <f>VLOOKUP(B221,LifeList!$E$2:$I$2038,4)</f>
        <v>Passeriformes</v>
      </c>
      <c r="H221" s="3" t="str">
        <f>VLOOKUP(B221,LifeList!$E$2:$I$2038,5)</f>
        <v>Thamnophilidae (Typical Antbirds)</v>
      </c>
      <c r="I221" s="3"/>
    </row>
    <row r="222" spans="1:9" ht="10.5" customHeight="1">
      <c r="A222" s="3" t="s">
        <v>344</v>
      </c>
      <c r="B222" s="3" t="s">
        <v>345</v>
      </c>
      <c r="C222" s="3">
        <f>VLOOKUP(B222,LifeList!$E$2:$J$2038,6)</f>
        <v>9219</v>
      </c>
      <c r="D222" s="3" t="str">
        <f>VLOOKUP(B222,LifeList!$E$2:$G$2038,1)</f>
        <v>Barred Owl</v>
      </c>
      <c r="E222" s="3" t="str">
        <f>VLOOKUP(B222,LifeList!$E$2:$G$2038,2)</f>
        <v>Chouette rayée</v>
      </c>
      <c r="F222" s="3" t="str">
        <f>VLOOKUP(B222,LifeList!$E$2:$G$2038,3)</f>
        <v>Strix varia</v>
      </c>
      <c r="G222" s="3" t="str">
        <f>VLOOKUP(B222,LifeList!$E$2:$I$2038,4)</f>
        <v>Strigiformes</v>
      </c>
      <c r="H222" s="3" t="str">
        <f>VLOOKUP(B222,LifeList!$E$2:$I$2038,5)</f>
        <v>Strigidae (Owls)</v>
      </c>
      <c r="I222" s="3"/>
    </row>
    <row r="223" spans="1:9" ht="10.5" customHeight="1">
      <c r="A223" s="3" t="s">
        <v>346</v>
      </c>
      <c r="B223" s="3" t="s">
        <v>345</v>
      </c>
      <c r="C223" s="3">
        <f>VLOOKUP(B223,LifeList!$E$2:$J$2038,6)</f>
        <v>9219</v>
      </c>
      <c r="D223" s="3" t="str">
        <f>VLOOKUP(B223,LifeList!$E$2:$G$2038,1)</f>
        <v>Barred Owl</v>
      </c>
      <c r="E223" s="3" t="str">
        <f>VLOOKUP(B223,LifeList!$E$2:$G$2038,2)</f>
        <v>Chouette rayée</v>
      </c>
      <c r="F223" s="3" t="str">
        <f>VLOOKUP(B223,LifeList!$E$2:$G$2038,3)</f>
        <v>Strix varia</v>
      </c>
      <c r="G223" s="3" t="str">
        <f>VLOOKUP(B223,LifeList!$E$2:$I$2038,4)</f>
        <v>Strigiformes</v>
      </c>
      <c r="H223" s="3" t="str">
        <f>VLOOKUP(B223,LifeList!$E$2:$I$2038,5)</f>
        <v>Strigidae (Owls)</v>
      </c>
      <c r="I223" s="3"/>
    </row>
    <row r="224" spans="1:9" ht="10.5" customHeight="1">
      <c r="A224" s="3" t="s">
        <v>347</v>
      </c>
      <c r="B224" s="3" t="s">
        <v>345</v>
      </c>
      <c r="C224" s="3">
        <f>VLOOKUP(B224,LifeList!$E$2:$J$2038,6)</f>
        <v>9219</v>
      </c>
      <c r="D224" s="3" t="str">
        <f>VLOOKUP(B224,LifeList!$E$2:$G$2038,1)</f>
        <v>Barred Owl</v>
      </c>
      <c r="E224" s="3" t="str">
        <f>VLOOKUP(B224,LifeList!$E$2:$G$2038,2)</f>
        <v>Chouette rayée</v>
      </c>
      <c r="F224" s="3" t="str">
        <f>VLOOKUP(B224,LifeList!$E$2:$G$2038,3)</f>
        <v>Strix varia</v>
      </c>
      <c r="G224" s="3" t="str">
        <f>VLOOKUP(B224,LifeList!$E$2:$I$2038,4)</f>
        <v>Strigiformes</v>
      </c>
      <c r="H224" s="3" t="str">
        <f>VLOOKUP(B224,LifeList!$E$2:$I$2038,5)</f>
        <v>Strigidae (Owls)</v>
      </c>
      <c r="I224" s="3"/>
    </row>
    <row r="225" spans="1:9" ht="10.5" customHeight="1">
      <c r="A225" s="3" t="s">
        <v>348</v>
      </c>
      <c r="B225" s="3" t="s">
        <v>345</v>
      </c>
      <c r="C225" s="3">
        <f>VLOOKUP(B225,LifeList!$E$2:$J$2038,6)</f>
        <v>9219</v>
      </c>
      <c r="D225" s="3" t="str">
        <f>VLOOKUP(B225,LifeList!$E$2:$G$2038,1)</f>
        <v>Barred Owl</v>
      </c>
      <c r="E225" s="3" t="str">
        <f>VLOOKUP(B225,LifeList!$E$2:$G$2038,2)</f>
        <v>Chouette rayée</v>
      </c>
      <c r="F225" s="3" t="str">
        <f>VLOOKUP(B225,LifeList!$E$2:$G$2038,3)</f>
        <v>Strix varia</v>
      </c>
      <c r="G225" s="3" t="str">
        <f>VLOOKUP(B225,LifeList!$E$2:$I$2038,4)</f>
        <v>Strigiformes</v>
      </c>
      <c r="H225" s="3" t="str">
        <f>VLOOKUP(B225,LifeList!$E$2:$I$2038,5)</f>
        <v>Strigidae (Owls)</v>
      </c>
      <c r="I225" s="3"/>
    </row>
    <row r="226" spans="1:9" ht="10.5" customHeight="1">
      <c r="A226" s="3" t="s">
        <v>349</v>
      </c>
      <c r="B226" s="3" t="s">
        <v>345</v>
      </c>
      <c r="C226" s="3">
        <f>VLOOKUP(B226,LifeList!$E$2:$J$2038,6)</f>
        <v>9219</v>
      </c>
      <c r="D226" s="3" t="str">
        <f>VLOOKUP(B226,LifeList!$E$2:$G$2038,1)</f>
        <v>Barred Owl</v>
      </c>
      <c r="E226" s="3" t="str">
        <f>VLOOKUP(B226,LifeList!$E$2:$G$2038,2)</f>
        <v>Chouette rayée</v>
      </c>
      <c r="F226" s="3" t="str">
        <f>VLOOKUP(B226,LifeList!$E$2:$G$2038,3)</f>
        <v>Strix varia</v>
      </c>
      <c r="G226" s="3" t="str">
        <f>VLOOKUP(B226,LifeList!$E$2:$I$2038,4)</f>
        <v>Strigiformes</v>
      </c>
      <c r="H226" s="3" t="str">
        <f>VLOOKUP(B226,LifeList!$E$2:$I$2038,5)</f>
        <v>Strigidae (Owls)</v>
      </c>
      <c r="I226" s="3"/>
    </row>
    <row r="227" spans="1:9" ht="10.5" customHeight="1">
      <c r="A227" s="3" t="s">
        <v>350</v>
      </c>
      <c r="B227" s="3" t="s">
        <v>351</v>
      </c>
      <c r="C227" s="3">
        <f>VLOOKUP(B227,LifeList!$E$2:$J$2038,6)</f>
        <v>10396</v>
      </c>
      <c r="D227" s="3" t="str">
        <f>VLOOKUP(B227,LifeList!$E$2:$G$2038,1)</f>
        <v>Barred Puffbird</v>
      </c>
      <c r="E227" s="3" t="str">
        <f>VLOOKUP(B227,LifeList!$E$2:$G$2038,2)</f>
        <v>Tamatia barré</v>
      </c>
      <c r="F227" s="3" t="str">
        <f>VLOOKUP(B227,LifeList!$E$2:$G$2038,3)</f>
        <v>Nystalus radiatus</v>
      </c>
      <c r="G227" s="3" t="str">
        <f>VLOOKUP(B227,LifeList!$E$2:$I$2038,4)</f>
        <v>Piciformes</v>
      </c>
      <c r="H227" s="3" t="str">
        <f>VLOOKUP(B227,LifeList!$E$2:$I$2038,5)</f>
        <v>Bucconidae (Puffbirds)</v>
      </c>
      <c r="I227" s="3"/>
    </row>
    <row r="228" spans="1:9" ht="10.5" customHeight="1">
      <c r="A228" s="3" t="s">
        <v>352</v>
      </c>
      <c r="B228" s="3" t="s">
        <v>351</v>
      </c>
      <c r="C228" s="3">
        <f>VLOOKUP(B228,LifeList!$E$2:$J$2038,6)</f>
        <v>10396</v>
      </c>
      <c r="D228" s="3" t="str">
        <f>VLOOKUP(B228,LifeList!$E$2:$G$2038,1)</f>
        <v>Barred Puffbird</v>
      </c>
      <c r="E228" s="3" t="str">
        <f>VLOOKUP(B228,LifeList!$E$2:$G$2038,2)</f>
        <v>Tamatia barré</v>
      </c>
      <c r="F228" s="3" t="str">
        <f>VLOOKUP(B228,LifeList!$E$2:$G$2038,3)</f>
        <v>Nystalus radiatus</v>
      </c>
      <c r="G228" s="3" t="str">
        <f>VLOOKUP(B228,LifeList!$E$2:$I$2038,4)</f>
        <v>Piciformes</v>
      </c>
      <c r="H228" s="3" t="str">
        <f>VLOOKUP(B228,LifeList!$E$2:$I$2038,5)</f>
        <v>Bucconidae (Puffbirds)</v>
      </c>
      <c r="I228" s="3"/>
    </row>
    <row r="229" spans="1:9" ht="10.5" customHeight="1">
      <c r="A229" s="3" t="s">
        <v>353</v>
      </c>
      <c r="B229" s="3" t="s">
        <v>351</v>
      </c>
      <c r="C229" s="3">
        <f>VLOOKUP(B229,LifeList!$E$2:$J$2038,6)</f>
        <v>10396</v>
      </c>
      <c r="D229" s="3" t="str">
        <f>VLOOKUP(B229,LifeList!$E$2:$G$2038,1)</f>
        <v>Barred Puffbird</v>
      </c>
      <c r="E229" s="3" t="str">
        <f>VLOOKUP(B229,LifeList!$E$2:$G$2038,2)</f>
        <v>Tamatia barré</v>
      </c>
      <c r="F229" s="3" t="str">
        <f>VLOOKUP(B229,LifeList!$E$2:$G$2038,3)</f>
        <v>Nystalus radiatus</v>
      </c>
      <c r="G229" s="3" t="str">
        <f>VLOOKUP(B229,LifeList!$E$2:$I$2038,4)</f>
        <v>Piciformes</v>
      </c>
      <c r="H229" s="3" t="str">
        <f>VLOOKUP(B229,LifeList!$E$2:$I$2038,5)</f>
        <v>Bucconidae (Puffbirds)</v>
      </c>
      <c r="I229" s="3"/>
    </row>
    <row r="230" spans="1:9" ht="10.5" customHeight="1">
      <c r="A230" s="3" t="s">
        <v>354</v>
      </c>
      <c r="B230" s="3" t="s">
        <v>351</v>
      </c>
      <c r="C230" s="3">
        <f>VLOOKUP(B230,LifeList!$E$2:$J$2038,6)</f>
        <v>10396</v>
      </c>
      <c r="D230" s="3" t="str">
        <f>VLOOKUP(B230,LifeList!$E$2:$G$2038,1)</f>
        <v>Barred Puffbird</v>
      </c>
      <c r="E230" s="3" t="str">
        <f>VLOOKUP(B230,LifeList!$E$2:$G$2038,2)</f>
        <v>Tamatia barré</v>
      </c>
      <c r="F230" s="3" t="str">
        <f>VLOOKUP(B230,LifeList!$E$2:$G$2038,3)</f>
        <v>Nystalus radiatus</v>
      </c>
      <c r="G230" s="3" t="str">
        <f>VLOOKUP(B230,LifeList!$E$2:$I$2038,4)</f>
        <v>Piciformes</v>
      </c>
      <c r="H230" s="3" t="str">
        <f>VLOOKUP(B230,LifeList!$E$2:$I$2038,5)</f>
        <v>Bucconidae (Puffbirds)</v>
      </c>
      <c r="I230" s="3"/>
    </row>
    <row r="231" spans="1:9" ht="10.5" customHeight="1">
      <c r="A231" s="7" t="s">
        <v>355</v>
      </c>
      <c r="B231" s="8" t="s">
        <v>356</v>
      </c>
      <c r="C231" s="3">
        <f>VLOOKUP(B231,LifeList!$E$2:$J$2038,6)</f>
        <v>748</v>
      </c>
      <c r="D231" s="3" t="str">
        <f>VLOOKUP(B231,LifeList!$E$2:$G$2038,1)</f>
        <v>Barrow's Goldeneye</v>
      </c>
      <c r="E231" s="3" t="str">
        <f>VLOOKUP(B231,LifeList!$E$2:$G$2038,2)</f>
        <v>Garrot d'Islande</v>
      </c>
      <c r="F231" s="3" t="str">
        <f>VLOOKUP(B231,LifeList!$E$2:$G$2038,3)</f>
        <v>Bucephala islandica</v>
      </c>
      <c r="G231" s="3" t="str">
        <f>VLOOKUP(B231,LifeList!$E$2:$I$2038,4)</f>
        <v>Anseriformes</v>
      </c>
      <c r="H231" s="3" t="str">
        <f>VLOOKUP(B231,LifeList!$E$2:$I$2038,5)</f>
        <v>Anatidae (Ducks, Geese, and Waterfowl)</v>
      </c>
      <c r="I231" s="3"/>
    </row>
    <row r="232" spans="1:9" ht="10.5" customHeight="1">
      <c r="A232" s="3" t="s">
        <v>357</v>
      </c>
      <c r="B232" s="3" t="s">
        <v>358</v>
      </c>
      <c r="C232" s="3">
        <f>VLOOKUP(B232,LifeList!$E$2:$J$2038,6)</f>
        <v>28227</v>
      </c>
      <c r="D232" s="3" t="str">
        <f>VLOOKUP(B232,LifeList!$E$2:$G$2038,1)</f>
        <v>Bassian Thrush</v>
      </c>
      <c r="E232" s="3" t="str">
        <f>VLOOKUP(B232,LifeList!$E$2:$G$2038,2)</f>
        <v>Grive à lunules</v>
      </c>
      <c r="F232" s="3" t="str">
        <f>VLOOKUP(B232,LifeList!$E$2:$G$2038,3)</f>
        <v>Zoothera lunulata</v>
      </c>
      <c r="G232" s="3" t="str">
        <f>VLOOKUP(B232,LifeList!$E$2:$I$2038,4)</f>
        <v>Passeriformes</v>
      </c>
      <c r="H232" s="3" t="str">
        <f>VLOOKUP(B232,LifeList!$E$2:$I$2038,5)</f>
        <v>Turdidae (Thrushes and Allies)</v>
      </c>
      <c r="I232" s="3"/>
    </row>
    <row r="233" spans="1:9" ht="10.5" customHeight="1">
      <c r="A233" s="3" t="s">
        <v>359</v>
      </c>
      <c r="B233" s="3" t="s">
        <v>360</v>
      </c>
      <c r="C233" s="3">
        <f>VLOOKUP(B233,LifeList!$E$2:$J$2038,6)</f>
        <v>12096</v>
      </c>
      <c r="D233" s="3" t="str">
        <f>VLOOKUP(B233,LifeList!$E$2:$G$2038,1)</f>
        <v>Bat Falcon</v>
      </c>
      <c r="E233" s="3" t="str">
        <f>VLOOKUP(B233,LifeList!$E$2:$G$2038,2)</f>
        <v>Faucon des chauves-souris</v>
      </c>
      <c r="F233" s="3" t="str">
        <f>VLOOKUP(B233,LifeList!$E$2:$G$2038,3)</f>
        <v>Falco rufigularis</v>
      </c>
      <c r="G233" s="3" t="str">
        <f>VLOOKUP(B233,LifeList!$E$2:$I$2038,4)</f>
        <v>Falconiformes</v>
      </c>
      <c r="H233" s="3" t="str">
        <f>VLOOKUP(B233,LifeList!$E$2:$I$2038,5)</f>
        <v>Falconidae (Falcons and Caracaras)</v>
      </c>
      <c r="I233" s="3"/>
    </row>
    <row r="234" spans="1:9" ht="10.5" customHeight="1">
      <c r="A234" s="3" t="s">
        <v>361</v>
      </c>
      <c r="B234" s="3" t="s">
        <v>360</v>
      </c>
      <c r="C234" s="3">
        <f>VLOOKUP(B234,LifeList!$E$2:$J$2038,6)</f>
        <v>12096</v>
      </c>
      <c r="D234" s="3" t="str">
        <f>VLOOKUP(B234,LifeList!$E$2:$G$2038,1)</f>
        <v>Bat Falcon</v>
      </c>
      <c r="E234" s="3" t="str">
        <f>VLOOKUP(B234,LifeList!$E$2:$G$2038,2)</f>
        <v>Faucon des chauves-souris</v>
      </c>
      <c r="F234" s="3" t="str">
        <f>VLOOKUP(B234,LifeList!$E$2:$G$2038,3)</f>
        <v>Falco rufigularis</v>
      </c>
      <c r="G234" s="3" t="str">
        <f>VLOOKUP(B234,LifeList!$E$2:$I$2038,4)</f>
        <v>Falconiformes</v>
      </c>
      <c r="H234" s="3" t="str">
        <f>VLOOKUP(B234,LifeList!$E$2:$I$2038,5)</f>
        <v>Falconidae (Falcons and Caracaras)</v>
      </c>
      <c r="I234" s="3"/>
    </row>
    <row r="235" spans="1:9" ht="10.5" customHeight="1">
      <c r="A235" s="3" t="s">
        <v>362</v>
      </c>
      <c r="B235" s="3" t="s">
        <v>363</v>
      </c>
      <c r="C235" s="3">
        <f>VLOOKUP(B235,LifeList!$E$2:$J$2038,6)</f>
        <v>7985</v>
      </c>
      <c r="D235" s="3" t="str">
        <f>VLOOKUP(B235,LifeList!$E$2:$G$2038,1)</f>
        <v>Bateleur</v>
      </c>
      <c r="E235" s="3" t="str">
        <f>VLOOKUP(B235,LifeList!$E$2:$G$2038,2)</f>
        <v>Bateleur des savanes</v>
      </c>
      <c r="F235" s="3" t="str">
        <f>VLOOKUP(B235,LifeList!$E$2:$G$2038,3)</f>
        <v>Terathopius ecaudatus</v>
      </c>
      <c r="G235" s="3" t="str">
        <f>VLOOKUP(B235,LifeList!$E$2:$I$2038,4)</f>
        <v>Accipitriformes</v>
      </c>
      <c r="H235" s="3" t="str">
        <f>VLOOKUP(B235,LifeList!$E$2:$I$2038,5)</f>
        <v>Accipitridae (Hawks, Eagles, and Kites)</v>
      </c>
      <c r="I235" s="3"/>
    </row>
    <row r="236" spans="1:9" ht="10.5" customHeight="1">
      <c r="A236" s="3" t="s">
        <v>364</v>
      </c>
      <c r="B236" s="3" t="s">
        <v>363</v>
      </c>
      <c r="C236" s="3">
        <f>VLOOKUP(B236,LifeList!$E$2:$J$2038,6)</f>
        <v>7985</v>
      </c>
      <c r="D236" s="3" t="str">
        <f>VLOOKUP(B236,LifeList!$E$2:$G$2038,1)</f>
        <v>Bateleur</v>
      </c>
      <c r="E236" s="3" t="str">
        <f>VLOOKUP(B236,LifeList!$E$2:$G$2038,2)</f>
        <v>Bateleur des savanes</v>
      </c>
      <c r="F236" s="3" t="str">
        <f>VLOOKUP(B236,LifeList!$E$2:$G$2038,3)</f>
        <v>Terathopius ecaudatus</v>
      </c>
      <c r="G236" s="3" t="str">
        <f>VLOOKUP(B236,LifeList!$E$2:$I$2038,4)</f>
        <v>Accipitriformes</v>
      </c>
      <c r="H236" s="3" t="str">
        <f>VLOOKUP(B236,LifeList!$E$2:$I$2038,5)</f>
        <v>Accipitridae (Hawks, Eagles, and Kites)</v>
      </c>
      <c r="I236" s="3"/>
    </row>
    <row r="237" spans="1:9" ht="10.5" customHeight="1">
      <c r="A237" s="3" t="s">
        <v>365</v>
      </c>
      <c r="B237" s="3" t="s">
        <v>366</v>
      </c>
      <c r="C237" s="3">
        <f>VLOOKUP(B237,LifeList!$E$2:$J$2038,6)</f>
        <v>27541</v>
      </c>
      <c r="D237" s="3" t="str">
        <f>VLOOKUP(B237,LifeList!$E$2:$G$2038,1)</f>
        <v>Bay Wren</v>
      </c>
      <c r="E237" s="3" t="str">
        <f>VLOOKUP(B237,LifeList!$E$2:$G$2038,2)</f>
        <v>Troglodyte à calotte noire</v>
      </c>
      <c r="F237" s="3" t="str">
        <f>VLOOKUP(B237,LifeList!$E$2:$G$2038,3)</f>
        <v>Cantorchilus nigricapillus</v>
      </c>
      <c r="G237" s="3" t="str">
        <f>VLOOKUP(B237,LifeList!$E$2:$I$2038,4)</f>
        <v>Passeriformes</v>
      </c>
      <c r="H237" s="3" t="str">
        <f>VLOOKUP(B237,LifeList!$E$2:$I$2038,5)</f>
        <v>Troglodytidae (Wrens)</v>
      </c>
      <c r="I237" s="3"/>
    </row>
    <row r="238" spans="1:9" ht="10.5" customHeight="1">
      <c r="A238" s="3" t="s">
        <v>367</v>
      </c>
      <c r="B238" s="3" t="s">
        <v>366</v>
      </c>
      <c r="C238" s="3">
        <f>VLOOKUP(B238,LifeList!$E$2:$J$2038,6)</f>
        <v>27541</v>
      </c>
      <c r="D238" s="3" t="str">
        <f>VLOOKUP(B238,LifeList!$E$2:$G$2038,1)</f>
        <v>Bay Wren</v>
      </c>
      <c r="E238" s="3" t="str">
        <f>VLOOKUP(B238,LifeList!$E$2:$G$2038,2)</f>
        <v>Troglodyte à calotte noire</v>
      </c>
      <c r="F238" s="3" t="str">
        <f>VLOOKUP(B238,LifeList!$E$2:$G$2038,3)</f>
        <v>Cantorchilus nigricapillus</v>
      </c>
      <c r="G238" s="3" t="str">
        <f>VLOOKUP(B238,LifeList!$E$2:$I$2038,4)</f>
        <v>Passeriformes</v>
      </c>
      <c r="H238" s="3" t="str">
        <f>VLOOKUP(B238,LifeList!$E$2:$I$2038,5)</f>
        <v>Troglodytidae (Wrens)</v>
      </c>
      <c r="I238" s="3"/>
    </row>
    <row r="239" spans="1:9" ht="10.5" customHeight="1">
      <c r="A239" s="3" t="s">
        <v>368</v>
      </c>
      <c r="B239" s="3" t="s">
        <v>369</v>
      </c>
      <c r="C239" s="3">
        <f>VLOOKUP(B239,LifeList!$E$2:$J$2038,6)</f>
        <v>34083</v>
      </c>
      <c r="D239" s="3" t="str">
        <f>VLOOKUP(B239,LifeList!$E$2:$G$2038,1)</f>
        <v>Bay-breasted Warbler</v>
      </c>
      <c r="E239" s="3" t="str">
        <f>VLOOKUP(B239,LifeList!$E$2:$G$2038,2)</f>
        <v>Paruline à poitrine baie</v>
      </c>
      <c r="F239" s="3" t="str">
        <f>VLOOKUP(B239,LifeList!$E$2:$G$2038,3)</f>
        <v>Setophaga castanea</v>
      </c>
      <c r="G239" s="3" t="str">
        <f>VLOOKUP(B239,LifeList!$E$2:$I$2038,4)</f>
        <v>Passeriformes</v>
      </c>
      <c r="H239" s="3" t="str">
        <f>VLOOKUP(B239,LifeList!$E$2:$I$2038,5)</f>
        <v>Parulidae (New World Warblers)</v>
      </c>
      <c r="I239" s="3"/>
    </row>
    <row r="240" spans="1:9" ht="10.5" customHeight="1">
      <c r="A240" s="3" t="s">
        <v>370</v>
      </c>
      <c r="B240" s="3" t="s">
        <v>369</v>
      </c>
      <c r="C240" s="3">
        <f>VLOOKUP(B240,LifeList!$E$2:$J$2038,6)</f>
        <v>34083</v>
      </c>
      <c r="D240" s="3" t="str">
        <f>VLOOKUP(B240,LifeList!$E$2:$G$2038,1)</f>
        <v>Bay-breasted Warbler</v>
      </c>
      <c r="E240" s="3" t="str">
        <f>VLOOKUP(B240,LifeList!$E$2:$G$2038,2)</f>
        <v>Paruline à poitrine baie</v>
      </c>
      <c r="F240" s="3" t="str">
        <f>VLOOKUP(B240,LifeList!$E$2:$G$2038,3)</f>
        <v>Setophaga castanea</v>
      </c>
      <c r="G240" s="3" t="str">
        <f>VLOOKUP(B240,LifeList!$E$2:$I$2038,4)</f>
        <v>Passeriformes</v>
      </c>
      <c r="H240" s="3" t="str">
        <f>VLOOKUP(B240,LifeList!$E$2:$I$2038,5)</f>
        <v>Parulidae (New World Warblers)</v>
      </c>
      <c r="I240" s="3"/>
    </row>
    <row r="241" spans="1:9" ht="10.5" customHeight="1">
      <c r="A241" s="3" t="s">
        <v>371</v>
      </c>
      <c r="B241" s="3" t="s">
        <v>369</v>
      </c>
      <c r="C241" s="3">
        <f>VLOOKUP(B241,LifeList!$E$2:$J$2038,6)</f>
        <v>34083</v>
      </c>
      <c r="D241" s="3" t="str">
        <f>VLOOKUP(B241,LifeList!$E$2:$G$2038,1)</f>
        <v>Bay-breasted Warbler</v>
      </c>
      <c r="E241" s="3" t="str">
        <f>VLOOKUP(B241,LifeList!$E$2:$G$2038,2)</f>
        <v>Paruline à poitrine baie</v>
      </c>
      <c r="F241" s="3" t="str">
        <f>VLOOKUP(B241,LifeList!$E$2:$G$2038,3)</f>
        <v>Setophaga castanea</v>
      </c>
      <c r="G241" s="3" t="str">
        <f>VLOOKUP(B241,LifeList!$E$2:$I$2038,4)</f>
        <v>Passeriformes</v>
      </c>
      <c r="H241" s="3" t="str">
        <f>VLOOKUP(B241,LifeList!$E$2:$I$2038,5)</f>
        <v>Parulidae (New World Warblers)</v>
      </c>
      <c r="I241" s="3"/>
    </row>
    <row r="242" spans="1:9" ht="10.5" customHeight="1">
      <c r="A242" s="3" t="s">
        <v>372</v>
      </c>
      <c r="B242" s="3" t="s">
        <v>369</v>
      </c>
      <c r="C242" s="3">
        <f>VLOOKUP(B242,LifeList!$E$2:$J$2038,6)</f>
        <v>34083</v>
      </c>
      <c r="D242" s="3" t="str">
        <f>VLOOKUP(B242,LifeList!$E$2:$G$2038,1)</f>
        <v>Bay-breasted Warbler</v>
      </c>
      <c r="E242" s="3" t="str">
        <f>VLOOKUP(B242,LifeList!$E$2:$G$2038,2)</f>
        <v>Paruline à poitrine baie</v>
      </c>
      <c r="F242" s="3" t="str">
        <f>VLOOKUP(B242,LifeList!$E$2:$G$2038,3)</f>
        <v>Setophaga castanea</v>
      </c>
      <c r="G242" s="3" t="str">
        <f>VLOOKUP(B242,LifeList!$E$2:$I$2038,4)</f>
        <v>Passeriformes</v>
      </c>
      <c r="H242" s="3" t="str">
        <f>VLOOKUP(B242,LifeList!$E$2:$I$2038,5)</f>
        <v>Parulidae (New World Warblers)</v>
      </c>
      <c r="I242" s="3"/>
    </row>
    <row r="243" spans="1:9" ht="10.5" customHeight="1">
      <c r="A243" s="3" t="s">
        <v>373</v>
      </c>
      <c r="B243" s="3" t="s">
        <v>369</v>
      </c>
      <c r="C243" s="3">
        <f>VLOOKUP(B243,LifeList!$E$2:$J$2038,6)</f>
        <v>34083</v>
      </c>
      <c r="D243" s="3" t="str">
        <f>VLOOKUP(B243,LifeList!$E$2:$G$2038,1)</f>
        <v>Bay-breasted Warbler</v>
      </c>
      <c r="E243" s="3" t="str">
        <f>VLOOKUP(B243,LifeList!$E$2:$G$2038,2)</f>
        <v>Paruline à poitrine baie</v>
      </c>
      <c r="F243" s="3" t="str">
        <f>VLOOKUP(B243,LifeList!$E$2:$G$2038,3)</f>
        <v>Setophaga castanea</v>
      </c>
      <c r="G243" s="3" t="str">
        <f>VLOOKUP(B243,LifeList!$E$2:$I$2038,4)</f>
        <v>Passeriformes</v>
      </c>
      <c r="H243" s="3" t="str">
        <f>VLOOKUP(B243,LifeList!$E$2:$I$2038,5)</f>
        <v>Parulidae (New World Warblers)</v>
      </c>
      <c r="I243" s="3"/>
    </row>
    <row r="244" spans="1:9" ht="10.5" customHeight="1">
      <c r="A244" s="3" t="s">
        <v>374</v>
      </c>
      <c r="B244" s="3" t="s">
        <v>369</v>
      </c>
      <c r="C244" s="3">
        <f>VLOOKUP(B244,LifeList!$E$2:$J$2038,6)</f>
        <v>34083</v>
      </c>
      <c r="D244" s="3" t="str">
        <f>VLOOKUP(B244,LifeList!$E$2:$G$2038,1)</f>
        <v>Bay-breasted Warbler</v>
      </c>
      <c r="E244" s="3" t="str">
        <f>VLOOKUP(B244,LifeList!$E$2:$G$2038,2)</f>
        <v>Paruline à poitrine baie</v>
      </c>
      <c r="F244" s="3" t="str">
        <f>VLOOKUP(B244,LifeList!$E$2:$G$2038,3)</f>
        <v>Setophaga castanea</v>
      </c>
      <c r="G244" s="3" t="str">
        <f>VLOOKUP(B244,LifeList!$E$2:$I$2038,4)</f>
        <v>Passeriformes</v>
      </c>
      <c r="H244" s="3" t="str">
        <f>VLOOKUP(B244,LifeList!$E$2:$I$2038,5)</f>
        <v>Parulidae (New World Warblers)</v>
      </c>
      <c r="I244" s="3"/>
    </row>
    <row r="245" spans="1:9" ht="10.5" customHeight="1">
      <c r="A245" s="3" t="s">
        <v>375</v>
      </c>
      <c r="B245" s="3" t="s">
        <v>369</v>
      </c>
      <c r="C245" s="3">
        <f>VLOOKUP(B245,LifeList!$E$2:$J$2038,6)</f>
        <v>34083</v>
      </c>
      <c r="D245" s="3" t="str">
        <f>VLOOKUP(B245,LifeList!$E$2:$G$2038,1)</f>
        <v>Bay-breasted Warbler</v>
      </c>
      <c r="E245" s="3" t="str">
        <f>VLOOKUP(B245,LifeList!$E$2:$G$2038,2)</f>
        <v>Paruline à poitrine baie</v>
      </c>
      <c r="F245" s="3" t="str">
        <f>VLOOKUP(B245,LifeList!$E$2:$G$2038,3)</f>
        <v>Setophaga castanea</v>
      </c>
      <c r="G245" s="3" t="str">
        <f>VLOOKUP(B245,LifeList!$E$2:$I$2038,4)</f>
        <v>Passeriformes</v>
      </c>
      <c r="H245" s="3" t="str">
        <f>VLOOKUP(B245,LifeList!$E$2:$I$2038,5)</f>
        <v>Parulidae (New World Warblers)</v>
      </c>
      <c r="I245" s="3"/>
    </row>
    <row r="246" spans="1:9" ht="10.5" customHeight="1">
      <c r="A246" s="3" t="s">
        <v>376</v>
      </c>
      <c r="B246" s="3" t="s">
        <v>369</v>
      </c>
      <c r="C246" s="3">
        <f>VLOOKUP(B246,LifeList!$E$2:$J$2038,6)</f>
        <v>34083</v>
      </c>
      <c r="D246" s="3" t="str">
        <f>VLOOKUP(B246,LifeList!$E$2:$G$2038,1)</f>
        <v>Bay-breasted Warbler</v>
      </c>
      <c r="E246" s="3" t="str">
        <f>VLOOKUP(B246,LifeList!$E$2:$G$2038,2)</f>
        <v>Paruline à poitrine baie</v>
      </c>
      <c r="F246" s="3" t="str">
        <f>VLOOKUP(B246,LifeList!$E$2:$G$2038,3)</f>
        <v>Setophaga castanea</v>
      </c>
      <c r="G246" s="3" t="str">
        <f>VLOOKUP(B246,LifeList!$E$2:$I$2038,4)</f>
        <v>Passeriformes</v>
      </c>
      <c r="H246" s="3" t="str">
        <f>VLOOKUP(B246,LifeList!$E$2:$I$2038,5)</f>
        <v>Parulidae (New World Warblers)</v>
      </c>
      <c r="I246" s="3"/>
    </row>
    <row r="247" spans="1:9" ht="10.5" customHeight="1">
      <c r="A247" s="3" t="s">
        <v>377</v>
      </c>
      <c r="B247" s="3" t="s">
        <v>369</v>
      </c>
      <c r="C247" s="3">
        <f>VLOOKUP(B247,LifeList!$E$2:$J$2038,6)</f>
        <v>34083</v>
      </c>
      <c r="D247" s="3" t="str">
        <f>VLOOKUP(B247,LifeList!$E$2:$G$2038,1)</f>
        <v>Bay-breasted Warbler</v>
      </c>
      <c r="E247" s="3" t="str">
        <f>VLOOKUP(B247,LifeList!$E$2:$G$2038,2)</f>
        <v>Paruline à poitrine baie</v>
      </c>
      <c r="F247" s="3" t="str">
        <f>VLOOKUP(B247,LifeList!$E$2:$G$2038,3)</f>
        <v>Setophaga castanea</v>
      </c>
      <c r="G247" s="3" t="str">
        <f>VLOOKUP(B247,LifeList!$E$2:$I$2038,4)</f>
        <v>Passeriformes</v>
      </c>
      <c r="H247" s="3" t="str">
        <f>VLOOKUP(B247,LifeList!$E$2:$I$2038,5)</f>
        <v>Parulidae (New World Warblers)</v>
      </c>
      <c r="I247" s="3"/>
    </row>
    <row r="248" spans="1:9" ht="10.5" customHeight="1">
      <c r="A248" s="3" t="s">
        <v>378</v>
      </c>
      <c r="B248" s="3" t="s">
        <v>369</v>
      </c>
      <c r="C248" s="3">
        <f>VLOOKUP(B248,LifeList!$E$2:$J$2038,6)</f>
        <v>34083</v>
      </c>
      <c r="D248" s="3" t="str">
        <f>VLOOKUP(B248,LifeList!$E$2:$G$2038,1)</f>
        <v>Bay-breasted Warbler</v>
      </c>
      <c r="E248" s="3" t="str">
        <f>VLOOKUP(B248,LifeList!$E$2:$G$2038,2)</f>
        <v>Paruline à poitrine baie</v>
      </c>
      <c r="F248" s="3" t="str">
        <f>VLOOKUP(B248,LifeList!$E$2:$G$2038,3)</f>
        <v>Setophaga castanea</v>
      </c>
      <c r="G248" s="3" t="str">
        <f>VLOOKUP(B248,LifeList!$E$2:$I$2038,4)</f>
        <v>Passeriformes</v>
      </c>
      <c r="H248" s="3" t="str">
        <f>VLOOKUP(B248,LifeList!$E$2:$I$2038,5)</f>
        <v>Parulidae (New World Warblers)</v>
      </c>
      <c r="I248" s="3"/>
    </row>
    <row r="249" spans="1:9" ht="10.5" customHeight="1">
      <c r="A249" s="3" t="s">
        <v>379</v>
      </c>
      <c r="B249" s="3" t="s">
        <v>369</v>
      </c>
      <c r="C249" s="3">
        <f>VLOOKUP(B249,LifeList!$E$2:$J$2038,6)</f>
        <v>34083</v>
      </c>
      <c r="D249" s="3" t="str">
        <f>VLOOKUP(B249,LifeList!$E$2:$G$2038,1)</f>
        <v>Bay-breasted Warbler</v>
      </c>
      <c r="E249" s="3" t="str">
        <f>VLOOKUP(B249,LifeList!$E$2:$G$2038,2)</f>
        <v>Paruline à poitrine baie</v>
      </c>
      <c r="F249" s="3" t="str">
        <f>VLOOKUP(B249,LifeList!$E$2:$G$2038,3)</f>
        <v>Setophaga castanea</v>
      </c>
      <c r="G249" s="3" t="str">
        <f>VLOOKUP(B249,LifeList!$E$2:$I$2038,4)</f>
        <v>Passeriformes</v>
      </c>
      <c r="H249" s="3" t="str">
        <f>VLOOKUP(B249,LifeList!$E$2:$I$2038,5)</f>
        <v>Parulidae (New World Warblers)</v>
      </c>
      <c r="I249" s="3"/>
    </row>
    <row r="250" spans="1:9" ht="10.5" customHeight="1">
      <c r="A250" s="3" t="s">
        <v>380</v>
      </c>
      <c r="B250" s="3" t="s">
        <v>369</v>
      </c>
      <c r="C250" s="3">
        <f>VLOOKUP(B250,LifeList!$E$2:$J$2038,6)</f>
        <v>34083</v>
      </c>
      <c r="D250" s="3" t="str">
        <f>VLOOKUP(B250,LifeList!$E$2:$G$2038,1)</f>
        <v>Bay-breasted Warbler</v>
      </c>
      <c r="E250" s="3" t="str">
        <f>VLOOKUP(B250,LifeList!$E$2:$G$2038,2)</f>
        <v>Paruline à poitrine baie</v>
      </c>
      <c r="F250" s="3" t="str">
        <f>VLOOKUP(B250,LifeList!$E$2:$G$2038,3)</f>
        <v>Setophaga castanea</v>
      </c>
      <c r="G250" s="3" t="str">
        <f>VLOOKUP(B250,LifeList!$E$2:$I$2038,4)</f>
        <v>Passeriformes</v>
      </c>
      <c r="H250" s="3" t="str">
        <f>VLOOKUP(B250,LifeList!$E$2:$I$2038,5)</f>
        <v>Parulidae (New World Warblers)</v>
      </c>
      <c r="I250" s="3"/>
    </row>
    <row r="251" spans="1:9" ht="10.5" customHeight="1">
      <c r="A251" s="3" t="s">
        <v>381</v>
      </c>
      <c r="B251" s="3" t="s">
        <v>369</v>
      </c>
      <c r="C251" s="3">
        <f>VLOOKUP(B251,LifeList!$E$2:$J$2038,6)</f>
        <v>34083</v>
      </c>
      <c r="D251" s="3" t="str">
        <f>VLOOKUP(B251,LifeList!$E$2:$G$2038,1)</f>
        <v>Bay-breasted Warbler</v>
      </c>
      <c r="E251" s="3" t="str">
        <f>VLOOKUP(B251,LifeList!$E$2:$G$2038,2)</f>
        <v>Paruline à poitrine baie</v>
      </c>
      <c r="F251" s="3" t="str">
        <f>VLOOKUP(B251,LifeList!$E$2:$G$2038,3)</f>
        <v>Setophaga castanea</v>
      </c>
      <c r="G251" s="3" t="str">
        <f>VLOOKUP(B251,LifeList!$E$2:$I$2038,4)</f>
        <v>Passeriformes</v>
      </c>
      <c r="H251" s="3" t="str">
        <f>VLOOKUP(B251,LifeList!$E$2:$I$2038,5)</f>
        <v>Parulidae (New World Warblers)</v>
      </c>
      <c r="I251" s="3"/>
    </row>
    <row r="252" spans="1:9" ht="10.5" customHeight="1">
      <c r="A252" s="3" t="s">
        <v>382</v>
      </c>
      <c r="B252" s="3" t="s">
        <v>383</v>
      </c>
      <c r="C252" s="3">
        <f>VLOOKUP(B252,LifeList!$E$2:$J$2038,6)</f>
        <v>35088</v>
      </c>
      <c r="D252" s="3" t="str">
        <f>VLOOKUP(B252,LifeList!$E$2:$G$2038,1)</f>
        <v>Bay-headed Tanager</v>
      </c>
      <c r="E252" s="3" t="str">
        <f>VLOOKUP(B252,LifeList!$E$2:$G$2038,2)</f>
        <v>Calliste rouverdin</v>
      </c>
      <c r="F252" s="3" t="str">
        <f>VLOOKUP(B252,LifeList!$E$2:$G$2038,3)</f>
        <v>Tangara gyrola</v>
      </c>
      <c r="G252" s="3" t="str">
        <f>VLOOKUP(B252,LifeList!$E$2:$I$2038,4)</f>
        <v>Passeriformes</v>
      </c>
      <c r="H252" s="3" t="str">
        <f>VLOOKUP(B252,LifeList!$E$2:$I$2038,5)</f>
        <v>Thraupidae (Tanagers and Allies)</v>
      </c>
      <c r="I252" s="3"/>
    </row>
    <row r="253" spans="1:9" ht="10.5" customHeight="1">
      <c r="A253" s="3" t="s">
        <v>384</v>
      </c>
      <c r="B253" s="3" t="s">
        <v>383</v>
      </c>
      <c r="C253" s="3">
        <f>VLOOKUP(B253,LifeList!$E$2:$J$2038,6)</f>
        <v>35088</v>
      </c>
      <c r="D253" s="3" t="str">
        <f>VLOOKUP(B253,LifeList!$E$2:$G$2038,1)</f>
        <v>Bay-headed Tanager</v>
      </c>
      <c r="E253" s="3" t="str">
        <f>VLOOKUP(B253,LifeList!$E$2:$G$2038,2)</f>
        <v>Calliste rouverdin</v>
      </c>
      <c r="F253" s="3" t="str">
        <f>VLOOKUP(B253,LifeList!$E$2:$G$2038,3)</f>
        <v>Tangara gyrola</v>
      </c>
      <c r="G253" s="3" t="str">
        <f>VLOOKUP(B253,LifeList!$E$2:$I$2038,4)</f>
        <v>Passeriformes</v>
      </c>
      <c r="H253" s="3" t="str">
        <f>VLOOKUP(B253,LifeList!$E$2:$I$2038,5)</f>
        <v>Thraupidae (Tanagers and Allies)</v>
      </c>
      <c r="I253" s="3"/>
    </row>
    <row r="254" spans="1:9" ht="10.5" customHeight="1">
      <c r="A254" s="3" t="s">
        <v>385</v>
      </c>
      <c r="B254" s="3" t="s">
        <v>386</v>
      </c>
      <c r="C254" s="3">
        <f>VLOOKUP(B254,LifeList!$E$2:$J$2038,6)</f>
        <v>17807</v>
      </c>
      <c r="D254" s="3" t="str">
        <f>VLOOKUP(B254,LifeList!$E$2:$G$2038,1)</f>
        <v>Bell Miner</v>
      </c>
      <c r="E254" s="3" t="str">
        <f>VLOOKUP(B254,LifeList!$E$2:$G$2038,2)</f>
        <v>Méliphage à sourcils noirs</v>
      </c>
      <c r="F254" s="3" t="str">
        <f>VLOOKUP(B254,LifeList!$E$2:$G$2038,3)</f>
        <v>Manorina melanophrys</v>
      </c>
      <c r="G254" s="3" t="str">
        <f>VLOOKUP(B254,LifeList!$E$2:$I$2038,4)</f>
        <v>Passeriformes</v>
      </c>
      <c r="H254" s="3" t="str">
        <f>VLOOKUP(B254,LifeList!$E$2:$I$2038,5)</f>
        <v>Meliphagidae (Honeyeaters)</v>
      </c>
      <c r="I254" s="3"/>
    </row>
    <row r="255" spans="1:9" ht="10.5" customHeight="1">
      <c r="A255" s="3" t="s">
        <v>387</v>
      </c>
      <c r="B255" s="3" t="s">
        <v>388</v>
      </c>
      <c r="C255" s="3">
        <f>VLOOKUP(B255,LifeList!$E$2:$J$2038,6)</f>
        <v>10306</v>
      </c>
      <c r="D255" s="3" t="str">
        <f>VLOOKUP(B255,LifeList!$E$2:$G$2038,1)</f>
        <v>Belted Kingfisher</v>
      </c>
      <c r="E255" s="3" t="str">
        <f>VLOOKUP(B255,LifeList!$E$2:$G$2038,2)</f>
        <v>Martin-pêcheur d'Amérique</v>
      </c>
      <c r="F255" s="3" t="str">
        <f>VLOOKUP(B255,LifeList!$E$2:$G$2038,3)</f>
        <v>Megaceryle alcyon</v>
      </c>
      <c r="G255" s="3" t="str">
        <f>VLOOKUP(B255,LifeList!$E$2:$I$2038,4)</f>
        <v>Coraciiformes</v>
      </c>
      <c r="H255" s="3" t="str">
        <f>VLOOKUP(B255,LifeList!$E$2:$I$2038,5)</f>
        <v>Alcedinidae (Kingfishers)</v>
      </c>
      <c r="I255" s="3"/>
    </row>
    <row r="256" spans="1:9" ht="10.5" customHeight="1">
      <c r="A256" s="3" t="s">
        <v>389</v>
      </c>
      <c r="B256" s="3" t="s">
        <v>388</v>
      </c>
      <c r="C256" s="3">
        <f>VLOOKUP(B256,LifeList!$E$2:$J$2038,6)</f>
        <v>10306</v>
      </c>
      <c r="D256" s="3" t="str">
        <f>VLOOKUP(B256,LifeList!$E$2:$G$2038,1)</f>
        <v>Belted Kingfisher</v>
      </c>
      <c r="E256" s="3" t="str">
        <f>VLOOKUP(B256,LifeList!$E$2:$G$2038,2)</f>
        <v>Martin-pêcheur d'Amérique</v>
      </c>
      <c r="F256" s="3" t="str">
        <f>VLOOKUP(B256,LifeList!$E$2:$G$2038,3)</f>
        <v>Megaceryle alcyon</v>
      </c>
      <c r="G256" s="3" t="str">
        <f>VLOOKUP(B256,LifeList!$E$2:$I$2038,4)</f>
        <v>Coraciiformes</v>
      </c>
      <c r="H256" s="3" t="str">
        <f>VLOOKUP(B256,LifeList!$E$2:$I$2038,5)</f>
        <v>Alcedinidae (Kingfishers)</v>
      </c>
      <c r="I256" s="3"/>
    </row>
    <row r="257" spans="1:9" ht="10.5" customHeight="1">
      <c r="A257" s="3" t="s">
        <v>390</v>
      </c>
      <c r="B257" s="3" t="s">
        <v>388</v>
      </c>
      <c r="C257" s="3">
        <f>VLOOKUP(B257,LifeList!$E$2:$J$2038,6)</f>
        <v>10306</v>
      </c>
      <c r="D257" s="3" t="str">
        <f>VLOOKUP(B257,LifeList!$E$2:$G$2038,1)</f>
        <v>Belted Kingfisher</v>
      </c>
      <c r="E257" s="3" t="str">
        <f>VLOOKUP(B257,LifeList!$E$2:$G$2038,2)</f>
        <v>Martin-pêcheur d'Amérique</v>
      </c>
      <c r="F257" s="3" t="str">
        <f>VLOOKUP(B257,LifeList!$E$2:$G$2038,3)</f>
        <v>Megaceryle alcyon</v>
      </c>
      <c r="G257" s="3" t="str">
        <f>VLOOKUP(B257,LifeList!$E$2:$I$2038,4)</f>
        <v>Coraciiformes</v>
      </c>
      <c r="H257" s="3" t="str">
        <f>VLOOKUP(B257,LifeList!$E$2:$I$2038,5)</f>
        <v>Alcedinidae (Kingfishers)</v>
      </c>
      <c r="I257" s="3"/>
    </row>
    <row r="258" spans="1:9" ht="10.5" customHeight="1">
      <c r="A258" s="3" t="s">
        <v>391</v>
      </c>
      <c r="B258" s="3" t="s">
        <v>388</v>
      </c>
      <c r="C258" s="3">
        <f>VLOOKUP(B258,LifeList!$E$2:$J$2038,6)</f>
        <v>10306</v>
      </c>
      <c r="D258" s="3" t="str">
        <f>VLOOKUP(B258,LifeList!$E$2:$G$2038,1)</f>
        <v>Belted Kingfisher</v>
      </c>
      <c r="E258" s="3" t="str">
        <f>VLOOKUP(B258,LifeList!$E$2:$G$2038,2)</f>
        <v>Martin-pêcheur d'Amérique</v>
      </c>
      <c r="F258" s="3" t="str">
        <f>VLOOKUP(B258,LifeList!$E$2:$G$2038,3)</f>
        <v>Megaceryle alcyon</v>
      </c>
      <c r="G258" s="3" t="str">
        <f>VLOOKUP(B258,LifeList!$E$2:$I$2038,4)</f>
        <v>Coraciiformes</v>
      </c>
      <c r="H258" s="3" t="str">
        <f>VLOOKUP(B258,LifeList!$E$2:$I$2038,5)</f>
        <v>Alcedinidae (Kingfishers)</v>
      </c>
      <c r="I258" s="3"/>
    </row>
    <row r="259" spans="1:9" ht="10.5" customHeight="1">
      <c r="A259" s="3" t="s">
        <v>392</v>
      </c>
      <c r="B259" s="3" t="s">
        <v>388</v>
      </c>
      <c r="C259" s="3">
        <f>VLOOKUP(B259,LifeList!$E$2:$J$2038,6)</f>
        <v>10306</v>
      </c>
      <c r="D259" s="3" t="str">
        <f>VLOOKUP(B259,LifeList!$E$2:$G$2038,1)</f>
        <v>Belted Kingfisher</v>
      </c>
      <c r="E259" s="3" t="str">
        <f>VLOOKUP(B259,LifeList!$E$2:$G$2038,2)</f>
        <v>Martin-pêcheur d'Amérique</v>
      </c>
      <c r="F259" s="3" t="str">
        <f>VLOOKUP(B259,LifeList!$E$2:$G$2038,3)</f>
        <v>Megaceryle alcyon</v>
      </c>
      <c r="G259" s="3" t="str">
        <f>VLOOKUP(B259,LifeList!$E$2:$I$2038,4)</f>
        <v>Coraciiformes</v>
      </c>
      <c r="H259" s="3" t="str">
        <f>VLOOKUP(B259,LifeList!$E$2:$I$2038,5)</f>
        <v>Alcedinidae (Kingfishers)</v>
      </c>
      <c r="I259" s="3"/>
    </row>
    <row r="260" spans="1:9" ht="10.5" customHeight="1">
      <c r="A260" s="3" t="s">
        <v>393</v>
      </c>
      <c r="B260" s="3" t="s">
        <v>394</v>
      </c>
      <c r="C260" s="3">
        <f>VLOOKUP(B260,LifeList!$E$2:$J$2038,6)</f>
        <v>35041</v>
      </c>
      <c r="D260" s="3" t="str">
        <f>VLOOKUP(B260,LifeList!$E$2:$G$2038,1)</f>
        <v>Beryl-spangled Tanager</v>
      </c>
      <c r="E260" s="3" t="str">
        <f>VLOOKUP(B260,LifeList!$E$2:$G$2038,2)</f>
        <v>Calliste béryl</v>
      </c>
      <c r="F260" s="3" t="str">
        <f>VLOOKUP(B260,LifeList!$E$2:$G$2038,3)</f>
        <v>Tangara nigroviridis</v>
      </c>
      <c r="G260" s="3" t="str">
        <f>VLOOKUP(B260,LifeList!$E$2:$I$2038,4)</f>
        <v>Passeriformes</v>
      </c>
      <c r="H260" s="3" t="str">
        <f>VLOOKUP(B260,LifeList!$E$2:$I$2038,5)</f>
        <v>Thraupidae (Tanagers and Allies)</v>
      </c>
      <c r="I260" s="3"/>
    </row>
    <row r="261" spans="1:9" ht="10.5" customHeight="1">
      <c r="A261" s="3" t="s">
        <v>395</v>
      </c>
      <c r="B261" s="3" t="s">
        <v>394</v>
      </c>
      <c r="C261" s="3">
        <f>VLOOKUP(B261,LifeList!$E$2:$J$2038,6)</f>
        <v>35041</v>
      </c>
      <c r="D261" s="3" t="str">
        <f>VLOOKUP(B261,LifeList!$E$2:$G$2038,1)</f>
        <v>Beryl-spangled Tanager</v>
      </c>
      <c r="E261" s="3" t="str">
        <f>VLOOKUP(B261,LifeList!$E$2:$G$2038,2)</f>
        <v>Calliste béryl</v>
      </c>
      <c r="F261" s="3" t="str">
        <f>VLOOKUP(B261,LifeList!$E$2:$G$2038,3)</f>
        <v>Tangara nigroviridis</v>
      </c>
      <c r="G261" s="3" t="str">
        <f>VLOOKUP(B261,LifeList!$E$2:$I$2038,4)</f>
        <v>Passeriformes</v>
      </c>
      <c r="H261" s="3" t="str">
        <f>VLOOKUP(B261,LifeList!$E$2:$I$2038,5)</f>
        <v>Thraupidae (Tanagers and Allies)</v>
      </c>
      <c r="I261" s="3"/>
    </row>
    <row r="262" spans="1:9" ht="10.5" customHeight="1">
      <c r="A262" s="7" t="s">
        <v>396</v>
      </c>
      <c r="B262" s="8" t="s">
        <v>397</v>
      </c>
      <c r="C262" s="3">
        <f>VLOOKUP(B262,LifeList!$E$2:$J$2038,6)</f>
        <v>27362</v>
      </c>
      <c r="D262" s="3" t="str">
        <f>VLOOKUP(B262,LifeList!$E$2:$G$2038,1)</f>
        <v>Bewick's Wren</v>
      </c>
      <c r="E262" s="3" t="str">
        <f>VLOOKUP(B262,LifeList!$E$2:$G$2038,2)</f>
        <v>Troglodyte de Bewick</v>
      </c>
      <c r="F262" s="3" t="str">
        <f>VLOOKUP(B262,LifeList!$E$2:$G$2038,3)</f>
        <v>Thryomanes bewickii</v>
      </c>
      <c r="G262" s="3" t="str">
        <f>VLOOKUP(B262,LifeList!$E$2:$I$2038,4)</f>
        <v>Passeriformes</v>
      </c>
      <c r="H262" s="3" t="str">
        <f>VLOOKUP(B262,LifeList!$E$2:$I$2038,5)</f>
        <v>Troglodytidae (Wrens)</v>
      </c>
      <c r="I262" s="3"/>
    </row>
    <row r="263" spans="1:9" ht="10.5" customHeight="1">
      <c r="A263" s="3" t="s">
        <v>398</v>
      </c>
      <c r="B263" s="3" t="s">
        <v>399</v>
      </c>
      <c r="C263" s="3">
        <f>VLOOKUP(B263,LifeList!$E$2:$J$2038,6)</f>
        <v>14076</v>
      </c>
      <c r="D263" s="3" t="str">
        <f>VLOOKUP(B263,LifeList!$E$2:$G$2038,1)</f>
        <v>Bicolored Antbird</v>
      </c>
      <c r="E263" s="3" t="str">
        <f>VLOOKUP(B263,LifeList!$E$2:$G$2038,2)</f>
        <v>Fourmilier bicolore</v>
      </c>
      <c r="F263" s="3" t="str">
        <f>VLOOKUP(B263,LifeList!$E$2:$G$2038,3)</f>
        <v>Gymnopithys bicolor</v>
      </c>
      <c r="G263" s="3" t="str">
        <f>VLOOKUP(B263,LifeList!$E$2:$I$2038,4)</f>
        <v>Passeriformes</v>
      </c>
      <c r="H263" s="3" t="str">
        <f>VLOOKUP(B263,LifeList!$E$2:$I$2038,5)</f>
        <v>Thamnophilidae (Typical Antbirds)</v>
      </c>
      <c r="I263" s="3"/>
    </row>
    <row r="264" spans="1:9" ht="10.5" customHeight="1">
      <c r="A264" s="3" t="s">
        <v>400</v>
      </c>
      <c r="B264" s="3" t="s">
        <v>399</v>
      </c>
      <c r="C264" s="3">
        <f>VLOOKUP(B264,LifeList!$E$2:$J$2038,6)</f>
        <v>14076</v>
      </c>
      <c r="D264" s="3" t="str">
        <f>VLOOKUP(B264,LifeList!$E$2:$G$2038,1)</f>
        <v>Bicolored Antbird</v>
      </c>
      <c r="E264" s="3" t="str">
        <f>VLOOKUP(B264,LifeList!$E$2:$G$2038,2)</f>
        <v>Fourmilier bicolore</v>
      </c>
      <c r="F264" s="3" t="str">
        <f>VLOOKUP(B264,LifeList!$E$2:$G$2038,3)</f>
        <v>Gymnopithys bicolor</v>
      </c>
      <c r="G264" s="3" t="str">
        <f>VLOOKUP(B264,LifeList!$E$2:$I$2038,4)</f>
        <v>Passeriformes</v>
      </c>
      <c r="H264" s="3" t="str">
        <f>VLOOKUP(B264,LifeList!$E$2:$I$2038,5)</f>
        <v>Thamnophilidae (Typical Antbirds)</v>
      </c>
      <c r="I264" s="3"/>
    </row>
    <row r="265" spans="1:9" ht="10.5" customHeight="1">
      <c r="A265" s="3" t="s">
        <v>401</v>
      </c>
      <c r="B265" s="3" t="s">
        <v>399</v>
      </c>
      <c r="C265" s="3">
        <f>VLOOKUP(B265,LifeList!$E$2:$J$2038,6)</f>
        <v>14076</v>
      </c>
      <c r="D265" s="3" t="str">
        <f>VLOOKUP(B265,LifeList!$E$2:$G$2038,1)</f>
        <v>Bicolored Antbird</v>
      </c>
      <c r="E265" s="3" t="str">
        <f>VLOOKUP(B265,LifeList!$E$2:$G$2038,2)</f>
        <v>Fourmilier bicolore</v>
      </c>
      <c r="F265" s="3" t="str">
        <f>VLOOKUP(B265,LifeList!$E$2:$G$2038,3)</f>
        <v>Gymnopithys bicolor</v>
      </c>
      <c r="G265" s="3" t="str">
        <f>VLOOKUP(B265,LifeList!$E$2:$I$2038,4)</f>
        <v>Passeriformes</v>
      </c>
      <c r="H265" s="3" t="str">
        <f>VLOOKUP(B265,LifeList!$E$2:$I$2038,5)</f>
        <v>Thamnophilidae (Typical Antbirds)</v>
      </c>
      <c r="I265" s="3"/>
    </row>
    <row r="266" spans="1:9" ht="10.5" customHeight="1">
      <c r="A266" s="3" t="s">
        <v>402</v>
      </c>
      <c r="B266" s="3" t="s">
        <v>399</v>
      </c>
      <c r="C266" s="3">
        <f>VLOOKUP(B266,LifeList!$E$2:$J$2038,6)</f>
        <v>14076</v>
      </c>
      <c r="D266" s="3" t="str">
        <f>VLOOKUP(B266,LifeList!$E$2:$G$2038,1)</f>
        <v>Bicolored Antbird</v>
      </c>
      <c r="E266" s="3" t="str">
        <f>VLOOKUP(B266,LifeList!$E$2:$G$2038,2)</f>
        <v>Fourmilier bicolore</v>
      </c>
      <c r="F266" s="3" t="str">
        <f>VLOOKUP(B266,LifeList!$E$2:$G$2038,3)</f>
        <v>Gymnopithys bicolor</v>
      </c>
      <c r="G266" s="3" t="str">
        <f>VLOOKUP(B266,LifeList!$E$2:$I$2038,4)</f>
        <v>Passeriformes</v>
      </c>
      <c r="H266" s="3" t="str">
        <f>VLOOKUP(B266,LifeList!$E$2:$I$2038,5)</f>
        <v>Thamnophilidae (Typical Antbirds)</v>
      </c>
      <c r="I266" s="3"/>
    </row>
    <row r="267" spans="1:9" ht="10.5" customHeight="1">
      <c r="A267" s="3" t="s">
        <v>403</v>
      </c>
      <c r="B267" s="3" t="s">
        <v>404</v>
      </c>
      <c r="C267" s="3">
        <f>VLOOKUP(B267,LifeList!$E$2:$J$2038,6)</f>
        <v>14267</v>
      </c>
      <c r="D267" s="3" t="str">
        <f>VLOOKUP(B267,LifeList!$E$2:$G$2038,1)</f>
        <v>Bicolored Antpitta</v>
      </c>
      <c r="E267" s="3" t="str">
        <f>VLOOKUP(B267,LifeList!$E$2:$G$2038,2)</f>
        <v>Grallaire bicolore</v>
      </c>
      <c r="F267" s="3" t="str">
        <f>VLOOKUP(B267,LifeList!$E$2:$G$2038,3)</f>
        <v>Grallaria rufocinerea</v>
      </c>
      <c r="G267" s="3" t="str">
        <f>VLOOKUP(B267,LifeList!$E$2:$I$2038,4)</f>
        <v>Passeriformes</v>
      </c>
      <c r="H267" s="3" t="str">
        <f>VLOOKUP(B267,LifeList!$E$2:$I$2038,5)</f>
        <v>Grallariidae (Antpittas)</v>
      </c>
      <c r="I267" s="3"/>
    </row>
    <row r="268" spans="1:9" ht="10.5" customHeight="1">
      <c r="A268" s="3" t="s">
        <v>405</v>
      </c>
      <c r="B268" s="3" t="s">
        <v>404</v>
      </c>
      <c r="C268" s="3">
        <f>VLOOKUP(B268,LifeList!$E$2:$J$2038,6)</f>
        <v>14267</v>
      </c>
      <c r="D268" s="3" t="str">
        <f>VLOOKUP(B268,LifeList!$E$2:$G$2038,1)</f>
        <v>Bicolored Antpitta</v>
      </c>
      <c r="E268" s="3" t="str">
        <f>VLOOKUP(B268,LifeList!$E$2:$G$2038,2)</f>
        <v>Grallaire bicolore</v>
      </c>
      <c r="F268" s="3" t="str">
        <f>VLOOKUP(B268,LifeList!$E$2:$G$2038,3)</f>
        <v>Grallaria rufocinerea</v>
      </c>
      <c r="G268" s="3" t="str">
        <f>VLOOKUP(B268,LifeList!$E$2:$I$2038,4)</f>
        <v>Passeriformes</v>
      </c>
      <c r="H268" s="3" t="str">
        <f>VLOOKUP(B268,LifeList!$E$2:$I$2038,5)</f>
        <v>Grallariidae (Antpittas)</v>
      </c>
      <c r="I268" s="3"/>
    </row>
    <row r="269" spans="1:9" ht="10.5" customHeight="1">
      <c r="A269" s="3" t="s">
        <v>406</v>
      </c>
      <c r="B269" s="3" t="s">
        <v>404</v>
      </c>
      <c r="C269" s="3">
        <f>VLOOKUP(B269,LifeList!$E$2:$J$2038,6)</f>
        <v>14267</v>
      </c>
      <c r="D269" s="3" t="str">
        <f>VLOOKUP(B269,LifeList!$E$2:$G$2038,1)</f>
        <v>Bicolored Antpitta</v>
      </c>
      <c r="E269" s="3" t="str">
        <f>VLOOKUP(B269,LifeList!$E$2:$G$2038,2)</f>
        <v>Grallaire bicolore</v>
      </c>
      <c r="F269" s="3" t="str">
        <f>VLOOKUP(B269,LifeList!$E$2:$G$2038,3)</f>
        <v>Grallaria rufocinerea</v>
      </c>
      <c r="G269" s="3" t="str">
        <f>VLOOKUP(B269,LifeList!$E$2:$I$2038,4)</f>
        <v>Passeriformes</v>
      </c>
      <c r="H269" s="3" t="str">
        <f>VLOOKUP(B269,LifeList!$E$2:$I$2038,5)</f>
        <v>Grallariidae (Antpittas)</v>
      </c>
      <c r="I269" s="3"/>
    </row>
    <row r="270" spans="1:9" ht="10.5" customHeight="1">
      <c r="A270" s="3" t="s">
        <v>407</v>
      </c>
      <c r="B270" s="3" t="s">
        <v>408</v>
      </c>
      <c r="C270" s="3">
        <f>VLOOKUP(B270,LifeList!$E$2:$J$2038,6)</f>
        <v>35236</v>
      </c>
      <c r="D270" s="3" t="str">
        <f>VLOOKUP(B270,LifeList!$E$2:$G$2038,1)</f>
        <v>Bicolored Conebill</v>
      </c>
      <c r="E270" s="3" t="str">
        <f>VLOOKUP(B270,LifeList!$E$2:$G$2038,2)</f>
        <v>Conirostre bicolore</v>
      </c>
      <c r="F270" s="3" t="str">
        <f>VLOOKUP(B270,LifeList!$E$2:$G$2038,3)</f>
        <v>Conirostrum bicolor</v>
      </c>
      <c r="G270" s="3" t="str">
        <f>VLOOKUP(B270,LifeList!$E$2:$I$2038,4)</f>
        <v>Passeriformes</v>
      </c>
      <c r="H270" s="3" t="str">
        <f>VLOOKUP(B270,LifeList!$E$2:$I$2038,5)</f>
        <v>Thraupidae (Tanagers and Allies)</v>
      </c>
      <c r="I270" s="3"/>
    </row>
    <row r="271" spans="1:9" ht="10.5" customHeight="1">
      <c r="A271" s="3" t="s">
        <v>409</v>
      </c>
      <c r="B271" s="3" t="s">
        <v>410</v>
      </c>
      <c r="C271" s="3">
        <f>VLOOKUP(B271,LifeList!$E$2:$J$2038,6)</f>
        <v>27429</v>
      </c>
      <c r="D271" s="3" t="str">
        <f>VLOOKUP(B271,LifeList!$E$2:$G$2038,1)</f>
        <v>Bicolored Wren</v>
      </c>
      <c r="E271" s="3" t="str">
        <f>VLOOKUP(B271,LifeList!$E$2:$G$2038,2)</f>
        <v>Troglodyte bicolore</v>
      </c>
      <c r="F271" s="3" t="str">
        <f>VLOOKUP(B271,LifeList!$E$2:$G$2038,3)</f>
        <v>Campylorhynchus griseus</v>
      </c>
      <c r="G271" s="3" t="str">
        <f>VLOOKUP(B271,LifeList!$E$2:$I$2038,4)</f>
        <v>Passeriformes</v>
      </c>
      <c r="H271" s="3" t="str">
        <f>VLOOKUP(B271,LifeList!$E$2:$I$2038,5)</f>
        <v>Troglodytidae (Wrens)</v>
      </c>
      <c r="I271" s="3"/>
    </row>
    <row r="272" spans="1:9" ht="10.5" customHeight="1">
      <c r="A272" s="3" t="s">
        <v>411</v>
      </c>
      <c r="B272" s="5" t="s">
        <v>412</v>
      </c>
      <c r="C272" s="3">
        <f>VLOOKUP(B272,LifeList!$E$2:$J$2038,6)</f>
        <v>33962</v>
      </c>
      <c r="D272" s="3" t="str">
        <f>VLOOKUP(B272,LifeList!$E$2:$G$2038,1)</f>
        <v>Black-and-white Warbler</v>
      </c>
      <c r="E272" s="3" t="str">
        <f>VLOOKUP(B272,LifeList!$E$2:$G$2038,2)</f>
        <v>Paruline noir et blanc</v>
      </c>
      <c r="F272" s="3" t="str">
        <f>VLOOKUP(B272,LifeList!$E$2:$G$2038,3)</f>
        <v>Mniotilta varia</v>
      </c>
      <c r="G272" s="3" t="str">
        <f>VLOOKUP(B272,LifeList!$E$2:$I$2038,4)</f>
        <v>Passeriformes</v>
      </c>
      <c r="H272" s="3" t="str">
        <f>VLOOKUP(B272,LifeList!$E$2:$I$2038,5)</f>
        <v>Parulidae (New World Warblers)</v>
      </c>
      <c r="I272" s="3"/>
    </row>
    <row r="273" spans="1:9" ht="10.5" customHeight="1">
      <c r="A273" s="3" t="s">
        <v>413</v>
      </c>
      <c r="B273" s="5" t="s">
        <v>412</v>
      </c>
      <c r="C273" s="3">
        <f>VLOOKUP(B273,LifeList!$E$2:$J$2038,6)</f>
        <v>33962</v>
      </c>
      <c r="D273" s="3" t="str">
        <f>VLOOKUP(B273,LifeList!$E$2:$G$2038,1)</f>
        <v>Black-and-white Warbler</v>
      </c>
      <c r="E273" s="3" t="str">
        <f>VLOOKUP(B273,LifeList!$E$2:$G$2038,2)</f>
        <v>Paruline noir et blanc</v>
      </c>
      <c r="F273" s="3" t="str">
        <f>VLOOKUP(B273,LifeList!$E$2:$G$2038,3)</f>
        <v>Mniotilta varia</v>
      </c>
      <c r="G273" s="3" t="str">
        <f>VLOOKUP(B273,LifeList!$E$2:$I$2038,4)</f>
        <v>Passeriformes</v>
      </c>
      <c r="H273" s="3" t="str">
        <f>VLOOKUP(B273,LifeList!$E$2:$I$2038,5)</f>
        <v>Parulidae (New World Warblers)</v>
      </c>
      <c r="I273" s="3"/>
    </row>
    <row r="274" spans="1:9" ht="10.5" customHeight="1">
      <c r="A274" s="7" t="s">
        <v>414</v>
      </c>
      <c r="B274" s="9" t="s">
        <v>415</v>
      </c>
      <c r="C274" s="3">
        <f>VLOOKUP(B274,LifeList!$E$2:$J$2038,6)</f>
        <v>27999</v>
      </c>
      <c r="D274" s="3" t="str">
        <f>VLOOKUP(B274,LifeList!$E$2:$G$2038,1)</f>
        <v>Black Catbird</v>
      </c>
      <c r="E274" s="3" t="str">
        <f>VLOOKUP(B274,LifeList!$E$2:$G$2038,2)</f>
        <v>Moqueur noir</v>
      </c>
      <c r="F274" s="3" t="str">
        <f>VLOOKUP(B274,LifeList!$E$2:$G$2038,3)</f>
        <v>Melanoptila glabrirostris</v>
      </c>
      <c r="G274" s="3" t="str">
        <f>VLOOKUP(B274,LifeList!$E$2:$I$2038,4)</f>
        <v>Passeriformes</v>
      </c>
      <c r="H274" s="3" t="str">
        <f>VLOOKUP(B274,LifeList!$E$2:$I$2038,5)</f>
        <v>Mimidae (Mockingbirds and Thrashers)</v>
      </c>
      <c r="I274" s="3"/>
    </row>
    <row r="275" spans="1:9" ht="10.5" customHeight="1">
      <c r="A275" s="5" t="s">
        <v>416</v>
      </c>
      <c r="B275" s="3" t="s">
        <v>417</v>
      </c>
      <c r="C275" s="3">
        <f>VLOOKUP(B275,LifeList!$E$2:$J$2038,6)</f>
        <v>6396</v>
      </c>
      <c r="D275" s="3" t="str">
        <f>VLOOKUP(B275,LifeList!$E$2:$G$2038,1)</f>
        <v>Black Guillemot</v>
      </c>
      <c r="E275" s="3" t="str">
        <f>VLOOKUP(B275,LifeList!$E$2:$G$2038,2)</f>
        <v>Guillemot à miroir</v>
      </c>
      <c r="F275" s="3" t="str">
        <f>VLOOKUP(B275,LifeList!$E$2:$G$2038,3)</f>
        <v>Cepphus grylle</v>
      </c>
      <c r="G275" s="3" t="str">
        <f>VLOOKUP(B275,LifeList!$E$2:$I$2038,4)</f>
        <v>Charadriiformes</v>
      </c>
      <c r="H275" s="3" t="str">
        <f>VLOOKUP(B275,LifeList!$E$2:$I$2038,5)</f>
        <v>Alcidae (Auks, Murres, and Puffins)</v>
      </c>
      <c r="I275" s="3"/>
    </row>
    <row r="276" spans="1:9" ht="10.5" customHeight="1">
      <c r="A276" s="5" t="s">
        <v>418</v>
      </c>
      <c r="B276" s="3" t="s">
        <v>419</v>
      </c>
      <c r="C276" s="3">
        <f>VLOOKUP(B276,LifeList!$E$2:$J$2038,6)</f>
        <v>6725</v>
      </c>
      <c r="D276" s="3" t="str">
        <f>VLOOKUP(B276,LifeList!$E$2:$G$2038,1)</f>
        <v>Black Tern</v>
      </c>
      <c r="E276" s="3" t="str">
        <f>VLOOKUP(B276,LifeList!$E$2:$G$2038,2)</f>
        <v>Guifette noire</v>
      </c>
      <c r="F276" s="3" t="str">
        <f>VLOOKUP(B276,LifeList!$E$2:$G$2038,3)</f>
        <v>Chlidonias niger</v>
      </c>
      <c r="G276" s="3" t="str">
        <f>VLOOKUP(B276,LifeList!$E$2:$I$2038,4)</f>
        <v>Charadriiformes</v>
      </c>
      <c r="H276" s="3" t="str">
        <f>VLOOKUP(B276,LifeList!$E$2:$I$2038,5)</f>
        <v>Laridae (Gulls, Terns, and Skimmers)</v>
      </c>
      <c r="I276" s="3"/>
    </row>
    <row r="277" spans="1:9" ht="10.5" customHeight="1">
      <c r="A277" s="5" t="s">
        <v>420</v>
      </c>
      <c r="B277" s="3" t="s">
        <v>419</v>
      </c>
      <c r="C277" s="3">
        <f>VLOOKUP(B277,LifeList!$E$2:$J$2038,6)</f>
        <v>6725</v>
      </c>
      <c r="D277" s="3" t="str">
        <f>VLOOKUP(B277,LifeList!$E$2:$G$2038,1)</f>
        <v>Black Tern</v>
      </c>
      <c r="E277" s="3" t="str">
        <f>VLOOKUP(B277,LifeList!$E$2:$G$2038,2)</f>
        <v>Guifette noire</v>
      </c>
      <c r="F277" s="3" t="str">
        <f>VLOOKUP(B277,LifeList!$E$2:$G$2038,3)</f>
        <v>Chlidonias niger</v>
      </c>
      <c r="G277" s="3" t="str">
        <f>VLOOKUP(B277,LifeList!$E$2:$I$2038,4)</f>
        <v>Charadriiformes</v>
      </c>
      <c r="H277" s="3" t="str">
        <f>VLOOKUP(B277,LifeList!$E$2:$I$2038,5)</f>
        <v>Laridae (Gulls, Terns, and Skimmers)</v>
      </c>
      <c r="I277" s="3"/>
    </row>
    <row r="278" spans="1:9" ht="10.5" customHeight="1">
      <c r="A278" s="5" t="s">
        <v>421</v>
      </c>
      <c r="B278" s="3" t="s">
        <v>419</v>
      </c>
      <c r="C278" s="3">
        <f>VLOOKUP(B278,LifeList!$E$2:$J$2038,6)</f>
        <v>6725</v>
      </c>
      <c r="D278" s="3" t="str">
        <f>VLOOKUP(B278,LifeList!$E$2:$G$2038,1)</f>
        <v>Black Tern</v>
      </c>
      <c r="E278" s="3" t="str">
        <f>VLOOKUP(B278,LifeList!$E$2:$G$2038,2)</f>
        <v>Guifette noire</v>
      </c>
      <c r="F278" s="3" t="str">
        <f>VLOOKUP(B278,LifeList!$E$2:$G$2038,3)</f>
        <v>Chlidonias niger</v>
      </c>
      <c r="G278" s="3" t="str">
        <f>VLOOKUP(B278,LifeList!$E$2:$I$2038,4)</f>
        <v>Charadriiformes</v>
      </c>
      <c r="H278" s="3" t="str">
        <f>VLOOKUP(B278,LifeList!$E$2:$I$2038,5)</f>
        <v>Laridae (Gulls, Terns, and Skimmers)</v>
      </c>
      <c r="I278" s="3"/>
    </row>
    <row r="279" spans="1:9" ht="10.5" customHeight="1">
      <c r="A279" s="7" t="s">
        <v>422</v>
      </c>
      <c r="B279" s="8" t="s">
        <v>423</v>
      </c>
      <c r="C279" s="3">
        <f>VLOOKUP(B279,LifeList!$E$2:$J$2038,6)</f>
        <v>18138</v>
      </c>
      <c r="D279" s="3" t="str">
        <f>VLOOKUP(B279,LifeList!$E$2:$G$2038,1)</f>
        <v>Black-chinned Honeyeater</v>
      </c>
      <c r="E279" s="3" t="str">
        <f>VLOOKUP(B279,LifeList!$E$2:$G$2038,2)</f>
        <v>Méliphage à menton noir</v>
      </c>
      <c r="F279" s="3" t="str">
        <f>VLOOKUP(B279,LifeList!$E$2:$G$2038,3)</f>
        <v>Melithreptus gularis</v>
      </c>
      <c r="G279" s="3" t="str">
        <f>VLOOKUP(B279,LifeList!$E$2:$I$2038,4)</f>
        <v>Passeriformes</v>
      </c>
      <c r="H279" s="3" t="str">
        <f>VLOOKUP(B279,LifeList!$E$2:$I$2038,5)</f>
        <v>Meliphagidae (Honeyeaters)</v>
      </c>
      <c r="I279" s="3"/>
    </row>
    <row r="280" spans="1:9" ht="10.5" customHeight="1">
      <c r="A280" s="3" t="s">
        <v>424</v>
      </c>
      <c r="B280" s="3" t="s">
        <v>425</v>
      </c>
      <c r="C280" s="3">
        <f>VLOOKUP(B280,LifeList!$E$2:$J$2038,6)</f>
        <v>5587</v>
      </c>
      <c r="D280" s="3" t="str">
        <f>VLOOKUP(B280,LifeList!$E$2:$G$2038,1)</f>
        <v>Black Crake</v>
      </c>
      <c r="E280" s="3" t="str">
        <f>VLOOKUP(B280,LifeList!$E$2:$G$2038,2)</f>
        <v>Marouette à bec jaune</v>
      </c>
      <c r="F280" s="3" t="str">
        <f>VLOOKUP(B280,LifeList!$E$2:$G$2038,3)</f>
        <v>Zapornia flavirostra</v>
      </c>
      <c r="G280" s="3" t="str">
        <f>VLOOKUP(B280,LifeList!$E$2:$I$2038,4)</f>
        <v>Gruiformes</v>
      </c>
      <c r="H280" s="3" t="str">
        <f>VLOOKUP(B280,LifeList!$E$2:$I$2038,5)</f>
        <v>Rallidae (Rails, Gallinules, and Coots)</v>
      </c>
      <c r="I280" s="3"/>
    </row>
    <row r="281" spans="1:9" ht="10.5" customHeight="1">
      <c r="A281" s="3" t="s">
        <v>426</v>
      </c>
      <c r="B281" s="3" t="s">
        <v>425</v>
      </c>
      <c r="C281" s="3">
        <f>VLOOKUP(B281,LifeList!$E$2:$J$2038,6)</f>
        <v>5587</v>
      </c>
      <c r="D281" s="3" t="str">
        <f>VLOOKUP(B281,LifeList!$E$2:$G$2038,1)</f>
        <v>Black Crake</v>
      </c>
      <c r="E281" s="3" t="str">
        <f>VLOOKUP(B281,LifeList!$E$2:$G$2038,2)</f>
        <v>Marouette à bec jaune</v>
      </c>
      <c r="F281" s="3" t="str">
        <f>VLOOKUP(B281,LifeList!$E$2:$G$2038,3)</f>
        <v>Zapornia flavirostra</v>
      </c>
      <c r="G281" s="3" t="str">
        <f>VLOOKUP(B281,LifeList!$E$2:$I$2038,4)</f>
        <v>Gruiformes</v>
      </c>
      <c r="H281" s="3" t="str">
        <f>VLOOKUP(B281,LifeList!$E$2:$I$2038,5)</f>
        <v>Rallidae (Rails, Gallinules, and Coots)</v>
      </c>
      <c r="I281" s="3"/>
    </row>
    <row r="282" spans="1:9" ht="10.5" customHeight="1">
      <c r="A282" s="7" t="s">
        <v>427</v>
      </c>
      <c r="B282" s="8" t="s">
        <v>428</v>
      </c>
      <c r="C282" s="3">
        <f>VLOOKUP(B282,LifeList!$E$2:$J$2038,6)</f>
        <v>20071</v>
      </c>
      <c r="D282" s="3" t="str">
        <f>VLOOKUP(B282,LifeList!$E$2:$G$2038,1)</f>
        <v>Black-crowned Tchagra</v>
      </c>
      <c r="E282" s="3" t="str">
        <f>VLOOKUP(B282,LifeList!$E$2:$G$2038,2)</f>
        <v>Tchagra à tête noire</v>
      </c>
      <c r="F282" s="3" t="str">
        <f>VLOOKUP(B282,LifeList!$E$2:$G$2038,3)</f>
        <v>Tchagra senegalus</v>
      </c>
      <c r="G282" s="3" t="str">
        <f>VLOOKUP(B282,LifeList!$E$2:$I$2038,4)</f>
        <v>Passeriformes</v>
      </c>
      <c r="H282" s="3" t="str">
        <f>VLOOKUP(B282,LifeList!$E$2:$I$2038,5)</f>
        <v>Malaconotidae (Bushshrikes and Allies)</v>
      </c>
      <c r="I282" s="3"/>
    </row>
    <row r="283" spans="1:9" ht="10.5" customHeight="1">
      <c r="A283" s="7" t="s">
        <v>429</v>
      </c>
      <c r="B283" s="9" t="s">
        <v>430</v>
      </c>
      <c r="C283" s="3">
        <f>VLOOKUP(B283,LifeList!$E$2:$J$2038,6)</f>
        <v>19814</v>
      </c>
      <c r="D283" s="3" t="str">
        <f>VLOOKUP(B283,LifeList!$E$2:$G$2038,1)</f>
        <v>Black Currawong</v>
      </c>
      <c r="E283" s="3" t="str">
        <f>VLOOKUP(B283,LifeList!$E$2:$G$2038,2)</f>
        <v>Réveilleur noir</v>
      </c>
      <c r="F283" s="3" t="str">
        <f>VLOOKUP(B283,LifeList!$E$2:$G$2038,3)</f>
        <v>Strepera fuliginosa</v>
      </c>
      <c r="G283" s="3" t="str">
        <f>VLOOKUP(B283,LifeList!$E$2:$I$2038,4)</f>
        <v>Passeriformes</v>
      </c>
      <c r="H283" s="3" t="str">
        <f>VLOOKUP(B283,LifeList!$E$2:$I$2038,5)</f>
        <v>Artamidae (Woodswallows, Bellmagpies, and Allies)</v>
      </c>
      <c r="I283" s="3"/>
    </row>
    <row r="284" spans="1:9" ht="10.5" customHeight="1">
      <c r="A284" s="7" t="s">
        <v>431</v>
      </c>
      <c r="B284" s="8" t="s">
        <v>432</v>
      </c>
      <c r="C284" s="3">
        <f>VLOOKUP(B284,LifeList!$E$2:$J$2038,6)</f>
        <v>7417</v>
      </c>
      <c r="D284" s="3" t="str">
        <f>VLOOKUP(B284,LifeList!$E$2:$G$2038,1)</f>
        <v>Black-faced Cormorant</v>
      </c>
      <c r="E284" s="3" t="str">
        <f>VLOOKUP(B284,LifeList!$E$2:$G$2038,2)</f>
        <v>Cormoran de Tasmanie</v>
      </c>
      <c r="F284" s="3" t="str">
        <f>VLOOKUP(B284,LifeList!$E$2:$G$2038,3)</f>
        <v>Phalacrocorax fuscescens</v>
      </c>
      <c r="G284" s="3" t="str">
        <f>VLOOKUP(B284,LifeList!$E$2:$I$2038,4)</f>
        <v>Suliformes</v>
      </c>
      <c r="H284" s="3" t="str">
        <f>VLOOKUP(B284,LifeList!$E$2:$I$2038,5)</f>
        <v>Phalacrocoracidae (Cormorants and Shags)</v>
      </c>
      <c r="I284" s="3"/>
    </row>
    <row r="285" spans="1:9" ht="10.5" customHeight="1">
      <c r="A285" s="3" t="s">
        <v>433</v>
      </c>
      <c r="B285" s="3" t="s">
        <v>434</v>
      </c>
      <c r="C285" s="3">
        <f>VLOOKUP(B285,LifeList!$E$2:$J$2038,6)</f>
        <v>1647</v>
      </c>
      <c r="D285" s="3" t="str">
        <f>VLOOKUP(B285,LifeList!$E$2:$G$2038,1)</f>
        <v>Black Francolin</v>
      </c>
      <c r="E285" s="3" t="str">
        <f>VLOOKUP(B285,LifeList!$E$2:$G$2038,2)</f>
        <v>Francolin noir</v>
      </c>
      <c r="F285" s="3" t="str">
        <f>VLOOKUP(B285,LifeList!$E$2:$G$2038,3)</f>
        <v>Francolinus francolinus</v>
      </c>
      <c r="G285" s="3" t="str">
        <f>VLOOKUP(B285,LifeList!$E$2:$I$2038,4)</f>
        <v>Galliformes</v>
      </c>
      <c r="H285" s="3" t="str">
        <f>VLOOKUP(B285,LifeList!$E$2:$I$2038,5)</f>
        <v>Phasianidae (Pheasants, Grouse, and Allies)</v>
      </c>
      <c r="I285" s="3"/>
    </row>
    <row r="286" spans="1:9" ht="10.5" customHeight="1">
      <c r="A286" s="3" t="s">
        <v>435</v>
      </c>
      <c r="B286" s="3" t="s">
        <v>436</v>
      </c>
      <c r="C286" s="3">
        <f>VLOOKUP(B286,LifeList!$E$2:$J$2038,6)</f>
        <v>6396</v>
      </c>
      <c r="D286" s="3" t="str">
        <f>VLOOKUP(B286,LifeList!$E$2:$G$2038,1)</f>
        <v>Black Guillemot</v>
      </c>
      <c r="E286" s="3" t="str">
        <f>VLOOKUP(B286,LifeList!$E$2:$G$2038,2)</f>
        <v>Guillemot à miroir</v>
      </c>
      <c r="F286" s="3" t="str">
        <f>VLOOKUP(B286,LifeList!$E$2:$G$2038,3)</f>
        <v>Cepphus grylle</v>
      </c>
      <c r="G286" s="3" t="str">
        <f>VLOOKUP(B286,LifeList!$E$2:$I$2038,4)</f>
        <v>Charadriiformes</v>
      </c>
      <c r="H286" s="3" t="str">
        <f>VLOOKUP(B286,LifeList!$E$2:$I$2038,5)</f>
        <v>Alcidae (Auks, Murres, and Puffins)</v>
      </c>
      <c r="I286" s="3"/>
    </row>
    <row r="287" spans="1:9" ht="10.5" customHeight="1">
      <c r="A287" s="3" t="s">
        <v>437</v>
      </c>
      <c r="B287" s="3" t="s">
        <v>438</v>
      </c>
      <c r="C287" s="3">
        <f>VLOOKUP(B287,LifeList!$E$2:$J$2038,6)</f>
        <v>7639</v>
      </c>
      <c r="D287" s="3" t="str">
        <f>VLOOKUP(B287,LifeList!$E$2:$G$2038,1)</f>
        <v>Black Heron</v>
      </c>
      <c r="E287" s="3" t="str">
        <f>VLOOKUP(B287,LifeList!$E$2:$G$2038,2)</f>
        <v>Aigrette ardoisée</v>
      </c>
      <c r="F287" s="3" t="str">
        <f>VLOOKUP(B287,LifeList!$E$2:$G$2038,3)</f>
        <v>Egretta ardesiaca</v>
      </c>
      <c r="G287" s="3" t="str">
        <f>VLOOKUP(B287,LifeList!$E$2:$I$2038,4)</f>
        <v>Pelecaniformes</v>
      </c>
      <c r="H287" s="3" t="str">
        <f>VLOOKUP(B287,LifeList!$E$2:$I$2038,5)</f>
        <v>Ardeidae (Herons, Egrets, and Bitterns)</v>
      </c>
      <c r="I287" s="3"/>
    </row>
    <row r="288" spans="1:9" ht="10.5" customHeight="1">
      <c r="A288" s="3" t="s">
        <v>439</v>
      </c>
      <c r="B288" s="3" t="s">
        <v>438</v>
      </c>
      <c r="C288" s="3">
        <f>VLOOKUP(B288,LifeList!$E$2:$J$2038,6)</f>
        <v>7639</v>
      </c>
      <c r="D288" s="3" t="str">
        <f>VLOOKUP(B288,LifeList!$E$2:$G$2038,1)</f>
        <v>Black Heron</v>
      </c>
      <c r="E288" s="3" t="str">
        <f>VLOOKUP(B288,LifeList!$E$2:$G$2038,2)</f>
        <v>Aigrette ardoisée</v>
      </c>
      <c r="F288" s="3" t="str">
        <f>VLOOKUP(B288,LifeList!$E$2:$G$2038,3)</f>
        <v>Egretta ardesiaca</v>
      </c>
      <c r="G288" s="3" t="str">
        <f>VLOOKUP(B288,LifeList!$E$2:$I$2038,4)</f>
        <v>Pelecaniformes</v>
      </c>
      <c r="H288" s="3" t="str">
        <f>VLOOKUP(B288,LifeList!$E$2:$I$2038,5)</f>
        <v>Ardeidae (Herons, Egrets, and Bitterns)</v>
      </c>
      <c r="I288" s="3"/>
    </row>
    <row r="289" spans="1:9" ht="10.5" customHeight="1">
      <c r="A289" s="3" t="s">
        <v>440</v>
      </c>
      <c r="B289" s="3" t="s">
        <v>438</v>
      </c>
      <c r="C289" s="3">
        <f>VLOOKUP(B289,LifeList!$E$2:$J$2038,6)</f>
        <v>7639</v>
      </c>
      <c r="D289" s="3" t="str">
        <f>VLOOKUP(B289,LifeList!$E$2:$G$2038,1)</f>
        <v>Black Heron</v>
      </c>
      <c r="E289" s="3" t="str">
        <f>VLOOKUP(B289,LifeList!$E$2:$G$2038,2)</f>
        <v>Aigrette ardoisée</v>
      </c>
      <c r="F289" s="3" t="str">
        <f>VLOOKUP(B289,LifeList!$E$2:$G$2038,3)</f>
        <v>Egretta ardesiaca</v>
      </c>
      <c r="G289" s="3" t="str">
        <f>VLOOKUP(B289,LifeList!$E$2:$I$2038,4)</f>
        <v>Pelecaniformes</v>
      </c>
      <c r="H289" s="3" t="str">
        <f>VLOOKUP(B289,LifeList!$E$2:$I$2038,5)</f>
        <v>Ardeidae (Herons, Egrets, and Bitterns)</v>
      </c>
      <c r="I289" s="3"/>
    </row>
    <row r="290" spans="1:9" ht="10.5" customHeight="1">
      <c r="A290" s="3" t="s">
        <v>441</v>
      </c>
      <c r="B290" s="3" t="s">
        <v>438</v>
      </c>
      <c r="C290" s="3">
        <f>VLOOKUP(B290,LifeList!$E$2:$J$2038,6)</f>
        <v>7639</v>
      </c>
      <c r="D290" s="3" t="str">
        <f>VLOOKUP(B290,LifeList!$E$2:$G$2038,1)</f>
        <v>Black Heron</v>
      </c>
      <c r="E290" s="3" t="str">
        <f>VLOOKUP(B290,LifeList!$E$2:$G$2038,2)</f>
        <v>Aigrette ardoisée</v>
      </c>
      <c r="F290" s="3" t="str">
        <f>VLOOKUP(B290,LifeList!$E$2:$G$2038,3)</f>
        <v>Egretta ardesiaca</v>
      </c>
      <c r="G290" s="3" t="str">
        <f>VLOOKUP(B290,LifeList!$E$2:$I$2038,4)</f>
        <v>Pelecaniformes</v>
      </c>
      <c r="H290" s="3" t="str">
        <f>VLOOKUP(B290,LifeList!$E$2:$I$2038,5)</f>
        <v>Ardeidae (Herons, Egrets, and Bitterns)</v>
      </c>
      <c r="I290" s="3"/>
    </row>
    <row r="291" spans="1:9" ht="10.5" customHeight="1">
      <c r="A291" s="3" t="s">
        <v>442</v>
      </c>
      <c r="B291" s="3" t="s">
        <v>443</v>
      </c>
      <c r="C291" s="3">
        <f>VLOOKUP(B291,LifeList!$E$2:$J$2038,6)</f>
        <v>8345</v>
      </c>
      <c r="D291" s="3" t="str">
        <f>VLOOKUP(B291,LifeList!$E$2:$G$2038,1)</f>
        <v>Black Kite</v>
      </c>
      <c r="E291" s="3" t="str">
        <f>VLOOKUP(B291,LifeList!$E$2:$G$2038,2)</f>
        <v>Milan noir</v>
      </c>
      <c r="F291" s="3" t="str">
        <f>VLOOKUP(B291,LifeList!$E$2:$G$2038,3)</f>
        <v>Milvus migrans</v>
      </c>
      <c r="G291" s="3" t="str">
        <f>VLOOKUP(B291,LifeList!$E$2:$I$2038,4)</f>
        <v>Accipitriformes</v>
      </c>
      <c r="H291" s="3" t="str">
        <f>VLOOKUP(B291,LifeList!$E$2:$I$2038,5)</f>
        <v>Accipitridae (Hawks, Eagles, and Kites)</v>
      </c>
      <c r="I291" s="3"/>
    </row>
    <row r="292" spans="1:9" ht="10.5" customHeight="1">
      <c r="A292" s="3" t="s">
        <v>444</v>
      </c>
      <c r="B292" s="3" t="s">
        <v>443</v>
      </c>
      <c r="C292" s="3">
        <f>VLOOKUP(B292,LifeList!$E$2:$J$2038,6)</f>
        <v>8345</v>
      </c>
      <c r="D292" s="3" t="str">
        <f>VLOOKUP(B292,LifeList!$E$2:$G$2038,1)</f>
        <v>Black Kite</v>
      </c>
      <c r="E292" s="3" t="str">
        <f>VLOOKUP(B292,LifeList!$E$2:$G$2038,2)</f>
        <v>Milan noir</v>
      </c>
      <c r="F292" s="3" t="str">
        <f>VLOOKUP(B292,LifeList!$E$2:$G$2038,3)</f>
        <v>Milvus migrans</v>
      </c>
      <c r="G292" s="3" t="str">
        <f>VLOOKUP(B292,LifeList!$E$2:$I$2038,4)</f>
        <v>Accipitriformes</v>
      </c>
      <c r="H292" s="3" t="str">
        <f>VLOOKUP(B292,LifeList!$E$2:$I$2038,5)</f>
        <v>Accipitridae (Hawks, Eagles, and Kites)</v>
      </c>
      <c r="I292" s="3"/>
    </row>
    <row r="293" spans="1:9" ht="10.5" customHeight="1">
      <c r="A293" s="3" t="s">
        <v>445</v>
      </c>
      <c r="B293" s="3" t="s">
        <v>443</v>
      </c>
      <c r="C293" s="3">
        <f>VLOOKUP(B293,LifeList!$E$2:$J$2038,6)</f>
        <v>8345</v>
      </c>
      <c r="D293" s="3" t="str">
        <f>VLOOKUP(B293,LifeList!$E$2:$G$2038,1)</f>
        <v>Black Kite</v>
      </c>
      <c r="E293" s="3" t="str">
        <f>VLOOKUP(B293,LifeList!$E$2:$G$2038,2)</f>
        <v>Milan noir</v>
      </c>
      <c r="F293" s="3" t="str">
        <f>VLOOKUP(B293,LifeList!$E$2:$G$2038,3)</f>
        <v>Milvus migrans</v>
      </c>
      <c r="G293" s="3" t="str">
        <f>VLOOKUP(B293,LifeList!$E$2:$I$2038,4)</f>
        <v>Accipitriformes</v>
      </c>
      <c r="H293" s="3" t="str">
        <f>VLOOKUP(B293,LifeList!$E$2:$I$2038,5)</f>
        <v>Accipitridae (Hawks, Eagles, and Kites)</v>
      </c>
      <c r="I293" s="3"/>
    </row>
    <row r="294" spans="1:9" ht="10.5" customHeight="1">
      <c r="A294" s="3" t="s">
        <v>446</v>
      </c>
      <c r="B294" s="3" t="s">
        <v>443</v>
      </c>
      <c r="C294" s="3">
        <f>VLOOKUP(B294,LifeList!$E$2:$J$2038,6)</f>
        <v>8345</v>
      </c>
      <c r="D294" s="3" t="str">
        <f>VLOOKUP(B294,LifeList!$E$2:$G$2038,1)</f>
        <v>Black Kite</v>
      </c>
      <c r="E294" s="3" t="str">
        <f>VLOOKUP(B294,LifeList!$E$2:$G$2038,2)</f>
        <v>Milan noir</v>
      </c>
      <c r="F294" s="3" t="str">
        <f>VLOOKUP(B294,LifeList!$E$2:$G$2038,3)</f>
        <v>Milvus migrans</v>
      </c>
      <c r="G294" s="3" t="str">
        <f>VLOOKUP(B294,LifeList!$E$2:$I$2038,4)</f>
        <v>Accipitriformes</v>
      </c>
      <c r="H294" s="3" t="str">
        <f>VLOOKUP(B294,LifeList!$E$2:$I$2038,5)</f>
        <v>Accipitridae (Hawks, Eagles, and Kites)</v>
      </c>
      <c r="I294" s="3"/>
    </row>
    <row r="295" spans="1:9" ht="10.5" customHeight="1">
      <c r="A295" s="3" t="s">
        <v>447</v>
      </c>
      <c r="B295" s="3" t="s">
        <v>443</v>
      </c>
      <c r="C295" s="3">
        <f>VLOOKUP(B295,LifeList!$E$2:$J$2038,6)</f>
        <v>8345</v>
      </c>
      <c r="D295" s="3" t="str">
        <f>VLOOKUP(B295,LifeList!$E$2:$G$2038,1)</f>
        <v>Black Kite</v>
      </c>
      <c r="E295" s="3" t="str">
        <f>VLOOKUP(B295,LifeList!$E$2:$G$2038,2)</f>
        <v>Milan noir</v>
      </c>
      <c r="F295" s="3" t="str">
        <f>VLOOKUP(B295,LifeList!$E$2:$G$2038,3)</f>
        <v>Milvus migrans</v>
      </c>
      <c r="G295" s="3" t="str">
        <f>VLOOKUP(B295,LifeList!$E$2:$I$2038,4)</f>
        <v>Accipitriformes</v>
      </c>
      <c r="H295" s="3" t="str">
        <f>VLOOKUP(B295,LifeList!$E$2:$I$2038,5)</f>
        <v>Accipitridae (Hawks, Eagles, and Kites)</v>
      </c>
      <c r="I295" s="3"/>
    </row>
    <row r="296" spans="1:9" ht="10.5" customHeight="1">
      <c r="A296" s="3" t="s">
        <v>448</v>
      </c>
      <c r="B296" s="3" t="s">
        <v>443</v>
      </c>
      <c r="C296" s="3">
        <f>VLOOKUP(B296,LifeList!$E$2:$J$2038,6)</f>
        <v>8345</v>
      </c>
      <c r="D296" s="3" t="str">
        <f>VLOOKUP(B296,LifeList!$E$2:$G$2038,1)</f>
        <v>Black Kite</v>
      </c>
      <c r="E296" s="3" t="str">
        <f>VLOOKUP(B296,LifeList!$E$2:$G$2038,2)</f>
        <v>Milan noir</v>
      </c>
      <c r="F296" s="3" t="str">
        <f>VLOOKUP(B296,LifeList!$E$2:$G$2038,3)</f>
        <v>Milvus migrans</v>
      </c>
      <c r="G296" s="3" t="str">
        <f>VLOOKUP(B296,LifeList!$E$2:$I$2038,4)</f>
        <v>Accipitriformes</v>
      </c>
      <c r="H296" s="3" t="str">
        <f>VLOOKUP(B296,LifeList!$E$2:$I$2038,5)</f>
        <v>Accipitridae (Hawks, Eagles, and Kites)</v>
      </c>
      <c r="I296" s="3"/>
    </row>
    <row r="297" spans="1:9" ht="10.5" customHeight="1">
      <c r="A297" s="3" t="s">
        <v>449</v>
      </c>
      <c r="B297" s="3" t="s">
        <v>450</v>
      </c>
      <c r="C297" s="3">
        <f>VLOOKUP(B297,LifeList!$E$2:$J$2038,6)</f>
        <v>33633</v>
      </c>
      <c r="D297" s="3" t="str">
        <f>VLOOKUP(B297,LifeList!$E$2:$G$2038,1)</f>
        <v>Black Oropendola</v>
      </c>
      <c r="E297" s="3" t="str">
        <f>VLOOKUP(B297,LifeList!$E$2:$G$2038,2)</f>
        <v>Cassique noir</v>
      </c>
      <c r="F297" s="3" t="str">
        <f>VLOOKUP(B297,LifeList!$E$2:$G$2038,3)</f>
        <v>Psarocolius guatimozinus</v>
      </c>
      <c r="G297" s="3" t="str">
        <f>VLOOKUP(B297,LifeList!$E$2:$I$2038,4)</f>
        <v>Passeriformes</v>
      </c>
      <c r="H297" s="3" t="str">
        <f>VLOOKUP(B297,LifeList!$E$2:$I$2038,5)</f>
        <v>Icteridae (Troupials and Allies)</v>
      </c>
      <c r="I297" s="3"/>
    </row>
    <row r="298" spans="1:9" ht="10.5" customHeight="1">
      <c r="A298" s="7" t="s">
        <v>451</v>
      </c>
      <c r="B298" s="9" t="s">
        <v>452</v>
      </c>
      <c r="C298" s="3">
        <f>VLOOKUP(B298,LifeList!$E$2:$J$2038,6)</f>
        <v>16998</v>
      </c>
      <c r="D298" s="3" t="str">
        <f>VLOOKUP(B298,LifeList!$E$2:$G$2038,1)</f>
        <v>Black Phoebe</v>
      </c>
      <c r="E298" s="3" t="str">
        <f>VLOOKUP(B298,LifeList!$E$2:$G$2038,2)</f>
        <v>Moucherolle noir</v>
      </c>
      <c r="F298" s="3" t="str">
        <f>VLOOKUP(B298,LifeList!$E$2:$G$2038,3)</f>
        <v>Sayornis nigricans</v>
      </c>
      <c r="G298" s="3" t="str">
        <f>VLOOKUP(B298,LifeList!$E$2:$I$2038,4)</f>
        <v>Passeriformes</v>
      </c>
      <c r="H298" s="3" t="str">
        <f>VLOOKUP(B298,LifeList!$E$2:$I$2038,5)</f>
        <v>Tyrannidae (Tyrant Flycatchers)</v>
      </c>
      <c r="I298" s="3"/>
    </row>
    <row r="299" spans="1:9" ht="10.5" customHeight="1">
      <c r="A299" s="3" t="s">
        <v>453</v>
      </c>
      <c r="B299" s="3" t="s">
        <v>454</v>
      </c>
      <c r="C299" s="3">
        <f>VLOOKUP(B299,LifeList!$E$2:$J$2038,6)</f>
        <v>737</v>
      </c>
      <c r="D299" s="3" t="str">
        <f>VLOOKUP(B299,LifeList!$E$2:$G$2038,1)</f>
        <v>Black Scoter</v>
      </c>
      <c r="E299" s="3" t="str">
        <f>VLOOKUP(B299,LifeList!$E$2:$G$2038,2)</f>
        <v>Macreuse à bec jaune</v>
      </c>
      <c r="F299" s="3" t="str">
        <f>VLOOKUP(B299,LifeList!$E$2:$G$2038,3)</f>
        <v>Melanitta americana</v>
      </c>
      <c r="G299" s="3" t="str">
        <f>VLOOKUP(B299,LifeList!$E$2:$I$2038,4)</f>
        <v>Anseriformes</v>
      </c>
      <c r="H299" s="3" t="str">
        <f>VLOOKUP(B299,LifeList!$E$2:$I$2038,5)</f>
        <v>Anatidae (Ducks, Geese, and Waterfowl)</v>
      </c>
      <c r="I299" s="3"/>
    </row>
    <row r="300" spans="1:9" ht="10.5" customHeight="1">
      <c r="A300" s="3" t="s">
        <v>455</v>
      </c>
      <c r="B300" s="3" t="s">
        <v>456</v>
      </c>
      <c r="C300" s="3">
        <f>VLOOKUP(B300,LifeList!$E$2:$J$2038,6)</f>
        <v>6622</v>
      </c>
      <c r="D300" s="3" t="str">
        <f>VLOOKUP(B300,LifeList!$E$2:$G$2038,1)</f>
        <v>Black Skimmer</v>
      </c>
      <c r="E300" s="3" t="str">
        <f>VLOOKUP(B300,LifeList!$E$2:$G$2038,2)</f>
        <v>Bec-en-ciseaux noir</v>
      </c>
      <c r="F300" s="3" t="str">
        <f>VLOOKUP(B300,LifeList!$E$2:$G$2038,3)</f>
        <v>Rynchops niger</v>
      </c>
      <c r="G300" s="3" t="str">
        <f>VLOOKUP(B300,LifeList!$E$2:$I$2038,4)</f>
        <v>Charadriiformes</v>
      </c>
      <c r="H300" s="3" t="str">
        <f>VLOOKUP(B300,LifeList!$E$2:$I$2038,5)</f>
        <v>Laridae (Gulls, Terns, and Skimmers)</v>
      </c>
      <c r="I300" s="3"/>
    </row>
    <row r="301" spans="1:9" ht="10.5" customHeight="1">
      <c r="A301" s="3" t="s">
        <v>457</v>
      </c>
      <c r="B301" s="3" t="s">
        <v>456</v>
      </c>
      <c r="C301" s="3">
        <f>VLOOKUP(B301,LifeList!$E$2:$J$2038,6)</f>
        <v>6622</v>
      </c>
      <c r="D301" s="3" t="str">
        <f>VLOOKUP(B301,LifeList!$E$2:$G$2038,1)</f>
        <v>Black Skimmer</v>
      </c>
      <c r="E301" s="3" t="str">
        <f>VLOOKUP(B301,LifeList!$E$2:$G$2038,2)</f>
        <v>Bec-en-ciseaux noir</v>
      </c>
      <c r="F301" s="3" t="str">
        <f>VLOOKUP(B301,LifeList!$E$2:$G$2038,3)</f>
        <v>Rynchops niger</v>
      </c>
      <c r="G301" s="3" t="str">
        <f>VLOOKUP(B301,LifeList!$E$2:$I$2038,4)</f>
        <v>Charadriiformes</v>
      </c>
      <c r="H301" s="3" t="str">
        <f>VLOOKUP(B301,LifeList!$E$2:$I$2038,5)</f>
        <v>Laridae (Gulls, Terns, and Skimmers)</v>
      </c>
      <c r="I301" s="3"/>
    </row>
    <row r="302" spans="1:9" ht="10.5" customHeight="1">
      <c r="A302" s="3" t="s">
        <v>458</v>
      </c>
      <c r="B302" s="3" t="s">
        <v>456</v>
      </c>
      <c r="C302" s="3">
        <f>VLOOKUP(B302,LifeList!$E$2:$J$2038,6)</f>
        <v>6622</v>
      </c>
      <c r="D302" s="3" t="str">
        <f>VLOOKUP(B302,LifeList!$E$2:$G$2038,1)</f>
        <v>Black Skimmer</v>
      </c>
      <c r="E302" s="3" t="str">
        <f>VLOOKUP(B302,LifeList!$E$2:$G$2038,2)</f>
        <v>Bec-en-ciseaux noir</v>
      </c>
      <c r="F302" s="3" t="str">
        <f>VLOOKUP(B302,LifeList!$E$2:$G$2038,3)</f>
        <v>Rynchops niger</v>
      </c>
      <c r="G302" s="3" t="str">
        <f>VLOOKUP(B302,LifeList!$E$2:$I$2038,4)</f>
        <v>Charadriiformes</v>
      </c>
      <c r="H302" s="3" t="str">
        <f>VLOOKUP(B302,LifeList!$E$2:$I$2038,5)</f>
        <v>Laridae (Gulls, Terns, and Skimmers)</v>
      </c>
      <c r="I302" s="3"/>
    </row>
    <row r="303" spans="1:9" ht="10.5" customHeight="1">
      <c r="A303" s="3" t="s">
        <v>459</v>
      </c>
      <c r="B303" s="3" t="s">
        <v>460</v>
      </c>
      <c r="C303" s="3">
        <f>VLOOKUP(B303,LifeList!$E$2:$J$2038,6)</f>
        <v>379</v>
      </c>
      <c r="D303" s="3" t="str">
        <f>VLOOKUP(B303,LifeList!$E$2:$G$2038,1)</f>
        <v>Black Swan</v>
      </c>
      <c r="E303" s="3" t="str">
        <f>VLOOKUP(B303,LifeList!$E$2:$G$2038,2)</f>
        <v>Cygne noir</v>
      </c>
      <c r="F303" s="3" t="str">
        <f>VLOOKUP(B303,LifeList!$E$2:$G$2038,3)</f>
        <v>Cygnus atratus</v>
      </c>
      <c r="G303" s="3" t="str">
        <f>VLOOKUP(B303,LifeList!$E$2:$I$2038,4)</f>
        <v>Anseriformes</v>
      </c>
      <c r="H303" s="3" t="str">
        <f>VLOOKUP(B303,LifeList!$E$2:$I$2038,5)</f>
        <v>Anatidae (Ducks, Geese, and Waterfowl)</v>
      </c>
      <c r="I303" s="3"/>
    </row>
    <row r="304" spans="1:9" ht="10.5" customHeight="1">
      <c r="A304" s="3" t="s">
        <v>461</v>
      </c>
      <c r="B304" s="3" t="s">
        <v>460</v>
      </c>
      <c r="C304" s="3">
        <f>VLOOKUP(B304,LifeList!$E$2:$J$2038,6)</f>
        <v>379</v>
      </c>
      <c r="D304" s="3" t="str">
        <f>VLOOKUP(B304,LifeList!$E$2:$G$2038,1)</f>
        <v>Black Swan</v>
      </c>
      <c r="E304" s="3" t="str">
        <f>VLOOKUP(B304,LifeList!$E$2:$G$2038,2)</f>
        <v>Cygne noir</v>
      </c>
      <c r="F304" s="3" t="str">
        <f>VLOOKUP(B304,LifeList!$E$2:$G$2038,3)</f>
        <v>Cygnus atratus</v>
      </c>
      <c r="G304" s="3" t="str">
        <f>VLOOKUP(B304,LifeList!$E$2:$I$2038,4)</f>
        <v>Anseriformes</v>
      </c>
      <c r="H304" s="3" t="str">
        <f>VLOOKUP(B304,LifeList!$E$2:$I$2038,5)</f>
        <v>Anatidae (Ducks, Geese, and Waterfowl)</v>
      </c>
      <c r="I304" s="3"/>
    </row>
    <row r="305" spans="1:9" ht="10.5" customHeight="1">
      <c r="A305" s="3" t="s">
        <v>462</v>
      </c>
      <c r="B305" s="3" t="s">
        <v>460</v>
      </c>
      <c r="C305" s="3">
        <f>VLOOKUP(B305,LifeList!$E$2:$J$2038,6)</f>
        <v>379</v>
      </c>
      <c r="D305" s="3" t="str">
        <f>VLOOKUP(B305,LifeList!$E$2:$G$2038,1)</f>
        <v>Black Swan</v>
      </c>
      <c r="E305" s="3" t="str">
        <f>VLOOKUP(B305,LifeList!$E$2:$G$2038,2)</f>
        <v>Cygne noir</v>
      </c>
      <c r="F305" s="3" t="str">
        <f>VLOOKUP(B305,LifeList!$E$2:$G$2038,3)</f>
        <v>Cygnus atratus</v>
      </c>
      <c r="G305" s="3" t="str">
        <f>VLOOKUP(B305,LifeList!$E$2:$I$2038,4)</f>
        <v>Anseriformes</v>
      </c>
      <c r="H305" s="3" t="str">
        <f>VLOOKUP(B305,LifeList!$E$2:$I$2038,5)</f>
        <v>Anatidae (Ducks, Geese, and Waterfowl)</v>
      </c>
      <c r="I305" s="3"/>
    </row>
    <row r="306" spans="1:9" ht="10.5" customHeight="1">
      <c r="A306" s="3" t="s">
        <v>463</v>
      </c>
      <c r="B306" s="3" t="s">
        <v>464</v>
      </c>
      <c r="C306" s="3">
        <f>VLOOKUP(B306,LifeList!$E$2:$J$2038,6)</f>
        <v>6725</v>
      </c>
      <c r="D306" s="3" t="str">
        <f>VLOOKUP(B306,LifeList!$E$2:$G$2038,1)</f>
        <v>Black Tern</v>
      </c>
      <c r="E306" s="3" t="str">
        <f>VLOOKUP(B306,LifeList!$E$2:$G$2038,2)</f>
        <v>Guifette noire</v>
      </c>
      <c r="F306" s="3" t="str">
        <f>VLOOKUP(B306,LifeList!$E$2:$G$2038,3)</f>
        <v>Chlidonias niger</v>
      </c>
      <c r="G306" s="3" t="str">
        <f>VLOOKUP(B306,LifeList!$E$2:$I$2038,4)</f>
        <v>Charadriiformes</v>
      </c>
      <c r="H306" s="3" t="str">
        <f>VLOOKUP(B306,LifeList!$E$2:$I$2038,5)</f>
        <v>Laridae (Gulls, Terns, and Skimmers)</v>
      </c>
      <c r="I306" s="3"/>
    </row>
    <row r="307" spans="1:9" ht="10.5" customHeight="1">
      <c r="A307" s="3" t="s">
        <v>465</v>
      </c>
      <c r="B307" s="3" t="s">
        <v>464</v>
      </c>
      <c r="C307" s="3">
        <f>VLOOKUP(B307,LifeList!$E$2:$J$2038,6)</f>
        <v>6725</v>
      </c>
      <c r="D307" s="3" t="str">
        <f>VLOOKUP(B307,LifeList!$E$2:$G$2038,1)</f>
        <v>Black Tern</v>
      </c>
      <c r="E307" s="3" t="str">
        <f>VLOOKUP(B307,LifeList!$E$2:$G$2038,2)</f>
        <v>Guifette noire</v>
      </c>
      <c r="F307" s="3" t="str">
        <f>VLOOKUP(B307,LifeList!$E$2:$G$2038,3)</f>
        <v>Chlidonias niger</v>
      </c>
      <c r="G307" s="3" t="str">
        <f>VLOOKUP(B307,LifeList!$E$2:$I$2038,4)</f>
        <v>Charadriiformes</v>
      </c>
      <c r="H307" s="3" t="str">
        <f>VLOOKUP(B307,LifeList!$E$2:$I$2038,5)</f>
        <v>Laridae (Gulls, Terns, and Skimmers)</v>
      </c>
      <c r="I307" s="3"/>
    </row>
    <row r="308" spans="1:9" ht="10.5" customHeight="1">
      <c r="A308" s="3" t="s">
        <v>466</v>
      </c>
      <c r="B308" s="3" t="s">
        <v>464</v>
      </c>
      <c r="C308" s="3">
        <f>VLOOKUP(B308,LifeList!$E$2:$J$2038,6)</f>
        <v>6725</v>
      </c>
      <c r="D308" s="3" t="str">
        <f>VLOOKUP(B308,LifeList!$E$2:$G$2038,1)</f>
        <v>Black Tern</v>
      </c>
      <c r="E308" s="3" t="str">
        <f>VLOOKUP(B308,LifeList!$E$2:$G$2038,2)</f>
        <v>Guifette noire</v>
      </c>
      <c r="F308" s="3" t="str">
        <f>VLOOKUP(B308,LifeList!$E$2:$G$2038,3)</f>
        <v>Chlidonias niger</v>
      </c>
      <c r="G308" s="3" t="str">
        <f>VLOOKUP(B308,LifeList!$E$2:$I$2038,4)</f>
        <v>Charadriiformes</v>
      </c>
      <c r="H308" s="3" t="str">
        <f>VLOOKUP(B308,LifeList!$E$2:$I$2038,5)</f>
        <v>Laridae (Gulls, Terns, and Skimmers)</v>
      </c>
      <c r="I308" s="3"/>
    </row>
    <row r="309" spans="1:9" ht="10.5" customHeight="1">
      <c r="A309" s="3" t="s">
        <v>467</v>
      </c>
      <c r="B309" s="3" t="s">
        <v>468</v>
      </c>
      <c r="C309" s="3">
        <f>VLOOKUP(B309,LifeList!$E$2:$J$2038,6)</f>
        <v>6164</v>
      </c>
      <c r="D309" s="3" t="str">
        <f>VLOOKUP(B309,LifeList!$E$2:$G$2038,1)</f>
        <v>Black Turnstone</v>
      </c>
      <c r="E309" s="3" t="str">
        <f>VLOOKUP(B309,LifeList!$E$2:$G$2038,2)</f>
        <v>Tournepierre noir</v>
      </c>
      <c r="F309" s="3" t="str">
        <f>VLOOKUP(B309,LifeList!$E$2:$G$2038,3)</f>
        <v>Arenaria melanocephala</v>
      </c>
      <c r="G309" s="3" t="str">
        <f>VLOOKUP(B309,LifeList!$E$2:$I$2038,4)</f>
        <v>Charadriiformes</v>
      </c>
      <c r="H309" s="3" t="str">
        <f>VLOOKUP(B309,LifeList!$E$2:$I$2038,5)</f>
        <v>Scolopacidae (Sandpipers and Allies)</v>
      </c>
      <c r="I309" s="3"/>
    </row>
    <row r="310" spans="1:9" ht="10.5" customHeight="1">
      <c r="A310" s="3" t="s">
        <v>469</v>
      </c>
      <c r="B310" s="3" t="s">
        <v>470</v>
      </c>
      <c r="C310" s="3">
        <f>VLOOKUP(B310,LifeList!$E$2:$J$2038,6)</f>
        <v>7811</v>
      </c>
      <c r="D310" s="3" t="str">
        <f>VLOOKUP(B310,LifeList!$E$2:$G$2038,1)</f>
        <v>Black Vulture</v>
      </c>
      <c r="E310" s="3" t="str">
        <f>VLOOKUP(B310,LifeList!$E$2:$G$2038,2)</f>
        <v>Urubu noir</v>
      </c>
      <c r="F310" s="3" t="str">
        <f>VLOOKUP(B310,LifeList!$E$2:$G$2038,3)</f>
        <v>Coragyps atratus</v>
      </c>
      <c r="G310" s="3" t="str">
        <f>VLOOKUP(B310,LifeList!$E$2:$I$2038,4)</f>
        <v>Cathartiformes</v>
      </c>
      <c r="H310" s="3" t="str">
        <f>VLOOKUP(B310,LifeList!$E$2:$I$2038,5)</f>
        <v>Cathartidae (New World Vultures)</v>
      </c>
      <c r="I310" s="3"/>
    </row>
    <row r="311" spans="1:9" ht="10.5" customHeight="1">
      <c r="A311" s="3" t="s">
        <v>471</v>
      </c>
      <c r="B311" s="3" t="s">
        <v>470</v>
      </c>
      <c r="C311" s="3">
        <f>VLOOKUP(B311,LifeList!$E$2:$J$2038,6)</f>
        <v>7811</v>
      </c>
      <c r="D311" s="3" t="str">
        <f>VLOOKUP(B311,LifeList!$E$2:$G$2038,1)</f>
        <v>Black Vulture</v>
      </c>
      <c r="E311" s="3" t="str">
        <f>VLOOKUP(B311,LifeList!$E$2:$G$2038,2)</f>
        <v>Urubu noir</v>
      </c>
      <c r="F311" s="3" t="str">
        <f>VLOOKUP(B311,LifeList!$E$2:$G$2038,3)</f>
        <v>Coragyps atratus</v>
      </c>
      <c r="G311" s="3" t="str">
        <f>VLOOKUP(B311,LifeList!$E$2:$I$2038,4)</f>
        <v>Cathartiformes</v>
      </c>
      <c r="H311" s="3" t="str">
        <f>VLOOKUP(B311,LifeList!$E$2:$I$2038,5)</f>
        <v>Cathartidae (New World Vultures)</v>
      </c>
      <c r="I311" s="3"/>
    </row>
    <row r="312" spans="1:9" ht="10.5" customHeight="1">
      <c r="A312" s="3" t="s">
        <v>472</v>
      </c>
      <c r="B312" s="3" t="s">
        <v>470</v>
      </c>
      <c r="C312" s="3">
        <f>VLOOKUP(B312,LifeList!$E$2:$J$2038,6)</f>
        <v>7811</v>
      </c>
      <c r="D312" s="3" t="str">
        <f>VLOOKUP(B312,LifeList!$E$2:$G$2038,1)</f>
        <v>Black Vulture</v>
      </c>
      <c r="E312" s="3" t="str">
        <f>VLOOKUP(B312,LifeList!$E$2:$G$2038,2)</f>
        <v>Urubu noir</v>
      </c>
      <c r="F312" s="3" t="str">
        <f>VLOOKUP(B312,LifeList!$E$2:$G$2038,3)</f>
        <v>Coragyps atratus</v>
      </c>
      <c r="G312" s="3" t="str">
        <f>VLOOKUP(B312,LifeList!$E$2:$I$2038,4)</f>
        <v>Cathartiformes</v>
      </c>
      <c r="H312" s="3" t="str">
        <f>VLOOKUP(B312,LifeList!$E$2:$I$2038,5)</f>
        <v>Cathartidae (New World Vultures)</v>
      </c>
      <c r="I312" s="3"/>
    </row>
    <row r="313" spans="1:9" ht="10.5" customHeight="1">
      <c r="A313" s="3" t="s">
        <v>473</v>
      </c>
      <c r="B313" s="3" t="s">
        <v>470</v>
      </c>
      <c r="C313" s="3">
        <f>VLOOKUP(B313,LifeList!$E$2:$J$2038,6)</f>
        <v>7811</v>
      </c>
      <c r="D313" s="3" t="str">
        <f>VLOOKUP(B313,LifeList!$E$2:$G$2038,1)</f>
        <v>Black Vulture</v>
      </c>
      <c r="E313" s="3" t="str">
        <f>VLOOKUP(B313,LifeList!$E$2:$G$2038,2)</f>
        <v>Urubu noir</v>
      </c>
      <c r="F313" s="3" t="str">
        <f>VLOOKUP(B313,LifeList!$E$2:$G$2038,3)</f>
        <v>Coragyps atratus</v>
      </c>
      <c r="G313" s="3" t="str">
        <f>VLOOKUP(B313,LifeList!$E$2:$I$2038,4)</f>
        <v>Cathartiformes</v>
      </c>
      <c r="H313" s="3" t="str">
        <f>VLOOKUP(B313,LifeList!$E$2:$I$2038,5)</f>
        <v>Cathartidae (New World Vultures)</v>
      </c>
      <c r="I313" s="3"/>
    </row>
    <row r="314" spans="1:9" ht="10.5" customHeight="1">
      <c r="A314" s="3" t="s">
        <v>474</v>
      </c>
      <c r="B314" s="3" t="s">
        <v>470</v>
      </c>
      <c r="C314" s="3">
        <f>VLOOKUP(B314,LifeList!$E$2:$J$2038,6)</f>
        <v>7811</v>
      </c>
      <c r="D314" s="3" t="str">
        <f>VLOOKUP(B314,LifeList!$E$2:$G$2038,1)</f>
        <v>Black Vulture</v>
      </c>
      <c r="E314" s="3" t="str">
        <f>VLOOKUP(B314,LifeList!$E$2:$G$2038,2)</f>
        <v>Urubu noir</v>
      </c>
      <c r="F314" s="3" t="str">
        <f>VLOOKUP(B314,LifeList!$E$2:$G$2038,3)</f>
        <v>Coragyps atratus</v>
      </c>
      <c r="G314" s="3" t="str">
        <f>VLOOKUP(B314,LifeList!$E$2:$I$2038,4)</f>
        <v>Cathartiformes</v>
      </c>
      <c r="H314" s="3" t="str">
        <f>VLOOKUP(B314,LifeList!$E$2:$I$2038,5)</f>
        <v>Cathartidae (New World Vultures)</v>
      </c>
      <c r="I314" s="3"/>
    </row>
    <row r="315" spans="1:9" ht="10.5" customHeight="1">
      <c r="A315" s="3" t="s">
        <v>475</v>
      </c>
      <c r="B315" s="3" t="s">
        <v>470</v>
      </c>
      <c r="C315" s="3">
        <f>VLOOKUP(B315,LifeList!$E$2:$J$2038,6)</f>
        <v>7811</v>
      </c>
      <c r="D315" s="3" t="str">
        <f>VLOOKUP(B315,LifeList!$E$2:$G$2038,1)</f>
        <v>Black Vulture</v>
      </c>
      <c r="E315" s="3" t="str">
        <f>VLOOKUP(B315,LifeList!$E$2:$G$2038,2)</f>
        <v>Urubu noir</v>
      </c>
      <c r="F315" s="3" t="str">
        <f>VLOOKUP(B315,LifeList!$E$2:$G$2038,3)</f>
        <v>Coragyps atratus</v>
      </c>
      <c r="G315" s="3" t="str">
        <f>VLOOKUP(B315,LifeList!$E$2:$I$2038,4)</f>
        <v>Cathartiformes</v>
      </c>
      <c r="H315" s="3" t="str">
        <f>VLOOKUP(B315,LifeList!$E$2:$I$2038,5)</f>
        <v>Cathartidae (New World Vultures)</v>
      </c>
      <c r="I315" s="3"/>
    </row>
    <row r="316" spans="1:9" ht="10.5" customHeight="1">
      <c r="A316" s="3" t="s">
        <v>476</v>
      </c>
      <c r="B316" s="3" t="s">
        <v>477</v>
      </c>
      <c r="C316" s="3">
        <f>VLOOKUP(B316,LifeList!$E$2:$J$2038,6)</f>
        <v>9167</v>
      </c>
      <c r="D316" s="3" t="str">
        <f>VLOOKUP(B316,LifeList!$E$2:$G$2038,1)</f>
        <v>Black-and-white Owl</v>
      </c>
      <c r="E316" s="3" t="str">
        <f>VLOOKUP(B316,LifeList!$E$2:$G$2038,2)</f>
        <v>Chouette à lignes noires</v>
      </c>
      <c r="F316" s="3" t="str">
        <f>VLOOKUP(B316,LifeList!$E$2:$G$2038,3)</f>
        <v>Strix nigrolineata</v>
      </c>
      <c r="G316" s="3" t="str">
        <f>VLOOKUP(B316,LifeList!$E$2:$I$2038,4)</f>
        <v>Strigiformes</v>
      </c>
      <c r="H316" s="3" t="str">
        <f>VLOOKUP(B316,LifeList!$E$2:$I$2038,5)</f>
        <v>Strigidae (Owls)</v>
      </c>
      <c r="I316" s="3"/>
    </row>
    <row r="317" spans="1:9" ht="10.5" customHeight="1">
      <c r="A317" s="3" t="s">
        <v>478</v>
      </c>
      <c r="B317" s="3" t="s">
        <v>479</v>
      </c>
      <c r="C317" s="3">
        <f>VLOOKUP(B317,LifeList!$E$2:$J$2038,6)</f>
        <v>33962</v>
      </c>
      <c r="D317" s="3" t="str">
        <f>VLOOKUP(B317,LifeList!$E$2:$G$2038,1)</f>
        <v>Black-and-white Warbler</v>
      </c>
      <c r="E317" s="3" t="str">
        <f>VLOOKUP(B317,LifeList!$E$2:$G$2038,2)</f>
        <v>Paruline noir et blanc</v>
      </c>
      <c r="F317" s="3" t="str">
        <f>VLOOKUP(B317,LifeList!$E$2:$G$2038,3)</f>
        <v>Mniotilta varia</v>
      </c>
      <c r="G317" s="3" t="str">
        <f>VLOOKUP(B317,LifeList!$E$2:$I$2038,4)</f>
        <v>Passeriformes</v>
      </c>
      <c r="H317" s="3" t="str">
        <f>VLOOKUP(B317,LifeList!$E$2:$I$2038,5)</f>
        <v>Parulidae (New World Warblers)</v>
      </c>
      <c r="I317" s="3"/>
    </row>
    <row r="318" spans="1:9" ht="10.5" customHeight="1">
      <c r="A318" s="3" t="s">
        <v>480</v>
      </c>
      <c r="B318" s="3" t="s">
        <v>479</v>
      </c>
      <c r="C318" s="3">
        <f>VLOOKUP(B318,LifeList!$E$2:$J$2038,6)</f>
        <v>33962</v>
      </c>
      <c r="D318" s="3" t="str">
        <f>VLOOKUP(B318,LifeList!$E$2:$G$2038,1)</f>
        <v>Black-and-white Warbler</v>
      </c>
      <c r="E318" s="3" t="str">
        <f>VLOOKUP(B318,LifeList!$E$2:$G$2038,2)</f>
        <v>Paruline noir et blanc</v>
      </c>
      <c r="F318" s="3" t="str">
        <f>VLOOKUP(B318,LifeList!$E$2:$G$2038,3)</f>
        <v>Mniotilta varia</v>
      </c>
      <c r="G318" s="3" t="str">
        <f>VLOOKUP(B318,LifeList!$E$2:$I$2038,4)</f>
        <v>Passeriformes</v>
      </c>
      <c r="H318" s="3" t="str">
        <f>VLOOKUP(B318,LifeList!$E$2:$I$2038,5)</f>
        <v>Parulidae (New World Warblers)</v>
      </c>
      <c r="I318" s="3"/>
    </row>
    <row r="319" spans="1:9" ht="10.5" customHeight="1">
      <c r="A319" s="3" t="s">
        <v>481</v>
      </c>
      <c r="B319" s="3" t="s">
        <v>479</v>
      </c>
      <c r="C319" s="3">
        <f>VLOOKUP(B319,LifeList!$E$2:$J$2038,6)</f>
        <v>33962</v>
      </c>
      <c r="D319" s="3" t="str">
        <f>VLOOKUP(B319,LifeList!$E$2:$G$2038,1)</f>
        <v>Black-and-white Warbler</v>
      </c>
      <c r="E319" s="3" t="str">
        <f>VLOOKUP(B319,LifeList!$E$2:$G$2038,2)</f>
        <v>Paruline noir et blanc</v>
      </c>
      <c r="F319" s="3" t="str">
        <f>VLOOKUP(B319,LifeList!$E$2:$G$2038,3)</f>
        <v>Mniotilta varia</v>
      </c>
      <c r="G319" s="3" t="str">
        <f>VLOOKUP(B319,LifeList!$E$2:$I$2038,4)</f>
        <v>Passeriformes</v>
      </c>
      <c r="H319" s="3" t="str">
        <f>VLOOKUP(B319,LifeList!$E$2:$I$2038,5)</f>
        <v>Parulidae (New World Warblers)</v>
      </c>
      <c r="I319" s="3"/>
    </row>
    <row r="320" spans="1:9" ht="10.5" customHeight="1">
      <c r="A320" s="3" t="s">
        <v>482</v>
      </c>
      <c r="B320" s="3" t="s">
        <v>479</v>
      </c>
      <c r="C320" s="3">
        <f>VLOOKUP(B320,LifeList!$E$2:$J$2038,6)</f>
        <v>33962</v>
      </c>
      <c r="D320" s="3" t="str">
        <f>VLOOKUP(B320,LifeList!$E$2:$G$2038,1)</f>
        <v>Black-and-white Warbler</v>
      </c>
      <c r="E320" s="3" t="str">
        <f>VLOOKUP(B320,LifeList!$E$2:$G$2038,2)</f>
        <v>Paruline noir et blanc</v>
      </c>
      <c r="F320" s="3" t="str">
        <f>VLOOKUP(B320,LifeList!$E$2:$G$2038,3)</f>
        <v>Mniotilta varia</v>
      </c>
      <c r="G320" s="3" t="str">
        <f>VLOOKUP(B320,LifeList!$E$2:$I$2038,4)</f>
        <v>Passeriformes</v>
      </c>
      <c r="H320" s="3" t="str">
        <f>VLOOKUP(B320,LifeList!$E$2:$I$2038,5)</f>
        <v>Parulidae (New World Warblers)</v>
      </c>
      <c r="I320" s="3"/>
    </row>
    <row r="321" spans="1:9" ht="10.5" customHeight="1">
      <c r="A321" s="3" t="s">
        <v>483</v>
      </c>
      <c r="B321" s="3" t="s">
        <v>479</v>
      </c>
      <c r="C321" s="3">
        <f>VLOOKUP(B321,LifeList!$E$2:$J$2038,6)</f>
        <v>33962</v>
      </c>
      <c r="D321" s="3" t="str">
        <f>VLOOKUP(B321,LifeList!$E$2:$G$2038,1)</f>
        <v>Black-and-white Warbler</v>
      </c>
      <c r="E321" s="3" t="str">
        <f>VLOOKUP(B321,LifeList!$E$2:$G$2038,2)</f>
        <v>Paruline noir et blanc</v>
      </c>
      <c r="F321" s="3" t="str">
        <f>VLOOKUP(B321,LifeList!$E$2:$G$2038,3)</f>
        <v>Mniotilta varia</v>
      </c>
      <c r="G321" s="3" t="str">
        <f>VLOOKUP(B321,LifeList!$E$2:$I$2038,4)</f>
        <v>Passeriformes</v>
      </c>
      <c r="H321" s="3" t="str">
        <f>VLOOKUP(B321,LifeList!$E$2:$I$2038,5)</f>
        <v>Parulidae (New World Warblers)</v>
      </c>
      <c r="I321" s="3"/>
    </row>
    <row r="322" spans="1:9" ht="10.5" customHeight="1">
      <c r="A322" s="3" t="s">
        <v>484</v>
      </c>
      <c r="B322" s="3" t="s">
        <v>479</v>
      </c>
      <c r="C322" s="3">
        <f>VLOOKUP(B322,LifeList!$E$2:$J$2038,6)</f>
        <v>33962</v>
      </c>
      <c r="D322" s="3" t="str">
        <f>VLOOKUP(B322,LifeList!$E$2:$G$2038,1)</f>
        <v>Black-and-white Warbler</v>
      </c>
      <c r="E322" s="3" t="str">
        <f>VLOOKUP(B322,LifeList!$E$2:$G$2038,2)</f>
        <v>Paruline noir et blanc</v>
      </c>
      <c r="F322" s="3" t="str">
        <f>VLOOKUP(B322,LifeList!$E$2:$G$2038,3)</f>
        <v>Mniotilta varia</v>
      </c>
      <c r="G322" s="3" t="str">
        <f>VLOOKUP(B322,LifeList!$E$2:$I$2038,4)</f>
        <v>Passeriformes</v>
      </c>
      <c r="H322" s="3" t="str">
        <f>VLOOKUP(B322,LifeList!$E$2:$I$2038,5)</f>
        <v>Parulidae (New World Warblers)</v>
      </c>
      <c r="I322" s="3"/>
    </row>
    <row r="323" spans="1:9" ht="10.5" customHeight="1">
      <c r="A323" s="3" t="s">
        <v>485</v>
      </c>
      <c r="B323" s="3" t="s">
        <v>479</v>
      </c>
      <c r="C323" s="3">
        <f>VLOOKUP(B323,LifeList!$E$2:$J$2038,6)</f>
        <v>33962</v>
      </c>
      <c r="D323" s="3" t="str">
        <f>VLOOKUP(B323,LifeList!$E$2:$G$2038,1)</f>
        <v>Black-and-white Warbler</v>
      </c>
      <c r="E323" s="3" t="str">
        <f>VLOOKUP(B323,LifeList!$E$2:$G$2038,2)</f>
        <v>Paruline noir et blanc</v>
      </c>
      <c r="F323" s="3" t="str">
        <f>VLOOKUP(B323,LifeList!$E$2:$G$2038,3)</f>
        <v>Mniotilta varia</v>
      </c>
      <c r="G323" s="3" t="str">
        <f>VLOOKUP(B323,LifeList!$E$2:$I$2038,4)</f>
        <v>Passeriformes</v>
      </c>
      <c r="H323" s="3" t="str">
        <f>VLOOKUP(B323,LifeList!$E$2:$I$2038,5)</f>
        <v>Parulidae (New World Warblers)</v>
      </c>
      <c r="I323" s="3"/>
    </row>
    <row r="324" spans="1:9" ht="10.5" customHeight="1">
      <c r="A324" s="3" t="s">
        <v>486</v>
      </c>
      <c r="B324" s="3" t="s">
        <v>479</v>
      </c>
      <c r="C324" s="3">
        <f>VLOOKUP(B324,LifeList!$E$2:$J$2038,6)</f>
        <v>33962</v>
      </c>
      <c r="D324" s="3" t="str">
        <f>VLOOKUP(B324,LifeList!$E$2:$G$2038,1)</f>
        <v>Black-and-white Warbler</v>
      </c>
      <c r="E324" s="3" t="str">
        <f>VLOOKUP(B324,LifeList!$E$2:$G$2038,2)</f>
        <v>Paruline noir et blanc</v>
      </c>
      <c r="F324" s="3" t="str">
        <f>VLOOKUP(B324,LifeList!$E$2:$G$2038,3)</f>
        <v>Mniotilta varia</v>
      </c>
      <c r="G324" s="3" t="str">
        <f>VLOOKUP(B324,LifeList!$E$2:$I$2038,4)</f>
        <v>Passeriformes</v>
      </c>
      <c r="H324" s="3" t="str">
        <f>VLOOKUP(B324,LifeList!$E$2:$I$2038,5)</f>
        <v>Parulidae (New World Warblers)</v>
      </c>
      <c r="I324" s="3"/>
    </row>
    <row r="325" spans="1:9" ht="10.5" customHeight="1">
      <c r="A325" s="3" t="s">
        <v>487</v>
      </c>
      <c r="B325" s="3" t="s">
        <v>479</v>
      </c>
      <c r="C325" s="3">
        <f>VLOOKUP(B325,LifeList!$E$2:$J$2038,6)</f>
        <v>33962</v>
      </c>
      <c r="D325" s="3" t="str">
        <f>VLOOKUP(B325,LifeList!$E$2:$G$2038,1)</f>
        <v>Black-and-white Warbler</v>
      </c>
      <c r="E325" s="3" t="str">
        <f>VLOOKUP(B325,LifeList!$E$2:$G$2038,2)</f>
        <v>Paruline noir et blanc</v>
      </c>
      <c r="F325" s="3" t="str">
        <f>VLOOKUP(B325,LifeList!$E$2:$G$2038,3)</f>
        <v>Mniotilta varia</v>
      </c>
      <c r="G325" s="3" t="str">
        <f>VLOOKUP(B325,LifeList!$E$2:$I$2038,4)</f>
        <v>Passeriformes</v>
      </c>
      <c r="H325" s="3" t="str">
        <f>VLOOKUP(B325,LifeList!$E$2:$I$2038,5)</f>
        <v>Parulidae (New World Warblers)</v>
      </c>
      <c r="I325" s="3"/>
    </row>
    <row r="326" spans="1:9" ht="10.5" customHeight="1">
      <c r="A326" s="3" t="s">
        <v>488</v>
      </c>
      <c r="B326" s="3" t="s">
        <v>479</v>
      </c>
      <c r="C326" s="3">
        <f>VLOOKUP(B326,LifeList!$E$2:$J$2038,6)</f>
        <v>33962</v>
      </c>
      <c r="D326" s="3" t="str">
        <f>VLOOKUP(B326,LifeList!$E$2:$G$2038,1)</f>
        <v>Black-and-white Warbler</v>
      </c>
      <c r="E326" s="3" t="str">
        <f>VLOOKUP(B326,LifeList!$E$2:$G$2038,2)</f>
        <v>Paruline noir et blanc</v>
      </c>
      <c r="F326" s="3" t="str">
        <f>VLOOKUP(B326,LifeList!$E$2:$G$2038,3)</f>
        <v>Mniotilta varia</v>
      </c>
      <c r="G326" s="3" t="str">
        <f>VLOOKUP(B326,LifeList!$E$2:$I$2038,4)</f>
        <v>Passeriformes</v>
      </c>
      <c r="H326" s="3" t="str">
        <f>VLOOKUP(B326,LifeList!$E$2:$I$2038,5)</f>
        <v>Parulidae (New World Warblers)</v>
      </c>
      <c r="I326" s="3"/>
    </row>
    <row r="327" spans="1:9" ht="10.5" customHeight="1">
      <c r="A327" s="3" t="s">
        <v>489</v>
      </c>
      <c r="B327" s="3" t="s">
        <v>479</v>
      </c>
      <c r="C327" s="3">
        <f>VLOOKUP(B327,LifeList!$E$2:$J$2038,6)</f>
        <v>33962</v>
      </c>
      <c r="D327" s="3" t="str">
        <f>VLOOKUP(B327,LifeList!$E$2:$G$2038,1)</f>
        <v>Black-and-white Warbler</v>
      </c>
      <c r="E327" s="3" t="str">
        <f>VLOOKUP(B327,LifeList!$E$2:$G$2038,2)</f>
        <v>Paruline noir et blanc</v>
      </c>
      <c r="F327" s="3" t="str">
        <f>VLOOKUP(B327,LifeList!$E$2:$G$2038,3)</f>
        <v>Mniotilta varia</v>
      </c>
      <c r="G327" s="3" t="str">
        <f>VLOOKUP(B327,LifeList!$E$2:$I$2038,4)</f>
        <v>Passeriformes</v>
      </c>
      <c r="H327" s="3" t="str">
        <f>VLOOKUP(B327,LifeList!$E$2:$I$2038,5)</f>
        <v>Parulidae (New World Warblers)</v>
      </c>
      <c r="I327" s="3"/>
    </row>
    <row r="328" spans="1:9" ht="10.5" customHeight="1">
      <c r="A328" s="3" t="s">
        <v>490</v>
      </c>
      <c r="B328" s="3" t="s">
        <v>491</v>
      </c>
      <c r="C328" s="3">
        <f>VLOOKUP(B328,LifeList!$E$2:$J$2038,6)</f>
        <v>29900</v>
      </c>
      <c r="D328" s="3" t="str">
        <f>VLOOKUP(B328,LifeList!$E$2:$G$2038,1)</f>
        <v>Black-and-yellow Silky-flycatcher</v>
      </c>
      <c r="E328" s="3" t="str">
        <f>VLOOKUP(B328,LifeList!$E$2:$G$2038,2)</f>
        <v>Phénoptile noir et jaune</v>
      </c>
      <c r="F328" s="3" t="str">
        <f>VLOOKUP(B328,LifeList!$E$2:$G$2038,3)</f>
        <v>Phainoptila melanoxantha</v>
      </c>
      <c r="G328" s="3" t="str">
        <f>VLOOKUP(B328,LifeList!$E$2:$I$2038,4)</f>
        <v>Passeriformes</v>
      </c>
      <c r="H328" s="3" t="str">
        <f>VLOOKUP(B328,LifeList!$E$2:$I$2038,5)</f>
        <v>Ptiliogonatidae (Silky-flycatchers)</v>
      </c>
      <c r="I328" s="3"/>
    </row>
    <row r="329" spans="1:9" ht="10.5" customHeight="1">
      <c r="A329" s="3" t="s">
        <v>492</v>
      </c>
      <c r="B329" s="3" t="s">
        <v>493</v>
      </c>
      <c r="C329" s="3">
        <f>VLOOKUP(B329,LifeList!$E$2:$J$2038,6)</f>
        <v>13596</v>
      </c>
      <c r="D329" s="3" t="str">
        <f>VLOOKUP(B329,LifeList!$E$2:$G$2038,1)</f>
        <v>Black-backed Antshrike</v>
      </c>
      <c r="E329" s="3" t="str">
        <f>VLOOKUP(B329,LifeList!$E$2:$G$2038,2)</f>
        <v>Batara à dos noir</v>
      </c>
      <c r="F329" s="3" t="str">
        <f>VLOOKUP(B329,LifeList!$E$2:$G$2038,3)</f>
        <v>Thamnophilus melanonotus</v>
      </c>
      <c r="G329" s="3" t="str">
        <f>VLOOKUP(B329,LifeList!$E$2:$I$2038,4)</f>
        <v>Passeriformes</v>
      </c>
      <c r="H329" s="3" t="str">
        <f>VLOOKUP(B329,LifeList!$E$2:$I$2038,5)</f>
        <v>Thamnophilidae (Typical Antbirds)</v>
      </c>
      <c r="I329" s="3"/>
    </row>
    <row r="330" spans="1:9" ht="10.5" customHeight="1">
      <c r="A330" s="3" t="s">
        <v>494</v>
      </c>
      <c r="B330" s="3" t="s">
        <v>493</v>
      </c>
      <c r="C330" s="3">
        <f>VLOOKUP(B330,LifeList!$E$2:$J$2038,6)</f>
        <v>13596</v>
      </c>
      <c r="D330" s="3" t="str">
        <f>VLOOKUP(B330,LifeList!$E$2:$G$2038,1)</f>
        <v>Black-backed Antshrike</v>
      </c>
      <c r="E330" s="3" t="str">
        <f>VLOOKUP(B330,LifeList!$E$2:$G$2038,2)</f>
        <v>Batara à dos noir</v>
      </c>
      <c r="F330" s="3" t="str">
        <f>VLOOKUP(B330,LifeList!$E$2:$G$2038,3)</f>
        <v>Thamnophilus melanonotus</v>
      </c>
      <c r="G330" s="3" t="str">
        <f>VLOOKUP(B330,LifeList!$E$2:$I$2038,4)</f>
        <v>Passeriformes</v>
      </c>
      <c r="H330" s="3" t="str">
        <f>VLOOKUP(B330,LifeList!$E$2:$I$2038,5)</f>
        <v>Thamnophilidae (Typical Antbirds)</v>
      </c>
      <c r="I330" s="3"/>
    </row>
    <row r="331" spans="1:9" ht="10.5" customHeight="1">
      <c r="A331" s="3" t="s">
        <v>495</v>
      </c>
      <c r="B331" s="3" t="s">
        <v>496</v>
      </c>
      <c r="C331" s="3">
        <f>VLOOKUP(B331,LifeList!$E$2:$J$2038,6)</f>
        <v>34550</v>
      </c>
      <c r="D331" s="3" t="str">
        <f>VLOOKUP(B331,LifeList!$E$2:$G$2038,1)</f>
        <v>Black-backed Grosbeak</v>
      </c>
      <c r="E331" s="3" t="str">
        <f>VLOOKUP(B331,LifeList!$E$2:$G$2038,2)</f>
        <v>Cardinal à dos noir</v>
      </c>
      <c r="F331" s="3" t="str">
        <f>VLOOKUP(B331,LifeList!$E$2:$G$2038,3)</f>
        <v>Pheucticus aureoventris</v>
      </c>
      <c r="G331" s="3" t="str">
        <f>VLOOKUP(B331,LifeList!$E$2:$I$2038,4)</f>
        <v>Passeriformes</v>
      </c>
      <c r="H331" s="3" t="str">
        <f>VLOOKUP(B331,LifeList!$E$2:$I$2038,5)</f>
        <v>Cardinalidae (Cardinals and Allies)</v>
      </c>
      <c r="I331" s="3"/>
    </row>
    <row r="332" spans="1:9" ht="10.5" customHeight="1">
      <c r="A332" s="3" t="s">
        <v>497</v>
      </c>
      <c r="B332" s="3" t="s">
        <v>498</v>
      </c>
      <c r="C332" s="3">
        <f>VLOOKUP(B332,LifeList!$E$2:$J$2038,6)</f>
        <v>20050</v>
      </c>
      <c r="D332" s="3" t="str">
        <f>VLOOKUP(B332,LifeList!$E$2:$G$2038,1)</f>
        <v>Black-backed Puffback</v>
      </c>
      <c r="E332" s="3" t="str">
        <f>VLOOKUP(B332,LifeList!$E$2:$G$2038,2)</f>
        <v>Cubla boule-de-neige</v>
      </c>
      <c r="F332" s="3" t="str">
        <f>VLOOKUP(B332,LifeList!$E$2:$G$2038,3)</f>
        <v>Dryoscopus cubla</v>
      </c>
      <c r="G332" s="3" t="str">
        <f>VLOOKUP(B332,LifeList!$E$2:$I$2038,4)</f>
        <v>Passeriformes</v>
      </c>
      <c r="H332" s="3" t="str">
        <f>VLOOKUP(B332,LifeList!$E$2:$I$2038,5)</f>
        <v>Malaconotidae (Bushshrikes and Allies)</v>
      </c>
      <c r="I332" s="3"/>
    </row>
    <row r="333" spans="1:9" ht="10.5" customHeight="1">
      <c r="A333" s="3" t="s">
        <v>499</v>
      </c>
      <c r="B333" s="3" t="s">
        <v>500</v>
      </c>
      <c r="C333" s="3">
        <f>VLOOKUP(B333,LifeList!$E$2:$J$2038,6)</f>
        <v>11220</v>
      </c>
      <c r="D333" s="3" t="str">
        <f>VLOOKUP(B333,LifeList!$E$2:$G$2038,1)</f>
        <v>Black-backed Woodpecker</v>
      </c>
      <c r="E333" s="3" t="str">
        <f>VLOOKUP(B333,LifeList!$E$2:$G$2038,2)</f>
        <v>Pic à dos noir</v>
      </c>
      <c r="F333" s="3" t="str">
        <f>VLOOKUP(B333,LifeList!$E$2:$G$2038,3)</f>
        <v>Picoides arcticus</v>
      </c>
      <c r="G333" s="3" t="str">
        <f>VLOOKUP(B333,LifeList!$E$2:$I$2038,4)</f>
        <v>Piciformes</v>
      </c>
      <c r="H333" s="3" t="str">
        <f>VLOOKUP(B333,LifeList!$E$2:$I$2038,5)</f>
        <v>Picidae (Woodpeckers)</v>
      </c>
      <c r="I333" s="3"/>
    </row>
    <row r="334" spans="1:9" ht="10.5" customHeight="1">
      <c r="A334" s="5" t="s">
        <v>501</v>
      </c>
      <c r="B334" s="3" t="s">
        <v>502</v>
      </c>
      <c r="C334" s="6">
        <f>VLOOKUP(B334,LifeList!$E$2:$J$2038,6)</f>
        <v>27444</v>
      </c>
      <c r="D334" s="3" t="str">
        <f>VLOOKUP(B334,LifeList!$E$2:$G$2038,1)</f>
        <v>Black-bellied Wren</v>
      </c>
      <c r="E334" s="3" t="str">
        <f>VLOOKUP(B334,LifeList!$E$2:$G$2038,2)</f>
        <v>Troglodyte à ventre noir</v>
      </c>
      <c r="F334" s="3" t="str">
        <f>VLOOKUP(B334,LifeList!$E$2:$G$2038,3)</f>
        <v>Pheugopedius fasciatoventris</v>
      </c>
      <c r="G334" s="3" t="str">
        <f>VLOOKUP(B334,LifeList!$E$2:$I$2038,4)</f>
        <v>Passeriformes</v>
      </c>
      <c r="H334" s="3" t="str">
        <f>VLOOKUP(B334,LifeList!$E$2:$I$2038,5)</f>
        <v>Troglodytidae (Wrens)</v>
      </c>
      <c r="I334" s="3"/>
    </row>
    <row r="335" spans="1:9" ht="10.5" customHeight="1">
      <c r="A335" s="3" t="s">
        <v>503</v>
      </c>
      <c r="B335" s="3" t="s">
        <v>504</v>
      </c>
      <c r="C335" s="3">
        <f>VLOOKUP(B335,LifeList!$E$2:$J$2038,6)</f>
        <v>5019</v>
      </c>
      <c r="D335" s="3" t="str">
        <f>VLOOKUP(B335,LifeList!$E$2:$G$2038,1)</f>
        <v>Black-bellied Hummingbird</v>
      </c>
      <c r="E335" s="3" t="str">
        <f>VLOOKUP(B335,LifeList!$E$2:$G$2038,2)</f>
        <v>Colibri à ventre noir</v>
      </c>
      <c r="F335" s="3" t="str">
        <f>VLOOKUP(B335,LifeList!$E$2:$G$2038,3)</f>
        <v>Eupherusa nigriventris</v>
      </c>
      <c r="G335" s="3" t="str">
        <f>VLOOKUP(B335,LifeList!$E$2:$I$2038,4)</f>
        <v>Apodiformes</v>
      </c>
      <c r="H335" s="3" t="str">
        <f>VLOOKUP(B335,LifeList!$E$2:$I$2038,5)</f>
        <v>Trochilidae (Hummingbirds)</v>
      </c>
      <c r="I335" s="3"/>
    </row>
    <row r="336" spans="1:9" ht="10.5" customHeight="1">
      <c r="A336" s="3" t="s">
        <v>505</v>
      </c>
      <c r="B336" s="3" t="s">
        <v>506</v>
      </c>
      <c r="C336" s="3">
        <f>VLOOKUP(B336,LifeList!$E$2:$J$2038,6)</f>
        <v>5811</v>
      </c>
      <c r="D336" s="3" t="str">
        <f>VLOOKUP(B336,LifeList!$E$2:$G$2038,1)</f>
        <v>Black-bellied Plover</v>
      </c>
      <c r="E336" s="3" t="str">
        <f>VLOOKUP(B336,LifeList!$E$2:$G$2038,2)</f>
        <v>Pluvier argenté</v>
      </c>
      <c r="F336" s="3" t="str">
        <f>VLOOKUP(B336,LifeList!$E$2:$G$2038,3)</f>
        <v>Pluvialis squatarola</v>
      </c>
      <c r="G336" s="3" t="str">
        <f>VLOOKUP(B336,LifeList!$E$2:$I$2038,4)</f>
        <v>Charadriiformes</v>
      </c>
      <c r="H336" s="3" t="str">
        <f>VLOOKUP(B336,LifeList!$E$2:$I$2038,5)</f>
        <v>Charadriidae (Plovers and Lapwings)</v>
      </c>
      <c r="I336" s="3"/>
    </row>
    <row r="337" spans="1:9" ht="10.5" customHeight="1">
      <c r="A337" s="3" t="s">
        <v>507</v>
      </c>
      <c r="B337" s="3" t="s">
        <v>506</v>
      </c>
      <c r="C337" s="3">
        <f>VLOOKUP(B337,LifeList!$E$2:$J$2038,6)</f>
        <v>5811</v>
      </c>
      <c r="D337" s="3" t="str">
        <f>VLOOKUP(B337,LifeList!$E$2:$G$2038,1)</f>
        <v>Black-bellied Plover</v>
      </c>
      <c r="E337" s="3" t="str">
        <f>VLOOKUP(B337,LifeList!$E$2:$G$2038,2)</f>
        <v>Pluvier argenté</v>
      </c>
      <c r="F337" s="3" t="str">
        <f>VLOOKUP(B337,LifeList!$E$2:$G$2038,3)</f>
        <v>Pluvialis squatarola</v>
      </c>
      <c r="G337" s="3" t="str">
        <f>VLOOKUP(B337,LifeList!$E$2:$I$2038,4)</f>
        <v>Charadriiformes</v>
      </c>
      <c r="H337" s="3" t="str">
        <f>VLOOKUP(B337,LifeList!$E$2:$I$2038,5)</f>
        <v>Charadriidae (Plovers and Lapwings)</v>
      </c>
      <c r="I337" s="3"/>
    </row>
    <row r="338" spans="1:9" ht="10.5" customHeight="1">
      <c r="A338" s="3" t="s">
        <v>508</v>
      </c>
      <c r="B338" s="3" t="s">
        <v>506</v>
      </c>
      <c r="C338" s="3">
        <f>VLOOKUP(B338,LifeList!$E$2:$J$2038,6)</f>
        <v>5811</v>
      </c>
      <c r="D338" s="3" t="str">
        <f>VLOOKUP(B338,LifeList!$E$2:$G$2038,1)</f>
        <v>Black-bellied Plover</v>
      </c>
      <c r="E338" s="3" t="str">
        <f>VLOOKUP(B338,LifeList!$E$2:$G$2038,2)</f>
        <v>Pluvier argenté</v>
      </c>
      <c r="F338" s="3" t="str">
        <f>VLOOKUP(B338,LifeList!$E$2:$G$2038,3)</f>
        <v>Pluvialis squatarola</v>
      </c>
      <c r="G338" s="3" t="str">
        <f>VLOOKUP(B338,LifeList!$E$2:$I$2038,4)</f>
        <v>Charadriiformes</v>
      </c>
      <c r="H338" s="3" t="str">
        <f>VLOOKUP(B338,LifeList!$E$2:$I$2038,5)</f>
        <v>Charadriidae (Plovers and Lapwings)</v>
      </c>
      <c r="I338" s="3"/>
    </row>
    <row r="339" spans="1:9" ht="10.5" customHeight="1">
      <c r="A339" s="3" t="s">
        <v>509</v>
      </c>
      <c r="B339" s="3" t="s">
        <v>506</v>
      </c>
      <c r="C339" s="3">
        <f>VLOOKUP(B339,LifeList!$E$2:$J$2038,6)</f>
        <v>5811</v>
      </c>
      <c r="D339" s="3" t="str">
        <f>VLOOKUP(B339,LifeList!$E$2:$G$2038,1)</f>
        <v>Black-bellied Plover</v>
      </c>
      <c r="E339" s="3" t="str">
        <f>VLOOKUP(B339,LifeList!$E$2:$G$2038,2)</f>
        <v>Pluvier argenté</v>
      </c>
      <c r="F339" s="3" t="str">
        <f>VLOOKUP(B339,LifeList!$E$2:$G$2038,3)</f>
        <v>Pluvialis squatarola</v>
      </c>
      <c r="G339" s="3" t="str">
        <f>VLOOKUP(B339,LifeList!$E$2:$I$2038,4)</f>
        <v>Charadriiformes</v>
      </c>
      <c r="H339" s="3" t="str">
        <f>VLOOKUP(B339,LifeList!$E$2:$I$2038,5)</f>
        <v>Charadriidae (Plovers and Lapwings)</v>
      </c>
      <c r="I339" s="3"/>
    </row>
    <row r="340" spans="1:9" ht="10.5" customHeight="1">
      <c r="A340" s="3" t="s">
        <v>510</v>
      </c>
      <c r="B340" s="3" t="s">
        <v>506</v>
      </c>
      <c r="C340" s="3">
        <f>VLOOKUP(B340,LifeList!$E$2:$J$2038,6)</f>
        <v>5811</v>
      </c>
      <c r="D340" s="3" t="str">
        <f>VLOOKUP(B340,LifeList!$E$2:$G$2038,1)</f>
        <v>Black-bellied Plover</v>
      </c>
      <c r="E340" s="3" t="str">
        <f>VLOOKUP(B340,LifeList!$E$2:$G$2038,2)</f>
        <v>Pluvier argenté</v>
      </c>
      <c r="F340" s="3" t="str">
        <f>VLOOKUP(B340,LifeList!$E$2:$G$2038,3)</f>
        <v>Pluvialis squatarola</v>
      </c>
      <c r="G340" s="3" t="str">
        <f>VLOOKUP(B340,LifeList!$E$2:$I$2038,4)</f>
        <v>Charadriiformes</v>
      </c>
      <c r="H340" s="3" t="str">
        <f>VLOOKUP(B340,LifeList!$E$2:$I$2038,5)</f>
        <v>Charadriidae (Plovers and Lapwings)</v>
      </c>
      <c r="I340" s="3"/>
    </row>
    <row r="341" spans="1:9" ht="10.5" customHeight="1">
      <c r="A341" s="3" t="s">
        <v>511</v>
      </c>
      <c r="B341" s="3" t="s">
        <v>506</v>
      </c>
      <c r="C341" s="3">
        <f>VLOOKUP(B341,LifeList!$E$2:$J$2038,6)</f>
        <v>5811</v>
      </c>
      <c r="D341" s="3" t="str">
        <f>VLOOKUP(B341,LifeList!$E$2:$G$2038,1)</f>
        <v>Black-bellied Plover</v>
      </c>
      <c r="E341" s="3" t="str">
        <f>VLOOKUP(B341,LifeList!$E$2:$G$2038,2)</f>
        <v>Pluvier argenté</v>
      </c>
      <c r="F341" s="3" t="str">
        <f>VLOOKUP(B341,LifeList!$E$2:$G$2038,3)</f>
        <v>Pluvialis squatarola</v>
      </c>
      <c r="G341" s="3" t="str">
        <f>VLOOKUP(B341,LifeList!$E$2:$I$2038,4)</f>
        <v>Charadriiformes</v>
      </c>
      <c r="H341" s="3" t="str">
        <f>VLOOKUP(B341,LifeList!$E$2:$I$2038,5)</f>
        <v>Charadriidae (Plovers and Lapwings)</v>
      </c>
      <c r="I341" s="3"/>
    </row>
    <row r="342" spans="1:9" ht="10.5" customHeight="1">
      <c r="A342" s="3" t="s">
        <v>512</v>
      </c>
      <c r="B342" s="3" t="s">
        <v>506</v>
      </c>
      <c r="C342" s="3">
        <f>VLOOKUP(B342,LifeList!$E$2:$J$2038,6)</f>
        <v>5811</v>
      </c>
      <c r="D342" s="3" t="str">
        <f>VLOOKUP(B342,LifeList!$E$2:$G$2038,1)</f>
        <v>Black-bellied Plover</v>
      </c>
      <c r="E342" s="3" t="str">
        <f>VLOOKUP(B342,LifeList!$E$2:$G$2038,2)</f>
        <v>Pluvier argenté</v>
      </c>
      <c r="F342" s="3" t="str">
        <f>VLOOKUP(B342,LifeList!$E$2:$G$2038,3)</f>
        <v>Pluvialis squatarola</v>
      </c>
      <c r="G342" s="3" t="str">
        <f>VLOOKUP(B342,LifeList!$E$2:$I$2038,4)</f>
        <v>Charadriiformes</v>
      </c>
      <c r="H342" s="3" t="str">
        <f>VLOOKUP(B342,LifeList!$E$2:$I$2038,5)</f>
        <v>Charadriidae (Plovers and Lapwings)</v>
      </c>
      <c r="I342" s="3"/>
    </row>
    <row r="343" spans="1:9" ht="10.5" customHeight="1">
      <c r="A343" s="3" t="s">
        <v>513</v>
      </c>
      <c r="B343" s="3" t="s">
        <v>506</v>
      </c>
      <c r="C343" s="3">
        <f>VLOOKUP(B343,LifeList!$E$2:$J$2038,6)</f>
        <v>5811</v>
      </c>
      <c r="D343" s="3" t="str">
        <f>VLOOKUP(B343,LifeList!$E$2:$G$2038,1)</f>
        <v>Black-bellied Plover</v>
      </c>
      <c r="E343" s="3" t="str">
        <f>VLOOKUP(B343,LifeList!$E$2:$G$2038,2)</f>
        <v>Pluvier argenté</v>
      </c>
      <c r="F343" s="3" t="str">
        <f>VLOOKUP(B343,LifeList!$E$2:$G$2038,3)</f>
        <v>Pluvialis squatarola</v>
      </c>
      <c r="G343" s="3" t="str">
        <f>VLOOKUP(B343,LifeList!$E$2:$I$2038,4)</f>
        <v>Charadriiformes</v>
      </c>
      <c r="H343" s="3" t="str">
        <f>VLOOKUP(B343,LifeList!$E$2:$I$2038,5)</f>
        <v>Charadriidae (Plovers and Lapwings)</v>
      </c>
      <c r="I343" s="3"/>
    </row>
    <row r="344" spans="1:9" ht="10.5" customHeight="1">
      <c r="A344" s="3" t="s">
        <v>514</v>
      </c>
      <c r="B344" s="3" t="s">
        <v>506</v>
      </c>
      <c r="C344" s="3">
        <f>VLOOKUP(B344,LifeList!$E$2:$J$2038,6)</f>
        <v>5811</v>
      </c>
      <c r="D344" s="3" t="str">
        <f>VLOOKUP(B344,LifeList!$E$2:$G$2038,1)</f>
        <v>Black-bellied Plover</v>
      </c>
      <c r="E344" s="3" t="str">
        <f>VLOOKUP(B344,LifeList!$E$2:$G$2038,2)</f>
        <v>Pluvier argenté</v>
      </c>
      <c r="F344" s="3" t="str">
        <f>VLOOKUP(B344,LifeList!$E$2:$G$2038,3)</f>
        <v>Pluvialis squatarola</v>
      </c>
      <c r="G344" s="3" t="str">
        <f>VLOOKUP(B344,LifeList!$E$2:$I$2038,4)</f>
        <v>Charadriiformes</v>
      </c>
      <c r="H344" s="3" t="str">
        <f>VLOOKUP(B344,LifeList!$E$2:$I$2038,5)</f>
        <v>Charadriidae (Plovers and Lapwings)</v>
      </c>
      <c r="I344" s="3"/>
    </row>
    <row r="345" spans="1:9" ht="10.5" customHeight="1">
      <c r="A345" s="3" t="s">
        <v>515</v>
      </c>
      <c r="B345" s="3" t="s">
        <v>516</v>
      </c>
      <c r="C345" s="3">
        <f>VLOOKUP(B345,LifeList!$E$2:$J$2038,6)</f>
        <v>243</v>
      </c>
      <c r="D345" s="3" t="str">
        <f>VLOOKUP(B345,LifeList!$E$2:$G$2038,1)</f>
        <v>Black-bellied Whistling-Duck</v>
      </c>
      <c r="E345" s="3" t="str">
        <f>VLOOKUP(B345,LifeList!$E$2:$G$2038,2)</f>
        <v>Dendrocygne à ventre noir</v>
      </c>
      <c r="F345" s="3" t="str">
        <f>VLOOKUP(B345,LifeList!$E$2:$G$2038,3)</f>
        <v>Dendrocygna autumnalis</v>
      </c>
      <c r="G345" s="3" t="str">
        <f>VLOOKUP(B345,LifeList!$E$2:$I$2038,4)</f>
        <v>Anseriformes</v>
      </c>
      <c r="H345" s="3" t="str">
        <f>VLOOKUP(B345,LifeList!$E$2:$I$2038,5)</f>
        <v>Anatidae (Ducks, Geese, and Waterfowl)</v>
      </c>
      <c r="I345" s="3"/>
    </row>
    <row r="346" spans="1:9" ht="10.5" customHeight="1">
      <c r="A346" s="3" t="s">
        <v>517</v>
      </c>
      <c r="B346" s="3" t="s">
        <v>516</v>
      </c>
      <c r="C346" s="3">
        <f>VLOOKUP(B346,LifeList!$E$2:$J$2038,6)</f>
        <v>243</v>
      </c>
      <c r="D346" s="3" t="str">
        <f>VLOOKUP(B346,LifeList!$E$2:$G$2038,1)</f>
        <v>Black-bellied Whistling-Duck</v>
      </c>
      <c r="E346" s="3" t="str">
        <f>VLOOKUP(B346,LifeList!$E$2:$G$2038,2)</f>
        <v>Dendrocygne à ventre noir</v>
      </c>
      <c r="F346" s="3" t="str">
        <f>VLOOKUP(B346,LifeList!$E$2:$G$2038,3)</f>
        <v>Dendrocygna autumnalis</v>
      </c>
      <c r="G346" s="3" t="str">
        <f>VLOOKUP(B346,LifeList!$E$2:$I$2038,4)</f>
        <v>Anseriformes</v>
      </c>
      <c r="H346" s="3" t="str">
        <f>VLOOKUP(B346,LifeList!$E$2:$I$2038,5)</f>
        <v>Anatidae (Ducks, Geese, and Waterfowl)</v>
      </c>
      <c r="I346" s="3"/>
    </row>
    <row r="347" spans="1:9" ht="10.5" customHeight="1">
      <c r="A347" s="3" t="s">
        <v>518</v>
      </c>
      <c r="B347" s="3" t="s">
        <v>516</v>
      </c>
      <c r="C347" s="3">
        <f>VLOOKUP(B347,LifeList!$E$2:$J$2038,6)</f>
        <v>243</v>
      </c>
      <c r="D347" s="3" t="str">
        <f>VLOOKUP(B347,LifeList!$E$2:$G$2038,1)</f>
        <v>Black-bellied Whistling-Duck</v>
      </c>
      <c r="E347" s="3" t="str">
        <f>VLOOKUP(B347,LifeList!$E$2:$G$2038,2)</f>
        <v>Dendrocygne à ventre noir</v>
      </c>
      <c r="F347" s="3" t="str">
        <f>VLOOKUP(B347,LifeList!$E$2:$G$2038,3)</f>
        <v>Dendrocygna autumnalis</v>
      </c>
      <c r="G347" s="3" t="str">
        <f>VLOOKUP(B347,LifeList!$E$2:$I$2038,4)</f>
        <v>Anseriformes</v>
      </c>
      <c r="H347" s="3" t="str">
        <f>VLOOKUP(B347,LifeList!$E$2:$I$2038,5)</f>
        <v>Anatidae (Ducks, Geese, and Waterfowl)</v>
      </c>
      <c r="I347" s="3"/>
    </row>
    <row r="348" spans="1:9" ht="10.5" customHeight="1">
      <c r="A348" s="3" t="s">
        <v>519</v>
      </c>
      <c r="B348" s="3" t="s">
        <v>516</v>
      </c>
      <c r="C348" s="3">
        <f>VLOOKUP(B348,LifeList!$E$2:$J$2038,6)</f>
        <v>243</v>
      </c>
      <c r="D348" s="3" t="str">
        <f>VLOOKUP(B348,LifeList!$E$2:$G$2038,1)</f>
        <v>Black-bellied Whistling-Duck</v>
      </c>
      <c r="E348" s="3" t="str">
        <f>VLOOKUP(B348,LifeList!$E$2:$G$2038,2)</f>
        <v>Dendrocygne à ventre noir</v>
      </c>
      <c r="F348" s="3" t="str">
        <f>VLOOKUP(B348,LifeList!$E$2:$G$2038,3)</f>
        <v>Dendrocygna autumnalis</v>
      </c>
      <c r="G348" s="3" t="str">
        <f>VLOOKUP(B348,LifeList!$E$2:$I$2038,4)</f>
        <v>Anseriformes</v>
      </c>
      <c r="H348" s="3" t="str">
        <f>VLOOKUP(B348,LifeList!$E$2:$I$2038,5)</f>
        <v>Anatidae (Ducks, Geese, and Waterfowl)</v>
      </c>
      <c r="I348" s="3"/>
    </row>
    <row r="349" spans="1:9" ht="10.5" customHeight="1">
      <c r="A349" s="3" t="s">
        <v>520</v>
      </c>
      <c r="B349" s="3" t="s">
        <v>516</v>
      </c>
      <c r="C349" s="3">
        <f>VLOOKUP(B349,LifeList!$E$2:$J$2038,6)</f>
        <v>243</v>
      </c>
      <c r="D349" s="3" t="str">
        <f>VLOOKUP(B349,LifeList!$E$2:$G$2038,1)</f>
        <v>Black-bellied Whistling-Duck</v>
      </c>
      <c r="E349" s="3" t="str">
        <f>VLOOKUP(B349,LifeList!$E$2:$G$2038,2)</f>
        <v>Dendrocygne à ventre noir</v>
      </c>
      <c r="F349" s="3" t="str">
        <f>VLOOKUP(B349,LifeList!$E$2:$G$2038,3)</f>
        <v>Dendrocygna autumnalis</v>
      </c>
      <c r="G349" s="3" t="str">
        <f>VLOOKUP(B349,LifeList!$E$2:$I$2038,4)</f>
        <v>Anseriformes</v>
      </c>
      <c r="H349" s="3" t="str">
        <f>VLOOKUP(B349,LifeList!$E$2:$I$2038,5)</f>
        <v>Anatidae (Ducks, Geese, and Waterfowl)</v>
      </c>
      <c r="I349" s="3"/>
    </row>
    <row r="350" spans="1:9" ht="10.5" customHeight="1">
      <c r="A350" s="3" t="s">
        <v>521</v>
      </c>
      <c r="B350" s="3" t="s">
        <v>516</v>
      </c>
      <c r="C350" s="3">
        <f>VLOOKUP(B350,LifeList!$E$2:$J$2038,6)</f>
        <v>243</v>
      </c>
      <c r="D350" s="3" t="str">
        <f>VLOOKUP(B350,LifeList!$E$2:$G$2038,1)</f>
        <v>Black-bellied Whistling-Duck</v>
      </c>
      <c r="E350" s="3" t="str">
        <f>VLOOKUP(B350,LifeList!$E$2:$G$2038,2)</f>
        <v>Dendrocygne à ventre noir</v>
      </c>
      <c r="F350" s="3" t="str">
        <f>VLOOKUP(B350,LifeList!$E$2:$G$2038,3)</f>
        <v>Dendrocygna autumnalis</v>
      </c>
      <c r="G350" s="3" t="str">
        <f>VLOOKUP(B350,LifeList!$E$2:$I$2038,4)</f>
        <v>Anseriformes</v>
      </c>
      <c r="H350" s="3" t="str">
        <f>VLOOKUP(B350,LifeList!$E$2:$I$2038,5)</f>
        <v>Anatidae (Ducks, Geese, and Waterfowl)</v>
      </c>
      <c r="I350" s="3"/>
    </row>
    <row r="351" spans="1:9" ht="10.5" customHeight="1">
      <c r="A351" s="5" t="s">
        <v>522</v>
      </c>
      <c r="B351" s="3" t="s">
        <v>523</v>
      </c>
      <c r="C351" s="6">
        <f>VLOOKUP(B351,LifeList!$E$2:$J$2038,6)</f>
        <v>21476</v>
      </c>
      <c r="D351" s="3" t="str">
        <f>VLOOKUP(B351,LifeList!$E$2:$G$2038,1)</f>
        <v>Black-billed Magpie</v>
      </c>
      <c r="E351" s="3" t="str">
        <f>VLOOKUP(B351,LifeList!$E$2:$G$2038,2)</f>
        <v>Pie d'Amérique</v>
      </c>
      <c r="F351" s="3" t="str">
        <f>VLOOKUP(B351,LifeList!$E$2:$G$2038,3)</f>
        <v>Pica hudsonia</v>
      </c>
      <c r="G351" s="3" t="str">
        <f>VLOOKUP(B351,LifeList!$E$2:$I$2038,4)</f>
        <v>Passeriformes</v>
      </c>
      <c r="H351" s="3" t="str">
        <f>VLOOKUP(B351,LifeList!$E$2:$I$2038,5)</f>
        <v>Corvidae (Crows, Jays, and Magpies)</v>
      </c>
      <c r="I351" s="3"/>
    </row>
    <row r="352" spans="1:9" ht="10.5" customHeight="1">
      <c r="A352" s="5" t="s">
        <v>524</v>
      </c>
      <c r="B352" s="3" t="s">
        <v>523</v>
      </c>
      <c r="C352" s="6">
        <f>VLOOKUP(B352,LifeList!$E$2:$J$2038,6)</f>
        <v>21476</v>
      </c>
      <c r="D352" s="3" t="str">
        <f>VLOOKUP(B352,LifeList!$E$2:$G$2038,1)</f>
        <v>Black-billed Magpie</v>
      </c>
      <c r="E352" s="3" t="str">
        <f>VLOOKUP(B352,LifeList!$E$2:$G$2038,2)</f>
        <v>Pie d'Amérique</v>
      </c>
      <c r="F352" s="3" t="str">
        <f>VLOOKUP(B352,LifeList!$E$2:$G$2038,3)</f>
        <v>Pica hudsonia</v>
      </c>
      <c r="G352" s="3" t="str">
        <f>VLOOKUP(B352,LifeList!$E$2:$I$2038,4)</f>
        <v>Passeriformes</v>
      </c>
      <c r="H352" s="3" t="str">
        <f>VLOOKUP(B352,LifeList!$E$2:$I$2038,5)</f>
        <v>Corvidae (Crows, Jays, and Magpies)</v>
      </c>
      <c r="I352" s="3"/>
    </row>
    <row r="353" spans="1:9" ht="10.5" customHeight="1">
      <c r="A353" s="3" t="s">
        <v>525</v>
      </c>
      <c r="B353" s="3" t="s">
        <v>526</v>
      </c>
      <c r="C353" s="3">
        <f>VLOOKUP(B353,LifeList!$E$2:$J$2038,6)</f>
        <v>10876</v>
      </c>
      <c r="D353" s="3" t="str">
        <f>VLOOKUP(B353,LifeList!$E$2:$G$2038,1)</f>
        <v>Black-billed Mountain-Toucan</v>
      </c>
      <c r="E353" s="3" t="str">
        <f>VLOOKUP(B353,LifeList!$E$2:$G$2038,2)</f>
        <v>Toucan à bec noir</v>
      </c>
      <c r="F353" s="3" t="str">
        <f>VLOOKUP(B353,LifeList!$E$2:$G$2038,3)</f>
        <v>Andigena nigrirostris</v>
      </c>
      <c r="G353" s="3" t="str">
        <f>VLOOKUP(B353,LifeList!$E$2:$I$2038,4)</f>
        <v>Piciformes</v>
      </c>
      <c r="H353" s="3" t="str">
        <f>VLOOKUP(B353,LifeList!$E$2:$I$2038,5)</f>
        <v>Ramphastidae (Toucans)</v>
      </c>
      <c r="I353" s="3"/>
    </row>
    <row r="354" spans="1:9" ht="10.5" customHeight="1">
      <c r="A354" s="3" t="s">
        <v>527</v>
      </c>
      <c r="B354" s="3" t="s">
        <v>526</v>
      </c>
      <c r="C354" s="3">
        <f>VLOOKUP(B354,LifeList!$E$2:$J$2038,6)</f>
        <v>10876</v>
      </c>
      <c r="D354" s="3" t="str">
        <f>VLOOKUP(B354,LifeList!$E$2:$G$2038,1)</f>
        <v>Black-billed Mountain-Toucan</v>
      </c>
      <c r="E354" s="3" t="str">
        <f>VLOOKUP(B354,LifeList!$E$2:$G$2038,2)</f>
        <v>Toucan à bec noir</v>
      </c>
      <c r="F354" s="3" t="str">
        <f>VLOOKUP(B354,LifeList!$E$2:$G$2038,3)</f>
        <v>Andigena nigrirostris</v>
      </c>
      <c r="G354" s="3" t="str">
        <f>VLOOKUP(B354,LifeList!$E$2:$I$2038,4)</f>
        <v>Piciformes</v>
      </c>
      <c r="H354" s="3" t="str">
        <f>VLOOKUP(B354,LifeList!$E$2:$I$2038,5)</f>
        <v>Ramphastidae (Toucans)</v>
      </c>
      <c r="I354" s="3"/>
    </row>
    <row r="355" spans="1:9" ht="10.5" customHeight="1">
      <c r="A355" s="3" t="s">
        <v>528</v>
      </c>
      <c r="B355" s="3" t="s">
        <v>529</v>
      </c>
      <c r="C355" s="3">
        <f>VLOOKUP(B355,LifeList!$E$2:$J$2038,6)</f>
        <v>28253</v>
      </c>
      <c r="D355" s="3" t="str">
        <f>VLOOKUP(B355,LifeList!$E$2:$G$2038,1)</f>
        <v>Black-billed Nightingale-Thrush</v>
      </c>
      <c r="E355" s="3" t="str">
        <f>VLOOKUP(B355,LifeList!$E$2:$G$2038,2)</f>
        <v>Grive à bec noir</v>
      </c>
      <c r="F355" s="3" t="str">
        <f>VLOOKUP(B355,LifeList!$E$2:$G$2038,3)</f>
        <v>Catharus gracilirostris</v>
      </c>
      <c r="G355" s="3" t="str">
        <f>VLOOKUP(B355,LifeList!$E$2:$I$2038,4)</f>
        <v>Passeriformes</v>
      </c>
      <c r="H355" s="3" t="str">
        <f>VLOOKUP(B355,LifeList!$E$2:$I$2038,5)</f>
        <v>Turdidae (Thrushes and Allies)</v>
      </c>
      <c r="I355" s="3"/>
    </row>
    <row r="356" spans="1:9" ht="10.5" customHeight="1">
      <c r="A356" s="3" t="s">
        <v>530</v>
      </c>
      <c r="B356" s="3" t="s">
        <v>531</v>
      </c>
      <c r="C356" s="3">
        <f>VLOOKUP(B356,LifeList!$E$2:$J$2038,6)</f>
        <v>17130</v>
      </c>
      <c r="D356" s="3" t="str">
        <f>VLOOKUP(B356,LifeList!$E$2:$G$2038,1)</f>
        <v>Black-billed Shrike-Tyrant</v>
      </c>
      <c r="E356" s="3" t="str">
        <f>VLOOKUP(B356,LifeList!$E$2:$G$2038,2)</f>
        <v>Gaucho à bec noir</v>
      </c>
      <c r="F356" s="3" t="str">
        <f>VLOOKUP(B356,LifeList!$E$2:$G$2038,3)</f>
        <v>Agriornis montanus</v>
      </c>
      <c r="G356" s="3" t="str">
        <f>VLOOKUP(B356,LifeList!$E$2:$I$2038,4)</f>
        <v>Passeriformes</v>
      </c>
      <c r="H356" s="3" t="str">
        <f>VLOOKUP(B356,LifeList!$E$2:$I$2038,5)</f>
        <v>Tyrannidae (Tyrant Flycatchers)</v>
      </c>
      <c r="I356" s="3"/>
    </row>
    <row r="357" spans="1:9" ht="10.5" customHeight="1">
      <c r="A357" s="3" t="s">
        <v>532</v>
      </c>
      <c r="B357" s="3" t="s">
        <v>533</v>
      </c>
      <c r="C357" s="3">
        <f>VLOOKUP(B357,LifeList!$E$2:$J$2038,6)</f>
        <v>28702</v>
      </c>
      <c r="D357" s="3" t="str">
        <f>VLOOKUP(B357,LifeList!$E$2:$G$2038,1)</f>
        <v>Black-billed Thrush</v>
      </c>
      <c r="E357" s="3" t="str">
        <f>VLOOKUP(B357,LifeList!$E$2:$G$2038,2)</f>
        <v>Merle à bec noir</v>
      </c>
      <c r="F357" s="3" t="str">
        <f>VLOOKUP(B357,LifeList!$E$2:$G$2038,3)</f>
        <v>Turdus ignobilis</v>
      </c>
      <c r="G357" s="3" t="str">
        <f>VLOOKUP(B357,LifeList!$E$2:$I$2038,4)</f>
        <v>Passeriformes</v>
      </c>
      <c r="H357" s="3" t="str">
        <f>VLOOKUP(B357,LifeList!$E$2:$I$2038,5)</f>
        <v>Turdidae (Thrushes and Allies)</v>
      </c>
      <c r="I357" s="3"/>
    </row>
    <row r="358" spans="1:9" ht="10.5" customHeight="1">
      <c r="A358" s="3" t="s">
        <v>534</v>
      </c>
      <c r="B358" s="3" t="s">
        <v>533</v>
      </c>
      <c r="C358" s="3">
        <f>VLOOKUP(B358,LifeList!$E$2:$J$2038,6)</f>
        <v>28702</v>
      </c>
      <c r="D358" s="3" t="str">
        <f>VLOOKUP(B358,LifeList!$E$2:$G$2038,1)</f>
        <v>Black-billed Thrush</v>
      </c>
      <c r="E358" s="3" t="str">
        <f>VLOOKUP(B358,LifeList!$E$2:$G$2038,2)</f>
        <v>Merle à bec noir</v>
      </c>
      <c r="F358" s="3" t="str">
        <f>VLOOKUP(B358,LifeList!$E$2:$G$2038,3)</f>
        <v>Turdus ignobilis</v>
      </c>
      <c r="G358" s="3" t="str">
        <f>VLOOKUP(B358,LifeList!$E$2:$I$2038,4)</f>
        <v>Passeriformes</v>
      </c>
      <c r="H358" s="3" t="str">
        <f>VLOOKUP(B358,LifeList!$E$2:$I$2038,5)</f>
        <v>Turdidae (Thrushes and Allies)</v>
      </c>
      <c r="I358" s="3"/>
    </row>
    <row r="359" spans="1:9" ht="10.5" customHeight="1">
      <c r="A359" s="5" t="s">
        <v>535</v>
      </c>
      <c r="B359" s="5" t="s">
        <v>536</v>
      </c>
      <c r="C359" s="6">
        <f>VLOOKUP(B359,LifeList!$E$2:$J$2038,6)</f>
        <v>7924</v>
      </c>
      <c r="D359" s="3" t="str">
        <f>VLOOKUP(B359,LifeList!$E$2:$G$2038,1)</f>
        <v>Black-breasted Kite</v>
      </c>
      <c r="E359" s="3" t="str">
        <f>VLOOKUP(B359,LifeList!$E$2:$G$2038,2)</f>
        <v>Bondrée à plastron</v>
      </c>
      <c r="F359" s="3" t="str">
        <f>VLOOKUP(B359,LifeList!$E$2:$G$2038,3)</f>
        <v>Hamirostra melanosternon</v>
      </c>
      <c r="G359" s="3" t="str">
        <f>VLOOKUP(B359,LifeList!$E$2:$I$2038,4)</f>
        <v>Accipitriformes</v>
      </c>
      <c r="H359" s="3" t="str">
        <f>VLOOKUP(B359,LifeList!$E$2:$I$2038,5)</f>
        <v>Accipitridae (Hawks, Eagles, and Kites)</v>
      </c>
      <c r="I359" s="3"/>
    </row>
    <row r="360" spans="1:9" ht="10.5" customHeight="1">
      <c r="A360" s="3" t="s">
        <v>537</v>
      </c>
      <c r="B360" s="3" t="s">
        <v>538</v>
      </c>
      <c r="C360" s="3">
        <f>VLOOKUP(B360,LifeList!$E$2:$J$2038,6)</f>
        <v>10382</v>
      </c>
      <c r="D360" s="3" t="str">
        <f>VLOOKUP(B360,LifeList!$E$2:$G$2038,1)</f>
        <v>Black-breasted Puffbird</v>
      </c>
      <c r="E360" s="3" t="str">
        <f>VLOOKUP(B360,LifeList!$E$2:$G$2038,2)</f>
        <v>Tamatia à plastron</v>
      </c>
      <c r="F360" s="3" t="str">
        <f>VLOOKUP(B360,LifeList!$E$2:$G$2038,3)</f>
        <v>Notharchus pectoralis</v>
      </c>
      <c r="G360" s="3" t="str">
        <f>VLOOKUP(B360,LifeList!$E$2:$I$2038,4)</f>
        <v>Piciformes</v>
      </c>
      <c r="H360" s="3" t="str">
        <f>VLOOKUP(B360,LifeList!$E$2:$I$2038,5)</f>
        <v>Bucconidae (Puffbirds)</v>
      </c>
      <c r="I360" s="3"/>
    </row>
    <row r="361" spans="1:9" ht="10.5" customHeight="1">
      <c r="A361" s="3" t="s">
        <v>539</v>
      </c>
      <c r="B361" s="3" t="s">
        <v>538</v>
      </c>
      <c r="C361" s="3">
        <f>VLOOKUP(B361,LifeList!$E$2:$J$2038,6)</f>
        <v>10382</v>
      </c>
      <c r="D361" s="3" t="str">
        <f>VLOOKUP(B361,LifeList!$E$2:$G$2038,1)</f>
        <v>Black-breasted Puffbird</v>
      </c>
      <c r="E361" s="3" t="str">
        <f>VLOOKUP(B361,LifeList!$E$2:$G$2038,2)</f>
        <v>Tamatia à plastron</v>
      </c>
      <c r="F361" s="3" t="str">
        <f>VLOOKUP(B361,LifeList!$E$2:$G$2038,3)</f>
        <v>Notharchus pectoralis</v>
      </c>
      <c r="G361" s="3" t="str">
        <f>VLOOKUP(B361,LifeList!$E$2:$I$2038,4)</f>
        <v>Piciformes</v>
      </c>
      <c r="H361" s="3" t="str">
        <f>VLOOKUP(B361,LifeList!$E$2:$I$2038,5)</f>
        <v>Bucconidae (Puffbirds)</v>
      </c>
      <c r="I361" s="3"/>
    </row>
    <row r="362" spans="1:9" ht="10.5" customHeight="1">
      <c r="A362" s="3" t="s">
        <v>540</v>
      </c>
      <c r="B362" s="3" t="s">
        <v>541</v>
      </c>
      <c r="C362" s="3">
        <f>VLOOKUP(B362,LifeList!$E$2:$J$2038,6)</f>
        <v>22065</v>
      </c>
      <c r="D362" s="3" t="str">
        <f>VLOOKUP(B362,LifeList!$E$2:$G$2038,1)</f>
        <v>Black-capped Chickadee</v>
      </c>
      <c r="E362" s="3" t="str">
        <f>VLOOKUP(B362,LifeList!$E$2:$G$2038,2)</f>
        <v>Mésange à tête noire</v>
      </c>
      <c r="F362" s="3" t="str">
        <f>VLOOKUP(B362,LifeList!$E$2:$G$2038,3)</f>
        <v>Poecile atricapillus</v>
      </c>
      <c r="G362" s="3" t="str">
        <f>VLOOKUP(B362,LifeList!$E$2:$I$2038,4)</f>
        <v>Passeriformes</v>
      </c>
      <c r="H362" s="3" t="str">
        <f>VLOOKUP(B362,LifeList!$E$2:$I$2038,5)</f>
        <v>Paridae (Tits, Chickadees, and Titmice)</v>
      </c>
      <c r="I362" s="3"/>
    </row>
    <row r="363" spans="1:9" ht="10.5" customHeight="1">
      <c r="A363" s="3" t="s">
        <v>542</v>
      </c>
      <c r="B363" s="3" t="s">
        <v>541</v>
      </c>
      <c r="C363" s="3">
        <f>VLOOKUP(B363,LifeList!$E$2:$J$2038,6)</f>
        <v>22065</v>
      </c>
      <c r="D363" s="3" t="str">
        <f>VLOOKUP(B363,LifeList!$E$2:$G$2038,1)</f>
        <v>Black-capped Chickadee</v>
      </c>
      <c r="E363" s="3" t="str">
        <f>VLOOKUP(B363,LifeList!$E$2:$G$2038,2)</f>
        <v>Mésange à tête noire</v>
      </c>
      <c r="F363" s="3" t="str">
        <f>VLOOKUP(B363,LifeList!$E$2:$G$2038,3)</f>
        <v>Poecile atricapillus</v>
      </c>
      <c r="G363" s="3" t="str">
        <f>VLOOKUP(B363,LifeList!$E$2:$I$2038,4)</f>
        <v>Passeriformes</v>
      </c>
      <c r="H363" s="3" t="str">
        <f>VLOOKUP(B363,LifeList!$E$2:$I$2038,5)</f>
        <v>Paridae (Tits, Chickadees, and Titmice)</v>
      </c>
      <c r="I363" s="3"/>
    </row>
    <row r="364" spans="1:9" ht="10.5" customHeight="1">
      <c r="A364" s="3" t="s">
        <v>543</v>
      </c>
      <c r="B364" s="3" t="s">
        <v>541</v>
      </c>
      <c r="C364" s="3">
        <f>VLOOKUP(B364,LifeList!$E$2:$J$2038,6)</f>
        <v>22065</v>
      </c>
      <c r="D364" s="3" t="str">
        <f>VLOOKUP(B364,LifeList!$E$2:$G$2038,1)</f>
        <v>Black-capped Chickadee</v>
      </c>
      <c r="E364" s="3" t="str">
        <f>VLOOKUP(B364,LifeList!$E$2:$G$2038,2)</f>
        <v>Mésange à tête noire</v>
      </c>
      <c r="F364" s="3" t="str">
        <f>VLOOKUP(B364,LifeList!$E$2:$G$2038,3)</f>
        <v>Poecile atricapillus</v>
      </c>
      <c r="G364" s="3" t="str">
        <f>VLOOKUP(B364,LifeList!$E$2:$I$2038,4)</f>
        <v>Passeriformes</v>
      </c>
      <c r="H364" s="3" t="str">
        <f>VLOOKUP(B364,LifeList!$E$2:$I$2038,5)</f>
        <v>Paridae (Tits, Chickadees, and Titmice)</v>
      </c>
      <c r="I364" s="3"/>
    </row>
    <row r="365" spans="1:9" ht="10.5" customHeight="1">
      <c r="A365" s="3" t="s">
        <v>544</v>
      </c>
      <c r="B365" s="3" t="s">
        <v>541</v>
      </c>
      <c r="C365" s="3">
        <f>VLOOKUP(B365,LifeList!$E$2:$J$2038,6)</f>
        <v>22065</v>
      </c>
      <c r="D365" s="3" t="str">
        <f>VLOOKUP(B365,LifeList!$E$2:$G$2038,1)</f>
        <v>Black-capped Chickadee</v>
      </c>
      <c r="E365" s="3" t="str">
        <f>VLOOKUP(B365,LifeList!$E$2:$G$2038,2)</f>
        <v>Mésange à tête noire</v>
      </c>
      <c r="F365" s="3" t="str">
        <f>VLOOKUP(B365,LifeList!$E$2:$G$2038,3)</f>
        <v>Poecile atricapillus</v>
      </c>
      <c r="G365" s="3" t="str">
        <f>VLOOKUP(B365,LifeList!$E$2:$I$2038,4)</f>
        <v>Passeriformes</v>
      </c>
      <c r="H365" s="3" t="str">
        <f>VLOOKUP(B365,LifeList!$E$2:$I$2038,5)</f>
        <v>Paridae (Tits, Chickadees, and Titmice)</v>
      </c>
      <c r="I365" s="3"/>
    </row>
    <row r="366" spans="1:9" ht="10.5" customHeight="1">
      <c r="A366" s="3" t="s">
        <v>545</v>
      </c>
      <c r="B366" s="3" t="s">
        <v>546</v>
      </c>
      <c r="C366" s="3">
        <f>VLOOKUP(B366,LifeList!$E$2:$J$2038,6)</f>
        <v>23957</v>
      </c>
      <c r="D366" s="3" t="str">
        <f>VLOOKUP(B366,LifeList!$E$2:$G$2038,1)</f>
        <v>Black-capped Donacobius</v>
      </c>
      <c r="E366" s="3" t="str">
        <f>VLOOKUP(B366,LifeList!$E$2:$G$2038,2)</f>
        <v>Donacobe à miroir</v>
      </c>
      <c r="F366" s="3" t="str">
        <f>VLOOKUP(B366,LifeList!$E$2:$G$2038,3)</f>
        <v>Donacobius atricapilla</v>
      </c>
      <c r="G366" s="3" t="str">
        <f>VLOOKUP(B366,LifeList!$E$2:$I$2038,4)</f>
        <v>Passeriformes</v>
      </c>
      <c r="H366" s="3" t="str">
        <f>VLOOKUP(B366,LifeList!$E$2:$I$2038,5)</f>
        <v>Donacobiidae (Donacobius)</v>
      </c>
      <c r="I366" s="3"/>
    </row>
    <row r="367" spans="1:9" ht="10.5" customHeight="1">
      <c r="A367" s="3" t="s">
        <v>547</v>
      </c>
      <c r="B367" s="3" t="s">
        <v>548</v>
      </c>
      <c r="C367" s="3">
        <f>VLOOKUP(B367,LifeList!$E$2:$J$2038,6)</f>
        <v>34999</v>
      </c>
      <c r="D367" s="3" t="str">
        <f>VLOOKUP(B367,LifeList!$E$2:$G$2038,1)</f>
        <v>Black-capped Tanager</v>
      </c>
      <c r="E367" s="3" t="str">
        <f>VLOOKUP(B367,LifeList!$E$2:$G$2038,2)</f>
        <v>Calliste à calotte noire</v>
      </c>
      <c r="F367" s="3" t="str">
        <f>VLOOKUP(B367,LifeList!$E$2:$G$2038,3)</f>
        <v>Stilpnia heinei</v>
      </c>
      <c r="G367" s="3" t="str">
        <f>VLOOKUP(B367,LifeList!$E$2:$I$2038,4)</f>
        <v>Passeriformes</v>
      </c>
      <c r="H367" s="3" t="str">
        <f>VLOOKUP(B367,LifeList!$E$2:$I$2038,5)</f>
        <v>Thraupidae (Tanagers and Allies)</v>
      </c>
      <c r="I367" s="3"/>
    </row>
    <row r="368" spans="1:9" ht="10.5" customHeight="1">
      <c r="A368" s="3" t="s">
        <v>549</v>
      </c>
      <c r="B368" s="3" t="s">
        <v>548</v>
      </c>
      <c r="C368" s="3">
        <f>VLOOKUP(B368,LifeList!$E$2:$J$2038,6)</f>
        <v>34999</v>
      </c>
      <c r="D368" s="3" t="str">
        <f>VLOOKUP(B368,LifeList!$E$2:$G$2038,1)</f>
        <v>Black-capped Tanager</v>
      </c>
      <c r="E368" s="3" t="str">
        <f>VLOOKUP(B368,LifeList!$E$2:$G$2038,2)</f>
        <v>Calliste à calotte noire</v>
      </c>
      <c r="F368" s="3" t="str">
        <f>VLOOKUP(B368,LifeList!$E$2:$G$2038,3)</f>
        <v>Stilpnia heinei</v>
      </c>
      <c r="G368" s="3" t="str">
        <f>VLOOKUP(B368,LifeList!$E$2:$I$2038,4)</f>
        <v>Passeriformes</v>
      </c>
      <c r="H368" s="3" t="str">
        <f>VLOOKUP(B368,LifeList!$E$2:$I$2038,5)</f>
        <v>Thraupidae (Tanagers and Allies)</v>
      </c>
      <c r="I368" s="3"/>
    </row>
    <row r="369" spans="1:9" ht="10.5" customHeight="1">
      <c r="A369" s="3" t="s">
        <v>550</v>
      </c>
      <c r="B369" s="3" t="s">
        <v>548</v>
      </c>
      <c r="C369" s="3">
        <f>VLOOKUP(B369,LifeList!$E$2:$J$2038,6)</f>
        <v>34999</v>
      </c>
      <c r="D369" s="3" t="str">
        <f>VLOOKUP(B369,LifeList!$E$2:$G$2038,1)</f>
        <v>Black-capped Tanager</v>
      </c>
      <c r="E369" s="3" t="str">
        <f>VLOOKUP(B369,LifeList!$E$2:$G$2038,2)</f>
        <v>Calliste à calotte noire</v>
      </c>
      <c r="F369" s="3" t="str">
        <f>VLOOKUP(B369,LifeList!$E$2:$G$2038,3)</f>
        <v>Stilpnia heinei</v>
      </c>
      <c r="G369" s="3" t="str">
        <f>VLOOKUP(B369,LifeList!$E$2:$I$2038,4)</f>
        <v>Passeriformes</v>
      </c>
      <c r="H369" s="3" t="str">
        <f>VLOOKUP(B369,LifeList!$E$2:$I$2038,5)</f>
        <v>Thraupidae (Tanagers and Allies)</v>
      </c>
      <c r="I369" s="3"/>
    </row>
    <row r="370" spans="1:9" ht="10.5" customHeight="1">
      <c r="A370" s="3" t="s">
        <v>551</v>
      </c>
      <c r="B370" s="3" t="s">
        <v>552</v>
      </c>
      <c r="C370" s="3">
        <f>VLOOKUP(B370,LifeList!$E$2:$J$2038,6)</f>
        <v>16789</v>
      </c>
      <c r="D370" s="3" t="str">
        <f>VLOOKUP(B370,LifeList!$E$2:$G$2038,1)</f>
        <v>Black-capped Tyrannulet</v>
      </c>
      <c r="E370" s="3" t="str">
        <f>VLOOKUP(B370,LifeList!$E$2:$G$2038,2)</f>
        <v>Tyranneau à tête noire</v>
      </c>
      <c r="F370" s="3" t="str">
        <f>VLOOKUP(B370,LifeList!$E$2:$G$2038,3)</f>
        <v>Tyranniscus nigrocapillus</v>
      </c>
      <c r="G370" s="3" t="str">
        <f>VLOOKUP(B370,LifeList!$E$2:$I$2038,4)</f>
        <v>Passeriformes</v>
      </c>
      <c r="H370" s="3" t="str">
        <f>VLOOKUP(B370,LifeList!$E$2:$I$2038,5)</f>
        <v>Tyrannidae (Tyrant Flycatchers)</v>
      </c>
      <c r="I370" s="3"/>
    </row>
    <row r="371" spans="1:9" ht="10.5" customHeight="1">
      <c r="A371" s="3" t="s">
        <v>553</v>
      </c>
      <c r="B371" s="3" t="s">
        <v>554</v>
      </c>
      <c r="C371" s="3">
        <f>VLOOKUP(B371,LifeList!$E$2:$J$2038,6)</f>
        <v>34871</v>
      </c>
      <c r="D371" s="3" t="str">
        <f>VLOOKUP(B371,LifeList!$E$2:$G$2038,1)</f>
        <v>Black-cheeked Mountain Tanager</v>
      </c>
      <c r="E371" s="3" t="str">
        <f>VLOOKUP(B371,LifeList!$E$2:$G$2038,2)</f>
        <v>Tangara de Santa Marta</v>
      </c>
      <c r="F371" s="3" t="str">
        <f>VLOOKUP(B371,LifeList!$E$2:$G$2038,3)</f>
        <v>Anisognathus melanogenys</v>
      </c>
      <c r="G371" s="3" t="str">
        <f>VLOOKUP(B371,LifeList!$E$2:$I$2038,4)</f>
        <v>Passeriformes</v>
      </c>
      <c r="H371" s="3" t="str">
        <f>VLOOKUP(B371,LifeList!$E$2:$I$2038,5)</f>
        <v>Thraupidae (Tanagers and Allies)</v>
      </c>
      <c r="I371" s="3"/>
    </row>
    <row r="372" spans="1:9" ht="10.5" customHeight="1">
      <c r="A372" s="3" t="s">
        <v>555</v>
      </c>
      <c r="B372" s="3" t="s">
        <v>554</v>
      </c>
      <c r="C372" s="3">
        <f>VLOOKUP(B372,LifeList!$E$2:$J$2038,6)</f>
        <v>34871</v>
      </c>
      <c r="D372" s="3" t="str">
        <f>VLOOKUP(B372,LifeList!$E$2:$G$2038,1)</f>
        <v>Black-cheeked Mountain Tanager</v>
      </c>
      <c r="E372" s="3" t="str">
        <f>VLOOKUP(B372,LifeList!$E$2:$G$2038,2)</f>
        <v>Tangara de Santa Marta</v>
      </c>
      <c r="F372" s="3" t="str">
        <f>VLOOKUP(B372,LifeList!$E$2:$G$2038,3)</f>
        <v>Anisognathus melanogenys</v>
      </c>
      <c r="G372" s="3" t="str">
        <f>VLOOKUP(B372,LifeList!$E$2:$I$2038,4)</f>
        <v>Passeriformes</v>
      </c>
      <c r="H372" s="3" t="str">
        <f>VLOOKUP(B372,LifeList!$E$2:$I$2038,5)</f>
        <v>Thraupidae (Tanagers and Allies)</v>
      </c>
      <c r="I372" s="3"/>
    </row>
    <row r="373" spans="1:9" ht="10.5" customHeight="1">
      <c r="A373" s="3" t="s">
        <v>556</v>
      </c>
      <c r="B373" s="3" t="s">
        <v>554</v>
      </c>
      <c r="C373" s="3">
        <f>VLOOKUP(B373,LifeList!$E$2:$J$2038,6)</f>
        <v>34871</v>
      </c>
      <c r="D373" s="3" t="str">
        <f>VLOOKUP(B373,LifeList!$E$2:$G$2038,1)</f>
        <v>Black-cheeked Mountain Tanager</v>
      </c>
      <c r="E373" s="3" t="str">
        <f>VLOOKUP(B373,LifeList!$E$2:$G$2038,2)</f>
        <v>Tangara de Santa Marta</v>
      </c>
      <c r="F373" s="3" t="str">
        <f>VLOOKUP(B373,LifeList!$E$2:$G$2038,3)</f>
        <v>Anisognathus melanogenys</v>
      </c>
      <c r="G373" s="3" t="str">
        <f>VLOOKUP(B373,LifeList!$E$2:$I$2038,4)</f>
        <v>Passeriformes</v>
      </c>
      <c r="H373" s="3" t="str">
        <f>VLOOKUP(B373,LifeList!$E$2:$I$2038,5)</f>
        <v>Thraupidae (Tanagers and Allies)</v>
      </c>
      <c r="I373" s="3"/>
    </row>
    <row r="374" spans="1:9" ht="10.5" customHeight="1">
      <c r="A374" s="3" t="s">
        <v>557</v>
      </c>
      <c r="B374" s="3" t="s">
        <v>554</v>
      </c>
      <c r="C374" s="3">
        <f>VLOOKUP(B374,LifeList!$E$2:$J$2038,6)</f>
        <v>34871</v>
      </c>
      <c r="D374" s="3" t="str">
        <f>VLOOKUP(B374,LifeList!$E$2:$G$2038,1)</f>
        <v>Black-cheeked Mountain Tanager</v>
      </c>
      <c r="E374" s="3" t="str">
        <f>VLOOKUP(B374,LifeList!$E$2:$G$2038,2)</f>
        <v>Tangara de Santa Marta</v>
      </c>
      <c r="F374" s="3" t="str">
        <f>VLOOKUP(B374,LifeList!$E$2:$G$2038,3)</f>
        <v>Anisognathus melanogenys</v>
      </c>
      <c r="G374" s="3" t="str">
        <f>VLOOKUP(B374,LifeList!$E$2:$I$2038,4)</f>
        <v>Passeriformes</v>
      </c>
      <c r="H374" s="3" t="str">
        <f>VLOOKUP(B374,LifeList!$E$2:$I$2038,5)</f>
        <v>Thraupidae (Tanagers and Allies)</v>
      </c>
      <c r="I374" s="3"/>
    </row>
    <row r="375" spans="1:9" ht="10.5" customHeight="1">
      <c r="A375" s="3" t="s">
        <v>558</v>
      </c>
      <c r="B375" s="3" t="s">
        <v>559</v>
      </c>
      <c r="C375" s="3">
        <f>VLOOKUP(B375,LifeList!$E$2:$J$2038,6)</f>
        <v>34238</v>
      </c>
      <c r="D375" s="3" t="str">
        <f>VLOOKUP(B375,LifeList!$E$2:$G$2038,1)</f>
        <v>Black-cheeked Warbler</v>
      </c>
      <c r="E375" s="3" t="str">
        <f>VLOOKUP(B375,LifeList!$E$2:$G$2038,2)</f>
        <v>Paruline sombre</v>
      </c>
      <c r="F375" s="3" t="str">
        <f>VLOOKUP(B375,LifeList!$E$2:$G$2038,3)</f>
        <v>Basileuterus melanogenys</v>
      </c>
      <c r="G375" s="3" t="str">
        <f>VLOOKUP(B375,LifeList!$E$2:$I$2038,4)</f>
        <v>Passeriformes</v>
      </c>
      <c r="H375" s="3" t="str">
        <f>VLOOKUP(B375,LifeList!$E$2:$I$2038,5)</f>
        <v>Parulidae (New World Warblers)</v>
      </c>
      <c r="I375" s="3"/>
    </row>
    <row r="376" spans="1:9" ht="10.5" customHeight="1">
      <c r="A376" s="3" t="s">
        <v>560</v>
      </c>
      <c r="B376" s="3" t="s">
        <v>559</v>
      </c>
      <c r="C376" s="3">
        <f>VLOOKUP(B376,LifeList!$E$2:$J$2038,6)</f>
        <v>34238</v>
      </c>
      <c r="D376" s="3" t="str">
        <f>VLOOKUP(B376,LifeList!$E$2:$G$2038,1)</f>
        <v>Black-cheeked Warbler</v>
      </c>
      <c r="E376" s="3" t="str">
        <f>VLOOKUP(B376,LifeList!$E$2:$G$2038,2)</f>
        <v>Paruline sombre</v>
      </c>
      <c r="F376" s="3" t="str">
        <f>VLOOKUP(B376,LifeList!$E$2:$G$2038,3)</f>
        <v>Basileuterus melanogenys</v>
      </c>
      <c r="G376" s="3" t="str">
        <f>VLOOKUP(B376,LifeList!$E$2:$I$2038,4)</f>
        <v>Passeriformes</v>
      </c>
      <c r="H376" s="3" t="str">
        <f>VLOOKUP(B376,LifeList!$E$2:$I$2038,5)</f>
        <v>Parulidae (New World Warblers)</v>
      </c>
      <c r="I376" s="3"/>
    </row>
    <row r="377" spans="1:9" ht="10.5" customHeight="1">
      <c r="A377" s="3" t="s">
        <v>561</v>
      </c>
      <c r="B377" s="3" t="s">
        <v>559</v>
      </c>
      <c r="C377" s="3">
        <f>VLOOKUP(B377,LifeList!$E$2:$J$2038,6)</f>
        <v>34238</v>
      </c>
      <c r="D377" s="3" t="str">
        <f>VLOOKUP(B377,LifeList!$E$2:$G$2038,1)</f>
        <v>Black-cheeked Warbler</v>
      </c>
      <c r="E377" s="3" t="str">
        <f>VLOOKUP(B377,LifeList!$E$2:$G$2038,2)</f>
        <v>Paruline sombre</v>
      </c>
      <c r="F377" s="3" t="str">
        <f>VLOOKUP(B377,LifeList!$E$2:$G$2038,3)</f>
        <v>Basileuterus melanogenys</v>
      </c>
      <c r="G377" s="3" t="str">
        <f>VLOOKUP(B377,LifeList!$E$2:$I$2038,4)</f>
        <v>Passeriformes</v>
      </c>
      <c r="H377" s="3" t="str">
        <f>VLOOKUP(B377,LifeList!$E$2:$I$2038,5)</f>
        <v>Parulidae (New World Warblers)</v>
      </c>
      <c r="I377" s="3"/>
    </row>
    <row r="378" spans="1:9" ht="10.5" customHeight="1">
      <c r="A378" s="3" t="s">
        <v>562</v>
      </c>
      <c r="B378" s="3" t="s">
        <v>563</v>
      </c>
      <c r="C378" s="3">
        <f>VLOOKUP(B378,LifeList!$E$2:$J$2038,6)</f>
        <v>11159</v>
      </c>
      <c r="D378" s="3" t="str">
        <f>VLOOKUP(B378,LifeList!$E$2:$G$2038,1)</f>
        <v>Black-cheeked Woodpecker</v>
      </c>
      <c r="E378" s="3" t="str">
        <f>VLOOKUP(B378,LifeList!$E$2:$G$2038,2)</f>
        <v>Pic de Pucheran</v>
      </c>
      <c r="F378" s="3" t="str">
        <f>VLOOKUP(B378,LifeList!$E$2:$G$2038,3)</f>
        <v>Melanerpes pucherani</v>
      </c>
      <c r="G378" s="3" t="str">
        <f>VLOOKUP(B378,LifeList!$E$2:$I$2038,4)</f>
        <v>Piciformes</v>
      </c>
      <c r="H378" s="3" t="str">
        <f>VLOOKUP(B378,LifeList!$E$2:$I$2038,5)</f>
        <v>Picidae (Woodpeckers)</v>
      </c>
      <c r="I378" s="3"/>
    </row>
    <row r="379" spans="1:9" ht="10.5" customHeight="1">
      <c r="A379" s="3" t="s">
        <v>564</v>
      </c>
      <c r="B379" s="3" t="s">
        <v>563</v>
      </c>
      <c r="C379" s="3">
        <f>VLOOKUP(B379,LifeList!$E$2:$J$2038,6)</f>
        <v>11159</v>
      </c>
      <c r="D379" s="3" t="str">
        <f>VLOOKUP(B379,LifeList!$E$2:$G$2038,1)</f>
        <v>Black-cheeked Woodpecker</v>
      </c>
      <c r="E379" s="3" t="str">
        <f>VLOOKUP(B379,LifeList!$E$2:$G$2038,2)</f>
        <v>Pic de Pucheran</v>
      </c>
      <c r="F379" s="3" t="str">
        <f>VLOOKUP(B379,LifeList!$E$2:$G$2038,3)</f>
        <v>Melanerpes pucherani</v>
      </c>
      <c r="G379" s="3" t="str">
        <f>VLOOKUP(B379,LifeList!$E$2:$I$2038,4)</f>
        <v>Piciformes</v>
      </c>
      <c r="H379" s="3" t="str">
        <f>VLOOKUP(B379,LifeList!$E$2:$I$2038,5)</f>
        <v>Picidae (Woodpeckers)</v>
      </c>
      <c r="I379" s="3"/>
    </row>
    <row r="380" spans="1:9" ht="10.5" customHeight="1">
      <c r="A380" s="3" t="s">
        <v>565</v>
      </c>
      <c r="B380" s="3" t="s">
        <v>563</v>
      </c>
      <c r="C380" s="3">
        <f>VLOOKUP(B380,LifeList!$E$2:$J$2038,6)</f>
        <v>11159</v>
      </c>
      <c r="D380" s="3" t="str">
        <f>VLOOKUP(B380,LifeList!$E$2:$G$2038,1)</f>
        <v>Black-cheeked Woodpecker</v>
      </c>
      <c r="E380" s="3" t="str">
        <f>VLOOKUP(B380,LifeList!$E$2:$G$2038,2)</f>
        <v>Pic de Pucheran</v>
      </c>
      <c r="F380" s="3" t="str">
        <f>VLOOKUP(B380,LifeList!$E$2:$G$2038,3)</f>
        <v>Melanerpes pucherani</v>
      </c>
      <c r="G380" s="3" t="str">
        <f>VLOOKUP(B380,LifeList!$E$2:$I$2038,4)</f>
        <v>Piciformes</v>
      </c>
      <c r="H380" s="3" t="str">
        <f>VLOOKUP(B380,LifeList!$E$2:$I$2038,5)</f>
        <v>Picidae (Woodpeckers)</v>
      </c>
      <c r="I380" s="3"/>
    </row>
    <row r="381" spans="1:9" ht="10.5" customHeight="1">
      <c r="A381" s="3" t="s">
        <v>566</v>
      </c>
      <c r="B381" s="3" t="s">
        <v>563</v>
      </c>
      <c r="C381" s="3">
        <f>VLOOKUP(B381,LifeList!$E$2:$J$2038,6)</f>
        <v>11159</v>
      </c>
      <c r="D381" s="3" t="str">
        <f>VLOOKUP(B381,LifeList!$E$2:$G$2038,1)</f>
        <v>Black-cheeked Woodpecker</v>
      </c>
      <c r="E381" s="3" t="str">
        <f>VLOOKUP(B381,LifeList!$E$2:$G$2038,2)</f>
        <v>Pic de Pucheran</v>
      </c>
      <c r="F381" s="3" t="str">
        <f>VLOOKUP(B381,LifeList!$E$2:$G$2038,3)</f>
        <v>Melanerpes pucherani</v>
      </c>
      <c r="G381" s="3" t="str">
        <f>VLOOKUP(B381,LifeList!$E$2:$I$2038,4)</f>
        <v>Piciformes</v>
      </c>
      <c r="H381" s="3" t="str">
        <f>VLOOKUP(B381,LifeList!$E$2:$I$2038,5)</f>
        <v>Picidae (Woodpeckers)</v>
      </c>
      <c r="I381" s="3"/>
    </row>
    <row r="382" spans="1:9" ht="10.5" customHeight="1">
      <c r="A382" s="3" t="s">
        <v>567</v>
      </c>
      <c r="B382" s="3" t="s">
        <v>568</v>
      </c>
      <c r="C382" s="3">
        <f>VLOOKUP(B382,LifeList!$E$2:$J$2038,6)</f>
        <v>8458</v>
      </c>
      <c r="D382" s="3" t="str">
        <f>VLOOKUP(B382,LifeList!$E$2:$G$2038,1)</f>
        <v>Black-chested Buzzard-Eagle</v>
      </c>
      <c r="E382" s="3" t="str">
        <f>VLOOKUP(B382,LifeList!$E$2:$G$2038,2)</f>
        <v>Buse aguia</v>
      </c>
      <c r="F382" s="3" t="str">
        <f>VLOOKUP(B382,LifeList!$E$2:$G$2038,3)</f>
        <v>Geranoaetus melanoleucus</v>
      </c>
      <c r="G382" s="3" t="str">
        <f>VLOOKUP(B382,LifeList!$E$2:$I$2038,4)</f>
        <v>Accipitriformes</v>
      </c>
      <c r="H382" s="3" t="str">
        <f>VLOOKUP(B382,LifeList!$E$2:$I$2038,5)</f>
        <v>Accipitridae (Hawks, Eagles, and Kites)</v>
      </c>
      <c r="I382" s="3"/>
    </row>
    <row r="383" spans="1:9" ht="10.5" customHeight="1">
      <c r="A383" s="3" t="s">
        <v>569</v>
      </c>
      <c r="B383" s="3" t="s">
        <v>568</v>
      </c>
      <c r="C383" s="3">
        <f>VLOOKUP(B383,LifeList!$E$2:$J$2038,6)</f>
        <v>8458</v>
      </c>
      <c r="D383" s="3" t="str">
        <f>VLOOKUP(B383,LifeList!$E$2:$G$2038,1)</f>
        <v>Black-chested Buzzard-Eagle</v>
      </c>
      <c r="E383" s="3" t="str">
        <f>VLOOKUP(B383,LifeList!$E$2:$G$2038,2)</f>
        <v>Buse aguia</v>
      </c>
      <c r="F383" s="3" t="str">
        <f>VLOOKUP(B383,LifeList!$E$2:$G$2038,3)</f>
        <v>Geranoaetus melanoleucus</v>
      </c>
      <c r="G383" s="3" t="str">
        <f>VLOOKUP(B383,LifeList!$E$2:$I$2038,4)</f>
        <v>Accipitriformes</v>
      </c>
      <c r="H383" s="3" t="str">
        <f>VLOOKUP(B383,LifeList!$E$2:$I$2038,5)</f>
        <v>Accipitridae (Hawks, Eagles, and Kites)</v>
      </c>
      <c r="I383" s="3"/>
    </row>
    <row r="384" spans="1:9" ht="10.5" customHeight="1">
      <c r="A384" s="3" t="s">
        <v>570</v>
      </c>
      <c r="B384" s="3" t="s">
        <v>571</v>
      </c>
      <c r="C384" s="3">
        <f>VLOOKUP(B384,LifeList!$E$2:$J$2038,6)</f>
        <v>21259</v>
      </c>
      <c r="D384" s="3" t="str">
        <f>VLOOKUP(B384,LifeList!$E$2:$G$2038,1)</f>
        <v>Black-chested Jay</v>
      </c>
      <c r="E384" s="3" t="str">
        <f>VLOOKUP(B384,LifeList!$E$2:$G$2038,2)</f>
        <v>Geai à poitrine noire</v>
      </c>
      <c r="F384" s="3" t="str">
        <f>VLOOKUP(B384,LifeList!$E$2:$G$2038,3)</f>
        <v>Cyanocorax affinis</v>
      </c>
      <c r="G384" s="3" t="str">
        <f>VLOOKUP(B384,LifeList!$E$2:$I$2038,4)</f>
        <v>Passeriformes</v>
      </c>
      <c r="H384" s="3" t="str">
        <f>VLOOKUP(B384,LifeList!$E$2:$I$2038,5)</f>
        <v>Corvidae (Crows, Jays, and Magpies)</v>
      </c>
      <c r="I384" s="3"/>
    </row>
    <row r="385" spans="1:9" ht="10.5" customHeight="1">
      <c r="A385" s="3" t="s">
        <v>572</v>
      </c>
      <c r="B385" s="3" t="s">
        <v>571</v>
      </c>
      <c r="C385" s="3">
        <f>VLOOKUP(B385,LifeList!$E$2:$J$2038,6)</f>
        <v>21259</v>
      </c>
      <c r="D385" s="3" t="str">
        <f>VLOOKUP(B385,LifeList!$E$2:$G$2038,1)</f>
        <v>Black-chested Jay</v>
      </c>
      <c r="E385" s="3" t="str">
        <f>VLOOKUP(B385,LifeList!$E$2:$G$2038,2)</f>
        <v>Geai à poitrine noire</v>
      </c>
      <c r="F385" s="3" t="str">
        <f>VLOOKUP(B385,LifeList!$E$2:$G$2038,3)</f>
        <v>Cyanocorax affinis</v>
      </c>
      <c r="G385" s="3" t="str">
        <f>VLOOKUP(B385,LifeList!$E$2:$I$2038,4)</f>
        <v>Passeriformes</v>
      </c>
      <c r="H385" s="3" t="str">
        <f>VLOOKUP(B385,LifeList!$E$2:$I$2038,5)</f>
        <v>Corvidae (Crows, Jays, and Magpies)</v>
      </c>
      <c r="I385" s="3"/>
    </row>
    <row r="386" spans="1:9" ht="10.5" customHeight="1">
      <c r="A386" s="3" t="s">
        <v>573</v>
      </c>
      <c r="B386" s="3" t="s">
        <v>571</v>
      </c>
      <c r="C386" s="3">
        <f>VLOOKUP(B386,LifeList!$E$2:$J$2038,6)</f>
        <v>21259</v>
      </c>
      <c r="D386" s="3" t="str">
        <f>VLOOKUP(B386,LifeList!$E$2:$G$2038,1)</f>
        <v>Black-chested Jay</v>
      </c>
      <c r="E386" s="3" t="str">
        <f>VLOOKUP(B386,LifeList!$E$2:$G$2038,2)</f>
        <v>Geai à poitrine noire</v>
      </c>
      <c r="F386" s="3" t="str">
        <f>VLOOKUP(B386,LifeList!$E$2:$G$2038,3)</f>
        <v>Cyanocorax affinis</v>
      </c>
      <c r="G386" s="3" t="str">
        <f>VLOOKUP(B386,LifeList!$E$2:$I$2038,4)</f>
        <v>Passeriformes</v>
      </c>
      <c r="H386" s="3" t="str">
        <f>VLOOKUP(B386,LifeList!$E$2:$I$2038,5)</f>
        <v>Corvidae (Crows, Jays, and Magpies)</v>
      </c>
      <c r="I386" s="3"/>
    </row>
    <row r="387" spans="1:9" ht="10.5" customHeight="1">
      <c r="A387" s="5" t="s">
        <v>574</v>
      </c>
      <c r="B387" s="3" t="s">
        <v>575</v>
      </c>
      <c r="C387" s="6">
        <f>VLOOKUP(B387,LifeList!$E$2:$J$2038,6)</f>
        <v>10666</v>
      </c>
      <c r="D387" s="3" t="str">
        <f>VLOOKUP(B387,LifeList!$E$2:$G$2038,1)</f>
        <v>Black-collared Barbet</v>
      </c>
      <c r="E387" s="3" t="str">
        <f>VLOOKUP(B387,LifeList!$E$2:$G$2038,2)</f>
        <v>Barbican à collier</v>
      </c>
      <c r="F387" s="3" t="str">
        <f>VLOOKUP(B387,LifeList!$E$2:$G$2038,3)</f>
        <v>Lybius torquatus</v>
      </c>
      <c r="G387" s="3" t="str">
        <f>VLOOKUP(B387,LifeList!$E$2:$I$2038,4)</f>
        <v>Piciformes</v>
      </c>
      <c r="H387" s="3" t="str">
        <f>VLOOKUP(B387,LifeList!$E$2:$I$2038,5)</f>
        <v>Lybiidae (African Barbets)</v>
      </c>
      <c r="I387" s="3"/>
    </row>
    <row r="388" spans="1:9" ht="10.5" customHeight="1">
      <c r="A388" s="3" t="s">
        <v>576</v>
      </c>
      <c r="B388" s="3" t="s">
        <v>577</v>
      </c>
      <c r="C388" s="3">
        <f>VLOOKUP(B388,LifeList!$E$2:$J$2038,6)</f>
        <v>10666</v>
      </c>
      <c r="D388" s="3" t="str">
        <f>VLOOKUP(B388,LifeList!$E$2:$G$2038,1)</f>
        <v>Black-collared Barbet</v>
      </c>
      <c r="E388" s="3" t="str">
        <f>VLOOKUP(B388,LifeList!$E$2:$G$2038,2)</f>
        <v>Barbican à collier</v>
      </c>
      <c r="F388" s="3" t="str">
        <f>VLOOKUP(B388,LifeList!$E$2:$G$2038,3)</f>
        <v>Lybius torquatus</v>
      </c>
      <c r="G388" s="3" t="str">
        <f>VLOOKUP(B388,LifeList!$E$2:$I$2038,4)</f>
        <v>Piciformes</v>
      </c>
      <c r="H388" s="3" t="str">
        <f>VLOOKUP(B388,LifeList!$E$2:$I$2038,5)</f>
        <v>Lybiidae (African Barbets)</v>
      </c>
      <c r="I388" s="3"/>
    </row>
    <row r="389" spans="1:9" ht="10.5" customHeight="1">
      <c r="A389" s="3" t="s">
        <v>578</v>
      </c>
      <c r="B389" s="3" t="s">
        <v>579</v>
      </c>
      <c r="C389" s="3">
        <f>VLOOKUP(B389,LifeList!$E$2:$J$2038,6)</f>
        <v>8400</v>
      </c>
      <c r="D389" s="3" t="str">
        <f>VLOOKUP(B389,LifeList!$E$2:$G$2038,1)</f>
        <v>Black-collared Hawk</v>
      </c>
      <c r="E389" s="3" t="str">
        <f>VLOOKUP(B389,LifeList!$E$2:$G$2038,2)</f>
        <v>Buse à tête blanche</v>
      </c>
      <c r="F389" s="3" t="str">
        <f>VLOOKUP(B389,LifeList!$E$2:$G$2038,3)</f>
        <v>Busarellus nigricollis</v>
      </c>
      <c r="G389" s="3" t="str">
        <f>VLOOKUP(B389,LifeList!$E$2:$I$2038,4)</f>
        <v>Accipitriformes</v>
      </c>
      <c r="H389" s="3" t="str">
        <f>VLOOKUP(B389,LifeList!$E$2:$I$2038,5)</f>
        <v>Accipitridae (Hawks, Eagles, and Kites)</v>
      </c>
      <c r="I389" s="3"/>
    </row>
    <row r="390" spans="1:9" ht="10.5" customHeight="1">
      <c r="A390" s="3" t="s">
        <v>580</v>
      </c>
      <c r="B390" s="3" t="s">
        <v>579</v>
      </c>
      <c r="C390" s="3">
        <f>VLOOKUP(B390,LifeList!$E$2:$J$2038,6)</f>
        <v>8400</v>
      </c>
      <c r="D390" s="3" t="str">
        <f>VLOOKUP(B390,LifeList!$E$2:$G$2038,1)</f>
        <v>Black-collared Hawk</v>
      </c>
      <c r="E390" s="3" t="str">
        <f>VLOOKUP(B390,LifeList!$E$2:$G$2038,2)</f>
        <v>Buse à tête blanche</v>
      </c>
      <c r="F390" s="3" t="str">
        <f>VLOOKUP(B390,LifeList!$E$2:$G$2038,3)</f>
        <v>Busarellus nigricollis</v>
      </c>
      <c r="G390" s="3" t="str">
        <f>VLOOKUP(B390,LifeList!$E$2:$I$2038,4)</f>
        <v>Accipitriformes</v>
      </c>
      <c r="H390" s="3" t="str">
        <f>VLOOKUP(B390,LifeList!$E$2:$I$2038,5)</f>
        <v>Accipitridae (Hawks, Eagles, and Kites)</v>
      </c>
      <c r="I390" s="3"/>
    </row>
    <row r="391" spans="1:9" ht="10.5" customHeight="1">
      <c r="A391" s="3" t="s">
        <v>581</v>
      </c>
      <c r="B391" s="3" t="s">
        <v>582</v>
      </c>
      <c r="C391" s="3">
        <f>VLOOKUP(B391,LifeList!$E$2:$J$2038,6)</f>
        <v>33676</v>
      </c>
      <c r="D391" s="3" t="str">
        <f>VLOOKUP(B391,LifeList!$E$2:$G$2038,1)</f>
        <v>Black-cowled Oriole</v>
      </c>
      <c r="E391" s="3" t="str">
        <f>VLOOKUP(B391,LifeList!$E$2:$G$2038,2)</f>
        <v>Oriole monacal</v>
      </c>
      <c r="F391" s="3" t="str">
        <f>VLOOKUP(B391,LifeList!$E$2:$G$2038,3)</f>
        <v>Icterus prosthemelas</v>
      </c>
      <c r="G391" s="3" t="str">
        <f>VLOOKUP(B391,LifeList!$E$2:$I$2038,4)</f>
        <v>Passeriformes</v>
      </c>
      <c r="H391" s="3" t="str">
        <f>VLOOKUP(B391,LifeList!$E$2:$I$2038,5)</f>
        <v>Icteridae (Troupials and Allies)</v>
      </c>
      <c r="I391" s="3"/>
    </row>
    <row r="392" spans="1:9" ht="10.5" customHeight="1">
      <c r="A392" s="3" t="s">
        <v>583</v>
      </c>
      <c r="B392" s="3" t="s">
        <v>584</v>
      </c>
      <c r="C392" s="3">
        <f>VLOOKUP(B392,LifeList!$E$2:$J$2038,6)</f>
        <v>13475</v>
      </c>
      <c r="D392" s="3" t="str">
        <f>VLOOKUP(B392,LifeList!$E$2:$G$2038,1)</f>
        <v>Black-crested Antshrike</v>
      </c>
      <c r="E392" s="3" t="str">
        <f>VLOOKUP(B392,LifeList!$E$2:$G$2038,2)</f>
        <v>Batara huppé</v>
      </c>
      <c r="F392" s="3" t="str">
        <f>VLOOKUP(B392,LifeList!$E$2:$G$2038,3)</f>
        <v>Sakesphorus canadensis</v>
      </c>
      <c r="G392" s="3" t="str">
        <f>VLOOKUP(B392,LifeList!$E$2:$I$2038,4)</f>
        <v>Passeriformes</v>
      </c>
      <c r="H392" s="3" t="str">
        <f>VLOOKUP(B392,LifeList!$E$2:$I$2038,5)</f>
        <v>Thamnophilidae (Typical Antbirds)</v>
      </c>
      <c r="I392" s="3"/>
    </row>
    <row r="393" spans="1:9" ht="10.5" customHeight="1">
      <c r="A393" s="3" t="s">
        <v>585</v>
      </c>
      <c r="B393" s="3" t="s">
        <v>584</v>
      </c>
      <c r="C393" s="3">
        <f>VLOOKUP(B393,LifeList!$E$2:$J$2038,6)</f>
        <v>13475</v>
      </c>
      <c r="D393" s="3" t="str">
        <f>VLOOKUP(B393,LifeList!$E$2:$G$2038,1)</f>
        <v>Black-crested Antshrike</v>
      </c>
      <c r="E393" s="3" t="str">
        <f>VLOOKUP(B393,LifeList!$E$2:$G$2038,2)</f>
        <v>Batara huppé</v>
      </c>
      <c r="F393" s="3" t="str">
        <f>VLOOKUP(B393,LifeList!$E$2:$G$2038,3)</f>
        <v>Sakesphorus canadensis</v>
      </c>
      <c r="G393" s="3" t="str">
        <f>VLOOKUP(B393,LifeList!$E$2:$I$2038,4)</f>
        <v>Passeriformes</v>
      </c>
      <c r="H393" s="3" t="str">
        <f>VLOOKUP(B393,LifeList!$E$2:$I$2038,5)</f>
        <v>Thamnophilidae (Typical Antbirds)</v>
      </c>
      <c r="I393" s="3"/>
    </row>
    <row r="394" spans="1:9" ht="10.5" customHeight="1">
      <c r="A394" s="3" t="s">
        <v>586</v>
      </c>
      <c r="B394" s="3" t="s">
        <v>584</v>
      </c>
      <c r="C394" s="3">
        <f>VLOOKUP(B394,LifeList!$E$2:$J$2038,6)</f>
        <v>13475</v>
      </c>
      <c r="D394" s="3" t="str">
        <f>VLOOKUP(B394,LifeList!$E$2:$G$2038,1)</f>
        <v>Black-crested Antshrike</v>
      </c>
      <c r="E394" s="3" t="str">
        <f>VLOOKUP(B394,LifeList!$E$2:$G$2038,2)</f>
        <v>Batara huppé</v>
      </c>
      <c r="F394" s="3" t="str">
        <f>VLOOKUP(B394,LifeList!$E$2:$G$2038,3)</f>
        <v>Sakesphorus canadensis</v>
      </c>
      <c r="G394" s="3" t="str">
        <f>VLOOKUP(B394,LifeList!$E$2:$I$2038,4)</f>
        <v>Passeriformes</v>
      </c>
      <c r="H394" s="3" t="str">
        <f>VLOOKUP(B394,LifeList!$E$2:$I$2038,5)</f>
        <v>Thamnophilidae (Typical Antbirds)</v>
      </c>
      <c r="I394" s="3"/>
    </row>
    <row r="395" spans="1:9" ht="10.5" customHeight="1">
      <c r="A395" s="3" t="s">
        <v>587</v>
      </c>
      <c r="B395" s="3" t="s">
        <v>588</v>
      </c>
      <c r="C395" s="3">
        <f>VLOOKUP(B395,LifeList!$E$2:$J$2038,6)</f>
        <v>4455</v>
      </c>
      <c r="D395" s="3" t="str">
        <f>VLOOKUP(B395,LifeList!$E$2:$G$2038,1)</f>
        <v>Black-crested Coquette</v>
      </c>
      <c r="E395" s="3" t="str">
        <f>VLOOKUP(B395,LifeList!$E$2:$G$2038,2)</f>
        <v>Coquette d'Hélène</v>
      </c>
      <c r="F395" s="3" t="str">
        <f>VLOOKUP(B395,LifeList!$E$2:$G$2038,3)</f>
        <v>Lophornis helenae</v>
      </c>
      <c r="G395" s="3" t="str">
        <f>VLOOKUP(B395,LifeList!$E$2:$I$2038,4)</f>
        <v>Apodiformes</v>
      </c>
      <c r="H395" s="3" t="str">
        <f>VLOOKUP(B395,LifeList!$E$2:$I$2038,5)</f>
        <v>Trochilidae (Hummingbirds)</v>
      </c>
      <c r="I395" s="3"/>
    </row>
    <row r="396" spans="1:9" ht="10.5" customHeight="1">
      <c r="A396" s="3" t="s">
        <v>589</v>
      </c>
      <c r="B396" s="3" t="s">
        <v>588</v>
      </c>
      <c r="C396" s="3">
        <f>VLOOKUP(B396,LifeList!$E$2:$J$2038,6)</f>
        <v>4455</v>
      </c>
      <c r="D396" s="3" t="str">
        <f>VLOOKUP(B396,LifeList!$E$2:$G$2038,1)</f>
        <v>Black-crested Coquette</v>
      </c>
      <c r="E396" s="3" t="str">
        <f>VLOOKUP(B396,LifeList!$E$2:$G$2038,2)</f>
        <v>Coquette d'Hélène</v>
      </c>
      <c r="F396" s="3" t="str">
        <f>VLOOKUP(B396,LifeList!$E$2:$G$2038,3)</f>
        <v>Lophornis helenae</v>
      </c>
      <c r="G396" s="3" t="str">
        <f>VLOOKUP(B396,LifeList!$E$2:$I$2038,4)</f>
        <v>Apodiformes</v>
      </c>
      <c r="H396" s="3" t="str">
        <f>VLOOKUP(B396,LifeList!$E$2:$I$2038,5)</f>
        <v>Trochilidae (Hummingbirds)</v>
      </c>
      <c r="I396" s="3"/>
    </row>
    <row r="397" spans="1:9" ht="10.5" customHeight="1">
      <c r="A397" s="3" t="s">
        <v>590</v>
      </c>
      <c r="B397" s="3" t="s">
        <v>588</v>
      </c>
      <c r="C397" s="3">
        <f>VLOOKUP(B397,LifeList!$E$2:$J$2038,6)</f>
        <v>4455</v>
      </c>
      <c r="D397" s="3" t="str">
        <f>VLOOKUP(B397,LifeList!$E$2:$G$2038,1)</f>
        <v>Black-crested Coquette</v>
      </c>
      <c r="E397" s="3" t="str">
        <f>VLOOKUP(B397,LifeList!$E$2:$G$2038,2)</f>
        <v>Coquette d'Hélène</v>
      </c>
      <c r="F397" s="3" t="str">
        <f>VLOOKUP(B397,LifeList!$E$2:$G$2038,3)</f>
        <v>Lophornis helenae</v>
      </c>
      <c r="G397" s="3" t="str">
        <f>VLOOKUP(B397,LifeList!$E$2:$I$2038,4)</f>
        <v>Apodiformes</v>
      </c>
      <c r="H397" s="3" t="str">
        <f>VLOOKUP(B397,LifeList!$E$2:$I$2038,5)</f>
        <v>Trochilidae (Hummingbirds)</v>
      </c>
      <c r="I397" s="3"/>
    </row>
    <row r="398" spans="1:9" ht="10.5" customHeight="1">
      <c r="A398" s="3" t="s">
        <v>591</v>
      </c>
      <c r="B398" s="3" t="s">
        <v>588</v>
      </c>
      <c r="C398" s="3">
        <f>VLOOKUP(B398,LifeList!$E$2:$J$2038,6)</f>
        <v>4455</v>
      </c>
      <c r="D398" s="3" t="str">
        <f>VLOOKUP(B398,LifeList!$E$2:$G$2038,1)</f>
        <v>Black-crested Coquette</v>
      </c>
      <c r="E398" s="3" t="str">
        <f>VLOOKUP(B398,LifeList!$E$2:$G$2038,2)</f>
        <v>Coquette d'Hélène</v>
      </c>
      <c r="F398" s="3" t="str">
        <f>VLOOKUP(B398,LifeList!$E$2:$G$2038,3)</f>
        <v>Lophornis helenae</v>
      </c>
      <c r="G398" s="3" t="str">
        <f>VLOOKUP(B398,LifeList!$E$2:$I$2038,4)</f>
        <v>Apodiformes</v>
      </c>
      <c r="H398" s="3" t="str">
        <f>VLOOKUP(B398,LifeList!$E$2:$I$2038,5)</f>
        <v>Trochilidae (Hummingbirds)</v>
      </c>
      <c r="I398" s="3"/>
    </row>
    <row r="399" spans="1:9" ht="10.5" customHeight="1">
      <c r="A399" s="3" t="s">
        <v>592</v>
      </c>
      <c r="B399" s="3" t="s">
        <v>593</v>
      </c>
      <c r="C399" s="3">
        <f>VLOOKUP(B399,LifeList!$E$2:$J$2038,6)</f>
        <v>34307</v>
      </c>
      <c r="D399" s="3" t="str">
        <f>VLOOKUP(B399,LifeList!$E$2:$G$2038,1)</f>
        <v>Black-crested Warbler</v>
      </c>
      <c r="E399" s="3" t="str">
        <f>VLOOKUP(B399,LifeList!$E$2:$G$2038,2)</f>
        <v>Paruline à cimier noir</v>
      </c>
      <c r="F399" s="3" t="str">
        <f>VLOOKUP(B399,LifeList!$E$2:$G$2038,3)</f>
        <v>Myiothlypis nigrocristata</v>
      </c>
      <c r="G399" s="3" t="str">
        <f>VLOOKUP(B399,LifeList!$E$2:$I$2038,4)</f>
        <v>Passeriformes</v>
      </c>
      <c r="H399" s="3" t="str">
        <f>VLOOKUP(B399,LifeList!$E$2:$I$2038,5)</f>
        <v>Parulidae (New World Warblers)</v>
      </c>
      <c r="I399" s="3"/>
    </row>
    <row r="400" spans="1:9" ht="10.5" customHeight="1">
      <c r="A400" s="5" t="s">
        <v>594</v>
      </c>
      <c r="B400" s="3" t="s">
        <v>595</v>
      </c>
      <c r="C400" s="6">
        <f>VLOOKUP(B400,LifeList!$E$2:$J$2038,6)</f>
        <v>14155</v>
      </c>
      <c r="D400" s="3" t="str">
        <f>VLOOKUP(B400,LifeList!$E$2:$G$2038,1)</f>
        <v>Black-crowned Antpitta</v>
      </c>
      <c r="E400" s="3" t="str">
        <f>VLOOKUP(B400,LifeList!$E$2:$G$2038,2)</f>
        <v>Pittasome à tête noire</v>
      </c>
      <c r="F400" s="3" t="str">
        <f>VLOOKUP(B400,LifeList!$E$2:$G$2038,3)</f>
        <v>Pittasoma michleri</v>
      </c>
      <c r="G400" s="3" t="str">
        <f>VLOOKUP(B400,LifeList!$E$2:$I$2038,4)</f>
        <v>Passeriformes</v>
      </c>
      <c r="H400" s="3" t="str">
        <f>VLOOKUP(B400,LifeList!$E$2:$I$2038,5)</f>
        <v>Conopophagidae (Gnateaters)</v>
      </c>
      <c r="I400" s="3"/>
    </row>
    <row r="401" spans="1:9" ht="10.5" customHeight="1">
      <c r="A401" s="3" t="s">
        <v>596</v>
      </c>
      <c r="B401" s="3" t="s">
        <v>597</v>
      </c>
      <c r="C401" s="3">
        <f>VLOOKUP(B401,LifeList!$E$2:$J$2038,6)</f>
        <v>13536</v>
      </c>
      <c r="D401" s="3" t="str">
        <f>VLOOKUP(B401,LifeList!$E$2:$G$2038,1)</f>
        <v>Black-crowned Antshrike</v>
      </c>
      <c r="E401" s="3" t="str">
        <f>VLOOKUP(B401,LifeList!$E$2:$G$2038,2)</f>
        <v>Batara à nuque noire</v>
      </c>
      <c r="F401" s="3" t="str">
        <f>VLOOKUP(B401,LifeList!$E$2:$G$2038,3)</f>
        <v>Thamnophilus atrinucha</v>
      </c>
      <c r="G401" s="3" t="str">
        <f>VLOOKUP(B401,LifeList!$E$2:$I$2038,4)</f>
        <v>Passeriformes</v>
      </c>
      <c r="H401" s="3" t="str">
        <f>VLOOKUP(B401,LifeList!$E$2:$I$2038,5)</f>
        <v>Thamnophilidae (Typical Antbirds)</v>
      </c>
      <c r="I401" s="3"/>
    </row>
    <row r="402" spans="1:9" ht="10.5" customHeight="1">
      <c r="A402" s="3" t="s">
        <v>598</v>
      </c>
      <c r="B402" s="3" t="s">
        <v>597</v>
      </c>
      <c r="C402" s="3">
        <f>VLOOKUP(B402,LifeList!$E$2:$J$2038,6)</f>
        <v>13536</v>
      </c>
      <c r="D402" s="3" t="str">
        <f>VLOOKUP(B402,LifeList!$E$2:$G$2038,1)</f>
        <v>Black-crowned Antshrike</v>
      </c>
      <c r="E402" s="3" t="str">
        <f>VLOOKUP(B402,LifeList!$E$2:$G$2038,2)</f>
        <v>Batara à nuque noire</v>
      </c>
      <c r="F402" s="3" t="str">
        <f>VLOOKUP(B402,LifeList!$E$2:$G$2038,3)</f>
        <v>Thamnophilus atrinucha</v>
      </c>
      <c r="G402" s="3" t="str">
        <f>VLOOKUP(B402,LifeList!$E$2:$I$2038,4)</f>
        <v>Passeriformes</v>
      </c>
      <c r="H402" s="3" t="str">
        <f>VLOOKUP(B402,LifeList!$E$2:$I$2038,5)</f>
        <v>Thamnophilidae (Typical Antbirds)</v>
      </c>
      <c r="I402" s="3"/>
    </row>
    <row r="403" spans="1:9" ht="10.5" customHeight="1">
      <c r="A403" s="3" t="s">
        <v>599</v>
      </c>
      <c r="B403" s="3" t="s">
        <v>600</v>
      </c>
      <c r="C403" s="3">
        <f>VLOOKUP(B403,LifeList!$E$2:$J$2038,6)</f>
        <v>7600</v>
      </c>
      <c r="D403" s="3" t="str">
        <f>VLOOKUP(B403,LifeList!$E$2:$G$2038,1)</f>
        <v>Black-crowned Night Heron</v>
      </c>
      <c r="E403" s="3" t="str">
        <f>VLOOKUP(B403,LifeList!$E$2:$G$2038,2)</f>
        <v>Bihoreau gris</v>
      </c>
      <c r="F403" s="3" t="str">
        <f>VLOOKUP(B403,LifeList!$E$2:$G$2038,3)</f>
        <v>Nycticorax nycticorax</v>
      </c>
      <c r="G403" s="3" t="str">
        <f>VLOOKUP(B403,LifeList!$E$2:$I$2038,4)</f>
        <v>Pelecaniformes</v>
      </c>
      <c r="H403" s="3" t="str">
        <f>VLOOKUP(B403,LifeList!$E$2:$I$2038,5)</f>
        <v>Ardeidae (Herons, Egrets, and Bitterns)</v>
      </c>
      <c r="I403" s="3"/>
    </row>
    <row r="404" spans="1:9" ht="10.5" customHeight="1">
      <c r="A404" s="3" t="s">
        <v>601</v>
      </c>
      <c r="B404" s="3" t="s">
        <v>600</v>
      </c>
      <c r="C404" s="3">
        <f>VLOOKUP(B404,LifeList!$E$2:$J$2038,6)</f>
        <v>7600</v>
      </c>
      <c r="D404" s="3" t="str">
        <f>VLOOKUP(B404,LifeList!$E$2:$G$2038,1)</f>
        <v>Black-crowned Night Heron</v>
      </c>
      <c r="E404" s="3" t="str">
        <f>VLOOKUP(B404,LifeList!$E$2:$G$2038,2)</f>
        <v>Bihoreau gris</v>
      </c>
      <c r="F404" s="3" t="str">
        <f>VLOOKUP(B404,LifeList!$E$2:$G$2038,3)</f>
        <v>Nycticorax nycticorax</v>
      </c>
      <c r="G404" s="3" t="str">
        <f>VLOOKUP(B404,LifeList!$E$2:$I$2038,4)</f>
        <v>Pelecaniformes</v>
      </c>
      <c r="H404" s="3" t="str">
        <f>VLOOKUP(B404,LifeList!$E$2:$I$2038,5)</f>
        <v>Ardeidae (Herons, Egrets, and Bitterns)</v>
      </c>
      <c r="I404" s="3"/>
    </row>
    <row r="405" spans="1:9" ht="10.5" customHeight="1">
      <c r="A405" s="3" t="s">
        <v>602</v>
      </c>
      <c r="B405" s="3" t="s">
        <v>600</v>
      </c>
      <c r="C405" s="3">
        <f>VLOOKUP(B405,LifeList!$E$2:$J$2038,6)</f>
        <v>7600</v>
      </c>
      <c r="D405" s="3" t="str">
        <f>VLOOKUP(B405,LifeList!$E$2:$G$2038,1)</f>
        <v>Black-crowned Night Heron</v>
      </c>
      <c r="E405" s="3" t="str">
        <f>VLOOKUP(B405,LifeList!$E$2:$G$2038,2)</f>
        <v>Bihoreau gris</v>
      </c>
      <c r="F405" s="3" t="str">
        <f>VLOOKUP(B405,LifeList!$E$2:$G$2038,3)</f>
        <v>Nycticorax nycticorax</v>
      </c>
      <c r="G405" s="3" t="str">
        <f>VLOOKUP(B405,LifeList!$E$2:$I$2038,4)</f>
        <v>Pelecaniformes</v>
      </c>
      <c r="H405" s="3" t="str">
        <f>VLOOKUP(B405,LifeList!$E$2:$I$2038,5)</f>
        <v>Ardeidae (Herons, Egrets, and Bitterns)</v>
      </c>
      <c r="I405" s="3"/>
    </row>
    <row r="406" spans="1:9" ht="10.5" customHeight="1">
      <c r="A406" s="3" t="s">
        <v>603</v>
      </c>
      <c r="B406" s="3" t="s">
        <v>600</v>
      </c>
      <c r="C406" s="3">
        <f>VLOOKUP(B406,LifeList!$E$2:$J$2038,6)</f>
        <v>7600</v>
      </c>
      <c r="D406" s="3" t="str">
        <f>VLOOKUP(B406,LifeList!$E$2:$G$2038,1)</f>
        <v>Black-crowned Night Heron</v>
      </c>
      <c r="E406" s="3" t="str">
        <f>VLOOKUP(B406,LifeList!$E$2:$G$2038,2)</f>
        <v>Bihoreau gris</v>
      </c>
      <c r="F406" s="3" t="str">
        <f>VLOOKUP(B406,LifeList!$E$2:$G$2038,3)</f>
        <v>Nycticorax nycticorax</v>
      </c>
      <c r="G406" s="3" t="str">
        <f>VLOOKUP(B406,LifeList!$E$2:$I$2038,4)</f>
        <v>Pelecaniformes</v>
      </c>
      <c r="H406" s="3" t="str">
        <f>VLOOKUP(B406,LifeList!$E$2:$I$2038,5)</f>
        <v>Ardeidae (Herons, Egrets, and Bitterns)</v>
      </c>
      <c r="I406" s="3"/>
    </row>
    <row r="407" spans="1:9" ht="10.5" customHeight="1">
      <c r="A407" s="3" t="s">
        <v>604</v>
      </c>
      <c r="B407" s="3" t="s">
        <v>600</v>
      </c>
      <c r="C407" s="3">
        <f>VLOOKUP(B407,LifeList!$E$2:$J$2038,6)</f>
        <v>7600</v>
      </c>
      <c r="D407" s="3" t="str">
        <f>VLOOKUP(B407,LifeList!$E$2:$G$2038,1)</f>
        <v>Black-crowned Night Heron</v>
      </c>
      <c r="E407" s="3" t="str">
        <f>VLOOKUP(B407,LifeList!$E$2:$G$2038,2)</f>
        <v>Bihoreau gris</v>
      </c>
      <c r="F407" s="3" t="str">
        <f>VLOOKUP(B407,LifeList!$E$2:$G$2038,3)</f>
        <v>Nycticorax nycticorax</v>
      </c>
      <c r="G407" s="3" t="str">
        <f>VLOOKUP(B407,LifeList!$E$2:$I$2038,4)</f>
        <v>Pelecaniformes</v>
      </c>
      <c r="H407" s="3" t="str">
        <f>VLOOKUP(B407,LifeList!$E$2:$I$2038,5)</f>
        <v>Ardeidae (Herons, Egrets, and Bitterns)</v>
      </c>
      <c r="I407" s="3"/>
    </row>
    <row r="408" spans="1:9" ht="10.5" customHeight="1">
      <c r="A408" s="3" t="s">
        <v>605</v>
      </c>
      <c r="B408" s="3" t="s">
        <v>600</v>
      </c>
      <c r="C408" s="3">
        <f>VLOOKUP(B408,LifeList!$E$2:$J$2038,6)</f>
        <v>7600</v>
      </c>
      <c r="D408" s="3" t="str">
        <f>VLOOKUP(B408,LifeList!$E$2:$G$2038,1)</f>
        <v>Black-crowned Night Heron</v>
      </c>
      <c r="E408" s="3" t="str">
        <f>VLOOKUP(B408,LifeList!$E$2:$G$2038,2)</f>
        <v>Bihoreau gris</v>
      </c>
      <c r="F408" s="3" t="str">
        <f>VLOOKUP(B408,LifeList!$E$2:$G$2038,3)</f>
        <v>Nycticorax nycticorax</v>
      </c>
      <c r="G408" s="3" t="str">
        <f>VLOOKUP(B408,LifeList!$E$2:$I$2038,4)</f>
        <v>Pelecaniformes</v>
      </c>
      <c r="H408" s="3" t="str">
        <f>VLOOKUP(B408,LifeList!$E$2:$I$2038,5)</f>
        <v>Ardeidae (Herons, Egrets, and Bitterns)</v>
      </c>
      <c r="I408" s="3"/>
    </row>
    <row r="409" spans="1:9" ht="10.5" customHeight="1">
      <c r="A409" s="3" t="s">
        <v>606</v>
      </c>
      <c r="B409" s="3" t="s">
        <v>600</v>
      </c>
      <c r="C409" s="3">
        <f>VLOOKUP(B409,LifeList!$E$2:$J$2038,6)</f>
        <v>7600</v>
      </c>
      <c r="D409" s="3" t="str">
        <f>VLOOKUP(B409,LifeList!$E$2:$G$2038,1)</f>
        <v>Black-crowned Night Heron</v>
      </c>
      <c r="E409" s="3" t="str">
        <f>VLOOKUP(B409,LifeList!$E$2:$G$2038,2)</f>
        <v>Bihoreau gris</v>
      </c>
      <c r="F409" s="3" t="str">
        <f>VLOOKUP(B409,LifeList!$E$2:$G$2038,3)</f>
        <v>Nycticorax nycticorax</v>
      </c>
      <c r="G409" s="3" t="str">
        <f>VLOOKUP(B409,LifeList!$E$2:$I$2038,4)</f>
        <v>Pelecaniformes</v>
      </c>
      <c r="H409" s="3" t="str">
        <f>VLOOKUP(B409,LifeList!$E$2:$I$2038,5)</f>
        <v>Ardeidae (Herons, Egrets, and Bitterns)</v>
      </c>
      <c r="I409" s="3"/>
    </row>
    <row r="410" spans="1:9" ht="10.5" customHeight="1">
      <c r="A410" s="3" t="s">
        <v>607</v>
      </c>
      <c r="B410" s="3" t="s">
        <v>608</v>
      </c>
      <c r="C410" s="3">
        <f>VLOOKUP(B410,LifeList!$E$2:$J$2038,6)</f>
        <v>15961</v>
      </c>
      <c r="D410" s="3" t="str">
        <f>VLOOKUP(B410,LifeList!$E$2:$G$2038,1)</f>
        <v>Black-crowned Tityra</v>
      </c>
      <c r="E410" s="3" t="str">
        <f>VLOOKUP(B410,LifeList!$E$2:$G$2038,2)</f>
        <v>Tityre à tête noire</v>
      </c>
      <c r="F410" s="3" t="str">
        <f>VLOOKUP(B410,LifeList!$E$2:$G$2038,3)</f>
        <v>Tityra inquisitor</v>
      </c>
      <c r="G410" s="3" t="str">
        <f>VLOOKUP(B410,LifeList!$E$2:$I$2038,4)</f>
        <v>Passeriformes</v>
      </c>
      <c r="H410" s="3" t="str">
        <f>VLOOKUP(B410,LifeList!$E$2:$I$2038,5)</f>
        <v>Tityridae (Tityras and Allies)</v>
      </c>
      <c r="I410" s="3"/>
    </row>
    <row r="411" spans="1:9" ht="10.5" customHeight="1">
      <c r="A411" s="3" t="s">
        <v>609</v>
      </c>
      <c r="B411" s="3" t="s">
        <v>608</v>
      </c>
      <c r="C411" s="3">
        <f>VLOOKUP(B411,LifeList!$E$2:$J$2038,6)</f>
        <v>15961</v>
      </c>
      <c r="D411" s="3" t="str">
        <f>VLOOKUP(B411,LifeList!$E$2:$G$2038,1)</f>
        <v>Black-crowned Tityra</v>
      </c>
      <c r="E411" s="3" t="str">
        <f>VLOOKUP(B411,LifeList!$E$2:$G$2038,2)</f>
        <v>Tityre à tête noire</v>
      </c>
      <c r="F411" s="3" t="str">
        <f>VLOOKUP(B411,LifeList!$E$2:$G$2038,3)</f>
        <v>Tityra inquisitor</v>
      </c>
      <c r="G411" s="3" t="str">
        <f>VLOOKUP(B411,LifeList!$E$2:$I$2038,4)</f>
        <v>Passeriformes</v>
      </c>
      <c r="H411" s="3" t="str">
        <f>VLOOKUP(B411,LifeList!$E$2:$I$2038,5)</f>
        <v>Tityridae (Tityras and Allies)</v>
      </c>
      <c r="I411" s="3"/>
    </row>
    <row r="412" spans="1:9" ht="10.5" customHeight="1">
      <c r="A412" s="3" t="s">
        <v>610</v>
      </c>
      <c r="B412" s="3" t="s">
        <v>608</v>
      </c>
      <c r="C412" s="3">
        <f>VLOOKUP(B412,LifeList!$E$2:$J$2038,6)</f>
        <v>15961</v>
      </c>
      <c r="D412" s="3" t="str">
        <f>VLOOKUP(B412,LifeList!$E$2:$G$2038,1)</f>
        <v>Black-crowned Tityra</v>
      </c>
      <c r="E412" s="3" t="str">
        <f>VLOOKUP(B412,LifeList!$E$2:$G$2038,2)</f>
        <v>Tityre à tête noire</v>
      </c>
      <c r="F412" s="3" t="str">
        <f>VLOOKUP(B412,LifeList!$E$2:$G$2038,3)</f>
        <v>Tityra inquisitor</v>
      </c>
      <c r="G412" s="3" t="str">
        <f>VLOOKUP(B412,LifeList!$E$2:$I$2038,4)</f>
        <v>Passeriformes</v>
      </c>
      <c r="H412" s="3" t="str">
        <f>VLOOKUP(B412,LifeList!$E$2:$I$2038,5)</f>
        <v>Tityridae (Tityras and Allies)</v>
      </c>
      <c r="I412" s="3"/>
    </row>
    <row r="413" spans="1:9" ht="10.5" customHeight="1">
      <c r="A413" s="5" t="s">
        <v>611</v>
      </c>
      <c r="B413" s="3" t="s">
        <v>612</v>
      </c>
      <c r="C413" s="6">
        <f>VLOOKUP(B413,LifeList!$E$2:$J$2038,6)</f>
        <v>3316</v>
      </c>
      <c r="D413" s="3" t="str">
        <f>VLOOKUP(B413,LifeList!$E$2:$G$2038,1)</f>
        <v>Black-eared Cuckoo</v>
      </c>
      <c r="E413" s="3" t="str">
        <f>VLOOKUP(B413,LifeList!$E$2:$G$2038,2)</f>
        <v>Coucou oreillard</v>
      </c>
      <c r="F413" s="3" t="str">
        <f>VLOOKUP(B413,LifeList!$E$2:$G$2038,3)</f>
        <v>Chalcites osculans</v>
      </c>
      <c r="G413" s="3" t="str">
        <f>VLOOKUP(B413,LifeList!$E$2:$I$2038,4)</f>
        <v>Cuculiformes</v>
      </c>
      <c r="H413" s="3" t="str">
        <f>VLOOKUP(B413,LifeList!$E$2:$I$2038,5)</f>
        <v>Cuculidae (Cuckoos)</v>
      </c>
      <c r="I413" s="3"/>
    </row>
    <row r="414" spans="1:9" ht="10.5" customHeight="1">
      <c r="A414" s="5" t="s">
        <v>613</v>
      </c>
      <c r="B414" s="3" t="s">
        <v>614</v>
      </c>
      <c r="C414" s="6">
        <f>VLOOKUP(B414,LifeList!$E$2:$J$2038,6)</f>
        <v>19753</v>
      </c>
      <c r="D414" s="3" t="str">
        <f>VLOOKUP(B414,LifeList!$E$2:$G$2038,1)</f>
        <v>Black-faced Woodswallow</v>
      </c>
      <c r="E414" s="3" t="str">
        <f>VLOOKUP(B414,LifeList!$E$2:$G$2038,2)</f>
        <v>Langrayen gris</v>
      </c>
      <c r="F414" s="3" t="str">
        <f>VLOOKUP(B414,LifeList!$E$2:$G$2038,3)</f>
        <v>Artamus cinereus</v>
      </c>
      <c r="G414" s="3" t="str">
        <f>VLOOKUP(B414,LifeList!$E$2:$I$2038,4)</f>
        <v>Passeriformes</v>
      </c>
      <c r="H414" s="3" t="str">
        <f>VLOOKUP(B414,LifeList!$E$2:$I$2038,5)</f>
        <v>Artamidae (Woodswallows, Bellmagpies, and Allies)</v>
      </c>
      <c r="I414" s="3"/>
    </row>
    <row r="415" spans="1:9" ht="10.5" customHeight="1">
      <c r="A415" s="3" t="s">
        <v>615</v>
      </c>
      <c r="B415" s="3" t="s">
        <v>616</v>
      </c>
      <c r="C415" s="3">
        <f>VLOOKUP(B415,LifeList!$E$2:$J$2038,6)</f>
        <v>18686</v>
      </c>
      <c r="D415" s="3" t="str">
        <f>VLOOKUP(B415,LifeList!$E$2:$G$2038,1)</f>
        <v>Black-faced Cuckooshrike</v>
      </c>
      <c r="E415" s="3" t="str">
        <f>VLOOKUP(B415,LifeList!$E$2:$G$2038,2)</f>
        <v>Échenilleur à masque noir</v>
      </c>
      <c r="F415" s="3" t="str">
        <f>VLOOKUP(B415,LifeList!$E$2:$G$2038,3)</f>
        <v>Coracina novaehollandiae</v>
      </c>
      <c r="G415" s="3" t="str">
        <f>VLOOKUP(B415,LifeList!$E$2:$I$2038,4)</f>
        <v>Passeriformes</v>
      </c>
      <c r="H415" s="3" t="str">
        <f>VLOOKUP(B415,LifeList!$E$2:$I$2038,5)</f>
        <v>Campephagidae (Cuckooshrikes)</v>
      </c>
      <c r="I415" s="3"/>
    </row>
    <row r="416" spans="1:9" ht="10.5" customHeight="1">
      <c r="A416" s="3" t="s">
        <v>617</v>
      </c>
      <c r="B416" s="3" t="s">
        <v>618</v>
      </c>
      <c r="C416" s="3">
        <f>VLOOKUP(B416,LifeList!$E$2:$J$2038,6)</f>
        <v>35722</v>
      </c>
      <c r="D416" s="3" t="str">
        <f>VLOOKUP(B416,LifeList!$E$2:$G$2038,1)</f>
        <v>Black-faced Grassquit</v>
      </c>
      <c r="E416" s="3" t="str">
        <f>VLOOKUP(B416,LifeList!$E$2:$G$2038,2)</f>
        <v>Cici verdinère</v>
      </c>
      <c r="F416" s="3" t="str">
        <f>VLOOKUP(B416,LifeList!$E$2:$G$2038,3)</f>
        <v>Melanospiza bicolor</v>
      </c>
      <c r="G416" s="3" t="str">
        <f>VLOOKUP(B416,LifeList!$E$2:$I$2038,4)</f>
        <v>Passeriformes</v>
      </c>
      <c r="H416" s="3" t="str">
        <f>VLOOKUP(B416,LifeList!$E$2:$I$2038,5)</f>
        <v>Thraupidae (Tanagers and Allies)</v>
      </c>
      <c r="I416" s="3"/>
    </row>
    <row r="417" spans="1:9" ht="10.5" customHeight="1">
      <c r="A417" s="3" t="s">
        <v>619</v>
      </c>
      <c r="B417" s="3" t="s">
        <v>618</v>
      </c>
      <c r="C417" s="3">
        <f>VLOOKUP(B417,LifeList!$E$2:$J$2038,6)</f>
        <v>35722</v>
      </c>
      <c r="D417" s="3" t="str">
        <f>VLOOKUP(B417,LifeList!$E$2:$G$2038,1)</f>
        <v>Black-faced Grassquit</v>
      </c>
      <c r="E417" s="3" t="str">
        <f>VLOOKUP(B417,LifeList!$E$2:$G$2038,2)</f>
        <v>Cici verdinère</v>
      </c>
      <c r="F417" s="3" t="str">
        <f>VLOOKUP(B417,LifeList!$E$2:$G$2038,3)</f>
        <v>Melanospiza bicolor</v>
      </c>
      <c r="G417" s="3" t="str">
        <f>VLOOKUP(B417,LifeList!$E$2:$I$2038,4)</f>
        <v>Passeriformes</v>
      </c>
      <c r="H417" s="3" t="str">
        <f>VLOOKUP(B417,LifeList!$E$2:$I$2038,5)</f>
        <v>Thraupidae (Tanagers and Allies)</v>
      </c>
      <c r="I417" s="3"/>
    </row>
    <row r="418" spans="1:9" ht="10.5" customHeight="1">
      <c r="A418" s="3" t="s">
        <v>620</v>
      </c>
      <c r="B418" s="3" t="s">
        <v>621</v>
      </c>
      <c r="C418" s="3">
        <f>VLOOKUP(B418,LifeList!$E$2:$J$2038,6)</f>
        <v>34505</v>
      </c>
      <c r="D418" s="3" t="str">
        <f>VLOOKUP(B418,LifeList!$E$2:$G$2038,1)</f>
        <v>Black-faced Grosbeak</v>
      </c>
      <c r="E418" s="3" t="str">
        <f>VLOOKUP(B418,LifeList!$E$2:$G$2038,2)</f>
        <v>Cardinal à ventre blanc</v>
      </c>
      <c r="F418" s="3" t="str">
        <f>VLOOKUP(B418,LifeList!$E$2:$G$2038,3)</f>
        <v>Caryothraustes poliogaster</v>
      </c>
      <c r="G418" s="3" t="str">
        <f>VLOOKUP(B418,LifeList!$E$2:$I$2038,4)</f>
        <v>Passeriformes</v>
      </c>
      <c r="H418" s="3" t="str">
        <f>VLOOKUP(B418,LifeList!$E$2:$I$2038,5)</f>
        <v>Cardinalidae (Cardinals and Allies)</v>
      </c>
      <c r="I418" s="3"/>
    </row>
    <row r="419" spans="1:9" ht="10.5" customHeight="1">
      <c r="A419" s="3" t="s">
        <v>622</v>
      </c>
      <c r="B419" s="3" t="s">
        <v>623</v>
      </c>
      <c r="C419" s="3">
        <f>VLOOKUP(B419,LifeList!$E$2:$J$2038,6)</f>
        <v>28181</v>
      </c>
      <c r="D419" s="3" t="str">
        <f>VLOOKUP(B419,LifeList!$E$2:$G$2038,1)</f>
        <v>Black-faced Solitaire</v>
      </c>
      <c r="E419" s="3" t="str">
        <f>VLOOKUP(B419,LifeList!$E$2:$G$2038,2)</f>
        <v>Solitaire masqué</v>
      </c>
      <c r="F419" s="3" t="str">
        <f>VLOOKUP(B419,LifeList!$E$2:$G$2038,3)</f>
        <v>Myadestes melanops</v>
      </c>
      <c r="G419" s="3" t="str">
        <f>VLOOKUP(B419,LifeList!$E$2:$I$2038,4)</f>
        <v>Passeriformes</v>
      </c>
      <c r="H419" s="3" t="str">
        <f>VLOOKUP(B419,LifeList!$E$2:$I$2038,5)</f>
        <v>Turdidae (Thrushes and Allies)</v>
      </c>
      <c r="I419" s="3"/>
    </row>
    <row r="420" spans="1:9" ht="10.5" customHeight="1">
      <c r="A420" s="3" t="s">
        <v>624</v>
      </c>
      <c r="B420" s="3" t="s">
        <v>623</v>
      </c>
      <c r="C420" s="3">
        <f>VLOOKUP(B420,LifeList!$E$2:$J$2038,6)</f>
        <v>28181</v>
      </c>
      <c r="D420" s="3" t="str">
        <f>VLOOKUP(B420,LifeList!$E$2:$G$2038,1)</f>
        <v>Black-faced Solitaire</v>
      </c>
      <c r="E420" s="3" t="str">
        <f>VLOOKUP(B420,LifeList!$E$2:$G$2038,2)</f>
        <v>Solitaire masqué</v>
      </c>
      <c r="F420" s="3" t="str">
        <f>VLOOKUP(B420,LifeList!$E$2:$G$2038,3)</f>
        <v>Myadestes melanops</v>
      </c>
      <c r="G420" s="3" t="str">
        <f>VLOOKUP(B420,LifeList!$E$2:$I$2038,4)</f>
        <v>Passeriformes</v>
      </c>
      <c r="H420" s="3" t="str">
        <f>VLOOKUP(B420,LifeList!$E$2:$I$2038,5)</f>
        <v>Turdidae (Thrushes and Allies)</v>
      </c>
      <c r="I420" s="3"/>
    </row>
    <row r="421" spans="1:9" ht="10.5" customHeight="1">
      <c r="A421" s="3" t="s">
        <v>625</v>
      </c>
      <c r="B421" s="3" t="s">
        <v>626</v>
      </c>
      <c r="C421" s="3">
        <f>VLOOKUP(B421,LifeList!$E$2:$J$2038,6)</f>
        <v>24782</v>
      </c>
      <c r="D421" s="3" t="str">
        <f>VLOOKUP(B421,LifeList!$E$2:$G$2038,1)</f>
        <v>Black-fronted Bulbul</v>
      </c>
      <c r="E421" s="3" t="str">
        <f>VLOOKUP(B421,LifeList!$E$2:$G$2038,2)</f>
        <v>Bulbul brunoir</v>
      </c>
      <c r="F421" s="3" t="str">
        <f>VLOOKUP(B421,LifeList!$E$2:$G$2038,3)</f>
        <v>Pycnonotus nigricans</v>
      </c>
      <c r="G421" s="3" t="str">
        <f>VLOOKUP(B421,LifeList!$E$2:$I$2038,4)</f>
        <v>Passeriformes</v>
      </c>
      <c r="H421" s="3" t="str">
        <f>VLOOKUP(B421,LifeList!$E$2:$I$2038,5)</f>
        <v>Pycnonotidae (Bulbuls)</v>
      </c>
      <c r="I421" s="3"/>
    </row>
    <row r="422" spans="1:9" ht="10.5" customHeight="1">
      <c r="A422" s="3" t="s">
        <v>627</v>
      </c>
      <c r="B422" s="3" t="s">
        <v>626</v>
      </c>
      <c r="C422" s="3">
        <f>VLOOKUP(B422,LifeList!$E$2:$J$2038,6)</f>
        <v>24782</v>
      </c>
      <c r="D422" s="3" t="str">
        <f>VLOOKUP(B422,LifeList!$E$2:$G$2038,1)</f>
        <v>Black-fronted Bulbul</v>
      </c>
      <c r="E422" s="3" t="str">
        <f>VLOOKUP(B422,LifeList!$E$2:$G$2038,2)</f>
        <v>Bulbul brunoir</v>
      </c>
      <c r="F422" s="3" t="str">
        <f>VLOOKUP(B422,LifeList!$E$2:$G$2038,3)</f>
        <v>Pycnonotus nigricans</v>
      </c>
      <c r="G422" s="3" t="str">
        <f>VLOOKUP(B422,LifeList!$E$2:$I$2038,4)</f>
        <v>Passeriformes</v>
      </c>
      <c r="H422" s="3" t="str">
        <f>VLOOKUP(B422,LifeList!$E$2:$I$2038,5)</f>
        <v>Pycnonotidae (Bulbuls)</v>
      </c>
      <c r="I422" s="3"/>
    </row>
    <row r="423" spans="1:9" ht="10.5" customHeight="1">
      <c r="A423" s="3" t="s">
        <v>628</v>
      </c>
      <c r="B423" s="3" t="s">
        <v>629</v>
      </c>
      <c r="C423" s="3">
        <f>VLOOKUP(B423,LifeList!$E$2:$J$2038,6)</f>
        <v>5840</v>
      </c>
      <c r="D423" s="3" t="str">
        <f>VLOOKUP(B423,LifeList!$E$2:$G$2038,1)</f>
        <v>Black-fronted Dotterel</v>
      </c>
      <c r="E423" s="3" t="str">
        <f>VLOOKUP(B423,LifeList!$E$2:$G$2038,2)</f>
        <v>Pluvier à face noire</v>
      </c>
      <c r="F423" s="3" t="str">
        <f>VLOOKUP(B423,LifeList!$E$2:$G$2038,3)</f>
        <v>Thinornis melanops</v>
      </c>
      <c r="G423" s="3" t="str">
        <f>VLOOKUP(B423,LifeList!$E$2:$I$2038,4)</f>
        <v>Charadriiformes</v>
      </c>
      <c r="H423" s="3" t="str">
        <f>VLOOKUP(B423,LifeList!$E$2:$I$2038,5)</f>
        <v>Charadriidae (Plovers and Lapwings)</v>
      </c>
      <c r="I423" s="3"/>
    </row>
    <row r="424" spans="1:9" ht="10.5" customHeight="1">
      <c r="A424" s="3" t="s">
        <v>630</v>
      </c>
      <c r="B424" s="3" t="s">
        <v>629</v>
      </c>
      <c r="C424" s="3">
        <f>VLOOKUP(B424,LifeList!$E$2:$J$2038,6)</f>
        <v>5840</v>
      </c>
      <c r="D424" s="3" t="str">
        <f>VLOOKUP(B424,LifeList!$E$2:$G$2038,1)</f>
        <v>Black-fronted Dotterel</v>
      </c>
      <c r="E424" s="3" t="str">
        <f>VLOOKUP(B424,LifeList!$E$2:$G$2038,2)</f>
        <v>Pluvier à face noire</v>
      </c>
      <c r="F424" s="3" t="str">
        <f>VLOOKUP(B424,LifeList!$E$2:$G$2038,3)</f>
        <v>Thinornis melanops</v>
      </c>
      <c r="G424" s="3" t="str">
        <f>VLOOKUP(B424,LifeList!$E$2:$I$2038,4)</f>
        <v>Charadriiformes</v>
      </c>
      <c r="H424" s="3" t="str">
        <f>VLOOKUP(B424,LifeList!$E$2:$I$2038,5)</f>
        <v>Charadriidae (Plovers and Lapwings)</v>
      </c>
      <c r="I424" s="3"/>
    </row>
    <row r="425" spans="1:9" ht="10.5" customHeight="1">
      <c r="A425" s="3" t="s">
        <v>631</v>
      </c>
      <c r="B425" s="3" t="s">
        <v>629</v>
      </c>
      <c r="C425" s="3">
        <f>VLOOKUP(B425,LifeList!$E$2:$J$2038,6)</f>
        <v>5840</v>
      </c>
      <c r="D425" s="3" t="str">
        <f>VLOOKUP(B425,LifeList!$E$2:$G$2038,1)</f>
        <v>Black-fronted Dotterel</v>
      </c>
      <c r="E425" s="3" t="str">
        <f>VLOOKUP(B425,LifeList!$E$2:$G$2038,2)</f>
        <v>Pluvier à face noire</v>
      </c>
      <c r="F425" s="3" t="str">
        <f>VLOOKUP(B425,LifeList!$E$2:$G$2038,3)</f>
        <v>Thinornis melanops</v>
      </c>
      <c r="G425" s="3" t="str">
        <f>VLOOKUP(B425,LifeList!$E$2:$I$2038,4)</f>
        <v>Charadriiformes</v>
      </c>
      <c r="H425" s="3" t="str">
        <f>VLOOKUP(B425,LifeList!$E$2:$I$2038,5)</f>
        <v>Charadriidae (Plovers and Lapwings)</v>
      </c>
      <c r="I425" s="3"/>
    </row>
    <row r="426" spans="1:9" ht="10.5" customHeight="1">
      <c r="A426" s="3" t="s">
        <v>632</v>
      </c>
      <c r="B426" s="3" t="s">
        <v>633</v>
      </c>
      <c r="C426" s="3">
        <f>VLOOKUP(B426,LifeList!$E$2:$J$2038,6)</f>
        <v>10458</v>
      </c>
      <c r="D426" s="3" t="str">
        <f>VLOOKUP(B426,LifeList!$E$2:$G$2038,1)</f>
        <v>Black-fronted Nunbird</v>
      </c>
      <c r="E426" s="3" t="str">
        <f>VLOOKUP(B426,LifeList!$E$2:$G$2038,2)</f>
        <v>Barbacou unicolore</v>
      </c>
      <c r="F426" s="3" t="str">
        <f>VLOOKUP(B426,LifeList!$E$2:$G$2038,3)</f>
        <v>Monasa nigrifrons</v>
      </c>
      <c r="G426" s="3" t="str">
        <f>VLOOKUP(B426,LifeList!$E$2:$I$2038,4)</f>
        <v>Piciformes</v>
      </c>
      <c r="H426" s="3" t="str">
        <f>VLOOKUP(B426,LifeList!$E$2:$I$2038,5)</f>
        <v>Bucconidae (Puffbirds)</v>
      </c>
      <c r="I426" s="3"/>
    </row>
    <row r="427" spans="1:9" ht="10.5" customHeight="1">
      <c r="A427" s="5" t="s">
        <v>634</v>
      </c>
      <c r="B427" s="3" t="s">
        <v>635</v>
      </c>
      <c r="C427" s="6">
        <f>VLOOKUP(B427,LifeList!$E$2:$J$2038,6)</f>
        <v>9534</v>
      </c>
      <c r="D427" s="3" t="str">
        <f>VLOOKUP(B427,LifeList!$E$2:$G$2038,1)</f>
        <v>Black-headed Trogon</v>
      </c>
      <c r="E427" s="3" t="str">
        <f>VLOOKUP(B427,LifeList!$E$2:$G$2038,2)</f>
        <v>Trogon à tête noire</v>
      </c>
      <c r="F427" s="3" t="str">
        <f>VLOOKUP(B427,LifeList!$E$2:$G$2038,3)</f>
        <v>Trogon melanocephalus</v>
      </c>
      <c r="G427" s="3" t="str">
        <f>VLOOKUP(B427,LifeList!$E$2:$I$2038,4)</f>
        <v>Trogoniformes</v>
      </c>
      <c r="H427" s="3" t="str">
        <f>VLOOKUP(B427,LifeList!$E$2:$I$2038,5)</f>
        <v>Trogonidae (Trogons)</v>
      </c>
      <c r="I427" s="3"/>
    </row>
    <row r="428" spans="1:9" ht="10.5" customHeight="1">
      <c r="A428" s="3" t="s">
        <v>636</v>
      </c>
      <c r="B428" s="3" t="s">
        <v>637</v>
      </c>
      <c r="C428" s="3">
        <f>VLOOKUP(B428,LifeList!$E$2:$J$2038,6)</f>
        <v>7779</v>
      </c>
      <c r="D428" s="3" t="str">
        <f>VLOOKUP(B428,LifeList!$E$2:$G$2038,1)</f>
        <v>Black-headed Heron</v>
      </c>
      <c r="E428" s="3" t="str">
        <f>VLOOKUP(B428,LifeList!$E$2:$G$2038,2)</f>
        <v>Héron mélanocéphale</v>
      </c>
      <c r="F428" s="3" t="str">
        <f>VLOOKUP(B428,LifeList!$E$2:$G$2038,3)</f>
        <v>Ardea melanocephala</v>
      </c>
      <c r="G428" s="3" t="str">
        <f>VLOOKUP(B428,LifeList!$E$2:$I$2038,4)</f>
        <v>Pelecaniformes</v>
      </c>
      <c r="H428" s="3" t="str">
        <f>VLOOKUP(B428,LifeList!$E$2:$I$2038,5)</f>
        <v>Ardeidae (Herons, Egrets, and Bitterns)</v>
      </c>
      <c r="I428" s="3"/>
    </row>
    <row r="429" spans="1:9" ht="10.5" customHeight="1">
      <c r="A429" s="3" t="s">
        <v>638</v>
      </c>
      <c r="B429" s="3" t="s">
        <v>637</v>
      </c>
      <c r="C429" s="3">
        <f>VLOOKUP(B429,LifeList!$E$2:$J$2038,6)</f>
        <v>7779</v>
      </c>
      <c r="D429" s="3" t="str">
        <f>VLOOKUP(B429,LifeList!$E$2:$G$2038,1)</f>
        <v>Black-headed Heron</v>
      </c>
      <c r="E429" s="3" t="str">
        <f>VLOOKUP(B429,LifeList!$E$2:$G$2038,2)</f>
        <v>Héron mélanocéphale</v>
      </c>
      <c r="F429" s="3" t="str">
        <f>VLOOKUP(B429,LifeList!$E$2:$G$2038,3)</f>
        <v>Ardea melanocephala</v>
      </c>
      <c r="G429" s="3" t="str">
        <f>VLOOKUP(B429,LifeList!$E$2:$I$2038,4)</f>
        <v>Pelecaniformes</v>
      </c>
      <c r="H429" s="3" t="str">
        <f>VLOOKUP(B429,LifeList!$E$2:$I$2038,5)</f>
        <v>Ardeidae (Herons, Egrets, and Bitterns)</v>
      </c>
      <c r="I429" s="3"/>
    </row>
    <row r="430" spans="1:9" ht="10.5" customHeight="1">
      <c r="A430" s="3" t="s">
        <v>639</v>
      </c>
      <c r="B430" s="3" t="s">
        <v>640</v>
      </c>
      <c r="C430" s="3">
        <f>VLOOKUP(B430,LifeList!$E$2:$J$2038,6)</f>
        <v>18131</v>
      </c>
      <c r="D430" s="3" t="str">
        <f>VLOOKUP(B430,LifeList!$E$2:$G$2038,1)</f>
        <v>Black-headed Honeyeater</v>
      </c>
      <c r="E430" s="3" t="str">
        <f>VLOOKUP(B430,LifeList!$E$2:$G$2038,2)</f>
        <v>Méliphage à tête noire</v>
      </c>
      <c r="F430" s="3" t="str">
        <f>VLOOKUP(B430,LifeList!$E$2:$G$2038,3)</f>
        <v>Melithreptus affinis</v>
      </c>
      <c r="G430" s="3" t="str">
        <f>VLOOKUP(B430,LifeList!$E$2:$I$2038,4)</f>
        <v>Passeriformes</v>
      </c>
      <c r="H430" s="3" t="str">
        <f>VLOOKUP(B430,LifeList!$E$2:$I$2038,5)</f>
        <v>Meliphagidae (Honeyeaters)</v>
      </c>
      <c r="I430" s="3"/>
    </row>
    <row r="431" spans="1:9" ht="10.5" customHeight="1">
      <c r="A431" s="3" t="s">
        <v>641</v>
      </c>
      <c r="B431" s="3" t="s">
        <v>642</v>
      </c>
      <c r="C431" s="3">
        <f>VLOOKUP(B431,LifeList!$E$2:$J$2038,6)</f>
        <v>28303</v>
      </c>
      <c r="D431" s="3" t="str">
        <f>VLOOKUP(B431,LifeList!$E$2:$G$2038,1)</f>
        <v>Black-headed Nightingale-Thrush</v>
      </c>
      <c r="E431" s="3" t="str">
        <f>VLOOKUP(B431,LifeList!$E$2:$G$2038,2)</f>
        <v>Grive à tête noire</v>
      </c>
      <c r="F431" s="3" t="str">
        <f>VLOOKUP(B431,LifeList!$E$2:$G$2038,3)</f>
        <v>Catharus mexicanus</v>
      </c>
      <c r="G431" s="3" t="str">
        <f>VLOOKUP(B431,LifeList!$E$2:$I$2038,4)</f>
        <v>Passeriformes</v>
      </c>
      <c r="H431" s="3" t="str">
        <f>VLOOKUP(B431,LifeList!$E$2:$I$2038,5)</f>
        <v>Turdidae (Thrushes and Allies)</v>
      </c>
      <c r="I431" s="3"/>
    </row>
    <row r="432" spans="1:9" ht="10.5" customHeight="1">
      <c r="A432" s="3" t="s">
        <v>643</v>
      </c>
      <c r="B432" s="3" t="s">
        <v>644</v>
      </c>
      <c r="C432" s="3">
        <f>VLOOKUP(B432,LifeList!$E$2:$J$2038,6)</f>
        <v>35792</v>
      </c>
      <c r="D432" s="3" t="str">
        <f>VLOOKUP(B432,LifeList!$E$2:$G$2038,1)</f>
        <v>Black-headed Saltator</v>
      </c>
      <c r="E432" s="3" t="str">
        <f>VLOOKUP(B432,LifeList!$E$2:$G$2038,2)</f>
        <v>Saltator à tête noire</v>
      </c>
      <c r="F432" s="3" t="str">
        <f>VLOOKUP(B432,LifeList!$E$2:$G$2038,3)</f>
        <v>Saltator atriceps</v>
      </c>
      <c r="G432" s="3" t="str">
        <f>VLOOKUP(B432,LifeList!$E$2:$I$2038,4)</f>
        <v>Passeriformes</v>
      </c>
      <c r="H432" s="3" t="str">
        <f>VLOOKUP(B432,LifeList!$E$2:$I$2038,5)</f>
        <v>Thraupidae (Tanagers and Allies)</v>
      </c>
      <c r="I432" s="3"/>
    </row>
    <row r="433" spans="1:9" ht="10.5" customHeight="1">
      <c r="A433" s="3" t="s">
        <v>645</v>
      </c>
      <c r="B433" s="3" t="s">
        <v>644</v>
      </c>
      <c r="C433" s="3">
        <f>VLOOKUP(B433,LifeList!$E$2:$J$2038,6)</f>
        <v>35792</v>
      </c>
      <c r="D433" s="3" t="str">
        <f>VLOOKUP(B433,LifeList!$E$2:$G$2038,1)</f>
        <v>Black-headed Saltator</v>
      </c>
      <c r="E433" s="3" t="str">
        <f>VLOOKUP(B433,LifeList!$E$2:$G$2038,2)</f>
        <v>Saltator à tête noire</v>
      </c>
      <c r="F433" s="3" t="str">
        <f>VLOOKUP(B433,LifeList!$E$2:$G$2038,3)</f>
        <v>Saltator atriceps</v>
      </c>
      <c r="G433" s="3" t="str">
        <f>VLOOKUP(B433,LifeList!$E$2:$I$2038,4)</f>
        <v>Passeriformes</v>
      </c>
      <c r="H433" s="3" t="str">
        <f>VLOOKUP(B433,LifeList!$E$2:$I$2038,5)</f>
        <v>Thraupidae (Tanagers and Allies)</v>
      </c>
      <c r="I433" s="3"/>
    </row>
    <row r="434" spans="1:9" ht="10.5" customHeight="1">
      <c r="A434" s="3" t="s">
        <v>646</v>
      </c>
      <c r="B434" s="3" t="s">
        <v>647</v>
      </c>
      <c r="C434" s="3">
        <f>VLOOKUP(B434,LifeList!$E$2:$J$2038,6)</f>
        <v>16440</v>
      </c>
      <c r="D434" s="3" t="str">
        <f>VLOOKUP(B434,LifeList!$E$2:$G$2038,1)</f>
        <v>Black-headed Tody-Flycatcher</v>
      </c>
      <c r="E434" s="3" t="str">
        <f>VLOOKUP(B434,LifeList!$E$2:$G$2038,2)</f>
        <v>Todirostre à tête noire</v>
      </c>
      <c r="F434" s="3" t="str">
        <f>VLOOKUP(B434,LifeList!$E$2:$G$2038,3)</f>
        <v>Todirostrum nigriceps</v>
      </c>
      <c r="G434" s="3" t="str">
        <f>VLOOKUP(B434,LifeList!$E$2:$I$2038,4)</f>
        <v>Passeriformes</v>
      </c>
      <c r="H434" s="3" t="str">
        <f>VLOOKUP(B434,LifeList!$E$2:$I$2038,5)</f>
        <v>Tyrannidae (Tyrant Flycatchers)</v>
      </c>
      <c r="I434" s="3"/>
    </row>
    <row r="435" spans="1:9" ht="10.5" customHeight="1">
      <c r="A435" s="3" t="s">
        <v>648</v>
      </c>
      <c r="B435" s="3" t="s">
        <v>647</v>
      </c>
      <c r="C435" s="3">
        <f>VLOOKUP(B435,LifeList!$E$2:$J$2038,6)</f>
        <v>16440</v>
      </c>
      <c r="D435" s="3" t="str">
        <f>VLOOKUP(B435,LifeList!$E$2:$G$2038,1)</f>
        <v>Black-headed Tody-Flycatcher</v>
      </c>
      <c r="E435" s="3" t="str">
        <f>VLOOKUP(B435,LifeList!$E$2:$G$2038,2)</f>
        <v>Todirostre à tête noire</v>
      </c>
      <c r="F435" s="3" t="str">
        <f>VLOOKUP(B435,LifeList!$E$2:$G$2038,3)</f>
        <v>Todirostrum nigriceps</v>
      </c>
      <c r="G435" s="3" t="str">
        <f>VLOOKUP(B435,LifeList!$E$2:$I$2038,4)</f>
        <v>Passeriformes</v>
      </c>
      <c r="H435" s="3" t="str">
        <f>VLOOKUP(B435,LifeList!$E$2:$I$2038,5)</f>
        <v>Tyrannidae (Tyrant Flycatchers)</v>
      </c>
      <c r="I435" s="3"/>
    </row>
    <row r="436" spans="1:9" ht="10.5" customHeight="1">
      <c r="A436" s="3" t="s">
        <v>649</v>
      </c>
      <c r="B436" s="3" t="s">
        <v>650</v>
      </c>
      <c r="C436" s="3">
        <f>VLOOKUP(B436,LifeList!$E$2:$J$2038,6)</f>
        <v>28667</v>
      </c>
      <c r="D436" s="3" t="str">
        <f>VLOOKUP(B436,LifeList!$E$2:$G$2038,1)</f>
        <v>Black-hooded Thrush</v>
      </c>
      <c r="E436" s="3" t="str">
        <f>VLOOKUP(B436,LifeList!$E$2:$G$2038,2)</f>
        <v>Merle à froc noir</v>
      </c>
      <c r="F436" s="3" t="str">
        <f>VLOOKUP(B436,LifeList!$E$2:$G$2038,3)</f>
        <v>Turdus olivater</v>
      </c>
      <c r="G436" s="3" t="str">
        <f>VLOOKUP(B436,LifeList!$E$2:$I$2038,4)</f>
        <v>Passeriformes</v>
      </c>
      <c r="H436" s="3" t="str">
        <f>VLOOKUP(B436,LifeList!$E$2:$I$2038,5)</f>
        <v>Turdidae (Thrushes and Allies)</v>
      </c>
      <c r="I436" s="3"/>
    </row>
    <row r="437" spans="1:9" ht="10.5" customHeight="1">
      <c r="A437" s="3" t="s">
        <v>651</v>
      </c>
      <c r="B437" s="3" t="s">
        <v>652</v>
      </c>
      <c r="C437" s="3">
        <f>VLOOKUP(B437,LifeList!$E$2:$J$2038,6)</f>
        <v>6449</v>
      </c>
      <c r="D437" s="3" t="str">
        <f>VLOOKUP(B437,LifeList!$E$2:$G$2038,1)</f>
        <v>Black-legged Kittiwake</v>
      </c>
      <c r="E437" s="3" t="str">
        <f>VLOOKUP(B437,LifeList!$E$2:$G$2038,2)</f>
        <v>Mouette tridactyle</v>
      </c>
      <c r="F437" s="3" t="str">
        <f>VLOOKUP(B437,LifeList!$E$2:$G$2038,3)</f>
        <v>Rissa tridactyla</v>
      </c>
      <c r="G437" s="3" t="str">
        <f>VLOOKUP(B437,LifeList!$E$2:$I$2038,4)</f>
        <v>Charadriiformes</v>
      </c>
      <c r="H437" s="3" t="str">
        <f>VLOOKUP(B437,LifeList!$E$2:$I$2038,5)</f>
        <v>Laridae (Gulls, Terns, and Skimmers)</v>
      </c>
      <c r="I437" s="3"/>
    </row>
    <row r="438" spans="1:9" ht="10.5" customHeight="1">
      <c r="A438" s="3" t="s">
        <v>653</v>
      </c>
      <c r="B438" s="3" t="s">
        <v>654</v>
      </c>
      <c r="C438" s="3">
        <f>VLOOKUP(B438,LifeList!$E$2:$J$2038,6)</f>
        <v>5770</v>
      </c>
      <c r="D438" s="3" t="str">
        <f>VLOOKUP(B438,LifeList!$E$2:$G$2038,1)</f>
        <v>Black-necked Stilt</v>
      </c>
      <c r="E438" s="3" t="str">
        <f>VLOOKUP(B438,LifeList!$E$2:$G$2038,2)</f>
        <v>Échasse d'Amérique</v>
      </c>
      <c r="F438" s="3" t="str">
        <f>VLOOKUP(B438,LifeList!$E$2:$G$2038,3)</f>
        <v>Himantopus mexicanus</v>
      </c>
      <c r="G438" s="3" t="str">
        <f>VLOOKUP(B438,LifeList!$E$2:$I$2038,4)</f>
        <v>Charadriiformes</v>
      </c>
      <c r="H438" s="3" t="str">
        <f>VLOOKUP(B438,LifeList!$E$2:$I$2038,5)</f>
        <v>Recurvirostridae (Stilts and Avocets)</v>
      </c>
      <c r="I438" s="3"/>
    </row>
    <row r="439" spans="1:9" ht="10.5" customHeight="1">
      <c r="A439" s="3" t="s">
        <v>655</v>
      </c>
      <c r="B439" s="3" t="s">
        <v>654</v>
      </c>
      <c r="C439" s="3">
        <f>VLOOKUP(B439,LifeList!$E$2:$J$2038,6)</f>
        <v>5770</v>
      </c>
      <c r="D439" s="3" t="str">
        <f>VLOOKUP(B439,LifeList!$E$2:$G$2038,1)</f>
        <v>Black-necked Stilt</v>
      </c>
      <c r="E439" s="3" t="str">
        <f>VLOOKUP(B439,LifeList!$E$2:$G$2038,2)</f>
        <v>Échasse d'Amérique</v>
      </c>
      <c r="F439" s="3" t="str">
        <f>VLOOKUP(B439,LifeList!$E$2:$G$2038,3)</f>
        <v>Himantopus mexicanus</v>
      </c>
      <c r="G439" s="3" t="str">
        <f>VLOOKUP(B439,LifeList!$E$2:$I$2038,4)</f>
        <v>Charadriiformes</v>
      </c>
      <c r="H439" s="3" t="str">
        <f>VLOOKUP(B439,LifeList!$E$2:$I$2038,5)</f>
        <v>Recurvirostridae (Stilts and Avocets)</v>
      </c>
      <c r="I439" s="3"/>
    </row>
    <row r="440" spans="1:9" ht="10.5" customHeight="1">
      <c r="A440" s="3" t="s">
        <v>656</v>
      </c>
      <c r="B440" s="3" t="s">
        <v>654</v>
      </c>
      <c r="C440" s="3">
        <f>VLOOKUP(B440,LifeList!$E$2:$J$2038,6)</f>
        <v>5770</v>
      </c>
      <c r="D440" s="3" t="str">
        <f>VLOOKUP(B440,LifeList!$E$2:$G$2038,1)</f>
        <v>Black-necked Stilt</v>
      </c>
      <c r="E440" s="3" t="str">
        <f>VLOOKUP(B440,LifeList!$E$2:$G$2038,2)</f>
        <v>Échasse d'Amérique</v>
      </c>
      <c r="F440" s="3" t="str">
        <f>VLOOKUP(B440,LifeList!$E$2:$G$2038,3)</f>
        <v>Himantopus mexicanus</v>
      </c>
      <c r="G440" s="3" t="str">
        <f>VLOOKUP(B440,LifeList!$E$2:$I$2038,4)</f>
        <v>Charadriiformes</v>
      </c>
      <c r="H440" s="3" t="str">
        <f>VLOOKUP(B440,LifeList!$E$2:$I$2038,5)</f>
        <v>Recurvirostridae (Stilts and Avocets)</v>
      </c>
      <c r="I440" s="3"/>
    </row>
    <row r="441" spans="1:9" ht="10.5" customHeight="1">
      <c r="A441" s="3" t="s">
        <v>657</v>
      </c>
      <c r="B441" s="3" t="s">
        <v>654</v>
      </c>
      <c r="C441" s="3">
        <f>VLOOKUP(B441,LifeList!$E$2:$J$2038,6)</f>
        <v>5770</v>
      </c>
      <c r="D441" s="3" t="str">
        <f>VLOOKUP(B441,LifeList!$E$2:$G$2038,1)</f>
        <v>Black-necked Stilt</v>
      </c>
      <c r="E441" s="3" t="str">
        <f>VLOOKUP(B441,LifeList!$E$2:$G$2038,2)</f>
        <v>Échasse d'Amérique</v>
      </c>
      <c r="F441" s="3" t="str">
        <f>VLOOKUP(B441,LifeList!$E$2:$G$2038,3)</f>
        <v>Himantopus mexicanus</v>
      </c>
      <c r="G441" s="3" t="str">
        <f>VLOOKUP(B441,LifeList!$E$2:$I$2038,4)</f>
        <v>Charadriiformes</v>
      </c>
      <c r="H441" s="3" t="str">
        <f>VLOOKUP(B441,LifeList!$E$2:$I$2038,5)</f>
        <v>Recurvirostridae (Stilts and Avocets)</v>
      </c>
      <c r="I441" s="3"/>
    </row>
    <row r="442" spans="1:9" ht="10.5" customHeight="1">
      <c r="A442" s="3" t="s">
        <v>658</v>
      </c>
      <c r="B442" s="3" t="s">
        <v>654</v>
      </c>
      <c r="C442" s="3">
        <f>VLOOKUP(B442,LifeList!$E$2:$J$2038,6)</f>
        <v>5770</v>
      </c>
      <c r="D442" s="3" t="str">
        <f>VLOOKUP(B442,LifeList!$E$2:$G$2038,1)</f>
        <v>Black-necked Stilt</v>
      </c>
      <c r="E442" s="3" t="str">
        <f>VLOOKUP(B442,LifeList!$E$2:$G$2038,2)</f>
        <v>Échasse d'Amérique</v>
      </c>
      <c r="F442" s="3" t="str">
        <f>VLOOKUP(B442,LifeList!$E$2:$G$2038,3)</f>
        <v>Himantopus mexicanus</v>
      </c>
      <c r="G442" s="3" t="str">
        <f>VLOOKUP(B442,LifeList!$E$2:$I$2038,4)</f>
        <v>Charadriiformes</v>
      </c>
      <c r="H442" s="3" t="str">
        <f>VLOOKUP(B442,LifeList!$E$2:$I$2038,5)</f>
        <v>Recurvirostridae (Stilts and Avocets)</v>
      </c>
      <c r="I442" s="3"/>
    </row>
    <row r="443" spans="1:9" ht="10.5" customHeight="1">
      <c r="A443" s="3" t="s">
        <v>659</v>
      </c>
      <c r="B443" s="3" t="s">
        <v>654</v>
      </c>
      <c r="C443" s="3">
        <f>VLOOKUP(B443,LifeList!$E$2:$J$2038,6)</f>
        <v>5770</v>
      </c>
      <c r="D443" s="3" t="str">
        <f>VLOOKUP(B443,LifeList!$E$2:$G$2038,1)</f>
        <v>Black-necked Stilt</v>
      </c>
      <c r="E443" s="3" t="str">
        <f>VLOOKUP(B443,LifeList!$E$2:$G$2038,2)</f>
        <v>Échasse d'Amérique</v>
      </c>
      <c r="F443" s="3" t="str">
        <f>VLOOKUP(B443,LifeList!$E$2:$G$2038,3)</f>
        <v>Himantopus mexicanus</v>
      </c>
      <c r="G443" s="3" t="str">
        <f>VLOOKUP(B443,LifeList!$E$2:$I$2038,4)</f>
        <v>Charadriiformes</v>
      </c>
      <c r="H443" s="3" t="str">
        <f>VLOOKUP(B443,LifeList!$E$2:$I$2038,5)</f>
        <v>Recurvirostridae (Stilts and Avocets)</v>
      </c>
      <c r="I443" s="3"/>
    </row>
    <row r="444" spans="1:9" ht="10.5" customHeight="1">
      <c r="A444" s="3" t="s">
        <v>660</v>
      </c>
      <c r="B444" s="3" t="s">
        <v>654</v>
      </c>
      <c r="C444" s="3">
        <f>VLOOKUP(B444,LifeList!$E$2:$J$2038,6)</f>
        <v>5770</v>
      </c>
      <c r="D444" s="3" t="str">
        <f>VLOOKUP(B444,LifeList!$E$2:$G$2038,1)</f>
        <v>Black-necked Stilt</v>
      </c>
      <c r="E444" s="3" t="str">
        <f>VLOOKUP(B444,LifeList!$E$2:$G$2038,2)</f>
        <v>Échasse d'Amérique</v>
      </c>
      <c r="F444" s="3" t="str">
        <f>VLOOKUP(B444,LifeList!$E$2:$G$2038,3)</f>
        <v>Himantopus mexicanus</v>
      </c>
      <c r="G444" s="3" t="str">
        <f>VLOOKUP(B444,LifeList!$E$2:$I$2038,4)</f>
        <v>Charadriiformes</v>
      </c>
      <c r="H444" s="3" t="str">
        <f>VLOOKUP(B444,LifeList!$E$2:$I$2038,5)</f>
        <v>Recurvirostridae (Stilts and Avocets)</v>
      </c>
      <c r="I444" s="3"/>
    </row>
    <row r="445" spans="1:9" ht="10.5" customHeight="1">
      <c r="A445" s="3" t="s">
        <v>661</v>
      </c>
      <c r="B445" s="3" t="s">
        <v>662</v>
      </c>
      <c r="C445" s="3">
        <f>VLOOKUP(B445,LifeList!$E$2:$J$2038,6)</f>
        <v>7852</v>
      </c>
      <c r="D445" s="3" t="str">
        <f>VLOOKUP(B445,LifeList!$E$2:$G$2038,1)</f>
        <v>Black-shouldered Kite</v>
      </c>
      <c r="E445" s="3" t="str">
        <f>VLOOKUP(B445,LifeList!$E$2:$G$2038,2)</f>
        <v>Élanion d'Australie</v>
      </c>
      <c r="F445" s="3" t="str">
        <f>VLOOKUP(B445,LifeList!$E$2:$G$2038,3)</f>
        <v>Elanus axillaris</v>
      </c>
      <c r="G445" s="3" t="str">
        <f>VLOOKUP(B445,LifeList!$E$2:$I$2038,4)</f>
        <v>Accipitriformes</v>
      </c>
      <c r="H445" s="3" t="str">
        <f>VLOOKUP(B445,LifeList!$E$2:$I$2038,5)</f>
        <v>Accipitridae (Hawks, Eagles, and Kites)</v>
      </c>
      <c r="I445" s="3"/>
    </row>
    <row r="446" spans="1:9" ht="10.5" customHeight="1">
      <c r="A446" s="3" t="s">
        <v>663</v>
      </c>
      <c r="B446" s="3" t="s">
        <v>664</v>
      </c>
      <c r="C446" s="3">
        <f>VLOOKUP(B446,LifeList!$E$2:$J$2038,6)</f>
        <v>32982</v>
      </c>
      <c r="D446" s="3" t="str">
        <f>VLOOKUP(B446,LifeList!$E$2:$G$2038,1)</f>
        <v>Black-striped Sparrow</v>
      </c>
      <c r="E446" s="3" t="str">
        <f>VLOOKUP(B446,LifeList!$E$2:$G$2038,2)</f>
        <v>Tohi ligné</v>
      </c>
      <c r="F446" s="3" t="str">
        <f>VLOOKUP(B446,LifeList!$E$2:$G$2038,3)</f>
        <v>Arremonops conirostris</v>
      </c>
      <c r="G446" s="3" t="str">
        <f>VLOOKUP(B446,LifeList!$E$2:$I$2038,4)</f>
        <v>Passeriformes</v>
      </c>
      <c r="H446" s="3" t="str">
        <f>VLOOKUP(B446,LifeList!$E$2:$I$2038,5)</f>
        <v>Passerellidae (New World Sparrows)</v>
      </c>
      <c r="I446" s="3"/>
    </row>
    <row r="447" spans="1:9" ht="10.5" customHeight="1">
      <c r="A447" s="3" t="s">
        <v>665</v>
      </c>
      <c r="B447" s="3" t="s">
        <v>664</v>
      </c>
      <c r="C447" s="3">
        <f>VLOOKUP(B447,LifeList!$E$2:$J$2038,6)</f>
        <v>32982</v>
      </c>
      <c r="D447" s="3" t="str">
        <f>VLOOKUP(B447,LifeList!$E$2:$G$2038,1)</f>
        <v>Black-striped Sparrow</v>
      </c>
      <c r="E447" s="3" t="str">
        <f>VLOOKUP(B447,LifeList!$E$2:$G$2038,2)</f>
        <v>Tohi ligné</v>
      </c>
      <c r="F447" s="3" t="str">
        <f>VLOOKUP(B447,LifeList!$E$2:$G$2038,3)</f>
        <v>Arremonops conirostris</v>
      </c>
      <c r="G447" s="3" t="str">
        <f>VLOOKUP(B447,LifeList!$E$2:$I$2038,4)</f>
        <v>Passeriformes</v>
      </c>
      <c r="H447" s="3" t="str">
        <f>VLOOKUP(B447,LifeList!$E$2:$I$2038,5)</f>
        <v>Passerellidae (New World Sparrows)</v>
      </c>
      <c r="I447" s="3"/>
    </row>
    <row r="448" spans="1:9" ht="10.5" customHeight="1">
      <c r="A448" s="3" t="s">
        <v>666</v>
      </c>
      <c r="B448" s="3" t="s">
        <v>664</v>
      </c>
      <c r="C448" s="3">
        <f>VLOOKUP(B448,LifeList!$E$2:$J$2038,6)</f>
        <v>32982</v>
      </c>
      <c r="D448" s="3" t="str">
        <f>VLOOKUP(B448,LifeList!$E$2:$G$2038,1)</f>
        <v>Black-striped Sparrow</v>
      </c>
      <c r="E448" s="3" t="str">
        <f>VLOOKUP(B448,LifeList!$E$2:$G$2038,2)</f>
        <v>Tohi ligné</v>
      </c>
      <c r="F448" s="3" t="str">
        <f>VLOOKUP(B448,LifeList!$E$2:$G$2038,3)</f>
        <v>Arremonops conirostris</v>
      </c>
      <c r="G448" s="3" t="str">
        <f>VLOOKUP(B448,LifeList!$E$2:$I$2038,4)</f>
        <v>Passeriformes</v>
      </c>
      <c r="H448" s="3" t="str">
        <f>VLOOKUP(B448,LifeList!$E$2:$I$2038,5)</f>
        <v>Passerellidae (New World Sparrows)</v>
      </c>
      <c r="I448" s="3"/>
    </row>
    <row r="449" spans="1:9" ht="10.5" customHeight="1">
      <c r="A449" s="3" t="s">
        <v>667</v>
      </c>
      <c r="B449" s="3" t="s">
        <v>668</v>
      </c>
      <c r="C449" s="3">
        <f>VLOOKUP(B449,LifeList!$E$2:$J$2038,6)</f>
        <v>14853</v>
      </c>
      <c r="D449" s="3" t="str">
        <f>VLOOKUP(B449,LifeList!$E$2:$G$2038,1)</f>
        <v>Black-striped Woodcreeper</v>
      </c>
      <c r="E449" s="3" t="str">
        <f>VLOOKUP(B449,LifeList!$E$2:$G$2038,2)</f>
        <v>Grimpar maillé</v>
      </c>
      <c r="F449" s="3" t="str">
        <f>VLOOKUP(B449,LifeList!$E$2:$G$2038,3)</f>
        <v>Xiphorhynchus lachrymosus</v>
      </c>
      <c r="G449" s="3" t="str">
        <f>VLOOKUP(B449,LifeList!$E$2:$I$2038,4)</f>
        <v>Passeriformes</v>
      </c>
      <c r="H449" s="3" t="str">
        <f>VLOOKUP(B449,LifeList!$E$2:$I$2038,5)</f>
        <v>Furnariidae (Ovenbirds and Woodcreepers)</v>
      </c>
      <c r="I449" s="3"/>
    </row>
    <row r="450" spans="1:9" ht="10.5" customHeight="1">
      <c r="A450" s="5" t="s">
        <v>669</v>
      </c>
      <c r="B450" s="3" t="s">
        <v>670</v>
      </c>
      <c r="C450" s="6">
        <f>VLOOKUP(B450,LifeList!$E$2:$J$2038,6)</f>
        <v>5448</v>
      </c>
      <c r="D450" s="3" t="str">
        <f>VLOOKUP(B450,LifeList!$E$2:$G$2038,1)</f>
        <v>Black-tailed Nativehen</v>
      </c>
      <c r="E450" s="3" t="str">
        <f>VLOOKUP(B450,LifeList!$E$2:$G$2038,2)</f>
        <v>Gallinule aborigène</v>
      </c>
      <c r="F450" s="3" t="str">
        <f>VLOOKUP(B450,LifeList!$E$2:$G$2038,3)</f>
        <v>Tribonyx ventralis</v>
      </c>
      <c r="G450" s="3" t="str">
        <f>VLOOKUP(B450,LifeList!$E$2:$I$2038,4)</f>
        <v>Gruiformes</v>
      </c>
      <c r="H450" s="3" t="str">
        <f>VLOOKUP(B450,LifeList!$E$2:$I$2038,5)</f>
        <v>Rallidae (Rails, Gallinules, and Coots)</v>
      </c>
      <c r="I450" s="3"/>
    </row>
    <row r="451" spans="1:9" ht="10.5" customHeight="1">
      <c r="A451" s="5" t="s">
        <v>671</v>
      </c>
      <c r="B451" s="3" t="s">
        <v>672</v>
      </c>
      <c r="C451" s="6">
        <f>VLOOKUP(B451,LifeList!$E$2:$J$2038,6)</f>
        <v>31275</v>
      </c>
      <c r="D451" s="3" t="str">
        <f>VLOOKUP(B451,LifeList!$E$2:$G$2038,1)</f>
        <v>Black-tailed Waxbill</v>
      </c>
      <c r="E451" s="3" t="str">
        <f>VLOOKUP(B451,LifeList!$E$2:$G$2038,2)</f>
        <v>Astrild à queue noire</v>
      </c>
      <c r="F451" s="3" t="str">
        <f>VLOOKUP(B451,LifeList!$E$2:$G$2038,3)</f>
        <v>Glaucestrilda perreini</v>
      </c>
      <c r="G451" s="3" t="str">
        <f>VLOOKUP(B451,LifeList!$E$2:$I$2038,4)</f>
        <v>Passeriformes</v>
      </c>
      <c r="H451" s="3" t="str">
        <f>VLOOKUP(B451,LifeList!$E$2:$I$2038,5)</f>
        <v>Estrildidae (Waxbills and Allies)</v>
      </c>
      <c r="I451" s="3"/>
    </row>
    <row r="452" spans="1:9" ht="10.5" customHeight="1">
      <c r="A452" s="3" t="s">
        <v>673</v>
      </c>
      <c r="B452" s="3" t="s">
        <v>674</v>
      </c>
      <c r="C452" s="3">
        <f>VLOOKUP(B452,LifeList!$E$2:$J$2038,6)</f>
        <v>4502</v>
      </c>
      <c r="D452" s="3" t="str">
        <f>VLOOKUP(B452,LifeList!$E$2:$G$2038,1)</f>
        <v>Black-tailed Trainbearer</v>
      </c>
      <c r="E452" s="3" t="str">
        <f>VLOOKUP(B452,LifeList!$E$2:$G$2038,2)</f>
        <v>Porte-traîne lesbie</v>
      </c>
      <c r="F452" s="3" t="str">
        <f>VLOOKUP(B452,LifeList!$E$2:$G$2038,3)</f>
        <v>Lesbia victoriae</v>
      </c>
      <c r="G452" s="3" t="str">
        <f>VLOOKUP(B452,LifeList!$E$2:$I$2038,4)</f>
        <v>Apodiformes</v>
      </c>
      <c r="H452" s="3" t="str">
        <f>VLOOKUP(B452,LifeList!$E$2:$I$2038,5)</f>
        <v>Trochilidae (Hummingbirds)</v>
      </c>
      <c r="I452" s="3"/>
    </row>
    <row r="453" spans="1:9" ht="10.5" customHeight="1">
      <c r="A453" s="3" t="s">
        <v>675</v>
      </c>
      <c r="B453" s="3" t="s">
        <v>676</v>
      </c>
      <c r="C453" s="3">
        <f>VLOOKUP(B453,LifeList!$E$2:$J$2038,6)</f>
        <v>9529</v>
      </c>
      <c r="D453" s="3" t="str">
        <f>VLOOKUP(B453,LifeList!$E$2:$G$2038,1)</f>
        <v>Black-tailed Trogon</v>
      </c>
      <c r="E453" s="3" t="str">
        <f>VLOOKUP(B453,LifeList!$E$2:$G$2038,2)</f>
        <v>Trogon à queue noire</v>
      </c>
      <c r="F453" s="3" t="str">
        <f>VLOOKUP(B453,LifeList!$E$2:$G$2038,3)</f>
        <v>Trogon melanurus</v>
      </c>
      <c r="G453" s="3" t="str">
        <f>VLOOKUP(B453,LifeList!$E$2:$I$2038,4)</f>
        <v>Trogoniformes</v>
      </c>
      <c r="H453" s="3" t="str">
        <f>VLOOKUP(B453,LifeList!$E$2:$I$2038,5)</f>
        <v>Trogonidae (Trogons)</v>
      </c>
      <c r="I453" s="3"/>
    </row>
    <row r="454" spans="1:9" ht="10.5" customHeight="1">
      <c r="A454" s="3" t="s">
        <v>677</v>
      </c>
      <c r="B454" s="3" t="s">
        <v>676</v>
      </c>
      <c r="C454" s="3">
        <f>VLOOKUP(B454,LifeList!$E$2:$J$2038,6)</f>
        <v>9529</v>
      </c>
      <c r="D454" s="3" t="str">
        <f>VLOOKUP(B454,LifeList!$E$2:$G$2038,1)</f>
        <v>Black-tailed Trogon</v>
      </c>
      <c r="E454" s="3" t="str">
        <f>VLOOKUP(B454,LifeList!$E$2:$G$2038,2)</f>
        <v>Trogon à queue noire</v>
      </c>
      <c r="F454" s="3" t="str">
        <f>VLOOKUP(B454,LifeList!$E$2:$G$2038,3)</f>
        <v>Trogon melanurus</v>
      </c>
      <c r="G454" s="3" t="str">
        <f>VLOOKUP(B454,LifeList!$E$2:$I$2038,4)</f>
        <v>Trogoniformes</v>
      </c>
      <c r="H454" s="3" t="str">
        <f>VLOOKUP(B454,LifeList!$E$2:$I$2038,5)</f>
        <v>Trogonidae (Trogons)</v>
      </c>
      <c r="I454" s="3"/>
    </row>
    <row r="455" spans="1:9" ht="10.5" customHeight="1">
      <c r="A455" s="5" t="s">
        <v>678</v>
      </c>
      <c r="B455" s="3" t="s">
        <v>679</v>
      </c>
      <c r="C455" s="6">
        <f>VLOOKUP(B455,LifeList!$E$2:$J$2038,6)</f>
        <v>4586</v>
      </c>
      <c r="D455" s="3" t="str">
        <f>VLOOKUP(B455,LifeList!$E$2:$G$2038,1)</f>
        <v>Black-thighed Puffleg</v>
      </c>
      <c r="E455" s="3" t="str">
        <f>VLOOKUP(B455,LifeList!$E$2:$G$2038,2)</f>
        <v>Érione de Derby</v>
      </c>
      <c r="F455" s="3" t="str">
        <f>VLOOKUP(B455,LifeList!$E$2:$G$2038,3)</f>
        <v>Eriocnemis derbyi</v>
      </c>
      <c r="G455" s="3" t="str">
        <f>VLOOKUP(B455,LifeList!$E$2:$I$2038,4)</f>
        <v>Apodiformes</v>
      </c>
      <c r="H455" s="3" t="str">
        <f>VLOOKUP(B455,LifeList!$E$2:$I$2038,5)</f>
        <v>Trochilidae (Hummingbirds)</v>
      </c>
      <c r="I455" s="3"/>
    </row>
    <row r="456" spans="1:9" ht="10.5" customHeight="1">
      <c r="A456" s="3" t="s">
        <v>680</v>
      </c>
      <c r="B456" s="3" t="s">
        <v>681</v>
      </c>
      <c r="C456" s="3">
        <f>VLOOKUP(B456,LifeList!$E$2:$J$2038,6)</f>
        <v>34549</v>
      </c>
      <c r="D456" s="3" t="str">
        <f>VLOOKUP(B456,LifeList!$E$2:$G$2038,1)</f>
        <v>Black-thighed Grosbeak</v>
      </c>
      <c r="E456" s="3" t="str">
        <f>VLOOKUP(B456,LifeList!$E$2:$G$2038,2)</f>
        <v>Cardinal à cuisses noires</v>
      </c>
      <c r="F456" s="3" t="str">
        <f>VLOOKUP(B456,LifeList!$E$2:$G$2038,3)</f>
        <v>Pheucticus tibialis</v>
      </c>
      <c r="G456" s="3" t="str">
        <f>VLOOKUP(B456,LifeList!$E$2:$I$2038,4)</f>
        <v>Passeriformes</v>
      </c>
      <c r="H456" s="3" t="str">
        <f>VLOOKUP(B456,LifeList!$E$2:$I$2038,5)</f>
        <v>Cardinalidae (Cardinals and Allies)</v>
      </c>
      <c r="I456" s="3"/>
    </row>
    <row r="457" spans="1:9" ht="10.5" customHeight="1">
      <c r="A457" s="3" t="s">
        <v>682</v>
      </c>
      <c r="B457" s="3" t="s">
        <v>681</v>
      </c>
      <c r="C457" s="3">
        <f>VLOOKUP(B457,LifeList!$E$2:$J$2038,6)</f>
        <v>34549</v>
      </c>
      <c r="D457" s="3" t="str">
        <f>VLOOKUP(B457,LifeList!$E$2:$G$2038,1)</f>
        <v>Black-thighed Grosbeak</v>
      </c>
      <c r="E457" s="3" t="str">
        <f>VLOOKUP(B457,LifeList!$E$2:$G$2038,2)</f>
        <v>Cardinal à cuisses noires</v>
      </c>
      <c r="F457" s="3" t="str">
        <f>VLOOKUP(B457,LifeList!$E$2:$G$2038,3)</f>
        <v>Pheucticus tibialis</v>
      </c>
      <c r="G457" s="3" t="str">
        <f>VLOOKUP(B457,LifeList!$E$2:$I$2038,4)</f>
        <v>Passeriformes</v>
      </c>
      <c r="H457" s="3" t="str">
        <f>VLOOKUP(B457,LifeList!$E$2:$I$2038,5)</f>
        <v>Cardinalidae (Cardinals and Allies)</v>
      </c>
      <c r="I457" s="3"/>
    </row>
    <row r="458" spans="1:9" ht="10.5" customHeight="1">
      <c r="A458" s="3" t="s">
        <v>683</v>
      </c>
      <c r="B458" s="3" t="s">
        <v>684</v>
      </c>
      <c r="C458" s="3">
        <f>VLOOKUP(B458,LifeList!$E$2:$J$2038,6)</f>
        <v>34218</v>
      </c>
      <c r="D458" s="3" t="str">
        <f>VLOOKUP(B458,LifeList!$E$2:$G$2038,1)</f>
        <v>Black-throated Green Warbler</v>
      </c>
      <c r="E458" s="3" t="str">
        <f>VLOOKUP(B458,LifeList!$E$2:$G$2038,2)</f>
        <v>Paruline à gorge noire</v>
      </c>
      <c r="F458" s="3" t="str">
        <f>VLOOKUP(B458,LifeList!$E$2:$G$2038,3)</f>
        <v>Setophaga virens</v>
      </c>
      <c r="G458" s="3" t="str">
        <f>VLOOKUP(B458,LifeList!$E$2:$I$2038,4)</f>
        <v>Passeriformes</v>
      </c>
      <c r="H458" s="3" t="str">
        <f>VLOOKUP(B458,LifeList!$E$2:$I$2038,5)</f>
        <v>Parulidae (New World Warblers)</v>
      </c>
      <c r="I458" s="3"/>
    </row>
    <row r="459" spans="1:9" ht="10.5" customHeight="1">
      <c r="A459" s="3" t="s">
        <v>685</v>
      </c>
      <c r="B459" s="3" t="s">
        <v>684</v>
      </c>
      <c r="C459" s="3">
        <f>VLOOKUP(B459,LifeList!$E$2:$J$2038,6)</f>
        <v>34218</v>
      </c>
      <c r="D459" s="3" t="str">
        <f>VLOOKUP(B459,LifeList!$E$2:$G$2038,1)</f>
        <v>Black-throated Green Warbler</v>
      </c>
      <c r="E459" s="3" t="str">
        <f>VLOOKUP(B459,LifeList!$E$2:$G$2038,2)</f>
        <v>Paruline à gorge noire</v>
      </c>
      <c r="F459" s="3" t="str">
        <f>VLOOKUP(B459,LifeList!$E$2:$G$2038,3)</f>
        <v>Setophaga virens</v>
      </c>
      <c r="G459" s="3" t="str">
        <f>VLOOKUP(B459,LifeList!$E$2:$I$2038,4)</f>
        <v>Passeriformes</v>
      </c>
      <c r="H459" s="3" t="str">
        <f>VLOOKUP(B459,LifeList!$E$2:$I$2038,5)</f>
        <v>Parulidae (New World Warblers)</v>
      </c>
      <c r="I459" s="3"/>
    </row>
    <row r="460" spans="1:9" ht="10.5" customHeight="1">
      <c r="A460" s="3" t="s">
        <v>686</v>
      </c>
      <c r="B460" s="3" t="s">
        <v>687</v>
      </c>
      <c r="C460" s="3">
        <f>VLOOKUP(B460,LifeList!$E$2:$J$2038,6)</f>
        <v>34141</v>
      </c>
      <c r="D460" s="3" t="str">
        <f>VLOOKUP(B460,LifeList!$E$2:$G$2038,1)</f>
        <v>Black-throated Blue Warbler</v>
      </c>
      <c r="E460" s="3" t="str">
        <f>VLOOKUP(B460,LifeList!$E$2:$G$2038,2)</f>
        <v>Paruline bleue</v>
      </c>
      <c r="F460" s="3" t="str">
        <f>VLOOKUP(B460,LifeList!$E$2:$G$2038,3)</f>
        <v>Setophaga caerulescens</v>
      </c>
      <c r="G460" s="3" t="str">
        <f>VLOOKUP(B460,LifeList!$E$2:$I$2038,4)</f>
        <v>Passeriformes</v>
      </c>
      <c r="H460" s="3" t="str">
        <f>VLOOKUP(B460,LifeList!$E$2:$I$2038,5)</f>
        <v>Parulidae (New World Warblers)</v>
      </c>
      <c r="I460" s="3"/>
    </row>
    <row r="461" spans="1:9" ht="10.5" customHeight="1">
      <c r="A461" s="3" t="s">
        <v>688</v>
      </c>
      <c r="B461" s="3" t="s">
        <v>687</v>
      </c>
      <c r="C461" s="3">
        <f>VLOOKUP(B461,LifeList!$E$2:$J$2038,6)</f>
        <v>34141</v>
      </c>
      <c r="D461" s="3" t="str">
        <f>VLOOKUP(B461,LifeList!$E$2:$G$2038,1)</f>
        <v>Black-throated Blue Warbler</v>
      </c>
      <c r="E461" s="3" t="str">
        <f>VLOOKUP(B461,LifeList!$E$2:$G$2038,2)</f>
        <v>Paruline bleue</v>
      </c>
      <c r="F461" s="3" t="str">
        <f>VLOOKUP(B461,LifeList!$E$2:$G$2038,3)</f>
        <v>Setophaga caerulescens</v>
      </c>
      <c r="G461" s="3" t="str">
        <f>VLOOKUP(B461,LifeList!$E$2:$I$2038,4)</f>
        <v>Passeriformes</v>
      </c>
      <c r="H461" s="3" t="str">
        <f>VLOOKUP(B461,LifeList!$E$2:$I$2038,5)</f>
        <v>Parulidae (New World Warblers)</v>
      </c>
      <c r="I461" s="3"/>
    </row>
    <row r="462" spans="1:9" ht="10.5" customHeight="1">
      <c r="A462" s="3" t="s">
        <v>689</v>
      </c>
      <c r="B462" s="3" t="s">
        <v>687</v>
      </c>
      <c r="C462" s="3">
        <f>VLOOKUP(B462,LifeList!$E$2:$J$2038,6)</f>
        <v>34141</v>
      </c>
      <c r="D462" s="3" t="str">
        <f>VLOOKUP(B462,LifeList!$E$2:$G$2038,1)</f>
        <v>Black-throated Blue Warbler</v>
      </c>
      <c r="E462" s="3" t="str">
        <f>VLOOKUP(B462,LifeList!$E$2:$G$2038,2)</f>
        <v>Paruline bleue</v>
      </c>
      <c r="F462" s="3" t="str">
        <f>VLOOKUP(B462,LifeList!$E$2:$G$2038,3)</f>
        <v>Setophaga caerulescens</v>
      </c>
      <c r="G462" s="3" t="str">
        <f>VLOOKUP(B462,LifeList!$E$2:$I$2038,4)</f>
        <v>Passeriformes</v>
      </c>
      <c r="H462" s="3" t="str">
        <f>VLOOKUP(B462,LifeList!$E$2:$I$2038,5)</f>
        <v>Parulidae (New World Warblers)</v>
      </c>
      <c r="I462" s="3"/>
    </row>
    <row r="463" spans="1:9" ht="10.5" customHeight="1">
      <c r="A463" s="3" t="s">
        <v>690</v>
      </c>
      <c r="B463" s="3" t="s">
        <v>687</v>
      </c>
      <c r="C463" s="3">
        <f>VLOOKUP(B463,LifeList!$E$2:$J$2038,6)</f>
        <v>34141</v>
      </c>
      <c r="D463" s="3" t="str">
        <f>VLOOKUP(B463,LifeList!$E$2:$G$2038,1)</f>
        <v>Black-throated Blue Warbler</v>
      </c>
      <c r="E463" s="3" t="str">
        <f>VLOOKUP(B463,LifeList!$E$2:$G$2038,2)</f>
        <v>Paruline bleue</v>
      </c>
      <c r="F463" s="3" t="str">
        <f>VLOOKUP(B463,LifeList!$E$2:$G$2038,3)</f>
        <v>Setophaga caerulescens</v>
      </c>
      <c r="G463" s="3" t="str">
        <f>VLOOKUP(B463,LifeList!$E$2:$I$2038,4)</f>
        <v>Passeriformes</v>
      </c>
      <c r="H463" s="3" t="str">
        <f>VLOOKUP(B463,LifeList!$E$2:$I$2038,5)</f>
        <v>Parulidae (New World Warblers)</v>
      </c>
      <c r="I463" s="3"/>
    </row>
    <row r="464" spans="1:9" ht="10.5" customHeight="1">
      <c r="A464" s="3" t="s">
        <v>691</v>
      </c>
      <c r="B464" s="3" t="s">
        <v>687</v>
      </c>
      <c r="C464" s="3">
        <f>VLOOKUP(B464,LifeList!$E$2:$J$2038,6)</f>
        <v>34141</v>
      </c>
      <c r="D464" s="3" t="str">
        <f>VLOOKUP(B464,LifeList!$E$2:$G$2038,1)</f>
        <v>Black-throated Blue Warbler</v>
      </c>
      <c r="E464" s="3" t="str">
        <f>VLOOKUP(B464,LifeList!$E$2:$G$2038,2)</f>
        <v>Paruline bleue</v>
      </c>
      <c r="F464" s="3" t="str">
        <f>VLOOKUP(B464,LifeList!$E$2:$G$2038,3)</f>
        <v>Setophaga caerulescens</v>
      </c>
      <c r="G464" s="3" t="str">
        <f>VLOOKUP(B464,LifeList!$E$2:$I$2038,4)</f>
        <v>Passeriformes</v>
      </c>
      <c r="H464" s="3" t="str">
        <f>VLOOKUP(B464,LifeList!$E$2:$I$2038,5)</f>
        <v>Parulidae (New World Warblers)</v>
      </c>
      <c r="I464" s="3"/>
    </row>
    <row r="465" spans="1:9" ht="10.5" customHeight="1">
      <c r="A465" s="3" t="s">
        <v>692</v>
      </c>
      <c r="B465" s="3" t="s">
        <v>687</v>
      </c>
      <c r="C465" s="3">
        <f>VLOOKUP(B465,LifeList!$E$2:$J$2038,6)</f>
        <v>34141</v>
      </c>
      <c r="D465" s="3" t="str">
        <f>VLOOKUP(B465,LifeList!$E$2:$G$2038,1)</f>
        <v>Black-throated Blue Warbler</v>
      </c>
      <c r="E465" s="3" t="str">
        <f>VLOOKUP(B465,LifeList!$E$2:$G$2038,2)</f>
        <v>Paruline bleue</v>
      </c>
      <c r="F465" s="3" t="str">
        <f>VLOOKUP(B465,LifeList!$E$2:$G$2038,3)</f>
        <v>Setophaga caerulescens</v>
      </c>
      <c r="G465" s="3" t="str">
        <f>VLOOKUP(B465,LifeList!$E$2:$I$2038,4)</f>
        <v>Passeriformes</v>
      </c>
      <c r="H465" s="3" t="str">
        <f>VLOOKUP(B465,LifeList!$E$2:$I$2038,5)</f>
        <v>Parulidae (New World Warblers)</v>
      </c>
      <c r="I465" s="3"/>
    </row>
    <row r="466" spans="1:9" ht="10.5" customHeight="1">
      <c r="A466" s="3" t="s">
        <v>693</v>
      </c>
      <c r="B466" s="3" t="s">
        <v>687</v>
      </c>
      <c r="C466" s="3">
        <f>VLOOKUP(B466,LifeList!$E$2:$J$2038,6)</f>
        <v>34141</v>
      </c>
      <c r="D466" s="3" t="str">
        <f>VLOOKUP(B466,LifeList!$E$2:$G$2038,1)</f>
        <v>Black-throated Blue Warbler</v>
      </c>
      <c r="E466" s="3" t="str">
        <f>VLOOKUP(B466,LifeList!$E$2:$G$2038,2)</f>
        <v>Paruline bleue</v>
      </c>
      <c r="F466" s="3" t="str">
        <f>VLOOKUP(B466,LifeList!$E$2:$G$2038,3)</f>
        <v>Setophaga caerulescens</v>
      </c>
      <c r="G466" s="3" t="str">
        <f>VLOOKUP(B466,LifeList!$E$2:$I$2038,4)</f>
        <v>Passeriformes</v>
      </c>
      <c r="H466" s="3" t="str">
        <f>VLOOKUP(B466,LifeList!$E$2:$I$2038,5)</f>
        <v>Parulidae (New World Warblers)</v>
      </c>
      <c r="I466" s="3"/>
    </row>
    <row r="467" spans="1:9" ht="10.5" customHeight="1">
      <c r="A467" s="3" t="s">
        <v>694</v>
      </c>
      <c r="B467" s="3" t="s">
        <v>687</v>
      </c>
      <c r="C467" s="3">
        <f>VLOOKUP(B467,LifeList!$E$2:$J$2038,6)</f>
        <v>34141</v>
      </c>
      <c r="D467" s="3" t="str">
        <f>VLOOKUP(B467,LifeList!$E$2:$G$2038,1)</f>
        <v>Black-throated Blue Warbler</v>
      </c>
      <c r="E467" s="3" t="str">
        <f>VLOOKUP(B467,LifeList!$E$2:$G$2038,2)</f>
        <v>Paruline bleue</v>
      </c>
      <c r="F467" s="3" t="str">
        <f>VLOOKUP(B467,LifeList!$E$2:$G$2038,3)</f>
        <v>Setophaga caerulescens</v>
      </c>
      <c r="G467" s="3" t="str">
        <f>VLOOKUP(B467,LifeList!$E$2:$I$2038,4)</f>
        <v>Passeriformes</v>
      </c>
      <c r="H467" s="3" t="str">
        <f>VLOOKUP(B467,LifeList!$E$2:$I$2038,5)</f>
        <v>Parulidae (New World Warblers)</v>
      </c>
      <c r="I467" s="3"/>
    </row>
    <row r="468" spans="1:9" ht="10.5" customHeight="1">
      <c r="A468" s="3" t="s">
        <v>695</v>
      </c>
      <c r="B468" s="3" t="s">
        <v>687</v>
      </c>
      <c r="C468" s="3">
        <f>VLOOKUP(B468,LifeList!$E$2:$J$2038,6)</f>
        <v>34141</v>
      </c>
      <c r="D468" s="3" t="str">
        <f>VLOOKUP(B468,LifeList!$E$2:$G$2038,1)</f>
        <v>Black-throated Blue Warbler</v>
      </c>
      <c r="E468" s="3" t="str">
        <f>VLOOKUP(B468,LifeList!$E$2:$G$2038,2)</f>
        <v>Paruline bleue</v>
      </c>
      <c r="F468" s="3" t="str">
        <f>VLOOKUP(B468,LifeList!$E$2:$G$2038,3)</f>
        <v>Setophaga caerulescens</v>
      </c>
      <c r="G468" s="3" t="str">
        <f>VLOOKUP(B468,LifeList!$E$2:$I$2038,4)</f>
        <v>Passeriformes</v>
      </c>
      <c r="H468" s="3" t="str">
        <f>VLOOKUP(B468,LifeList!$E$2:$I$2038,5)</f>
        <v>Parulidae (New World Warblers)</v>
      </c>
      <c r="I468" s="3"/>
    </row>
    <row r="469" spans="1:9" ht="10.5" customHeight="1">
      <c r="A469" s="3" t="s">
        <v>696</v>
      </c>
      <c r="B469" s="3" t="s">
        <v>687</v>
      </c>
      <c r="C469" s="3">
        <f>VLOOKUP(B469,LifeList!$E$2:$J$2038,6)</f>
        <v>34141</v>
      </c>
      <c r="D469" s="3" t="str">
        <f>VLOOKUP(B469,LifeList!$E$2:$G$2038,1)</f>
        <v>Black-throated Blue Warbler</v>
      </c>
      <c r="E469" s="3" t="str">
        <f>VLOOKUP(B469,LifeList!$E$2:$G$2038,2)</f>
        <v>Paruline bleue</v>
      </c>
      <c r="F469" s="3" t="str">
        <f>VLOOKUP(B469,LifeList!$E$2:$G$2038,3)</f>
        <v>Setophaga caerulescens</v>
      </c>
      <c r="G469" s="3" t="str">
        <f>VLOOKUP(B469,LifeList!$E$2:$I$2038,4)</f>
        <v>Passeriformes</v>
      </c>
      <c r="H469" s="3" t="str">
        <f>VLOOKUP(B469,LifeList!$E$2:$I$2038,5)</f>
        <v>Parulidae (New World Warblers)</v>
      </c>
      <c r="I469" s="3"/>
    </row>
    <row r="470" spans="1:9" ht="10.5" customHeight="1">
      <c r="A470" s="3" t="s">
        <v>697</v>
      </c>
      <c r="B470" s="3" t="s">
        <v>698</v>
      </c>
      <c r="C470" s="3">
        <f>VLOOKUP(B470,LifeList!$E$2:$J$2038,6)</f>
        <v>34200</v>
      </c>
      <c r="D470" s="3" t="str">
        <f>VLOOKUP(B470,LifeList!$E$2:$G$2038,1)</f>
        <v>Black-throated Gray Warbler</v>
      </c>
      <c r="E470" s="3" t="str">
        <f>VLOOKUP(B470,LifeList!$E$2:$G$2038,2)</f>
        <v>Paruline grise</v>
      </c>
      <c r="F470" s="3" t="str">
        <f>VLOOKUP(B470,LifeList!$E$2:$G$2038,3)</f>
        <v>Setophaga nigrescens</v>
      </c>
      <c r="G470" s="3" t="str">
        <f>VLOOKUP(B470,LifeList!$E$2:$I$2038,4)</f>
        <v>Passeriformes</v>
      </c>
      <c r="H470" s="3" t="str">
        <f>VLOOKUP(B470,LifeList!$E$2:$I$2038,5)</f>
        <v>Parulidae (New World Warblers)</v>
      </c>
      <c r="I470" s="3"/>
    </row>
    <row r="471" spans="1:9" ht="10.5" customHeight="1">
      <c r="A471" s="3" t="s">
        <v>699</v>
      </c>
      <c r="B471" s="3" t="s">
        <v>698</v>
      </c>
      <c r="C471" s="3">
        <f>VLOOKUP(B471,LifeList!$E$2:$J$2038,6)</f>
        <v>34200</v>
      </c>
      <c r="D471" s="3" t="str">
        <f>VLOOKUP(B471,LifeList!$E$2:$G$2038,1)</f>
        <v>Black-throated Gray Warbler</v>
      </c>
      <c r="E471" s="3" t="str">
        <f>VLOOKUP(B471,LifeList!$E$2:$G$2038,2)</f>
        <v>Paruline grise</v>
      </c>
      <c r="F471" s="3" t="str">
        <f>VLOOKUP(B471,LifeList!$E$2:$G$2038,3)</f>
        <v>Setophaga nigrescens</v>
      </c>
      <c r="G471" s="3" t="str">
        <f>VLOOKUP(B471,LifeList!$E$2:$I$2038,4)</f>
        <v>Passeriformes</v>
      </c>
      <c r="H471" s="3" t="str">
        <f>VLOOKUP(B471,LifeList!$E$2:$I$2038,5)</f>
        <v>Parulidae (New World Warblers)</v>
      </c>
      <c r="I471" s="3"/>
    </row>
    <row r="472" spans="1:9" ht="10.5" customHeight="1">
      <c r="A472" s="3" t="s">
        <v>700</v>
      </c>
      <c r="B472" s="3" t="s">
        <v>684</v>
      </c>
      <c r="C472" s="3">
        <f>VLOOKUP(B472,LifeList!$E$2:$J$2038,6)</f>
        <v>34218</v>
      </c>
      <c r="D472" s="3" t="str">
        <f>VLOOKUP(B472,LifeList!$E$2:$G$2038,1)</f>
        <v>Black-throated Green Warbler</v>
      </c>
      <c r="E472" s="3" t="str">
        <f>VLOOKUP(B472,LifeList!$E$2:$G$2038,2)</f>
        <v>Paruline à gorge noire</v>
      </c>
      <c r="F472" s="3" t="str">
        <f>VLOOKUP(B472,LifeList!$E$2:$G$2038,3)</f>
        <v>Setophaga virens</v>
      </c>
      <c r="G472" s="3" t="str">
        <f>VLOOKUP(B472,LifeList!$E$2:$I$2038,4)</f>
        <v>Passeriformes</v>
      </c>
      <c r="H472" s="3" t="str">
        <f>VLOOKUP(B472,LifeList!$E$2:$I$2038,5)</f>
        <v>Parulidae (New World Warblers)</v>
      </c>
      <c r="I472" s="3"/>
    </row>
    <row r="473" spans="1:9" ht="10.5" customHeight="1">
      <c r="A473" s="3" t="s">
        <v>701</v>
      </c>
      <c r="B473" s="3" t="s">
        <v>684</v>
      </c>
      <c r="C473" s="3">
        <f>VLOOKUP(B473,LifeList!$E$2:$J$2038,6)</f>
        <v>34218</v>
      </c>
      <c r="D473" s="3" t="str">
        <f>VLOOKUP(B473,LifeList!$E$2:$G$2038,1)</f>
        <v>Black-throated Green Warbler</v>
      </c>
      <c r="E473" s="3" t="str">
        <f>VLOOKUP(B473,LifeList!$E$2:$G$2038,2)</f>
        <v>Paruline à gorge noire</v>
      </c>
      <c r="F473" s="3" t="str">
        <f>VLOOKUP(B473,LifeList!$E$2:$G$2038,3)</f>
        <v>Setophaga virens</v>
      </c>
      <c r="G473" s="3" t="str">
        <f>VLOOKUP(B473,LifeList!$E$2:$I$2038,4)</f>
        <v>Passeriformes</v>
      </c>
      <c r="H473" s="3" t="str">
        <f>VLOOKUP(B473,LifeList!$E$2:$I$2038,5)</f>
        <v>Parulidae (New World Warblers)</v>
      </c>
      <c r="I473" s="3"/>
    </row>
    <row r="474" spans="1:9" ht="10.5" customHeight="1">
      <c r="A474" s="3" t="s">
        <v>702</v>
      </c>
      <c r="B474" s="3" t="s">
        <v>684</v>
      </c>
      <c r="C474" s="3">
        <f>VLOOKUP(B474,LifeList!$E$2:$J$2038,6)</f>
        <v>34218</v>
      </c>
      <c r="D474" s="3" t="str">
        <f>VLOOKUP(B474,LifeList!$E$2:$G$2038,1)</f>
        <v>Black-throated Green Warbler</v>
      </c>
      <c r="E474" s="3" t="str">
        <f>VLOOKUP(B474,LifeList!$E$2:$G$2038,2)</f>
        <v>Paruline à gorge noire</v>
      </c>
      <c r="F474" s="3" t="str">
        <f>VLOOKUP(B474,LifeList!$E$2:$G$2038,3)</f>
        <v>Setophaga virens</v>
      </c>
      <c r="G474" s="3" t="str">
        <f>VLOOKUP(B474,LifeList!$E$2:$I$2038,4)</f>
        <v>Passeriformes</v>
      </c>
      <c r="H474" s="3" t="str">
        <f>VLOOKUP(B474,LifeList!$E$2:$I$2038,5)</f>
        <v>Parulidae (New World Warblers)</v>
      </c>
      <c r="I474" s="3"/>
    </row>
    <row r="475" spans="1:9" ht="10.5" customHeight="1">
      <c r="A475" s="3" t="s">
        <v>703</v>
      </c>
      <c r="B475" s="3" t="s">
        <v>684</v>
      </c>
      <c r="C475" s="3">
        <f>VLOOKUP(B475,LifeList!$E$2:$J$2038,6)</f>
        <v>34218</v>
      </c>
      <c r="D475" s="3" t="str">
        <f>VLOOKUP(B475,LifeList!$E$2:$G$2038,1)</f>
        <v>Black-throated Green Warbler</v>
      </c>
      <c r="E475" s="3" t="str">
        <f>VLOOKUP(B475,LifeList!$E$2:$G$2038,2)</f>
        <v>Paruline à gorge noire</v>
      </c>
      <c r="F475" s="3" t="str">
        <f>VLOOKUP(B475,LifeList!$E$2:$G$2038,3)</f>
        <v>Setophaga virens</v>
      </c>
      <c r="G475" s="3" t="str">
        <f>VLOOKUP(B475,LifeList!$E$2:$I$2038,4)</f>
        <v>Passeriformes</v>
      </c>
      <c r="H475" s="3" t="str">
        <f>VLOOKUP(B475,LifeList!$E$2:$I$2038,5)</f>
        <v>Parulidae (New World Warblers)</v>
      </c>
      <c r="I475" s="3"/>
    </row>
    <row r="476" spans="1:9" ht="10.5" customHeight="1">
      <c r="A476" s="3" t="s">
        <v>704</v>
      </c>
      <c r="B476" s="3" t="s">
        <v>684</v>
      </c>
      <c r="C476" s="3">
        <f>VLOOKUP(B476,LifeList!$E$2:$J$2038,6)</f>
        <v>34218</v>
      </c>
      <c r="D476" s="3" t="str">
        <f>VLOOKUP(B476,LifeList!$E$2:$G$2038,1)</f>
        <v>Black-throated Green Warbler</v>
      </c>
      <c r="E476" s="3" t="str">
        <f>VLOOKUP(B476,LifeList!$E$2:$G$2038,2)</f>
        <v>Paruline à gorge noire</v>
      </c>
      <c r="F476" s="3" t="str">
        <f>VLOOKUP(B476,LifeList!$E$2:$G$2038,3)</f>
        <v>Setophaga virens</v>
      </c>
      <c r="G476" s="3" t="str">
        <f>VLOOKUP(B476,LifeList!$E$2:$I$2038,4)</f>
        <v>Passeriformes</v>
      </c>
      <c r="H476" s="3" t="str">
        <f>VLOOKUP(B476,LifeList!$E$2:$I$2038,5)</f>
        <v>Parulidae (New World Warblers)</v>
      </c>
      <c r="I476" s="3"/>
    </row>
    <row r="477" spans="1:9" ht="10.5" customHeight="1">
      <c r="A477" s="3" t="s">
        <v>705</v>
      </c>
      <c r="B477" s="3" t="s">
        <v>684</v>
      </c>
      <c r="C477" s="3">
        <f>VLOOKUP(B477,LifeList!$E$2:$J$2038,6)</f>
        <v>34218</v>
      </c>
      <c r="D477" s="3" t="str">
        <f>VLOOKUP(B477,LifeList!$E$2:$G$2038,1)</f>
        <v>Black-throated Green Warbler</v>
      </c>
      <c r="E477" s="3" t="str">
        <f>VLOOKUP(B477,LifeList!$E$2:$G$2038,2)</f>
        <v>Paruline à gorge noire</v>
      </c>
      <c r="F477" s="3" t="str">
        <f>VLOOKUP(B477,LifeList!$E$2:$G$2038,3)</f>
        <v>Setophaga virens</v>
      </c>
      <c r="G477" s="3" t="str">
        <f>VLOOKUP(B477,LifeList!$E$2:$I$2038,4)</f>
        <v>Passeriformes</v>
      </c>
      <c r="H477" s="3" t="str">
        <f>VLOOKUP(B477,LifeList!$E$2:$I$2038,5)</f>
        <v>Parulidae (New World Warblers)</v>
      </c>
      <c r="I477" s="3"/>
    </row>
    <row r="478" spans="1:9" ht="10.5" customHeight="1">
      <c r="A478" s="3" t="s">
        <v>706</v>
      </c>
      <c r="B478" s="3" t="s">
        <v>684</v>
      </c>
      <c r="C478" s="3">
        <f>VLOOKUP(B478,LifeList!$E$2:$J$2038,6)</f>
        <v>34218</v>
      </c>
      <c r="D478" s="3" t="str">
        <f>VLOOKUP(B478,LifeList!$E$2:$G$2038,1)</f>
        <v>Black-throated Green Warbler</v>
      </c>
      <c r="E478" s="3" t="str">
        <f>VLOOKUP(B478,LifeList!$E$2:$G$2038,2)</f>
        <v>Paruline à gorge noire</v>
      </c>
      <c r="F478" s="3" t="str">
        <f>VLOOKUP(B478,LifeList!$E$2:$G$2038,3)</f>
        <v>Setophaga virens</v>
      </c>
      <c r="G478" s="3" t="str">
        <f>VLOOKUP(B478,LifeList!$E$2:$I$2038,4)</f>
        <v>Passeriformes</v>
      </c>
      <c r="H478" s="3" t="str">
        <f>VLOOKUP(B478,LifeList!$E$2:$I$2038,5)</f>
        <v>Parulidae (New World Warblers)</v>
      </c>
      <c r="I478" s="3"/>
    </row>
    <row r="479" spans="1:9" ht="10.5" customHeight="1">
      <c r="A479" s="3" t="s">
        <v>707</v>
      </c>
      <c r="B479" s="3" t="s">
        <v>684</v>
      </c>
      <c r="C479" s="3">
        <f>VLOOKUP(B479,LifeList!$E$2:$J$2038,6)</f>
        <v>34218</v>
      </c>
      <c r="D479" s="3" t="str">
        <f>VLOOKUP(B479,LifeList!$E$2:$G$2038,1)</f>
        <v>Black-throated Green Warbler</v>
      </c>
      <c r="E479" s="3" t="str">
        <f>VLOOKUP(B479,LifeList!$E$2:$G$2038,2)</f>
        <v>Paruline à gorge noire</v>
      </c>
      <c r="F479" s="3" t="str">
        <f>VLOOKUP(B479,LifeList!$E$2:$G$2038,3)</f>
        <v>Setophaga virens</v>
      </c>
      <c r="G479" s="3" t="str">
        <f>VLOOKUP(B479,LifeList!$E$2:$I$2038,4)</f>
        <v>Passeriformes</v>
      </c>
      <c r="H479" s="3" t="str">
        <f>VLOOKUP(B479,LifeList!$E$2:$I$2038,5)</f>
        <v>Parulidae (New World Warblers)</v>
      </c>
      <c r="I479" s="3"/>
    </row>
    <row r="480" spans="1:9" ht="10.5" customHeight="1">
      <c r="A480" s="3" t="s">
        <v>708</v>
      </c>
      <c r="B480" s="3" t="s">
        <v>709</v>
      </c>
      <c r="C480" s="3">
        <f>VLOOKUP(B480,LifeList!$E$2:$J$2038,6)</f>
        <v>4384</v>
      </c>
      <c r="D480" s="3" t="str">
        <f>VLOOKUP(B480,LifeList!$E$2:$G$2038,1)</f>
        <v>Black-throated Mango</v>
      </c>
      <c r="E480" s="3" t="str">
        <f>VLOOKUP(B480,LifeList!$E$2:$G$2038,2)</f>
        <v>Mango à cravate noire</v>
      </c>
      <c r="F480" s="3" t="str">
        <f>VLOOKUP(B480,LifeList!$E$2:$G$2038,3)</f>
        <v>Anthracothorax nigricollis</v>
      </c>
      <c r="G480" s="3" t="str">
        <f>VLOOKUP(B480,LifeList!$E$2:$I$2038,4)</f>
        <v>Apodiformes</v>
      </c>
      <c r="H480" s="3" t="str">
        <f>VLOOKUP(B480,LifeList!$E$2:$I$2038,5)</f>
        <v>Trochilidae (Hummingbirds)</v>
      </c>
      <c r="I480" s="3"/>
    </row>
    <row r="481" spans="1:9" ht="10.5" customHeight="1">
      <c r="A481" s="3" t="s">
        <v>710</v>
      </c>
      <c r="B481" s="3" t="s">
        <v>709</v>
      </c>
      <c r="C481" s="3">
        <f>VLOOKUP(B481,LifeList!$E$2:$J$2038,6)</f>
        <v>4384</v>
      </c>
      <c r="D481" s="3" t="str">
        <f>VLOOKUP(B481,LifeList!$E$2:$G$2038,1)</f>
        <v>Black-throated Mango</v>
      </c>
      <c r="E481" s="3" t="str">
        <f>VLOOKUP(B481,LifeList!$E$2:$G$2038,2)</f>
        <v>Mango à cravate noire</v>
      </c>
      <c r="F481" s="3" t="str">
        <f>VLOOKUP(B481,LifeList!$E$2:$G$2038,3)</f>
        <v>Anthracothorax nigricollis</v>
      </c>
      <c r="G481" s="3" t="str">
        <f>VLOOKUP(B481,LifeList!$E$2:$I$2038,4)</f>
        <v>Apodiformes</v>
      </c>
      <c r="H481" s="3" t="str">
        <f>VLOOKUP(B481,LifeList!$E$2:$I$2038,5)</f>
        <v>Trochilidae (Hummingbirds)</v>
      </c>
      <c r="I481" s="3"/>
    </row>
    <row r="482" spans="1:9" ht="10.5" customHeight="1">
      <c r="A482" s="3" t="s">
        <v>711</v>
      </c>
      <c r="B482" s="3" t="s">
        <v>709</v>
      </c>
      <c r="C482" s="3">
        <f>VLOOKUP(B482,LifeList!$E$2:$J$2038,6)</f>
        <v>4384</v>
      </c>
      <c r="D482" s="3" t="str">
        <f>VLOOKUP(B482,LifeList!$E$2:$G$2038,1)</f>
        <v>Black-throated Mango</v>
      </c>
      <c r="E482" s="3" t="str">
        <f>VLOOKUP(B482,LifeList!$E$2:$G$2038,2)</f>
        <v>Mango à cravate noire</v>
      </c>
      <c r="F482" s="3" t="str">
        <f>VLOOKUP(B482,LifeList!$E$2:$G$2038,3)</f>
        <v>Anthracothorax nigricollis</v>
      </c>
      <c r="G482" s="3" t="str">
        <f>VLOOKUP(B482,LifeList!$E$2:$I$2038,4)</f>
        <v>Apodiformes</v>
      </c>
      <c r="H482" s="3" t="str">
        <f>VLOOKUP(B482,LifeList!$E$2:$I$2038,5)</f>
        <v>Trochilidae (Hummingbirds)</v>
      </c>
      <c r="I482" s="3"/>
    </row>
    <row r="483" spans="1:9" ht="10.5" customHeight="1">
      <c r="A483" s="3" t="s">
        <v>712</v>
      </c>
      <c r="B483" s="3" t="s">
        <v>709</v>
      </c>
      <c r="C483" s="3">
        <f>VLOOKUP(B483,LifeList!$E$2:$J$2038,6)</f>
        <v>4384</v>
      </c>
      <c r="D483" s="3" t="str">
        <f>VLOOKUP(B483,LifeList!$E$2:$G$2038,1)</f>
        <v>Black-throated Mango</v>
      </c>
      <c r="E483" s="3" t="str">
        <f>VLOOKUP(B483,LifeList!$E$2:$G$2038,2)</f>
        <v>Mango à cravate noire</v>
      </c>
      <c r="F483" s="3" t="str">
        <f>VLOOKUP(B483,LifeList!$E$2:$G$2038,3)</f>
        <v>Anthracothorax nigricollis</v>
      </c>
      <c r="G483" s="3" t="str">
        <f>VLOOKUP(B483,LifeList!$E$2:$I$2038,4)</f>
        <v>Apodiformes</v>
      </c>
      <c r="H483" s="3" t="str">
        <f>VLOOKUP(B483,LifeList!$E$2:$I$2038,5)</f>
        <v>Trochilidae (Hummingbirds)</v>
      </c>
      <c r="I483" s="3"/>
    </row>
    <row r="484" spans="1:9" ht="10.5" customHeight="1">
      <c r="A484" s="3" t="s">
        <v>713</v>
      </c>
      <c r="B484" s="3" t="s">
        <v>714</v>
      </c>
      <c r="C484" s="3">
        <f>VLOOKUP(B484,LifeList!$E$2:$J$2038,6)</f>
        <v>27509</v>
      </c>
      <c r="D484" s="3" t="str">
        <f>VLOOKUP(B484,LifeList!$E$2:$G$2038,1)</f>
        <v>Black-throated Wren</v>
      </c>
      <c r="E484" s="3" t="str">
        <f>VLOOKUP(B484,LifeList!$E$2:$G$2038,2)</f>
        <v>Troglodyte à gorge noire</v>
      </c>
      <c r="F484" s="3" t="str">
        <f>VLOOKUP(B484,LifeList!$E$2:$G$2038,3)</f>
        <v>Pheugopedius atrogularis</v>
      </c>
      <c r="G484" s="3" t="str">
        <f>VLOOKUP(B484,LifeList!$E$2:$I$2038,4)</f>
        <v>Passeriformes</v>
      </c>
      <c r="H484" s="3" t="str">
        <f>VLOOKUP(B484,LifeList!$E$2:$I$2038,5)</f>
        <v>Troglodytidae (Wrens)</v>
      </c>
      <c r="I484" s="3"/>
    </row>
    <row r="485" spans="1:9" ht="10.5" customHeight="1">
      <c r="A485" s="5" t="s">
        <v>715</v>
      </c>
      <c r="B485" s="3" t="s">
        <v>716</v>
      </c>
      <c r="C485" s="6">
        <f>VLOOKUP(B485,LifeList!$E$2:$J$2038,6)</f>
        <v>7234</v>
      </c>
      <c r="D485" s="3" t="str">
        <f>VLOOKUP(B485,LifeList!$E$2:$G$2038,1)</f>
        <v>Black-vented Shearwater</v>
      </c>
      <c r="E485" s="3" t="str">
        <f>VLOOKUP(B485,LifeList!$E$2:$G$2038,2)</f>
        <v>Puffin cul-noir</v>
      </c>
      <c r="F485" s="3" t="str">
        <f>VLOOKUP(B485,LifeList!$E$2:$G$2038,3)</f>
        <v>Puffinus opisthomelas</v>
      </c>
      <c r="G485" s="3" t="str">
        <f>VLOOKUP(B485,LifeList!$E$2:$I$2038,4)</f>
        <v>Procellariiformes</v>
      </c>
      <c r="H485" s="3" t="str">
        <f>VLOOKUP(B485,LifeList!$E$2:$I$2038,5)</f>
        <v>Procellariidae (Shearwaters and Petrels)</v>
      </c>
      <c r="I485" s="3"/>
    </row>
    <row r="486" spans="1:9" ht="10.5" customHeight="1">
      <c r="A486" s="3" t="s">
        <v>717</v>
      </c>
      <c r="B486" s="3" t="s">
        <v>718</v>
      </c>
      <c r="C486" s="3">
        <f>VLOOKUP(B486,LifeList!$E$2:$J$2038,6)</f>
        <v>7846</v>
      </c>
      <c r="D486" s="3" t="str">
        <f>VLOOKUP(B486,LifeList!$E$2:$G$2038,1)</f>
        <v>Black-winged Kite</v>
      </c>
      <c r="E486" s="3" t="str">
        <f>VLOOKUP(B486,LifeList!$E$2:$G$2038,2)</f>
        <v>Élanion blanc</v>
      </c>
      <c r="F486" s="3" t="str">
        <f>VLOOKUP(B486,LifeList!$E$2:$G$2038,3)</f>
        <v>Elanus caeruleus</v>
      </c>
      <c r="G486" s="3" t="str">
        <f>VLOOKUP(B486,LifeList!$E$2:$I$2038,4)</f>
        <v>Accipitriformes</v>
      </c>
      <c r="H486" s="3" t="str">
        <f>VLOOKUP(B486,LifeList!$E$2:$I$2038,5)</f>
        <v>Accipitridae (Hawks, Eagles, and Kites)</v>
      </c>
      <c r="I486" s="3"/>
    </row>
    <row r="487" spans="1:9" ht="10.5" customHeight="1">
      <c r="A487" s="3" t="s">
        <v>719</v>
      </c>
      <c r="B487" s="3" t="s">
        <v>720</v>
      </c>
      <c r="C487" s="3">
        <f>VLOOKUP(B487,LifeList!$E$2:$J$2038,6)</f>
        <v>35789</v>
      </c>
      <c r="D487" s="3" t="str">
        <f>VLOOKUP(B487,LifeList!$E$2:$G$2038,1)</f>
        <v>Black-winged Saltator</v>
      </c>
      <c r="E487" s="3" t="str">
        <f>VLOOKUP(B487,LifeList!$E$2:$G$2038,2)</f>
        <v>Saltator à ailes noires</v>
      </c>
      <c r="F487" s="3" t="str">
        <f>VLOOKUP(B487,LifeList!$E$2:$G$2038,3)</f>
        <v>Saltator atripennis</v>
      </c>
      <c r="G487" s="3" t="str">
        <f>VLOOKUP(B487,LifeList!$E$2:$I$2038,4)</f>
        <v>Passeriformes</v>
      </c>
      <c r="H487" s="3" t="str">
        <f>VLOOKUP(B487,LifeList!$E$2:$I$2038,5)</f>
        <v>Thraupidae (Tanagers and Allies)</v>
      </c>
      <c r="I487" s="3"/>
    </row>
    <row r="488" spans="1:9" ht="10.5" customHeight="1">
      <c r="A488" s="3" t="s">
        <v>721</v>
      </c>
      <c r="B488" s="3" t="s">
        <v>722</v>
      </c>
      <c r="C488" s="3">
        <f>VLOOKUP(B488,LifeList!$E$2:$J$2038,6)</f>
        <v>5763</v>
      </c>
      <c r="D488" s="3" t="str">
        <f>VLOOKUP(B488,LifeList!$E$2:$G$2038,1)</f>
        <v>Black-winged Stilt</v>
      </c>
      <c r="E488" s="3" t="str">
        <f>VLOOKUP(B488,LifeList!$E$2:$G$2038,2)</f>
        <v>Échasse blanche</v>
      </c>
      <c r="F488" s="3" t="str">
        <f>VLOOKUP(B488,LifeList!$E$2:$G$2038,3)</f>
        <v>Himantopus himantopus</v>
      </c>
      <c r="G488" s="3" t="str">
        <f>VLOOKUP(B488,LifeList!$E$2:$I$2038,4)</f>
        <v>Charadriiformes</v>
      </c>
      <c r="H488" s="3" t="str">
        <f>VLOOKUP(B488,LifeList!$E$2:$I$2038,5)</f>
        <v>Recurvirostridae (Stilts and Avocets)</v>
      </c>
      <c r="I488" s="3"/>
    </row>
    <row r="489" spans="1:9" ht="10.5" customHeight="1">
      <c r="A489" s="3" t="s">
        <v>723</v>
      </c>
      <c r="B489" s="3" t="s">
        <v>722</v>
      </c>
      <c r="C489" s="3">
        <f>VLOOKUP(B489,LifeList!$E$2:$J$2038,6)</f>
        <v>5763</v>
      </c>
      <c r="D489" s="3" t="str">
        <f>VLOOKUP(B489,LifeList!$E$2:$G$2038,1)</f>
        <v>Black-winged Stilt</v>
      </c>
      <c r="E489" s="3" t="str">
        <f>VLOOKUP(B489,LifeList!$E$2:$G$2038,2)</f>
        <v>Échasse blanche</v>
      </c>
      <c r="F489" s="3" t="str">
        <f>VLOOKUP(B489,LifeList!$E$2:$G$2038,3)</f>
        <v>Himantopus himantopus</v>
      </c>
      <c r="G489" s="3" t="str">
        <f>VLOOKUP(B489,LifeList!$E$2:$I$2038,4)</f>
        <v>Charadriiformes</v>
      </c>
      <c r="H489" s="3" t="str">
        <f>VLOOKUP(B489,LifeList!$E$2:$I$2038,5)</f>
        <v>Recurvirostridae (Stilts and Avocets)</v>
      </c>
      <c r="I489" s="3"/>
    </row>
    <row r="490" spans="1:9" ht="10.5" customHeight="1">
      <c r="A490" s="3" t="s">
        <v>724</v>
      </c>
      <c r="B490" s="3" t="s">
        <v>722</v>
      </c>
      <c r="C490" s="3">
        <f>VLOOKUP(B490,LifeList!$E$2:$J$2038,6)</f>
        <v>5763</v>
      </c>
      <c r="D490" s="3" t="str">
        <f>VLOOKUP(B490,LifeList!$E$2:$G$2038,1)</f>
        <v>Black-winged Stilt</v>
      </c>
      <c r="E490" s="3" t="str">
        <f>VLOOKUP(B490,LifeList!$E$2:$G$2038,2)</f>
        <v>Échasse blanche</v>
      </c>
      <c r="F490" s="3" t="str">
        <f>VLOOKUP(B490,LifeList!$E$2:$G$2038,3)</f>
        <v>Himantopus himantopus</v>
      </c>
      <c r="G490" s="3" t="str">
        <f>VLOOKUP(B490,LifeList!$E$2:$I$2038,4)</f>
        <v>Charadriiformes</v>
      </c>
      <c r="H490" s="3" t="str">
        <f>VLOOKUP(B490,LifeList!$E$2:$I$2038,5)</f>
        <v>Recurvirostridae (Stilts and Avocets)</v>
      </c>
      <c r="I490" s="3"/>
    </row>
    <row r="491" spans="1:9" ht="10.5" customHeight="1">
      <c r="A491" s="3" t="s">
        <v>725</v>
      </c>
      <c r="B491" s="3" t="s">
        <v>722</v>
      </c>
      <c r="C491" s="3">
        <f>VLOOKUP(B491,LifeList!$E$2:$J$2038,6)</f>
        <v>5763</v>
      </c>
      <c r="D491" s="3" t="str">
        <f>VLOOKUP(B491,LifeList!$E$2:$G$2038,1)</f>
        <v>Black-winged Stilt</v>
      </c>
      <c r="E491" s="3" t="str">
        <f>VLOOKUP(B491,LifeList!$E$2:$G$2038,2)</f>
        <v>Échasse blanche</v>
      </c>
      <c r="F491" s="3" t="str">
        <f>VLOOKUP(B491,LifeList!$E$2:$G$2038,3)</f>
        <v>Himantopus himantopus</v>
      </c>
      <c r="G491" s="3" t="str">
        <f>VLOOKUP(B491,LifeList!$E$2:$I$2038,4)</f>
        <v>Charadriiformes</v>
      </c>
      <c r="H491" s="3" t="str">
        <f>VLOOKUP(B491,LifeList!$E$2:$I$2038,5)</f>
        <v>Recurvirostridae (Stilts and Avocets)</v>
      </c>
      <c r="I491" s="3"/>
    </row>
    <row r="492" spans="1:9" ht="10.5" customHeight="1">
      <c r="A492" s="3" t="s">
        <v>726</v>
      </c>
      <c r="B492" s="3" t="s">
        <v>722</v>
      </c>
      <c r="C492" s="3">
        <f>VLOOKUP(B492,LifeList!$E$2:$J$2038,6)</f>
        <v>5763</v>
      </c>
      <c r="D492" s="3" t="str">
        <f>VLOOKUP(B492,LifeList!$E$2:$G$2038,1)</f>
        <v>Black-winged Stilt</v>
      </c>
      <c r="E492" s="3" t="str">
        <f>VLOOKUP(B492,LifeList!$E$2:$G$2038,2)</f>
        <v>Échasse blanche</v>
      </c>
      <c r="F492" s="3" t="str">
        <f>VLOOKUP(B492,LifeList!$E$2:$G$2038,3)</f>
        <v>Himantopus himantopus</v>
      </c>
      <c r="G492" s="3" t="str">
        <f>VLOOKUP(B492,LifeList!$E$2:$I$2038,4)</f>
        <v>Charadriiformes</v>
      </c>
      <c r="H492" s="3" t="str">
        <f>VLOOKUP(B492,LifeList!$E$2:$I$2038,5)</f>
        <v>Recurvirostridae (Stilts and Avocets)</v>
      </c>
      <c r="I492" s="3"/>
    </row>
    <row r="493" spans="1:9" ht="10.5" customHeight="1">
      <c r="A493" s="7" t="s">
        <v>727</v>
      </c>
      <c r="B493" s="8" t="s">
        <v>728</v>
      </c>
      <c r="C493" s="3">
        <f>VLOOKUP(B493,LifeList!$E$2:$J$2038,6)</f>
        <v>35230</v>
      </c>
      <c r="D493" s="3" t="str">
        <f>VLOOKUP(B493,LifeList!$E$2:$G$2038,1)</f>
        <v>Black-and-yellow Tanager</v>
      </c>
      <c r="E493" s="3" t="str">
        <f>VLOOKUP(B493,LifeList!$E$2:$G$2038,2)</f>
        <v>Tangara loriot</v>
      </c>
      <c r="F493" s="3" t="str">
        <f>VLOOKUP(B493,LifeList!$E$2:$G$2038,3)</f>
        <v>Chrysothlypis chrysomelas</v>
      </c>
      <c r="G493" s="3" t="str">
        <f>VLOOKUP(B493,LifeList!$E$2:$I$2038,4)</f>
        <v>Passeriformes</v>
      </c>
      <c r="H493" s="3" t="str">
        <f>VLOOKUP(B493,LifeList!$E$2:$I$2038,5)</f>
        <v>Thraupidae (Tanagers and Allies)</v>
      </c>
      <c r="I493" s="3"/>
    </row>
    <row r="494" spans="1:9" ht="10.5" customHeight="1">
      <c r="A494" s="3" t="s">
        <v>729</v>
      </c>
      <c r="B494" s="3" t="s">
        <v>730</v>
      </c>
      <c r="C494" s="3">
        <f>VLOOKUP(B494,LifeList!$E$2:$J$2038,6)</f>
        <v>34084</v>
      </c>
      <c r="D494" s="3" t="str">
        <f>VLOOKUP(B494,LifeList!$E$2:$G$2038,1)</f>
        <v>Blackburnian Warbler</v>
      </c>
      <c r="E494" s="3" t="str">
        <f>VLOOKUP(B494,LifeList!$E$2:$G$2038,2)</f>
        <v>Paruline à gorge orangée</v>
      </c>
      <c r="F494" s="3" t="str">
        <f>VLOOKUP(B494,LifeList!$E$2:$G$2038,3)</f>
        <v>Setophaga fusca</v>
      </c>
      <c r="G494" s="3" t="str">
        <f>VLOOKUP(B494,LifeList!$E$2:$I$2038,4)</f>
        <v>Passeriformes</v>
      </c>
      <c r="H494" s="3" t="str">
        <f>VLOOKUP(B494,LifeList!$E$2:$I$2038,5)</f>
        <v>Parulidae (New World Warblers)</v>
      </c>
      <c r="I494" s="3"/>
    </row>
    <row r="495" spans="1:9" ht="10.5" customHeight="1">
      <c r="A495" s="3" t="s">
        <v>731</v>
      </c>
      <c r="B495" s="3" t="s">
        <v>730</v>
      </c>
      <c r="C495" s="3">
        <f>VLOOKUP(B495,LifeList!$E$2:$J$2038,6)</f>
        <v>34084</v>
      </c>
      <c r="D495" s="3" t="str">
        <f>VLOOKUP(B495,LifeList!$E$2:$G$2038,1)</f>
        <v>Blackburnian Warbler</v>
      </c>
      <c r="E495" s="3" t="str">
        <f>VLOOKUP(B495,LifeList!$E$2:$G$2038,2)</f>
        <v>Paruline à gorge orangée</v>
      </c>
      <c r="F495" s="3" t="str">
        <f>VLOOKUP(B495,LifeList!$E$2:$G$2038,3)</f>
        <v>Setophaga fusca</v>
      </c>
      <c r="G495" s="3" t="str">
        <f>VLOOKUP(B495,LifeList!$E$2:$I$2038,4)</f>
        <v>Passeriformes</v>
      </c>
      <c r="H495" s="3" t="str">
        <f>VLOOKUP(B495,LifeList!$E$2:$I$2038,5)</f>
        <v>Parulidae (New World Warblers)</v>
      </c>
      <c r="I495" s="3"/>
    </row>
    <row r="496" spans="1:9" ht="10.5" customHeight="1">
      <c r="A496" s="5" t="s">
        <v>732</v>
      </c>
      <c r="B496" s="5" t="s">
        <v>730</v>
      </c>
      <c r="C496" s="3">
        <f>VLOOKUP(B496,LifeList!$E$2:$J$2038,6)</f>
        <v>34084</v>
      </c>
      <c r="D496" s="3" t="str">
        <f>VLOOKUP(B496,LifeList!$E$2:$G$2038,1)</f>
        <v>Blackburnian Warbler</v>
      </c>
      <c r="E496" s="3" t="str">
        <f>VLOOKUP(B496,LifeList!$E$2:$G$2038,2)</f>
        <v>Paruline à gorge orangée</v>
      </c>
      <c r="F496" s="3" t="str">
        <f>VLOOKUP(B496,LifeList!$E$2:$G$2038,3)</f>
        <v>Setophaga fusca</v>
      </c>
      <c r="G496" s="3" t="str">
        <f>VLOOKUP(B496,LifeList!$E$2:$I$2038,4)</f>
        <v>Passeriformes</v>
      </c>
      <c r="H496" s="3" t="str">
        <f>VLOOKUP(B496,LifeList!$E$2:$I$2038,5)</f>
        <v>Parulidae (New World Warblers)</v>
      </c>
      <c r="I496" s="3"/>
    </row>
    <row r="497" spans="1:9" ht="10.5" customHeight="1">
      <c r="A497" s="3" t="s">
        <v>733</v>
      </c>
      <c r="B497" s="3" t="s">
        <v>734</v>
      </c>
      <c r="C497" s="3">
        <f>VLOOKUP(B497,LifeList!$E$2:$J$2038,6)</f>
        <v>34084</v>
      </c>
      <c r="D497" s="3" t="str">
        <f>VLOOKUP(B497,LifeList!$E$2:$G$2038,1)</f>
        <v>Blackburnian Warbler</v>
      </c>
      <c r="E497" s="3" t="str">
        <f>VLOOKUP(B497,LifeList!$E$2:$G$2038,2)</f>
        <v>Paruline à gorge orangée</v>
      </c>
      <c r="F497" s="3" t="str">
        <f>VLOOKUP(B497,LifeList!$E$2:$G$2038,3)</f>
        <v>Setophaga fusca</v>
      </c>
      <c r="G497" s="3" t="str">
        <f>VLOOKUP(B497,LifeList!$E$2:$I$2038,4)</f>
        <v>Passeriformes</v>
      </c>
      <c r="H497" s="3" t="str">
        <f>VLOOKUP(B497,LifeList!$E$2:$I$2038,5)</f>
        <v>Parulidae (New World Warblers)</v>
      </c>
      <c r="I497" s="3"/>
    </row>
    <row r="498" spans="1:9" ht="10.5" customHeight="1">
      <c r="A498" s="3" t="s">
        <v>735</v>
      </c>
      <c r="B498" s="3" t="s">
        <v>734</v>
      </c>
      <c r="C498" s="3">
        <f>VLOOKUP(B498,LifeList!$E$2:$J$2038,6)</f>
        <v>34084</v>
      </c>
      <c r="D498" s="3" t="str">
        <f>VLOOKUP(B498,LifeList!$E$2:$G$2038,1)</f>
        <v>Blackburnian Warbler</v>
      </c>
      <c r="E498" s="3" t="str">
        <f>VLOOKUP(B498,LifeList!$E$2:$G$2038,2)</f>
        <v>Paruline à gorge orangée</v>
      </c>
      <c r="F498" s="3" t="str">
        <f>VLOOKUP(B498,LifeList!$E$2:$G$2038,3)</f>
        <v>Setophaga fusca</v>
      </c>
      <c r="G498" s="3" t="str">
        <f>VLOOKUP(B498,LifeList!$E$2:$I$2038,4)</f>
        <v>Passeriformes</v>
      </c>
      <c r="H498" s="3" t="str">
        <f>VLOOKUP(B498,LifeList!$E$2:$I$2038,5)</f>
        <v>Parulidae (New World Warblers)</v>
      </c>
      <c r="I498" s="3"/>
    </row>
    <row r="499" spans="1:9" ht="10.5" customHeight="1">
      <c r="A499" s="3" t="s">
        <v>736</v>
      </c>
      <c r="B499" s="3" t="s">
        <v>734</v>
      </c>
      <c r="C499" s="3">
        <f>VLOOKUP(B499,LifeList!$E$2:$J$2038,6)</f>
        <v>34084</v>
      </c>
      <c r="D499" s="3" t="str">
        <f>VLOOKUP(B499,LifeList!$E$2:$G$2038,1)</f>
        <v>Blackburnian Warbler</v>
      </c>
      <c r="E499" s="3" t="str">
        <f>VLOOKUP(B499,LifeList!$E$2:$G$2038,2)</f>
        <v>Paruline à gorge orangée</v>
      </c>
      <c r="F499" s="3" t="str">
        <f>VLOOKUP(B499,LifeList!$E$2:$G$2038,3)</f>
        <v>Setophaga fusca</v>
      </c>
      <c r="G499" s="3" t="str">
        <f>VLOOKUP(B499,LifeList!$E$2:$I$2038,4)</f>
        <v>Passeriformes</v>
      </c>
      <c r="H499" s="3" t="str">
        <f>VLOOKUP(B499,LifeList!$E$2:$I$2038,5)</f>
        <v>Parulidae (New World Warblers)</v>
      </c>
      <c r="I499" s="3"/>
    </row>
    <row r="500" spans="1:9" ht="10.5" customHeight="1">
      <c r="A500" s="3" t="s">
        <v>737</v>
      </c>
      <c r="B500" s="3" t="s">
        <v>734</v>
      </c>
      <c r="C500" s="3">
        <f>VLOOKUP(B500,LifeList!$E$2:$J$2038,6)</f>
        <v>34084</v>
      </c>
      <c r="D500" s="3" t="str">
        <f>VLOOKUP(B500,LifeList!$E$2:$G$2038,1)</f>
        <v>Blackburnian Warbler</v>
      </c>
      <c r="E500" s="3" t="str">
        <f>VLOOKUP(B500,LifeList!$E$2:$G$2038,2)</f>
        <v>Paruline à gorge orangée</v>
      </c>
      <c r="F500" s="3" t="str">
        <f>VLOOKUP(B500,LifeList!$E$2:$G$2038,3)</f>
        <v>Setophaga fusca</v>
      </c>
      <c r="G500" s="3" t="str">
        <f>VLOOKUP(B500,LifeList!$E$2:$I$2038,4)</f>
        <v>Passeriformes</v>
      </c>
      <c r="H500" s="3" t="str">
        <f>VLOOKUP(B500,LifeList!$E$2:$I$2038,5)</f>
        <v>Parulidae (New World Warblers)</v>
      </c>
      <c r="I500" s="3"/>
    </row>
    <row r="501" spans="1:9" ht="10.5" customHeight="1">
      <c r="A501" s="3" t="s">
        <v>738</v>
      </c>
      <c r="B501" s="3" t="s">
        <v>734</v>
      </c>
      <c r="C501" s="3">
        <f>VLOOKUP(B501,LifeList!$E$2:$J$2038,6)</f>
        <v>34084</v>
      </c>
      <c r="D501" s="3" t="str">
        <f>VLOOKUP(B501,LifeList!$E$2:$G$2038,1)</f>
        <v>Blackburnian Warbler</v>
      </c>
      <c r="E501" s="3" t="str">
        <f>VLOOKUP(B501,LifeList!$E$2:$G$2038,2)</f>
        <v>Paruline à gorge orangée</v>
      </c>
      <c r="F501" s="3" t="str">
        <f>VLOOKUP(B501,LifeList!$E$2:$G$2038,3)</f>
        <v>Setophaga fusca</v>
      </c>
      <c r="G501" s="3" t="str">
        <f>VLOOKUP(B501,LifeList!$E$2:$I$2038,4)</f>
        <v>Passeriformes</v>
      </c>
      <c r="H501" s="3" t="str">
        <f>VLOOKUP(B501,LifeList!$E$2:$I$2038,5)</f>
        <v>Parulidae (New World Warblers)</v>
      </c>
      <c r="I501" s="3"/>
    </row>
    <row r="502" spans="1:9" ht="10.5" customHeight="1">
      <c r="A502" s="3" t="s">
        <v>739</v>
      </c>
      <c r="B502" s="3" t="s">
        <v>734</v>
      </c>
      <c r="C502" s="3">
        <f>VLOOKUP(B502,LifeList!$E$2:$J$2038,6)</f>
        <v>34084</v>
      </c>
      <c r="D502" s="3" t="str">
        <f>VLOOKUP(B502,LifeList!$E$2:$G$2038,1)</f>
        <v>Blackburnian Warbler</v>
      </c>
      <c r="E502" s="3" t="str">
        <f>VLOOKUP(B502,LifeList!$E$2:$G$2038,2)</f>
        <v>Paruline à gorge orangée</v>
      </c>
      <c r="F502" s="3" t="str">
        <f>VLOOKUP(B502,LifeList!$E$2:$G$2038,3)</f>
        <v>Setophaga fusca</v>
      </c>
      <c r="G502" s="3" t="str">
        <f>VLOOKUP(B502,LifeList!$E$2:$I$2038,4)</f>
        <v>Passeriformes</v>
      </c>
      <c r="H502" s="3" t="str">
        <f>VLOOKUP(B502,LifeList!$E$2:$I$2038,5)</f>
        <v>Parulidae (New World Warblers)</v>
      </c>
      <c r="I502" s="3"/>
    </row>
    <row r="503" spans="1:9" ht="10.5" customHeight="1">
      <c r="A503" s="3" t="s">
        <v>740</v>
      </c>
      <c r="B503" s="3" t="s">
        <v>734</v>
      </c>
      <c r="C503" s="3">
        <f>VLOOKUP(B503,LifeList!$E$2:$J$2038,6)</f>
        <v>34084</v>
      </c>
      <c r="D503" s="3" t="str">
        <f>VLOOKUP(B503,LifeList!$E$2:$G$2038,1)</f>
        <v>Blackburnian Warbler</v>
      </c>
      <c r="E503" s="3" t="str">
        <f>VLOOKUP(B503,LifeList!$E$2:$G$2038,2)</f>
        <v>Paruline à gorge orangée</v>
      </c>
      <c r="F503" s="3" t="str">
        <f>VLOOKUP(B503,LifeList!$E$2:$G$2038,3)</f>
        <v>Setophaga fusca</v>
      </c>
      <c r="G503" s="3" t="str">
        <f>VLOOKUP(B503,LifeList!$E$2:$I$2038,4)</f>
        <v>Passeriformes</v>
      </c>
      <c r="H503" s="3" t="str">
        <f>VLOOKUP(B503,LifeList!$E$2:$I$2038,5)</f>
        <v>Parulidae (New World Warblers)</v>
      </c>
      <c r="I503" s="3"/>
    </row>
    <row r="504" spans="1:9" ht="10.5" customHeight="1">
      <c r="A504" s="3" t="s">
        <v>741</v>
      </c>
      <c r="B504" s="3" t="s">
        <v>734</v>
      </c>
      <c r="C504" s="3">
        <f>VLOOKUP(B504,LifeList!$E$2:$J$2038,6)</f>
        <v>34084</v>
      </c>
      <c r="D504" s="3" t="str">
        <f>VLOOKUP(B504,LifeList!$E$2:$G$2038,1)</f>
        <v>Blackburnian Warbler</v>
      </c>
      <c r="E504" s="3" t="str">
        <f>VLOOKUP(B504,LifeList!$E$2:$G$2038,2)</f>
        <v>Paruline à gorge orangée</v>
      </c>
      <c r="F504" s="3" t="str">
        <f>VLOOKUP(B504,LifeList!$E$2:$G$2038,3)</f>
        <v>Setophaga fusca</v>
      </c>
      <c r="G504" s="3" t="str">
        <f>VLOOKUP(B504,LifeList!$E$2:$I$2038,4)</f>
        <v>Passeriformes</v>
      </c>
      <c r="H504" s="3" t="str">
        <f>VLOOKUP(B504,LifeList!$E$2:$I$2038,5)</f>
        <v>Parulidae (New World Warblers)</v>
      </c>
      <c r="I504" s="3"/>
    </row>
    <row r="505" spans="1:9" ht="10.5" customHeight="1">
      <c r="A505" s="3" t="s">
        <v>742</v>
      </c>
      <c r="B505" s="3" t="s">
        <v>743</v>
      </c>
      <c r="C505" s="3">
        <f>VLOOKUP(B505,LifeList!$E$2:$J$2038,6)</f>
        <v>34138</v>
      </c>
      <c r="D505" s="3" t="str">
        <f>VLOOKUP(B505,LifeList!$E$2:$G$2038,1)</f>
        <v>Blackpoll Warbler</v>
      </c>
      <c r="E505" s="3" t="str">
        <f>VLOOKUP(B505,LifeList!$E$2:$G$2038,2)</f>
        <v>Paruline rayée</v>
      </c>
      <c r="F505" s="3" t="str">
        <f>VLOOKUP(B505,LifeList!$E$2:$G$2038,3)</f>
        <v>Setophaga striata</v>
      </c>
      <c r="G505" s="3" t="str">
        <f>VLOOKUP(B505,LifeList!$E$2:$I$2038,4)</f>
        <v>Passeriformes</v>
      </c>
      <c r="H505" s="3" t="str">
        <f>VLOOKUP(B505,LifeList!$E$2:$I$2038,5)</f>
        <v>Parulidae (New World Warblers)</v>
      </c>
      <c r="I505" s="3"/>
    </row>
    <row r="506" spans="1:9" ht="10.5" customHeight="1">
      <c r="A506" s="3" t="s">
        <v>744</v>
      </c>
      <c r="B506" s="3" t="s">
        <v>743</v>
      </c>
      <c r="C506" s="3">
        <f>VLOOKUP(B506,LifeList!$E$2:$J$2038,6)</f>
        <v>34138</v>
      </c>
      <c r="D506" s="3" t="str">
        <f>VLOOKUP(B506,LifeList!$E$2:$G$2038,1)</f>
        <v>Blackpoll Warbler</v>
      </c>
      <c r="E506" s="3" t="str">
        <f>VLOOKUP(B506,LifeList!$E$2:$G$2038,2)</f>
        <v>Paruline rayée</v>
      </c>
      <c r="F506" s="3" t="str">
        <f>VLOOKUP(B506,LifeList!$E$2:$G$2038,3)</f>
        <v>Setophaga striata</v>
      </c>
      <c r="G506" s="3" t="str">
        <f>VLOOKUP(B506,LifeList!$E$2:$I$2038,4)</f>
        <v>Passeriformes</v>
      </c>
      <c r="H506" s="3" t="str">
        <f>VLOOKUP(B506,LifeList!$E$2:$I$2038,5)</f>
        <v>Parulidae (New World Warblers)</v>
      </c>
      <c r="I506" s="3"/>
    </row>
    <row r="507" spans="1:9" ht="10.5" customHeight="1">
      <c r="A507" s="3" t="s">
        <v>745</v>
      </c>
      <c r="B507" s="3" t="s">
        <v>743</v>
      </c>
      <c r="C507" s="3">
        <f>VLOOKUP(B507,LifeList!$E$2:$J$2038,6)</f>
        <v>34138</v>
      </c>
      <c r="D507" s="3" t="str">
        <f>VLOOKUP(B507,LifeList!$E$2:$G$2038,1)</f>
        <v>Blackpoll Warbler</v>
      </c>
      <c r="E507" s="3" t="str">
        <f>VLOOKUP(B507,LifeList!$E$2:$G$2038,2)</f>
        <v>Paruline rayée</v>
      </c>
      <c r="F507" s="3" t="str">
        <f>VLOOKUP(B507,LifeList!$E$2:$G$2038,3)</f>
        <v>Setophaga striata</v>
      </c>
      <c r="G507" s="3" t="str">
        <f>VLOOKUP(B507,LifeList!$E$2:$I$2038,4)</f>
        <v>Passeriformes</v>
      </c>
      <c r="H507" s="3" t="str">
        <f>VLOOKUP(B507,LifeList!$E$2:$I$2038,5)</f>
        <v>Parulidae (New World Warblers)</v>
      </c>
      <c r="I507" s="3"/>
    </row>
    <row r="508" spans="1:9" ht="10.5" customHeight="1">
      <c r="A508" s="3" t="s">
        <v>746</v>
      </c>
      <c r="B508" s="3" t="s">
        <v>743</v>
      </c>
      <c r="C508" s="3">
        <f>VLOOKUP(B508,LifeList!$E$2:$J$2038,6)</f>
        <v>34138</v>
      </c>
      <c r="D508" s="3" t="str">
        <f>VLOOKUP(B508,LifeList!$E$2:$G$2038,1)</f>
        <v>Blackpoll Warbler</v>
      </c>
      <c r="E508" s="3" t="str">
        <f>VLOOKUP(B508,LifeList!$E$2:$G$2038,2)</f>
        <v>Paruline rayée</v>
      </c>
      <c r="F508" s="3" t="str">
        <f>VLOOKUP(B508,LifeList!$E$2:$G$2038,3)</f>
        <v>Setophaga striata</v>
      </c>
      <c r="G508" s="3" t="str">
        <f>VLOOKUP(B508,LifeList!$E$2:$I$2038,4)</f>
        <v>Passeriformes</v>
      </c>
      <c r="H508" s="3" t="str">
        <f>VLOOKUP(B508,LifeList!$E$2:$I$2038,5)</f>
        <v>Parulidae (New World Warblers)</v>
      </c>
      <c r="I508" s="3"/>
    </row>
    <row r="509" spans="1:9" ht="10.5" customHeight="1">
      <c r="A509" s="3" t="s">
        <v>747</v>
      </c>
      <c r="B509" s="3" t="s">
        <v>743</v>
      </c>
      <c r="C509" s="3">
        <f>VLOOKUP(B509,LifeList!$E$2:$J$2038,6)</f>
        <v>34138</v>
      </c>
      <c r="D509" s="3" t="str">
        <f>VLOOKUP(B509,LifeList!$E$2:$G$2038,1)</f>
        <v>Blackpoll Warbler</v>
      </c>
      <c r="E509" s="3" t="str">
        <f>VLOOKUP(B509,LifeList!$E$2:$G$2038,2)</f>
        <v>Paruline rayée</v>
      </c>
      <c r="F509" s="3" t="str">
        <f>VLOOKUP(B509,LifeList!$E$2:$G$2038,3)</f>
        <v>Setophaga striata</v>
      </c>
      <c r="G509" s="3" t="str">
        <f>VLOOKUP(B509,LifeList!$E$2:$I$2038,4)</f>
        <v>Passeriformes</v>
      </c>
      <c r="H509" s="3" t="str">
        <f>VLOOKUP(B509,LifeList!$E$2:$I$2038,5)</f>
        <v>Parulidae (New World Warblers)</v>
      </c>
      <c r="I509" s="3"/>
    </row>
    <row r="510" spans="1:9" ht="10.5" customHeight="1">
      <c r="A510" s="3" t="s">
        <v>748</v>
      </c>
      <c r="B510" s="3" t="s">
        <v>749</v>
      </c>
      <c r="C510" s="3">
        <f>VLOOKUP(B510,LifeList!$E$2:$J$2038,6)</f>
        <v>5860</v>
      </c>
      <c r="D510" s="3" t="str">
        <f>VLOOKUP(B510,LifeList!$E$2:$G$2038,1)</f>
        <v>Blacksmith Lapwing</v>
      </c>
      <c r="E510" s="3" t="str">
        <f>VLOOKUP(B510,LifeList!$E$2:$G$2038,2)</f>
        <v>Vanneau armé</v>
      </c>
      <c r="F510" s="3" t="str">
        <f>VLOOKUP(B510,LifeList!$E$2:$G$2038,3)</f>
        <v>Vanellus armatus</v>
      </c>
      <c r="G510" s="3" t="str">
        <f>VLOOKUP(B510,LifeList!$E$2:$I$2038,4)</f>
        <v>Charadriiformes</v>
      </c>
      <c r="H510" s="3" t="str">
        <f>VLOOKUP(B510,LifeList!$E$2:$I$2038,5)</f>
        <v>Charadriidae (Plovers and Lapwings)</v>
      </c>
      <c r="I510" s="3"/>
    </row>
    <row r="511" spans="1:9" ht="10.5" customHeight="1">
      <c r="A511" s="3" t="s">
        <v>750</v>
      </c>
      <c r="B511" s="3" t="s">
        <v>749</v>
      </c>
      <c r="C511" s="3">
        <f>VLOOKUP(B511,LifeList!$E$2:$J$2038,6)</f>
        <v>5860</v>
      </c>
      <c r="D511" s="3" t="str">
        <f>VLOOKUP(B511,LifeList!$E$2:$G$2038,1)</f>
        <v>Blacksmith Lapwing</v>
      </c>
      <c r="E511" s="3" t="str">
        <f>VLOOKUP(B511,LifeList!$E$2:$G$2038,2)</f>
        <v>Vanneau armé</v>
      </c>
      <c r="F511" s="3" t="str">
        <f>VLOOKUP(B511,LifeList!$E$2:$G$2038,3)</f>
        <v>Vanellus armatus</v>
      </c>
      <c r="G511" s="3" t="str">
        <f>VLOOKUP(B511,LifeList!$E$2:$I$2038,4)</f>
        <v>Charadriiformes</v>
      </c>
      <c r="H511" s="3" t="str">
        <f>VLOOKUP(B511,LifeList!$E$2:$I$2038,5)</f>
        <v>Charadriidae (Plovers and Lapwings)</v>
      </c>
      <c r="I511" s="3"/>
    </row>
    <row r="512" spans="1:9" ht="10.5" customHeight="1">
      <c r="A512" s="3" t="s">
        <v>751</v>
      </c>
      <c r="B512" s="3" t="s">
        <v>749</v>
      </c>
      <c r="C512" s="3">
        <f>VLOOKUP(B512,LifeList!$E$2:$J$2038,6)</f>
        <v>5860</v>
      </c>
      <c r="D512" s="3" t="str">
        <f>VLOOKUP(B512,LifeList!$E$2:$G$2038,1)</f>
        <v>Blacksmith Lapwing</v>
      </c>
      <c r="E512" s="3" t="str">
        <f>VLOOKUP(B512,LifeList!$E$2:$G$2038,2)</f>
        <v>Vanneau armé</v>
      </c>
      <c r="F512" s="3" t="str">
        <f>VLOOKUP(B512,LifeList!$E$2:$G$2038,3)</f>
        <v>Vanellus armatus</v>
      </c>
      <c r="G512" s="3" t="str">
        <f>VLOOKUP(B512,LifeList!$E$2:$I$2038,4)</f>
        <v>Charadriiformes</v>
      </c>
      <c r="H512" s="3" t="str">
        <f>VLOOKUP(B512,LifeList!$E$2:$I$2038,5)</f>
        <v>Charadriidae (Plovers and Lapwings)</v>
      </c>
      <c r="I512" s="3"/>
    </row>
    <row r="513" spans="1:9" ht="10.5" customHeight="1">
      <c r="A513" s="3" t="s">
        <v>752</v>
      </c>
      <c r="B513" s="3" t="s">
        <v>749</v>
      </c>
      <c r="C513" s="3">
        <f>VLOOKUP(B513,LifeList!$E$2:$J$2038,6)</f>
        <v>5860</v>
      </c>
      <c r="D513" s="3" t="str">
        <f>VLOOKUP(B513,LifeList!$E$2:$G$2038,1)</f>
        <v>Blacksmith Lapwing</v>
      </c>
      <c r="E513" s="3" t="str">
        <f>VLOOKUP(B513,LifeList!$E$2:$G$2038,2)</f>
        <v>Vanneau armé</v>
      </c>
      <c r="F513" s="3" t="str">
        <f>VLOOKUP(B513,LifeList!$E$2:$G$2038,3)</f>
        <v>Vanellus armatus</v>
      </c>
      <c r="G513" s="3" t="str">
        <f>VLOOKUP(B513,LifeList!$E$2:$I$2038,4)</f>
        <v>Charadriiformes</v>
      </c>
      <c r="H513" s="3" t="str">
        <f>VLOOKUP(B513,LifeList!$E$2:$I$2038,5)</f>
        <v>Charadriidae (Plovers and Lapwings)</v>
      </c>
      <c r="I513" s="3"/>
    </row>
    <row r="514" spans="1:9" ht="10.5" customHeight="1">
      <c r="A514" s="3" t="s">
        <v>753</v>
      </c>
      <c r="B514" s="3" t="s">
        <v>754</v>
      </c>
      <c r="C514" s="3">
        <f>VLOOKUP(B514,LifeList!$E$2:$J$2038,6)</f>
        <v>21294</v>
      </c>
      <c r="D514" s="3" t="str">
        <f>VLOOKUP(B514,LifeList!$E$2:$G$2038,1)</f>
        <v>Blue Jay</v>
      </c>
      <c r="E514" s="3" t="str">
        <f>VLOOKUP(B514,LifeList!$E$2:$G$2038,2)</f>
        <v>Geai bleu</v>
      </c>
      <c r="F514" s="3" t="str">
        <f>VLOOKUP(B514,LifeList!$E$2:$G$2038,3)</f>
        <v>Cyanocitta cristata</v>
      </c>
      <c r="G514" s="3" t="str">
        <f>VLOOKUP(B514,LifeList!$E$2:$I$2038,4)</f>
        <v>Passeriformes</v>
      </c>
      <c r="H514" s="3" t="str">
        <f>VLOOKUP(B514,LifeList!$E$2:$I$2038,5)</f>
        <v>Corvidae (Crows, Jays, and Magpies)</v>
      </c>
      <c r="I514" s="3"/>
    </row>
    <row r="515" spans="1:9" ht="10.5" customHeight="1">
      <c r="A515" s="3" t="s">
        <v>755</v>
      </c>
      <c r="B515" s="3" t="s">
        <v>756</v>
      </c>
      <c r="C515" s="3">
        <f>VLOOKUP(B515,LifeList!$E$2:$J$2038,6)</f>
        <v>15923</v>
      </c>
      <c r="D515" s="3" t="str">
        <f>VLOOKUP(B515,LifeList!$E$2:$G$2038,1)</f>
        <v>Blue Cotinga</v>
      </c>
      <c r="E515" s="3" t="str">
        <f>VLOOKUP(B515,LifeList!$E$2:$G$2038,2)</f>
        <v>Cotinga bleu</v>
      </c>
      <c r="F515" s="3" t="str">
        <f>VLOOKUP(B515,LifeList!$E$2:$G$2038,3)</f>
        <v>Cotinga nattererii</v>
      </c>
      <c r="G515" s="3" t="str">
        <f>VLOOKUP(B515,LifeList!$E$2:$I$2038,4)</f>
        <v>Passeriformes</v>
      </c>
      <c r="H515" s="3" t="str">
        <f>VLOOKUP(B515,LifeList!$E$2:$I$2038,5)</f>
        <v>Cotingidae (Cotingas)</v>
      </c>
      <c r="I515" s="3"/>
    </row>
    <row r="516" spans="1:9" ht="10.5" customHeight="1">
      <c r="A516" s="3" t="s">
        <v>757</v>
      </c>
      <c r="B516" s="3" t="s">
        <v>758</v>
      </c>
      <c r="C516" s="3">
        <f>VLOOKUP(B516,LifeList!$E$2:$J$2038,6)</f>
        <v>3066</v>
      </c>
      <c r="D516" s="3" t="str">
        <f>VLOOKUP(B516,LifeList!$E$2:$G$2038,1)</f>
        <v>Blue Coua</v>
      </c>
      <c r="E516" s="3" t="str">
        <f>VLOOKUP(B516,LifeList!$E$2:$G$2038,2)</f>
        <v>Coua bleu</v>
      </c>
      <c r="F516" s="3" t="str">
        <f>VLOOKUP(B516,LifeList!$E$2:$G$2038,3)</f>
        <v>Coua caerulea</v>
      </c>
      <c r="G516" s="3" t="str">
        <f>VLOOKUP(B516,LifeList!$E$2:$I$2038,4)</f>
        <v>Cuculiformes</v>
      </c>
      <c r="H516" s="3" t="str">
        <f>VLOOKUP(B516,LifeList!$E$2:$I$2038,5)</f>
        <v>Cuculidae (Cuckoos)</v>
      </c>
      <c r="I516" s="3"/>
    </row>
    <row r="517" spans="1:9" ht="10.5" customHeight="1">
      <c r="A517" s="3" t="s">
        <v>759</v>
      </c>
      <c r="B517" s="3" t="s">
        <v>760</v>
      </c>
      <c r="C517" s="3">
        <f>VLOOKUP(B517,LifeList!$E$2:$J$2038,6)</f>
        <v>5714</v>
      </c>
      <c r="D517" s="3" t="str">
        <f>VLOOKUP(B517,LifeList!$E$2:$G$2038,1)</f>
        <v>Blue Crane</v>
      </c>
      <c r="E517" s="3" t="str">
        <f>VLOOKUP(B517,LifeList!$E$2:$G$2038,2)</f>
        <v>Grue de paradis</v>
      </c>
      <c r="F517" s="3" t="str">
        <f>VLOOKUP(B517,LifeList!$E$2:$G$2038,3)</f>
        <v>Grus paradiseus</v>
      </c>
      <c r="G517" s="3" t="str">
        <f>VLOOKUP(B517,LifeList!$E$2:$I$2038,4)</f>
        <v>Gruiformes</v>
      </c>
      <c r="H517" s="3" t="str">
        <f>VLOOKUP(B517,LifeList!$E$2:$I$2038,5)</f>
        <v>Gruidae (Cranes)</v>
      </c>
      <c r="I517" s="3"/>
    </row>
    <row r="518" spans="1:9" ht="10.5" customHeight="1">
      <c r="A518" s="3" t="s">
        <v>761</v>
      </c>
      <c r="B518" s="3" t="s">
        <v>762</v>
      </c>
      <c r="C518" s="3">
        <f>VLOOKUP(B518,LifeList!$E$2:$J$2038,6)</f>
        <v>35152</v>
      </c>
      <c r="D518" s="3" t="str">
        <f>VLOOKUP(B518,LifeList!$E$2:$G$2038,1)</f>
        <v>Blue Dacnis</v>
      </c>
      <c r="E518" s="3" t="str">
        <f>VLOOKUP(B518,LifeList!$E$2:$G$2038,2)</f>
        <v>Dacnis bleu</v>
      </c>
      <c r="F518" s="3" t="str">
        <f>VLOOKUP(B518,LifeList!$E$2:$G$2038,3)</f>
        <v>Dacnis cayana</v>
      </c>
      <c r="G518" s="3" t="str">
        <f>VLOOKUP(B518,LifeList!$E$2:$I$2038,4)</f>
        <v>Passeriformes</v>
      </c>
      <c r="H518" s="3" t="str">
        <f>VLOOKUP(B518,LifeList!$E$2:$I$2038,5)</f>
        <v>Thraupidae (Tanagers and Allies)</v>
      </c>
      <c r="I518" s="3"/>
    </row>
    <row r="519" spans="1:9" ht="10.5" customHeight="1">
      <c r="A519" s="3" t="s">
        <v>763</v>
      </c>
      <c r="B519" s="3" t="s">
        <v>762</v>
      </c>
      <c r="C519" s="3">
        <f>VLOOKUP(B519,LifeList!$E$2:$J$2038,6)</f>
        <v>35152</v>
      </c>
      <c r="D519" s="3" t="str">
        <f>VLOOKUP(B519,LifeList!$E$2:$G$2038,1)</f>
        <v>Blue Dacnis</v>
      </c>
      <c r="E519" s="3" t="str">
        <f>VLOOKUP(B519,LifeList!$E$2:$G$2038,2)</f>
        <v>Dacnis bleu</v>
      </c>
      <c r="F519" s="3" t="str">
        <f>VLOOKUP(B519,LifeList!$E$2:$G$2038,3)</f>
        <v>Dacnis cayana</v>
      </c>
      <c r="G519" s="3" t="str">
        <f>VLOOKUP(B519,LifeList!$E$2:$I$2038,4)</f>
        <v>Passeriformes</v>
      </c>
      <c r="H519" s="3" t="str">
        <f>VLOOKUP(B519,LifeList!$E$2:$I$2038,5)</f>
        <v>Thraupidae (Tanagers and Allies)</v>
      </c>
      <c r="I519" s="3"/>
    </row>
    <row r="520" spans="1:9" ht="10.5" customHeight="1">
      <c r="A520" s="3" t="s">
        <v>764</v>
      </c>
      <c r="B520" s="3" t="s">
        <v>765</v>
      </c>
      <c r="C520" s="3">
        <f>VLOOKUP(B520,LifeList!$E$2:$J$2038,6)</f>
        <v>34598</v>
      </c>
      <c r="D520" s="3" t="str">
        <f>VLOOKUP(B520,LifeList!$E$2:$G$2038,1)</f>
        <v>Blue Grosbeak</v>
      </c>
      <c r="E520" s="3" t="str">
        <f>VLOOKUP(B520,LifeList!$E$2:$G$2038,2)</f>
        <v>Guiraca bleu</v>
      </c>
      <c r="F520" s="3" t="str">
        <f>VLOOKUP(B520,LifeList!$E$2:$G$2038,3)</f>
        <v>Passerina caerulea</v>
      </c>
      <c r="G520" s="3" t="str">
        <f>VLOOKUP(B520,LifeList!$E$2:$I$2038,4)</f>
        <v>Passeriformes</v>
      </c>
      <c r="H520" s="3" t="str">
        <f>VLOOKUP(B520,LifeList!$E$2:$I$2038,5)</f>
        <v>Cardinalidae (Cardinals and Allies)</v>
      </c>
      <c r="I520" s="3"/>
    </row>
    <row r="521" spans="1:9" ht="10.5" customHeight="1">
      <c r="A521" s="3" t="s">
        <v>766</v>
      </c>
      <c r="B521" s="3" t="s">
        <v>767</v>
      </c>
      <c r="C521" s="3">
        <f>VLOOKUP(B521,LifeList!$E$2:$J$2038,6)</f>
        <v>21294</v>
      </c>
      <c r="D521" s="3" t="str">
        <f>VLOOKUP(B521,LifeList!$E$2:$G$2038,1)</f>
        <v>Blue Jay</v>
      </c>
      <c r="E521" s="3" t="str">
        <f>VLOOKUP(B521,LifeList!$E$2:$G$2038,2)</f>
        <v>Geai bleu</v>
      </c>
      <c r="F521" s="3" t="str">
        <f>VLOOKUP(B521,LifeList!$E$2:$G$2038,3)</f>
        <v>Cyanocitta cristata</v>
      </c>
      <c r="G521" s="3" t="str">
        <f>VLOOKUP(B521,LifeList!$E$2:$I$2038,4)</f>
        <v>Passeriformes</v>
      </c>
      <c r="H521" s="3" t="str">
        <f>VLOOKUP(B521,LifeList!$E$2:$I$2038,5)</f>
        <v>Corvidae (Crows, Jays, and Magpies)</v>
      </c>
      <c r="I521" s="3"/>
    </row>
    <row r="522" spans="1:9" ht="10.5" customHeight="1">
      <c r="A522" s="3" t="s">
        <v>768</v>
      </c>
      <c r="B522" s="3" t="s">
        <v>767</v>
      </c>
      <c r="C522" s="3">
        <f>VLOOKUP(B522,LifeList!$E$2:$J$2038,6)</f>
        <v>21294</v>
      </c>
      <c r="D522" s="3" t="str">
        <f>VLOOKUP(B522,LifeList!$E$2:$G$2038,1)</f>
        <v>Blue Jay</v>
      </c>
      <c r="E522" s="3" t="str">
        <f>VLOOKUP(B522,LifeList!$E$2:$G$2038,2)</f>
        <v>Geai bleu</v>
      </c>
      <c r="F522" s="3" t="str">
        <f>VLOOKUP(B522,LifeList!$E$2:$G$2038,3)</f>
        <v>Cyanocitta cristata</v>
      </c>
      <c r="G522" s="3" t="str">
        <f>VLOOKUP(B522,LifeList!$E$2:$I$2038,4)</f>
        <v>Passeriformes</v>
      </c>
      <c r="H522" s="3" t="str">
        <f>VLOOKUP(B522,LifeList!$E$2:$I$2038,5)</f>
        <v>Corvidae (Crows, Jays, and Magpies)</v>
      </c>
      <c r="I522" s="3"/>
    </row>
    <row r="523" spans="1:9" ht="10.5" customHeight="1">
      <c r="A523" s="3" t="s">
        <v>769</v>
      </c>
      <c r="B523" s="3" t="s">
        <v>770</v>
      </c>
      <c r="C523" s="3">
        <f>VLOOKUP(B523,LifeList!$E$2:$J$2038,6)</f>
        <v>35036</v>
      </c>
      <c r="D523" s="3" t="str">
        <f>VLOOKUP(B523,LifeList!$E$2:$G$2038,1)</f>
        <v>Blue-and-black Tanager</v>
      </c>
      <c r="E523" s="3" t="str">
        <f>VLOOKUP(B523,LifeList!$E$2:$G$2038,2)</f>
        <v>Calliste bleu et noir</v>
      </c>
      <c r="F523" s="3" t="str">
        <f>VLOOKUP(B523,LifeList!$E$2:$G$2038,3)</f>
        <v>Tangara vassorii</v>
      </c>
      <c r="G523" s="3" t="str">
        <f>VLOOKUP(B523,LifeList!$E$2:$I$2038,4)</f>
        <v>Passeriformes</v>
      </c>
      <c r="H523" s="3" t="str">
        <f>VLOOKUP(B523,LifeList!$E$2:$I$2038,5)</f>
        <v>Thraupidae (Tanagers and Allies)</v>
      </c>
      <c r="I523" s="3"/>
    </row>
    <row r="524" spans="1:9" ht="10.5" customHeight="1">
      <c r="A524" s="3" t="s">
        <v>771</v>
      </c>
      <c r="B524" s="3" t="s">
        <v>772</v>
      </c>
      <c r="C524" s="3">
        <f>VLOOKUP(B524,LifeList!$E$2:$J$2038,6)</f>
        <v>13140</v>
      </c>
      <c r="D524" s="3" t="str">
        <f>VLOOKUP(B524,LifeList!$E$2:$G$2038,1)</f>
        <v>Blue-and-yellow Macaw</v>
      </c>
      <c r="E524" s="3" t="str">
        <f>VLOOKUP(B524,LifeList!$E$2:$G$2038,2)</f>
        <v>Ara bleu</v>
      </c>
      <c r="F524" s="3" t="str">
        <f>VLOOKUP(B524,LifeList!$E$2:$G$2038,3)</f>
        <v>Ara ararauna</v>
      </c>
      <c r="G524" s="3" t="str">
        <f>VLOOKUP(B524,LifeList!$E$2:$I$2038,4)</f>
        <v>Psittaciformes</v>
      </c>
      <c r="H524" s="3" t="str">
        <f>VLOOKUP(B524,LifeList!$E$2:$I$2038,5)</f>
        <v>Psittacidae (New World and African Parrots)</v>
      </c>
      <c r="I524" s="3"/>
    </row>
    <row r="525" spans="1:9" ht="10.5" customHeight="1">
      <c r="A525" s="3" t="s">
        <v>773</v>
      </c>
      <c r="B525" s="3" t="s">
        <v>774</v>
      </c>
      <c r="C525" s="3">
        <f>VLOOKUP(B525,LifeList!$E$2:$J$2038,6)</f>
        <v>480</v>
      </c>
      <c r="D525" s="3" t="str">
        <f>VLOOKUP(B525,LifeList!$E$2:$G$2038,1)</f>
        <v>Blue-billed Teal</v>
      </c>
      <c r="E525" s="3" t="str">
        <f>VLOOKUP(B525,LifeList!$E$2:$G$2038,2)</f>
        <v>Sarcelle à bec bleu</v>
      </c>
      <c r="F525" s="3" t="str">
        <f>VLOOKUP(B525,LifeList!$E$2:$G$2038,3)</f>
        <v>Spatula hottentota</v>
      </c>
      <c r="G525" s="3" t="str">
        <f>VLOOKUP(B525,LifeList!$E$2:$I$2038,4)</f>
        <v>Anseriformes</v>
      </c>
      <c r="H525" s="3" t="str">
        <f>VLOOKUP(B525,LifeList!$E$2:$I$2038,5)</f>
        <v>Anatidae (Ducks, Geese, and Waterfowl)</v>
      </c>
      <c r="I525" s="3"/>
    </row>
    <row r="526" spans="1:9" ht="10.5" customHeight="1">
      <c r="A526" s="3" t="s">
        <v>775</v>
      </c>
      <c r="B526" s="3" t="s">
        <v>776</v>
      </c>
      <c r="C526" s="3">
        <f>VLOOKUP(B526,LifeList!$E$2:$J$2038,6)</f>
        <v>35510</v>
      </c>
      <c r="D526" s="3" t="str">
        <f>VLOOKUP(B526,LifeList!$E$2:$G$2038,1)</f>
        <v>Blue-black Grassquit</v>
      </c>
      <c r="E526" s="3" t="str">
        <f>VLOOKUP(B526,LifeList!$E$2:$G$2038,2)</f>
        <v>Jacarini noir</v>
      </c>
      <c r="F526" s="3" t="str">
        <f>VLOOKUP(B526,LifeList!$E$2:$G$2038,3)</f>
        <v>Volatinia jacarina</v>
      </c>
      <c r="G526" s="3" t="str">
        <f>VLOOKUP(B526,LifeList!$E$2:$I$2038,4)</f>
        <v>Passeriformes</v>
      </c>
      <c r="H526" s="3" t="str">
        <f>VLOOKUP(B526,LifeList!$E$2:$I$2038,5)</f>
        <v>Thraupidae (Tanagers and Allies)</v>
      </c>
      <c r="I526" s="3"/>
    </row>
    <row r="527" spans="1:9" ht="10.5" customHeight="1">
      <c r="A527" s="3" t="s">
        <v>777</v>
      </c>
      <c r="B527" s="3" t="s">
        <v>776</v>
      </c>
      <c r="C527" s="3">
        <f>VLOOKUP(B527,LifeList!$E$2:$J$2038,6)</f>
        <v>35510</v>
      </c>
      <c r="D527" s="3" t="str">
        <f>VLOOKUP(B527,LifeList!$E$2:$G$2038,1)</f>
        <v>Blue-black Grassquit</v>
      </c>
      <c r="E527" s="3" t="str">
        <f>VLOOKUP(B527,LifeList!$E$2:$G$2038,2)</f>
        <v>Jacarini noir</v>
      </c>
      <c r="F527" s="3" t="str">
        <f>VLOOKUP(B527,LifeList!$E$2:$G$2038,3)</f>
        <v>Volatinia jacarina</v>
      </c>
      <c r="G527" s="3" t="str">
        <f>VLOOKUP(B527,LifeList!$E$2:$I$2038,4)</f>
        <v>Passeriformes</v>
      </c>
      <c r="H527" s="3" t="str">
        <f>VLOOKUP(B527,LifeList!$E$2:$I$2038,5)</f>
        <v>Thraupidae (Tanagers and Allies)</v>
      </c>
      <c r="I527" s="3"/>
    </row>
    <row r="528" spans="1:9" ht="10.5" customHeight="1">
      <c r="A528" s="3" t="s">
        <v>778</v>
      </c>
      <c r="B528" s="3" t="s">
        <v>776</v>
      </c>
      <c r="C528" s="3">
        <f>VLOOKUP(B528,LifeList!$E$2:$J$2038,6)</f>
        <v>35510</v>
      </c>
      <c r="D528" s="3" t="str">
        <f>VLOOKUP(B528,LifeList!$E$2:$G$2038,1)</f>
        <v>Blue-black Grassquit</v>
      </c>
      <c r="E528" s="3" t="str">
        <f>VLOOKUP(B528,LifeList!$E$2:$G$2038,2)</f>
        <v>Jacarini noir</v>
      </c>
      <c r="F528" s="3" t="str">
        <f>VLOOKUP(B528,LifeList!$E$2:$G$2038,3)</f>
        <v>Volatinia jacarina</v>
      </c>
      <c r="G528" s="3" t="str">
        <f>VLOOKUP(B528,LifeList!$E$2:$I$2038,4)</f>
        <v>Passeriformes</v>
      </c>
      <c r="H528" s="3" t="str">
        <f>VLOOKUP(B528,LifeList!$E$2:$I$2038,5)</f>
        <v>Thraupidae (Tanagers and Allies)</v>
      </c>
      <c r="I528" s="3"/>
    </row>
    <row r="529" spans="1:9" ht="10.5" customHeight="1">
      <c r="A529" s="5" t="s">
        <v>779</v>
      </c>
      <c r="B529" s="3" t="s">
        <v>780</v>
      </c>
      <c r="C529" s="6">
        <f>VLOOKUP(B529,LifeList!$E$2:$J$2038,6)</f>
        <v>34845</v>
      </c>
      <c r="D529" s="3" t="str">
        <f>VLOOKUP(B529,LifeList!$E$2:$G$2038,1)</f>
        <v>Blue-capped Tanager</v>
      </c>
      <c r="E529" s="3" t="str">
        <f>VLOOKUP(B529,LifeList!$E$2:$G$2038,2)</f>
        <v>Tangara à tête bleue</v>
      </c>
      <c r="F529" s="3" t="str">
        <f>VLOOKUP(B529,LifeList!$E$2:$G$2038,3)</f>
        <v>Sporathraupis cyanocephala</v>
      </c>
      <c r="G529" s="3" t="str">
        <f>VLOOKUP(B529,LifeList!$E$2:$I$2038,4)</f>
        <v>Passeriformes</v>
      </c>
      <c r="H529" s="3" t="str">
        <f>VLOOKUP(B529,LifeList!$E$2:$I$2038,5)</f>
        <v>Thraupidae (Tanagers and Allies)</v>
      </c>
      <c r="I529" s="3"/>
    </row>
    <row r="530" spans="1:9" ht="10.5" customHeight="1">
      <c r="A530" s="3" t="s">
        <v>781</v>
      </c>
      <c r="B530" s="3" t="s">
        <v>782</v>
      </c>
      <c r="C530" s="3">
        <f>VLOOKUP(B530,LifeList!$E$2:$J$2038,6)</f>
        <v>5190</v>
      </c>
      <c r="D530" s="3" t="str">
        <f>VLOOKUP(B530,LifeList!$E$2:$G$2038,1)</f>
        <v>Blue-chested Hummingbird</v>
      </c>
      <c r="E530" s="3" t="str">
        <f>VLOOKUP(B530,LifeList!$E$2:$G$2038,2)</f>
        <v>Ariane aimable</v>
      </c>
      <c r="F530" s="3" t="str">
        <f>VLOOKUP(B530,LifeList!$E$2:$G$2038,3)</f>
        <v>Polyerata amabilis</v>
      </c>
      <c r="G530" s="3" t="str">
        <f>VLOOKUP(B530,LifeList!$E$2:$I$2038,4)</f>
        <v>Apodiformes</v>
      </c>
      <c r="H530" s="3" t="str">
        <f>VLOOKUP(B530,LifeList!$E$2:$I$2038,5)</f>
        <v>Trochilidae (Hummingbirds)</v>
      </c>
      <c r="I530" s="3"/>
    </row>
    <row r="531" spans="1:9" ht="10.5" customHeight="1">
      <c r="A531" s="3" t="s">
        <v>783</v>
      </c>
      <c r="B531" s="3" t="s">
        <v>782</v>
      </c>
      <c r="C531" s="3">
        <f>VLOOKUP(B531,LifeList!$E$2:$J$2038,6)</f>
        <v>5190</v>
      </c>
      <c r="D531" s="3" t="str">
        <f>VLOOKUP(B531,LifeList!$E$2:$G$2038,1)</f>
        <v>Blue-chested Hummingbird</v>
      </c>
      <c r="E531" s="3" t="str">
        <f>VLOOKUP(B531,LifeList!$E$2:$G$2038,2)</f>
        <v>Ariane aimable</v>
      </c>
      <c r="F531" s="3" t="str">
        <f>VLOOKUP(B531,LifeList!$E$2:$G$2038,3)</f>
        <v>Polyerata amabilis</v>
      </c>
      <c r="G531" s="3" t="str">
        <f>VLOOKUP(B531,LifeList!$E$2:$I$2038,4)</f>
        <v>Apodiformes</v>
      </c>
      <c r="H531" s="3" t="str">
        <f>VLOOKUP(B531,LifeList!$E$2:$I$2038,5)</f>
        <v>Trochilidae (Hummingbirds)</v>
      </c>
      <c r="I531" s="3"/>
    </row>
    <row r="532" spans="1:9" ht="10.5" customHeight="1">
      <c r="A532" s="3" t="s">
        <v>784</v>
      </c>
      <c r="B532" s="3" t="s">
        <v>785</v>
      </c>
      <c r="C532" s="3">
        <f>VLOOKUP(B532,LifeList!$E$2:$J$2038,6)</f>
        <v>13164</v>
      </c>
      <c r="D532" s="3" t="str">
        <f>VLOOKUP(B532,LifeList!$E$2:$G$2038,1)</f>
        <v>Blue-crowned Parakeet</v>
      </c>
      <c r="E532" s="3" t="str">
        <f>VLOOKUP(B532,LifeList!$E$2:$G$2038,2)</f>
        <v>Conure à tête bleue</v>
      </c>
      <c r="F532" s="3" t="str">
        <f>VLOOKUP(B532,LifeList!$E$2:$G$2038,3)</f>
        <v>Thectocercus acuticaudatus</v>
      </c>
      <c r="G532" s="3" t="str">
        <f>VLOOKUP(B532,LifeList!$E$2:$I$2038,4)</f>
        <v>Psittaciformes</v>
      </c>
      <c r="H532" s="3" t="str">
        <f>VLOOKUP(B532,LifeList!$E$2:$I$2038,5)</f>
        <v>Psittacidae (New World and African Parrots)</v>
      </c>
      <c r="I532" s="3"/>
    </row>
    <row r="533" spans="1:9" ht="10.5" customHeight="1">
      <c r="A533" s="3" t="s">
        <v>786</v>
      </c>
      <c r="B533" s="3" t="s">
        <v>785</v>
      </c>
      <c r="C533" s="3">
        <f>VLOOKUP(B533,LifeList!$E$2:$J$2038,6)</f>
        <v>13164</v>
      </c>
      <c r="D533" s="3" t="str">
        <f>VLOOKUP(B533,LifeList!$E$2:$G$2038,1)</f>
        <v>Blue-crowned Parakeet</v>
      </c>
      <c r="E533" s="3" t="str">
        <f>VLOOKUP(B533,LifeList!$E$2:$G$2038,2)</f>
        <v>Conure à tête bleue</v>
      </c>
      <c r="F533" s="3" t="str">
        <f>VLOOKUP(B533,LifeList!$E$2:$G$2038,3)</f>
        <v>Thectocercus acuticaudatus</v>
      </c>
      <c r="G533" s="3" t="str">
        <f>VLOOKUP(B533,LifeList!$E$2:$I$2038,4)</f>
        <v>Psittaciformes</v>
      </c>
      <c r="H533" s="3" t="str">
        <f>VLOOKUP(B533,LifeList!$E$2:$I$2038,5)</f>
        <v>Psittacidae (New World and African Parrots)</v>
      </c>
      <c r="I533" s="3"/>
    </row>
    <row r="534" spans="1:9" ht="10.5" customHeight="1">
      <c r="A534" s="3" t="s">
        <v>787</v>
      </c>
      <c r="B534" s="3" t="s">
        <v>785</v>
      </c>
      <c r="C534" s="3">
        <f>VLOOKUP(B534,LifeList!$E$2:$J$2038,6)</f>
        <v>13164</v>
      </c>
      <c r="D534" s="3" t="str">
        <f>VLOOKUP(B534,LifeList!$E$2:$G$2038,1)</f>
        <v>Blue-crowned Parakeet</v>
      </c>
      <c r="E534" s="3" t="str">
        <f>VLOOKUP(B534,LifeList!$E$2:$G$2038,2)</f>
        <v>Conure à tête bleue</v>
      </c>
      <c r="F534" s="3" t="str">
        <f>VLOOKUP(B534,LifeList!$E$2:$G$2038,3)</f>
        <v>Thectocercus acuticaudatus</v>
      </c>
      <c r="G534" s="3" t="str">
        <f>VLOOKUP(B534,LifeList!$E$2:$I$2038,4)</f>
        <v>Psittaciformes</v>
      </c>
      <c r="H534" s="3" t="str">
        <f>VLOOKUP(B534,LifeList!$E$2:$I$2038,5)</f>
        <v>Psittacidae (New World and African Parrots)</v>
      </c>
      <c r="I534" s="3"/>
    </row>
    <row r="535" spans="1:9" ht="10.5" customHeight="1">
      <c r="A535" s="3" t="s">
        <v>788</v>
      </c>
      <c r="B535" s="3" t="s">
        <v>789</v>
      </c>
      <c r="C535" s="3">
        <f>VLOOKUP(B535,LifeList!$E$2:$J$2038,6)</f>
        <v>7358</v>
      </c>
      <c r="D535" s="3" t="str">
        <f>VLOOKUP(B535,LifeList!$E$2:$G$2038,1)</f>
        <v>Blue-footed Booby</v>
      </c>
      <c r="E535" s="3" t="str">
        <f>VLOOKUP(B535,LifeList!$E$2:$G$2038,2)</f>
        <v>Fou à pieds bleus</v>
      </c>
      <c r="F535" s="3" t="str">
        <f>VLOOKUP(B535,LifeList!$E$2:$G$2038,3)</f>
        <v>Sula nebouxii</v>
      </c>
      <c r="G535" s="3" t="str">
        <f>VLOOKUP(B535,LifeList!$E$2:$I$2038,4)</f>
        <v>Suliformes</v>
      </c>
      <c r="H535" s="3" t="str">
        <f>VLOOKUP(B535,LifeList!$E$2:$I$2038,5)</f>
        <v>Sulidae (Boobies and Gannets)</v>
      </c>
      <c r="I535" s="3"/>
    </row>
    <row r="536" spans="1:9" ht="10.5" customHeight="1">
      <c r="A536" s="3" t="s">
        <v>790</v>
      </c>
      <c r="B536" s="3" t="s">
        <v>789</v>
      </c>
      <c r="C536" s="3">
        <f>VLOOKUP(B536,LifeList!$E$2:$J$2038,6)</f>
        <v>7358</v>
      </c>
      <c r="D536" s="3" t="str">
        <f>VLOOKUP(B536,LifeList!$E$2:$G$2038,1)</f>
        <v>Blue-footed Booby</v>
      </c>
      <c r="E536" s="3" t="str">
        <f>VLOOKUP(B536,LifeList!$E$2:$G$2038,2)</f>
        <v>Fou à pieds bleus</v>
      </c>
      <c r="F536" s="3" t="str">
        <f>VLOOKUP(B536,LifeList!$E$2:$G$2038,3)</f>
        <v>Sula nebouxii</v>
      </c>
      <c r="G536" s="3" t="str">
        <f>VLOOKUP(B536,LifeList!$E$2:$I$2038,4)</f>
        <v>Suliformes</v>
      </c>
      <c r="H536" s="3" t="str">
        <f>VLOOKUP(B536,LifeList!$E$2:$I$2038,5)</f>
        <v>Sulidae (Boobies and Gannets)</v>
      </c>
      <c r="I536" s="3"/>
    </row>
    <row r="537" spans="1:9" ht="10.5" customHeight="1">
      <c r="A537" s="3" t="s">
        <v>791</v>
      </c>
      <c r="B537" s="3" t="s">
        <v>792</v>
      </c>
      <c r="C537" s="3">
        <f>VLOOKUP(B537,LifeList!$E$2:$J$2038,6)</f>
        <v>12797</v>
      </c>
      <c r="D537" s="3" t="str">
        <f>VLOOKUP(B537,LifeList!$E$2:$G$2038,1)</f>
        <v>Blue-fronted Parrotlet</v>
      </c>
      <c r="E537" s="3" t="str">
        <f>VLOOKUP(B537,LifeList!$E$2:$G$2038,2)</f>
        <v>Toui à front bleu</v>
      </c>
      <c r="F537" s="3" t="str">
        <f>VLOOKUP(B537,LifeList!$E$2:$G$2038,3)</f>
        <v>Touit dilectissimus</v>
      </c>
      <c r="G537" s="3" t="str">
        <f>VLOOKUP(B537,LifeList!$E$2:$I$2038,4)</f>
        <v>Psittaciformes</v>
      </c>
      <c r="H537" s="3" t="str">
        <f>VLOOKUP(B537,LifeList!$E$2:$I$2038,5)</f>
        <v>Psittacidae (New World and African Parrots)</v>
      </c>
      <c r="I537" s="3"/>
    </row>
    <row r="538" spans="1:9" ht="10.5" customHeight="1">
      <c r="A538" s="3" t="s">
        <v>793</v>
      </c>
      <c r="B538" s="3" t="s">
        <v>792</v>
      </c>
      <c r="C538" s="3">
        <f>VLOOKUP(B538,LifeList!$E$2:$J$2038,6)</f>
        <v>12797</v>
      </c>
      <c r="D538" s="3" t="str">
        <f>VLOOKUP(B538,LifeList!$E$2:$G$2038,1)</f>
        <v>Blue-fronted Parrotlet</v>
      </c>
      <c r="E538" s="3" t="str">
        <f>VLOOKUP(B538,LifeList!$E$2:$G$2038,2)</f>
        <v>Toui à front bleu</v>
      </c>
      <c r="F538" s="3" t="str">
        <f>VLOOKUP(B538,LifeList!$E$2:$G$2038,3)</f>
        <v>Touit dilectissimus</v>
      </c>
      <c r="G538" s="3" t="str">
        <f>VLOOKUP(B538,LifeList!$E$2:$I$2038,4)</f>
        <v>Psittaciformes</v>
      </c>
      <c r="H538" s="3" t="str">
        <f>VLOOKUP(B538,LifeList!$E$2:$I$2038,5)</f>
        <v>Psittacidae (New World and African Parrots)</v>
      </c>
      <c r="I538" s="3"/>
    </row>
    <row r="539" spans="1:9" ht="10.5" customHeight="1">
      <c r="A539" s="3" t="s">
        <v>794</v>
      </c>
      <c r="B539" s="3" t="s">
        <v>795</v>
      </c>
      <c r="C539" s="3">
        <f>VLOOKUP(B539,LifeList!$E$2:$J$2038,6)</f>
        <v>27123</v>
      </c>
      <c r="D539" s="3" t="str">
        <f>VLOOKUP(B539,LifeList!$E$2:$G$2038,1)</f>
        <v>Blue-gray Gnatcatcher</v>
      </c>
      <c r="E539" s="3" t="str">
        <f>VLOOKUP(B539,LifeList!$E$2:$G$2038,2)</f>
        <v>Gobemoucheron gris-bleu</v>
      </c>
      <c r="F539" s="3" t="str">
        <f>VLOOKUP(B539,LifeList!$E$2:$G$2038,3)</f>
        <v>Polioptila caerulea</v>
      </c>
      <c r="G539" s="3" t="str">
        <f>VLOOKUP(B539,LifeList!$E$2:$I$2038,4)</f>
        <v>Passeriformes</v>
      </c>
      <c r="H539" s="3" t="str">
        <f>VLOOKUP(B539,LifeList!$E$2:$I$2038,5)</f>
        <v>Polioptilidae (Gnatcatchers)</v>
      </c>
      <c r="I539" s="3"/>
    </row>
    <row r="540" spans="1:9" ht="10.5" customHeight="1">
      <c r="A540" s="3" t="s">
        <v>796</v>
      </c>
      <c r="B540" s="3" t="s">
        <v>795</v>
      </c>
      <c r="C540" s="3">
        <f>VLOOKUP(B540,LifeList!$E$2:$J$2038,6)</f>
        <v>27123</v>
      </c>
      <c r="D540" s="3" t="str">
        <f>VLOOKUP(B540,LifeList!$E$2:$G$2038,1)</f>
        <v>Blue-gray Gnatcatcher</v>
      </c>
      <c r="E540" s="3" t="str">
        <f>VLOOKUP(B540,LifeList!$E$2:$G$2038,2)</f>
        <v>Gobemoucheron gris-bleu</v>
      </c>
      <c r="F540" s="3" t="str">
        <f>VLOOKUP(B540,LifeList!$E$2:$G$2038,3)</f>
        <v>Polioptila caerulea</v>
      </c>
      <c r="G540" s="3" t="str">
        <f>VLOOKUP(B540,LifeList!$E$2:$I$2038,4)</f>
        <v>Passeriformes</v>
      </c>
      <c r="H540" s="3" t="str">
        <f>VLOOKUP(B540,LifeList!$E$2:$I$2038,5)</f>
        <v>Polioptilidae (Gnatcatchers)</v>
      </c>
      <c r="I540" s="3"/>
    </row>
    <row r="541" spans="1:9" ht="10.5" customHeight="1">
      <c r="A541" s="3" t="s">
        <v>797</v>
      </c>
      <c r="B541" s="3" t="s">
        <v>795</v>
      </c>
      <c r="C541" s="3">
        <f>VLOOKUP(B541,LifeList!$E$2:$J$2038,6)</f>
        <v>27123</v>
      </c>
      <c r="D541" s="3" t="str">
        <f>VLOOKUP(B541,LifeList!$E$2:$G$2038,1)</f>
        <v>Blue-gray Gnatcatcher</v>
      </c>
      <c r="E541" s="3" t="str">
        <f>VLOOKUP(B541,LifeList!$E$2:$G$2038,2)</f>
        <v>Gobemoucheron gris-bleu</v>
      </c>
      <c r="F541" s="3" t="str">
        <f>VLOOKUP(B541,LifeList!$E$2:$G$2038,3)</f>
        <v>Polioptila caerulea</v>
      </c>
      <c r="G541" s="3" t="str">
        <f>VLOOKUP(B541,LifeList!$E$2:$I$2038,4)</f>
        <v>Passeriformes</v>
      </c>
      <c r="H541" s="3" t="str">
        <f>VLOOKUP(B541,LifeList!$E$2:$I$2038,5)</f>
        <v>Polioptilidae (Gnatcatchers)</v>
      </c>
      <c r="I541" s="3"/>
    </row>
    <row r="542" spans="1:9" ht="10.5" customHeight="1">
      <c r="A542" s="3" t="s">
        <v>798</v>
      </c>
      <c r="B542" s="3" t="s">
        <v>795</v>
      </c>
      <c r="C542" s="3">
        <f>VLOOKUP(B542,LifeList!$E$2:$J$2038,6)</f>
        <v>27123</v>
      </c>
      <c r="D542" s="3" t="str">
        <f>VLOOKUP(B542,LifeList!$E$2:$G$2038,1)</f>
        <v>Blue-gray Gnatcatcher</v>
      </c>
      <c r="E542" s="3" t="str">
        <f>VLOOKUP(B542,LifeList!$E$2:$G$2038,2)</f>
        <v>Gobemoucheron gris-bleu</v>
      </c>
      <c r="F542" s="3" t="str">
        <f>VLOOKUP(B542,LifeList!$E$2:$G$2038,3)</f>
        <v>Polioptila caerulea</v>
      </c>
      <c r="G542" s="3" t="str">
        <f>VLOOKUP(B542,LifeList!$E$2:$I$2038,4)</f>
        <v>Passeriformes</v>
      </c>
      <c r="H542" s="3" t="str">
        <f>VLOOKUP(B542,LifeList!$E$2:$I$2038,5)</f>
        <v>Polioptilidae (Gnatcatchers)</v>
      </c>
      <c r="I542" s="3"/>
    </row>
    <row r="543" spans="1:9" ht="10.5" customHeight="1">
      <c r="A543" s="3" t="s">
        <v>799</v>
      </c>
      <c r="B543" s="3" t="s">
        <v>795</v>
      </c>
      <c r="C543" s="3">
        <f>VLOOKUP(B543,LifeList!$E$2:$J$2038,6)</f>
        <v>27123</v>
      </c>
      <c r="D543" s="3" t="str">
        <f>VLOOKUP(B543,LifeList!$E$2:$G$2038,1)</f>
        <v>Blue-gray Gnatcatcher</v>
      </c>
      <c r="E543" s="3" t="str">
        <f>VLOOKUP(B543,LifeList!$E$2:$G$2038,2)</f>
        <v>Gobemoucheron gris-bleu</v>
      </c>
      <c r="F543" s="3" t="str">
        <f>VLOOKUP(B543,LifeList!$E$2:$G$2038,3)</f>
        <v>Polioptila caerulea</v>
      </c>
      <c r="G543" s="3" t="str">
        <f>VLOOKUP(B543,LifeList!$E$2:$I$2038,4)</f>
        <v>Passeriformes</v>
      </c>
      <c r="H543" s="3" t="str">
        <f>VLOOKUP(B543,LifeList!$E$2:$I$2038,5)</f>
        <v>Polioptilidae (Gnatcatchers)</v>
      </c>
      <c r="I543" s="3"/>
    </row>
    <row r="544" spans="1:9" ht="10.5" customHeight="1">
      <c r="A544" s="3" t="s">
        <v>800</v>
      </c>
      <c r="B544" s="3" t="s">
        <v>801</v>
      </c>
      <c r="C544" s="3">
        <f>VLOOKUP(B544,LifeList!$E$2:$J$2038,6)</f>
        <v>34933</v>
      </c>
      <c r="D544" s="3" t="str">
        <f>VLOOKUP(B544,LifeList!$E$2:$G$2038,1)</f>
        <v>Blue-gray Tanager</v>
      </c>
      <c r="E544" s="3" t="str">
        <f>VLOOKUP(B544,LifeList!$E$2:$G$2038,2)</f>
        <v>Tangara évêque</v>
      </c>
      <c r="F544" s="3" t="str">
        <f>VLOOKUP(B544,LifeList!$E$2:$G$2038,3)</f>
        <v>Thraupis episcopus</v>
      </c>
      <c r="G544" s="3" t="str">
        <f>VLOOKUP(B544,LifeList!$E$2:$I$2038,4)</f>
        <v>Passeriformes</v>
      </c>
      <c r="H544" s="3" t="str">
        <f>VLOOKUP(B544,LifeList!$E$2:$I$2038,5)</f>
        <v>Thraupidae (Tanagers and Allies)</v>
      </c>
      <c r="I544" s="3"/>
    </row>
    <row r="545" spans="1:9" ht="10.5" customHeight="1">
      <c r="A545" s="3" t="s">
        <v>802</v>
      </c>
      <c r="B545" s="3" t="s">
        <v>801</v>
      </c>
      <c r="C545" s="3">
        <f>VLOOKUP(B545,LifeList!$E$2:$J$2038,6)</f>
        <v>34933</v>
      </c>
      <c r="D545" s="3" t="str">
        <f>VLOOKUP(B545,LifeList!$E$2:$G$2038,1)</f>
        <v>Blue-gray Tanager</v>
      </c>
      <c r="E545" s="3" t="str">
        <f>VLOOKUP(B545,LifeList!$E$2:$G$2038,2)</f>
        <v>Tangara évêque</v>
      </c>
      <c r="F545" s="3" t="str">
        <f>VLOOKUP(B545,LifeList!$E$2:$G$2038,3)</f>
        <v>Thraupis episcopus</v>
      </c>
      <c r="G545" s="3" t="str">
        <f>VLOOKUP(B545,LifeList!$E$2:$I$2038,4)</f>
        <v>Passeriformes</v>
      </c>
      <c r="H545" s="3" t="str">
        <f>VLOOKUP(B545,LifeList!$E$2:$I$2038,5)</f>
        <v>Thraupidae (Tanagers and Allies)</v>
      </c>
      <c r="I545" s="3"/>
    </row>
    <row r="546" spans="1:9" ht="10.5" customHeight="1">
      <c r="A546" s="3" t="s">
        <v>803</v>
      </c>
      <c r="B546" s="3" t="s">
        <v>801</v>
      </c>
      <c r="C546" s="3">
        <f>VLOOKUP(B546,LifeList!$E$2:$J$2038,6)</f>
        <v>34933</v>
      </c>
      <c r="D546" s="3" t="str">
        <f>VLOOKUP(B546,LifeList!$E$2:$G$2038,1)</f>
        <v>Blue-gray Tanager</v>
      </c>
      <c r="E546" s="3" t="str">
        <f>VLOOKUP(B546,LifeList!$E$2:$G$2038,2)</f>
        <v>Tangara évêque</v>
      </c>
      <c r="F546" s="3" t="str">
        <f>VLOOKUP(B546,LifeList!$E$2:$G$2038,3)</f>
        <v>Thraupis episcopus</v>
      </c>
      <c r="G546" s="3" t="str">
        <f>VLOOKUP(B546,LifeList!$E$2:$I$2038,4)</f>
        <v>Passeriformes</v>
      </c>
      <c r="H546" s="3" t="str">
        <f>VLOOKUP(B546,LifeList!$E$2:$I$2038,5)</f>
        <v>Thraupidae (Tanagers and Allies)</v>
      </c>
      <c r="I546" s="3"/>
    </row>
    <row r="547" spans="1:9" ht="10.5" customHeight="1">
      <c r="A547" s="3" t="s">
        <v>804</v>
      </c>
      <c r="B547" s="3" t="s">
        <v>801</v>
      </c>
      <c r="C547" s="3">
        <f>VLOOKUP(B547,LifeList!$E$2:$J$2038,6)</f>
        <v>34933</v>
      </c>
      <c r="D547" s="3" t="str">
        <f>VLOOKUP(B547,LifeList!$E$2:$G$2038,1)</f>
        <v>Blue-gray Tanager</v>
      </c>
      <c r="E547" s="3" t="str">
        <f>VLOOKUP(B547,LifeList!$E$2:$G$2038,2)</f>
        <v>Tangara évêque</v>
      </c>
      <c r="F547" s="3" t="str">
        <f>VLOOKUP(B547,LifeList!$E$2:$G$2038,3)</f>
        <v>Thraupis episcopus</v>
      </c>
      <c r="G547" s="3" t="str">
        <f>VLOOKUP(B547,LifeList!$E$2:$I$2038,4)</f>
        <v>Passeriformes</v>
      </c>
      <c r="H547" s="3" t="str">
        <f>VLOOKUP(B547,LifeList!$E$2:$I$2038,5)</f>
        <v>Thraupidae (Tanagers and Allies)</v>
      </c>
      <c r="I547" s="3"/>
    </row>
    <row r="548" spans="1:9" ht="10.5" customHeight="1">
      <c r="A548" s="3" t="s">
        <v>805</v>
      </c>
      <c r="B548" s="3" t="s">
        <v>806</v>
      </c>
      <c r="C548" s="3">
        <f>VLOOKUP(B548,LifeList!$E$2:$J$2038,6)</f>
        <v>19226</v>
      </c>
      <c r="D548" s="3" t="str">
        <f>VLOOKUP(B548,LifeList!$E$2:$G$2038,1)</f>
        <v>Blue-headed Vireo</v>
      </c>
      <c r="E548" s="3" t="str">
        <f>VLOOKUP(B548,LifeList!$E$2:$G$2038,2)</f>
        <v>Viréo à tête bleue</v>
      </c>
      <c r="F548" s="3" t="str">
        <f>VLOOKUP(B548,LifeList!$E$2:$G$2038,3)</f>
        <v>Vireo solitarius</v>
      </c>
      <c r="G548" s="3" t="str">
        <f>VLOOKUP(B548,LifeList!$E$2:$I$2038,4)</f>
        <v>Passeriformes</v>
      </c>
      <c r="H548" s="3" t="str">
        <f>VLOOKUP(B548,LifeList!$E$2:$I$2038,5)</f>
        <v>Vireonidae (Vireos, Shrike-Babblers, and Erpornis)</v>
      </c>
      <c r="I548" s="3"/>
    </row>
    <row r="549" spans="1:9" ht="10.5" customHeight="1">
      <c r="A549" s="3" t="s">
        <v>807</v>
      </c>
      <c r="B549" s="3" t="s">
        <v>806</v>
      </c>
      <c r="C549" s="3">
        <f>VLOOKUP(B549,LifeList!$E$2:$J$2038,6)</f>
        <v>19226</v>
      </c>
      <c r="D549" s="3" t="str">
        <f>VLOOKUP(B549,LifeList!$E$2:$G$2038,1)</f>
        <v>Blue-headed Vireo</v>
      </c>
      <c r="E549" s="3" t="str">
        <f>VLOOKUP(B549,LifeList!$E$2:$G$2038,2)</f>
        <v>Viréo à tête bleue</v>
      </c>
      <c r="F549" s="3" t="str">
        <f>VLOOKUP(B549,LifeList!$E$2:$G$2038,3)</f>
        <v>Vireo solitarius</v>
      </c>
      <c r="G549" s="3" t="str">
        <f>VLOOKUP(B549,LifeList!$E$2:$I$2038,4)</f>
        <v>Passeriformes</v>
      </c>
      <c r="H549" s="3" t="str">
        <f>VLOOKUP(B549,LifeList!$E$2:$I$2038,5)</f>
        <v>Vireonidae (Vireos, Shrike-Babblers, and Erpornis)</v>
      </c>
      <c r="I549" s="3"/>
    </row>
    <row r="550" spans="1:9" ht="10.5" customHeight="1">
      <c r="A550" s="3" t="s">
        <v>808</v>
      </c>
      <c r="B550" s="3" t="s">
        <v>809</v>
      </c>
      <c r="C550" s="3">
        <f>VLOOKUP(B550,LifeList!$E$2:$J$2038,6)</f>
        <v>12889</v>
      </c>
      <c r="D550" s="3" t="str">
        <f>VLOOKUP(B550,LifeList!$E$2:$G$2038,1)</f>
        <v>Blue-headed Parrot</v>
      </c>
      <c r="E550" s="3" t="str">
        <f>VLOOKUP(B550,LifeList!$E$2:$G$2038,2)</f>
        <v>Pione à tête bleue</v>
      </c>
      <c r="F550" s="3" t="str">
        <f>VLOOKUP(B550,LifeList!$E$2:$G$2038,3)</f>
        <v>Pionus menstruus</v>
      </c>
      <c r="G550" s="3" t="str">
        <f>VLOOKUP(B550,LifeList!$E$2:$I$2038,4)</f>
        <v>Psittaciformes</v>
      </c>
      <c r="H550" s="3" t="str">
        <f>VLOOKUP(B550,LifeList!$E$2:$I$2038,5)</f>
        <v>Psittacidae (New World and African Parrots)</v>
      </c>
      <c r="I550" s="3"/>
    </row>
    <row r="551" spans="1:9" ht="10.5" customHeight="1">
      <c r="A551" s="3" t="s">
        <v>810</v>
      </c>
      <c r="B551" s="3" t="s">
        <v>811</v>
      </c>
      <c r="C551" s="3">
        <f>VLOOKUP(B551,LifeList!$E$2:$J$2038,6)</f>
        <v>19226</v>
      </c>
      <c r="D551" s="3" t="str">
        <f>VLOOKUP(B551,LifeList!$E$2:$G$2038,1)</f>
        <v>Blue-headed Vireo</v>
      </c>
      <c r="E551" s="3" t="str">
        <f>VLOOKUP(B551,LifeList!$E$2:$G$2038,2)</f>
        <v>Viréo à tête bleue</v>
      </c>
      <c r="F551" s="3" t="str">
        <f>VLOOKUP(B551,LifeList!$E$2:$G$2038,3)</f>
        <v>Vireo solitarius</v>
      </c>
      <c r="G551" s="3" t="str">
        <f>VLOOKUP(B551,LifeList!$E$2:$I$2038,4)</f>
        <v>Passeriformes</v>
      </c>
      <c r="H551" s="3" t="str">
        <f>VLOOKUP(B551,LifeList!$E$2:$I$2038,5)</f>
        <v>Vireonidae (Vireos, Shrike-Babblers, and Erpornis)</v>
      </c>
      <c r="I551" s="3"/>
    </row>
    <row r="552" spans="1:9" ht="10.5" customHeight="1">
      <c r="A552" s="3" t="s">
        <v>812</v>
      </c>
      <c r="B552" s="3" t="s">
        <v>811</v>
      </c>
      <c r="C552" s="3">
        <f>VLOOKUP(B552,LifeList!$E$2:$J$2038,6)</f>
        <v>19226</v>
      </c>
      <c r="D552" s="3" t="str">
        <f>VLOOKUP(B552,LifeList!$E$2:$G$2038,1)</f>
        <v>Blue-headed Vireo</v>
      </c>
      <c r="E552" s="3" t="str">
        <f>VLOOKUP(B552,LifeList!$E$2:$G$2038,2)</f>
        <v>Viréo à tête bleue</v>
      </c>
      <c r="F552" s="3" t="str">
        <f>VLOOKUP(B552,LifeList!$E$2:$G$2038,3)</f>
        <v>Vireo solitarius</v>
      </c>
      <c r="G552" s="3" t="str">
        <f>VLOOKUP(B552,LifeList!$E$2:$I$2038,4)</f>
        <v>Passeriformes</v>
      </c>
      <c r="H552" s="3" t="str">
        <f>VLOOKUP(B552,LifeList!$E$2:$I$2038,5)</f>
        <v>Vireonidae (Vireos, Shrike-Babblers, and Erpornis)</v>
      </c>
      <c r="I552" s="3"/>
    </row>
    <row r="553" spans="1:9" ht="10.5" customHeight="1">
      <c r="A553" s="3" t="s">
        <v>813</v>
      </c>
      <c r="B553" s="3" t="s">
        <v>811</v>
      </c>
      <c r="C553" s="3">
        <f>VLOOKUP(B553,LifeList!$E$2:$J$2038,6)</f>
        <v>19226</v>
      </c>
      <c r="D553" s="3" t="str">
        <f>VLOOKUP(B553,LifeList!$E$2:$G$2038,1)</f>
        <v>Blue-headed Vireo</v>
      </c>
      <c r="E553" s="3" t="str">
        <f>VLOOKUP(B553,LifeList!$E$2:$G$2038,2)</f>
        <v>Viréo à tête bleue</v>
      </c>
      <c r="F553" s="3" t="str">
        <f>VLOOKUP(B553,LifeList!$E$2:$G$2038,3)</f>
        <v>Vireo solitarius</v>
      </c>
      <c r="G553" s="3" t="str">
        <f>VLOOKUP(B553,LifeList!$E$2:$I$2038,4)</f>
        <v>Passeriformes</v>
      </c>
      <c r="H553" s="3" t="str">
        <f>VLOOKUP(B553,LifeList!$E$2:$I$2038,5)</f>
        <v>Vireonidae (Vireos, Shrike-Babblers, and Erpornis)</v>
      </c>
      <c r="I553" s="3"/>
    </row>
    <row r="554" spans="1:9" ht="10.5" customHeight="1">
      <c r="A554" s="3" t="s">
        <v>814</v>
      </c>
      <c r="B554" s="3" t="s">
        <v>815</v>
      </c>
      <c r="C554" s="3">
        <f>VLOOKUP(B554,LifeList!$E$2:$J$2038,6)</f>
        <v>31988</v>
      </c>
      <c r="D554" s="3" t="str">
        <f>VLOOKUP(B554,LifeList!$E$2:$G$2038,1)</f>
        <v>Blue-naped Chlorophonia</v>
      </c>
      <c r="E554" s="3" t="str">
        <f>VLOOKUP(B554,LifeList!$E$2:$G$2038,2)</f>
        <v>Organiste à nuque bleue</v>
      </c>
      <c r="F554" s="3" t="str">
        <f>VLOOKUP(B554,LifeList!$E$2:$G$2038,3)</f>
        <v>Chlorophonia cyanea</v>
      </c>
      <c r="G554" s="3" t="str">
        <f>VLOOKUP(B554,LifeList!$E$2:$I$2038,4)</f>
        <v>Passeriformes</v>
      </c>
      <c r="H554" s="3" t="str">
        <f>VLOOKUP(B554,LifeList!$E$2:$I$2038,5)</f>
        <v>Fringillidae (Finches, Euphonias, and Allies)</v>
      </c>
      <c r="I554" s="3"/>
    </row>
    <row r="555" spans="1:9" ht="10.5" customHeight="1">
      <c r="A555" s="3" t="s">
        <v>816</v>
      </c>
      <c r="B555" s="3" t="s">
        <v>815</v>
      </c>
      <c r="C555" s="3">
        <f>VLOOKUP(B555,LifeList!$E$2:$J$2038,6)</f>
        <v>31988</v>
      </c>
      <c r="D555" s="3" t="str">
        <f>VLOOKUP(B555,LifeList!$E$2:$G$2038,1)</f>
        <v>Blue-naped Chlorophonia</v>
      </c>
      <c r="E555" s="3" t="str">
        <f>VLOOKUP(B555,LifeList!$E$2:$G$2038,2)</f>
        <v>Organiste à nuque bleue</v>
      </c>
      <c r="F555" s="3" t="str">
        <f>VLOOKUP(B555,LifeList!$E$2:$G$2038,3)</f>
        <v>Chlorophonia cyanea</v>
      </c>
      <c r="G555" s="3" t="str">
        <f>VLOOKUP(B555,LifeList!$E$2:$I$2038,4)</f>
        <v>Passeriformes</v>
      </c>
      <c r="H555" s="3" t="str">
        <f>VLOOKUP(B555,LifeList!$E$2:$I$2038,5)</f>
        <v>Fringillidae (Finches, Euphonias, and Allies)</v>
      </c>
      <c r="I555" s="3"/>
    </row>
    <row r="556" spans="1:9" ht="10.5" customHeight="1">
      <c r="A556" s="3" t="s">
        <v>817</v>
      </c>
      <c r="B556" s="3" t="s">
        <v>818</v>
      </c>
      <c r="C556" s="3">
        <f>VLOOKUP(B556,LifeList!$E$2:$J$2038,6)</f>
        <v>35027</v>
      </c>
      <c r="D556" s="3" t="str">
        <f>VLOOKUP(B556,LifeList!$E$2:$G$2038,1)</f>
        <v>Blue-necked Tanager</v>
      </c>
      <c r="E556" s="3" t="str">
        <f>VLOOKUP(B556,LifeList!$E$2:$G$2038,2)</f>
        <v>Calliste à cou bleu</v>
      </c>
      <c r="F556" s="3" t="str">
        <f>VLOOKUP(B556,LifeList!$E$2:$G$2038,3)</f>
        <v>Stilpnia cyanicollis</v>
      </c>
      <c r="G556" s="3" t="str">
        <f>VLOOKUP(B556,LifeList!$E$2:$I$2038,4)</f>
        <v>Passeriformes</v>
      </c>
      <c r="H556" s="3" t="str">
        <f>VLOOKUP(B556,LifeList!$E$2:$I$2038,5)</f>
        <v>Thraupidae (Tanagers and Allies)</v>
      </c>
      <c r="I556" s="3"/>
    </row>
    <row r="557" spans="1:9" ht="10.5" customHeight="1">
      <c r="A557" s="3" t="s">
        <v>819</v>
      </c>
      <c r="B557" s="3" t="s">
        <v>818</v>
      </c>
      <c r="C557" s="3">
        <f>VLOOKUP(B557,LifeList!$E$2:$J$2038,6)</f>
        <v>35027</v>
      </c>
      <c r="D557" s="3" t="str">
        <f>VLOOKUP(B557,LifeList!$E$2:$G$2038,1)</f>
        <v>Blue-necked Tanager</v>
      </c>
      <c r="E557" s="3" t="str">
        <f>VLOOKUP(B557,LifeList!$E$2:$G$2038,2)</f>
        <v>Calliste à cou bleu</v>
      </c>
      <c r="F557" s="3" t="str">
        <f>VLOOKUP(B557,LifeList!$E$2:$G$2038,3)</f>
        <v>Stilpnia cyanicollis</v>
      </c>
      <c r="G557" s="3" t="str">
        <f>VLOOKUP(B557,LifeList!$E$2:$I$2038,4)</f>
        <v>Passeriformes</v>
      </c>
      <c r="H557" s="3" t="str">
        <f>VLOOKUP(B557,LifeList!$E$2:$I$2038,5)</f>
        <v>Thraupidae (Tanagers and Allies)</v>
      </c>
      <c r="I557" s="3"/>
    </row>
    <row r="558" spans="1:9" ht="10.5" customHeight="1">
      <c r="A558" s="3" t="s">
        <v>820</v>
      </c>
      <c r="B558" s="3" t="s">
        <v>821</v>
      </c>
      <c r="C558" s="3">
        <f>VLOOKUP(B558,LifeList!$E$2:$J$2038,6)</f>
        <v>5056</v>
      </c>
      <c r="D558" s="3" t="str">
        <f>VLOOKUP(B558,LifeList!$E$2:$G$2038,1)</f>
        <v>Blue-vented Hummingbird</v>
      </c>
      <c r="E558" s="3" t="str">
        <f>VLOOKUP(B558,LifeList!$E$2:$G$2038,2)</f>
        <v>Ariane de Hoffmann</v>
      </c>
      <c r="F558" s="3" t="str">
        <f>VLOOKUP(B558,LifeList!$E$2:$G$2038,3)</f>
        <v>Saucerottia hoffmanni</v>
      </c>
      <c r="G558" s="3" t="str">
        <f>VLOOKUP(B558,LifeList!$E$2:$I$2038,4)</f>
        <v>Apodiformes</v>
      </c>
      <c r="H558" s="3" t="str">
        <f>VLOOKUP(B558,LifeList!$E$2:$I$2038,5)</f>
        <v>Trochilidae (Hummingbirds)</v>
      </c>
      <c r="I558" s="3"/>
    </row>
    <row r="559" spans="1:9" ht="10.5" customHeight="1">
      <c r="A559" s="3" t="s">
        <v>822</v>
      </c>
      <c r="B559" s="3" t="s">
        <v>821</v>
      </c>
      <c r="C559" s="3">
        <f>VLOOKUP(B559,LifeList!$E$2:$J$2038,6)</f>
        <v>5056</v>
      </c>
      <c r="D559" s="3" t="str">
        <f>VLOOKUP(B559,LifeList!$E$2:$G$2038,1)</f>
        <v>Blue-vented Hummingbird</v>
      </c>
      <c r="E559" s="3" t="str">
        <f>VLOOKUP(B559,LifeList!$E$2:$G$2038,2)</f>
        <v>Ariane de Hoffmann</v>
      </c>
      <c r="F559" s="3" t="str">
        <f>VLOOKUP(B559,LifeList!$E$2:$G$2038,3)</f>
        <v>Saucerottia hoffmanni</v>
      </c>
      <c r="G559" s="3" t="str">
        <f>VLOOKUP(B559,LifeList!$E$2:$I$2038,4)</f>
        <v>Apodiformes</v>
      </c>
      <c r="H559" s="3" t="str">
        <f>VLOOKUP(B559,LifeList!$E$2:$I$2038,5)</f>
        <v>Trochilidae (Hummingbirds)</v>
      </c>
      <c r="I559" s="3"/>
    </row>
    <row r="560" spans="1:9" ht="10.5" customHeight="1">
      <c r="A560" s="3" t="s">
        <v>823</v>
      </c>
      <c r="B560" s="3" t="s">
        <v>821</v>
      </c>
      <c r="C560" s="3">
        <f>VLOOKUP(B560,LifeList!$E$2:$J$2038,6)</f>
        <v>5056</v>
      </c>
      <c r="D560" s="3" t="str">
        <f>VLOOKUP(B560,LifeList!$E$2:$G$2038,1)</f>
        <v>Blue-vented Hummingbird</v>
      </c>
      <c r="E560" s="3" t="str">
        <f>VLOOKUP(B560,LifeList!$E$2:$G$2038,2)</f>
        <v>Ariane de Hoffmann</v>
      </c>
      <c r="F560" s="3" t="str">
        <f>VLOOKUP(B560,LifeList!$E$2:$G$2038,3)</f>
        <v>Saucerottia hoffmanni</v>
      </c>
      <c r="G560" s="3" t="str">
        <f>VLOOKUP(B560,LifeList!$E$2:$I$2038,4)</f>
        <v>Apodiformes</v>
      </c>
      <c r="H560" s="3" t="str">
        <f>VLOOKUP(B560,LifeList!$E$2:$I$2038,5)</f>
        <v>Trochilidae (Hummingbirds)</v>
      </c>
      <c r="I560" s="3"/>
    </row>
    <row r="561" spans="1:9" ht="10.5" customHeight="1">
      <c r="A561" s="3" t="s">
        <v>824</v>
      </c>
      <c r="B561" s="3" t="s">
        <v>821</v>
      </c>
      <c r="C561" s="3">
        <f>VLOOKUP(B561,LifeList!$E$2:$J$2038,6)</f>
        <v>5056</v>
      </c>
      <c r="D561" s="3" t="str">
        <f>VLOOKUP(B561,LifeList!$E$2:$G$2038,1)</f>
        <v>Blue-vented Hummingbird</v>
      </c>
      <c r="E561" s="3" t="str">
        <f>VLOOKUP(B561,LifeList!$E$2:$G$2038,2)</f>
        <v>Ariane de Hoffmann</v>
      </c>
      <c r="F561" s="3" t="str">
        <f>VLOOKUP(B561,LifeList!$E$2:$G$2038,3)</f>
        <v>Saucerottia hoffmanni</v>
      </c>
      <c r="G561" s="3" t="str">
        <f>VLOOKUP(B561,LifeList!$E$2:$I$2038,4)</f>
        <v>Apodiformes</v>
      </c>
      <c r="H561" s="3" t="str">
        <f>VLOOKUP(B561,LifeList!$E$2:$I$2038,5)</f>
        <v>Trochilidae (Hummingbirds)</v>
      </c>
      <c r="I561" s="3"/>
    </row>
    <row r="562" spans="1:9" ht="10.5" customHeight="1">
      <c r="A562" s="3" t="s">
        <v>825</v>
      </c>
      <c r="B562" s="3" t="s">
        <v>821</v>
      </c>
      <c r="C562" s="3">
        <f>VLOOKUP(B562,LifeList!$E$2:$J$2038,6)</f>
        <v>5056</v>
      </c>
      <c r="D562" s="3" t="str">
        <f>VLOOKUP(B562,LifeList!$E$2:$G$2038,1)</f>
        <v>Blue-vented Hummingbird</v>
      </c>
      <c r="E562" s="3" t="str">
        <f>VLOOKUP(B562,LifeList!$E$2:$G$2038,2)</f>
        <v>Ariane de Hoffmann</v>
      </c>
      <c r="F562" s="3" t="str">
        <f>VLOOKUP(B562,LifeList!$E$2:$G$2038,3)</f>
        <v>Saucerottia hoffmanni</v>
      </c>
      <c r="G562" s="3" t="str">
        <f>VLOOKUP(B562,LifeList!$E$2:$I$2038,4)</f>
        <v>Apodiformes</v>
      </c>
      <c r="H562" s="3" t="str">
        <f>VLOOKUP(B562,LifeList!$E$2:$I$2038,5)</f>
        <v>Trochilidae (Hummingbirds)</v>
      </c>
      <c r="I562" s="3"/>
    </row>
    <row r="563" spans="1:9" ht="10.5" customHeight="1">
      <c r="A563" s="3" t="s">
        <v>826</v>
      </c>
      <c r="B563" s="5" t="s">
        <v>827</v>
      </c>
      <c r="C563" s="3">
        <f>VLOOKUP(B563,LifeList!$E$2:$J$2038,6)</f>
        <v>33957</v>
      </c>
      <c r="D563" s="3" t="str">
        <f>VLOOKUP(B563,LifeList!$E$2:$G$2038,1)</f>
        <v>Blue-winged Warbler</v>
      </c>
      <c r="E563" s="3" t="str">
        <f>VLOOKUP(B563,LifeList!$E$2:$G$2038,2)</f>
        <v>Paruline à ailes bleues</v>
      </c>
      <c r="F563" s="3" t="str">
        <f>VLOOKUP(B563,LifeList!$E$2:$G$2038,3)</f>
        <v>Vermivora cyanoptera</v>
      </c>
      <c r="G563" s="3" t="str">
        <f>VLOOKUP(B563,LifeList!$E$2:$I$2038,4)</f>
        <v>Passeriformes</v>
      </c>
      <c r="H563" s="3" t="str">
        <f>VLOOKUP(B563,LifeList!$E$2:$I$2038,5)</f>
        <v>Parulidae (New World Warblers)</v>
      </c>
      <c r="I563" s="3"/>
    </row>
    <row r="564" spans="1:9" ht="10.5" customHeight="1">
      <c r="A564" s="3" t="s">
        <v>828</v>
      </c>
      <c r="B564" s="3" t="s">
        <v>829</v>
      </c>
      <c r="C564" s="3">
        <f>VLOOKUP(B564,LifeList!$E$2:$J$2038,6)</f>
        <v>34889</v>
      </c>
      <c r="D564" s="3" t="str">
        <f>VLOOKUP(B564,LifeList!$E$2:$G$2038,1)</f>
        <v>Blue-winged Mountain Tanager</v>
      </c>
      <c r="E564" s="3" t="str">
        <f>VLOOKUP(B564,LifeList!$E$2:$G$2038,2)</f>
        <v>Tangara somptueux</v>
      </c>
      <c r="F564" s="3" t="str">
        <f>VLOOKUP(B564,LifeList!$E$2:$G$2038,3)</f>
        <v>Anisognathus somptuosus</v>
      </c>
      <c r="G564" s="3" t="str">
        <f>VLOOKUP(B564,LifeList!$E$2:$I$2038,4)</f>
        <v>Passeriformes</v>
      </c>
      <c r="H564" s="3" t="str">
        <f>VLOOKUP(B564,LifeList!$E$2:$I$2038,5)</f>
        <v>Thraupidae (Tanagers and Allies)</v>
      </c>
      <c r="I564" s="3"/>
    </row>
    <row r="565" spans="1:9" ht="10.5" customHeight="1">
      <c r="A565" s="3" t="s">
        <v>830</v>
      </c>
      <c r="B565" s="3" t="s">
        <v>831</v>
      </c>
      <c r="C565" s="3">
        <f>VLOOKUP(B565,LifeList!$E$2:$J$2038,6)</f>
        <v>12438</v>
      </c>
      <c r="D565" s="3" t="str">
        <f>VLOOKUP(B565,LifeList!$E$2:$G$2038,1)</f>
        <v>Blue-winged Parrot</v>
      </c>
      <c r="E565" s="3" t="str">
        <f>VLOOKUP(B565,LifeList!$E$2:$G$2038,2)</f>
        <v>Perruche à bouche d'or</v>
      </c>
      <c r="F565" s="3" t="str">
        <f>VLOOKUP(B565,LifeList!$E$2:$G$2038,3)</f>
        <v>Neophema chrysostoma</v>
      </c>
      <c r="G565" s="3" t="str">
        <f>VLOOKUP(B565,LifeList!$E$2:$I$2038,4)</f>
        <v>Psittaciformes</v>
      </c>
      <c r="H565" s="3" t="str">
        <f>VLOOKUP(B565,LifeList!$E$2:$I$2038,5)</f>
        <v>Psittaculidae (Old World Parrots)</v>
      </c>
      <c r="I565" s="3"/>
    </row>
    <row r="566" spans="1:9" ht="10.5" customHeight="1">
      <c r="A566" s="3" t="s">
        <v>832</v>
      </c>
      <c r="B566" s="3" t="s">
        <v>833</v>
      </c>
      <c r="C566" s="3">
        <f>VLOOKUP(B566,LifeList!$E$2:$J$2038,6)</f>
        <v>485</v>
      </c>
      <c r="D566" s="3" t="str">
        <f>VLOOKUP(B566,LifeList!$E$2:$G$2038,1)</f>
        <v>Blue-winged Teal</v>
      </c>
      <c r="E566" s="3" t="str">
        <f>VLOOKUP(B566,LifeList!$E$2:$G$2038,2)</f>
        <v>Sarcelle à ailes bleues</v>
      </c>
      <c r="F566" s="3" t="str">
        <f>VLOOKUP(B566,LifeList!$E$2:$G$2038,3)</f>
        <v>Spatula discors</v>
      </c>
      <c r="G566" s="3" t="str">
        <f>VLOOKUP(B566,LifeList!$E$2:$I$2038,4)</f>
        <v>Anseriformes</v>
      </c>
      <c r="H566" s="3" t="str">
        <f>VLOOKUP(B566,LifeList!$E$2:$I$2038,5)</f>
        <v>Anatidae (Ducks, Geese, and Waterfowl)</v>
      </c>
      <c r="I566" s="3"/>
    </row>
    <row r="567" spans="1:9" ht="10.5" customHeight="1">
      <c r="A567" s="3" t="s">
        <v>834</v>
      </c>
      <c r="B567" s="3" t="s">
        <v>833</v>
      </c>
      <c r="C567" s="3">
        <f>VLOOKUP(B567,LifeList!$E$2:$J$2038,6)</f>
        <v>485</v>
      </c>
      <c r="D567" s="3" t="str">
        <f>VLOOKUP(B567,LifeList!$E$2:$G$2038,1)</f>
        <v>Blue-winged Teal</v>
      </c>
      <c r="E567" s="3" t="str">
        <f>VLOOKUP(B567,LifeList!$E$2:$G$2038,2)</f>
        <v>Sarcelle à ailes bleues</v>
      </c>
      <c r="F567" s="3" t="str">
        <f>VLOOKUP(B567,LifeList!$E$2:$G$2038,3)</f>
        <v>Spatula discors</v>
      </c>
      <c r="G567" s="3" t="str">
        <f>VLOOKUP(B567,LifeList!$E$2:$I$2038,4)</f>
        <v>Anseriformes</v>
      </c>
      <c r="H567" s="3" t="str">
        <f>VLOOKUP(B567,LifeList!$E$2:$I$2038,5)</f>
        <v>Anatidae (Ducks, Geese, and Waterfowl)</v>
      </c>
      <c r="I567" s="3"/>
    </row>
    <row r="568" spans="1:9" ht="10.5" customHeight="1">
      <c r="A568" s="3" t="s">
        <v>835</v>
      </c>
      <c r="B568" s="3" t="s">
        <v>833</v>
      </c>
      <c r="C568" s="3">
        <f>VLOOKUP(B568,LifeList!$E$2:$J$2038,6)</f>
        <v>485</v>
      </c>
      <c r="D568" s="3" t="str">
        <f>VLOOKUP(B568,LifeList!$E$2:$G$2038,1)</f>
        <v>Blue-winged Teal</v>
      </c>
      <c r="E568" s="3" t="str">
        <f>VLOOKUP(B568,LifeList!$E$2:$G$2038,2)</f>
        <v>Sarcelle à ailes bleues</v>
      </c>
      <c r="F568" s="3" t="str">
        <f>VLOOKUP(B568,LifeList!$E$2:$G$2038,3)</f>
        <v>Spatula discors</v>
      </c>
      <c r="G568" s="3" t="str">
        <f>VLOOKUP(B568,LifeList!$E$2:$I$2038,4)</f>
        <v>Anseriformes</v>
      </c>
      <c r="H568" s="3" t="str">
        <f>VLOOKUP(B568,LifeList!$E$2:$I$2038,5)</f>
        <v>Anatidae (Ducks, Geese, and Waterfowl)</v>
      </c>
      <c r="I568" s="3"/>
    </row>
    <row r="569" spans="1:9" ht="10.5" customHeight="1">
      <c r="A569" s="3" t="s">
        <v>836</v>
      </c>
      <c r="B569" s="3" t="s">
        <v>833</v>
      </c>
      <c r="C569" s="3">
        <f>VLOOKUP(B569,LifeList!$E$2:$J$2038,6)</f>
        <v>485</v>
      </c>
      <c r="D569" s="3" t="str">
        <f>VLOOKUP(B569,LifeList!$E$2:$G$2038,1)</f>
        <v>Blue-winged Teal</v>
      </c>
      <c r="E569" s="3" t="str">
        <f>VLOOKUP(B569,LifeList!$E$2:$G$2038,2)</f>
        <v>Sarcelle à ailes bleues</v>
      </c>
      <c r="F569" s="3" t="str">
        <f>VLOOKUP(B569,LifeList!$E$2:$G$2038,3)</f>
        <v>Spatula discors</v>
      </c>
      <c r="G569" s="3" t="str">
        <f>VLOOKUP(B569,LifeList!$E$2:$I$2038,4)</f>
        <v>Anseriformes</v>
      </c>
      <c r="H569" s="3" t="str">
        <f>VLOOKUP(B569,LifeList!$E$2:$I$2038,5)</f>
        <v>Anatidae (Ducks, Geese, and Waterfowl)</v>
      </c>
      <c r="I569" s="3"/>
    </row>
    <row r="570" spans="1:9" ht="10.5" customHeight="1">
      <c r="A570" s="3" t="s">
        <v>837</v>
      </c>
      <c r="B570" s="3" t="s">
        <v>833</v>
      </c>
      <c r="C570" s="3">
        <f>VLOOKUP(B570,LifeList!$E$2:$J$2038,6)</f>
        <v>485</v>
      </c>
      <c r="D570" s="3" t="str">
        <f>VLOOKUP(B570,LifeList!$E$2:$G$2038,1)</f>
        <v>Blue-winged Teal</v>
      </c>
      <c r="E570" s="3" t="str">
        <f>VLOOKUP(B570,LifeList!$E$2:$G$2038,2)</f>
        <v>Sarcelle à ailes bleues</v>
      </c>
      <c r="F570" s="3" t="str">
        <f>VLOOKUP(B570,LifeList!$E$2:$G$2038,3)</f>
        <v>Spatula discors</v>
      </c>
      <c r="G570" s="3" t="str">
        <f>VLOOKUP(B570,LifeList!$E$2:$I$2038,4)</f>
        <v>Anseriformes</v>
      </c>
      <c r="H570" s="3" t="str">
        <f>VLOOKUP(B570,LifeList!$E$2:$I$2038,5)</f>
        <v>Anatidae (Ducks, Geese, and Waterfowl)</v>
      </c>
      <c r="I570" s="3"/>
    </row>
    <row r="571" spans="1:9" ht="10.5" customHeight="1">
      <c r="A571" s="3" t="s">
        <v>838</v>
      </c>
      <c r="B571" s="3" t="s">
        <v>833</v>
      </c>
      <c r="C571" s="3">
        <f>VLOOKUP(B571,LifeList!$E$2:$J$2038,6)</f>
        <v>485</v>
      </c>
      <c r="D571" s="3" t="str">
        <f>VLOOKUP(B571,LifeList!$E$2:$G$2038,1)</f>
        <v>Blue-winged Teal</v>
      </c>
      <c r="E571" s="3" t="str">
        <f>VLOOKUP(B571,LifeList!$E$2:$G$2038,2)</f>
        <v>Sarcelle à ailes bleues</v>
      </c>
      <c r="F571" s="3" t="str">
        <f>VLOOKUP(B571,LifeList!$E$2:$G$2038,3)</f>
        <v>Spatula discors</v>
      </c>
      <c r="G571" s="3" t="str">
        <f>VLOOKUP(B571,LifeList!$E$2:$I$2038,4)</f>
        <v>Anseriformes</v>
      </c>
      <c r="H571" s="3" t="str">
        <f>VLOOKUP(B571,LifeList!$E$2:$I$2038,5)</f>
        <v>Anatidae (Ducks, Geese, and Waterfowl)</v>
      </c>
      <c r="I571" s="3"/>
    </row>
    <row r="572" spans="1:9" ht="10.5" customHeight="1">
      <c r="A572" s="3" t="s">
        <v>839</v>
      </c>
      <c r="B572" s="3" t="s">
        <v>840</v>
      </c>
      <c r="C572" s="3">
        <f>VLOOKUP(B572,LifeList!$E$2:$J$2038,6)</f>
        <v>33957</v>
      </c>
      <c r="D572" s="3" t="str">
        <f>VLOOKUP(B572,LifeList!$E$2:$G$2038,1)</f>
        <v>Blue-winged Warbler</v>
      </c>
      <c r="E572" s="3" t="str">
        <f>VLOOKUP(B572,LifeList!$E$2:$G$2038,2)</f>
        <v>Paruline à ailes bleues</v>
      </c>
      <c r="F572" s="3" t="str">
        <f>VLOOKUP(B572,LifeList!$E$2:$G$2038,3)</f>
        <v>Vermivora cyanoptera</v>
      </c>
      <c r="G572" s="3" t="str">
        <f>VLOOKUP(B572,LifeList!$E$2:$I$2038,4)</f>
        <v>Passeriformes</v>
      </c>
      <c r="H572" s="3" t="str">
        <f>VLOOKUP(B572,LifeList!$E$2:$I$2038,5)</f>
        <v>Parulidae (New World Warblers)</v>
      </c>
      <c r="I572" s="3"/>
    </row>
    <row r="573" spans="1:9" ht="10.5" customHeight="1">
      <c r="A573" s="3" t="s">
        <v>841</v>
      </c>
      <c r="B573" s="3" t="s">
        <v>840</v>
      </c>
      <c r="C573" s="3">
        <f>VLOOKUP(B573,LifeList!$E$2:$J$2038,6)</f>
        <v>33957</v>
      </c>
      <c r="D573" s="3" t="str">
        <f>VLOOKUP(B573,LifeList!$E$2:$G$2038,1)</f>
        <v>Blue-winged Warbler</v>
      </c>
      <c r="E573" s="3" t="str">
        <f>VLOOKUP(B573,LifeList!$E$2:$G$2038,2)</f>
        <v>Paruline à ailes bleues</v>
      </c>
      <c r="F573" s="3" t="str">
        <f>VLOOKUP(B573,LifeList!$E$2:$G$2038,3)</f>
        <v>Vermivora cyanoptera</v>
      </c>
      <c r="G573" s="3" t="str">
        <f>VLOOKUP(B573,LifeList!$E$2:$I$2038,4)</f>
        <v>Passeriformes</v>
      </c>
      <c r="H573" s="3" t="str">
        <f>VLOOKUP(B573,LifeList!$E$2:$I$2038,5)</f>
        <v>Parulidae (New World Warblers)</v>
      </c>
      <c r="I573" s="3"/>
    </row>
    <row r="574" spans="1:9" ht="10.5" customHeight="1">
      <c r="A574" s="3" t="s">
        <v>842</v>
      </c>
      <c r="B574" s="3" t="s">
        <v>840</v>
      </c>
      <c r="C574" s="3">
        <f>VLOOKUP(B574,LifeList!$E$2:$J$2038,6)</f>
        <v>33957</v>
      </c>
      <c r="D574" s="3" t="str">
        <f>VLOOKUP(B574,LifeList!$E$2:$G$2038,1)</f>
        <v>Blue-winged Warbler</v>
      </c>
      <c r="E574" s="3" t="str">
        <f>VLOOKUP(B574,LifeList!$E$2:$G$2038,2)</f>
        <v>Paruline à ailes bleues</v>
      </c>
      <c r="F574" s="3" t="str">
        <f>VLOOKUP(B574,LifeList!$E$2:$G$2038,3)</f>
        <v>Vermivora cyanoptera</v>
      </c>
      <c r="G574" s="3" t="str">
        <f>VLOOKUP(B574,LifeList!$E$2:$I$2038,4)</f>
        <v>Passeriformes</v>
      </c>
      <c r="H574" s="3" t="str">
        <f>VLOOKUP(B574,LifeList!$E$2:$I$2038,5)</f>
        <v>Parulidae (New World Warblers)</v>
      </c>
      <c r="I574" s="3"/>
    </row>
    <row r="575" spans="1:9" ht="10.5" customHeight="1">
      <c r="A575" s="3" t="s">
        <v>843</v>
      </c>
      <c r="B575" s="3" t="s">
        <v>844</v>
      </c>
      <c r="C575" s="3">
        <f>VLOOKUP(B575,LifeList!$E$2:$J$2038,6)</f>
        <v>17379</v>
      </c>
      <c r="D575" s="3" t="str">
        <f>VLOOKUP(B575,LifeList!$E$2:$G$2038,1)</f>
        <v>Boat-billed Flycatcher</v>
      </c>
      <c r="E575" s="3" t="str">
        <f>VLOOKUP(B575,LifeList!$E$2:$G$2038,2)</f>
        <v>Tyran pitangua</v>
      </c>
      <c r="F575" s="3" t="str">
        <f>VLOOKUP(B575,LifeList!$E$2:$G$2038,3)</f>
        <v>Megarynchus pitangua</v>
      </c>
      <c r="G575" s="3" t="str">
        <f>VLOOKUP(B575,LifeList!$E$2:$I$2038,4)</f>
        <v>Passeriformes</v>
      </c>
      <c r="H575" s="3" t="str">
        <f>VLOOKUP(B575,LifeList!$E$2:$I$2038,5)</f>
        <v>Tyrannidae (Tyrant Flycatchers)</v>
      </c>
      <c r="I575" s="3"/>
    </row>
    <row r="576" spans="1:9" ht="10.5" customHeight="1">
      <c r="A576" s="3" t="s">
        <v>845</v>
      </c>
      <c r="B576" s="3" t="s">
        <v>844</v>
      </c>
      <c r="C576" s="3">
        <f>VLOOKUP(B576,LifeList!$E$2:$J$2038,6)</f>
        <v>17379</v>
      </c>
      <c r="D576" s="3" t="str">
        <f>VLOOKUP(B576,LifeList!$E$2:$G$2038,1)</f>
        <v>Boat-billed Flycatcher</v>
      </c>
      <c r="E576" s="3" t="str">
        <f>VLOOKUP(B576,LifeList!$E$2:$G$2038,2)</f>
        <v>Tyran pitangua</v>
      </c>
      <c r="F576" s="3" t="str">
        <f>VLOOKUP(B576,LifeList!$E$2:$G$2038,3)</f>
        <v>Megarynchus pitangua</v>
      </c>
      <c r="G576" s="3" t="str">
        <f>VLOOKUP(B576,LifeList!$E$2:$I$2038,4)</f>
        <v>Passeriformes</v>
      </c>
      <c r="H576" s="3" t="str">
        <f>VLOOKUP(B576,LifeList!$E$2:$I$2038,5)</f>
        <v>Tyrannidae (Tyrant Flycatchers)</v>
      </c>
      <c r="I576" s="3"/>
    </row>
    <row r="577" spans="1:9" ht="10.5" customHeight="1">
      <c r="A577" s="3" t="s">
        <v>846</v>
      </c>
      <c r="B577" s="3" t="s">
        <v>844</v>
      </c>
      <c r="C577" s="3">
        <f>VLOOKUP(B577,LifeList!$E$2:$J$2038,6)</f>
        <v>17379</v>
      </c>
      <c r="D577" s="3" t="str">
        <f>VLOOKUP(B577,LifeList!$E$2:$G$2038,1)</f>
        <v>Boat-billed Flycatcher</v>
      </c>
      <c r="E577" s="3" t="str">
        <f>VLOOKUP(B577,LifeList!$E$2:$G$2038,2)</f>
        <v>Tyran pitangua</v>
      </c>
      <c r="F577" s="3" t="str">
        <f>VLOOKUP(B577,LifeList!$E$2:$G$2038,3)</f>
        <v>Megarynchus pitangua</v>
      </c>
      <c r="G577" s="3" t="str">
        <f>VLOOKUP(B577,LifeList!$E$2:$I$2038,4)</f>
        <v>Passeriformes</v>
      </c>
      <c r="H577" s="3" t="str">
        <f>VLOOKUP(B577,LifeList!$E$2:$I$2038,5)</f>
        <v>Tyrannidae (Tyrant Flycatchers)</v>
      </c>
      <c r="I577" s="3"/>
    </row>
    <row r="578" spans="1:9" ht="10.5" customHeight="1">
      <c r="A578" s="3" t="s">
        <v>847</v>
      </c>
      <c r="B578" s="3" t="s">
        <v>844</v>
      </c>
      <c r="C578" s="3">
        <f>VLOOKUP(B578,LifeList!$E$2:$J$2038,6)</f>
        <v>17379</v>
      </c>
      <c r="D578" s="3" t="str">
        <f>VLOOKUP(B578,LifeList!$E$2:$G$2038,1)</f>
        <v>Boat-billed Flycatcher</v>
      </c>
      <c r="E578" s="3" t="str">
        <f>VLOOKUP(B578,LifeList!$E$2:$G$2038,2)</f>
        <v>Tyran pitangua</v>
      </c>
      <c r="F578" s="3" t="str">
        <f>VLOOKUP(B578,LifeList!$E$2:$G$2038,3)</f>
        <v>Megarynchus pitangua</v>
      </c>
      <c r="G578" s="3" t="str">
        <f>VLOOKUP(B578,LifeList!$E$2:$I$2038,4)</f>
        <v>Passeriformes</v>
      </c>
      <c r="H578" s="3" t="str">
        <f>VLOOKUP(B578,LifeList!$E$2:$I$2038,5)</f>
        <v>Tyrannidae (Tyrant Flycatchers)</v>
      </c>
      <c r="I578" s="3"/>
    </row>
    <row r="579" spans="1:9" ht="10.5" customHeight="1">
      <c r="A579" s="3" t="s">
        <v>848</v>
      </c>
      <c r="B579" s="3" t="s">
        <v>844</v>
      </c>
      <c r="C579" s="3">
        <f>VLOOKUP(B579,LifeList!$E$2:$J$2038,6)</f>
        <v>17379</v>
      </c>
      <c r="D579" s="3" t="str">
        <f>VLOOKUP(B579,LifeList!$E$2:$G$2038,1)</f>
        <v>Boat-billed Flycatcher</v>
      </c>
      <c r="E579" s="3" t="str">
        <f>VLOOKUP(B579,LifeList!$E$2:$G$2038,2)</f>
        <v>Tyran pitangua</v>
      </c>
      <c r="F579" s="3" t="str">
        <f>VLOOKUP(B579,LifeList!$E$2:$G$2038,3)</f>
        <v>Megarynchus pitangua</v>
      </c>
      <c r="G579" s="3" t="str">
        <f>VLOOKUP(B579,LifeList!$E$2:$I$2038,4)</f>
        <v>Passeriformes</v>
      </c>
      <c r="H579" s="3" t="str">
        <f>VLOOKUP(B579,LifeList!$E$2:$I$2038,5)</f>
        <v>Tyrannidae (Tyrant Flycatchers)</v>
      </c>
      <c r="I579" s="3"/>
    </row>
    <row r="580" spans="1:9" ht="10.5" customHeight="1">
      <c r="A580" s="3" t="s">
        <v>849</v>
      </c>
      <c r="B580" s="3" t="s">
        <v>850</v>
      </c>
      <c r="C580" s="3">
        <f>VLOOKUP(B580,LifeList!$E$2:$J$2038,6)</f>
        <v>7546</v>
      </c>
      <c r="D580" s="3" t="str">
        <f>VLOOKUP(B580,LifeList!$E$2:$G$2038,1)</f>
        <v>Boat-billed Heron</v>
      </c>
      <c r="E580" s="3" t="str">
        <f>VLOOKUP(B580,LifeList!$E$2:$G$2038,2)</f>
        <v>Savacou huppé</v>
      </c>
      <c r="F580" s="3" t="str">
        <f>VLOOKUP(B580,LifeList!$E$2:$G$2038,3)</f>
        <v>Cochlearius cochlearius</v>
      </c>
      <c r="G580" s="3" t="str">
        <f>VLOOKUP(B580,LifeList!$E$2:$I$2038,4)</f>
        <v>Pelecaniformes</v>
      </c>
      <c r="H580" s="3" t="str">
        <f>VLOOKUP(B580,LifeList!$E$2:$I$2038,5)</f>
        <v>Ardeidae (Herons, Egrets, and Bitterns)</v>
      </c>
      <c r="I580" s="3"/>
    </row>
    <row r="581" spans="1:9" ht="10.5" customHeight="1">
      <c r="A581" s="3" t="s">
        <v>851</v>
      </c>
      <c r="B581" s="3" t="s">
        <v>850</v>
      </c>
      <c r="C581" s="3">
        <f>VLOOKUP(B581,LifeList!$E$2:$J$2038,6)</f>
        <v>7546</v>
      </c>
      <c r="D581" s="3" t="str">
        <f>VLOOKUP(B581,LifeList!$E$2:$G$2038,1)</f>
        <v>Boat-billed Heron</v>
      </c>
      <c r="E581" s="3" t="str">
        <f>VLOOKUP(B581,LifeList!$E$2:$G$2038,2)</f>
        <v>Savacou huppé</v>
      </c>
      <c r="F581" s="3" t="str">
        <f>VLOOKUP(B581,LifeList!$E$2:$G$2038,3)</f>
        <v>Cochlearius cochlearius</v>
      </c>
      <c r="G581" s="3" t="str">
        <f>VLOOKUP(B581,LifeList!$E$2:$I$2038,4)</f>
        <v>Pelecaniformes</v>
      </c>
      <c r="H581" s="3" t="str">
        <f>VLOOKUP(B581,LifeList!$E$2:$I$2038,5)</f>
        <v>Ardeidae (Herons, Egrets, and Bitterns)</v>
      </c>
      <c r="I581" s="3"/>
    </row>
    <row r="582" spans="1:9" ht="10.5" customHeight="1">
      <c r="A582" s="3" t="s">
        <v>852</v>
      </c>
      <c r="B582" s="3" t="s">
        <v>853</v>
      </c>
      <c r="C582" s="3">
        <f>VLOOKUP(B582,LifeList!$E$2:$J$2038,6)</f>
        <v>33858</v>
      </c>
      <c r="D582" s="3" t="str">
        <f>VLOOKUP(B582,LifeList!$E$2:$G$2038,1)</f>
        <v>Boat-tailed Grackle</v>
      </c>
      <c r="E582" s="3" t="str">
        <f>VLOOKUP(B582,LifeList!$E$2:$G$2038,2)</f>
        <v>Quiscale des marais</v>
      </c>
      <c r="F582" s="3" t="str">
        <f>VLOOKUP(B582,LifeList!$E$2:$G$2038,3)</f>
        <v>Quiscalus major</v>
      </c>
      <c r="G582" s="3" t="str">
        <f>VLOOKUP(B582,LifeList!$E$2:$I$2038,4)</f>
        <v>Passeriformes</v>
      </c>
      <c r="H582" s="3" t="str">
        <f>VLOOKUP(B582,LifeList!$E$2:$I$2038,5)</f>
        <v>Icteridae (Troupials and Allies)</v>
      </c>
      <c r="I582" s="3"/>
    </row>
    <row r="583" spans="1:9" ht="10.5" customHeight="1">
      <c r="A583" s="3" t="s">
        <v>854</v>
      </c>
      <c r="B583" s="3" t="s">
        <v>853</v>
      </c>
      <c r="C583" s="3">
        <f>VLOOKUP(B583,LifeList!$E$2:$J$2038,6)</f>
        <v>33858</v>
      </c>
      <c r="D583" s="3" t="str">
        <f>VLOOKUP(B583,LifeList!$E$2:$G$2038,1)</f>
        <v>Boat-tailed Grackle</v>
      </c>
      <c r="E583" s="3" t="str">
        <f>VLOOKUP(B583,LifeList!$E$2:$G$2038,2)</f>
        <v>Quiscale des marais</v>
      </c>
      <c r="F583" s="3" t="str">
        <f>VLOOKUP(B583,LifeList!$E$2:$G$2038,3)</f>
        <v>Quiscalus major</v>
      </c>
      <c r="G583" s="3" t="str">
        <f>VLOOKUP(B583,LifeList!$E$2:$I$2038,4)</f>
        <v>Passeriformes</v>
      </c>
      <c r="H583" s="3" t="str">
        <f>VLOOKUP(B583,LifeList!$E$2:$I$2038,5)</f>
        <v>Icteridae (Troupials and Allies)</v>
      </c>
      <c r="I583" s="3"/>
    </row>
    <row r="584" spans="1:9" ht="10.5" customHeight="1">
      <c r="A584" s="3" t="s">
        <v>855</v>
      </c>
      <c r="B584" s="3" t="s">
        <v>856</v>
      </c>
      <c r="C584" s="3">
        <f>VLOOKUP(B584,LifeList!$E$2:$J$2038,6)</f>
        <v>33564</v>
      </c>
      <c r="D584" s="3" t="str">
        <f>VLOOKUP(B584,LifeList!$E$2:$G$2038,1)</f>
        <v>Bobolink</v>
      </c>
      <c r="E584" s="3" t="str">
        <f>VLOOKUP(B584,LifeList!$E$2:$G$2038,2)</f>
        <v>Goglu des prés</v>
      </c>
      <c r="F584" s="3" t="str">
        <f>VLOOKUP(B584,LifeList!$E$2:$G$2038,3)</f>
        <v>Dolichonyx oryzivorus</v>
      </c>
      <c r="G584" s="3" t="str">
        <f>VLOOKUP(B584,LifeList!$E$2:$I$2038,4)</f>
        <v>Passeriformes</v>
      </c>
      <c r="H584" s="3" t="str">
        <f>VLOOKUP(B584,LifeList!$E$2:$I$2038,5)</f>
        <v>Icteridae (Troupials and Allies)</v>
      </c>
      <c r="I584" s="3"/>
    </row>
    <row r="585" spans="1:9" ht="10.5" customHeight="1">
      <c r="A585" s="3" t="s">
        <v>857</v>
      </c>
      <c r="B585" s="3" t="s">
        <v>856</v>
      </c>
      <c r="C585" s="3">
        <f>VLOOKUP(B585,LifeList!$E$2:$J$2038,6)</f>
        <v>33564</v>
      </c>
      <c r="D585" s="3" t="str">
        <f>VLOOKUP(B585,LifeList!$E$2:$G$2038,1)</f>
        <v>Bobolink</v>
      </c>
      <c r="E585" s="3" t="str">
        <f>VLOOKUP(B585,LifeList!$E$2:$G$2038,2)</f>
        <v>Goglu des prés</v>
      </c>
      <c r="F585" s="3" t="str">
        <f>VLOOKUP(B585,LifeList!$E$2:$G$2038,3)</f>
        <v>Dolichonyx oryzivorus</v>
      </c>
      <c r="G585" s="3" t="str">
        <f>VLOOKUP(B585,LifeList!$E$2:$I$2038,4)</f>
        <v>Passeriformes</v>
      </c>
      <c r="H585" s="3" t="str">
        <f>VLOOKUP(B585,LifeList!$E$2:$I$2038,5)</f>
        <v>Icteridae (Troupials and Allies)</v>
      </c>
      <c r="I585" s="3"/>
    </row>
    <row r="586" spans="1:9" ht="10.5" customHeight="1">
      <c r="A586" s="3" t="s">
        <v>858</v>
      </c>
      <c r="B586" s="3" t="s">
        <v>856</v>
      </c>
      <c r="C586" s="3">
        <f>VLOOKUP(B586,LifeList!$E$2:$J$2038,6)</f>
        <v>33564</v>
      </c>
      <c r="D586" s="3" t="str">
        <f>VLOOKUP(B586,LifeList!$E$2:$G$2038,1)</f>
        <v>Bobolink</v>
      </c>
      <c r="E586" s="3" t="str">
        <f>VLOOKUP(B586,LifeList!$E$2:$G$2038,2)</f>
        <v>Goglu des prés</v>
      </c>
      <c r="F586" s="3" t="str">
        <f>VLOOKUP(B586,LifeList!$E$2:$G$2038,3)</f>
        <v>Dolichonyx oryzivorus</v>
      </c>
      <c r="G586" s="3" t="str">
        <f>VLOOKUP(B586,LifeList!$E$2:$I$2038,4)</f>
        <v>Passeriformes</v>
      </c>
      <c r="H586" s="3" t="str">
        <f>VLOOKUP(B586,LifeList!$E$2:$I$2038,5)</f>
        <v>Icteridae (Troupials and Allies)</v>
      </c>
      <c r="I586" s="3"/>
    </row>
    <row r="587" spans="1:9" ht="10.5" customHeight="1">
      <c r="A587" s="5" t="s">
        <v>859</v>
      </c>
      <c r="B587" s="3" t="s">
        <v>860</v>
      </c>
      <c r="C587" s="6">
        <f>VLOOKUP(B587,LifeList!$E$2:$J$2038,6)</f>
        <v>29885</v>
      </c>
      <c r="D587" s="3" t="str">
        <f>VLOOKUP(B587,LifeList!$E$2:$G$2038,1)</f>
        <v>Bohemian Waxwing</v>
      </c>
      <c r="E587" s="3" t="str">
        <f>VLOOKUP(B587,LifeList!$E$2:$G$2038,2)</f>
        <v>Jaseur boréal</v>
      </c>
      <c r="F587" s="3" t="str">
        <f>VLOOKUP(B587,LifeList!$E$2:$G$2038,3)</f>
        <v>Bombycilla garrulus</v>
      </c>
      <c r="G587" s="3" t="str">
        <f>VLOOKUP(B587,LifeList!$E$2:$I$2038,4)</f>
        <v>Passeriformes</v>
      </c>
      <c r="H587" s="3" t="str">
        <f>VLOOKUP(B587,LifeList!$E$2:$I$2038,5)</f>
        <v>Bombycillidae (Waxwings)</v>
      </c>
      <c r="I587" s="3"/>
    </row>
    <row r="588" spans="1:9" ht="10.5" customHeight="1">
      <c r="A588" s="3" t="s">
        <v>861</v>
      </c>
      <c r="B588" s="3" t="s">
        <v>862</v>
      </c>
      <c r="C588" s="3">
        <f>VLOOKUP(B588,LifeList!$E$2:$J$2038,6)</f>
        <v>6462</v>
      </c>
      <c r="D588" s="3" t="str">
        <f>VLOOKUP(B588,LifeList!$E$2:$G$2038,1)</f>
        <v>Bonaparte's Gull</v>
      </c>
      <c r="E588" s="3" t="str">
        <f>VLOOKUP(B588,LifeList!$E$2:$G$2038,2)</f>
        <v>Mouette de Bonaparte</v>
      </c>
      <c r="F588" s="3" t="str">
        <f>VLOOKUP(B588,LifeList!$E$2:$G$2038,3)</f>
        <v>Chroicocephalus philadelphia</v>
      </c>
      <c r="G588" s="3" t="str">
        <f>VLOOKUP(B588,LifeList!$E$2:$I$2038,4)</f>
        <v>Charadriiformes</v>
      </c>
      <c r="H588" s="3" t="str">
        <f>VLOOKUP(B588,LifeList!$E$2:$I$2038,5)</f>
        <v>Laridae (Gulls, Terns, and Skimmers)</v>
      </c>
      <c r="I588" s="3"/>
    </row>
    <row r="589" spans="1:9" ht="10.5" customHeight="1">
      <c r="A589" s="3" t="s">
        <v>863</v>
      </c>
      <c r="B589" s="3" t="s">
        <v>862</v>
      </c>
      <c r="C589" s="3">
        <f>VLOOKUP(B589,LifeList!$E$2:$J$2038,6)</f>
        <v>6462</v>
      </c>
      <c r="D589" s="3" t="str">
        <f>VLOOKUP(B589,LifeList!$E$2:$G$2038,1)</f>
        <v>Bonaparte's Gull</v>
      </c>
      <c r="E589" s="3" t="str">
        <f>VLOOKUP(B589,LifeList!$E$2:$G$2038,2)</f>
        <v>Mouette de Bonaparte</v>
      </c>
      <c r="F589" s="3" t="str">
        <f>VLOOKUP(B589,LifeList!$E$2:$G$2038,3)</f>
        <v>Chroicocephalus philadelphia</v>
      </c>
      <c r="G589" s="3" t="str">
        <f>VLOOKUP(B589,LifeList!$E$2:$I$2038,4)</f>
        <v>Charadriiformes</v>
      </c>
      <c r="H589" s="3" t="str">
        <f>VLOOKUP(B589,LifeList!$E$2:$I$2038,5)</f>
        <v>Laridae (Gulls, Terns, and Skimmers)</v>
      </c>
      <c r="I589" s="3"/>
    </row>
    <row r="590" spans="1:9" ht="10.5" customHeight="1">
      <c r="A590" s="3" t="s">
        <v>864</v>
      </c>
      <c r="B590" s="3" t="s">
        <v>862</v>
      </c>
      <c r="C590" s="3">
        <f>VLOOKUP(B590,LifeList!$E$2:$J$2038,6)</f>
        <v>6462</v>
      </c>
      <c r="D590" s="3" t="str">
        <f>VLOOKUP(B590,LifeList!$E$2:$G$2038,1)</f>
        <v>Bonaparte's Gull</v>
      </c>
      <c r="E590" s="3" t="str">
        <f>VLOOKUP(B590,LifeList!$E$2:$G$2038,2)</f>
        <v>Mouette de Bonaparte</v>
      </c>
      <c r="F590" s="3" t="str">
        <f>VLOOKUP(B590,LifeList!$E$2:$G$2038,3)</f>
        <v>Chroicocephalus philadelphia</v>
      </c>
      <c r="G590" s="3" t="str">
        <f>VLOOKUP(B590,LifeList!$E$2:$I$2038,4)</f>
        <v>Charadriiformes</v>
      </c>
      <c r="H590" s="3" t="str">
        <f>VLOOKUP(B590,LifeList!$E$2:$I$2038,5)</f>
        <v>Laridae (Gulls, Terns, and Skimmers)</v>
      </c>
      <c r="I590" s="3"/>
    </row>
    <row r="591" spans="1:9" ht="10.5" customHeight="1">
      <c r="A591" s="3" t="s">
        <v>865</v>
      </c>
      <c r="B591" s="3" t="s">
        <v>862</v>
      </c>
      <c r="C591" s="3">
        <f>VLOOKUP(B591,LifeList!$E$2:$J$2038,6)</f>
        <v>6462</v>
      </c>
      <c r="D591" s="3" t="str">
        <f>VLOOKUP(B591,LifeList!$E$2:$G$2038,1)</f>
        <v>Bonaparte's Gull</v>
      </c>
      <c r="E591" s="3" t="str">
        <f>VLOOKUP(B591,LifeList!$E$2:$G$2038,2)</f>
        <v>Mouette de Bonaparte</v>
      </c>
      <c r="F591" s="3" t="str">
        <f>VLOOKUP(B591,LifeList!$E$2:$G$2038,3)</f>
        <v>Chroicocephalus philadelphia</v>
      </c>
      <c r="G591" s="3" t="str">
        <f>VLOOKUP(B591,LifeList!$E$2:$I$2038,4)</f>
        <v>Charadriiformes</v>
      </c>
      <c r="H591" s="3" t="str">
        <f>VLOOKUP(B591,LifeList!$E$2:$I$2038,5)</f>
        <v>Laridae (Gulls, Terns, and Skimmers)</v>
      </c>
      <c r="I591" s="3"/>
    </row>
    <row r="592" spans="1:9" ht="10.5" customHeight="1">
      <c r="A592" s="3" t="s">
        <v>866</v>
      </c>
      <c r="B592" s="3" t="s">
        <v>862</v>
      </c>
      <c r="C592" s="3">
        <f>VLOOKUP(B592,LifeList!$E$2:$J$2038,6)</f>
        <v>6462</v>
      </c>
      <c r="D592" s="3" t="str">
        <f>VLOOKUP(B592,LifeList!$E$2:$G$2038,1)</f>
        <v>Bonaparte's Gull</v>
      </c>
      <c r="E592" s="3" t="str">
        <f>VLOOKUP(B592,LifeList!$E$2:$G$2038,2)</f>
        <v>Mouette de Bonaparte</v>
      </c>
      <c r="F592" s="3" t="str">
        <f>VLOOKUP(B592,LifeList!$E$2:$G$2038,3)</f>
        <v>Chroicocephalus philadelphia</v>
      </c>
      <c r="G592" s="3" t="str">
        <f>VLOOKUP(B592,LifeList!$E$2:$I$2038,4)</f>
        <v>Charadriiformes</v>
      </c>
      <c r="H592" s="3" t="str">
        <f>VLOOKUP(B592,LifeList!$E$2:$I$2038,5)</f>
        <v>Laridae (Gulls, Terns, and Skimmers)</v>
      </c>
      <c r="I592" s="3"/>
    </row>
    <row r="593" spans="1:9" ht="10.5" customHeight="1">
      <c r="A593" s="3" t="s">
        <v>867</v>
      </c>
      <c r="B593" s="3" t="s">
        <v>862</v>
      </c>
      <c r="C593" s="3">
        <f>VLOOKUP(B593,LifeList!$E$2:$J$2038,6)</f>
        <v>6462</v>
      </c>
      <c r="D593" s="3" t="str">
        <f>VLOOKUP(B593,LifeList!$E$2:$G$2038,1)</f>
        <v>Bonaparte's Gull</v>
      </c>
      <c r="E593" s="3" t="str">
        <f>VLOOKUP(B593,LifeList!$E$2:$G$2038,2)</f>
        <v>Mouette de Bonaparte</v>
      </c>
      <c r="F593" s="3" t="str">
        <f>VLOOKUP(B593,LifeList!$E$2:$G$2038,3)</f>
        <v>Chroicocephalus philadelphia</v>
      </c>
      <c r="G593" s="3" t="str">
        <f>VLOOKUP(B593,LifeList!$E$2:$I$2038,4)</f>
        <v>Charadriiformes</v>
      </c>
      <c r="H593" s="3" t="str">
        <f>VLOOKUP(B593,LifeList!$E$2:$I$2038,5)</f>
        <v>Laridae (Gulls, Terns, and Skimmers)</v>
      </c>
      <c r="I593" s="3"/>
    </row>
    <row r="594" spans="1:9" ht="10.5" customHeight="1">
      <c r="A594" s="3" t="s">
        <v>868</v>
      </c>
      <c r="B594" s="3" t="s">
        <v>869</v>
      </c>
      <c r="C594" s="3">
        <f>VLOOKUP(B594,LifeList!$E$2:$J$2038,6)</f>
        <v>9659</v>
      </c>
      <c r="D594" s="3" t="str">
        <f>VLOOKUP(B594,LifeList!$E$2:$G$2038,1)</f>
        <v>Bradfield's Hornbill</v>
      </c>
      <c r="E594" s="3" t="str">
        <f>VLOOKUP(B594,LifeList!$E$2:$G$2038,2)</f>
        <v>Calao de Bradfield</v>
      </c>
      <c r="F594" s="3" t="str">
        <f>VLOOKUP(B594,LifeList!$E$2:$G$2038,3)</f>
        <v>Lophoceros bradfieldi</v>
      </c>
      <c r="G594" s="3" t="str">
        <f>VLOOKUP(B594,LifeList!$E$2:$I$2038,4)</f>
        <v>Bucerotiformes</v>
      </c>
      <c r="H594" s="3" t="str">
        <f>VLOOKUP(B594,LifeList!$E$2:$I$2038,5)</f>
        <v>Bucerotidae (Hornbills)</v>
      </c>
      <c r="I594" s="3"/>
    </row>
    <row r="595" spans="1:9" ht="10.5" customHeight="1">
      <c r="A595" s="5" t="s">
        <v>870</v>
      </c>
      <c r="B595" s="3" t="s">
        <v>871</v>
      </c>
      <c r="C595" s="6">
        <f>VLOOKUP(B595,LifeList!$E$2:$J$2038,6)</f>
        <v>7389</v>
      </c>
      <c r="D595" s="3" t="str">
        <f>VLOOKUP(B595,LifeList!$E$2:$G$2038,1)</f>
        <v>Brandt's Cormorant</v>
      </c>
      <c r="E595" s="3" t="str">
        <f>VLOOKUP(B595,LifeList!$E$2:$G$2038,2)</f>
        <v>Cormoran de Brandt</v>
      </c>
      <c r="F595" s="3" t="str">
        <f>VLOOKUP(B595,LifeList!$E$2:$G$2038,3)</f>
        <v>Urile penicillatus</v>
      </c>
      <c r="G595" s="3" t="str">
        <f>VLOOKUP(B595,LifeList!$E$2:$I$2038,4)</f>
        <v>Suliformes</v>
      </c>
      <c r="H595" s="3" t="str">
        <f>VLOOKUP(B595,LifeList!$E$2:$I$2038,5)</f>
        <v>Phalacrocoracidae (Cormorants and Shags)</v>
      </c>
      <c r="I595" s="3"/>
    </row>
    <row r="596" spans="1:9" ht="10.5" customHeight="1">
      <c r="A596" s="3" t="s">
        <v>872</v>
      </c>
      <c r="B596" s="3" t="s">
        <v>873</v>
      </c>
      <c r="C596" s="3">
        <f>VLOOKUP(B596,LifeList!$E$2:$J$2038,6)</f>
        <v>314</v>
      </c>
      <c r="D596" s="3" t="str">
        <f>VLOOKUP(B596,LifeList!$E$2:$G$2038,1)</f>
        <v>Brant</v>
      </c>
      <c r="E596" s="3" t="str">
        <f>VLOOKUP(B596,LifeList!$E$2:$G$2038,2)</f>
        <v>Bernache cravant</v>
      </c>
      <c r="F596" s="3" t="str">
        <f>VLOOKUP(B596,LifeList!$E$2:$G$2038,3)</f>
        <v>Branta bernicla</v>
      </c>
      <c r="G596" s="3" t="str">
        <f>VLOOKUP(B596,LifeList!$E$2:$I$2038,4)</f>
        <v>Anseriformes</v>
      </c>
      <c r="H596" s="3" t="str">
        <f>VLOOKUP(B596,LifeList!$E$2:$I$2038,5)</f>
        <v>Anatidae (Ducks, Geese, and Waterfowl)</v>
      </c>
      <c r="I596" s="3"/>
    </row>
    <row r="597" spans="1:9" ht="10.5" customHeight="1">
      <c r="A597" s="3" t="s">
        <v>874</v>
      </c>
      <c r="B597" s="3" t="s">
        <v>875</v>
      </c>
      <c r="C597" s="3">
        <f>VLOOKUP(B597,LifeList!$E$2:$J$2038,6)</f>
        <v>17246</v>
      </c>
      <c r="D597" s="3" t="str">
        <f>VLOOKUP(B597,LifeList!$E$2:$G$2038,1)</f>
        <v>Bright-rumped Attila</v>
      </c>
      <c r="E597" s="3" t="str">
        <f>VLOOKUP(B597,LifeList!$E$2:$G$2038,2)</f>
        <v>Attila à croupion jaune</v>
      </c>
      <c r="F597" s="3" t="str">
        <f>VLOOKUP(B597,LifeList!$E$2:$G$2038,3)</f>
        <v>Attila spadiceus</v>
      </c>
      <c r="G597" s="3" t="str">
        <f>VLOOKUP(B597,LifeList!$E$2:$I$2038,4)</f>
        <v>Passeriformes</v>
      </c>
      <c r="H597" s="3" t="str">
        <f>VLOOKUP(B597,LifeList!$E$2:$I$2038,5)</f>
        <v>Tyrannidae (Tyrant Flycatchers)</v>
      </c>
      <c r="I597" s="3"/>
    </row>
    <row r="598" spans="1:9" ht="10.5" customHeight="1">
      <c r="A598" s="3" t="s">
        <v>876</v>
      </c>
      <c r="B598" s="3" t="s">
        <v>875</v>
      </c>
      <c r="C598" s="3">
        <f>VLOOKUP(B598,LifeList!$E$2:$J$2038,6)</f>
        <v>17246</v>
      </c>
      <c r="D598" s="3" t="str">
        <f>VLOOKUP(B598,LifeList!$E$2:$G$2038,1)</f>
        <v>Bright-rumped Attila</v>
      </c>
      <c r="E598" s="3" t="str">
        <f>VLOOKUP(B598,LifeList!$E$2:$G$2038,2)</f>
        <v>Attila à croupion jaune</v>
      </c>
      <c r="F598" s="3" t="str">
        <f>VLOOKUP(B598,LifeList!$E$2:$G$2038,3)</f>
        <v>Attila spadiceus</v>
      </c>
      <c r="G598" s="3" t="str">
        <f>VLOOKUP(B598,LifeList!$E$2:$I$2038,4)</f>
        <v>Passeriformes</v>
      </c>
      <c r="H598" s="3" t="str">
        <f>VLOOKUP(B598,LifeList!$E$2:$I$2038,5)</f>
        <v>Tyrannidae (Tyrant Flycatchers)</v>
      </c>
      <c r="I598" s="3"/>
    </row>
    <row r="599" spans="1:9" ht="10.5" customHeight="1">
      <c r="A599" s="3" t="s">
        <v>877</v>
      </c>
      <c r="B599" s="3" t="s">
        <v>878</v>
      </c>
      <c r="C599" s="3">
        <f>VLOOKUP(B599,LifeList!$E$2:$J$2038,6)</f>
        <v>9891</v>
      </c>
      <c r="D599" s="3" t="str">
        <f>VLOOKUP(B599,LifeList!$E$2:$G$2038,1)</f>
        <v>Broad-billed Motmot</v>
      </c>
      <c r="E599" s="3" t="str">
        <f>VLOOKUP(B599,LifeList!$E$2:$G$2038,2)</f>
        <v>Motmot à bec large</v>
      </c>
      <c r="F599" s="3" t="str">
        <f>VLOOKUP(B599,LifeList!$E$2:$G$2038,3)</f>
        <v>Electron platyrhynchum</v>
      </c>
      <c r="G599" s="3" t="str">
        <f>VLOOKUP(B599,LifeList!$E$2:$I$2038,4)</f>
        <v>Coraciiformes</v>
      </c>
      <c r="H599" s="3" t="str">
        <f>VLOOKUP(B599,LifeList!$E$2:$I$2038,5)</f>
        <v>Momotidae (Motmots)</v>
      </c>
      <c r="I599" s="3"/>
    </row>
    <row r="600" spans="1:9" ht="10.5" customHeight="1">
      <c r="A600" s="3" t="s">
        <v>879</v>
      </c>
      <c r="B600" s="3" t="s">
        <v>878</v>
      </c>
      <c r="C600" s="3">
        <f>VLOOKUP(B600,LifeList!$E$2:$J$2038,6)</f>
        <v>9891</v>
      </c>
      <c r="D600" s="3" t="str">
        <f>VLOOKUP(B600,LifeList!$E$2:$G$2038,1)</f>
        <v>Broad-billed Motmot</v>
      </c>
      <c r="E600" s="3" t="str">
        <f>VLOOKUP(B600,LifeList!$E$2:$G$2038,2)</f>
        <v>Motmot à bec large</v>
      </c>
      <c r="F600" s="3" t="str">
        <f>VLOOKUP(B600,LifeList!$E$2:$G$2038,3)</f>
        <v>Electron platyrhynchum</v>
      </c>
      <c r="G600" s="3" t="str">
        <f>VLOOKUP(B600,LifeList!$E$2:$I$2038,4)</f>
        <v>Coraciiformes</v>
      </c>
      <c r="H600" s="3" t="str">
        <f>VLOOKUP(B600,LifeList!$E$2:$I$2038,5)</f>
        <v>Momotidae (Motmots)</v>
      </c>
      <c r="I600" s="3"/>
    </row>
    <row r="601" spans="1:9" ht="10.5" customHeight="1">
      <c r="A601" s="3" t="s">
        <v>880</v>
      </c>
      <c r="B601" s="3" t="s">
        <v>878</v>
      </c>
      <c r="C601" s="3">
        <f>VLOOKUP(B601,LifeList!$E$2:$J$2038,6)</f>
        <v>9891</v>
      </c>
      <c r="D601" s="3" t="str">
        <f>VLOOKUP(B601,LifeList!$E$2:$G$2038,1)</f>
        <v>Broad-billed Motmot</v>
      </c>
      <c r="E601" s="3" t="str">
        <f>VLOOKUP(B601,LifeList!$E$2:$G$2038,2)</f>
        <v>Motmot à bec large</v>
      </c>
      <c r="F601" s="3" t="str">
        <f>VLOOKUP(B601,LifeList!$E$2:$G$2038,3)</f>
        <v>Electron platyrhynchum</v>
      </c>
      <c r="G601" s="3" t="str">
        <f>VLOOKUP(B601,LifeList!$E$2:$I$2038,4)</f>
        <v>Coraciiformes</v>
      </c>
      <c r="H601" s="3" t="str">
        <f>VLOOKUP(B601,LifeList!$E$2:$I$2038,5)</f>
        <v>Momotidae (Motmots)</v>
      </c>
      <c r="I601" s="3"/>
    </row>
    <row r="602" spans="1:9" ht="10.5" customHeight="1">
      <c r="A602" s="3" t="s">
        <v>881</v>
      </c>
      <c r="B602" s="3" t="s">
        <v>882</v>
      </c>
      <c r="C602" s="3">
        <f>VLOOKUP(B602,LifeList!$E$2:$J$2038,6)</f>
        <v>10349</v>
      </c>
      <c r="D602" s="3" t="str">
        <f>VLOOKUP(B602,LifeList!$E$2:$G$2038,1)</f>
        <v>Broad-billed Roller</v>
      </c>
      <c r="E602" s="3" t="str">
        <f>VLOOKUP(B602,LifeList!$E$2:$G$2038,2)</f>
        <v>Rolle violet</v>
      </c>
      <c r="F602" s="3" t="str">
        <f>VLOOKUP(B602,LifeList!$E$2:$G$2038,3)</f>
        <v>Eurystomus glaucurus</v>
      </c>
      <c r="G602" s="3" t="str">
        <f>VLOOKUP(B602,LifeList!$E$2:$I$2038,4)</f>
        <v>Coraciiformes</v>
      </c>
      <c r="H602" s="3" t="str">
        <f>VLOOKUP(B602,LifeList!$E$2:$I$2038,5)</f>
        <v>Coraciidae (Rollers)</v>
      </c>
      <c r="I602" s="3"/>
    </row>
    <row r="603" spans="1:9" ht="10.5" customHeight="1">
      <c r="A603" s="3" t="s">
        <v>883</v>
      </c>
      <c r="B603" s="3" t="s">
        <v>884</v>
      </c>
      <c r="C603" s="3">
        <f>VLOOKUP(B603,LifeList!$E$2:$J$2038,6)</f>
        <v>8479</v>
      </c>
      <c r="D603" s="3" t="str">
        <f>VLOOKUP(B603,LifeList!$E$2:$G$2038,1)</f>
        <v>Broad-winged Hawk</v>
      </c>
      <c r="E603" s="3" t="str">
        <f>VLOOKUP(B603,LifeList!$E$2:$G$2038,2)</f>
        <v>Petite Buse</v>
      </c>
      <c r="F603" s="3" t="str">
        <f>VLOOKUP(B603,LifeList!$E$2:$G$2038,3)</f>
        <v>Buteo platypterus</v>
      </c>
      <c r="G603" s="3" t="str">
        <f>VLOOKUP(B603,LifeList!$E$2:$I$2038,4)</f>
        <v>Accipitriformes</v>
      </c>
      <c r="H603" s="3" t="str">
        <f>VLOOKUP(B603,LifeList!$E$2:$I$2038,5)</f>
        <v>Accipitridae (Hawks, Eagles, and Kites)</v>
      </c>
      <c r="I603" s="3"/>
    </row>
    <row r="604" spans="1:9" ht="10.5" customHeight="1">
      <c r="A604" s="3" t="s">
        <v>885</v>
      </c>
      <c r="B604" s="3" t="s">
        <v>884</v>
      </c>
      <c r="C604" s="3">
        <f>VLOOKUP(B604,LifeList!$E$2:$J$2038,6)</f>
        <v>8479</v>
      </c>
      <c r="D604" s="3" t="str">
        <f>VLOOKUP(B604,LifeList!$E$2:$G$2038,1)</f>
        <v>Broad-winged Hawk</v>
      </c>
      <c r="E604" s="3" t="str">
        <f>VLOOKUP(B604,LifeList!$E$2:$G$2038,2)</f>
        <v>Petite Buse</v>
      </c>
      <c r="F604" s="3" t="str">
        <f>VLOOKUP(B604,LifeList!$E$2:$G$2038,3)</f>
        <v>Buteo platypterus</v>
      </c>
      <c r="G604" s="3" t="str">
        <f>VLOOKUP(B604,LifeList!$E$2:$I$2038,4)</f>
        <v>Accipitriformes</v>
      </c>
      <c r="H604" s="3" t="str">
        <f>VLOOKUP(B604,LifeList!$E$2:$I$2038,5)</f>
        <v>Accipitridae (Hawks, Eagles, and Kites)</v>
      </c>
      <c r="I604" s="3"/>
    </row>
    <row r="605" spans="1:9" ht="10.5" customHeight="1">
      <c r="A605" s="3" t="s">
        <v>886</v>
      </c>
      <c r="B605" s="3" t="s">
        <v>884</v>
      </c>
      <c r="C605" s="3">
        <f>VLOOKUP(B605,LifeList!$E$2:$J$2038,6)</f>
        <v>8479</v>
      </c>
      <c r="D605" s="3" t="str">
        <f>VLOOKUP(B605,LifeList!$E$2:$G$2038,1)</f>
        <v>Broad-winged Hawk</v>
      </c>
      <c r="E605" s="3" t="str">
        <f>VLOOKUP(B605,LifeList!$E$2:$G$2038,2)</f>
        <v>Petite Buse</v>
      </c>
      <c r="F605" s="3" t="str">
        <f>VLOOKUP(B605,LifeList!$E$2:$G$2038,3)</f>
        <v>Buteo platypterus</v>
      </c>
      <c r="G605" s="3" t="str">
        <f>VLOOKUP(B605,LifeList!$E$2:$I$2038,4)</f>
        <v>Accipitriformes</v>
      </c>
      <c r="H605" s="3" t="str">
        <f>VLOOKUP(B605,LifeList!$E$2:$I$2038,5)</f>
        <v>Accipitridae (Hawks, Eagles, and Kites)</v>
      </c>
      <c r="I605" s="3"/>
    </row>
    <row r="606" spans="1:9" ht="10.5" customHeight="1">
      <c r="A606" s="5" t="s">
        <v>887</v>
      </c>
      <c r="B606" s="3" t="s">
        <v>888</v>
      </c>
      <c r="C606" s="6">
        <f>VLOOKUP(B606,LifeList!$E$2:$J$2038,6)</f>
        <v>5706</v>
      </c>
      <c r="D606" s="3" t="str">
        <f>VLOOKUP(B606,LifeList!$E$2:$G$2038,1)</f>
        <v>Brolga</v>
      </c>
      <c r="E606" s="3" t="str">
        <f>VLOOKUP(B606,LifeList!$E$2:$G$2038,2)</f>
        <v>Grue brolga</v>
      </c>
      <c r="F606" s="3" t="str">
        <f>VLOOKUP(B606,LifeList!$E$2:$G$2038,3)</f>
        <v>Antigone rubicunda</v>
      </c>
      <c r="G606" s="3" t="str">
        <f>VLOOKUP(B606,LifeList!$E$2:$I$2038,4)</f>
        <v>Gruiformes</v>
      </c>
      <c r="H606" s="3" t="str">
        <f>VLOOKUP(B606,LifeList!$E$2:$I$2038,5)</f>
        <v>Gruidae (Cranes)</v>
      </c>
      <c r="I606" s="3"/>
    </row>
    <row r="607" spans="1:9" ht="10.5" customHeight="1">
      <c r="A607" s="3" t="s">
        <v>889</v>
      </c>
      <c r="B607" s="3" t="s">
        <v>890</v>
      </c>
      <c r="C607" s="3">
        <f>VLOOKUP(B607,LifeList!$E$2:$J$2038,6)</f>
        <v>4963</v>
      </c>
      <c r="D607" s="3" t="str">
        <f>VLOOKUP(B607,LifeList!$E$2:$G$2038,1)</f>
        <v>Bronze-tailed Plumeleteer</v>
      </c>
      <c r="E607" s="3" t="str">
        <f>VLOOKUP(B607,LifeList!$E$2:$G$2038,2)</f>
        <v>Colibri à queue bronzée</v>
      </c>
      <c r="F607" s="3" t="str">
        <f>VLOOKUP(B607,LifeList!$E$2:$G$2038,3)</f>
        <v>Chalybura urochrysia</v>
      </c>
      <c r="G607" s="3" t="str">
        <f>VLOOKUP(B607,LifeList!$E$2:$I$2038,4)</f>
        <v>Apodiformes</v>
      </c>
      <c r="H607" s="3" t="str">
        <f>VLOOKUP(B607,LifeList!$E$2:$I$2038,5)</f>
        <v>Trochilidae (Hummingbirds)</v>
      </c>
      <c r="I607" s="3"/>
    </row>
    <row r="608" spans="1:9" ht="10.5" customHeight="1">
      <c r="A608" s="3" t="s">
        <v>891</v>
      </c>
      <c r="B608" s="3" t="s">
        <v>890</v>
      </c>
      <c r="C608" s="3">
        <f>VLOOKUP(B608,LifeList!$E$2:$J$2038,6)</f>
        <v>4963</v>
      </c>
      <c r="D608" s="3" t="str">
        <f>VLOOKUP(B608,LifeList!$E$2:$G$2038,1)</f>
        <v>Bronze-tailed Plumeleteer</v>
      </c>
      <c r="E608" s="3" t="str">
        <f>VLOOKUP(B608,LifeList!$E$2:$G$2038,2)</f>
        <v>Colibri à queue bronzée</v>
      </c>
      <c r="F608" s="3" t="str">
        <f>VLOOKUP(B608,LifeList!$E$2:$G$2038,3)</f>
        <v>Chalybura urochrysia</v>
      </c>
      <c r="G608" s="3" t="str">
        <f>VLOOKUP(B608,LifeList!$E$2:$I$2038,4)</f>
        <v>Apodiformes</v>
      </c>
      <c r="H608" s="3" t="str">
        <f>VLOOKUP(B608,LifeList!$E$2:$I$2038,5)</f>
        <v>Trochilidae (Hummingbirds)</v>
      </c>
      <c r="I608" s="3"/>
    </row>
    <row r="609" spans="1:9" ht="10.5" customHeight="1">
      <c r="A609" s="3" t="s">
        <v>892</v>
      </c>
      <c r="B609" s="3" t="s">
        <v>893</v>
      </c>
      <c r="C609" s="3">
        <f>VLOOKUP(B609,LifeList!$E$2:$J$2038,6)</f>
        <v>4529</v>
      </c>
      <c r="D609" s="3" t="str">
        <f>VLOOKUP(B609,LifeList!$E$2:$G$2038,1)</f>
        <v>Bronze-tailed Thornbill</v>
      </c>
      <c r="E609" s="3" t="str">
        <f>VLOOKUP(B609,LifeList!$E$2:$G$2038,2)</f>
        <v>Métallure à queue bronzée</v>
      </c>
      <c r="F609" s="3" t="str">
        <f>VLOOKUP(B609,LifeList!$E$2:$G$2038,3)</f>
        <v>Chalcostigma heteropogon</v>
      </c>
      <c r="G609" s="3" t="str">
        <f>VLOOKUP(B609,LifeList!$E$2:$I$2038,4)</f>
        <v>Apodiformes</v>
      </c>
      <c r="H609" s="3" t="str">
        <f>VLOOKUP(B609,LifeList!$E$2:$I$2038,5)</f>
        <v>Trochilidae (Hummingbirds)</v>
      </c>
      <c r="I609" s="3"/>
    </row>
    <row r="610" spans="1:9" ht="10.5" customHeight="1">
      <c r="A610" s="3" t="s">
        <v>894</v>
      </c>
      <c r="B610" s="3" t="s">
        <v>893</v>
      </c>
      <c r="C610" s="3">
        <f>VLOOKUP(B610,LifeList!$E$2:$J$2038,6)</f>
        <v>4529</v>
      </c>
      <c r="D610" s="3" t="str">
        <f>VLOOKUP(B610,LifeList!$E$2:$G$2038,1)</f>
        <v>Bronze-tailed Thornbill</v>
      </c>
      <c r="E610" s="3" t="str">
        <f>VLOOKUP(B610,LifeList!$E$2:$G$2038,2)</f>
        <v>Métallure à queue bronzée</v>
      </c>
      <c r="F610" s="3" t="str">
        <f>VLOOKUP(B610,LifeList!$E$2:$G$2038,3)</f>
        <v>Chalcostigma heteropogon</v>
      </c>
      <c r="G610" s="3" t="str">
        <f>VLOOKUP(B610,LifeList!$E$2:$I$2038,4)</f>
        <v>Apodiformes</v>
      </c>
      <c r="H610" s="3" t="str">
        <f>VLOOKUP(B610,LifeList!$E$2:$I$2038,5)</f>
        <v>Trochilidae (Hummingbirds)</v>
      </c>
      <c r="I610" s="3"/>
    </row>
    <row r="611" spans="1:9" ht="10.5" customHeight="1">
      <c r="A611" s="3" t="s">
        <v>895</v>
      </c>
      <c r="B611" s="3" t="s">
        <v>896</v>
      </c>
      <c r="C611" s="3">
        <f>VLOOKUP(B611,LifeList!$E$2:$J$2038,6)</f>
        <v>12895</v>
      </c>
      <c r="D611" s="3" t="str">
        <f>VLOOKUP(B611,LifeList!$E$2:$G$2038,1)</f>
        <v>Bronze-winged Parrot</v>
      </c>
      <c r="E611" s="3" t="str">
        <f>VLOOKUP(B611,LifeList!$E$2:$G$2038,2)</f>
        <v>Pione noire</v>
      </c>
      <c r="F611" s="3" t="str">
        <f>VLOOKUP(B611,LifeList!$E$2:$G$2038,3)</f>
        <v>Pionus chalcopterus</v>
      </c>
      <c r="G611" s="3" t="str">
        <f>VLOOKUP(B611,LifeList!$E$2:$I$2038,4)</f>
        <v>Psittaciformes</v>
      </c>
      <c r="H611" s="3" t="str">
        <f>VLOOKUP(B611,LifeList!$E$2:$I$2038,5)</f>
        <v>Psittacidae (New World and African Parrots)</v>
      </c>
      <c r="I611" s="3"/>
    </row>
    <row r="612" spans="1:9" ht="10.5" customHeight="1">
      <c r="A612" s="3" t="s">
        <v>897</v>
      </c>
      <c r="B612" s="3" t="s">
        <v>898</v>
      </c>
      <c r="C612" s="3">
        <f>VLOOKUP(B612,LifeList!$E$2:$J$2038,6)</f>
        <v>33826</v>
      </c>
      <c r="D612" s="3" t="str">
        <f>VLOOKUP(B612,LifeList!$E$2:$G$2038,1)</f>
        <v>Bronzed Cowbird</v>
      </c>
      <c r="E612" s="3" t="str">
        <f>VLOOKUP(B612,LifeList!$E$2:$G$2038,2)</f>
        <v>Vacher bronzé</v>
      </c>
      <c r="F612" s="3" t="str">
        <f>VLOOKUP(B612,LifeList!$E$2:$G$2038,3)</f>
        <v>Molothrus aeneus</v>
      </c>
      <c r="G612" s="3" t="str">
        <f>VLOOKUP(B612,LifeList!$E$2:$I$2038,4)</f>
        <v>Passeriformes</v>
      </c>
      <c r="H612" s="3" t="str">
        <f>VLOOKUP(B612,LifeList!$E$2:$I$2038,5)</f>
        <v>Icteridae (Troupials and Allies)</v>
      </c>
      <c r="I612" s="3"/>
    </row>
    <row r="613" spans="1:9" ht="10.5" customHeight="1">
      <c r="A613" s="5" t="s">
        <v>899</v>
      </c>
      <c r="B613" s="5" t="s">
        <v>900</v>
      </c>
      <c r="C613" s="6">
        <f>VLOOKUP(B613,LifeList!$E$2:$J$2038,6)</f>
        <v>7996</v>
      </c>
      <c r="D613" s="3" t="str">
        <f>VLOOKUP(B613,LifeList!$E$2:$G$2038,1)</f>
        <v>Brown Snake-Eagle</v>
      </c>
      <c r="E613" s="3" t="str">
        <f>VLOOKUP(B613,LifeList!$E$2:$G$2038,2)</f>
        <v>Circaète brun</v>
      </c>
      <c r="F613" s="3" t="str">
        <f>VLOOKUP(B613,LifeList!$E$2:$G$2038,3)</f>
        <v>Circaetus cinereus</v>
      </c>
      <c r="G613" s="3" t="str">
        <f>VLOOKUP(B613,LifeList!$E$2:$I$2038,4)</f>
        <v>Accipitriformes</v>
      </c>
      <c r="H613" s="3" t="str">
        <f>VLOOKUP(B613,LifeList!$E$2:$I$2038,5)</f>
        <v>Accipitridae (Hawks, Eagles, and Kites)</v>
      </c>
      <c r="I613" s="3"/>
    </row>
    <row r="614" spans="1:9" ht="10.5" customHeight="1">
      <c r="A614" s="3" t="s">
        <v>901</v>
      </c>
      <c r="B614" s="5" t="s">
        <v>902</v>
      </c>
      <c r="C614" s="3">
        <f>VLOOKUP(B614,LifeList!$E$2:$J$2038,6)</f>
        <v>28037</v>
      </c>
      <c r="D614" s="3" t="str">
        <f>VLOOKUP(B614,LifeList!$E$2:$G$2038,1)</f>
        <v>Brown Thrasher</v>
      </c>
      <c r="E614" s="3" t="str">
        <f>VLOOKUP(B614,LifeList!$E$2:$G$2038,2)</f>
        <v>Moqueur roux</v>
      </c>
      <c r="F614" s="3" t="str">
        <f>VLOOKUP(B614,LifeList!$E$2:$G$2038,3)</f>
        <v>Toxostoma rufum</v>
      </c>
      <c r="G614" s="3" t="str">
        <f>VLOOKUP(B614,LifeList!$E$2:$I$2038,4)</f>
        <v>Passeriformes</v>
      </c>
      <c r="H614" s="3" t="str">
        <f>VLOOKUP(B614,LifeList!$E$2:$I$2038,5)</f>
        <v>Mimidae (Mockingbirds and Thrashers)</v>
      </c>
      <c r="I614" s="3"/>
    </row>
    <row r="615" spans="1:9" ht="10.5" customHeight="1">
      <c r="A615" s="3" t="s">
        <v>903</v>
      </c>
      <c r="B615" s="3" t="s">
        <v>904</v>
      </c>
      <c r="C615" s="3">
        <f>VLOOKUP(B615,LifeList!$E$2:$J$2038,6)</f>
        <v>7342</v>
      </c>
      <c r="D615" s="3" t="str">
        <f>VLOOKUP(B615,LifeList!$E$2:$G$2038,1)</f>
        <v>Brown Booby</v>
      </c>
      <c r="E615" s="3" t="str">
        <f>VLOOKUP(B615,LifeList!$E$2:$G$2038,2)</f>
        <v>Fou brun</v>
      </c>
      <c r="F615" s="3" t="str">
        <f>VLOOKUP(B615,LifeList!$E$2:$G$2038,3)</f>
        <v>Sula leucogaster</v>
      </c>
      <c r="G615" s="3" t="str">
        <f>VLOOKUP(B615,LifeList!$E$2:$I$2038,4)</f>
        <v>Suliformes</v>
      </c>
      <c r="H615" s="3" t="str">
        <f>VLOOKUP(B615,LifeList!$E$2:$I$2038,5)</f>
        <v>Sulidae (Boobies and Gannets)</v>
      </c>
      <c r="I615" s="3"/>
    </row>
    <row r="616" spans="1:9" ht="10.5" customHeight="1">
      <c r="A616" s="3" t="s">
        <v>905</v>
      </c>
      <c r="B616" s="3" t="s">
        <v>906</v>
      </c>
      <c r="C616" s="3">
        <f>VLOOKUP(B616,LifeList!$E$2:$J$2038,6)</f>
        <v>27026</v>
      </c>
      <c r="D616" s="3" t="str">
        <f>VLOOKUP(B616,LifeList!$E$2:$G$2038,1)</f>
        <v>Brown Creeper</v>
      </c>
      <c r="E616" s="3" t="str">
        <f>VLOOKUP(B616,LifeList!$E$2:$G$2038,2)</f>
        <v>Grimpereau brun</v>
      </c>
      <c r="F616" s="3" t="str">
        <f>VLOOKUP(B616,LifeList!$E$2:$G$2038,3)</f>
        <v>Certhia americana</v>
      </c>
      <c r="G616" s="3" t="str">
        <f>VLOOKUP(B616,LifeList!$E$2:$I$2038,4)</f>
        <v>Passeriformes</v>
      </c>
      <c r="H616" s="3" t="str">
        <f>VLOOKUP(B616,LifeList!$E$2:$I$2038,5)</f>
        <v>Certhiidae (Treecreepers)</v>
      </c>
      <c r="I616" s="3"/>
    </row>
    <row r="617" spans="1:9" ht="10.5" customHeight="1">
      <c r="A617" s="3" t="s">
        <v>907</v>
      </c>
      <c r="B617" s="3" t="s">
        <v>906</v>
      </c>
      <c r="C617" s="3">
        <f>VLOOKUP(B617,LifeList!$E$2:$J$2038,6)</f>
        <v>27026</v>
      </c>
      <c r="D617" s="3" t="str">
        <f>VLOOKUP(B617,LifeList!$E$2:$G$2038,1)</f>
        <v>Brown Creeper</v>
      </c>
      <c r="E617" s="3" t="str">
        <f>VLOOKUP(B617,LifeList!$E$2:$G$2038,2)</f>
        <v>Grimpereau brun</v>
      </c>
      <c r="F617" s="3" t="str">
        <f>VLOOKUP(B617,LifeList!$E$2:$G$2038,3)</f>
        <v>Certhia americana</v>
      </c>
      <c r="G617" s="3" t="str">
        <f>VLOOKUP(B617,LifeList!$E$2:$I$2038,4)</f>
        <v>Passeriformes</v>
      </c>
      <c r="H617" s="3" t="str">
        <f>VLOOKUP(B617,LifeList!$E$2:$I$2038,5)</f>
        <v>Certhiidae (Treecreepers)</v>
      </c>
      <c r="I617" s="3"/>
    </row>
    <row r="618" spans="1:9" ht="10.5" customHeight="1">
      <c r="A618" s="3" t="s">
        <v>908</v>
      </c>
      <c r="B618" s="3" t="s">
        <v>906</v>
      </c>
      <c r="C618" s="3">
        <f>VLOOKUP(B618,LifeList!$E$2:$J$2038,6)</f>
        <v>27026</v>
      </c>
      <c r="D618" s="3" t="str">
        <f>VLOOKUP(B618,LifeList!$E$2:$G$2038,1)</f>
        <v>Brown Creeper</v>
      </c>
      <c r="E618" s="3" t="str">
        <f>VLOOKUP(B618,LifeList!$E$2:$G$2038,2)</f>
        <v>Grimpereau brun</v>
      </c>
      <c r="F618" s="3" t="str">
        <f>VLOOKUP(B618,LifeList!$E$2:$G$2038,3)</f>
        <v>Certhia americana</v>
      </c>
      <c r="G618" s="3" t="str">
        <f>VLOOKUP(B618,LifeList!$E$2:$I$2038,4)</f>
        <v>Passeriformes</v>
      </c>
      <c r="H618" s="3" t="str">
        <f>VLOOKUP(B618,LifeList!$E$2:$I$2038,5)</f>
        <v>Certhiidae (Treecreepers)</v>
      </c>
      <c r="I618" s="3"/>
    </row>
    <row r="619" spans="1:9" ht="10.5" customHeight="1">
      <c r="A619" s="7" t="s">
        <v>909</v>
      </c>
      <c r="B619" s="8" t="s">
        <v>910</v>
      </c>
      <c r="C619" s="3">
        <f>VLOOKUP(B619,LifeList!$E$2:$J$2038,6)</f>
        <v>20083</v>
      </c>
      <c r="D619" s="3" t="str">
        <f>VLOOKUP(B619,LifeList!$E$2:$G$2038,1)</f>
        <v>Brown-crowned Tchagra</v>
      </c>
      <c r="E619" s="3" t="str">
        <f>VLOOKUP(B619,LifeList!$E$2:$G$2038,2)</f>
        <v>Tchagra à tête brune</v>
      </c>
      <c r="F619" s="3" t="str">
        <f>VLOOKUP(B619,LifeList!$E$2:$G$2038,3)</f>
        <v>Tchagra australis</v>
      </c>
      <c r="G619" s="3" t="str">
        <f>VLOOKUP(B619,LifeList!$E$2:$I$2038,4)</f>
        <v>Passeriformes</v>
      </c>
      <c r="H619" s="3" t="str">
        <f>VLOOKUP(B619,LifeList!$E$2:$I$2038,5)</f>
        <v>Malaconotidae (Bushshrikes and Allies)</v>
      </c>
      <c r="I619" s="3"/>
    </row>
    <row r="620" spans="1:9" ht="10.5" customHeight="1">
      <c r="A620" s="3" t="s">
        <v>911</v>
      </c>
      <c r="B620" s="3" t="s">
        <v>912</v>
      </c>
      <c r="C620" s="3">
        <f>VLOOKUP(B620,LifeList!$E$2:$J$2038,6)</f>
        <v>2082</v>
      </c>
      <c r="D620" s="3" t="str">
        <f>VLOOKUP(B620,LifeList!$E$2:$G$2038,1)</f>
        <v>Brown Cuckoo-Dove</v>
      </c>
      <c r="E620" s="3" t="str">
        <f>VLOOKUP(B620,LifeList!$E$2:$G$2038,2)</f>
        <v>Phasianelle brune</v>
      </c>
      <c r="F620" s="3" t="str">
        <f>VLOOKUP(B620,LifeList!$E$2:$G$2038,3)</f>
        <v>Macropygia phasianella</v>
      </c>
      <c r="G620" s="3" t="str">
        <f>VLOOKUP(B620,LifeList!$E$2:$I$2038,4)</f>
        <v>Columbiformes</v>
      </c>
      <c r="H620" s="3" t="str">
        <f>VLOOKUP(B620,LifeList!$E$2:$I$2038,5)</f>
        <v>Columbidae (Pigeons and Doves)</v>
      </c>
      <c r="I620" s="3"/>
    </row>
    <row r="621" spans="1:9" ht="10.5" customHeight="1">
      <c r="A621" s="3" t="s">
        <v>913</v>
      </c>
      <c r="B621" s="3" t="s">
        <v>914</v>
      </c>
      <c r="C621" s="3">
        <f>VLOOKUP(B621,LifeList!$E$2:$J$2038,6)</f>
        <v>12086</v>
      </c>
      <c r="D621" s="3" t="str">
        <f>VLOOKUP(B621,LifeList!$E$2:$G$2038,1)</f>
        <v>Brown Falcon</v>
      </c>
      <c r="E621" s="3" t="str">
        <f>VLOOKUP(B621,LifeList!$E$2:$G$2038,2)</f>
        <v>Faucon bérigora</v>
      </c>
      <c r="F621" s="3" t="str">
        <f>VLOOKUP(B621,LifeList!$E$2:$G$2038,3)</f>
        <v>Falco berigora</v>
      </c>
      <c r="G621" s="3" t="str">
        <f>VLOOKUP(B621,LifeList!$E$2:$I$2038,4)</f>
        <v>Falconiformes</v>
      </c>
      <c r="H621" s="3" t="str">
        <f>VLOOKUP(B621,LifeList!$E$2:$I$2038,5)</f>
        <v>Falconidae (Falcons and Caracaras)</v>
      </c>
      <c r="I621" s="3"/>
    </row>
    <row r="622" spans="1:9" ht="10.5" customHeight="1">
      <c r="A622" s="7" t="s">
        <v>915</v>
      </c>
      <c r="B622" s="8" t="s">
        <v>916</v>
      </c>
      <c r="C622" s="3">
        <f>VLOOKUP(B622,LifeList!$E$2:$J$2038,6)</f>
        <v>12781</v>
      </c>
      <c r="D622" s="3" t="str">
        <f>VLOOKUP(B622,LifeList!$E$2:$G$2038,1)</f>
        <v>Brown-headed Parrot</v>
      </c>
      <c r="E622" s="3" t="str">
        <f>VLOOKUP(B622,LifeList!$E$2:$G$2038,2)</f>
        <v>Perroquet à tête brune</v>
      </c>
      <c r="F622" s="3" t="str">
        <f>VLOOKUP(B622,LifeList!$E$2:$G$2038,3)</f>
        <v>Poicephalus cryptoxanthus</v>
      </c>
      <c r="G622" s="3" t="str">
        <f>VLOOKUP(B622,LifeList!$E$2:$I$2038,4)</f>
        <v>Psittaciformes</v>
      </c>
      <c r="H622" s="3" t="str">
        <f>VLOOKUP(B622,LifeList!$E$2:$I$2038,5)</f>
        <v>Psittacidae (New World and African Parrots)</v>
      </c>
      <c r="I622" s="3"/>
    </row>
    <row r="623" spans="1:9" ht="10.5" customHeight="1">
      <c r="A623" s="7" t="s">
        <v>917</v>
      </c>
      <c r="B623" s="8" t="s">
        <v>916</v>
      </c>
      <c r="C623" s="3">
        <f>VLOOKUP(B623,LifeList!$E$2:$J$2038,6)</f>
        <v>12781</v>
      </c>
      <c r="D623" s="3" t="str">
        <f>VLOOKUP(B623,LifeList!$E$2:$G$2038,1)</f>
        <v>Brown-headed Parrot</v>
      </c>
      <c r="E623" s="3" t="str">
        <f>VLOOKUP(B623,LifeList!$E$2:$G$2038,2)</f>
        <v>Perroquet à tête brune</v>
      </c>
      <c r="F623" s="3" t="str">
        <f>VLOOKUP(B623,LifeList!$E$2:$G$2038,3)</f>
        <v>Poicephalus cryptoxanthus</v>
      </c>
      <c r="G623" s="3" t="str">
        <f>VLOOKUP(B623,LifeList!$E$2:$I$2038,4)</f>
        <v>Psittaciformes</v>
      </c>
      <c r="H623" s="3" t="str">
        <f>VLOOKUP(B623,LifeList!$E$2:$I$2038,5)</f>
        <v>Psittacidae (New World and African Parrots)</v>
      </c>
      <c r="I623" s="3"/>
    </row>
    <row r="624" spans="1:9" ht="10.5" customHeight="1">
      <c r="A624" s="3" t="s">
        <v>918</v>
      </c>
      <c r="B624" s="3" t="s">
        <v>919</v>
      </c>
      <c r="C624" s="3">
        <f>VLOOKUP(B624,LifeList!$E$2:$J$2038,6)</f>
        <v>21222</v>
      </c>
      <c r="D624" s="3" t="str">
        <f>VLOOKUP(B624,LifeList!$E$2:$G$2038,1)</f>
        <v>Brown Jay</v>
      </c>
      <c r="E624" s="3" t="str">
        <f>VLOOKUP(B624,LifeList!$E$2:$G$2038,2)</f>
        <v>Geai enfumé</v>
      </c>
      <c r="F624" s="3" t="str">
        <f>VLOOKUP(B624,LifeList!$E$2:$G$2038,3)</f>
        <v>Cyanocorax morio</v>
      </c>
      <c r="G624" s="3" t="str">
        <f>VLOOKUP(B624,LifeList!$E$2:$I$2038,4)</f>
        <v>Passeriformes</v>
      </c>
      <c r="H624" s="3" t="str">
        <f>VLOOKUP(B624,LifeList!$E$2:$I$2038,5)</f>
        <v>Corvidae (Crows, Jays, and Magpies)</v>
      </c>
      <c r="I624" s="3"/>
    </row>
    <row r="625" spans="1:9" ht="10.5" customHeight="1">
      <c r="A625" s="3" t="s">
        <v>920</v>
      </c>
      <c r="B625" s="3" t="s">
        <v>919</v>
      </c>
      <c r="C625" s="3">
        <f>VLOOKUP(B625,LifeList!$E$2:$J$2038,6)</f>
        <v>21222</v>
      </c>
      <c r="D625" s="3" t="str">
        <f>VLOOKUP(B625,LifeList!$E$2:$G$2038,1)</f>
        <v>Brown Jay</v>
      </c>
      <c r="E625" s="3" t="str">
        <f>VLOOKUP(B625,LifeList!$E$2:$G$2038,2)</f>
        <v>Geai enfumé</v>
      </c>
      <c r="F625" s="3" t="str">
        <f>VLOOKUP(B625,LifeList!$E$2:$G$2038,3)</f>
        <v>Cyanocorax morio</v>
      </c>
      <c r="G625" s="3" t="str">
        <f>VLOOKUP(B625,LifeList!$E$2:$I$2038,4)</f>
        <v>Passeriformes</v>
      </c>
      <c r="H625" s="3" t="str">
        <f>VLOOKUP(B625,LifeList!$E$2:$I$2038,5)</f>
        <v>Corvidae (Crows, Jays, and Magpies)</v>
      </c>
      <c r="I625" s="3"/>
    </row>
    <row r="626" spans="1:9" ht="10.5" customHeight="1">
      <c r="A626" s="3" t="s">
        <v>921</v>
      </c>
      <c r="B626" s="3" t="s">
        <v>919</v>
      </c>
      <c r="C626" s="3">
        <f>VLOOKUP(B626,LifeList!$E$2:$J$2038,6)</f>
        <v>21222</v>
      </c>
      <c r="D626" s="3" t="str">
        <f>VLOOKUP(B626,LifeList!$E$2:$G$2038,1)</f>
        <v>Brown Jay</v>
      </c>
      <c r="E626" s="3" t="str">
        <f>VLOOKUP(B626,LifeList!$E$2:$G$2038,2)</f>
        <v>Geai enfumé</v>
      </c>
      <c r="F626" s="3" t="str">
        <f>VLOOKUP(B626,LifeList!$E$2:$G$2038,3)</f>
        <v>Cyanocorax morio</v>
      </c>
      <c r="G626" s="3" t="str">
        <f>VLOOKUP(B626,LifeList!$E$2:$I$2038,4)</f>
        <v>Passeriformes</v>
      </c>
      <c r="H626" s="3" t="str">
        <f>VLOOKUP(B626,LifeList!$E$2:$I$2038,5)</f>
        <v>Corvidae (Crows, Jays, and Magpies)</v>
      </c>
      <c r="I626" s="3"/>
    </row>
    <row r="627" spans="1:9" ht="10.5" customHeight="1">
      <c r="A627" s="3" t="s">
        <v>922</v>
      </c>
      <c r="B627" s="3" t="s">
        <v>919</v>
      </c>
      <c r="C627" s="3">
        <f>VLOOKUP(B627,LifeList!$E$2:$J$2038,6)</f>
        <v>21222</v>
      </c>
      <c r="D627" s="3" t="str">
        <f>VLOOKUP(B627,LifeList!$E$2:$G$2038,1)</f>
        <v>Brown Jay</v>
      </c>
      <c r="E627" s="3" t="str">
        <f>VLOOKUP(B627,LifeList!$E$2:$G$2038,2)</f>
        <v>Geai enfumé</v>
      </c>
      <c r="F627" s="3" t="str">
        <f>VLOOKUP(B627,LifeList!$E$2:$G$2038,3)</f>
        <v>Cyanocorax morio</v>
      </c>
      <c r="G627" s="3" t="str">
        <f>VLOOKUP(B627,LifeList!$E$2:$I$2038,4)</f>
        <v>Passeriformes</v>
      </c>
      <c r="H627" s="3" t="str">
        <f>VLOOKUP(B627,LifeList!$E$2:$I$2038,5)</f>
        <v>Corvidae (Crows, Jays, and Magpies)</v>
      </c>
      <c r="I627" s="3"/>
    </row>
    <row r="628" spans="1:9" ht="10.5" customHeight="1">
      <c r="A628" s="3" t="s">
        <v>923</v>
      </c>
      <c r="B628" s="3" t="s">
        <v>924</v>
      </c>
      <c r="C628" s="3">
        <f>VLOOKUP(B628,LifeList!$E$2:$J$2038,6)</f>
        <v>2859</v>
      </c>
      <c r="D628" s="3" t="str">
        <f>VLOOKUP(B628,LifeList!$E$2:$G$2038,1)</f>
        <v>Brown Mesite</v>
      </c>
      <c r="E628" s="3" t="str">
        <f>VLOOKUP(B628,LifeList!$E$2:$G$2038,2)</f>
        <v>Mésite unicolore</v>
      </c>
      <c r="F628" s="3" t="str">
        <f>VLOOKUP(B628,LifeList!$E$2:$G$2038,3)</f>
        <v>Mesitornis unicolor</v>
      </c>
      <c r="G628" s="3" t="str">
        <f>VLOOKUP(B628,LifeList!$E$2:$I$2038,4)</f>
        <v>Mesitornithiformes</v>
      </c>
      <c r="H628" s="3" t="str">
        <f>VLOOKUP(B628,LifeList!$E$2:$I$2038,5)</f>
        <v>Mesitornithidae (Mesites)</v>
      </c>
      <c r="I628" s="3"/>
    </row>
    <row r="629" spans="1:9" ht="10.5" customHeight="1">
      <c r="A629" s="3" t="s">
        <v>925</v>
      </c>
      <c r="B629" s="3" t="s">
        <v>926</v>
      </c>
      <c r="C629" s="3">
        <f>VLOOKUP(B629,LifeList!$E$2:$J$2038,6)</f>
        <v>7792</v>
      </c>
      <c r="D629" s="3" t="str">
        <f>VLOOKUP(B629,LifeList!$E$2:$G$2038,1)</f>
        <v>Brown Pelican</v>
      </c>
      <c r="E629" s="3" t="str">
        <f>VLOOKUP(B629,LifeList!$E$2:$G$2038,2)</f>
        <v>Pélican brun</v>
      </c>
      <c r="F629" s="3" t="str">
        <f>VLOOKUP(B629,LifeList!$E$2:$G$2038,3)</f>
        <v>Pelecanus occidentalis</v>
      </c>
      <c r="G629" s="3" t="str">
        <f>VLOOKUP(B629,LifeList!$E$2:$I$2038,4)</f>
        <v>Pelecaniformes</v>
      </c>
      <c r="H629" s="3" t="str">
        <f>VLOOKUP(B629,LifeList!$E$2:$I$2038,5)</f>
        <v>Pelecanidae (Pelicans)</v>
      </c>
      <c r="I629" s="3"/>
    </row>
    <row r="630" spans="1:9" ht="10.5" customHeight="1">
      <c r="A630" s="3" t="s">
        <v>927</v>
      </c>
      <c r="B630" s="3" t="s">
        <v>926</v>
      </c>
      <c r="C630" s="3">
        <f>VLOOKUP(B630,LifeList!$E$2:$J$2038,6)</f>
        <v>7792</v>
      </c>
      <c r="D630" s="3" t="str">
        <f>VLOOKUP(B630,LifeList!$E$2:$G$2038,1)</f>
        <v>Brown Pelican</v>
      </c>
      <c r="E630" s="3" t="str">
        <f>VLOOKUP(B630,LifeList!$E$2:$G$2038,2)</f>
        <v>Pélican brun</v>
      </c>
      <c r="F630" s="3" t="str">
        <f>VLOOKUP(B630,LifeList!$E$2:$G$2038,3)</f>
        <v>Pelecanus occidentalis</v>
      </c>
      <c r="G630" s="3" t="str">
        <f>VLOOKUP(B630,LifeList!$E$2:$I$2038,4)</f>
        <v>Pelecaniformes</v>
      </c>
      <c r="H630" s="3" t="str">
        <f>VLOOKUP(B630,LifeList!$E$2:$I$2038,5)</f>
        <v>Pelecanidae (Pelicans)</v>
      </c>
      <c r="I630" s="3"/>
    </row>
    <row r="631" spans="1:9" ht="10.5" customHeight="1">
      <c r="A631" s="3" t="s">
        <v>928</v>
      </c>
      <c r="B631" s="3" t="s">
        <v>926</v>
      </c>
      <c r="C631" s="3">
        <f>VLOOKUP(B631,LifeList!$E$2:$J$2038,6)</f>
        <v>7792</v>
      </c>
      <c r="D631" s="3" t="str">
        <f>VLOOKUP(B631,LifeList!$E$2:$G$2038,1)</f>
        <v>Brown Pelican</v>
      </c>
      <c r="E631" s="3" t="str">
        <f>VLOOKUP(B631,LifeList!$E$2:$G$2038,2)</f>
        <v>Pélican brun</v>
      </c>
      <c r="F631" s="3" t="str">
        <f>VLOOKUP(B631,LifeList!$E$2:$G$2038,3)</f>
        <v>Pelecanus occidentalis</v>
      </c>
      <c r="G631" s="3" t="str">
        <f>VLOOKUP(B631,LifeList!$E$2:$I$2038,4)</f>
        <v>Pelecaniformes</v>
      </c>
      <c r="H631" s="3" t="str">
        <f>VLOOKUP(B631,LifeList!$E$2:$I$2038,5)</f>
        <v>Pelecanidae (Pelicans)</v>
      </c>
      <c r="I631" s="3"/>
    </row>
    <row r="632" spans="1:9" ht="10.5" customHeight="1">
      <c r="A632" s="3" t="s">
        <v>929</v>
      </c>
      <c r="B632" s="3" t="s">
        <v>926</v>
      </c>
      <c r="C632" s="3">
        <f>VLOOKUP(B632,LifeList!$E$2:$J$2038,6)</f>
        <v>7792</v>
      </c>
      <c r="D632" s="3" t="str">
        <f>VLOOKUP(B632,LifeList!$E$2:$G$2038,1)</f>
        <v>Brown Pelican</v>
      </c>
      <c r="E632" s="3" t="str">
        <f>VLOOKUP(B632,LifeList!$E$2:$G$2038,2)</f>
        <v>Pélican brun</v>
      </c>
      <c r="F632" s="3" t="str">
        <f>VLOOKUP(B632,LifeList!$E$2:$G$2038,3)</f>
        <v>Pelecanus occidentalis</v>
      </c>
      <c r="G632" s="3" t="str">
        <f>VLOOKUP(B632,LifeList!$E$2:$I$2038,4)</f>
        <v>Pelecaniformes</v>
      </c>
      <c r="H632" s="3" t="str">
        <f>VLOOKUP(B632,LifeList!$E$2:$I$2038,5)</f>
        <v>Pelecanidae (Pelicans)</v>
      </c>
      <c r="I632" s="3"/>
    </row>
    <row r="633" spans="1:9" ht="10.5" customHeight="1">
      <c r="A633" s="3" t="s">
        <v>930</v>
      </c>
      <c r="B633" s="3" t="s">
        <v>926</v>
      </c>
      <c r="C633" s="3">
        <f>VLOOKUP(B633,LifeList!$E$2:$J$2038,6)</f>
        <v>7792</v>
      </c>
      <c r="D633" s="3" t="str">
        <f>VLOOKUP(B633,LifeList!$E$2:$G$2038,1)</f>
        <v>Brown Pelican</v>
      </c>
      <c r="E633" s="3" t="str">
        <f>VLOOKUP(B633,LifeList!$E$2:$G$2038,2)</f>
        <v>Pélican brun</v>
      </c>
      <c r="F633" s="3" t="str">
        <f>VLOOKUP(B633,LifeList!$E$2:$G$2038,3)</f>
        <v>Pelecanus occidentalis</v>
      </c>
      <c r="G633" s="3" t="str">
        <f>VLOOKUP(B633,LifeList!$E$2:$I$2038,4)</f>
        <v>Pelecaniformes</v>
      </c>
      <c r="H633" s="3" t="str">
        <f>VLOOKUP(B633,LifeList!$E$2:$I$2038,5)</f>
        <v>Pelecanidae (Pelicans)</v>
      </c>
      <c r="I633" s="3"/>
    </row>
    <row r="634" spans="1:9" ht="10.5" customHeight="1">
      <c r="A634" s="3" t="s">
        <v>931</v>
      </c>
      <c r="B634" s="3" t="s">
        <v>932</v>
      </c>
      <c r="C634" s="3">
        <f>VLOOKUP(B634,LifeList!$E$2:$J$2038,6)</f>
        <v>18402</v>
      </c>
      <c r="D634" s="3" t="str">
        <f>VLOOKUP(B634,LifeList!$E$2:$G$2038,1)</f>
        <v>Brown Thornbill</v>
      </c>
      <c r="E634" s="3" t="str">
        <f>VLOOKUP(B634,LifeList!$E$2:$G$2038,2)</f>
        <v>Acanthize mignon</v>
      </c>
      <c r="F634" s="3" t="str">
        <f>VLOOKUP(B634,LifeList!$E$2:$G$2038,3)</f>
        <v>Acanthiza pusilla</v>
      </c>
      <c r="G634" s="3" t="str">
        <f>VLOOKUP(B634,LifeList!$E$2:$I$2038,4)</f>
        <v>Passeriformes</v>
      </c>
      <c r="H634" s="3" t="str">
        <f>VLOOKUP(B634,LifeList!$E$2:$I$2038,5)</f>
        <v>Acanthizidae (Thornbills and Allies)</v>
      </c>
      <c r="I634" s="3"/>
    </row>
    <row r="635" spans="1:9" ht="10.5" customHeight="1">
      <c r="A635" s="3" t="s">
        <v>933</v>
      </c>
      <c r="B635" s="3" t="s">
        <v>932</v>
      </c>
      <c r="C635" s="3">
        <f>VLOOKUP(B635,LifeList!$E$2:$J$2038,6)</f>
        <v>18402</v>
      </c>
      <c r="D635" s="3" t="str">
        <f>VLOOKUP(B635,LifeList!$E$2:$G$2038,1)</f>
        <v>Brown Thornbill</v>
      </c>
      <c r="E635" s="3" t="str">
        <f>VLOOKUP(B635,LifeList!$E$2:$G$2038,2)</f>
        <v>Acanthize mignon</v>
      </c>
      <c r="F635" s="3" t="str">
        <f>VLOOKUP(B635,LifeList!$E$2:$G$2038,3)</f>
        <v>Acanthiza pusilla</v>
      </c>
      <c r="G635" s="3" t="str">
        <f>VLOOKUP(B635,LifeList!$E$2:$I$2038,4)</f>
        <v>Passeriformes</v>
      </c>
      <c r="H635" s="3" t="str">
        <f>VLOOKUP(B635,LifeList!$E$2:$I$2038,5)</f>
        <v>Acanthizidae (Thornbills and Allies)</v>
      </c>
      <c r="I635" s="3"/>
    </row>
    <row r="636" spans="1:9" ht="10.5" customHeight="1">
      <c r="A636" s="3" t="s">
        <v>934</v>
      </c>
      <c r="B636" s="3" t="s">
        <v>932</v>
      </c>
      <c r="C636" s="3">
        <f>VLOOKUP(B636,LifeList!$E$2:$J$2038,6)</f>
        <v>18402</v>
      </c>
      <c r="D636" s="3" t="str">
        <f>VLOOKUP(B636,LifeList!$E$2:$G$2038,1)</f>
        <v>Brown Thornbill</v>
      </c>
      <c r="E636" s="3" t="str">
        <f>VLOOKUP(B636,LifeList!$E$2:$G$2038,2)</f>
        <v>Acanthize mignon</v>
      </c>
      <c r="F636" s="3" t="str">
        <f>VLOOKUP(B636,LifeList!$E$2:$G$2038,3)</f>
        <v>Acanthiza pusilla</v>
      </c>
      <c r="G636" s="3" t="str">
        <f>VLOOKUP(B636,LifeList!$E$2:$I$2038,4)</f>
        <v>Passeriformes</v>
      </c>
      <c r="H636" s="3" t="str">
        <f>VLOOKUP(B636,LifeList!$E$2:$I$2038,5)</f>
        <v>Acanthizidae (Thornbills and Allies)</v>
      </c>
      <c r="I636" s="3"/>
    </row>
    <row r="637" spans="1:9" ht="10.5" customHeight="1">
      <c r="A637" s="3" t="s">
        <v>935</v>
      </c>
      <c r="B637" s="3" t="s">
        <v>932</v>
      </c>
      <c r="C637" s="3">
        <f>VLOOKUP(B637,LifeList!$E$2:$J$2038,6)</f>
        <v>18402</v>
      </c>
      <c r="D637" s="3" t="str">
        <f>VLOOKUP(B637,LifeList!$E$2:$G$2038,1)</f>
        <v>Brown Thornbill</v>
      </c>
      <c r="E637" s="3" t="str">
        <f>VLOOKUP(B637,LifeList!$E$2:$G$2038,2)</f>
        <v>Acanthize mignon</v>
      </c>
      <c r="F637" s="3" t="str">
        <f>VLOOKUP(B637,LifeList!$E$2:$G$2038,3)</f>
        <v>Acanthiza pusilla</v>
      </c>
      <c r="G637" s="3" t="str">
        <f>VLOOKUP(B637,LifeList!$E$2:$I$2038,4)</f>
        <v>Passeriformes</v>
      </c>
      <c r="H637" s="3" t="str">
        <f>VLOOKUP(B637,LifeList!$E$2:$I$2038,5)</f>
        <v>Acanthizidae (Thornbills and Allies)</v>
      </c>
      <c r="I637" s="3"/>
    </row>
    <row r="638" spans="1:9" ht="10.5" customHeight="1">
      <c r="A638" s="3" t="s">
        <v>936</v>
      </c>
      <c r="B638" s="3" t="s">
        <v>937</v>
      </c>
      <c r="C638" s="3">
        <f>VLOOKUP(B638,LifeList!$E$2:$J$2038,6)</f>
        <v>28037</v>
      </c>
      <c r="D638" s="3" t="str">
        <f>VLOOKUP(B638,LifeList!$E$2:$G$2038,1)</f>
        <v>Brown Thrasher</v>
      </c>
      <c r="E638" s="3" t="str">
        <f>VLOOKUP(B638,LifeList!$E$2:$G$2038,2)</f>
        <v>Moqueur roux</v>
      </c>
      <c r="F638" s="3" t="str">
        <f>VLOOKUP(B638,LifeList!$E$2:$G$2038,3)</f>
        <v>Toxostoma rufum</v>
      </c>
      <c r="G638" s="3" t="str">
        <f>VLOOKUP(B638,LifeList!$E$2:$I$2038,4)</f>
        <v>Passeriformes</v>
      </c>
      <c r="H638" s="3" t="str">
        <f>VLOOKUP(B638,LifeList!$E$2:$I$2038,5)</f>
        <v>Mimidae (Mockingbirds and Thrashers)</v>
      </c>
      <c r="I638" s="3"/>
    </row>
    <row r="639" spans="1:9" ht="10.5" customHeight="1">
      <c r="A639" s="3" t="s">
        <v>938</v>
      </c>
      <c r="B639" s="3" t="s">
        <v>937</v>
      </c>
      <c r="C639" s="3">
        <f>VLOOKUP(B639,LifeList!$E$2:$J$2038,6)</f>
        <v>28037</v>
      </c>
      <c r="D639" s="3" t="str">
        <f>VLOOKUP(B639,LifeList!$E$2:$G$2038,1)</f>
        <v>Brown Thrasher</v>
      </c>
      <c r="E639" s="3" t="str">
        <f>VLOOKUP(B639,LifeList!$E$2:$G$2038,2)</f>
        <v>Moqueur roux</v>
      </c>
      <c r="F639" s="3" t="str">
        <f>VLOOKUP(B639,LifeList!$E$2:$G$2038,3)</f>
        <v>Toxostoma rufum</v>
      </c>
      <c r="G639" s="3" t="str">
        <f>VLOOKUP(B639,LifeList!$E$2:$I$2038,4)</f>
        <v>Passeriformes</v>
      </c>
      <c r="H639" s="3" t="str">
        <f>VLOOKUP(B639,LifeList!$E$2:$I$2038,5)</f>
        <v>Mimidae (Mockingbirds and Thrashers)</v>
      </c>
      <c r="I639" s="3"/>
    </row>
    <row r="640" spans="1:9" ht="10.5" customHeight="1">
      <c r="A640" s="3" t="s">
        <v>939</v>
      </c>
      <c r="B640" s="3" t="s">
        <v>937</v>
      </c>
      <c r="C640" s="3">
        <f>VLOOKUP(B640,LifeList!$E$2:$J$2038,6)</f>
        <v>28037</v>
      </c>
      <c r="D640" s="3" t="str">
        <f>VLOOKUP(B640,LifeList!$E$2:$G$2038,1)</f>
        <v>Brown Thrasher</v>
      </c>
      <c r="E640" s="3" t="str">
        <f>VLOOKUP(B640,LifeList!$E$2:$G$2038,2)</f>
        <v>Moqueur roux</v>
      </c>
      <c r="F640" s="3" t="str">
        <f>VLOOKUP(B640,LifeList!$E$2:$G$2038,3)</f>
        <v>Toxostoma rufum</v>
      </c>
      <c r="G640" s="3" t="str">
        <f>VLOOKUP(B640,LifeList!$E$2:$I$2038,4)</f>
        <v>Passeriformes</v>
      </c>
      <c r="H640" s="3" t="str">
        <f>VLOOKUP(B640,LifeList!$E$2:$I$2038,5)</f>
        <v>Mimidae (Mockingbirds and Thrashers)</v>
      </c>
      <c r="I640" s="3"/>
    </row>
    <row r="641" spans="1:9" ht="10.5" customHeight="1">
      <c r="A641" s="3" t="s">
        <v>940</v>
      </c>
      <c r="B641" s="3" t="s">
        <v>937</v>
      </c>
      <c r="C641" s="3">
        <f>VLOOKUP(B641,LifeList!$E$2:$J$2038,6)</f>
        <v>28037</v>
      </c>
      <c r="D641" s="3" t="str">
        <f>VLOOKUP(B641,LifeList!$E$2:$G$2038,1)</f>
        <v>Brown Thrasher</v>
      </c>
      <c r="E641" s="3" t="str">
        <f>VLOOKUP(B641,LifeList!$E$2:$G$2038,2)</f>
        <v>Moqueur roux</v>
      </c>
      <c r="F641" s="3" t="str">
        <f>VLOOKUP(B641,LifeList!$E$2:$G$2038,3)</f>
        <v>Toxostoma rufum</v>
      </c>
      <c r="G641" s="3" t="str">
        <f>VLOOKUP(B641,LifeList!$E$2:$I$2038,4)</f>
        <v>Passeriformes</v>
      </c>
      <c r="H641" s="3" t="str">
        <f>VLOOKUP(B641,LifeList!$E$2:$I$2038,5)</f>
        <v>Mimidae (Mockingbirds and Thrashers)</v>
      </c>
      <c r="I641" s="3"/>
    </row>
    <row r="642" spans="1:9" ht="10.5" customHeight="1">
      <c r="A642" s="3" t="s">
        <v>941</v>
      </c>
      <c r="B642" s="3" t="s">
        <v>937</v>
      </c>
      <c r="C642" s="3">
        <f>VLOOKUP(B642,LifeList!$E$2:$J$2038,6)</f>
        <v>28037</v>
      </c>
      <c r="D642" s="3" t="str">
        <f>VLOOKUP(B642,LifeList!$E$2:$G$2038,1)</f>
        <v>Brown Thrasher</v>
      </c>
      <c r="E642" s="3" t="str">
        <f>VLOOKUP(B642,LifeList!$E$2:$G$2038,2)</f>
        <v>Moqueur roux</v>
      </c>
      <c r="F642" s="3" t="str">
        <f>VLOOKUP(B642,LifeList!$E$2:$G$2038,3)</f>
        <v>Toxostoma rufum</v>
      </c>
      <c r="G642" s="3" t="str">
        <f>VLOOKUP(B642,LifeList!$E$2:$I$2038,4)</f>
        <v>Passeriformes</v>
      </c>
      <c r="H642" s="3" t="str">
        <f>VLOOKUP(B642,LifeList!$E$2:$I$2038,5)</f>
        <v>Mimidae (Mockingbirds and Thrashers)</v>
      </c>
      <c r="I642" s="3"/>
    </row>
    <row r="643" spans="1:9" ht="10.5" customHeight="1">
      <c r="A643" s="3" t="s">
        <v>942</v>
      </c>
      <c r="B643" s="3" t="s">
        <v>937</v>
      </c>
      <c r="C643" s="3">
        <f>VLOOKUP(B643,LifeList!$E$2:$J$2038,6)</f>
        <v>28037</v>
      </c>
      <c r="D643" s="3" t="str">
        <f>VLOOKUP(B643,LifeList!$E$2:$G$2038,1)</f>
        <v>Brown Thrasher</v>
      </c>
      <c r="E643" s="3" t="str">
        <f>VLOOKUP(B643,LifeList!$E$2:$G$2038,2)</f>
        <v>Moqueur roux</v>
      </c>
      <c r="F643" s="3" t="str">
        <f>VLOOKUP(B643,LifeList!$E$2:$G$2038,3)</f>
        <v>Toxostoma rufum</v>
      </c>
      <c r="G643" s="3" t="str">
        <f>VLOOKUP(B643,LifeList!$E$2:$I$2038,4)</f>
        <v>Passeriformes</v>
      </c>
      <c r="H643" s="3" t="str">
        <f>VLOOKUP(B643,LifeList!$E$2:$I$2038,5)</f>
        <v>Mimidae (Mockingbirds and Thrashers)</v>
      </c>
      <c r="I643" s="3"/>
    </row>
    <row r="644" spans="1:9" ht="10.5" customHeight="1">
      <c r="A644" s="3" t="s">
        <v>943</v>
      </c>
      <c r="B644" s="3" t="s">
        <v>944</v>
      </c>
      <c r="C644" s="3">
        <f>VLOOKUP(B644,LifeList!$E$2:$J$2038,6)</f>
        <v>17586</v>
      </c>
      <c r="D644" s="3" t="str">
        <f>VLOOKUP(B644,LifeList!$E$2:$G$2038,1)</f>
        <v>Brown Treecreeper</v>
      </c>
      <c r="E644" s="3" t="str">
        <f>VLOOKUP(B644,LifeList!$E$2:$G$2038,2)</f>
        <v>Échelet brun</v>
      </c>
      <c r="F644" s="3" t="str">
        <f>VLOOKUP(B644,LifeList!$E$2:$G$2038,3)</f>
        <v>Climacteris picumnus</v>
      </c>
      <c r="G644" s="3" t="str">
        <f>VLOOKUP(B644,LifeList!$E$2:$I$2038,4)</f>
        <v>Passeriformes</v>
      </c>
      <c r="H644" s="3" t="str">
        <f>VLOOKUP(B644,LifeList!$E$2:$I$2038,5)</f>
        <v>Climacteridae (Australasian Treecreepers)</v>
      </c>
      <c r="I644" s="3"/>
    </row>
    <row r="645" spans="1:9" ht="10.5" customHeight="1">
      <c r="A645" s="3" t="s">
        <v>945</v>
      </c>
      <c r="B645" s="3" t="s">
        <v>946</v>
      </c>
      <c r="C645" s="3">
        <f>VLOOKUP(B645,LifeList!$E$2:$J$2038,6)</f>
        <v>4357</v>
      </c>
      <c r="D645" s="3" t="str">
        <f>VLOOKUP(B645,LifeList!$E$2:$G$2038,1)</f>
        <v>Brown Violetear</v>
      </c>
      <c r="E645" s="3" t="str">
        <f>VLOOKUP(B645,LifeList!$E$2:$G$2038,2)</f>
        <v>Colibri de Delphine</v>
      </c>
      <c r="F645" s="3" t="str">
        <f>VLOOKUP(B645,LifeList!$E$2:$G$2038,3)</f>
        <v>Colibri delphinae</v>
      </c>
      <c r="G645" s="3" t="str">
        <f>VLOOKUP(B645,LifeList!$E$2:$I$2038,4)</f>
        <v>Apodiformes</v>
      </c>
      <c r="H645" s="3" t="str">
        <f>VLOOKUP(B645,LifeList!$E$2:$I$2038,5)</f>
        <v>Trochilidae (Hummingbirds)</v>
      </c>
      <c r="I645" s="3"/>
    </row>
    <row r="646" spans="1:9" ht="10.5" customHeight="1">
      <c r="A646" s="3" t="s">
        <v>947</v>
      </c>
      <c r="B646" s="3" t="s">
        <v>946</v>
      </c>
      <c r="C646" s="3">
        <f>VLOOKUP(B646,LifeList!$E$2:$J$2038,6)</f>
        <v>4357</v>
      </c>
      <c r="D646" s="3" t="str">
        <f>VLOOKUP(B646,LifeList!$E$2:$G$2038,1)</f>
        <v>Brown Violetear</v>
      </c>
      <c r="E646" s="3" t="str">
        <f>VLOOKUP(B646,LifeList!$E$2:$G$2038,2)</f>
        <v>Colibri de Delphine</v>
      </c>
      <c r="F646" s="3" t="str">
        <f>VLOOKUP(B646,LifeList!$E$2:$G$2038,3)</f>
        <v>Colibri delphinae</v>
      </c>
      <c r="G646" s="3" t="str">
        <f>VLOOKUP(B646,LifeList!$E$2:$I$2038,4)</f>
        <v>Apodiformes</v>
      </c>
      <c r="H646" s="3" t="str">
        <f>VLOOKUP(B646,LifeList!$E$2:$I$2038,5)</f>
        <v>Trochilidae (Hummingbirds)</v>
      </c>
      <c r="I646" s="3"/>
    </row>
    <row r="647" spans="1:9" ht="10.5" customHeight="1">
      <c r="A647" s="3" t="s">
        <v>948</v>
      </c>
      <c r="B647" s="3" t="s">
        <v>946</v>
      </c>
      <c r="C647" s="3">
        <f>VLOOKUP(B647,LifeList!$E$2:$J$2038,6)</f>
        <v>4357</v>
      </c>
      <c r="D647" s="3" t="str">
        <f>VLOOKUP(B647,LifeList!$E$2:$G$2038,1)</f>
        <v>Brown Violetear</v>
      </c>
      <c r="E647" s="3" t="str">
        <f>VLOOKUP(B647,LifeList!$E$2:$G$2038,2)</f>
        <v>Colibri de Delphine</v>
      </c>
      <c r="F647" s="3" t="str">
        <f>VLOOKUP(B647,LifeList!$E$2:$G$2038,3)</f>
        <v>Colibri delphinae</v>
      </c>
      <c r="G647" s="3" t="str">
        <f>VLOOKUP(B647,LifeList!$E$2:$I$2038,4)</f>
        <v>Apodiformes</v>
      </c>
      <c r="H647" s="3" t="str">
        <f>VLOOKUP(B647,LifeList!$E$2:$I$2038,5)</f>
        <v>Trochilidae (Hummingbirds)</v>
      </c>
      <c r="I647" s="3"/>
    </row>
    <row r="648" spans="1:9" ht="10.5" customHeight="1">
      <c r="A648" s="3" t="s">
        <v>949</v>
      </c>
      <c r="B648" s="3" t="s">
        <v>946</v>
      </c>
      <c r="C648" s="3">
        <f>VLOOKUP(B648,LifeList!$E$2:$J$2038,6)</f>
        <v>4357</v>
      </c>
      <c r="D648" s="3" t="str">
        <f>VLOOKUP(B648,LifeList!$E$2:$G$2038,1)</f>
        <v>Brown Violetear</v>
      </c>
      <c r="E648" s="3" t="str">
        <f>VLOOKUP(B648,LifeList!$E$2:$G$2038,2)</f>
        <v>Colibri de Delphine</v>
      </c>
      <c r="F648" s="3" t="str">
        <f>VLOOKUP(B648,LifeList!$E$2:$G$2038,3)</f>
        <v>Colibri delphinae</v>
      </c>
      <c r="G648" s="3" t="str">
        <f>VLOOKUP(B648,LifeList!$E$2:$I$2038,4)</f>
        <v>Apodiformes</v>
      </c>
      <c r="H648" s="3" t="str">
        <f>VLOOKUP(B648,LifeList!$E$2:$I$2038,5)</f>
        <v>Trochilidae (Hummingbirds)</v>
      </c>
      <c r="I648" s="3"/>
    </row>
    <row r="649" spans="1:9" ht="10.5" customHeight="1">
      <c r="A649" s="3" t="s">
        <v>950</v>
      </c>
      <c r="B649" s="3" t="s">
        <v>946</v>
      </c>
      <c r="C649" s="3">
        <f>VLOOKUP(B649,LifeList!$E$2:$J$2038,6)</f>
        <v>4357</v>
      </c>
      <c r="D649" s="3" t="str">
        <f>VLOOKUP(B649,LifeList!$E$2:$G$2038,1)</f>
        <v>Brown Violetear</v>
      </c>
      <c r="E649" s="3" t="str">
        <f>VLOOKUP(B649,LifeList!$E$2:$G$2038,2)</f>
        <v>Colibri de Delphine</v>
      </c>
      <c r="F649" s="3" t="str">
        <f>VLOOKUP(B649,LifeList!$E$2:$G$2038,3)</f>
        <v>Colibri delphinae</v>
      </c>
      <c r="G649" s="3" t="str">
        <f>VLOOKUP(B649,LifeList!$E$2:$I$2038,4)</f>
        <v>Apodiformes</v>
      </c>
      <c r="H649" s="3" t="str">
        <f>VLOOKUP(B649,LifeList!$E$2:$I$2038,5)</f>
        <v>Trochilidae (Hummingbirds)</v>
      </c>
      <c r="I649" s="3"/>
    </row>
    <row r="650" spans="1:9" ht="10.5" customHeight="1">
      <c r="A650" s="3" t="s">
        <v>951</v>
      </c>
      <c r="B650" s="3" t="s">
        <v>952</v>
      </c>
      <c r="C650" s="3">
        <f>VLOOKUP(B650,LifeList!$E$2:$J$2038,6)</f>
        <v>17202</v>
      </c>
      <c r="D650" s="3" t="str">
        <f>VLOOKUP(B650,LifeList!$E$2:$G$2038,1)</f>
        <v>Brown-backed Chat-Tyrant</v>
      </c>
      <c r="E650" s="3" t="str">
        <f>VLOOKUP(B650,LifeList!$E$2:$G$2038,2)</f>
        <v>Pitajo à dos brun</v>
      </c>
      <c r="F650" s="3" t="str">
        <f>VLOOKUP(B650,LifeList!$E$2:$G$2038,3)</f>
        <v>Ochthoeca fumicolor</v>
      </c>
      <c r="G650" s="3" t="str">
        <f>VLOOKUP(B650,LifeList!$E$2:$I$2038,4)</f>
        <v>Passeriformes</v>
      </c>
      <c r="H650" s="3" t="str">
        <f>VLOOKUP(B650,LifeList!$E$2:$I$2038,5)</f>
        <v>Tyrannidae (Tyrant Flycatchers)</v>
      </c>
      <c r="I650" s="3"/>
    </row>
    <row r="651" spans="1:9" ht="10.5" customHeight="1">
      <c r="A651" s="3" t="s">
        <v>953</v>
      </c>
      <c r="B651" s="3" t="s">
        <v>952</v>
      </c>
      <c r="C651" s="3">
        <f>VLOOKUP(B651,LifeList!$E$2:$J$2038,6)</f>
        <v>17202</v>
      </c>
      <c r="D651" s="3" t="str">
        <f>VLOOKUP(B651,LifeList!$E$2:$G$2038,1)</f>
        <v>Brown-backed Chat-Tyrant</v>
      </c>
      <c r="E651" s="3" t="str">
        <f>VLOOKUP(B651,LifeList!$E$2:$G$2038,2)</f>
        <v>Pitajo à dos brun</v>
      </c>
      <c r="F651" s="3" t="str">
        <f>VLOOKUP(B651,LifeList!$E$2:$G$2038,3)</f>
        <v>Ochthoeca fumicolor</v>
      </c>
      <c r="G651" s="3" t="str">
        <f>VLOOKUP(B651,LifeList!$E$2:$I$2038,4)</f>
        <v>Passeriformes</v>
      </c>
      <c r="H651" s="3" t="str">
        <f>VLOOKUP(B651,LifeList!$E$2:$I$2038,5)</f>
        <v>Tyrannidae (Tyrant Flycatchers)</v>
      </c>
      <c r="I651" s="3"/>
    </row>
    <row r="652" spans="1:9" ht="10.5" customHeight="1">
      <c r="A652" s="3" t="s">
        <v>954</v>
      </c>
      <c r="B652" s="3" t="s">
        <v>952</v>
      </c>
      <c r="C652" s="3">
        <f>VLOOKUP(B652,LifeList!$E$2:$J$2038,6)</f>
        <v>17202</v>
      </c>
      <c r="D652" s="3" t="str">
        <f>VLOOKUP(B652,LifeList!$E$2:$G$2038,1)</f>
        <v>Brown-backed Chat-Tyrant</v>
      </c>
      <c r="E652" s="3" t="str">
        <f>VLOOKUP(B652,LifeList!$E$2:$G$2038,2)</f>
        <v>Pitajo à dos brun</v>
      </c>
      <c r="F652" s="3" t="str">
        <f>VLOOKUP(B652,LifeList!$E$2:$G$2038,3)</f>
        <v>Ochthoeca fumicolor</v>
      </c>
      <c r="G652" s="3" t="str">
        <f>VLOOKUP(B652,LifeList!$E$2:$I$2038,4)</f>
        <v>Passeriformes</v>
      </c>
      <c r="H652" s="3" t="str">
        <f>VLOOKUP(B652,LifeList!$E$2:$I$2038,5)</f>
        <v>Tyrannidae (Tyrant Flycatchers)</v>
      </c>
      <c r="I652" s="3"/>
    </row>
    <row r="653" spans="1:9" ht="10.5" customHeight="1">
      <c r="A653" s="3" t="s">
        <v>955</v>
      </c>
      <c r="B653" s="3" t="s">
        <v>956</v>
      </c>
      <c r="C653" s="3">
        <f>VLOOKUP(B653,LifeList!$E$2:$J$2038,6)</f>
        <v>14290</v>
      </c>
      <c r="D653" s="3" t="str">
        <f>VLOOKUP(B653,LifeList!$E$2:$G$2038,1)</f>
        <v>Brown-banded Antpitta</v>
      </c>
      <c r="E653" s="3" t="str">
        <f>VLOOKUP(B653,LifeList!$E$2:$G$2038,2)</f>
        <v>Grallaire ceinturée</v>
      </c>
      <c r="F653" s="3" t="str">
        <f>VLOOKUP(B653,LifeList!$E$2:$G$2038,3)</f>
        <v>Grallaria milleri</v>
      </c>
      <c r="G653" s="3" t="str">
        <f>VLOOKUP(B653,LifeList!$E$2:$I$2038,4)</f>
        <v>Passeriformes</v>
      </c>
      <c r="H653" s="3" t="str">
        <f>VLOOKUP(B653,LifeList!$E$2:$I$2038,5)</f>
        <v>Grallariidae (Antpittas)</v>
      </c>
      <c r="I653" s="3"/>
    </row>
    <row r="654" spans="1:9" ht="10.5" customHeight="1">
      <c r="A654" s="3" t="s">
        <v>957</v>
      </c>
      <c r="B654" s="3" t="s">
        <v>956</v>
      </c>
      <c r="C654" s="3">
        <f>VLOOKUP(B654,LifeList!$E$2:$J$2038,6)</f>
        <v>14290</v>
      </c>
      <c r="D654" s="3" t="str">
        <f>VLOOKUP(B654,LifeList!$E$2:$G$2038,1)</f>
        <v>Brown-banded Antpitta</v>
      </c>
      <c r="E654" s="3" t="str">
        <f>VLOOKUP(B654,LifeList!$E$2:$G$2038,2)</f>
        <v>Grallaire ceinturée</v>
      </c>
      <c r="F654" s="3" t="str">
        <f>VLOOKUP(B654,LifeList!$E$2:$G$2038,3)</f>
        <v>Grallaria milleri</v>
      </c>
      <c r="G654" s="3" t="str">
        <f>VLOOKUP(B654,LifeList!$E$2:$I$2038,4)</f>
        <v>Passeriformes</v>
      </c>
      <c r="H654" s="3" t="str">
        <f>VLOOKUP(B654,LifeList!$E$2:$I$2038,5)</f>
        <v>Grallariidae (Antpittas)</v>
      </c>
      <c r="I654" s="3"/>
    </row>
    <row r="655" spans="1:9" ht="10.5" customHeight="1">
      <c r="A655" s="3" t="s">
        <v>958</v>
      </c>
      <c r="B655" s="3" t="s">
        <v>959</v>
      </c>
      <c r="C655" s="3">
        <f>VLOOKUP(B655,LifeList!$E$2:$J$2038,6)</f>
        <v>16549</v>
      </c>
      <c r="D655" s="3" t="str">
        <f>VLOOKUP(B655,LifeList!$E$2:$G$2038,1)</f>
        <v>Brown-capped Tyrannulet</v>
      </c>
      <c r="E655" s="3" t="str">
        <f>VLOOKUP(B655,LifeList!$E$2:$G$2038,2)</f>
        <v>Tyranneau à tête brune</v>
      </c>
      <c r="F655" s="3" t="str">
        <f>VLOOKUP(B655,LifeList!$E$2:$G$2038,3)</f>
        <v>Ornithion brunneicapillus</v>
      </c>
      <c r="G655" s="3" t="str">
        <f>VLOOKUP(B655,LifeList!$E$2:$I$2038,4)</f>
        <v>Passeriformes</v>
      </c>
      <c r="H655" s="3" t="str">
        <f>VLOOKUP(B655,LifeList!$E$2:$I$2038,5)</f>
        <v>Tyrannidae (Tyrant Flycatchers)</v>
      </c>
      <c r="I655" s="3"/>
    </row>
    <row r="656" spans="1:9" ht="10.5" customHeight="1">
      <c r="A656" s="3" t="s">
        <v>960</v>
      </c>
      <c r="B656" s="3" t="s">
        <v>961</v>
      </c>
      <c r="C656" s="3">
        <f>VLOOKUP(B656,LifeList!$E$2:$J$2038,6)</f>
        <v>19253</v>
      </c>
      <c r="D656" s="3" t="str">
        <f>VLOOKUP(B656,LifeList!$E$2:$G$2038,1)</f>
        <v>Brown-capped Vireo</v>
      </c>
      <c r="E656" s="3" t="str">
        <f>VLOOKUP(B656,LifeList!$E$2:$G$2038,2)</f>
        <v>Viréo à calotte brune</v>
      </c>
      <c r="F656" s="3" t="str">
        <f>VLOOKUP(B656,LifeList!$E$2:$G$2038,3)</f>
        <v>Vireo leucophrys</v>
      </c>
      <c r="G656" s="3" t="str">
        <f>VLOOKUP(B656,LifeList!$E$2:$I$2038,4)</f>
        <v>Passeriformes</v>
      </c>
      <c r="H656" s="3" t="str">
        <f>VLOOKUP(B656,LifeList!$E$2:$I$2038,5)</f>
        <v>Vireonidae (Vireos, Shrike-Babblers, and Erpornis)</v>
      </c>
      <c r="I656" s="3"/>
    </row>
    <row r="657" spans="1:9" ht="10.5" customHeight="1">
      <c r="A657" s="3" t="s">
        <v>962</v>
      </c>
      <c r="B657" s="3" t="s">
        <v>961</v>
      </c>
      <c r="C657" s="3">
        <f>VLOOKUP(B657,LifeList!$E$2:$J$2038,6)</f>
        <v>19253</v>
      </c>
      <c r="D657" s="3" t="str">
        <f>VLOOKUP(B657,LifeList!$E$2:$G$2038,1)</f>
        <v>Brown-capped Vireo</v>
      </c>
      <c r="E657" s="3" t="str">
        <f>VLOOKUP(B657,LifeList!$E$2:$G$2038,2)</f>
        <v>Viréo à calotte brune</v>
      </c>
      <c r="F657" s="3" t="str">
        <f>VLOOKUP(B657,LifeList!$E$2:$G$2038,3)</f>
        <v>Vireo leucophrys</v>
      </c>
      <c r="G657" s="3" t="str">
        <f>VLOOKUP(B657,LifeList!$E$2:$I$2038,4)</f>
        <v>Passeriformes</v>
      </c>
      <c r="H657" s="3" t="str">
        <f>VLOOKUP(B657,LifeList!$E$2:$I$2038,5)</f>
        <v>Vireonidae (Vireos, Shrike-Babblers, and Erpornis)</v>
      </c>
      <c r="I657" s="3"/>
    </row>
    <row r="658" spans="1:9" ht="10.5" customHeight="1">
      <c r="A658" s="3" t="s">
        <v>963</v>
      </c>
      <c r="B658" s="3" t="s">
        <v>961</v>
      </c>
      <c r="C658" s="3">
        <f>VLOOKUP(B658,LifeList!$E$2:$J$2038,6)</f>
        <v>19253</v>
      </c>
      <c r="D658" s="3" t="str">
        <f>VLOOKUP(B658,LifeList!$E$2:$G$2038,1)</f>
        <v>Brown-capped Vireo</v>
      </c>
      <c r="E658" s="3" t="str">
        <f>VLOOKUP(B658,LifeList!$E$2:$G$2038,2)</f>
        <v>Viréo à calotte brune</v>
      </c>
      <c r="F658" s="3" t="str">
        <f>VLOOKUP(B658,LifeList!$E$2:$G$2038,3)</f>
        <v>Vireo leucophrys</v>
      </c>
      <c r="G658" s="3" t="str">
        <f>VLOOKUP(B658,LifeList!$E$2:$I$2038,4)</f>
        <v>Passeriformes</v>
      </c>
      <c r="H658" s="3" t="str">
        <f>VLOOKUP(B658,LifeList!$E$2:$I$2038,5)</f>
        <v>Vireonidae (Vireos, Shrike-Babblers, and Erpornis)</v>
      </c>
      <c r="I658" s="3"/>
    </row>
    <row r="659" spans="1:9" ht="10.5" customHeight="1">
      <c r="A659" s="3" t="s">
        <v>964</v>
      </c>
      <c r="B659" s="3" t="s">
        <v>965</v>
      </c>
      <c r="C659" s="3">
        <f>VLOOKUP(B659,LifeList!$E$2:$J$2038,6)</f>
        <v>17335</v>
      </c>
      <c r="D659" s="3" t="str">
        <f>VLOOKUP(B659,LifeList!$E$2:$G$2038,1)</f>
        <v>Brown-crested Flycatcher</v>
      </c>
      <c r="E659" s="3" t="str">
        <f>VLOOKUP(B659,LifeList!$E$2:$G$2038,2)</f>
        <v>Tyran de Wied</v>
      </c>
      <c r="F659" s="3" t="str">
        <f>VLOOKUP(B659,LifeList!$E$2:$G$2038,3)</f>
        <v>Myiarchus tyrannulus</v>
      </c>
      <c r="G659" s="3" t="str">
        <f>VLOOKUP(B659,LifeList!$E$2:$I$2038,4)</f>
        <v>Passeriformes</v>
      </c>
      <c r="H659" s="3" t="str">
        <f>VLOOKUP(B659,LifeList!$E$2:$I$2038,5)</f>
        <v>Tyrannidae (Tyrant Flycatchers)</v>
      </c>
      <c r="I659" s="3"/>
    </row>
    <row r="660" spans="1:9" ht="10.5" customHeight="1">
      <c r="A660" s="3" t="s">
        <v>966</v>
      </c>
      <c r="B660" s="3" t="s">
        <v>965</v>
      </c>
      <c r="C660" s="3">
        <f>VLOOKUP(B660,LifeList!$E$2:$J$2038,6)</f>
        <v>17335</v>
      </c>
      <c r="D660" s="3" t="str">
        <f>VLOOKUP(B660,LifeList!$E$2:$G$2038,1)</f>
        <v>Brown-crested Flycatcher</v>
      </c>
      <c r="E660" s="3" t="str">
        <f>VLOOKUP(B660,LifeList!$E$2:$G$2038,2)</f>
        <v>Tyran de Wied</v>
      </c>
      <c r="F660" s="3" t="str">
        <f>VLOOKUP(B660,LifeList!$E$2:$G$2038,3)</f>
        <v>Myiarchus tyrannulus</v>
      </c>
      <c r="G660" s="3" t="str">
        <f>VLOOKUP(B660,LifeList!$E$2:$I$2038,4)</f>
        <v>Passeriformes</v>
      </c>
      <c r="H660" s="3" t="str">
        <f>VLOOKUP(B660,LifeList!$E$2:$I$2038,5)</f>
        <v>Tyrannidae (Tyrant Flycatchers)</v>
      </c>
      <c r="I660" s="3"/>
    </row>
    <row r="661" spans="1:9" ht="10.5" customHeight="1">
      <c r="A661" s="3" t="s">
        <v>967</v>
      </c>
      <c r="B661" s="3" t="s">
        <v>965</v>
      </c>
      <c r="C661" s="3">
        <f>VLOOKUP(B661,LifeList!$E$2:$J$2038,6)</f>
        <v>17335</v>
      </c>
      <c r="D661" s="3" t="str">
        <f>VLOOKUP(B661,LifeList!$E$2:$G$2038,1)</f>
        <v>Brown-crested Flycatcher</v>
      </c>
      <c r="E661" s="3" t="str">
        <f>VLOOKUP(B661,LifeList!$E$2:$G$2038,2)</f>
        <v>Tyran de Wied</v>
      </c>
      <c r="F661" s="3" t="str">
        <f>VLOOKUP(B661,LifeList!$E$2:$G$2038,3)</f>
        <v>Myiarchus tyrannulus</v>
      </c>
      <c r="G661" s="3" t="str">
        <f>VLOOKUP(B661,LifeList!$E$2:$I$2038,4)</f>
        <v>Passeriformes</v>
      </c>
      <c r="H661" s="3" t="str">
        <f>VLOOKUP(B661,LifeList!$E$2:$I$2038,5)</f>
        <v>Tyrannidae (Tyrant Flycatchers)</v>
      </c>
      <c r="I661" s="3"/>
    </row>
    <row r="662" spans="1:9" ht="10.5" customHeight="1">
      <c r="A662" s="3" t="s">
        <v>968</v>
      </c>
      <c r="B662" s="3" t="s">
        <v>965</v>
      </c>
      <c r="C662" s="3">
        <f>VLOOKUP(B662,LifeList!$E$2:$J$2038,6)</f>
        <v>17335</v>
      </c>
      <c r="D662" s="3" t="str">
        <f>VLOOKUP(B662,LifeList!$E$2:$G$2038,1)</f>
        <v>Brown-crested Flycatcher</v>
      </c>
      <c r="E662" s="3" t="str">
        <f>VLOOKUP(B662,LifeList!$E$2:$G$2038,2)</f>
        <v>Tyran de Wied</v>
      </c>
      <c r="F662" s="3" t="str">
        <f>VLOOKUP(B662,LifeList!$E$2:$G$2038,3)</f>
        <v>Myiarchus tyrannulus</v>
      </c>
      <c r="G662" s="3" t="str">
        <f>VLOOKUP(B662,LifeList!$E$2:$I$2038,4)</f>
        <v>Passeriformes</v>
      </c>
      <c r="H662" s="3" t="str">
        <f>VLOOKUP(B662,LifeList!$E$2:$I$2038,5)</f>
        <v>Tyrannidae (Tyrant Flycatchers)</v>
      </c>
      <c r="I662" s="3"/>
    </row>
    <row r="663" spans="1:9" ht="10.5" customHeight="1">
      <c r="A663" s="3" t="s">
        <v>969</v>
      </c>
      <c r="B663" s="3" t="s">
        <v>965</v>
      </c>
      <c r="C663" s="3">
        <f>VLOOKUP(B663,LifeList!$E$2:$J$2038,6)</f>
        <v>17335</v>
      </c>
      <c r="D663" s="3" t="str">
        <f>VLOOKUP(B663,LifeList!$E$2:$G$2038,1)</f>
        <v>Brown-crested Flycatcher</v>
      </c>
      <c r="E663" s="3" t="str">
        <f>VLOOKUP(B663,LifeList!$E$2:$G$2038,2)</f>
        <v>Tyran de Wied</v>
      </c>
      <c r="F663" s="3" t="str">
        <f>VLOOKUP(B663,LifeList!$E$2:$G$2038,3)</f>
        <v>Myiarchus tyrannulus</v>
      </c>
      <c r="G663" s="3" t="str">
        <f>VLOOKUP(B663,LifeList!$E$2:$I$2038,4)</f>
        <v>Passeriformes</v>
      </c>
      <c r="H663" s="3" t="str">
        <f>VLOOKUP(B663,LifeList!$E$2:$I$2038,5)</f>
        <v>Tyrannidae (Tyrant Flycatchers)</v>
      </c>
      <c r="I663" s="3"/>
    </row>
    <row r="664" spans="1:9" ht="10.5" customHeight="1">
      <c r="A664" s="3" t="s">
        <v>970</v>
      </c>
      <c r="B664" s="3" t="s">
        <v>965</v>
      </c>
      <c r="C664" s="3">
        <f>VLOOKUP(B664,LifeList!$E$2:$J$2038,6)</f>
        <v>17335</v>
      </c>
      <c r="D664" s="3" t="str">
        <f>VLOOKUP(B664,LifeList!$E$2:$G$2038,1)</f>
        <v>Brown-crested Flycatcher</v>
      </c>
      <c r="E664" s="3" t="str">
        <f>VLOOKUP(B664,LifeList!$E$2:$G$2038,2)</f>
        <v>Tyran de Wied</v>
      </c>
      <c r="F664" s="3" t="str">
        <f>VLOOKUP(B664,LifeList!$E$2:$G$2038,3)</f>
        <v>Myiarchus tyrannulus</v>
      </c>
      <c r="G664" s="3" t="str">
        <f>VLOOKUP(B664,LifeList!$E$2:$I$2038,4)</f>
        <v>Passeriformes</v>
      </c>
      <c r="H664" s="3" t="str">
        <f>VLOOKUP(B664,LifeList!$E$2:$I$2038,5)</f>
        <v>Tyrannidae (Tyrant Flycatchers)</v>
      </c>
      <c r="I664" s="3"/>
    </row>
    <row r="665" spans="1:9" ht="10.5" customHeight="1">
      <c r="A665" s="7" t="s">
        <v>971</v>
      </c>
      <c r="B665" s="9" t="s">
        <v>972</v>
      </c>
      <c r="C665" s="3">
        <f>VLOOKUP(B665,LifeList!$E$2:$J$2038,6)</f>
        <v>18132</v>
      </c>
      <c r="D665" s="3" t="str">
        <f>VLOOKUP(B665,LifeList!$E$2:$G$2038,1)</f>
        <v>Brown-headed Honeyeater</v>
      </c>
      <c r="E665" s="3" t="str">
        <f>VLOOKUP(B665,LifeList!$E$2:$G$2038,2)</f>
        <v>Méliphage à tête brune</v>
      </c>
      <c r="F665" s="3" t="str">
        <f>VLOOKUP(B665,LifeList!$E$2:$G$2038,3)</f>
        <v>Melithreptus brevirostris</v>
      </c>
      <c r="G665" s="3" t="str">
        <f>VLOOKUP(B665,LifeList!$E$2:$I$2038,4)</f>
        <v>Passeriformes</v>
      </c>
      <c r="H665" s="3" t="str">
        <f>VLOOKUP(B665,LifeList!$E$2:$I$2038,5)</f>
        <v>Meliphagidae (Honeyeaters)</v>
      </c>
      <c r="I665" s="3"/>
    </row>
    <row r="666" spans="1:9" ht="10.5" customHeight="1">
      <c r="A666" s="5" t="s">
        <v>973</v>
      </c>
      <c r="B666" s="3" t="s">
        <v>974</v>
      </c>
      <c r="C666" s="6">
        <f>VLOOKUP(B666,LifeList!$E$2:$J$2038,6)</f>
        <v>26932</v>
      </c>
      <c r="D666" s="3" t="str">
        <f>VLOOKUP(B666,LifeList!$E$2:$G$2038,1)</f>
        <v>Brown-headed Nuthatch</v>
      </c>
      <c r="E666" s="3" t="str">
        <f>VLOOKUP(B666,LifeList!$E$2:$G$2038,2)</f>
        <v>Sittelle à tête brune</v>
      </c>
      <c r="F666" s="3" t="str">
        <f>VLOOKUP(B666,LifeList!$E$2:$G$2038,3)</f>
        <v>Sitta pusilla</v>
      </c>
      <c r="G666" s="3" t="str">
        <f>VLOOKUP(B666,LifeList!$E$2:$I$2038,4)</f>
        <v>Passeriformes</v>
      </c>
      <c r="H666" s="3" t="str">
        <f>VLOOKUP(B666,LifeList!$E$2:$I$2038,5)</f>
        <v>Sittidae (Nuthatches)</v>
      </c>
      <c r="I666" s="3"/>
    </row>
    <row r="667" spans="1:9" ht="10.5" customHeight="1">
      <c r="A667" s="3" t="s">
        <v>975</v>
      </c>
      <c r="B667" s="3" t="s">
        <v>976</v>
      </c>
      <c r="C667" s="3">
        <f>VLOOKUP(B667,LifeList!$E$2:$J$2038,6)</f>
        <v>33833</v>
      </c>
      <c r="D667" s="3" t="str">
        <f>VLOOKUP(B667,LifeList!$E$2:$G$2038,1)</f>
        <v>Brown-headed Cowbird</v>
      </c>
      <c r="E667" s="3" t="str">
        <f>VLOOKUP(B667,LifeList!$E$2:$G$2038,2)</f>
        <v>Vacher à tête brune</v>
      </c>
      <c r="F667" s="3" t="str">
        <f>VLOOKUP(B667,LifeList!$E$2:$G$2038,3)</f>
        <v>Molothrus ater</v>
      </c>
      <c r="G667" s="3" t="str">
        <f>VLOOKUP(B667,LifeList!$E$2:$I$2038,4)</f>
        <v>Passeriformes</v>
      </c>
      <c r="H667" s="3" t="str">
        <f>VLOOKUP(B667,LifeList!$E$2:$I$2038,5)</f>
        <v>Icteridae (Troupials and Allies)</v>
      </c>
      <c r="I667" s="3"/>
    </row>
    <row r="668" spans="1:9" ht="10.5" customHeight="1">
      <c r="A668" s="3" t="s">
        <v>977</v>
      </c>
      <c r="B668" s="3" t="s">
        <v>976</v>
      </c>
      <c r="C668" s="3">
        <f>VLOOKUP(B668,LifeList!$E$2:$J$2038,6)</f>
        <v>33833</v>
      </c>
      <c r="D668" s="3" t="str">
        <f>VLOOKUP(B668,LifeList!$E$2:$G$2038,1)</f>
        <v>Brown-headed Cowbird</v>
      </c>
      <c r="E668" s="3" t="str">
        <f>VLOOKUP(B668,LifeList!$E$2:$G$2038,2)</f>
        <v>Vacher à tête brune</v>
      </c>
      <c r="F668" s="3" t="str">
        <f>VLOOKUP(B668,LifeList!$E$2:$G$2038,3)</f>
        <v>Molothrus ater</v>
      </c>
      <c r="G668" s="3" t="str">
        <f>VLOOKUP(B668,LifeList!$E$2:$I$2038,4)</f>
        <v>Passeriformes</v>
      </c>
      <c r="H668" s="3" t="str">
        <f>VLOOKUP(B668,LifeList!$E$2:$I$2038,5)</f>
        <v>Icteridae (Troupials and Allies)</v>
      </c>
      <c r="I668" s="3"/>
    </row>
    <row r="669" spans="1:9" ht="10.5" customHeight="1">
      <c r="A669" s="3" t="s">
        <v>978</v>
      </c>
      <c r="B669" s="3" t="s">
        <v>976</v>
      </c>
      <c r="C669" s="3">
        <f>VLOOKUP(B669,LifeList!$E$2:$J$2038,6)</f>
        <v>33833</v>
      </c>
      <c r="D669" s="3" t="str">
        <f>VLOOKUP(B669,LifeList!$E$2:$G$2038,1)</f>
        <v>Brown-headed Cowbird</v>
      </c>
      <c r="E669" s="3" t="str">
        <f>VLOOKUP(B669,LifeList!$E$2:$G$2038,2)</f>
        <v>Vacher à tête brune</v>
      </c>
      <c r="F669" s="3" t="str">
        <f>VLOOKUP(B669,LifeList!$E$2:$G$2038,3)</f>
        <v>Molothrus ater</v>
      </c>
      <c r="G669" s="3" t="str">
        <f>VLOOKUP(B669,LifeList!$E$2:$I$2038,4)</f>
        <v>Passeriformes</v>
      </c>
      <c r="H669" s="3" t="str">
        <f>VLOOKUP(B669,LifeList!$E$2:$I$2038,5)</f>
        <v>Icteridae (Troupials and Allies)</v>
      </c>
      <c r="I669" s="3"/>
    </row>
    <row r="670" spans="1:9" ht="10.5" customHeight="1">
      <c r="A670" s="3" t="s">
        <v>979</v>
      </c>
      <c r="B670" s="3" t="s">
        <v>976</v>
      </c>
      <c r="C670" s="3">
        <f>VLOOKUP(B670,LifeList!$E$2:$J$2038,6)</f>
        <v>33833</v>
      </c>
      <c r="D670" s="3" t="str">
        <f>VLOOKUP(B670,LifeList!$E$2:$G$2038,1)</f>
        <v>Brown-headed Cowbird</v>
      </c>
      <c r="E670" s="3" t="str">
        <f>VLOOKUP(B670,LifeList!$E$2:$G$2038,2)</f>
        <v>Vacher à tête brune</v>
      </c>
      <c r="F670" s="3" t="str">
        <f>VLOOKUP(B670,LifeList!$E$2:$G$2038,3)</f>
        <v>Molothrus ater</v>
      </c>
      <c r="G670" s="3" t="str">
        <f>VLOOKUP(B670,LifeList!$E$2:$I$2038,4)</f>
        <v>Passeriformes</v>
      </c>
      <c r="H670" s="3" t="str">
        <f>VLOOKUP(B670,LifeList!$E$2:$I$2038,5)</f>
        <v>Icteridae (Troupials and Allies)</v>
      </c>
      <c r="I670" s="3"/>
    </row>
    <row r="671" spans="1:9" ht="10.5" customHeight="1">
      <c r="A671" s="3" t="s">
        <v>980</v>
      </c>
      <c r="B671" s="3" t="s">
        <v>981</v>
      </c>
      <c r="C671" s="3">
        <f>VLOOKUP(B671,LifeList!$E$2:$J$2038,6)</f>
        <v>10103</v>
      </c>
      <c r="D671" s="3" t="str">
        <f>VLOOKUP(B671,LifeList!$E$2:$G$2038,1)</f>
        <v>Brown-hooded Kingfisher</v>
      </c>
      <c r="E671" s="3" t="str">
        <f>VLOOKUP(B671,LifeList!$E$2:$G$2038,2)</f>
        <v>Martin-chasseur à tête brune</v>
      </c>
      <c r="F671" s="3" t="str">
        <f>VLOOKUP(B671,LifeList!$E$2:$G$2038,3)</f>
        <v>Halcyon albiventris</v>
      </c>
      <c r="G671" s="3" t="str">
        <f>VLOOKUP(B671,LifeList!$E$2:$I$2038,4)</f>
        <v>Coraciiformes</v>
      </c>
      <c r="H671" s="3" t="str">
        <f>VLOOKUP(B671,LifeList!$E$2:$I$2038,5)</f>
        <v>Alcedinidae (Kingfishers)</v>
      </c>
      <c r="I671" s="3"/>
    </row>
    <row r="672" spans="1:9" ht="10.5" customHeight="1">
      <c r="A672" s="3" t="s">
        <v>982</v>
      </c>
      <c r="B672" s="3" t="s">
        <v>983</v>
      </c>
      <c r="C672" s="3">
        <f>VLOOKUP(B672,LifeList!$E$2:$J$2038,6)</f>
        <v>12861</v>
      </c>
      <c r="D672" s="3" t="str">
        <f>VLOOKUP(B672,LifeList!$E$2:$G$2038,1)</f>
        <v>Brown-hooded Parrot</v>
      </c>
      <c r="E672" s="3" t="str">
        <f>VLOOKUP(B672,LifeList!$E$2:$G$2038,2)</f>
        <v>Caïque à capuchon</v>
      </c>
      <c r="F672" s="3" t="str">
        <f>VLOOKUP(B672,LifeList!$E$2:$G$2038,3)</f>
        <v>Pyrilia haematotis</v>
      </c>
      <c r="G672" s="3" t="str">
        <f>VLOOKUP(B672,LifeList!$E$2:$I$2038,4)</f>
        <v>Psittaciformes</v>
      </c>
      <c r="H672" s="3" t="str">
        <f>VLOOKUP(B672,LifeList!$E$2:$I$2038,5)</f>
        <v>Psittacidae (New World and African Parrots)</v>
      </c>
      <c r="I672" s="3"/>
    </row>
    <row r="673" spans="1:9" ht="10.5" customHeight="1">
      <c r="A673" s="3" t="s">
        <v>984</v>
      </c>
      <c r="B673" s="3" t="s">
        <v>985</v>
      </c>
      <c r="C673" s="3">
        <f>VLOOKUP(B673,LifeList!$E$2:$J$2038,6)</f>
        <v>13102</v>
      </c>
      <c r="D673" s="3" t="str">
        <f>VLOOKUP(B673,LifeList!$E$2:$G$2038,1)</f>
        <v>Brown-throated Parakeet</v>
      </c>
      <c r="E673" s="3" t="str">
        <f>VLOOKUP(B673,LifeList!$E$2:$G$2038,2)</f>
        <v>Conure cuivrée</v>
      </c>
      <c r="F673" s="3" t="str">
        <f>VLOOKUP(B673,LifeList!$E$2:$G$2038,3)</f>
        <v>Eupsittula pertinax</v>
      </c>
      <c r="G673" s="3" t="str">
        <f>VLOOKUP(B673,LifeList!$E$2:$I$2038,4)</f>
        <v>Psittaciformes</v>
      </c>
      <c r="H673" s="3" t="str">
        <f>VLOOKUP(B673,LifeList!$E$2:$I$2038,5)</f>
        <v>Psittacidae (New World and African Parrots)</v>
      </c>
      <c r="I673" s="3"/>
    </row>
    <row r="674" spans="1:9" ht="10.5" customHeight="1">
      <c r="A674" s="3" t="s">
        <v>986</v>
      </c>
      <c r="B674" s="3" t="s">
        <v>985</v>
      </c>
      <c r="C674" s="3">
        <f>VLOOKUP(B674,LifeList!$E$2:$J$2038,6)</f>
        <v>13102</v>
      </c>
      <c r="D674" s="3" t="str">
        <f>VLOOKUP(B674,LifeList!$E$2:$G$2038,1)</f>
        <v>Brown-throated Parakeet</v>
      </c>
      <c r="E674" s="3" t="str">
        <f>VLOOKUP(B674,LifeList!$E$2:$G$2038,2)</f>
        <v>Conure cuivrée</v>
      </c>
      <c r="F674" s="3" t="str">
        <f>VLOOKUP(B674,LifeList!$E$2:$G$2038,3)</f>
        <v>Eupsittula pertinax</v>
      </c>
      <c r="G674" s="3" t="str">
        <f>VLOOKUP(B674,LifeList!$E$2:$I$2038,4)</f>
        <v>Psittaciformes</v>
      </c>
      <c r="H674" s="3" t="str">
        <f>VLOOKUP(B674,LifeList!$E$2:$I$2038,5)</f>
        <v>Psittacidae (New World and African Parrots)</v>
      </c>
      <c r="I674" s="3"/>
    </row>
    <row r="675" spans="1:9" ht="10.5" customHeight="1">
      <c r="A675" s="3" t="s">
        <v>987</v>
      </c>
      <c r="B675" s="3" t="s">
        <v>985</v>
      </c>
      <c r="C675" s="3">
        <f>VLOOKUP(B675,LifeList!$E$2:$J$2038,6)</f>
        <v>13102</v>
      </c>
      <c r="D675" s="3" t="str">
        <f>VLOOKUP(B675,LifeList!$E$2:$G$2038,1)</f>
        <v>Brown-throated Parakeet</v>
      </c>
      <c r="E675" s="3" t="str">
        <f>VLOOKUP(B675,LifeList!$E$2:$G$2038,2)</f>
        <v>Conure cuivrée</v>
      </c>
      <c r="F675" s="3" t="str">
        <f>VLOOKUP(B675,LifeList!$E$2:$G$2038,3)</f>
        <v>Eupsittula pertinax</v>
      </c>
      <c r="G675" s="3" t="str">
        <f>VLOOKUP(B675,LifeList!$E$2:$I$2038,4)</f>
        <v>Psittaciformes</v>
      </c>
      <c r="H675" s="3" t="str">
        <f>VLOOKUP(B675,LifeList!$E$2:$I$2038,5)</f>
        <v>Psittacidae (New World and African Parrots)</v>
      </c>
      <c r="I675" s="3"/>
    </row>
    <row r="676" spans="1:9" ht="10.5" customHeight="1">
      <c r="A676" s="3" t="s">
        <v>988</v>
      </c>
      <c r="B676" s="3" t="s">
        <v>985</v>
      </c>
      <c r="C676" s="3">
        <f>VLOOKUP(B676,LifeList!$E$2:$J$2038,6)</f>
        <v>13102</v>
      </c>
      <c r="D676" s="3" t="str">
        <f>VLOOKUP(B676,LifeList!$E$2:$G$2038,1)</f>
        <v>Brown-throated Parakeet</v>
      </c>
      <c r="E676" s="3" t="str">
        <f>VLOOKUP(B676,LifeList!$E$2:$G$2038,2)</f>
        <v>Conure cuivrée</v>
      </c>
      <c r="F676" s="3" t="str">
        <f>VLOOKUP(B676,LifeList!$E$2:$G$2038,3)</f>
        <v>Eupsittula pertinax</v>
      </c>
      <c r="G676" s="3" t="str">
        <f>VLOOKUP(B676,LifeList!$E$2:$I$2038,4)</f>
        <v>Psittaciformes</v>
      </c>
      <c r="H676" s="3" t="str">
        <f>VLOOKUP(B676,LifeList!$E$2:$I$2038,5)</f>
        <v>Psittacidae (New World and African Parrots)</v>
      </c>
      <c r="I676" s="3"/>
    </row>
    <row r="677" spans="1:9" ht="10.5" customHeight="1">
      <c r="A677" s="3" t="s">
        <v>989</v>
      </c>
      <c r="B677" s="3" t="s">
        <v>985</v>
      </c>
      <c r="C677" s="3">
        <f>VLOOKUP(B677,LifeList!$E$2:$J$2038,6)</f>
        <v>13102</v>
      </c>
      <c r="D677" s="3" t="str">
        <f>VLOOKUP(B677,LifeList!$E$2:$G$2038,1)</f>
        <v>Brown-throated Parakeet</v>
      </c>
      <c r="E677" s="3" t="str">
        <f>VLOOKUP(B677,LifeList!$E$2:$G$2038,2)</f>
        <v>Conure cuivrée</v>
      </c>
      <c r="F677" s="3" t="str">
        <f>VLOOKUP(B677,LifeList!$E$2:$G$2038,3)</f>
        <v>Eupsittula pertinax</v>
      </c>
      <c r="G677" s="3" t="str">
        <f>VLOOKUP(B677,LifeList!$E$2:$I$2038,4)</f>
        <v>Psittaciformes</v>
      </c>
      <c r="H677" s="3" t="str">
        <f>VLOOKUP(B677,LifeList!$E$2:$I$2038,5)</f>
        <v>Psittacidae (New World and African Parrots)</v>
      </c>
      <c r="I677" s="3"/>
    </row>
    <row r="678" spans="1:9" ht="10.5" customHeight="1">
      <c r="A678" s="3" t="s">
        <v>990</v>
      </c>
      <c r="B678" s="3" t="s">
        <v>985</v>
      </c>
      <c r="C678" s="3">
        <f>VLOOKUP(B678,LifeList!$E$2:$J$2038,6)</f>
        <v>13102</v>
      </c>
      <c r="D678" s="3" t="str">
        <f>VLOOKUP(B678,LifeList!$E$2:$G$2038,1)</f>
        <v>Brown-throated Parakeet</v>
      </c>
      <c r="E678" s="3" t="str">
        <f>VLOOKUP(B678,LifeList!$E$2:$G$2038,2)</f>
        <v>Conure cuivrée</v>
      </c>
      <c r="F678" s="3" t="str">
        <f>VLOOKUP(B678,LifeList!$E$2:$G$2038,3)</f>
        <v>Eupsittula pertinax</v>
      </c>
      <c r="G678" s="3" t="str">
        <f>VLOOKUP(B678,LifeList!$E$2:$I$2038,4)</f>
        <v>Psittaciformes</v>
      </c>
      <c r="H678" s="3" t="str">
        <f>VLOOKUP(B678,LifeList!$E$2:$I$2038,5)</f>
        <v>Psittacidae (New World and African Parrots)</v>
      </c>
      <c r="I678" s="3"/>
    </row>
    <row r="679" spans="1:9" ht="10.5" customHeight="1">
      <c r="A679" s="7" t="s">
        <v>991</v>
      </c>
      <c r="B679" s="8" t="s">
        <v>992</v>
      </c>
      <c r="C679" s="3">
        <f>VLOOKUP(B679,LifeList!$E$2:$J$2038,6)</f>
        <v>14912</v>
      </c>
      <c r="D679" s="3" t="str">
        <f>VLOOKUP(B679,LifeList!$E$2:$G$2038,1)</f>
        <v>Brown-billed Scythebill</v>
      </c>
      <c r="E679" s="3" t="str">
        <f>VLOOKUP(B679,LifeList!$E$2:$G$2038,2)</f>
        <v>Grimpar à bec brun</v>
      </c>
      <c r="F679" s="3" t="str">
        <f>VLOOKUP(B679,LifeList!$E$2:$G$2038,3)</f>
        <v>Campylorhamphus pusillus</v>
      </c>
      <c r="G679" s="3" t="str">
        <f>VLOOKUP(B679,LifeList!$E$2:$I$2038,4)</f>
        <v>Passeriformes</v>
      </c>
      <c r="H679" s="3" t="str">
        <f>VLOOKUP(B679,LifeList!$E$2:$I$2038,5)</f>
        <v>Furnariidae (Ovenbirds and Woodcreepers)</v>
      </c>
      <c r="I679" s="3"/>
    </row>
    <row r="680" spans="1:9" ht="10.5" customHeight="1">
      <c r="A680" s="3" t="s">
        <v>993</v>
      </c>
      <c r="B680" s="3" t="s">
        <v>994</v>
      </c>
      <c r="C680" s="3">
        <f>VLOOKUP(B680,LifeList!$E$2:$J$2038,6)</f>
        <v>27554</v>
      </c>
      <c r="D680" s="3" t="str">
        <f>VLOOKUP(B680,LifeList!$E$2:$G$2038,1)</f>
        <v>Buff-breasted Wren</v>
      </c>
      <c r="E680" s="3" t="str">
        <f>VLOOKUP(B680,LifeList!$E$2:$G$2038,2)</f>
        <v>Troglodyte à face pâle</v>
      </c>
      <c r="F680" s="3" t="str">
        <f>VLOOKUP(B680,LifeList!$E$2:$G$2038,3)</f>
        <v>Cantorchilus leucotis</v>
      </c>
      <c r="G680" s="3" t="str">
        <f>VLOOKUP(B680,LifeList!$E$2:$I$2038,4)</f>
        <v>Passeriformes</v>
      </c>
      <c r="H680" s="3" t="str">
        <f>VLOOKUP(B680,LifeList!$E$2:$I$2038,5)</f>
        <v>Troglodytidae (Wrens)</v>
      </c>
      <c r="I680" s="3"/>
    </row>
    <row r="681" spans="1:9" ht="10.5" customHeight="1">
      <c r="A681" s="3" t="s">
        <v>995</v>
      </c>
      <c r="B681" s="3" t="s">
        <v>996</v>
      </c>
      <c r="C681" s="3">
        <f>VLOOKUP(B681,LifeList!$E$2:$J$2038,6)</f>
        <v>15195</v>
      </c>
      <c r="D681" s="3" t="str">
        <f>VLOOKUP(B681,LifeList!$E$2:$G$2038,1)</f>
        <v>Buff-fronted Foliage-gleaner</v>
      </c>
      <c r="E681" s="3" t="str">
        <f>VLOOKUP(B681,LifeList!$E$2:$G$2038,2)</f>
        <v>Anabate roux</v>
      </c>
      <c r="F681" s="3" t="str">
        <f>VLOOKUP(B681,LifeList!$E$2:$G$2038,3)</f>
        <v>Dendroma rufa</v>
      </c>
      <c r="G681" s="3" t="str">
        <f>VLOOKUP(B681,LifeList!$E$2:$I$2038,4)</f>
        <v>Passeriformes</v>
      </c>
      <c r="H681" s="3" t="str">
        <f>VLOOKUP(B681,LifeList!$E$2:$I$2038,5)</f>
        <v>Furnariidae (Ovenbirds and Woodcreepers)</v>
      </c>
      <c r="I681" s="3"/>
    </row>
    <row r="682" spans="1:9" ht="10.5" customHeight="1">
      <c r="A682" s="3" t="s">
        <v>997</v>
      </c>
      <c r="B682" s="3" t="s">
        <v>998</v>
      </c>
      <c r="C682" s="3">
        <f>VLOOKUP(B682,LifeList!$E$2:$J$2038,6)</f>
        <v>2372</v>
      </c>
      <c r="D682" s="3" t="str">
        <f>VLOOKUP(B682,LifeList!$E$2:$G$2038,1)</f>
        <v>Buff-fronted Quail-Dove</v>
      </c>
      <c r="E682" s="3" t="str">
        <f>VLOOKUP(B682,LifeList!$E$2:$G$2038,2)</f>
        <v>Colombe du Costa Rica</v>
      </c>
      <c r="F682" s="3" t="str">
        <f>VLOOKUP(B682,LifeList!$E$2:$G$2038,3)</f>
        <v>Zentrygon costaricensis</v>
      </c>
      <c r="G682" s="3" t="str">
        <f>VLOOKUP(B682,LifeList!$E$2:$I$2038,4)</f>
        <v>Columbiformes</v>
      </c>
      <c r="H682" s="3" t="str">
        <f>VLOOKUP(B682,LifeList!$E$2:$I$2038,5)</f>
        <v>Columbidae (Pigeons and Doves)</v>
      </c>
      <c r="I682" s="3"/>
    </row>
    <row r="683" spans="1:9" ht="10.5" customHeight="1">
      <c r="A683" s="3" t="s">
        <v>999</v>
      </c>
      <c r="B683" s="3" t="s">
        <v>1000</v>
      </c>
      <c r="C683" s="3">
        <f>VLOOKUP(B683,LifeList!$E$2:$J$2038,6)</f>
        <v>7484</v>
      </c>
      <c r="D683" s="3" t="str">
        <f>VLOOKUP(B683,LifeList!$E$2:$G$2038,1)</f>
        <v>Buff-necked Ibis</v>
      </c>
      <c r="E683" s="3" t="str">
        <f>VLOOKUP(B683,LifeList!$E$2:$G$2038,2)</f>
        <v>Ibis mandore</v>
      </c>
      <c r="F683" s="3" t="str">
        <f>VLOOKUP(B683,LifeList!$E$2:$G$2038,3)</f>
        <v>Theristicus caudatus</v>
      </c>
      <c r="G683" s="3" t="str">
        <f>VLOOKUP(B683,LifeList!$E$2:$I$2038,4)</f>
        <v>Pelecaniformes</v>
      </c>
      <c r="H683" s="3" t="str">
        <f>VLOOKUP(B683,LifeList!$E$2:$I$2038,5)</f>
        <v>Threskiornithidae (Ibises and Spoonbills)</v>
      </c>
      <c r="I683" s="3"/>
    </row>
    <row r="684" spans="1:9" ht="10.5" customHeight="1">
      <c r="A684" s="5" t="s">
        <v>1001</v>
      </c>
      <c r="B684" s="3" t="s">
        <v>1002</v>
      </c>
      <c r="C684" s="6">
        <f>VLOOKUP(B684,LifeList!$E$2:$J$2038,6)</f>
        <v>18417</v>
      </c>
      <c r="D684" s="3" t="str">
        <f>VLOOKUP(B684,LifeList!$E$2:$G$2038,1)</f>
        <v>Buff-rumped Thornbill</v>
      </c>
      <c r="E684" s="3" t="str">
        <f>VLOOKUP(B684,LifeList!$E$2:$G$2038,2)</f>
        <v>Acanthize à croupion beige</v>
      </c>
      <c r="F684" s="3" t="str">
        <f>VLOOKUP(B684,LifeList!$E$2:$G$2038,3)</f>
        <v>Acanthiza reguloides</v>
      </c>
      <c r="G684" s="3" t="str">
        <f>VLOOKUP(B684,LifeList!$E$2:$I$2038,4)</f>
        <v>Passeriformes</v>
      </c>
      <c r="H684" s="3" t="str">
        <f>VLOOKUP(B684,LifeList!$E$2:$I$2038,5)</f>
        <v>Acanthizidae (Thornbills and Allies)</v>
      </c>
      <c r="I684" s="3"/>
    </row>
    <row r="685" spans="1:9" ht="10.5" customHeight="1">
      <c r="A685" s="3" t="s">
        <v>1003</v>
      </c>
      <c r="B685" s="3" t="s">
        <v>1004</v>
      </c>
      <c r="C685" s="3">
        <f>VLOOKUP(B685,LifeList!$E$2:$J$2038,6)</f>
        <v>34308</v>
      </c>
      <c r="D685" s="3" t="str">
        <f>VLOOKUP(B685,LifeList!$E$2:$G$2038,1)</f>
        <v>Buff-rumped Warbler</v>
      </c>
      <c r="E685" s="3" t="str">
        <f>VLOOKUP(B685,LifeList!$E$2:$G$2038,2)</f>
        <v>Paruline à croupion fauve</v>
      </c>
      <c r="F685" s="3" t="str">
        <f>VLOOKUP(B685,LifeList!$E$2:$G$2038,3)</f>
        <v>Myiothlypis fulvicauda</v>
      </c>
      <c r="G685" s="3" t="str">
        <f>VLOOKUP(B685,LifeList!$E$2:$I$2038,4)</f>
        <v>Passeriformes</v>
      </c>
      <c r="H685" s="3" t="str">
        <f>VLOOKUP(B685,LifeList!$E$2:$I$2038,5)</f>
        <v>Parulidae (New World Warblers)</v>
      </c>
      <c r="I685" s="3"/>
    </row>
    <row r="686" spans="1:9" ht="10.5" customHeight="1">
      <c r="A686" s="3" t="s">
        <v>1005</v>
      </c>
      <c r="B686" s="3" t="s">
        <v>1004</v>
      </c>
      <c r="C686" s="3">
        <f>VLOOKUP(B686,LifeList!$E$2:$J$2038,6)</f>
        <v>34308</v>
      </c>
      <c r="D686" s="3" t="str">
        <f>VLOOKUP(B686,LifeList!$E$2:$G$2038,1)</f>
        <v>Buff-rumped Warbler</v>
      </c>
      <c r="E686" s="3" t="str">
        <f>VLOOKUP(B686,LifeList!$E$2:$G$2038,2)</f>
        <v>Paruline à croupion fauve</v>
      </c>
      <c r="F686" s="3" t="str">
        <f>VLOOKUP(B686,LifeList!$E$2:$G$2038,3)</f>
        <v>Myiothlypis fulvicauda</v>
      </c>
      <c r="G686" s="3" t="str">
        <f>VLOOKUP(B686,LifeList!$E$2:$I$2038,4)</f>
        <v>Passeriformes</v>
      </c>
      <c r="H686" s="3" t="str">
        <f>VLOOKUP(B686,LifeList!$E$2:$I$2038,5)</f>
        <v>Parulidae (New World Warblers)</v>
      </c>
      <c r="I686" s="3"/>
    </row>
    <row r="687" spans="1:9" ht="10.5" customHeight="1">
      <c r="A687" s="3" t="s">
        <v>1006</v>
      </c>
      <c r="B687" s="3" t="s">
        <v>1007</v>
      </c>
      <c r="C687" s="3">
        <f>VLOOKUP(B687,LifeList!$E$2:$J$2038,6)</f>
        <v>4672</v>
      </c>
      <c r="D687" s="3" t="str">
        <f>VLOOKUP(B687,LifeList!$E$2:$G$2038,1)</f>
        <v>Buff-tailed Coronet</v>
      </c>
      <c r="E687" s="3" t="str">
        <f>VLOOKUP(B687,LifeList!$E$2:$G$2038,2)</f>
        <v>Colibri flavescent</v>
      </c>
      <c r="F687" s="3" t="str">
        <f>VLOOKUP(B687,LifeList!$E$2:$G$2038,3)</f>
        <v>Boissonneaua flavescens</v>
      </c>
      <c r="G687" s="3" t="str">
        <f>VLOOKUP(B687,LifeList!$E$2:$I$2038,4)</f>
        <v>Apodiformes</v>
      </c>
      <c r="H687" s="3" t="str">
        <f>VLOOKUP(B687,LifeList!$E$2:$I$2038,5)</f>
        <v>Trochilidae (Hummingbirds)</v>
      </c>
      <c r="I687" s="3"/>
    </row>
    <row r="688" spans="1:9" ht="10.5" customHeight="1">
      <c r="A688" s="3" t="s">
        <v>1008</v>
      </c>
      <c r="B688" s="3" t="s">
        <v>1009</v>
      </c>
      <c r="C688" s="3">
        <f>VLOOKUP(B688,LifeList!$E$2:$J$2038,6)</f>
        <v>35783</v>
      </c>
      <c r="D688" s="3" t="str">
        <f>VLOOKUP(B688,LifeList!$E$2:$G$2038,1)</f>
        <v>Buff-throated Saltator</v>
      </c>
      <c r="E688" s="3" t="str">
        <f>VLOOKUP(B688,LifeList!$E$2:$G$2038,2)</f>
        <v>Saltator des grands-bois</v>
      </c>
      <c r="F688" s="3" t="str">
        <f>VLOOKUP(B688,LifeList!$E$2:$G$2038,3)</f>
        <v>Saltator maximus</v>
      </c>
      <c r="G688" s="3" t="str">
        <f>VLOOKUP(B688,LifeList!$E$2:$I$2038,4)</f>
        <v>Passeriformes</v>
      </c>
      <c r="H688" s="3" t="str">
        <f>VLOOKUP(B688,LifeList!$E$2:$I$2038,5)</f>
        <v>Thraupidae (Tanagers and Allies)</v>
      </c>
      <c r="I688" s="3"/>
    </row>
    <row r="689" spans="1:9" ht="10.5" customHeight="1">
      <c r="A689" s="3" t="s">
        <v>1010</v>
      </c>
      <c r="B689" s="3" t="s">
        <v>1009</v>
      </c>
      <c r="C689" s="3">
        <f>VLOOKUP(B689,LifeList!$E$2:$J$2038,6)</f>
        <v>35783</v>
      </c>
      <c r="D689" s="3" t="str">
        <f>VLOOKUP(B689,LifeList!$E$2:$G$2038,1)</f>
        <v>Buff-throated Saltator</v>
      </c>
      <c r="E689" s="3" t="str">
        <f>VLOOKUP(B689,LifeList!$E$2:$G$2038,2)</f>
        <v>Saltator des grands-bois</v>
      </c>
      <c r="F689" s="3" t="str">
        <f>VLOOKUP(B689,LifeList!$E$2:$G$2038,3)</f>
        <v>Saltator maximus</v>
      </c>
      <c r="G689" s="3" t="str">
        <f>VLOOKUP(B689,LifeList!$E$2:$I$2038,4)</f>
        <v>Passeriformes</v>
      </c>
      <c r="H689" s="3" t="str">
        <f>VLOOKUP(B689,LifeList!$E$2:$I$2038,5)</f>
        <v>Thraupidae (Tanagers and Allies)</v>
      </c>
      <c r="I689" s="3"/>
    </row>
    <row r="690" spans="1:9" ht="10.5" customHeight="1">
      <c r="A690" s="3" t="s">
        <v>1011</v>
      </c>
      <c r="B690" s="3" t="s">
        <v>1009</v>
      </c>
      <c r="C690" s="3">
        <f>VLOOKUP(B690,LifeList!$E$2:$J$2038,6)</f>
        <v>35783</v>
      </c>
      <c r="D690" s="3" t="str">
        <f>VLOOKUP(B690,LifeList!$E$2:$G$2038,1)</f>
        <v>Buff-throated Saltator</v>
      </c>
      <c r="E690" s="3" t="str">
        <f>VLOOKUP(B690,LifeList!$E$2:$G$2038,2)</f>
        <v>Saltator des grands-bois</v>
      </c>
      <c r="F690" s="3" t="str">
        <f>VLOOKUP(B690,LifeList!$E$2:$G$2038,3)</f>
        <v>Saltator maximus</v>
      </c>
      <c r="G690" s="3" t="str">
        <f>VLOOKUP(B690,LifeList!$E$2:$I$2038,4)</f>
        <v>Passeriformes</v>
      </c>
      <c r="H690" s="3" t="str">
        <f>VLOOKUP(B690,LifeList!$E$2:$I$2038,5)</f>
        <v>Thraupidae (Tanagers and Allies)</v>
      </c>
      <c r="I690" s="3"/>
    </row>
    <row r="691" spans="1:9" ht="10.5" customHeight="1">
      <c r="A691" s="3" t="s">
        <v>1012</v>
      </c>
      <c r="B691" s="3" t="s">
        <v>1009</v>
      </c>
      <c r="C691" s="3">
        <f>VLOOKUP(B691,LifeList!$E$2:$J$2038,6)</f>
        <v>35783</v>
      </c>
      <c r="D691" s="3" t="str">
        <f>VLOOKUP(B691,LifeList!$E$2:$G$2038,1)</f>
        <v>Buff-throated Saltator</v>
      </c>
      <c r="E691" s="3" t="str">
        <f>VLOOKUP(B691,LifeList!$E$2:$G$2038,2)</f>
        <v>Saltator des grands-bois</v>
      </c>
      <c r="F691" s="3" t="str">
        <f>VLOOKUP(B691,LifeList!$E$2:$G$2038,3)</f>
        <v>Saltator maximus</v>
      </c>
      <c r="G691" s="3" t="str">
        <f>VLOOKUP(B691,LifeList!$E$2:$I$2038,4)</f>
        <v>Passeriformes</v>
      </c>
      <c r="H691" s="3" t="str">
        <f>VLOOKUP(B691,LifeList!$E$2:$I$2038,5)</f>
        <v>Thraupidae (Tanagers and Allies)</v>
      </c>
      <c r="I691" s="3"/>
    </row>
    <row r="692" spans="1:9" ht="10.5" customHeight="1">
      <c r="A692" s="3" t="s">
        <v>1013</v>
      </c>
      <c r="B692" s="3" t="s">
        <v>1009</v>
      </c>
      <c r="C692" s="3">
        <f>VLOOKUP(B692,LifeList!$E$2:$J$2038,6)</f>
        <v>35783</v>
      </c>
      <c r="D692" s="3" t="str">
        <f>VLOOKUP(B692,LifeList!$E$2:$G$2038,1)</f>
        <v>Buff-throated Saltator</v>
      </c>
      <c r="E692" s="3" t="str">
        <f>VLOOKUP(B692,LifeList!$E$2:$G$2038,2)</f>
        <v>Saltator des grands-bois</v>
      </c>
      <c r="F692" s="3" t="str">
        <f>VLOOKUP(B692,LifeList!$E$2:$G$2038,3)</f>
        <v>Saltator maximus</v>
      </c>
      <c r="G692" s="3" t="str">
        <f>VLOOKUP(B692,LifeList!$E$2:$I$2038,4)</f>
        <v>Passeriformes</v>
      </c>
      <c r="H692" s="3" t="str">
        <f>VLOOKUP(B692,LifeList!$E$2:$I$2038,5)</f>
        <v>Thraupidae (Tanagers and Allies)</v>
      </c>
      <c r="I692" s="3"/>
    </row>
    <row r="693" spans="1:9" ht="10.5" customHeight="1">
      <c r="A693" s="3" t="s">
        <v>1014</v>
      </c>
      <c r="B693" s="3" t="s">
        <v>1009</v>
      </c>
      <c r="C693" s="3">
        <f>VLOOKUP(B693,LifeList!$E$2:$J$2038,6)</f>
        <v>35783</v>
      </c>
      <c r="D693" s="3" t="str">
        <f>VLOOKUP(B693,LifeList!$E$2:$G$2038,1)</f>
        <v>Buff-throated Saltator</v>
      </c>
      <c r="E693" s="3" t="str">
        <f>VLOOKUP(B693,LifeList!$E$2:$G$2038,2)</f>
        <v>Saltator des grands-bois</v>
      </c>
      <c r="F693" s="3" t="str">
        <f>VLOOKUP(B693,LifeList!$E$2:$G$2038,3)</f>
        <v>Saltator maximus</v>
      </c>
      <c r="G693" s="3" t="str">
        <f>VLOOKUP(B693,LifeList!$E$2:$I$2038,4)</f>
        <v>Passeriformes</v>
      </c>
      <c r="H693" s="3" t="str">
        <f>VLOOKUP(B693,LifeList!$E$2:$I$2038,5)</f>
        <v>Thraupidae (Tanagers and Allies)</v>
      </c>
      <c r="I693" s="3"/>
    </row>
    <row r="694" spans="1:9" ht="10.5" customHeight="1">
      <c r="A694" s="3" t="s">
        <v>1015</v>
      </c>
      <c r="B694" s="3" t="s">
        <v>1016</v>
      </c>
      <c r="C694" s="3">
        <f>VLOOKUP(B694,LifeList!$E$2:$J$2038,6)</f>
        <v>4648</v>
      </c>
      <c r="D694" s="3" t="str">
        <f>VLOOKUP(B694,LifeList!$E$2:$G$2038,1)</f>
        <v>Buff-winged Starfrontlet</v>
      </c>
      <c r="E694" s="3" t="str">
        <f>VLOOKUP(B694,LifeList!$E$2:$G$2038,2)</f>
        <v>Inca à gemme bleue</v>
      </c>
      <c r="F694" s="3" t="str">
        <f>VLOOKUP(B694,LifeList!$E$2:$G$2038,3)</f>
        <v>Coeligena lutetiae</v>
      </c>
      <c r="G694" s="3" t="str">
        <f>VLOOKUP(B694,LifeList!$E$2:$I$2038,4)</f>
        <v>Apodiformes</v>
      </c>
      <c r="H694" s="3" t="str">
        <f>VLOOKUP(B694,LifeList!$E$2:$I$2038,5)</f>
        <v>Trochilidae (Hummingbirds)</v>
      </c>
      <c r="I694" s="3"/>
    </row>
    <row r="695" spans="1:9" ht="10.5" customHeight="1">
      <c r="A695" s="7" t="s">
        <v>1017</v>
      </c>
      <c r="B695" s="8" t="s">
        <v>1018</v>
      </c>
      <c r="C695" s="3">
        <f>VLOOKUP(B695,LifeList!$E$2:$J$2038,6)</f>
        <v>34902</v>
      </c>
      <c r="D695" s="3" t="str">
        <f>VLOOKUP(B695,LifeList!$E$2:$G$2038,1)</f>
        <v>Buff-banded Mountain Tanager</v>
      </c>
      <c r="E695" s="3" t="str">
        <f>VLOOKUP(B695,LifeList!$E$2:$G$2038,2)</f>
        <v>Tangara à poitrine fauve</v>
      </c>
      <c r="F695" s="3" t="str">
        <f>VLOOKUP(B695,LifeList!$E$2:$G$2038,3)</f>
        <v>Dubusia taeniata</v>
      </c>
      <c r="G695" s="3" t="str">
        <f>VLOOKUP(B695,LifeList!$E$2:$I$2038,4)</f>
        <v>Passeriformes</v>
      </c>
      <c r="H695" s="3" t="str">
        <f>VLOOKUP(B695,LifeList!$E$2:$I$2038,5)</f>
        <v>Thraupidae (Tanagers and Allies)</v>
      </c>
      <c r="I695" s="3"/>
    </row>
    <row r="696" spans="1:9" ht="10.5" customHeight="1">
      <c r="A696" s="3" t="s">
        <v>1019</v>
      </c>
      <c r="B696" s="3" t="s">
        <v>1020</v>
      </c>
      <c r="C696" s="3">
        <f>VLOOKUP(B696,LifeList!$E$2:$J$2038,6)</f>
        <v>742</v>
      </c>
      <c r="D696" s="3" t="str">
        <f>VLOOKUP(B696,LifeList!$E$2:$G$2038,1)</f>
        <v>Bufflehead</v>
      </c>
      <c r="E696" s="3" t="str">
        <f>VLOOKUP(B696,LifeList!$E$2:$G$2038,2)</f>
        <v>Petit Garrot</v>
      </c>
      <c r="F696" s="3" t="str">
        <f>VLOOKUP(B696,LifeList!$E$2:$G$2038,3)</f>
        <v>Bucephala albeola</v>
      </c>
      <c r="G696" s="3" t="str">
        <f>VLOOKUP(B696,LifeList!$E$2:$I$2038,4)</f>
        <v>Anseriformes</v>
      </c>
      <c r="H696" s="3" t="str">
        <f>VLOOKUP(B696,LifeList!$E$2:$I$2038,5)</f>
        <v>Anatidae (Ducks, Geese, and Waterfowl)</v>
      </c>
      <c r="I696" s="3"/>
    </row>
    <row r="697" spans="1:9" ht="10.5" customHeight="1">
      <c r="A697" s="3" t="s">
        <v>1021</v>
      </c>
      <c r="B697" s="3" t="s">
        <v>1022</v>
      </c>
      <c r="C697" s="3">
        <f>VLOOKUP(B697,LifeList!$E$2:$J$2038,6)</f>
        <v>4533</v>
      </c>
      <c r="D697" s="3" t="str">
        <f>VLOOKUP(B697,LifeList!$E$2:$G$2038,1)</f>
        <v>Buffy Helmetcrest</v>
      </c>
      <c r="E697" s="3" t="str">
        <f>VLOOKUP(B697,LifeList!$E$2:$G$2038,2)</f>
        <v>Colibri de Stübel</v>
      </c>
      <c r="F697" s="3" t="str">
        <f>VLOOKUP(B697,LifeList!$E$2:$G$2038,3)</f>
        <v>Oxypogon stuebelii</v>
      </c>
      <c r="G697" s="3" t="str">
        <f>VLOOKUP(B697,LifeList!$E$2:$I$2038,4)</f>
        <v>Apodiformes</v>
      </c>
      <c r="H697" s="3" t="str">
        <f>VLOOKUP(B697,LifeList!$E$2:$I$2038,5)</f>
        <v>Trochilidae (Hummingbirds)</v>
      </c>
      <c r="I697" s="3"/>
    </row>
    <row r="698" spans="1:9" ht="10.5" customHeight="1">
      <c r="A698" s="3" t="s">
        <v>1023</v>
      </c>
      <c r="B698" s="3" t="s">
        <v>1024</v>
      </c>
      <c r="C698" s="3">
        <f>VLOOKUP(B698,LifeList!$E$2:$J$2038,6)</f>
        <v>5028</v>
      </c>
      <c r="D698" s="3" t="str">
        <f>VLOOKUP(B698,LifeList!$E$2:$G$2038,1)</f>
        <v>Buffy Hummingbird</v>
      </c>
      <c r="E698" s="3" t="str">
        <f>VLOOKUP(B698,LifeList!$E$2:$G$2038,2)</f>
        <v>Colibri trompeur</v>
      </c>
      <c r="F698" s="3" t="str">
        <f>VLOOKUP(B698,LifeList!$E$2:$G$2038,3)</f>
        <v>Leucippus fallax</v>
      </c>
      <c r="G698" s="3" t="str">
        <f>VLOOKUP(B698,LifeList!$E$2:$I$2038,4)</f>
        <v>Apodiformes</v>
      </c>
      <c r="H698" s="3" t="str">
        <f>VLOOKUP(B698,LifeList!$E$2:$I$2038,5)</f>
        <v>Trochilidae (Hummingbirds)</v>
      </c>
      <c r="I698" s="3"/>
    </row>
    <row r="699" spans="1:9" ht="10.5" customHeight="1">
      <c r="A699" s="5" t="s">
        <v>1025</v>
      </c>
      <c r="B699" s="3" t="s">
        <v>1026</v>
      </c>
      <c r="C699" s="6">
        <f>VLOOKUP(B699,LifeList!$E$2:$J$2038,6)</f>
        <v>3114</v>
      </c>
      <c r="D699" s="3" t="str">
        <f>VLOOKUP(B699,LifeList!$E$2:$G$2038,1)</f>
        <v>Burchell's Coucal</v>
      </c>
      <c r="E699" s="3" t="str">
        <f>VLOOKUP(B699,LifeList!$E$2:$G$2038,2)</f>
        <v>Coucal de Burchell</v>
      </c>
      <c r="F699" s="3" t="str">
        <f>VLOOKUP(B699,LifeList!$E$2:$G$2038,3)</f>
        <v>Centropus burchellii</v>
      </c>
      <c r="G699" s="3" t="str">
        <f>VLOOKUP(B699,LifeList!$E$2:$I$2038,4)</f>
        <v>Cuculiformes</v>
      </c>
      <c r="H699" s="3" t="str">
        <f>VLOOKUP(B699,LifeList!$E$2:$I$2038,5)</f>
        <v>Cuculidae (Cuckoos)</v>
      </c>
      <c r="I699" s="3"/>
    </row>
    <row r="700" spans="1:9" ht="10.5" customHeight="1">
      <c r="A700" s="3" t="s">
        <v>1027</v>
      </c>
      <c r="B700" s="3" t="s">
        <v>1028</v>
      </c>
      <c r="C700" s="3">
        <f>VLOOKUP(B700,LifeList!$E$2:$J$2038,6)</f>
        <v>2907</v>
      </c>
      <c r="D700" s="3" t="str">
        <f>VLOOKUP(B700,LifeList!$E$2:$G$2038,1)</f>
        <v>Burchell's Sandgrouse</v>
      </c>
      <c r="E700" s="3" t="str">
        <f>VLOOKUP(B700,LifeList!$E$2:$G$2038,2)</f>
        <v>Ganga de Burchell</v>
      </c>
      <c r="F700" s="3" t="str">
        <f>VLOOKUP(B700,LifeList!$E$2:$G$2038,3)</f>
        <v>Pterocles burchelli</v>
      </c>
      <c r="G700" s="3" t="str">
        <f>VLOOKUP(B700,LifeList!$E$2:$I$2038,4)</f>
        <v>Pterocliformes</v>
      </c>
      <c r="H700" s="3" t="str">
        <f>VLOOKUP(B700,LifeList!$E$2:$I$2038,5)</f>
        <v>Pteroclidae (Sandgrouse)</v>
      </c>
      <c r="I700" s="3"/>
    </row>
    <row r="701" spans="1:9" ht="10.5" customHeight="1">
      <c r="A701" s="3" t="s">
        <v>1029</v>
      </c>
      <c r="B701" s="3" t="s">
        <v>1030</v>
      </c>
      <c r="C701" s="3">
        <f>VLOOKUP(B701,LifeList!$E$2:$J$2038,6)</f>
        <v>27948</v>
      </c>
      <c r="D701" s="3" t="str">
        <f>VLOOKUP(B701,LifeList!$E$2:$G$2038,1)</f>
        <v>Burchell's Starling</v>
      </c>
      <c r="E701" s="3" t="str">
        <f>VLOOKUP(B701,LifeList!$E$2:$G$2038,2)</f>
        <v>Choucador de Burchell</v>
      </c>
      <c r="F701" s="3" t="str">
        <f>VLOOKUP(B701,LifeList!$E$2:$G$2038,3)</f>
        <v>Lamprotornis australis</v>
      </c>
      <c r="G701" s="3" t="str">
        <f>VLOOKUP(B701,LifeList!$E$2:$I$2038,4)</f>
        <v>Passeriformes</v>
      </c>
      <c r="H701" s="3" t="str">
        <f>VLOOKUP(B701,LifeList!$E$2:$I$2038,5)</f>
        <v>Sturnidae (Starlings)</v>
      </c>
      <c r="I701" s="3"/>
    </row>
    <row r="702" spans="1:9" ht="10.5" customHeight="1">
      <c r="A702" s="3" t="s">
        <v>1031</v>
      </c>
      <c r="B702" s="3" t="s">
        <v>1032</v>
      </c>
      <c r="C702" s="3">
        <f>VLOOKUP(B702,LifeList!$E$2:$J$2038,6)</f>
        <v>9133</v>
      </c>
      <c r="D702" s="3" t="str">
        <f>VLOOKUP(B702,LifeList!$E$2:$G$2038,1)</f>
        <v>Burrowing Owl</v>
      </c>
      <c r="E702" s="3" t="str">
        <f>VLOOKUP(B702,LifeList!$E$2:$G$2038,2)</f>
        <v>Chevêche des terriers</v>
      </c>
      <c r="F702" s="3" t="str">
        <f>VLOOKUP(B702,LifeList!$E$2:$G$2038,3)</f>
        <v>Athene cunicularia</v>
      </c>
      <c r="G702" s="3" t="str">
        <f>VLOOKUP(B702,LifeList!$E$2:$I$2038,4)</f>
        <v>Strigiformes</v>
      </c>
      <c r="H702" s="3" t="str">
        <f>VLOOKUP(B702,LifeList!$E$2:$I$2038,5)</f>
        <v>Strigidae (Owls)</v>
      </c>
      <c r="I702" s="3"/>
    </row>
    <row r="703" spans="1:9" ht="10.5" customHeight="1">
      <c r="A703" s="3" t="s">
        <v>1033</v>
      </c>
      <c r="B703" s="3" t="s">
        <v>1032</v>
      </c>
      <c r="C703" s="3">
        <f>VLOOKUP(B703,LifeList!$E$2:$J$2038,6)</f>
        <v>9133</v>
      </c>
      <c r="D703" s="3" t="str">
        <f>VLOOKUP(B703,LifeList!$E$2:$G$2038,1)</f>
        <v>Burrowing Owl</v>
      </c>
      <c r="E703" s="3" t="str">
        <f>VLOOKUP(B703,LifeList!$E$2:$G$2038,2)</f>
        <v>Chevêche des terriers</v>
      </c>
      <c r="F703" s="3" t="str">
        <f>VLOOKUP(B703,LifeList!$E$2:$G$2038,3)</f>
        <v>Athene cunicularia</v>
      </c>
      <c r="G703" s="3" t="str">
        <f>VLOOKUP(B703,LifeList!$E$2:$I$2038,4)</f>
        <v>Strigiformes</v>
      </c>
      <c r="H703" s="3" t="str">
        <f>VLOOKUP(B703,LifeList!$E$2:$I$2038,5)</f>
        <v>Strigidae (Owls)</v>
      </c>
      <c r="I703" s="3"/>
    </row>
    <row r="704" spans="1:9" ht="10.5" customHeight="1">
      <c r="A704" s="7" t="s">
        <v>1034</v>
      </c>
      <c r="B704" s="9" t="s">
        <v>1035</v>
      </c>
      <c r="C704" s="3">
        <f>VLOOKUP(B704,LifeList!$E$2:$J$2038,6)</f>
        <v>25253</v>
      </c>
      <c r="D704" s="3" t="str">
        <f>VLOOKUP(B704,LifeList!$E$2:$G$2038,1)</f>
        <v>Bushtit</v>
      </c>
      <c r="E704" s="3" t="str">
        <f>VLOOKUP(B704,LifeList!$E$2:$G$2038,2)</f>
        <v>Orite buissonnière</v>
      </c>
      <c r="F704" s="3" t="str">
        <f>VLOOKUP(B704,LifeList!$E$2:$G$2038,3)</f>
        <v>Psaltriparus minimus</v>
      </c>
      <c r="G704" s="3" t="str">
        <f>VLOOKUP(B704,LifeList!$E$2:$I$2038,4)</f>
        <v>Passeriformes</v>
      </c>
      <c r="H704" s="3" t="str">
        <f>VLOOKUP(B704,LifeList!$E$2:$I$2038,5)</f>
        <v>Aegithalidae (Long-tailed Tits)</v>
      </c>
      <c r="I704" s="3"/>
    </row>
    <row r="705" spans="1:9" ht="10.5" customHeight="1">
      <c r="A705" s="3" t="s">
        <v>1036</v>
      </c>
      <c r="B705" s="3" t="s">
        <v>1037</v>
      </c>
      <c r="C705" s="3">
        <f>VLOOKUP(B705,LifeList!$E$2:$J$2038,6)</f>
        <v>331</v>
      </c>
      <c r="D705" s="3" t="str">
        <f>VLOOKUP(B705,LifeList!$E$2:$G$2038,1)</f>
        <v>Cackling Goose</v>
      </c>
      <c r="E705" s="3" t="str">
        <f>VLOOKUP(B705,LifeList!$E$2:$G$2038,2)</f>
        <v>Bernache de Hutchins</v>
      </c>
      <c r="F705" s="3" t="str">
        <f>VLOOKUP(B705,LifeList!$E$2:$G$2038,3)</f>
        <v>Branta hutchinsii</v>
      </c>
      <c r="G705" s="3" t="str">
        <f>VLOOKUP(B705,LifeList!$E$2:$I$2038,4)</f>
        <v>Anseriformes</v>
      </c>
      <c r="H705" s="3" t="str">
        <f>VLOOKUP(B705,LifeList!$E$2:$I$2038,5)</f>
        <v>Anatidae (Ducks, Geese, and Waterfowl)</v>
      </c>
      <c r="I705" s="3"/>
    </row>
    <row r="706" spans="1:9" ht="10.5" customHeight="1">
      <c r="A706" s="3" t="s">
        <v>1038</v>
      </c>
      <c r="B706" s="3" t="s">
        <v>1037</v>
      </c>
      <c r="C706" s="3">
        <f>VLOOKUP(B706,LifeList!$E$2:$J$2038,6)</f>
        <v>331</v>
      </c>
      <c r="D706" s="3" t="str">
        <f>VLOOKUP(B706,LifeList!$E$2:$G$2038,1)</f>
        <v>Cackling Goose</v>
      </c>
      <c r="E706" s="3" t="str">
        <f>VLOOKUP(B706,LifeList!$E$2:$G$2038,2)</f>
        <v>Bernache de Hutchins</v>
      </c>
      <c r="F706" s="3" t="str">
        <f>VLOOKUP(B706,LifeList!$E$2:$G$2038,3)</f>
        <v>Branta hutchinsii</v>
      </c>
      <c r="G706" s="3" t="str">
        <f>VLOOKUP(B706,LifeList!$E$2:$I$2038,4)</f>
        <v>Anseriformes</v>
      </c>
      <c r="H706" s="3" t="str">
        <f>VLOOKUP(B706,LifeList!$E$2:$I$2038,5)</f>
        <v>Anatidae (Ducks, Geese, and Waterfowl)</v>
      </c>
      <c r="I706" s="3"/>
    </row>
    <row r="707" spans="1:9" ht="10.5" customHeight="1">
      <c r="A707" s="5" t="s">
        <v>1039</v>
      </c>
      <c r="B707" s="3" t="s">
        <v>1040</v>
      </c>
      <c r="C707" s="6">
        <f>VLOOKUP(B707,LifeList!$E$2:$J$2038,6)</f>
        <v>7808</v>
      </c>
      <c r="D707" s="3" t="str">
        <f>VLOOKUP(B707,LifeList!$E$2:$G$2038,1)</f>
        <v>California Condor</v>
      </c>
      <c r="E707" s="3" t="str">
        <f>VLOOKUP(B707,LifeList!$E$2:$G$2038,2)</f>
        <v>Condor de Californie</v>
      </c>
      <c r="F707" s="3" t="str">
        <f>VLOOKUP(B707,LifeList!$E$2:$G$2038,3)</f>
        <v>Gymnogyps californianus</v>
      </c>
      <c r="G707" s="3" t="str">
        <f>VLOOKUP(B707,LifeList!$E$2:$I$2038,4)</f>
        <v>Cathartiformes</v>
      </c>
      <c r="H707" s="3" t="str">
        <f>VLOOKUP(B707,LifeList!$E$2:$I$2038,5)</f>
        <v>Cathartidae (New World Vultures)</v>
      </c>
      <c r="I707" s="3"/>
    </row>
    <row r="708" spans="1:9" ht="10.5" customHeight="1">
      <c r="A708" s="5" t="s">
        <v>1041</v>
      </c>
      <c r="B708" s="3" t="s">
        <v>1040</v>
      </c>
      <c r="C708" s="6">
        <f>VLOOKUP(B708,LifeList!$E$2:$J$2038,6)</f>
        <v>7808</v>
      </c>
      <c r="D708" s="3" t="str">
        <f>VLOOKUP(B708,LifeList!$E$2:$G$2038,1)</f>
        <v>California Condor</v>
      </c>
      <c r="E708" s="3" t="str">
        <f>VLOOKUP(B708,LifeList!$E$2:$G$2038,2)</f>
        <v>Condor de Californie</v>
      </c>
      <c r="F708" s="3" t="str">
        <f>VLOOKUP(B708,LifeList!$E$2:$G$2038,3)</f>
        <v>Gymnogyps californianus</v>
      </c>
      <c r="G708" s="3" t="str">
        <f>VLOOKUP(B708,LifeList!$E$2:$I$2038,4)</f>
        <v>Cathartiformes</v>
      </c>
      <c r="H708" s="3" t="str">
        <f>VLOOKUP(B708,LifeList!$E$2:$I$2038,5)</f>
        <v>Cathartidae (New World Vultures)</v>
      </c>
      <c r="I708" s="3"/>
    </row>
    <row r="709" spans="1:9" ht="10.5" customHeight="1">
      <c r="A709" s="5" t="s">
        <v>1042</v>
      </c>
      <c r="B709" s="5" t="s">
        <v>1043</v>
      </c>
      <c r="C709" s="3">
        <f>VLOOKUP(B709,LifeList!$E$2:$J$2038,6)</f>
        <v>21303</v>
      </c>
      <c r="D709" s="3" t="str">
        <f>VLOOKUP(B709,LifeList!$E$2:$G$2038,1)</f>
        <v>California Scrub-Jay</v>
      </c>
      <c r="E709" s="3" t="str">
        <f>VLOOKUP(B709,LifeList!$E$2:$G$2038,2)</f>
        <v>Geai buissonnier</v>
      </c>
      <c r="F709" s="3" t="str">
        <f>VLOOKUP(B709,LifeList!$E$2:$G$2038,3)</f>
        <v>Aphelocoma californica</v>
      </c>
      <c r="G709" s="3" t="str">
        <f>VLOOKUP(B709,LifeList!$E$2:$I$2038,4)</f>
        <v>Passeriformes</v>
      </c>
      <c r="H709" s="3" t="str">
        <f>VLOOKUP(B709,LifeList!$E$2:$I$2038,5)</f>
        <v>Corvidae (Crows, Jays, and Magpies)</v>
      </c>
      <c r="I709" s="3"/>
    </row>
    <row r="710" spans="1:9" ht="10.5" customHeight="1">
      <c r="A710" s="5" t="s">
        <v>1044</v>
      </c>
      <c r="B710" s="3" t="s">
        <v>1045</v>
      </c>
      <c r="C710" s="6">
        <f>VLOOKUP(B710,LifeList!$E$2:$J$2038,6)</f>
        <v>33350</v>
      </c>
      <c r="D710" s="3" t="str">
        <f>VLOOKUP(B710,LifeList!$E$2:$G$2038,1)</f>
        <v>California Towhee</v>
      </c>
      <c r="E710" s="3" t="str">
        <f>VLOOKUP(B710,LifeList!$E$2:$G$2038,2)</f>
        <v>Tohi de Californie</v>
      </c>
      <c r="F710" s="3" t="str">
        <f>VLOOKUP(B710,LifeList!$E$2:$G$2038,3)</f>
        <v>Melozone crissalis</v>
      </c>
      <c r="G710" s="3" t="str">
        <f>VLOOKUP(B710,LifeList!$E$2:$I$2038,4)</f>
        <v>Passeriformes</v>
      </c>
      <c r="H710" s="3" t="str">
        <f>VLOOKUP(B710,LifeList!$E$2:$I$2038,5)</f>
        <v>Passerellidae (New World Sparrows)</v>
      </c>
      <c r="I710" s="3"/>
    </row>
    <row r="711" spans="1:9" ht="10.5" customHeight="1">
      <c r="A711" s="3" t="s">
        <v>1046</v>
      </c>
      <c r="B711" s="3" t="s">
        <v>1047</v>
      </c>
      <c r="C711" s="3">
        <f>VLOOKUP(B711,LifeList!$E$2:$J$2038,6)</f>
        <v>21303</v>
      </c>
      <c r="D711" s="3" t="str">
        <f>VLOOKUP(B711,LifeList!$E$2:$G$2038,1)</f>
        <v>California Scrub-Jay</v>
      </c>
      <c r="E711" s="3" t="str">
        <f>VLOOKUP(B711,LifeList!$E$2:$G$2038,2)</f>
        <v>Geai buissonnier</v>
      </c>
      <c r="F711" s="3" t="str">
        <f>VLOOKUP(B711,LifeList!$E$2:$G$2038,3)</f>
        <v>Aphelocoma californica</v>
      </c>
      <c r="G711" s="3" t="str">
        <f>VLOOKUP(B711,LifeList!$E$2:$I$2038,4)</f>
        <v>Passeriformes</v>
      </c>
      <c r="H711" s="3" t="str">
        <f>VLOOKUP(B711,LifeList!$E$2:$I$2038,5)</f>
        <v>Corvidae (Crows, Jays, and Magpies)</v>
      </c>
      <c r="I711" s="3"/>
    </row>
    <row r="712" spans="1:9" ht="10.5" customHeight="1">
      <c r="A712" s="7" t="s">
        <v>1048</v>
      </c>
      <c r="B712" s="9" t="s">
        <v>1049</v>
      </c>
      <c r="C712" s="3">
        <f>VLOOKUP(B712,LifeList!$E$2:$J$2038,6)</f>
        <v>28054</v>
      </c>
      <c r="D712" s="3" t="str">
        <f>VLOOKUP(B712,LifeList!$E$2:$G$2038,1)</f>
        <v>California Thrasher</v>
      </c>
      <c r="E712" s="3" t="str">
        <f>VLOOKUP(B712,LifeList!$E$2:$G$2038,2)</f>
        <v>Moqueur de Californie</v>
      </c>
      <c r="F712" s="3" t="str">
        <f>VLOOKUP(B712,LifeList!$E$2:$G$2038,3)</f>
        <v>Toxostoma redivivum</v>
      </c>
      <c r="G712" s="3" t="str">
        <f>VLOOKUP(B712,LifeList!$E$2:$I$2038,4)</f>
        <v>Passeriformes</v>
      </c>
      <c r="H712" s="3" t="str">
        <f>VLOOKUP(B712,LifeList!$E$2:$I$2038,5)</f>
        <v>Mimidae (Mockingbirds and Thrashers)</v>
      </c>
      <c r="I712" s="3"/>
    </row>
    <row r="713" spans="1:9" ht="10.5" customHeight="1">
      <c r="A713" s="3" t="s">
        <v>1050</v>
      </c>
      <c r="B713" s="3" t="s">
        <v>1051</v>
      </c>
      <c r="C713" s="3">
        <f>VLOOKUP(B713,LifeList!$E$2:$J$2038,6)</f>
        <v>342</v>
      </c>
      <c r="D713" s="3" t="str">
        <f>VLOOKUP(B713,LifeList!$E$2:$G$2038,1)</f>
        <v>Canada Goose</v>
      </c>
      <c r="E713" s="3" t="str">
        <f>VLOOKUP(B713,LifeList!$E$2:$G$2038,2)</f>
        <v>Bernache du Canada</v>
      </c>
      <c r="F713" s="3" t="str">
        <f>VLOOKUP(B713,LifeList!$E$2:$G$2038,3)</f>
        <v>Branta canadensis</v>
      </c>
      <c r="G713" s="3" t="str">
        <f>VLOOKUP(B713,LifeList!$E$2:$I$2038,4)</f>
        <v>Anseriformes</v>
      </c>
      <c r="H713" s="3" t="str">
        <f>VLOOKUP(B713,LifeList!$E$2:$I$2038,5)</f>
        <v>Anatidae (Ducks, Geese, and Waterfowl)</v>
      </c>
      <c r="I713" s="3"/>
    </row>
    <row r="714" spans="1:9" ht="10.5" customHeight="1">
      <c r="A714" s="3" t="s">
        <v>1052</v>
      </c>
      <c r="B714" s="3" t="s">
        <v>1051</v>
      </c>
      <c r="C714" s="3">
        <f>VLOOKUP(B714,LifeList!$E$2:$J$2038,6)</f>
        <v>342</v>
      </c>
      <c r="D714" s="3" t="str">
        <f>VLOOKUP(B714,LifeList!$E$2:$G$2038,1)</f>
        <v>Canada Goose</v>
      </c>
      <c r="E714" s="3" t="str">
        <f>VLOOKUP(B714,LifeList!$E$2:$G$2038,2)</f>
        <v>Bernache du Canada</v>
      </c>
      <c r="F714" s="3" t="str">
        <f>VLOOKUP(B714,LifeList!$E$2:$G$2038,3)</f>
        <v>Branta canadensis</v>
      </c>
      <c r="G714" s="3" t="str">
        <f>VLOOKUP(B714,LifeList!$E$2:$I$2038,4)</f>
        <v>Anseriformes</v>
      </c>
      <c r="H714" s="3" t="str">
        <f>VLOOKUP(B714,LifeList!$E$2:$I$2038,5)</f>
        <v>Anatidae (Ducks, Geese, and Waterfowl)</v>
      </c>
      <c r="I714" s="3"/>
    </row>
    <row r="715" spans="1:9" ht="10.5" customHeight="1">
      <c r="A715" s="3" t="s">
        <v>1053</v>
      </c>
      <c r="B715" s="3" t="s">
        <v>1051</v>
      </c>
      <c r="C715" s="3">
        <f>VLOOKUP(B715,LifeList!$E$2:$J$2038,6)</f>
        <v>342</v>
      </c>
      <c r="D715" s="3" t="str">
        <f>VLOOKUP(B715,LifeList!$E$2:$G$2038,1)</f>
        <v>Canada Goose</v>
      </c>
      <c r="E715" s="3" t="str">
        <f>VLOOKUP(B715,LifeList!$E$2:$G$2038,2)</f>
        <v>Bernache du Canada</v>
      </c>
      <c r="F715" s="3" t="str">
        <f>VLOOKUP(B715,LifeList!$E$2:$G$2038,3)</f>
        <v>Branta canadensis</v>
      </c>
      <c r="G715" s="3" t="str">
        <f>VLOOKUP(B715,LifeList!$E$2:$I$2038,4)</f>
        <v>Anseriformes</v>
      </c>
      <c r="H715" s="3" t="str">
        <f>VLOOKUP(B715,LifeList!$E$2:$I$2038,5)</f>
        <v>Anatidae (Ducks, Geese, and Waterfowl)</v>
      </c>
      <c r="I715" s="3"/>
    </row>
    <row r="716" spans="1:9" ht="10.5" customHeight="1">
      <c r="A716" s="3" t="s">
        <v>1054</v>
      </c>
      <c r="B716" s="3" t="s">
        <v>1051</v>
      </c>
      <c r="C716" s="3">
        <f>VLOOKUP(B716,LifeList!$E$2:$J$2038,6)</f>
        <v>342</v>
      </c>
      <c r="D716" s="3" t="str">
        <f>VLOOKUP(B716,LifeList!$E$2:$G$2038,1)</f>
        <v>Canada Goose</v>
      </c>
      <c r="E716" s="3" t="str">
        <f>VLOOKUP(B716,LifeList!$E$2:$G$2038,2)</f>
        <v>Bernache du Canada</v>
      </c>
      <c r="F716" s="3" t="str">
        <f>VLOOKUP(B716,LifeList!$E$2:$G$2038,3)</f>
        <v>Branta canadensis</v>
      </c>
      <c r="G716" s="3" t="str">
        <f>VLOOKUP(B716,LifeList!$E$2:$I$2038,4)</f>
        <v>Anseriformes</v>
      </c>
      <c r="H716" s="3" t="str">
        <f>VLOOKUP(B716,LifeList!$E$2:$I$2038,5)</f>
        <v>Anatidae (Ducks, Geese, and Waterfowl)</v>
      </c>
      <c r="I716" s="3"/>
    </row>
    <row r="717" spans="1:9" ht="10.5" customHeight="1">
      <c r="A717" s="3" t="s">
        <v>1055</v>
      </c>
      <c r="B717" s="3" t="s">
        <v>1051</v>
      </c>
      <c r="C717" s="3">
        <f>VLOOKUP(B717,LifeList!$E$2:$J$2038,6)</f>
        <v>342</v>
      </c>
      <c r="D717" s="3" t="str">
        <f>VLOOKUP(B717,LifeList!$E$2:$G$2038,1)</f>
        <v>Canada Goose</v>
      </c>
      <c r="E717" s="3" t="str">
        <f>VLOOKUP(B717,LifeList!$E$2:$G$2038,2)</f>
        <v>Bernache du Canada</v>
      </c>
      <c r="F717" s="3" t="str">
        <f>VLOOKUP(B717,LifeList!$E$2:$G$2038,3)</f>
        <v>Branta canadensis</v>
      </c>
      <c r="G717" s="3" t="str">
        <f>VLOOKUP(B717,LifeList!$E$2:$I$2038,4)</f>
        <v>Anseriformes</v>
      </c>
      <c r="H717" s="3" t="str">
        <f>VLOOKUP(B717,LifeList!$E$2:$I$2038,5)</f>
        <v>Anatidae (Ducks, Geese, and Waterfowl)</v>
      </c>
      <c r="I717" s="3"/>
    </row>
    <row r="718" spans="1:9" ht="10.5" customHeight="1">
      <c r="A718" s="3" t="s">
        <v>1056</v>
      </c>
      <c r="B718" s="3" t="s">
        <v>1057</v>
      </c>
      <c r="C718" s="3">
        <f>VLOOKUP(B718,LifeList!$E$2:$J$2038,6)</f>
        <v>34344</v>
      </c>
      <c r="D718" s="3" t="str">
        <f>VLOOKUP(B718,LifeList!$E$2:$G$2038,1)</f>
        <v>Canada Warbler</v>
      </c>
      <c r="E718" s="3" t="str">
        <f>VLOOKUP(B718,LifeList!$E$2:$G$2038,2)</f>
        <v>Paruline du Canada</v>
      </c>
      <c r="F718" s="3" t="str">
        <f>VLOOKUP(B718,LifeList!$E$2:$G$2038,3)</f>
        <v>Cardellina canadensis</v>
      </c>
      <c r="G718" s="3" t="str">
        <f>VLOOKUP(B718,LifeList!$E$2:$I$2038,4)</f>
        <v>Passeriformes</v>
      </c>
      <c r="H718" s="3" t="str">
        <f>VLOOKUP(B718,LifeList!$E$2:$I$2038,5)</f>
        <v>Parulidae (New World Warblers)</v>
      </c>
      <c r="I718" s="3"/>
    </row>
    <row r="719" spans="1:9" ht="10.5" customHeight="1">
      <c r="A719" s="3" t="s">
        <v>1058</v>
      </c>
      <c r="B719" s="3" t="s">
        <v>1057</v>
      </c>
      <c r="C719" s="3">
        <f>VLOOKUP(B719,LifeList!$E$2:$J$2038,6)</f>
        <v>34344</v>
      </c>
      <c r="D719" s="3" t="str">
        <f>VLOOKUP(B719,LifeList!$E$2:$G$2038,1)</f>
        <v>Canada Warbler</v>
      </c>
      <c r="E719" s="3" t="str">
        <f>VLOOKUP(B719,LifeList!$E$2:$G$2038,2)</f>
        <v>Paruline du Canada</v>
      </c>
      <c r="F719" s="3" t="str">
        <f>VLOOKUP(B719,LifeList!$E$2:$G$2038,3)</f>
        <v>Cardellina canadensis</v>
      </c>
      <c r="G719" s="3" t="str">
        <f>VLOOKUP(B719,LifeList!$E$2:$I$2038,4)</f>
        <v>Passeriformes</v>
      </c>
      <c r="H719" s="3" t="str">
        <f>VLOOKUP(B719,LifeList!$E$2:$I$2038,5)</f>
        <v>Parulidae (New World Warblers)</v>
      </c>
      <c r="I719" s="3"/>
    </row>
    <row r="720" spans="1:9" ht="10.5" customHeight="1">
      <c r="A720" s="3" t="s">
        <v>1059</v>
      </c>
      <c r="B720" s="3" t="s">
        <v>1057</v>
      </c>
      <c r="C720" s="3">
        <f>VLOOKUP(B720,LifeList!$E$2:$J$2038,6)</f>
        <v>34344</v>
      </c>
      <c r="D720" s="3" t="str">
        <f>VLOOKUP(B720,LifeList!$E$2:$G$2038,1)</f>
        <v>Canada Warbler</v>
      </c>
      <c r="E720" s="3" t="str">
        <f>VLOOKUP(B720,LifeList!$E$2:$G$2038,2)</f>
        <v>Paruline du Canada</v>
      </c>
      <c r="F720" s="3" t="str">
        <f>VLOOKUP(B720,LifeList!$E$2:$G$2038,3)</f>
        <v>Cardellina canadensis</v>
      </c>
      <c r="G720" s="3" t="str">
        <f>VLOOKUP(B720,LifeList!$E$2:$I$2038,4)</f>
        <v>Passeriformes</v>
      </c>
      <c r="H720" s="3" t="str">
        <f>VLOOKUP(B720,LifeList!$E$2:$I$2038,5)</f>
        <v>Parulidae (New World Warblers)</v>
      </c>
      <c r="I720" s="3"/>
    </row>
    <row r="721" spans="1:9" ht="10.5" customHeight="1">
      <c r="A721" s="3" t="s">
        <v>1060</v>
      </c>
      <c r="B721" s="3" t="s">
        <v>1057</v>
      </c>
      <c r="C721" s="3">
        <f>VLOOKUP(B721,LifeList!$E$2:$J$2038,6)</f>
        <v>34344</v>
      </c>
      <c r="D721" s="3" t="str">
        <f>VLOOKUP(B721,LifeList!$E$2:$G$2038,1)</f>
        <v>Canada Warbler</v>
      </c>
      <c r="E721" s="3" t="str">
        <f>VLOOKUP(B721,LifeList!$E$2:$G$2038,2)</f>
        <v>Paruline du Canada</v>
      </c>
      <c r="F721" s="3" t="str">
        <f>VLOOKUP(B721,LifeList!$E$2:$G$2038,3)</f>
        <v>Cardellina canadensis</v>
      </c>
      <c r="G721" s="3" t="str">
        <f>VLOOKUP(B721,LifeList!$E$2:$I$2038,4)</f>
        <v>Passeriformes</v>
      </c>
      <c r="H721" s="3" t="str">
        <f>VLOOKUP(B721,LifeList!$E$2:$I$2038,5)</f>
        <v>Parulidae (New World Warblers)</v>
      </c>
      <c r="I721" s="3"/>
    </row>
    <row r="722" spans="1:9" ht="10.5" customHeight="1">
      <c r="A722" s="3" t="s">
        <v>1061</v>
      </c>
      <c r="B722" s="3" t="s">
        <v>1057</v>
      </c>
      <c r="C722" s="3">
        <f>VLOOKUP(B722,LifeList!$E$2:$J$2038,6)</f>
        <v>34344</v>
      </c>
      <c r="D722" s="3" t="str">
        <f>VLOOKUP(B722,LifeList!$E$2:$G$2038,1)</f>
        <v>Canada Warbler</v>
      </c>
      <c r="E722" s="3" t="str">
        <f>VLOOKUP(B722,LifeList!$E$2:$G$2038,2)</f>
        <v>Paruline du Canada</v>
      </c>
      <c r="F722" s="3" t="str">
        <f>VLOOKUP(B722,LifeList!$E$2:$G$2038,3)</f>
        <v>Cardellina canadensis</v>
      </c>
      <c r="G722" s="3" t="str">
        <f>VLOOKUP(B722,LifeList!$E$2:$I$2038,4)</f>
        <v>Passeriformes</v>
      </c>
      <c r="H722" s="3" t="str">
        <f>VLOOKUP(B722,LifeList!$E$2:$I$2038,5)</f>
        <v>Parulidae (New World Warblers)</v>
      </c>
      <c r="I722" s="3"/>
    </row>
    <row r="723" spans="1:9" ht="10.5" customHeight="1">
      <c r="A723" s="3" t="s">
        <v>1062</v>
      </c>
      <c r="B723" s="3" t="s">
        <v>1057</v>
      </c>
      <c r="C723" s="3">
        <f>VLOOKUP(B723,LifeList!$E$2:$J$2038,6)</f>
        <v>34344</v>
      </c>
      <c r="D723" s="3" t="str">
        <f>VLOOKUP(B723,LifeList!$E$2:$G$2038,1)</f>
        <v>Canada Warbler</v>
      </c>
      <c r="E723" s="3" t="str">
        <f>VLOOKUP(B723,LifeList!$E$2:$G$2038,2)</f>
        <v>Paruline du Canada</v>
      </c>
      <c r="F723" s="3" t="str">
        <f>VLOOKUP(B723,LifeList!$E$2:$G$2038,3)</f>
        <v>Cardellina canadensis</v>
      </c>
      <c r="G723" s="3" t="str">
        <f>VLOOKUP(B723,LifeList!$E$2:$I$2038,4)</f>
        <v>Passeriformes</v>
      </c>
      <c r="H723" s="3" t="str">
        <f>VLOOKUP(B723,LifeList!$E$2:$I$2038,5)</f>
        <v>Parulidae (New World Warblers)</v>
      </c>
      <c r="I723" s="3"/>
    </row>
    <row r="724" spans="1:9" ht="10.5" customHeight="1">
      <c r="A724" s="3" t="s">
        <v>1063</v>
      </c>
      <c r="B724" s="3" t="s">
        <v>1057</v>
      </c>
      <c r="C724" s="3">
        <f>VLOOKUP(B724,LifeList!$E$2:$J$2038,6)</f>
        <v>34344</v>
      </c>
      <c r="D724" s="3" t="str">
        <f>VLOOKUP(B724,LifeList!$E$2:$G$2038,1)</f>
        <v>Canada Warbler</v>
      </c>
      <c r="E724" s="3" t="str">
        <f>VLOOKUP(B724,LifeList!$E$2:$G$2038,2)</f>
        <v>Paruline du Canada</v>
      </c>
      <c r="F724" s="3" t="str">
        <f>VLOOKUP(B724,LifeList!$E$2:$G$2038,3)</f>
        <v>Cardellina canadensis</v>
      </c>
      <c r="G724" s="3" t="str">
        <f>VLOOKUP(B724,LifeList!$E$2:$I$2038,4)</f>
        <v>Passeriformes</v>
      </c>
      <c r="H724" s="3" t="str">
        <f>VLOOKUP(B724,LifeList!$E$2:$I$2038,5)</f>
        <v>Parulidae (New World Warblers)</v>
      </c>
      <c r="I724" s="3"/>
    </row>
    <row r="725" spans="1:9" ht="10.5" customHeight="1">
      <c r="A725" s="3" t="s">
        <v>1064</v>
      </c>
      <c r="B725" s="3" t="s">
        <v>1057</v>
      </c>
      <c r="C725" s="3">
        <f>VLOOKUP(B725,LifeList!$E$2:$J$2038,6)</f>
        <v>34344</v>
      </c>
      <c r="D725" s="3" t="str">
        <f>VLOOKUP(B725,LifeList!$E$2:$G$2038,1)</f>
        <v>Canada Warbler</v>
      </c>
      <c r="E725" s="3" t="str">
        <f>VLOOKUP(B725,LifeList!$E$2:$G$2038,2)</f>
        <v>Paruline du Canada</v>
      </c>
      <c r="F725" s="3" t="str">
        <f>VLOOKUP(B725,LifeList!$E$2:$G$2038,3)</f>
        <v>Cardellina canadensis</v>
      </c>
      <c r="G725" s="3" t="str">
        <f>VLOOKUP(B725,LifeList!$E$2:$I$2038,4)</f>
        <v>Passeriformes</v>
      </c>
      <c r="H725" s="3" t="str">
        <f>VLOOKUP(B725,LifeList!$E$2:$I$2038,5)</f>
        <v>Parulidae (New World Warblers)</v>
      </c>
      <c r="I725" s="3"/>
    </row>
    <row r="726" spans="1:9" ht="10.5" customHeight="1">
      <c r="A726" s="3" t="s">
        <v>1065</v>
      </c>
      <c r="B726" s="3" t="s">
        <v>1066</v>
      </c>
      <c r="C726" s="3">
        <f>VLOOKUP(B726,LifeList!$E$2:$J$2038,6)</f>
        <v>27536</v>
      </c>
      <c r="D726" s="3" t="str">
        <f>VLOOKUP(B726,LifeList!$E$2:$G$2038,1)</f>
        <v>Canebrake Wren</v>
      </c>
      <c r="E726" s="3" t="str">
        <f>VLOOKUP(B726,LifeList!$E$2:$G$2038,2)</f>
        <v>Troglodyte de Zeledon</v>
      </c>
      <c r="F726" s="3" t="str">
        <f>VLOOKUP(B726,LifeList!$E$2:$G$2038,3)</f>
        <v>Cantorchilus zeledoni</v>
      </c>
      <c r="G726" s="3" t="str">
        <f>VLOOKUP(B726,LifeList!$E$2:$I$2038,4)</f>
        <v>Passeriformes</v>
      </c>
      <c r="H726" s="3" t="str">
        <f>VLOOKUP(B726,LifeList!$E$2:$I$2038,5)</f>
        <v>Troglodytidae (Wrens)</v>
      </c>
      <c r="I726" s="3"/>
    </row>
    <row r="727" spans="1:9" ht="10.5" customHeight="1">
      <c r="A727" s="3" t="s">
        <v>1067</v>
      </c>
      <c r="B727" s="3" t="s">
        <v>1066</v>
      </c>
      <c r="C727" s="3">
        <f>VLOOKUP(B727,LifeList!$E$2:$J$2038,6)</f>
        <v>27536</v>
      </c>
      <c r="D727" s="3" t="str">
        <f>VLOOKUP(B727,LifeList!$E$2:$G$2038,1)</f>
        <v>Canebrake Wren</v>
      </c>
      <c r="E727" s="3" t="str">
        <f>VLOOKUP(B727,LifeList!$E$2:$G$2038,2)</f>
        <v>Troglodyte de Zeledon</v>
      </c>
      <c r="F727" s="3" t="str">
        <f>VLOOKUP(B727,LifeList!$E$2:$G$2038,3)</f>
        <v>Cantorchilus zeledoni</v>
      </c>
      <c r="G727" s="3" t="str">
        <f>VLOOKUP(B727,LifeList!$E$2:$I$2038,4)</f>
        <v>Passeriformes</v>
      </c>
      <c r="H727" s="3" t="str">
        <f>VLOOKUP(B727,LifeList!$E$2:$I$2038,5)</f>
        <v>Troglodytidae (Wrens)</v>
      </c>
      <c r="I727" s="3"/>
    </row>
    <row r="728" spans="1:9" ht="10.5" customHeight="1">
      <c r="A728" s="3" t="s">
        <v>1068</v>
      </c>
      <c r="B728" s="3" t="s">
        <v>1066</v>
      </c>
      <c r="C728" s="3">
        <f>VLOOKUP(B728,LifeList!$E$2:$J$2038,6)</f>
        <v>27536</v>
      </c>
      <c r="D728" s="3" t="str">
        <f>VLOOKUP(B728,LifeList!$E$2:$G$2038,1)</f>
        <v>Canebrake Wren</v>
      </c>
      <c r="E728" s="3" t="str">
        <f>VLOOKUP(B728,LifeList!$E$2:$G$2038,2)</f>
        <v>Troglodyte de Zeledon</v>
      </c>
      <c r="F728" s="3" t="str">
        <f>VLOOKUP(B728,LifeList!$E$2:$G$2038,3)</f>
        <v>Cantorchilus zeledoni</v>
      </c>
      <c r="G728" s="3" t="str">
        <f>VLOOKUP(B728,LifeList!$E$2:$I$2038,4)</f>
        <v>Passeriformes</v>
      </c>
      <c r="H728" s="3" t="str">
        <f>VLOOKUP(B728,LifeList!$E$2:$I$2038,5)</f>
        <v>Troglodytidae (Wrens)</v>
      </c>
      <c r="I728" s="3"/>
    </row>
    <row r="729" spans="1:9" ht="10.5" customHeight="1">
      <c r="A729" s="3" t="s">
        <v>1069</v>
      </c>
      <c r="B729" s="3" t="s">
        <v>1070</v>
      </c>
      <c r="C729" s="3">
        <f>VLOOKUP(B729,LifeList!$E$2:$J$2038,6)</f>
        <v>4883</v>
      </c>
      <c r="D729" s="3" t="str">
        <f>VLOOKUP(B729,LifeList!$E$2:$G$2038,1)</f>
        <v>Canivet's Emerald</v>
      </c>
      <c r="E729" s="3" t="str">
        <f>VLOOKUP(B729,LifeList!$E$2:$G$2038,2)</f>
        <v>Émeraude de Canivet</v>
      </c>
      <c r="F729" s="3" t="str">
        <f>VLOOKUP(B729,LifeList!$E$2:$G$2038,3)</f>
        <v>Cynanthus canivetii</v>
      </c>
      <c r="G729" s="3" t="str">
        <f>VLOOKUP(B729,LifeList!$E$2:$I$2038,4)</f>
        <v>Apodiformes</v>
      </c>
      <c r="H729" s="3" t="str">
        <f>VLOOKUP(B729,LifeList!$E$2:$I$2038,5)</f>
        <v>Trochilidae (Hummingbirds)</v>
      </c>
      <c r="I729" s="3"/>
    </row>
    <row r="730" spans="1:9" ht="10.5" customHeight="1">
      <c r="A730" s="3" t="s">
        <v>1071</v>
      </c>
      <c r="B730" s="3" t="s">
        <v>1072</v>
      </c>
      <c r="C730" s="3">
        <f>VLOOKUP(B730,LifeList!$E$2:$J$2038,6)</f>
        <v>34060</v>
      </c>
      <c r="D730" s="3" t="str">
        <f>VLOOKUP(B730,LifeList!$E$2:$G$2038,1)</f>
        <v>Cape May Warbler</v>
      </c>
      <c r="E730" s="3" t="str">
        <f>VLOOKUP(B730,LifeList!$E$2:$G$2038,2)</f>
        <v>Paruline tigrée</v>
      </c>
      <c r="F730" s="3" t="str">
        <f>VLOOKUP(B730,LifeList!$E$2:$G$2038,3)</f>
        <v>Setophaga tigrina</v>
      </c>
      <c r="G730" s="3" t="str">
        <f>VLOOKUP(B730,LifeList!$E$2:$I$2038,4)</f>
        <v>Passeriformes</v>
      </c>
      <c r="H730" s="3" t="str">
        <f>VLOOKUP(B730,LifeList!$E$2:$I$2038,5)</f>
        <v>Parulidae (New World Warblers)</v>
      </c>
      <c r="I730" s="3"/>
    </row>
    <row r="731" spans="1:9" ht="10.5" customHeight="1">
      <c r="A731" s="7" t="s">
        <v>1073</v>
      </c>
      <c r="B731" s="9" t="s">
        <v>1074</v>
      </c>
      <c r="C731" s="3">
        <f>VLOOKUP(B731,LifeList!$E$2:$J$2038,6)</f>
        <v>372</v>
      </c>
      <c r="D731" s="3" t="str">
        <f>VLOOKUP(B731,LifeList!$E$2:$G$2038,1)</f>
        <v>Cape Barren Goose</v>
      </c>
      <c r="E731" s="3" t="str">
        <f>VLOOKUP(B731,LifeList!$E$2:$G$2038,2)</f>
        <v>Céréopse cendré</v>
      </c>
      <c r="F731" s="3" t="str">
        <f>VLOOKUP(B731,LifeList!$E$2:$G$2038,3)</f>
        <v>Cereopsis novaehollandiae</v>
      </c>
      <c r="G731" s="3" t="str">
        <f>VLOOKUP(B731,LifeList!$E$2:$I$2038,4)</f>
        <v>Anseriformes</v>
      </c>
      <c r="H731" s="3" t="str">
        <f>VLOOKUP(B731,LifeList!$E$2:$I$2038,5)</f>
        <v>Anatidae (Ducks, Geese, and Waterfowl)</v>
      </c>
      <c r="I731" s="3"/>
    </row>
    <row r="732" spans="1:9" ht="10.5" customHeight="1">
      <c r="A732" s="3" t="s">
        <v>1075</v>
      </c>
      <c r="B732" s="3" t="s">
        <v>1076</v>
      </c>
      <c r="C732" s="3">
        <f>VLOOKUP(B732,LifeList!$E$2:$J$2038,6)</f>
        <v>32762</v>
      </c>
      <c r="D732" s="3" t="str">
        <f>VLOOKUP(B732,LifeList!$E$2:$G$2038,1)</f>
        <v>Cape Bunting</v>
      </c>
      <c r="E732" s="3" t="str">
        <f>VLOOKUP(B732,LifeList!$E$2:$G$2038,2)</f>
        <v>Bruant du Cap</v>
      </c>
      <c r="F732" s="3" t="str">
        <f>VLOOKUP(B732,LifeList!$E$2:$G$2038,3)</f>
        <v>Emberiza capensis</v>
      </c>
      <c r="G732" s="3" t="str">
        <f>VLOOKUP(B732,LifeList!$E$2:$I$2038,4)</f>
        <v>Passeriformes</v>
      </c>
      <c r="H732" s="3" t="str">
        <f>VLOOKUP(B732,LifeList!$E$2:$I$2038,5)</f>
        <v>Emberizidae (Old World Buntings)</v>
      </c>
      <c r="I732" s="3"/>
    </row>
    <row r="733" spans="1:9" ht="10.5" customHeight="1">
      <c r="A733" s="3" t="s">
        <v>1077</v>
      </c>
      <c r="B733" s="3" t="s">
        <v>1072</v>
      </c>
      <c r="C733" s="3">
        <f>VLOOKUP(B733,LifeList!$E$2:$J$2038,6)</f>
        <v>34060</v>
      </c>
      <c r="D733" s="3" t="str">
        <f>VLOOKUP(B733,LifeList!$E$2:$G$2038,1)</f>
        <v>Cape May Warbler</v>
      </c>
      <c r="E733" s="3" t="str">
        <f>VLOOKUP(B733,LifeList!$E$2:$G$2038,2)</f>
        <v>Paruline tigrée</v>
      </c>
      <c r="F733" s="3" t="str">
        <f>VLOOKUP(B733,LifeList!$E$2:$G$2038,3)</f>
        <v>Setophaga tigrina</v>
      </c>
      <c r="G733" s="3" t="str">
        <f>VLOOKUP(B733,LifeList!$E$2:$I$2038,4)</f>
        <v>Passeriformes</v>
      </c>
      <c r="H733" s="3" t="str">
        <f>VLOOKUP(B733,LifeList!$E$2:$I$2038,5)</f>
        <v>Parulidae (New World Warblers)</v>
      </c>
      <c r="I733" s="3"/>
    </row>
    <row r="734" spans="1:9" ht="10.5" customHeight="1">
      <c r="A734" s="3" t="s">
        <v>1078</v>
      </c>
      <c r="B734" s="3" t="s">
        <v>1072</v>
      </c>
      <c r="C734" s="3">
        <f>VLOOKUP(B734,LifeList!$E$2:$J$2038,6)</f>
        <v>34060</v>
      </c>
      <c r="D734" s="3" t="str">
        <f>VLOOKUP(B734,LifeList!$E$2:$G$2038,1)</f>
        <v>Cape May Warbler</v>
      </c>
      <c r="E734" s="3" t="str">
        <f>VLOOKUP(B734,LifeList!$E$2:$G$2038,2)</f>
        <v>Paruline tigrée</v>
      </c>
      <c r="F734" s="3" t="str">
        <f>VLOOKUP(B734,LifeList!$E$2:$G$2038,3)</f>
        <v>Setophaga tigrina</v>
      </c>
      <c r="G734" s="3" t="str">
        <f>VLOOKUP(B734,LifeList!$E$2:$I$2038,4)</f>
        <v>Passeriformes</v>
      </c>
      <c r="H734" s="3" t="str">
        <f>VLOOKUP(B734,LifeList!$E$2:$I$2038,5)</f>
        <v>Parulidae (New World Warblers)</v>
      </c>
      <c r="I734" s="3"/>
    </row>
    <row r="735" spans="1:9" ht="10.5" customHeight="1">
      <c r="A735" s="3" t="s">
        <v>1079</v>
      </c>
      <c r="B735" s="3" t="s">
        <v>1072</v>
      </c>
      <c r="C735" s="3">
        <f>VLOOKUP(B735,LifeList!$E$2:$J$2038,6)</f>
        <v>34060</v>
      </c>
      <c r="D735" s="3" t="str">
        <f>VLOOKUP(B735,LifeList!$E$2:$G$2038,1)</f>
        <v>Cape May Warbler</v>
      </c>
      <c r="E735" s="3" t="str">
        <f>VLOOKUP(B735,LifeList!$E$2:$G$2038,2)</f>
        <v>Paruline tigrée</v>
      </c>
      <c r="F735" s="3" t="str">
        <f>VLOOKUP(B735,LifeList!$E$2:$G$2038,3)</f>
        <v>Setophaga tigrina</v>
      </c>
      <c r="G735" s="3" t="str">
        <f>VLOOKUP(B735,LifeList!$E$2:$I$2038,4)</f>
        <v>Passeriformes</v>
      </c>
      <c r="H735" s="3" t="str">
        <f>VLOOKUP(B735,LifeList!$E$2:$I$2038,5)</f>
        <v>Parulidae (New World Warblers)</v>
      </c>
      <c r="I735" s="3"/>
    </row>
    <row r="736" spans="1:9" ht="10.5" customHeight="1">
      <c r="A736" s="3" t="s">
        <v>1080</v>
      </c>
      <c r="B736" s="3" t="s">
        <v>1072</v>
      </c>
      <c r="C736" s="3">
        <f>VLOOKUP(B736,LifeList!$E$2:$J$2038,6)</f>
        <v>34060</v>
      </c>
      <c r="D736" s="3" t="str">
        <f>VLOOKUP(B736,LifeList!$E$2:$G$2038,1)</f>
        <v>Cape May Warbler</v>
      </c>
      <c r="E736" s="3" t="str">
        <f>VLOOKUP(B736,LifeList!$E$2:$G$2038,2)</f>
        <v>Paruline tigrée</v>
      </c>
      <c r="F736" s="3" t="str">
        <f>VLOOKUP(B736,LifeList!$E$2:$G$2038,3)</f>
        <v>Setophaga tigrina</v>
      </c>
      <c r="G736" s="3" t="str">
        <f>VLOOKUP(B736,LifeList!$E$2:$I$2038,4)</f>
        <v>Passeriformes</v>
      </c>
      <c r="H736" s="3" t="str">
        <f>VLOOKUP(B736,LifeList!$E$2:$I$2038,5)</f>
        <v>Parulidae (New World Warblers)</v>
      </c>
      <c r="I736" s="3"/>
    </row>
    <row r="737" spans="1:9" ht="10.5" customHeight="1">
      <c r="A737" s="3" t="s">
        <v>1081</v>
      </c>
      <c r="B737" s="3" t="s">
        <v>1072</v>
      </c>
      <c r="C737" s="3">
        <f>VLOOKUP(B737,LifeList!$E$2:$J$2038,6)</f>
        <v>34060</v>
      </c>
      <c r="D737" s="3" t="str">
        <f>VLOOKUP(B737,LifeList!$E$2:$G$2038,1)</f>
        <v>Cape May Warbler</v>
      </c>
      <c r="E737" s="3" t="str">
        <f>VLOOKUP(B737,LifeList!$E$2:$G$2038,2)</f>
        <v>Paruline tigrée</v>
      </c>
      <c r="F737" s="3" t="str">
        <f>VLOOKUP(B737,LifeList!$E$2:$G$2038,3)</f>
        <v>Setophaga tigrina</v>
      </c>
      <c r="G737" s="3" t="str">
        <f>VLOOKUP(B737,LifeList!$E$2:$I$2038,4)</f>
        <v>Passeriformes</v>
      </c>
      <c r="H737" s="3" t="str">
        <f>VLOOKUP(B737,LifeList!$E$2:$I$2038,5)</f>
        <v>Parulidae (New World Warblers)</v>
      </c>
      <c r="I737" s="3"/>
    </row>
    <row r="738" spans="1:9" ht="10.5" customHeight="1">
      <c r="A738" s="3" t="s">
        <v>1082</v>
      </c>
      <c r="B738" s="3" t="s">
        <v>1072</v>
      </c>
      <c r="C738" s="3">
        <f>VLOOKUP(B738,LifeList!$E$2:$J$2038,6)</f>
        <v>34060</v>
      </c>
      <c r="D738" s="3" t="str">
        <f>VLOOKUP(B738,LifeList!$E$2:$G$2038,1)</f>
        <v>Cape May Warbler</v>
      </c>
      <c r="E738" s="3" t="str">
        <f>VLOOKUP(B738,LifeList!$E$2:$G$2038,2)</f>
        <v>Paruline tigrée</v>
      </c>
      <c r="F738" s="3" t="str">
        <f>VLOOKUP(B738,LifeList!$E$2:$G$2038,3)</f>
        <v>Setophaga tigrina</v>
      </c>
      <c r="G738" s="3" t="str">
        <f>VLOOKUP(B738,LifeList!$E$2:$I$2038,4)</f>
        <v>Passeriformes</v>
      </c>
      <c r="H738" s="3" t="str">
        <f>VLOOKUP(B738,LifeList!$E$2:$I$2038,5)</f>
        <v>Parulidae (New World Warblers)</v>
      </c>
      <c r="I738" s="3"/>
    </row>
    <row r="739" spans="1:9" ht="10.5" customHeight="1">
      <c r="A739" s="3" t="s">
        <v>1083</v>
      </c>
      <c r="B739" s="3" t="s">
        <v>1072</v>
      </c>
      <c r="C739" s="3">
        <f>VLOOKUP(B739,LifeList!$E$2:$J$2038,6)</f>
        <v>34060</v>
      </c>
      <c r="D739" s="3" t="str">
        <f>VLOOKUP(B739,LifeList!$E$2:$G$2038,1)</f>
        <v>Cape May Warbler</v>
      </c>
      <c r="E739" s="3" t="str">
        <f>VLOOKUP(B739,LifeList!$E$2:$G$2038,2)</f>
        <v>Paruline tigrée</v>
      </c>
      <c r="F739" s="3" t="str">
        <f>VLOOKUP(B739,LifeList!$E$2:$G$2038,3)</f>
        <v>Setophaga tigrina</v>
      </c>
      <c r="G739" s="3" t="str">
        <f>VLOOKUP(B739,LifeList!$E$2:$I$2038,4)</f>
        <v>Passeriformes</v>
      </c>
      <c r="H739" s="3" t="str">
        <f>VLOOKUP(B739,LifeList!$E$2:$I$2038,5)</f>
        <v>Parulidae (New World Warblers)</v>
      </c>
      <c r="I739" s="3"/>
    </row>
    <row r="740" spans="1:9" ht="10.5" customHeight="1">
      <c r="A740" s="3" t="s">
        <v>1084</v>
      </c>
      <c r="B740" s="3" t="s">
        <v>1072</v>
      </c>
      <c r="C740" s="3">
        <f>VLOOKUP(B740,LifeList!$E$2:$J$2038,6)</f>
        <v>34060</v>
      </c>
      <c r="D740" s="3" t="str">
        <f>VLOOKUP(B740,LifeList!$E$2:$G$2038,1)</f>
        <v>Cape May Warbler</v>
      </c>
      <c r="E740" s="3" t="str">
        <f>VLOOKUP(B740,LifeList!$E$2:$G$2038,2)</f>
        <v>Paruline tigrée</v>
      </c>
      <c r="F740" s="3" t="str">
        <f>VLOOKUP(B740,LifeList!$E$2:$G$2038,3)</f>
        <v>Setophaga tigrina</v>
      </c>
      <c r="G740" s="3" t="str">
        <f>VLOOKUP(B740,LifeList!$E$2:$I$2038,4)</f>
        <v>Passeriformes</v>
      </c>
      <c r="H740" s="3" t="str">
        <f>VLOOKUP(B740,LifeList!$E$2:$I$2038,5)</f>
        <v>Parulidae (New World Warblers)</v>
      </c>
      <c r="I740" s="3"/>
    </row>
    <row r="741" spans="1:9" ht="10.5" customHeight="1">
      <c r="A741" s="3" t="s">
        <v>1085</v>
      </c>
      <c r="B741" s="3" t="s">
        <v>1072</v>
      </c>
      <c r="C741" s="3">
        <f>VLOOKUP(B741,LifeList!$E$2:$J$2038,6)</f>
        <v>34060</v>
      </c>
      <c r="D741" s="3" t="str">
        <f>VLOOKUP(B741,LifeList!$E$2:$G$2038,1)</f>
        <v>Cape May Warbler</v>
      </c>
      <c r="E741" s="3" t="str">
        <f>VLOOKUP(B741,LifeList!$E$2:$G$2038,2)</f>
        <v>Paruline tigrée</v>
      </c>
      <c r="F741" s="3" t="str">
        <f>VLOOKUP(B741,LifeList!$E$2:$G$2038,3)</f>
        <v>Setophaga tigrina</v>
      </c>
      <c r="G741" s="3" t="str">
        <f>VLOOKUP(B741,LifeList!$E$2:$I$2038,4)</f>
        <v>Passeriformes</v>
      </c>
      <c r="H741" s="3" t="str">
        <f>VLOOKUP(B741,LifeList!$E$2:$I$2038,5)</f>
        <v>Parulidae (New World Warblers)</v>
      </c>
      <c r="I741" s="3"/>
    </row>
    <row r="742" spans="1:9" ht="10.5" customHeight="1">
      <c r="A742" s="3" t="s">
        <v>1086</v>
      </c>
      <c r="B742" s="3" t="s">
        <v>1072</v>
      </c>
      <c r="C742" s="3">
        <f>VLOOKUP(B742,LifeList!$E$2:$J$2038,6)</f>
        <v>34060</v>
      </c>
      <c r="D742" s="3" t="str">
        <f>VLOOKUP(B742,LifeList!$E$2:$G$2038,1)</f>
        <v>Cape May Warbler</v>
      </c>
      <c r="E742" s="3" t="str">
        <f>VLOOKUP(B742,LifeList!$E$2:$G$2038,2)</f>
        <v>Paruline tigrée</v>
      </c>
      <c r="F742" s="3" t="str">
        <f>VLOOKUP(B742,LifeList!$E$2:$G$2038,3)</f>
        <v>Setophaga tigrina</v>
      </c>
      <c r="G742" s="3" t="str">
        <f>VLOOKUP(B742,LifeList!$E$2:$I$2038,4)</f>
        <v>Passeriformes</v>
      </c>
      <c r="H742" s="3" t="str">
        <f>VLOOKUP(B742,LifeList!$E$2:$I$2038,5)</f>
        <v>Parulidae (New World Warblers)</v>
      </c>
      <c r="I742" s="3"/>
    </row>
    <row r="743" spans="1:9" ht="10.5" customHeight="1">
      <c r="A743" s="3" t="s">
        <v>1087</v>
      </c>
      <c r="B743" s="3" t="s">
        <v>1072</v>
      </c>
      <c r="C743" s="3">
        <f>VLOOKUP(B743,LifeList!$E$2:$J$2038,6)</f>
        <v>34060</v>
      </c>
      <c r="D743" s="3" t="str">
        <f>VLOOKUP(B743,LifeList!$E$2:$G$2038,1)</f>
        <v>Cape May Warbler</v>
      </c>
      <c r="E743" s="3" t="str">
        <f>VLOOKUP(B743,LifeList!$E$2:$G$2038,2)</f>
        <v>Paruline tigrée</v>
      </c>
      <c r="F743" s="3" t="str">
        <f>VLOOKUP(B743,LifeList!$E$2:$G$2038,3)</f>
        <v>Setophaga tigrina</v>
      </c>
      <c r="G743" s="3" t="str">
        <f>VLOOKUP(B743,LifeList!$E$2:$I$2038,4)</f>
        <v>Passeriformes</v>
      </c>
      <c r="H743" s="3" t="str">
        <f>VLOOKUP(B743,LifeList!$E$2:$I$2038,5)</f>
        <v>Parulidae (New World Warblers)</v>
      </c>
      <c r="I743" s="3"/>
    </row>
    <row r="744" spans="1:9" ht="10.5" customHeight="1">
      <c r="A744" s="3" t="s">
        <v>1088</v>
      </c>
      <c r="B744" s="3" t="s">
        <v>1072</v>
      </c>
      <c r="C744" s="3">
        <f>VLOOKUP(B744,LifeList!$E$2:$J$2038,6)</f>
        <v>34060</v>
      </c>
      <c r="D744" s="3" t="str">
        <f>VLOOKUP(B744,LifeList!$E$2:$G$2038,1)</f>
        <v>Cape May Warbler</v>
      </c>
      <c r="E744" s="3" t="str">
        <f>VLOOKUP(B744,LifeList!$E$2:$G$2038,2)</f>
        <v>Paruline tigrée</v>
      </c>
      <c r="F744" s="3" t="str">
        <f>VLOOKUP(B744,LifeList!$E$2:$G$2038,3)</f>
        <v>Setophaga tigrina</v>
      </c>
      <c r="G744" s="3" t="str">
        <f>VLOOKUP(B744,LifeList!$E$2:$I$2038,4)</f>
        <v>Passeriformes</v>
      </c>
      <c r="H744" s="3" t="str">
        <f>VLOOKUP(B744,LifeList!$E$2:$I$2038,5)</f>
        <v>Parulidae (New World Warblers)</v>
      </c>
      <c r="I744" s="3"/>
    </row>
    <row r="745" spans="1:9" ht="10.5" customHeight="1">
      <c r="A745" s="3" t="s">
        <v>1089</v>
      </c>
      <c r="B745" s="3" t="s">
        <v>1072</v>
      </c>
      <c r="C745" s="3">
        <f>VLOOKUP(B745,LifeList!$E$2:$J$2038,6)</f>
        <v>34060</v>
      </c>
      <c r="D745" s="3" t="str">
        <f>VLOOKUP(B745,LifeList!$E$2:$G$2038,1)</f>
        <v>Cape May Warbler</v>
      </c>
      <c r="E745" s="3" t="str">
        <f>VLOOKUP(B745,LifeList!$E$2:$G$2038,2)</f>
        <v>Paruline tigrée</v>
      </c>
      <c r="F745" s="3" t="str">
        <f>VLOOKUP(B745,LifeList!$E$2:$G$2038,3)</f>
        <v>Setophaga tigrina</v>
      </c>
      <c r="G745" s="3" t="str">
        <f>VLOOKUP(B745,LifeList!$E$2:$I$2038,4)</f>
        <v>Passeriformes</v>
      </c>
      <c r="H745" s="3" t="str">
        <f>VLOOKUP(B745,LifeList!$E$2:$I$2038,5)</f>
        <v>Parulidae (New World Warblers)</v>
      </c>
      <c r="I745" s="3"/>
    </row>
    <row r="746" spans="1:9" ht="10.5" customHeight="1">
      <c r="A746" s="3" t="s">
        <v>1090</v>
      </c>
      <c r="B746" s="3" t="s">
        <v>1072</v>
      </c>
      <c r="C746" s="3">
        <f>VLOOKUP(B746,LifeList!$E$2:$J$2038,6)</f>
        <v>34060</v>
      </c>
      <c r="D746" s="3" t="str">
        <f>VLOOKUP(B746,LifeList!$E$2:$G$2038,1)</f>
        <v>Cape May Warbler</v>
      </c>
      <c r="E746" s="3" t="str">
        <f>VLOOKUP(B746,LifeList!$E$2:$G$2038,2)</f>
        <v>Paruline tigrée</v>
      </c>
      <c r="F746" s="3" t="str">
        <f>VLOOKUP(B746,LifeList!$E$2:$G$2038,3)</f>
        <v>Setophaga tigrina</v>
      </c>
      <c r="G746" s="3" t="str">
        <f>VLOOKUP(B746,LifeList!$E$2:$I$2038,4)</f>
        <v>Passeriformes</v>
      </c>
      <c r="H746" s="3" t="str">
        <f>VLOOKUP(B746,LifeList!$E$2:$I$2038,5)</f>
        <v>Parulidae (New World Warblers)</v>
      </c>
      <c r="I746" s="3"/>
    </row>
    <row r="747" spans="1:9" ht="10.5" customHeight="1">
      <c r="A747" s="3" t="s">
        <v>1091</v>
      </c>
      <c r="B747" s="3" t="s">
        <v>1072</v>
      </c>
      <c r="C747" s="3">
        <f>VLOOKUP(B747,LifeList!$E$2:$J$2038,6)</f>
        <v>34060</v>
      </c>
      <c r="D747" s="3" t="str">
        <f>VLOOKUP(B747,LifeList!$E$2:$G$2038,1)</f>
        <v>Cape May Warbler</v>
      </c>
      <c r="E747" s="3" t="str">
        <f>VLOOKUP(B747,LifeList!$E$2:$G$2038,2)</f>
        <v>Paruline tigrée</v>
      </c>
      <c r="F747" s="3" t="str">
        <f>VLOOKUP(B747,LifeList!$E$2:$G$2038,3)</f>
        <v>Setophaga tigrina</v>
      </c>
      <c r="G747" s="3" t="str">
        <f>VLOOKUP(B747,LifeList!$E$2:$I$2038,4)</f>
        <v>Passeriformes</v>
      </c>
      <c r="H747" s="3" t="str">
        <f>VLOOKUP(B747,LifeList!$E$2:$I$2038,5)</f>
        <v>Parulidae (New World Warblers)</v>
      </c>
      <c r="I747" s="3"/>
    </row>
    <row r="748" spans="1:9" ht="10.5" customHeight="1">
      <c r="A748" s="3" t="s">
        <v>1092</v>
      </c>
      <c r="B748" s="3" t="s">
        <v>1072</v>
      </c>
      <c r="C748" s="3">
        <f>VLOOKUP(B748,LifeList!$E$2:$J$2038,6)</f>
        <v>34060</v>
      </c>
      <c r="D748" s="3" t="str">
        <f>VLOOKUP(B748,LifeList!$E$2:$G$2038,1)</f>
        <v>Cape May Warbler</v>
      </c>
      <c r="E748" s="3" t="str">
        <f>VLOOKUP(B748,LifeList!$E$2:$G$2038,2)</f>
        <v>Paruline tigrée</v>
      </c>
      <c r="F748" s="3" t="str">
        <f>VLOOKUP(B748,LifeList!$E$2:$G$2038,3)</f>
        <v>Setophaga tigrina</v>
      </c>
      <c r="G748" s="3" t="str">
        <f>VLOOKUP(B748,LifeList!$E$2:$I$2038,4)</f>
        <v>Passeriformes</v>
      </c>
      <c r="H748" s="3" t="str">
        <f>VLOOKUP(B748,LifeList!$E$2:$I$2038,5)</f>
        <v>Parulidae (New World Warblers)</v>
      </c>
      <c r="I748" s="3"/>
    </row>
    <row r="749" spans="1:9" ht="10.5" customHeight="1">
      <c r="A749" s="3" t="s">
        <v>1093</v>
      </c>
      <c r="B749" s="3" t="s">
        <v>1094</v>
      </c>
      <c r="C749" s="3">
        <f>VLOOKUP(B749,LifeList!$E$2:$J$2038,6)</f>
        <v>29212</v>
      </c>
      <c r="D749" s="3" t="str">
        <f>VLOOKUP(B749,LifeList!$E$2:$G$2038,1)</f>
        <v>Cape Robin-Chat</v>
      </c>
      <c r="E749" s="3" t="str">
        <f>VLOOKUP(B749,LifeList!$E$2:$G$2038,2)</f>
        <v>Cossyphe du Cap</v>
      </c>
      <c r="F749" s="3" t="str">
        <f>VLOOKUP(B749,LifeList!$E$2:$G$2038,3)</f>
        <v>Dessonornis caffer</v>
      </c>
      <c r="G749" s="3" t="str">
        <f>VLOOKUP(B749,LifeList!$E$2:$I$2038,4)</f>
        <v>Passeriformes</v>
      </c>
      <c r="H749" s="3" t="str">
        <f>VLOOKUP(B749,LifeList!$E$2:$I$2038,5)</f>
        <v>Muscicapidae (Old World Flycatchers)</v>
      </c>
      <c r="I749" s="3"/>
    </row>
    <row r="750" spans="1:9" ht="10.5" customHeight="1">
      <c r="A750" s="3" t="s">
        <v>1095</v>
      </c>
      <c r="B750" s="3" t="s">
        <v>1096</v>
      </c>
      <c r="C750" s="3">
        <f>VLOOKUP(B750,LifeList!$E$2:$J$2038,6)</f>
        <v>29663</v>
      </c>
      <c r="D750" s="3" t="str">
        <f>VLOOKUP(B750,LifeList!$E$2:$G$2038,1)</f>
        <v>Cape Rock-Thrush</v>
      </c>
      <c r="E750" s="3" t="str">
        <f>VLOOKUP(B750,LifeList!$E$2:$G$2038,2)</f>
        <v>Traquet familier</v>
      </c>
      <c r="F750" s="3" t="str">
        <f>VLOOKUP(B750,LifeList!$E$2:$G$2038,3)</f>
        <v>Monticola rupestris</v>
      </c>
      <c r="G750" s="3" t="str">
        <f>VLOOKUP(B750,LifeList!$E$2:$I$2038,4)</f>
        <v>Passeriformes</v>
      </c>
      <c r="H750" s="3" t="str">
        <f>VLOOKUP(B750,LifeList!$E$2:$I$2038,5)</f>
        <v>Muscicapidae (Old World Flycatchers)</v>
      </c>
      <c r="I750" s="3"/>
    </row>
    <row r="751" spans="1:9" ht="10.5" customHeight="1">
      <c r="A751" s="3" t="s">
        <v>1097</v>
      </c>
      <c r="B751" s="3" t="s">
        <v>1098</v>
      </c>
      <c r="C751" s="3">
        <f>VLOOKUP(B751,LifeList!$E$2:$J$2038,6)</f>
        <v>31582</v>
      </c>
      <c r="D751" s="3" t="str">
        <f>VLOOKUP(B751,LifeList!$E$2:$G$2038,1)</f>
        <v>Cape Sparrow</v>
      </c>
      <c r="E751" s="3" t="str">
        <f>VLOOKUP(B751,LifeList!$E$2:$G$2038,2)</f>
        <v>Moineau mélanure</v>
      </c>
      <c r="F751" s="3" t="str">
        <f>VLOOKUP(B751,LifeList!$E$2:$G$2038,3)</f>
        <v>Passer melanurus</v>
      </c>
      <c r="G751" s="3" t="str">
        <f>VLOOKUP(B751,LifeList!$E$2:$I$2038,4)</f>
        <v>Passeriformes</v>
      </c>
      <c r="H751" s="3" t="str">
        <f>VLOOKUP(B751,LifeList!$E$2:$I$2038,5)</f>
        <v>Passeridae (Old World Sparrows)</v>
      </c>
      <c r="I751" s="3"/>
    </row>
    <row r="752" spans="1:9" ht="10.5" customHeight="1">
      <c r="A752" s="3" t="s">
        <v>1099</v>
      </c>
      <c r="B752" s="3" t="s">
        <v>1100</v>
      </c>
      <c r="C752" s="3">
        <f>VLOOKUP(B752,LifeList!$E$2:$J$2038,6)</f>
        <v>27988</v>
      </c>
      <c r="D752" s="3" t="str">
        <f>VLOOKUP(B752,LifeList!$E$2:$G$2038,1)</f>
        <v>Cape Starling</v>
      </c>
      <c r="E752" s="3" t="str">
        <f>VLOOKUP(B752,LifeList!$E$2:$G$2038,2)</f>
        <v>Choucador à épaulettes rouges</v>
      </c>
      <c r="F752" s="3" t="str">
        <f>VLOOKUP(B752,LifeList!$E$2:$G$2038,3)</f>
        <v>Lamprotornis nitens</v>
      </c>
      <c r="G752" s="3" t="str">
        <f>VLOOKUP(B752,LifeList!$E$2:$I$2038,4)</f>
        <v>Passeriformes</v>
      </c>
      <c r="H752" s="3" t="str">
        <f>VLOOKUP(B752,LifeList!$E$2:$I$2038,5)</f>
        <v>Sturnidae (Starlings)</v>
      </c>
      <c r="I752" s="3"/>
    </row>
    <row r="753" spans="1:9" ht="10.5" customHeight="1">
      <c r="A753" s="3" t="s">
        <v>1101</v>
      </c>
      <c r="B753" s="3" t="s">
        <v>1102</v>
      </c>
      <c r="C753" s="3">
        <f>VLOOKUP(B753,LifeList!$E$2:$J$2038,6)</f>
        <v>31668</v>
      </c>
      <c r="D753" s="3" t="str">
        <f>VLOOKUP(B753,LifeList!$E$2:$G$2038,1)</f>
        <v>Cape Wagtail</v>
      </c>
      <c r="E753" s="3" t="str">
        <f>VLOOKUP(B753,LifeList!$E$2:$G$2038,2)</f>
        <v>Bergeronnette du Cap</v>
      </c>
      <c r="F753" s="3" t="str">
        <f>VLOOKUP(B753,LifeList!$E$2:$G$2038,3)</f>
        <v>Motacilla capensis</v>
      </c>
      <c r="G753" s="3" t="str">
        <f>VLOOKUP(B753,LifeList!$E$2:$I$2038,4)</f>
        <v>Passeriformes</v>
      </c>
      <c r="H753" s="3" t="str">
        <f>VLOOKUP(B753,LifeList!$E$2:$I$2038,5)</f>
        <v>Motacillidae (Wagtails and Pipits)</v>
      </c>
      <c r="I753" s="3"/>
    </row>
    <row r="754" spans="1:9" ht="10.5" customHeight="1">
      <c r="A754" s="3" t="s">
        <v>1103</v>
      </c>
      <c r="B754" s="3" t="s">
        <v>1104</v>
      </c>
      <c r="C754" s="3">
        <f>VLOOKUP(B754,LifeList!$E$2:$J$2038,6)</f>
        <v>30796</v>
      </c>
      <c r="D754" s="3" t="str">
        <f>VLOOKUP(B754,LifeList!$E$2:$G$2038,1)</f>
        <v>Cape Weaver</v>
      </c>
      <c r="E754" s="3" t="str">
        <f>VLOOKUP(B754,LifeList!$E$2:$G$2038,2)</f>
        <v>Tisserin du Cap</v>
      </c>
      <c r="F754" s="3" t="str">
        <f>VLOOKUP(B754,LifeList!$E$2:$G$2038,3)</f>
        <v>Ploceus capensis</v>
      </c>
      <c r="G754" s="3" t="str">
        <f>VLOOKUP(B754,LifeList!$E$2:$I$2038,4)</f>
        <v>Passeriformes</v>
      </c>
      <c r="H754" s="3" t="str">
        <f>VLOOKUP(B754,LifeList!$E$2:$I$2038,5)</f>
        <v>Ploceidae (Weavers and Allies)</v>
      </c>
      <c r="I754" s="3"/>
    </row>
    <row r="755" spans="1:9" ht="10.5" customHeight="1">
      <c r="A755" s="3" t="s">
        <v>1105</v>
      </c>
      <c r="B755" s="3" t="s">
        <v>1104</v>
      </c>
      <c r="C755" s="3">
        <f>VLOOKUP(B755,LifeList!$E$2:$J$2038,6)</f>
        <v>30796</v>
      </c>
      <c r="D755" s="3" t="str">
        <f>VLOOKUP(B755,LifeList!$E$2:$G$2038,1)</f>
        <v>Cape Weaver</v>
      </c>
      <c r="E755" s="3" t="str">
        <f>VLOOKUP(B755,LifeList!$E$2:$G$2038,2)</f>
        <v>Tisserin du Cap</v>
      </c>
      <c r="F755" s="3" t="str">
        <f>VLOOKUP(B755,LifeList!$E$2:$G$2038,3)</f>
        <v>Ploceus capensis</v>
      </c>
      <c r="G755" s="3" t="str">
        <f>VLOOKUP(B755,LifeList!$E$2:$I$2038,4)</f>
        <v>Passeriformes</v>
      </c>
      <c r="H755" s="3" t="str">
        <f>VLOOKUP(B755,LifeList!$E$2:$I$2038,5)</f>
        <v>Ploceidae (Weavers and Allies)</v>
      </c>
      <c r="I755" s="3"/>
    </row>
    <row r="756" spans="1:9" ht="10.5" customHeight="1">
      <c r="A756" s="3" t="s">
        <v>1106</v>
      </c>
      <c r="B756" s="3" t="s">
        <v>1104</v>
      </c>
      <c r="C756" s="3">
        <f>VLOOKUP(B756,LifeList!$E$2:$J$2038,6)</f>
        <v>30796</v>
      </c>
      <c r="D756" s="3" t="str">
        <f>VLOOKUP(B756,LifeList!$E$2:$G$2038,1)</f>
        <v>Cape Weaver</v>
      </c>
      <c r="E756" s="3" t="str">
        <f>VLOOKUP(B756,LifeList!$E$2:$G$2038,2)</f>
        <v>Tisserin du Cap</v>
      </c>
      <c r="F756" s="3" t="str">
        <f>VLOOKUP(B756,LifeList!$E$2:$G$2038,3)</f>
        <v>Ploceus capensis</v>
      </c>
      <c r="G756" s="3" t="str">
        <f>VLOOKUP(B756,LifeList!$E$2:$I$2038,4)</f>
        <v>Passeriformes</v>
      </c>
      <c r="H756" s="3" t="str">
        <f>VLOOKUP(B756,LifeList!$E$2:$I$2038,5)</f>
        <v>Ploceidae (Weavers and Allies)</v>
      </c>
      <c r="I756" s="3"/>
    </row>
    <row r="757" spans="1:9" ht="10.5" customHeight="1">
      <c r="A757" s="3" t="s">
        <v>1107</v>
      </c>
      <c r="B757" s="3" t="s">
        <v>1108</v>
      </c>
      <c r="C757" s="3">
        <f>VLOOKUP(B757,LifeList!$E$2:$J$2038,6)</f>
        <v>25703</v>
      </c>
      <c r="D757" s="3" t="str">
        <f>VLOOKUP(B757,LifeList!$E$2:$G$2038,1)</f>
        <v>Cape White-eye</v>
      </c>
      <c r="E757" s="3" t="str">
        <f>VLOOKUP(B757,LifeList!$E$2:$G$2038,2)</f>
        <v>Zostérops du Cap</v>
      </c>
      <c r="F757" s="3" t="str">
        <f>VLOOKUP(B757,LifeList!$E$2:$G$2038,3)</f>
        <v>Zosterops virens</v>
      </c>
      <c r="G757" s="3" t="str">
        <f>VLOOKUP(B757,LifeList!$E$2:$I$2038,4)</f>
        <v>Passeriformes</v>
      </c>
      <c r="H757" s="3" t="str">
        <f>VLOOKUP(B757,LifeList!$E$2:$I$2038,5)</f>
        <v>Zosteropidae (White-eyes, Yuhinas, and Allies)</v>
      </c>
      <c r="I757" s="3"/>
    </row>
    <row r="758" spans="1:9" ht="10.5" customHeight="1">
      <c r="A758" s="3" t="s">
        <v>1109</v>
      </c>
      <c r="B758" s="3" t="s">
        <v>1110</v>
      </c>
      <c r="C758" s="3">
        <f>VLOOKUP(B758,LifeList!$E$2:$J$2038,6)</f>
        <v>35254</v>
      </c>
      <c r="D758" s="3" t="str">
        <f>VLOOKUP(B758,LifeList!$E$2:$G$2038,1)</f>
        <v>Capped Conebill</v>
      </c>
      <c r="E758" s="3" t="str">
        <f>VLOOKUP(B758,LifeList!$E$2:$G$2038,2)</f>
        <v>Conirostre coiffé</v>
      </c>
      <c r="F758" s="3" t="str">
        <f>VLOOKUP(B758,LifeList!$E$2:$G$2038,3)</f>
        <v>Conirostrum albifrons</v>
      </c>
      <c r="G758" s="3" t="str">
        <f>VLOOKUP(B758,LifeList!$E$2:$I$2038,4)</f>
        <v>Passeriformes</v>
      </c>
      <c r="H758" s="3" t="str">
        <f>VLOOKUP(B758,LifeList!$E$2:$I$2038,5)</f>
        <v>Thraupidae (Tanagers and Allies)</v>
      </c>
      <c r="I758" s="3"/>
    </row>
    <row r="759" spans="1:9" ht="10.5" customHeight="1">
      <c r="A759" s="3" t="s">
        <v>1111</v>
      </c>
      <c r="B759" s="3" t="s">
        <v>1110</v>
      </c>
      <c r="C759" s="3">
        <f>VLOOKUP(B759,LifeList!$E$2:$J$2038,6)</f>
        <v>35254</v>
      </c>
      <c r="D759" s="3" t="str">
        <f>VLOOKUP(B759,LifeList!$E$2:$G$2038,1)</f>
        <v>Capped Conebill</v>
      </c>
      <c r="E759" s="3" t="str">
        <f>VLOOKUP(B759,LifeList!$E$2:$G$2038,2)</f>
        <v>Conirostre coiffé</v>
      </c>
      <c r="F759" s="3" t="str">
        <f>VLOOKUP(B759,LifeList!$E$2:$G$2038,3)</f>
        <v>Conirostrum albifrons</v>
      </c>
      <c r="G759" s="3" t="str">
        <f>VLOOKUP(B759,LifeList!$E$2:$I$2038,4)</f>
        <v>Passeriformes</v>
      </c>
      <c r="H759" s="3" t="str">
        <f>VLOOKUP(B759,LifeList!$E$2:$I$2038,5)</f>
        <v>Thraupidae (Tanagers and Allies)</v>
      </c>
      <c r="I759" s="3"/>
    </row>
    <row r="760" spans="1:9" ht="10.5" customHeight="1">
      <c r="A760" s="3" t="s">
        <v>1112</v>
      </c>
      <c r="B760" s="3" t="s">
        <v>1113</v>
      </c>
      <c r="C760" s="3">
        <f>VLOOKUP(B760,LifeList!$E$2:$J$2038,6)</f>
        <v>11289</v>
      </c>
      <c r="D760" s="3" t="str">
        <f>VLOOKUP(B760,LifeList!$E$2:$G$2038,1)</f>
        <v>Cardinal Woodpecker</v>
      </c>
      <c r="E760" s="3" t="str">
        <f>VLOOKUP(B760,LifeList!$E$2:$G$2038,2)</f>
        <v>Pic cardinal</v>
      </c>
      <c r="F760" s="3" t="str">
        <f>VLOOKUP(B760,LifeList!$E$2:$G$2038,3)</f>
        <v>Dendropicos fuscescens</v>
      </c>
      <c r="G760" s="3" t="str">
        <f>VLOOKUP(B760,LifeList!$E$2:$I$2038,4)</f>
        <v>Piciformes</v>
      </c>
      <c r="H760" s="3" t="str">
        <f>VLOOKUP(B760,LifeList!$E$2:$I$2038,5)</f>
        <v>Picidae (Woodpeckers)</v>
      </c>
      <c r="I760" s="3"/>
    </row>
    <row r="761" spans="1:9" ht="10.5" customHeight="1">
      <c r="A761" s="3" t="s">
        <v>1114</v>
      </c>
      <c r="B761" s="3" t="s">
        <v>1115</v>
      </c>
      <c r="C761" s="3">
        <f>VLOOKUP(B761,LifeList!$E$2:$J$2038,6)</f>
        <v>33889</v>
      </c>
      <c r="D761" s="3" t="str">
        <f>VLOOKUP(B761,LifeList!$E$2:$G$2038,1)</f>
        <v>Carib Grackle</v>
      </c>
      <c r="E761" s="3" t="str">
        <f>VLOOKUP(B761,LifeList!$E$2:$G$2038,2)</f>
        <v>Quiscale merle</v>
      </c>
      <c r="F761" s="3" t="str">
        <f>VLOOKUP(B761,LifeList!$E$2:$G$2038,3)</f>
        <v>Quiscalus lugubris</v>
      </c>
      <c r="G761" s="3" t="str">
        <f>VLOOKUP(B761,LifeList!$E$2:$I$2038,4)</f>
        <v>Passeriformes</v>
      </c>
      <c r="H761" s="3" t="str">
        <f>VLOOKUP(B761,LifeList!$E$2:$I$2038,5)</f>
        <v>Icteridae (Troupials and Allies)</v>
      </c>
      <c r="I761" s="3"/>
    </row>
    <row r="762" spans="1:9" ht="10.5" customHeight="1">
      <c r="A762" s="3" t="s">
        <v>1116</v>
      </c>
      <c r="B762" s="3" t="s">
        <v>1115</v>
      </c>
      <c r="C762" s="3">
        <f>VLOOKUP(B762,LifeList!$E$2:$J$2038,6)</f>
        <v>33889</v>
      </c>
      <c r="D762" s="3" t="str">
        <f>VLOOKUP(B762,LifeList!$E$2:$G$2038,1)</f>
        <v>Carib Grackle</v>
      </c>
      <c r="E762" s="3" t="str">
        <f>VLOOKUP(B762,LifeList!$E$2:$G$2038,2)</f>
        <v>Quiscale merle</v>
      </c>
      <c r="F762" s="3" t="str">
        <f>VLOOKUP(B762,LifeList!$E$2:$G$2038,3)</f>
        <v>Quiscalus lugubris</v>
      </c>
      <c r="G762" s="3" t="str">
        <f>VLOOKUP(B762,LifeList!$E$2:$I$2038,4)</f>
        <v>Passeriformes</v>
      </c>
      <c r="H762" s="3" t="str">
        <f>VLOOKUP(B762,LifeList!$E$2:$I$2038,5)</f>
        <v>Icteridae (Troupials and Allies)</v>
      </c>
      <c r="I762" s="3"/>
    </row>
    <row r="763" spans="1:9" ht="10.5" customHeight="1">
      <c r="A763" s="3" t="s">
        <v>1117</v>
      </c>
      <c r="B763" s="3" t="s">
        <v>1118</v>
      </c>
      <c r="C763" s="3">
        <f>VLOOKUP(B763,LifeList!$E$2:$J$2038,6)</f>
        <v>15037</v>
      </c>
      <c r="D763" s="3" t="str">
        <f>VLOOKUP(B763,LifeList!$E$2:$G$2038,1)</f>
        <v>Caribbean Hornero</v>
      </c>
      <c r="E763" s="3" t="str">
        <f>VLOOKUP(B763,LifeList!$E$2:$G$2038,2)</f>
        <v>Fournier du Venezuela</v>
      </c>
      <c r="F763" s="3" t="str">
        <f>VLOOKUP(B763,LifeList!$E$2:$G$2038,3)</f>
        <v>Furnarius longirostris</v>
      </c>
      <c r="G763" s="3" t="str">
        <f>VLOOKUP(B763,LifeList!$E$2:$I$2038,4)</f>
        <v>Passeriformes</v>
      </c>
      <c r="H763" s="3" t="str">
        <f>VLOOKUP(B763,LifeList!$E$2:$I$2038,5)</f>
        <v>Furnariidae (Ovenbirds and Woodcreepers)</v>
      </c>
      <c r="I763" s="3"/>
    </row>
    <row r="764" spans="1:9" ht="10.5" customHeight="1">
      <c r="A764" s="3" t="s">
        <v>1119</v>
      </c>
      <c r="B764" s="3" t="s">
        <v>1118</v>
      </c>
      <c r="C764" s="3">
        <f>VLOOKUP(B764,LifeList!$E$2:$J$2038,6)</f>
        <v>15037</v>
      </c>
      <c r="D764" s="3" t="str">
        <f>VLOOKUP(B764,LifeList!$E$2:$G$2038,1)</f>
        <v>Caribbean Hornero</v>
      </c>
      <c r="E764" s="3" t="str">
        <f>VLOOKUP(B764,LifeList!$E$2:$G$2038,2)</f>
        <v>Fournier du Venezuela</v>
      </c>
      <c r="F764" s="3" t="str">
        <f>VLOOKUP(B764,LifeList!$E$2:$G$2038,3)</f>
        <v>Furnarius longirostris</v>
      </c>
      <c r="G764" s="3" t="str">
        <f>VLOOKUP(B764,LifeList!$E$2:$I$2038,4)</f>
        <v>Passeriformes</v>
      </c>
      <c r="H764" s="3" t="str">
        <f>VLOOKUP(B764,LifeList!$E$2:$I$2038,5)</f>
        <v>Furnariidae (Ovenbirds and Woodcreepers)</v>
      </c>
      <c r="I764" s="3"/>
    </row>
    <row r="765" spans="1:9" ht="10.5" customHeight="1">
      <c r="A765" s="3" t="s">
        <v>1120</v>
      </c>
      <c r="B765" s="3" t="s">
        <v>1121</v>
      </c>
      <c r="C765" s="3">
        <f>VLOOKUP(B765,LifeList!$E$2:$J$2038,6)</f>
        <v>27348</v>
      </c>
      <c r="D765" s="3" t="str">
        <f>VLOOKUP(B765,LifeList!$E$2:$G$2038,1)</f>
        <v>Carolina Wren</v>
      </c>
      <c r="E765" s="3" t="str">
        <f>VLOOKUP(B765,LifeList!$E$2:$G$2038,2)</f>
        <v>Troglodyte de Caroline</v>
      </c>
      <c r="F765" s="3" t="str">
        <f>VLOOKUP(B765,LifeList!$E$2:$G$2038,3)</f>
        <v>Thryothorus ludovicianus</v>
      </c>
      <c r="G765" s="3" t="str">
        <f>VLOOKUP(B765,LifeList!$E$2:$I$2038,4)</f>
        <v>Passeriformes</v>
      </c>
      <c r="H765" s="3" t="str">
        <f>VLOOKUP(B765,LifeList!$E$2:$I$2038,5)</f>
        <v>Troglodytidae (Wrens)</v>
      </c>
      <c r="I765" s="3"/>
    </row>
    <row r="766" spans="1:9" ht="10.5" customHeight="1">
      <c r="A766" s="3" t="s">
        <v>1122</v>
      </c>
      <c r="B766" s="3" t="s">
        <v>1121</v>
      </c>
      <c r="C766" s="3">
        <f>VLOOKUP(B766,LifeList!$E$2:$J$2038,6)</f>
        <v>27348</v>
      </c>
      <c r="D766" s="3" t="str">
        <f>VLOOKUP(B766,LifeList!$E$2:$G$2038,1)</f>
        <v>Carolina Wren</v>
      </c>
      <c r="E766" s="3" t="str">
        <f>VLOOKUP(B766,LifeList!$E$2:$G$2038,2)</f>
        <v>Troglodyte de Caroline</v>
      </c>
      <c r="F766" s="3" t="str">
        <f>VLOOKUP(B766,LifeList!$E$2:$G$2038,3)</f>
        <v>Thryothorus ludovicianus</v>
      </c>
      <c r="G766" s="3" t="str">
        <f>VLOOKUP(B766,LifeList!$E$2:$I$2038,4)</f>
        <v>Passeriformes</v>
      </c>
      <c r="H766" s="3" t="str">
        <f>VLOOKUP(B766,LifeList!$E$2:$I$2038,5)</f>
        <v>Troglodytidae (Wrens)</v>
      </c>
      <c r="I766" s="3"/>
    </row>
    <row r="767" spans="1:9" ht="10.5" customHeight="1">
      <c r="A767" s="3" t="s">
        <v>1123</v>
      </c>
      <c r="B767" s="3" t="s">
        <v>1121</v>
      </c>
      <c r="C767" s="3">
        <f>VLOOKUP(B767,LifeList!$E$2:$J$2038,6)</f>
        <v>27348</v>
      </c>
      <c r="D767" s="3" t="str">
        <f>VLOOKUP(B767,LifeList!$E$2:$G$2038,1)</f>
        <v>Carolina Wren</v>
      </c>
      <c r="E767" s="3" t="str">
        <f>VLOOKUP(B767,LifeList!$E$2:$G$2038,2)</f>
        <v>Troglodyte de Caroline</v>
      </c>
      <c r="F767" s="3" t="str">
        <f>VLOOKUP(B767,LifeList!$E$2:$G$2038,3)</f>
        <v>Thryothorus ludovicianus</v>
      </c>
      <c r="G767" s="3" t="str">
        <f>VLOOKUP(B767,LifeList!$E$2:$I$2038,4)</f>
        <v>Passeriformes</v>
      </c>
      <c r="H767" s="3" t="str">
        <f>VLOOKUP(B767,LifeList!$E$2:$I$2038,5)</f>
        <v>Troglodytidae (Wrens)</v>
      </c>
      <c r="I767" s="3"/>
    </row>
    <row r="768" spans="1:9" ht="10.5" customHeight="1">
      <c r="A768" s="3" t="s">
        <v>1124</v>
      </c>
      <c r="B768" s="3" t="s">
        <v>1121</v>
      </c>
      <c r="C768" s="3">
        <f>VLOOKUP(B768,LifeList!$E$2:$J$2038,6)</f>
        <v>27348</v>
      </c>
      <c r="D768" s="3" t="str">
        <f>VLOOKUP(B768,LifeList!$E$2:$G$2038,1)</f>
        <v>Carolina Wren</v>
      </c>
      <c r="E768" s="3" t="str">
        <f>VLOOKUP(B768,LifeList!$E$2:$G$2038,2)</f>
        <v>Troglodyte de Caroline</v>
      </c>
      <c r="F768" s="3" t="str">
        <f>VLOOKUP(B768,LifeList!$E$2:$G$2038,3)</f>
        <v>Thryothorus ludovicianus</v>
      </c>
      <c r="G768" s="3" t="str">
        <f>VLOOKUP(B768,LifeList!$E$2:$I$2038,4)</f>
        <v>Passeriformes</v>
      </c>
      <c r="H768" s="3" t="str">
        <f>VLOOKUP(B768,LifeList!$E$2:$I$2038,5)</f>
        <v>Troglodytidae (Wrens)</v>
      </c>
      <c r="I768" s="3"/>
    </row>
    <row r="769" spans="1:9" ht="10.5" customHeight="1">
      <c r="A769" s="3" t="s">
        <v>1125</v>
      </c>
      <c r="B769" s="3" t="s">
        <v>1121</v>
      </c>
      <c r="C769" s="3">
        <f>VLOOKUP(B769,LifeList!$E$2:$J$2038,6)</f>
        <v>27348</v>
      </c>
      <c r="D769" s="3" t="str">
        <f>VLOOKUP(B769,LifeList!$E$2:$G$2038,1)</f>
        <v>Carolina Wren</v>
      </c>
      <c r="E769" s="3" t="str">
        <f>VLOOKUP(B769,LifeList!$E$2:$G$2038,2)</f>
        <v>Troglodyte de Caroline</v>
      </c>
      <c r="F769" s="3" t="str">
        <f>VLOOKUP(B769,LifeList!$E$2:$G$2038,3)</f>
        <v>Thryothorus ludovicianus</v>
      </c>
      <c r="G769" s="3" t="str">
        <f>VLOOKUP(B769,LifeList!$E$2:$I$2038,4)</f>
        <v>Passeriformes</v>
      </c>
      <c r="H769" s="3" t="str">
        <f>VLOOKUP(B769,LifeList!$E$2:$I$2038,5)</f>
        <v>Troglodytidae (Wrens)</v>
      </c>
      <c r="I769" s="3"/>
    </row>
    <row r="770" spans="1:9" ht="10.5" customHeight="1">
      <c r="A770" s="3" t="s">
        <v>1126</v>
      </c>
      <c r="B770" s="3" t="s">
        <v>1127</v>
      </c>
      <c r="C770" s="3">
        <f>VLOOKUP(B770,LifeList!$E$2:$J$2038,6)</f>
        <v>11973</v>
      </c>
      <c r="D770" s="3" t="str">
        <f>VLOOKUP(B770,LifeList!$E$2:$G$2038,1)</f>
        <v>Carunculated Caracara</v>
      </c>
      <c r="E770" s="3" t="str">
        <f>VLOOKUP(B770,LifeList!$E$2:$G$2038,2)</f>
        <v>Caracara caronculé</v>
      </c>
      <c r="F770" s="3" t="str">
        <f>VLOOKUP(B770,LifeList!$E$2:$G$2038,3)</f>
        <v>Daptrius carunculatus</v>
      </c>
      <c r="G770" s="3" t="str">
        <f>VLOOKUP(B770,LifeList!$E$2:$I$2038,4)</f>
        <v>Falconiformes</v>
      </c>
      <c r="H770" s="3" t="str">
        <f>VLOOKUP(B770,LifeList!$E$2:$I$2038,5)</f>
        <v>Falconidae (Falcons and Caracaras)</v>
      </c>
      <c r="I770" s="3"/>
    </row>
    <row r="771" spans="1:9" ht="10.5" customHeight="1">
      <c r="A771" s="3" t="s">
        <v>1128</v>
      </c>
      <c r="B771" s="3" t="s">
        <v>1127</v>
      </c>
      <c r="C771" s="3">
        <f>VLOOKUP(B771,LifeList!$E$2:$J$2038,6)</f>
        <v>11973</v>
      </c>
      <c r="D771" s="3" t="str">
        <f>VLOOKUP(B771,LifeList!$E$2:$G$2038,1)</f>
        <v>Carunculated Caracara</v>
      </c>
      <c r="E771" s="3" t="str">
        <f>VLOOKUP(B771,LifeList!$E$2:$G$2038,2)</f>
        <v>Caracara caronculé</v>
      </c>
      <c r="F771" s="3" t="str">
        <f>VLOOKUP(B771,LifeList!$E$2:$G$2038,3)</f>
        <v>Daptrius carunculatus</v>
      </c>
      <c r="G771" s="3" t="str">
        <f>VLOOKUP(B771,LifeList!$E$2:$I$2038,4)</f>
        <v>Falconiformes</v>
      </c>
      <c r="H771" s="3" t="str">
        <f>VLOOKUP(B771,LifeList!$E$2:$I$2038,5)</f>
        <v>Falconidae (Falcons and Caracaras)</v>
      </c>
      <c r="I771" s="3"/>
    </row>
    <row r="772" spans="1:9" ht="10.5" customHeight="1">
      <c r="A772" s="3" t="s">
        <v>1129</v>
      </c>
      <c r="B772" s="3" t="s">
        <v>1130</v>
      </c>
      <c r="C772" s="3">
        <f>VLOOKUP(B772,LifeList!$E$2:$J$2038,6)</f>
        <v>6718</v>
      </c>
      <c r="D772" s="3" t="str">
        <f>VLOOKUP(B772,LifeList!$E$2:$G$2038,1)</f>
        <v>Caspian Tern</v>
      </c>
      <c r="E772" s="3" t="str">
        <f>VLOOKUP(B772,LifeList!$E$2:$G$2038,2)</f>
        <v>Sterne caspienne</v>
      </c>
      <c r="F772" s="3" t="str">
        <f>VLOOKUP(B772,LifeList!$E$2:$G$2038,3)</f>
        <v>Hydroprogne caspia</v>
      </c>
      <c r="G772" s="3" t="str">
        <f>VLOOKUP(B772,LifeList!$E$2:$I$2038,4)</f>
        <v>Charadriiformes</v>
      </c>
      <c r="H772" s="3" t="str">
        <f>VLOOKUP(B772,LifeList!$E$2:$I$2038,5)</f>
        <v>Laridae (Gulls, Terns, and Skimmers)</v>
      </c>
      <c r="I772" s="3"/>
    </row>
    <row r="773" spans="1:9" ht="10.5" customHeight="1">
      <c r="A773" s="3" t="s">
        <v>1131</v>
      </c>
      <c r="B773" s="3" t="s">
        <v>1130</v>
      </c>
      <c r="C773" s="3">
        <f>VLOOKUP(B773,LifeList!$E$2:$J$2038,6)</f>
        <v>6718</v>
      </c>
      <c r="D773" s="3" t="str">
        <f>VLOOKUP(B773,LifeList!$E$2:$G$2038,1)</f>
        <v>Caspian Tern</v>
      </c>
      <c r="E773" s="3" t="str">
        <f>VLOOKUP(B773,LifeList!$E$2:$G$2038,2)</f>
        <v>Sterne caspienne</v>
      </c>
      <c r="F773" s="3" t="str">
        <f>VLOOKUP(B773,LifeList!$E$2:$G$2038,3)</f>
        <v>Hydroprogne caspia</v>
      </c>
      <c r="G773" s="3" t="str">
        <f>VLOOKUP(B773,LifeList!$E$2:$I$2038,4)</f>
        <v>Charadriiformes</v>
      </c>
      <c r="H773" s="3" t="str">
        <f>VLOOKUP(B773,LifeList!$E$2:$I$2038,5)</f>
        <v>Laridae (Gulls, Terns, and Skimmers)</v>
      </c>
      <c r="I773" s="3"/>
    </row>
    <row r="774" spans="1:9" ht="10.5" customHeight="1">
      <c r="A774" s="3" t="s">
        <v>1132</v>
      </c>
      <c r="B774" s="3" t="s">
        <v>1130</v>
      </c>
      <c r="C774" s="3">
        <f>VLOOKUP(B774,LifeList!$E$2:$J$2038,6)</f>
        <v>6718</v>
      </c>
      <c r="D774" s="3" t="str">
        <f>VLOOKUP(B774,LifeList!$E$2:$G$2038,1)</f>
        <v>Caspian Tern</v>
      </c>
      <c r="E774" s="3" t="str">
        <f>VLOOKUP(B774,LifeList!$E$2:$G$2038,2)</f>
        <v>Sterne caspienne</v>
      </c>
      <c r="F774" s="3" t="str">
        <f>VLOOKUP(B774,LifeList!$E$2:$G$2038,3)</f>
        <v>Hydroprogne caspia</v>
      </c>
      <c r="G774" s="3" t="str">
        <f>VLOOKUP(B774,LifeList!$E$2:$I$2038,4)</f>
        <v>Charadriiformes</v>
      </c>
      <c r="H774" s="3" t="str">
        <f>VLOOKUP(B774,LifeList!$E$2:$I$2038,5)</f>
        <v>Laridae (Gulls, Terns, and Skimmers)</v>
      </c>
      <c r="I774" s="3"/>
    </row>
    <row r="775" spans="1:9" ht="10.5" customHeight="1">
      <c r="A775" s="3" t="s">
        <v>1133</v>
      </c>
      <c r="B775" s="3" t="s">
        <v>1130</v>
      </c>
      <c r="C775" s="3">
        <f>VLOOKUP(B775,LifeList!$E$2:$J$2038,6)</f>
        <v>6718</v>
      </c>
      <c r="D775" s="3" t="str">
        <f>VLOOKUP(B775,LifeList!$E$2:$G$2038,1)</f>
        <v>Caspian Tern</v>
      </c>
      <c r="E775" s="3" t="str">
        <f>VLOOKUP(B775,LifeList!$E$2:$G$2038,2)</f>
        <v>Sterne caspienne</v>
      </c>
      <c r="F775" s="3" t="str">
        <f>VLOOKUP(B775,LifeList!$E$2:$G$2038,3)</f>
        <v>Hydroprogne caspia</v>
      </c>
      <c r="G775" s="3" t="str">
        <f>VLOOKUP(B775,LifeList!$E$2:$I$2038,4)</f>
        <v>Charadriiformes</v>
      </c>
      <c r="H775" s="3" t="str">
        <f>VLOOKUP(B775,LifeList!$E$2:$I$2038,5)</f>
        <v>Laridae (Gulls, Terns, and Skimmers)</v>
      </c>
      <c r="I775" s="3"/>
    </row>
    <row r="776" spans="1:9" ht="10.5" customHeight="1">
      <c r="A776" s="3" t="s">
        <v>1134</v>
      </c>
      <c r="B776" s="3" t="s">
        <v>1135</v>
      </c>
      <c r="C776" s="3">
        <f>VLOOKUP(B776,LifeList!$E$2:$J$2038,6)</f>
        <v>17361</v>
      </c>
      <c r="D776" s="3" t="str">
        <f>VLOOKUP(B776,LifeList!$E$2:$G$2038,1)</f>
        <v>Cattle Tyrant</v>
      </c>
      <c r="E776" s="3" t="str">
        <f>VLOOKUP(B776,LifeList!$E$2:$G$2038,2)</f>
        <v>Tyran querelleur</v>
      </c>
      <c r="F776" s="3" t="str">
        <f>VLOOKUP(B776,LifeList!$E$2:$G$2038,3)</f>
        <v>Machetornis rixosa</v>
      </c>
      <c r="G776" s="3" t="str">
        <f>VLOOKUP(B776,LifeList!$E$2:$I$2038,4)</f>
        <v>Passeriformes</v>
      </c>
      <c r="H776" s="3" t="str">
        <f>VLOOKUP(B776,LifeList!$E$2:$I$2038,5)</f>
        <v>Tyrannidae (Tyrant Flycatchers)</v>
      </c>
      <c r="I776" s="3"/>
    </row>
    <row r="777" spans="1:9" ht="10.5" customHeight="1">
      <c r="A777" s="3" t="s">
        <v>1136</v>
      </c>
      <c r="B777" s="3" t="s">
        <v>1135</v>
      </c>
      <c r="C777" s="3">
        <f>VLOOKUP(B777,LifeList!$E$2:$J$2038,6)</f>
        <v>17361</v>
      </c>
      <c r="D777" s="3" t="str">
        <f>VLOOKUP(B777,LifeList!$E$2:$G$2038,1)</f>
        <v>Cattle Tyrant</v>
      </c>
      <c r="E777" s="3" t="str">
        <f>VLOOKUP(B777,LifeList!$E$2:$G$2038,2)</f>
        <v>Tyran querelleur</v>
      </c>
      <c r="F777" s="3" t="str">
        <f>VLOOKUP(B777,LifeList!$E$2:$G$2038,3)</f>
        <v>Machetornis rixosa</v>
      </c>
      <c r="G777" s="3" t="str">
        <f>VLOOKUP(B777,LifeList!$E$2:$I$2038,4)</f>
        <v>Passeriformes</v>
      </c>
      <c r="H777" s="3" t="str">
        <f>VLOOKUP(B777,LifeList!$E$2:$I$2038,5)</f>
        <v>Tyrannidae (Tyrant Flycatchers)</v>
      </c>
      <c r="I777" s="3"/>
    </row>
    <row r="778" spans="1:9" ht="10.5" customHeight="1">
      <c r="A778" s="3" t="s">
        <v>1137</v>
      </c>
      <c r="B778" s="3" t="s">
        <v>1135</v>
      </c>
      <c r="C778" s="3">
        <f>VLOOKUP(B778,LifeList!$E$2:$J$2038,6)</f>
        <v>17361</v>
      </c>
      <c r="D778" s="3" t="str">
        <f>VLOOKUP(B778,LifeList!$E$2:$G$2038,1)</f>
        <v>Cattle Tyrant</v>
      </c>
      <c r="E778" s="3" t="str">
        <f>VLOOKUP(B778,LifeList!$E$2:$G$2038,2)</f>
        <v>Tyran querelleur</v>
      </c>
      <c r="F778" s="3" t="str">
        <f>VLOOKUP(B778,LifeList!$E$2:$G$2038,3)</f>
        <v>Machetornis rixosa</v>
      </c>
      <c r="G778" s="3" t="str">
        <f>VLOOKUP(B778,LifeList!$E$2:$I$2038,4)</f>
        <v>Passeriformes</v>
      </c>
      <c r="H778" s="3" t="str">
        <f>VLOOKUP(B778,LifeList!$E$2:$I$2038,5)</f>
        <v>Tyrannidae (Tyrant Flycatchers)</v>
      </c>
      <c r="I778" s="3"/>
    </row>
    <row r="779" spans="1:9" ht="10.5" customHeight="1">
      <c r="A779" s="3" t="s">
        <v>1138</v>
      </c>
      <c r="B779" s="3" t="s">
        <v>1135</v>
      </c>
      <c r="C779" s="3">
        <f>VLOOKUP(B779,LifeList!$E$2:$J$2038,6)</f>
        <v>17361</v>
      </c>
      <c r="D779" s="3" t="str">
        <f>VLOOKUP(B779,LifeList!$E$2:$G$2038,1)</f>
        <v>Cattle Tyrant</v>
      </c>
      <c r="E779" s="3" t="str">
        <f>VLOOKUP(B779,LifeList!$E$2:$G$2038,2)</f>
        <v>Tyran querelleur</v>
      </c>
      <c r="F779" s="3" t="str">
        <f>VLOOKUP(B779,LifeList!$E$2:$G$2038,3)</f>
        <v>Machetornis rixosa</v>
      </c>
      <c r="G779" s="3" t="str">
        <f>VLOOKUP(B779,LifeList!$E$2:$I$2038,4)</f>
        <v>Passeriformes</v>
      </c>
      <c r="H779" s="3" t="str">
        <f>VLOOKUP(B779,LifeList!$E$2:$I$2038,5)</f>
        <v>Tyrannidae (Tyrant Flycatchers)</v>
      </c>
      <c r="I779" s="3"/>
    </row>
    <row r="780" spans="1:9" ht="10.5" customHeight="1">
      <c r="A780" s="3" t="s">
        <v>1139</v>
      </c>
      <c r="B780" s="3" t="s">
        <v>1140</v>
      </c>
      <c r="C780" s="3">
        <f>VLOOKUP(B780,LifeList!$E$2:$J$2038,6)</f>
        <v>29888</v>
      </c>
      <c r="D780" s="3" t="str">
        <f>VLOOKUP(B780,LifeList!$E$2:$G$2038,1)</f>
        <v>Cedar Waxwing</v>
      </c>
      <c r="E780" s="3" t="str">
        <f>VLOOKUP(B780,LifeList!$E$2:$G$2038,2)</f>
        <v>Jaseur d'Amérique</v>
      </c>
      <c r="F780" s="3" t="str">
        <f>VLOOKUP(B780,LifeList!$E$2:$G$2038,3)</f>
        <v>Bombycilla cedrorum</v>
      </c>
      <c r="G780" s="3" t="str">
        <f>VLOOKUP(B780,LifeList!$E$2:$I$2038,4)</f>
        <v>Passeriformes</v>
      </c>
      <c r="H780" s="3" t="str">
        <f>VLOOKUP(B780,LifeList!$E$2:$I$2038,5)</f>
        <v>Bombycillidae (Waxwings)</v>
      </c>
      <c r="I780" s="3"/>
    </row>
    <row r="781" spans="1:9" ht="10.5" customHeight="1">
      <c r="A781" s="3" t="s">
        <v>1141</v>
      </c>
      <c r="B781" s="3" t="s">
        <v>1140</v>
      </c>
      <c r="C781" s="3">
        <f>VLOOKUP(B781,LifeList!$E$2:$J$2038,6)</f>
        <v>29888</v>
      </c>
      <c r="D781" s="3" t="str">
        <f>VLOOKUP(B781,LifeList!$E$2:$G$2038,1)</f>
        <v>Cedar Waxwing</v>
      </c>
      <c r="E781" s="3" t="str">
        <f>VLOOKUP(B781,LifeList!$E$2:$G$2038,2)</f>
        <v>Jaseur d'Amérique</v>
      </c>
      <c r="F781" s="3" t="str">
        <f>VLOOKUP(B781,LifeList!$E$2:$G$2038,3)</f>
        <v>Bombycilla cedrorum</v>
      </c>
      <c r="G781" s="3" t="str">
        <f>VLOOKUP(B781,LifeList!$E$2:$I$2038,4)</f>
        <v>Passeriformes</v>
      </c>
      <c r="H781" s="3" t="str">
        <f>VLOOKUP(B781,LifeList!$E$2:$I$2038,5)</f>
        <v>Bombycillidae (Waxwings)</v>
      </c>
      <c r="I781" s="3"/>
    </row>
    <row r="782" spans="1:9" ht="10.5" customHeight="1">
      <c r="A782" s="3" t="s">
        <v>1142</v>
      </c>
      <c r="B782" s="3" t="s">
        <v>1140</v>
      </c>
      <c r="C782" s="3">
        <f>VLOOKUP(B782,LifeList!$E$2:$J$2038,6)</f>
        <v>29888</v>
      </c>
      <c r="D782" s="3" t="str">
        <f>VLOOKUP(B782,LifeList!$E$2:$G$2038,1)</f>
        <v>Cedar Waxwing</v>
      </c>
      <c r="E782" s="3" t="str">
        <f>VLOOKUP(B782,LifeList!$E$2:$G$2038,2)</f>
        <v>Jaseur d'Amérique</v>
      </c>
      <c r="F782" s="3" t="str">
        <f>VLOOKUP(B782,LifeList!$E$2:$G$2038,3)</f>
        <v>Bombycilla cedrorum</v>
      </c>
      <c r="G782" s="3" t="str">
        <f>VLOOKUP(B782,LifeList!$E$2:$I$2038,4)</f>
        <v>Passeriformes</v>
      </c>
      <c r="H782" s="3" t="str">
        <f>VLOOKUP(B782,LifeList!$E$2:$I$2038,5)</f>
        <v>Bombycillidae (Waxwings)</v>
      </c>
      <c r="I782" s="3"/>
    </row>
    <row r="783" spans="1:9" ht="10.5" customHeight="1">
      <c r="A783" s="3" t="s">
        <v>1143</v>
      </c>
      <c r="B783" s="3" t="s">
        <v>1140</v>
      </c>
      <c r="C783" s="3">
        <f>VLOOKUP(B783,LifeList!$E$2:$J$2038,6)</f>
        <v>29888</v>
      </c>
      <c r="D783" s="3" t="str">
        <f>VLOOKUP(B783,LifeList!$E$2:$G$2038,1)</f>
        <v>Cedar Waxwing</v>
      </c>
      <c r="E783" s="3" t="str">
        <f>VLOOKUP(B783,LifeList!$E$2:$G$2038,2)</f>
        <v>Jaseur d'Amérique</v>
      </c>
      <c r="F783" s="3" t="str">
        <f>VLOOKUP(B783,LifeList!$E$2:$G$2038,3)</f>
        <v>Bombycilla cedrorum</v>
      </c>
      <c r="G783" s="3" t="str">
        <f>VLOOKUP(B783,LifeList!$E$2:$I$2038,4)</f>
        <v>Passeriformes</v>
      </c>
      <c r="H783" s="3" t="str">
        <f>VLOOKUP(B783,LifeList!$E$2:$I$2038,5)</f>
        <v>Bombycillidae (Waxwings)</v>
      </c>
      <c r="I783" s="3"/>
    </row>
    <row r="784" spans="1:9" ht="10.5" customHeight="1">
      <c r="A784" s="3" t="s">
        <v>1144</v>
      </c>
      <c r="B784" s="3" t="s">
        <v>1140</v>
      </c>
      <c r="C784" s="3">
        <f>VLOOKUP(B784,LifeList!$E$2:$J$2038,6)</f>
        <v>29888</v>
      </c>
      <c r="D784" s="3" t="str">
        <f>VLOOKUP(B784,LifeList!$E$2:$G$2038,1)</f>
        <v>Cedar Waxwing</v>
      </c>
      <c r="E784" s="3" t="str">
        <f>VLOOKUP(B784,LifeList!$E$2:$G$2038,2)</f>
        <v>Jaseur d'Amérique</v>
      </c>
      <c r="F784" s="3" t="str">
        <f>VLOOKUP(B784,LifeList!$E$2:$G$2038,3)</f>
        <v>Bombycilla cedrorum</v>
      </c>
      <c r="G784" s="3" t="str">
        <f>VLOOKUP(B784,LifeList!$E$2:$I$2038,4)</f>
        <v>Passeriformes</v>
      </c>
      <c r="H784" s="3" t="str">
        <f>VLOOKUP(B784,LifeList!$E$2:$I$2038,5)</f>
        <v>Bombycillidae (Waxwings)</v>
      </c>
      <c r="I784" s="3"/>
    </row>
    <row r="785" spans="1:9" ht="10.5" customHeight="1">
      <c r="A785" s="3" t="s">
        <v>1145</v>
      </c>
      <c r="B785" s="3" t="s">
        <v>1140</v>
      </c>
      <c r="C785" s="3">
        <f>VLOOKUP(B785,LifeList!$E$2:$J$2038,6)</f>
        <v>29888</v>
      </c>
      <c r="D785" s="3" t="str">
        <f>VLOOKUP(B785,LifeList!$E$2:$G$2038,1)</f>
        <v>Cedar Waxwing</v>
      </c>
      <c r="E785" s="3" t="str">
        <f>VLOOKUP(B785,LifeList!$E$2:$G$2038,2)</f>
        <v>Jaseur d'Amérique</v>
      </c>
      <c r="F785" s="3" t="str">
        <f>VLOOKUP(B785,LifeList!$E$2:$G$2038,3)</f>
        <v>Bombycilla cedrorum</v>
      </c>
      <c r="G785" s="3" t="str">
        <f>VLOOKUP(B785,LifeList!$E$2:$I$2038,4)</f>
        <v>Passeriformes</v>
      </c>
      <c r="H785" s="3" t="str">
        <f>VLOOKUP(B785,LifeList!$E$2:$I$2038,5)</f>
        <v>Bombycillidae (Waxwings)</v>
      </c>
      <c r="I785" s="3"/>
    </row>
    <row r="786" spans="1:9" ht="10.5" customHeight="1">
      <c r="A786" s="3" t="s">
        <v>1146</v>
      </c>
      <c r="B786" s="3" t="s">
        <v>1147</v>
      </c>
      <c r="C786" s="3">
        <f>VLOOKUP(B786,LifeList!$E$2:$J$2038,6)</f>
        <v>34061</v>
      </c>
      <c r="D786" s="3" t="str">
        <f>VLOOKUP(B786,LifeList!$E$2:$G$2038,1)</f>
        <v>Cerulean Warbler</v>
      </c>
      <c r="E786" s="3" t="str">
        <f>VLOOKUP(B786,LifeList!$E$2:$G$2038,2)</f>
        <v>Paruline azurée</v>
      </c>
      <c r="F786" s="3" t="str">
        <f>VLOOKUP(B786,LifeList!$E$2:$G$2038,3)</f>
        <v>Setophaga cerulea</v>
      </c>
      <c r="G786" s="3" t="str">
        <f>VLOOKUP(B786,LifeList!$E$2:$I$2038,4)</f>
        <v>Passeriformes</v>
      </c>
      <c r="H786" s="3" t="str">
        <f>VLOOKUP(B786,LifeList!$E$2:$I$2038,5)</f>
        <v>Parulidae (New World Warblers)</v>
      </c>
      <c r="I786" s="3"/>
    </row>
    <row r="787" spans="1:9" ht="10.5" customHeight="1">
      <c r="A787" s="3" t="s">
        <v>1148</v>
      </c>
      <c r="B787" s="3" t="s">
        <v>1147</v>
      </c>
      <c r="C787" s="3">
        <f>VLOOKUP(B787,LifeList!$E$2:$J$2038,6)</f>
        <v>34061</v>
      </c>
      <c r="D787" s="3" t="str">
        <f>VLOOKUP(B787,LifeList!$E$2:$G$2038,1)</f>
        <v>Cerulean Warbler</v>
      </c>
      <c r="E787" s="3" t="str">
        <f>VLOOKUP(B787,LifeList!$E$2:$G$2038,2)</f>
        <v>Paruline azurée</v>
      </c>
      <c r="F787" s="3" t="str">
        <f>VLOOKUP(B787,LifeList!$E$2:$G$2038,3)</f>
        <v>Setophaga cerulea</v>
      </c>
      <c r="G787" s="3" t="str">
        <f>VLOOKUP(B787,LifeList!$E$2:$I$2038,4)</f>
        <v>Passeriformes</v>
      </c>
      <c r="H787" s="3" t="str">
        <f>VLOOKUP(B787,LifeList!$E$2:$I$2038,5)</f>
        <v>Parulidae (New World Warblers)</v>
      </c>
      <c r="I787" s="3"/>
    </row>
    <row r="788" spans="1:9" ht="10.5" customHeight="1">
      <c r="A788" s="5" t="s">
        <v>1149</v>
      </c>
      <c r="B788" s="3" t="s">
        <v>1150</v>
      </c>
      <c r="C788" s="3">
        <f>VLOOKUP(B788,LifeList!$E$2:$J$2038,6)</f>
        <v>19983</v>
      </c>
      <c r="D788" s="3" t="str">
        <f>VLOOKUP(B788,LifeList!$E$2:$G$2038,1)</f>
        <v>Chabert Vanga</v>
      </c>
      <c r="E788" s="3" t="str">
        <f>VLOOKUP(B788,LifeList!$E$2:$G$2038,2)</f>
        <v>Artamie chabert</v>
      </c>
      <c r="F788" s="3" t="str">
        <f>VLOOKUP(B788,LifeList!$E$2:$G$2038,3)</f>
        <v>Leptopterus chabert</v>
      </c>
      <c r="G788" s="3" t="str">
        <f>VLOOKUP(B788,LifeList!$E$2:$I$2038,4)</f>
        <v>Passeriformes</v>
      </c>
      <c r="H788" s="3" t="str">
        <f>VLOOKUP(B788,LifeList!$E$2:$I$2038,5)</f>
        <v>Vangidae (Vangas, Helmetshrikes, and Allies)</v>
      </c>
      <c r="I788" s="3"/>
    </row>
    <row r="789" spans="1:9" ht="10.5" customHeight="1">
      <c r="A789" s="3" t="s">
        <v>1151</v>
      </c>
      <c r="B789" s="3" t="s">
        <v>1152</v>
      </c>
      <c r="C789" s="3">
        <f>VLOOKUP(B789,LifeList!$E$2:$J$2038,6)</f>
        <v>19983</v>
      </c>
      <c r="D789" s="3" t="str">
        <f>VLOOKUP(B789,LifeList!$E$2:$G$2038,1)</f>
        <v>Chabert Vanga</v>
      </c>
      <c r="E789" s="3" t="str">
        <f>VLOOKUP(B789,LifeList!$E$2:$G$2038,2)</f>
        <v>Artamie chabert</v>
      </c>
      <c r="F789" s="3" t="str">
        <f>VLOOKUP(B789,LifeList!$E$2:$G$2038,3)</f>
        <v>Leptopterus chabert</v>
      </c>
      <c r="G789" s="3" t="str">
        <f>VLOOKUP(B789,LifeList!$E$2:$I$2038,4)</f>
        <v>Passeriformes</v>
      </c>
      <c r="H789" s="3" t="str">
        <f>VLOOKUP(B789,LifeList!$E$2:$I$2038,5)</f>
        <v>Vangidae (Vangas, Helmetshrikes, and Allies)</v>
      </c>
      <c r="I789" s="3"/>
    </row>
    <row r="790" spans="1:9" ht="10.5" customHeight="1">
      <c r="A790" s="3" t="s">
        <v>1153</v>
      </c>
      <c r="B790" s="3" t="s">
        <v>1152</v>
      </c>
      <c r="C790" s="3">
        <f>VLOOKUP(B790,LifeList!$E$2:$J$2038,6)</f>
        <v>19983</v>
      </c>
      <c r="D790" s="3" t="str">
        <f>VLOOKUP(B790,LifeList!$E$2:$G$2038,1)</f>
        <v>Chabert Vanga</v>
      </c>
      <c r="E790" s="3" t="str">
        <f>VLOOKUP(B790,LifeList!$E$2:$G$2038,2)</f>
        <v>Artamie chabert</v>
      </c>
      <c r="F790" s="3" t="str">
        <f>VLOOKUP(B790,LifeList!$E$2:$G$2038,3)</f>
        <v>Leptopterus chabert</v>
      </c>
      <c r="G790" s="3" t="str">
        <f>VLOOKUP(B790,LifeList!$E$2:$I$2038,4)</f>
        <v>Passeriformes</v>
      </c>
      <c r="H790" s="3" t="str">
        <f>VLOOKUP(B790,LifeList!$E$2:$I$2038,5)</f>
        <v>Vangidae (Vangas, Helmetshrikes, and Allies)</v>
      </c>
      <c r="I790" s="3"/>
    </row>
    <row r="791" spans="1:9" ht="10.5" customHeight="1">
      <c r="A791" s="3" t="s">
        <v>1154</v>
      </c>
      <c r="B791" s="3" t="s">
        <v>1152</v>
      </c>
      <c r="C791" s="3">
        <f>VLOOKUP(B791,LifeList!$E$2:$J$2038,6)</f>
        <v>19983</v>
      </c>
      <c r="D791" s="3" t="str">
        <f>VLOOKUP(B791,LifeList!$E$2:$G$2038,1)</f>
        <v>Chabert Vanga</v>
      </c>
      <c r="E791" s="3" t="str">
        <f>VLOOKUP(B791,LifeList!$E$2:$G$2038,2)</f>
        <v>Artamie chabert</v>
      </c>
      <c r="F791" s="3" t="str">
        <f>VLOOKUP(B791,LifeList!$E$2:$G$2038,3)</f>
        <v>Leptopterus chabert</v>
      </c>
      <c r="G791" s="3" t="str">
        <f>VLOOKUP(B791,LifeList!$E$2:$I$2038,4)</f>
        <v>Passeriformes</v>
      </c>
      <c r="H791" s="3" t="str">
        <f>VLOOKUP(B791,LifeList!$E$2:$I$2038,5)</f>
        <v>Vangidae (Vangas, Helmetshrikes, and Allies)</v>
      </c>
      <c r="I791" s="3"/>
    </row>
    <row r="792" spans="1:9" ht="10.5" customHeight="1">
      <c r="A792" s="3" t="s">
        <v>1155</v>
      </c>
      <c r="B792" s="3" t="s">
        <v>1152</v>
      </c>
      <c r="C792" s="3">
        <f>VLOOKUP(B792,LifeList!$E$2:$J$2038,6)</f>
        <v>19983</v>
      </c>
      <c r="D792" s="3" t="str">
        <f>VLOOKUP(B792,LifeList!$E$2:$G$2038,1)</f>
        <v>Chabert Vanga</v>
      </c>
      <c r="E792" s="3" t="str">
        <f>VLOOKUP(B792,LifeList!$E$2:$G$2038,2)</f>
        <v>Artamie chabert</v>
      </c>
      <c r="F792" s="3" t="str">
        <f>VLOOKUP(B792,LifeList!$E$2:$G$2038,3)</f>
        <v>Leptopterus chabert</v>
      </c>
      <c r="G792" s="3" t="str">
        <f>VLOOKUP(B792,LifeList!$E$2:$I$2038,4)</f>
        <v>Passeriformes</v>
      </c>
      <c r="H792" s="3" t="str">
        <f>VLOOKUP(B792,LifeList!$E$2:$I$2038,5)</f>
        <v>Vangidae (Vangas, Helmetshrikes, and Allies)</v>
      </c>
      <c r="I792" s="3"/>
    </row>
    <row r="793" spans="1:9" ht="10.5" customHeight="1">
      <c r="A793" s="3" t="s">
        <v>1156</v>
      </c>
      <c r="B793" s="3" t="s">
        <v>1152</v>
      </c>
      <c r="C793" s="3">
        <f>VLOOKUP(B793,LifeList!$E$2:$J$2038,6)</f>
        <v>19983</v>
      </c>
      <c r="D793" s="3" t="str">
        <f>VLOOKUP(B793,LifeList!$E$2:$G$2038,1)</f>
        <v>Chabert Vanga</v>
      </c>
      <c r="E793" s="3" t="str">
        <f>VLOOKUP(B793,LifeList!$E$2:$G$2038,2)</f>
        <v>Artamie chabert</v>
      </c>
      <c r="F793" s="3" t="str">
        <f>VLOOKUP(B793,LifeList!$E$2:$G$2038,3)</f>
        <v>Leptopterus chabert</v>
      </c>
      <c r="G793" s="3" t="str">
        <f>VLOOKUP(B793,LifeList!$E$2:$I$2038,4)</f>
        <v>Passeriformes</v>
      </c>
      <c r="H793" s="3" t="str">
        <f>VLOOKUP(B793,LifeList!$E$2:$I$2038,5)</f>
        <v>Vangidae (Vangas, Helmetshrikes, and Allies)</v>
      </c>
      <c r="I793" s="3"/>
    </row>
    <row r="794" spans="1:9" ht="10.5" customHeight="1">
      <c r="A794" s="5" t="s">
        <v>1157</v>
      </c>
      <c r="B794" s="5" t="s">
        <v>1158</v>
      </c>
      <c r="C794" s="6">
        <f>VLOOKUP(B794,LifeList!$E$2:$J$2038,6)</f>
        <v>18532</v>
      </c>
      <c r="D794" s="3" t="str">
        <f>VLOOKUP(B794,LifeList!$E$2:$G$2038,1)</f>
        <v>Chestnut Quail-thrush</v>
      </c>
      <c r="E794" s="3" t="str">
        <f>VLOOKUP(B794,LifeList!$E$2:$G$2038,2)</f>
        <v>Cinclosome marron</v>
      </c>
      <c r="F794" s="3" t="str">
        <f>VLOOKUP(B794,LifeList!$E$2:$G$2038,3)</f>
        <v>Cinclosoma castanotum</v>
      </c>
      <c r="G794" s="3" t="str">
        <f>VLOOKUP(B794,LifeList!$E$2:$I$2038,4)</f>
        <v>Passeriformes</v>
      </c>
      <c r="H794" s="3" t="str">
        <f>VLOOKUP(B794,LifeList!$E$2:$I$2038,5)</f>
        <v>Cinclosomatidae (Quail-thrushes and Jewel-babblers)</v>
      </c>
      <c r="I794" s="3"/>
    </row>
    <row r="795" spans="1:9" ht="10.5" customHeight="1">
      <c r="A795" s="3" t="s">
        <v>1159</v>
      </c>
      <c r="B795" s="3" t="s">
        <v>1160</v>
      </c>
      <c r="C795" s="3">
        <f>VLOOKUP(B795,LifeList!$E$2:$J$2038,6)</f>
        <v>11100</v>
      </c>
      <c r="D795" s="3" t="str">
        <f>VLOOKUP(B795,LifeList!$E$2:$G$2038,1)</f>
        <v>Chestnut Piculet</v>
      </c>
      <c r="E795" s="3" t="str">
        <f>VLOOKUP(B795,LifeList!$E$2:$G$2038,2)</f>
        <v>Picumne cannelle</v>
      </c>
      <c r="F795" s="3" t="str">
        <f>VLOOKUP(B795,LifeList!$E$2:$G$2038,3)</f>
        <v>Picumnus cinnamomeus</v>
      </c>
      <c r="G795" s="3" t="str">
        <f>VLOOKUP(B795,LifeList!$E$2:$I$2038,4)</f>
        <v>Piciformes</v>
      </c>
      <c r="H795" s="3" t="str">
        <f>VLOOKUP(B795,LifeList!$E$2:$I$2038,5)</f>
        <v>Picidae (Woodpeckers)</v>
      </c>
      <c r="I795" s="3"/>
    </row>
    <row r="796" spans="1:9" ht="10.5" customHeight="1">
      <c r="A796" s="3" t="s">
        <v>1161</v>
      </c>
      <c r="B796" s="3" t="s">
        <v>1160</v>
      </c>
      <c r="C796" s="3">
        <f>VLOOKUP(B796,LifeList!$E$2:$J$2038,6)</f>
        <v>11100</v>
      </c>
      <c r="D796" s="3" t="str">
        <f>VLOOKUP(B796,LifeList!$E$2:$G$2038,1)</f>
        <v>Chestnut Piculet</v>
      </c>
      <c r="E796" s="3" t="str">
        <f>VLOOKUP(B796,LifeList!$E$2:$G$2038,2)</f>
        <v>Picumne cannelle</v>
      </c>
      <c r="F796" s="3" t="str">
        <f>VLOOKUP(B796,LifeList!$E$2:$G$2038,3)</f>
        <v>Picumnus cinnamomeus</v>
      </c>
      <c r="G796" s="3" t="str">
        <f>VLOOKUP(B796,LifeList!$E$2:$I$2038,4)</f>
        <v>Piciformes</v>
      </c>
      <c r="H796" s="3" t="str">
        <f>VLOOKUP(B796,LifeList!$E$2:$I$2038,5)</f>
        <v>Picidae (Woodpeckers)</v>
      </c>
      <c r="I796" s="3"/>
    </row>
    <row r="797" spans="1:9" ht="10.5" customHeight="1">
      <c r="A797" s="3" t="s">
        <v>1162</v>
      </c>
      <c r="B797" s="3" t="s">
        <v>1160</v>
      </c>
      <c r="C797" s="3">
        <f>VLOOKUP(B797,LifeList!$E$2:$J$2038,6)</f>
        <v>11100</v>
      </c>
      <c r="D797" s="3" t="str">
        <f>VLOOKUP(B797,LifeList!$E$2:$G$2038,1)</f>
        <v>Chestnut Piculet</v>
      </c>
      <c r="E797" s="3" t="str">
        <f>VLOOKUP(B797,LifeList!$E$2:$G$2038,2)</f>
        <v>Picumne cannelle</v>
      </c>
      <c r="F797" s="3" t="str">
        <f>VLOOKUP(B797,LifeList!$E$2:$G$2038,3)</f>
        <v>Picumnus cinnamomeus</v>
      </c>
      <c r="G797" s="3" t="str">
        <f>VLOOKUP(B797,LifeList!$E$2:$I$2038,4)</f>
        <v>Piciformes</v>
      </c>
      <c r="H797" s="3" t="str">
        <f>VLOOKUP(B797,LifeList!$E$2:$I$2038,5)</f>
        <v>Picidae (Woodpeckers)</v>
      </c>
      <c r="I797" s="3"/>
    </row>
    <row r="798" spans="1:9" ht="10.5" customHeight="1">
      <c r="A798" s="7" t="s">
        <v>1163</v>
      </c>
      <c r="B798" s="8" t="s">
        <v>1164</v>
      </c>
      <c r="C798" s="3">
        <f>VLOOKUP(B798,LifeList!$E$2:$J$2038,6)</f>
        <v>18415</v>
      </c>
      <c r="D798" s="3" t="str">
        <f>VLOOKUP(B798,LifeList!$E$2:$G$2038,1)</f>
        <v>Chestnut-rumped Thornbill</v>
      </c>
      <c r="E798" s="3" t="str">
        <f>VLOOKUP(B798,LifeList!$E$2:$G$2038,2)</f>
        <v>Acanthize à croupion roux</v>
      </c>
      <c r="F798" s="3" t="str">
        <f>VLOOKUP(B798,LifeList!$E$2:$G$2038,3)</f>
        <v>Acanthiza uropygialis</v>
      </c>
      <c r="G798" s="3" t="str">
        <f>VLOOKUP(B798,LifeList!$E$2:$I$2038,4)</f>
        <v>Passeriformes</v>
      </c>
      <c r="H798" s="3" t="str">
        <f>VLOOKUP(B798,LifeList!$E$2:$I$2038,5)</f>
        <v>Acanthizidae (Thornbills and Allies)</v>
      </c>
      <c r="I798" s="3"/>
    </row>
    <row r="799" spans="1:9" ht="10.5" customHeight="1">
      <c r="A799" s="3" t="s">
        <v>1165</v>
      </c>
      <c r="B799" s="3" t="s">
        <v>1166</v>
      </c>
      <c r="C799" s="3">
        <f>VLOOKUP(B799,LifeList!$E$2:$J$2038,6)</f>
        <v>642</v>
      </c>
      <c r="D799" s="3" t="str">
        <f>VLOOKUP(B799,LifeList!$E$2:$G$2038,1)</f>
        <v>Chestnut Teal</v>
      </c>
      <c r="E799" s="3" t="str">
        <f>VLOOKUP(B799,LifeList!$E$2:$G$2038,2)</f>
        <v>Sarcelle rousse</v>
      </c>
      <c r="F799" s="3" t="str">
        <f>VLOOKUP(B799,LifeList!$E$2:$G$2038,3)</f>
        <v>Anas castanea</v>
      </c>
      <c r="G799" s="3" t="str">
        <f>VLOOKUP(B799,LifeList!$E$2:$I$2038,4)</f>
        <v>Anseriformes</v>
      </c>
      <c r="H799" s="3" t="str">
        <f>VLOOKUP(B799,LifeList!$E$2:$I$2038,5)</f>
        <v>Anatidae (Ducks, Geese, and Waterfowl)</v>
      </c>
      <c r="I799" s="3"/>
    </row>
    <row r="800" spans="1:9" ht="10.5" customHeight="1">
      <c r="A800" s="3" t="s">
        <v>1167</v>
      </c>
      <c r="B800" s="3" t="s">
        <v>1166</v>
      </c>
      <c r="C800" s="3">
        <f>VLOOKUP(B800,LifeList!$E$2:$J$2038,6)</f>
        <v>642</v>
      </c>
      <c r="D800" s="3" t="str">
        <f>VLOOKUP(B800,LifeList!$E$2:$G$2038,1)</f>
        <v>Chestnut Teal</v>
      </c>
      <c r="E800" s="3" t="str">
        <f>VLOOKUP(B800,LifeList!$E$2:$G$2038,2)</f>
        <v>Sarcelle rousse</v>
      </c>
      <c r="F800" s="3" t="str">
        <f>VLOOKUP(B800,LifeList!$E$2:$G$2038,3)</f>
        <v>Anas castanea</v>
      </c>
      <c r="G800" s="3" t="str">
        <f>VLOOKUP(B800,LifeList!$E$2:$I$2038,4)</f>
        <v>Anseriformes</v>
      </c>
      <c r="H800" s="3" t="str">
        <f>VLOOKUP(B800,LifeList!$E$2:$I$2038,5)</f>
        <v>Anatidae (Ducks, Geese, and Waterfowl)</v>
      </c>
      <c r="I800" s="3"/>
    </row>
    <row r="801" spans="1:9" ht="10.5" customHeight="1">
      <c r="A801" s="3" t="s">
        <v>1168</v>
      </c>
      <c r="B801" s="3" t="s">
        <v>1166</v>
      </c>
      <c r="C801" s="3">
        <f>VLOOKUP(B801,LifeList!$E$2:$J$2038,6)</f>
        <v>642</v>
      </c>
      <c r="D801" s="3" t="str">
        <f>VLOOKUP(B801,LifeList!$E$2:$G$2038,1)</f>
        <v>Chestnut Teal</v>
      </c>
      <c r="E801" s="3" t="str">
        <f>VLOOKUP(B801,LifeList!$E$2:$G$2038,2)</f>
        <v>Sarcelle rousse</v>
      </c>
      <c r="F801" s="3" t="str">
        <f>VLOOKUP(B801,LifeList!$E$2:$G$2038,3)</f>
        <v>Anas castanea</v>
      </c>
      <c r="G801" s="3" t="str">
        <f>VLOOKUP(B801,LifeList!$E$2:$I$2038,4)</f>
        <v>Anseriformes</v>
      </c>
      <c r="H801" s="3" t="str">
        <f>VLOOKUP(B801,LifeList!$E$2:$I$2038,5)</f>
        <v>Anatidae (Ducks, Geese, and Waterfowl)</v>
      </c>
      <c r="I801" s="3"/>
    </row>
    <row r="802" spans="1:9" ht="10.5" customHeight="1">
      <c r="A802" s="3" t="s">
        <v>1169</v>
      </c>
      <c r="B802" s="3" t="s">
        <v>1166</v>
      </c>
      <c r="C802" s="3">
        <f>VLOOKUP(B802,LifeList!$E$2:$J$2038,6)</f>
        <v>642</v>
      </c>
      <c r="D802" s="3" t="str">
        <f>VLOOKUP(B802,LifeList!$E$2:$G$2038,1)</f>
        <v>Chestnut Teal</v>
      </c>
      <c r="E802" s="3" t="str">
        <f>VLOOKUP(B802,LifeList!$E$2:$G$2038,2)</f>
        <v>Sarcelle rousse</v>
      </c>
      <c r="F802" s="3" t="str">
        <f>VLOOKUP(B802,LifeList!$E$2:$G$2038,3)</f>
        <v>Anas castanea</v>
      </c>
      <c r="G802" s="3" t="str">
        <f>VLOOKUP(B802,LifeList!$E$2:$I$2038,4)</f>
        <v>Anseriformes</v>
      </c>
      <c r="H802" s="3" t="str">
        <f>VLOOKUP(B802,LifeList!$E$2:$I$2038,5)</f>
        <v>Anatidae (Ducks, Geese, and Waterfowl)</v>
      </c>
      <c r="I802" s="3"/>
    </row>
    <row r="803" spans="1:9" ht="10.5" customHeight="1">
      <c r="A803" s="3" t="s">
        <v>1170</v>
      </c>
      <c r="B803" s="3" t="s">
        <v>1166</v>
      </c>
      <c r="C803" s="3">
        <f>VLOOKUP(B803,LifeList!$E$2:$J$2038,6)</f>
        <v>642</v>
      </c>
      <c r="D803" s="3" t="str">
        <f>VLOOKUP(B803,LifeList!$E$2:$G$2038,1)</f>
        <v>Chestnut Teal</v>
      </c>
      <c r="E803" s="3" t="str">
        <f>VLOOKUP(B803,LifeList!$E$2:$G$2038,2)</f>
        <v>Sarcelle rousse</v>
      </c>
      <c r="F803" s="3" t="str">
        <f>VLOOKUP(B803,LifeList!$E$2:$G$2038,3)</f>
        <v>Anas castanea</v>
      </c>
      <c r="G803" s="3" t="str">
        <f>VLOOKUP(B803,LifeList!$E$2:$I$2038,4)</f>
        <v>Anseriformes</v>
      </c>
      <c r="H803" s="3" t="str">
        <f>VLOOKUP(B803,LifeList!$E$2:$I$2038,5)</f>
        <v>Anatidae (Ducks, Geese, and Waterfowl)</v>
      </c>
      <c r="I803" s="3"/>
    </row>
    <row r="804" spans="1:9" ht="10.5" customHeight="1">
      <c r="A804" s="3" t="s">
        <v>1171</v>
      </c>
      <c r="B804" s="3" t="s">
        <v>1172</v>
      </c>
      <c r="C804" s="3">
        <f>VLOOKUP(B804,LifeList!$E$2:$J$2038,6)</f>
        <v>14020</v>
      </c>
      <c r="D804" s="3" t="str">
        <f>VLOOKUP(B804,LifeList!$E$2:$G$2038,1)</f>
        <v>Chestnut-backed Antbird</v>
      </c>
      <c r="E804" s="3" t="str">
        <f>VLOOKUP(B804,LifeList!$E$2:$G$2038,2)</f>
        <v>Alapi à dos roux</v>
      </c>
      <c r="F804" s="3" t="str">
        <f>VLOOKUP(B804,LifeList!$E$2:$G$2038,3)</f>
        <v>Poliocrania exsul</v>
      </c>
      <c r="G804" s="3" t="str">
        <f>VLOOKUP(B804,LifeList!$E$2:$I$2038,4)</f>
        <v>Passeriformes</v>
      </c>
      <c r="H804" s="3" t="str">
        <f>VLOOKUP(B804,LifeList!$E$2:$I$2038,5)</f>
        <v>Thamnophilidae (Typical Antbirds)</v>
      </c>
      <c r="I804" s="3"/>
    </row>
    <row r="805" spans="1:9" ht="10.5" customHeight="1">
      <c r="A805" s="3" t="s">
        <v>1173</v>
      </c>
      <c r="B805" s="3" t="s">
        <v>1174</v>
      </c>
      <c r="C805" s="3">
        <f>VLOOKUP(B805,LifeList!$E$2:$J$2038,6)</f>
        <v>22094</v>
      </c>
      <c r="D805" s="3" t="str">
        <f>VLOOKUP(B805,LifeList!$E$2:$G$2038,1)</f>
        <v>Chestnut-backed Chickadee</v>
      </c>
      <c r="E805" s="3" t="str">
        <f>VLOOKUP(B805,LifeList!$E$2:$G$2038,2)</f>
        <v>Mésange à dos marron</v>
      </c>
      <c r="F805" s="3" t="str">
        <f>VLOOKUP(B805,LifeList!$E$2:$G$2038,3)</f>
        <v>Poecile rufescens</v>
      </c>
      <c r="G805" s="3" t="str">
        <f>VLOOKUP(B805,LifeList!$E$2:$I$2038,4)</f>
        <v>Passeriformes</v>
      </c>
      <c r="H805" s="3" t="str">
        <f>VLOOKUP(B805,LifeList!$E$2:$I$2038,5)</f>
        <v>Paridae (Tits, Chickadees, and Titmice)</v>
      </c>
      <c r="I805" s="3"/>
    </row>
    <row r="806" spans="1:9" ht="10.5" customHeight="1">
      <c r="A806" s="3" t="s">
        <v>1175</v>
      </c>
      <c r="B806" s="3" t="s">
        <v>1176</v>
      </c>
      <c r="C806" s="3">
        <f>VLOOKUP(B806,LifeList!$E$2:$J$2038,6)</f>
        <v>33081</v>
      </c>
      <c r="D806" s="3" t="str">
        <f>VLOOKUP(B806,LifeList!$E$2:$G$2038,1)</f>
        <v>Chestnut-capped Brushfinch</v>
      </c>
      <c r="E806" s="3" t="str">
        <f>VLOOKUP(B806,LifeList!$E$2:$G$2038,2)</f>
        <v>Tohi à nuque brune</v>
      </c>
      <c r="F806" s="3" t="str">
        <f>VLOOKUP(B806,LifeList!$E$2:$G$2038,3)</f>
        <v>Arremon brunneinucha</v>
      </c>
      <c r="G806" s="3" t="str">
        <f>VLOOKUP(B806,LifeList!$E$2:$I$2038,4)</f>
        <v>Passeriformes</v>
      </c>
      <c r="H806" s="3" t="str">
        <f>VLOOKUP(B806,LifeList!$E$2:$I$2038,5)</f>
        <v>Passerellidae (New World Sparrows)</v>
      </c>
      <c r="I806" s="3"/>
    </row>
    <row r="807" spans="1:9" ht="10.5" customHeight="1">
      <c r="A807" s="3" t="s">
        <v>1177</v>
      </c>
      <c r="B807" s="3" t="s">
        <v>1176</v>
      </c>
      <c r="C807" s="3">
        <f>VLOOKUP(B807,LifeList!$E$2:$J$2038,6)</f>
        <v>33081</v>
      </c>
      <c r="D807" s="3" t="str">
        <f>VLOOKUP(B807,LifeList!$E$2:$G$2038,1)</f>
        <v>Chestnut-capped Brushfinch</v>
      </c>
      <c r="E807" s="3" t="str">
        <f>VLOOKUP(B807,LifeList!$E$2:$G$2038,2)</f>
        <v>Tohi à nuque brune</v>
      </c>
      <c r="F807" s="3" t="str">
        <f>VLOOKUP(B807,LifeList!$E$2:$G$2038,3)</f>
        <v>Arremon brunneinucha</v>
      </c>
      <c r="G807" s="3" t="str">
        <f>VLOOKUP(B807,LifeList!$E$2:$I$2038,4)</f>
        <v>Passeriformes</v>
      </c>
      <c r="H807" s="3" t="str">
        <f>VLOOKUP(B807,LifeList!$E$2:$I$2038,5)</f>
        <v>Passerellidae (New World Sparrows)</v>
      </c>
      <c r="I807" s="3"/>
    </row>
    <row r="808" spans="1:9" ht="10.5" customHeight="1">
      <c r="A808" s="3" t="s">
        <v>1178</v>
      </c>
      <c r="B808" s="3" t="s">
        <v>1179</v>
      </c>
      <c r="C808" s="3">
        <f>VLOOKUP(B808,LifeList!$E$2:$J$2038,6)</f>
        <v>34233</v>
      </c>
      <c r="D808" s="3" t="str">
        <f>VLOOKUP(B808,LifeList!$E$2:$G$2038,1)</f>
        <v>Chestnut-capped Warbler</v>
      </c>
      <c r="E808" s="3" t="str">
        <f>VLOOKUP(B808,LifeList!$E$2:$G$2038,2)</f>
        <v>Paruline de Delattre</v>
      </c>
      <c r="F808" s="3" t="str">
        <f>VLOOKUP(B808,LifeList!$E$2:$G$2038,3)</f>
        <v>Basileuterus delattrii</v>
      </c>
      <c r="G808" s="3" t="str">
        <f>VLOOKUP(B808,LifeList!$E$2:$I$2038,4)</f>
        <v>Passeriformes</v>
      </c>
      <c r="H808" s="3" t="str">
        <f>VLOOKUP(B808,LifeList!$E$2:$I$2038,5)</f>
        <v>Parulidae (New World Warblers)</v>
      </c>
      <c r="I808" s="3"/>
    </row>
    <row r="809" spans="1:9" ht="10.5" customHeight="1">
      <c r="A809" s="3" t="s">
        <v>1180</v>
      </c>
      <c r="B809" s="3" t="s">
        <v>1179</v>
      </c>
      <c r="C809" s="3">
        <f>VLOOKUP(B809,LifeList!$E$2:$J$2038,6)</f>
        <v>34233</v>
      </c>
      <c r="D809" s="3" t="str">
        <f>VLOOKUP(B809,LifeList!$E$2:$G$2038,1)</f>
        <v>Chestnut-capped Warbler</v>
      </c>
      <c r="E809" s="3" t="str">
        <f>VLOOKUP(B809,LifeList!$E$2:$G$2038,2)</f>
        <v>Paruline de Delattre</v>
      </c>
      <c r="F809" s="3" t="str">
        <f>VLOOKUP(B809,LifeList!$E$2:$G$2038,3)</f>
        <v>Basileuterus delattrii</v>
      </c>
      <c r="G809" s="3" t="str">
        <f>VLOOKUP(B809,LifeList!$E$2:$I$2038,4)</f>
        <v>Passeriformes</v>
      </c>
      <c r="H809" s="3" t="str">
        <f>VLOOKUP(B809,LifeList!$E$2:$I$2038,5)</f>
        <v>Parulidae (New World Warblers)</v>
      </c>
      <c r="I809" s="3"/>
    </row>
    <row r="810" spans="1:9" ht="10.5" customHeight="1">
      <c r="A810" s="3" t="s">
        <v>1181</v>
      </c>
      <c r="B810" s="3" t="s">
        <v>1179</v>
      </c>
      <c r="C810" s="3">
        <f>VLOOKUP(B810,LifeList!$E$2:$J$2038,6)</f>
        <v>34233</v>
      </c>
      <c r="D810" s="3" t="str">
        <f>VLOOKUP(B810,LifeList!$E$2:$G$2038,1)</f>
        <v>Chestnut-capped Warbler</v>
      </c>
      <c r="E810" s="3" t="str">
        <f>VLOOKUP(B810,LifeList!$E$2:$G$2038,2)</f>
        <v>Paruline de Delattre</v>
      </c>
      <c r="F810" s="3" t="str">
        <f>VLOOKUP(B810,LifeList!$E$2:$G$2038,3)</f>
        <v>Basileuterus delattrii</v>
      </c>
      <c r="G810" s="3" t="str">
        <f>VLOOKUP(B810,LifeList!$E$2:$I$2038,4)</f>
        <v>Passeriformes</v>
      </c>
      <c r="H810" s="3" t="str">
        <f>VLOOKUP(B810,LifeList!$E$2:$I$2038,5)</f>
        <v>Parulidae (New World Warblers)</v>
      </c>
      <c r="I810" s="3"/>
    </row>
    <row r="811" spans="1:9" ht="10.5" customHeight="1">
      <c r="A811" s="3" t="s">
        <v>1182</v>
      </c>
      <c r="B811" s="3" t="s">
        <v>1179</v>
      </c>
      <c r="C811" s="3">
        <f>VLOOKUP(B811,LifeList!$E$2:$J$2038,6)</f>
        <v>34233</v>
      </c>
      <c r="D811" s="3" t="str">
        <f>VLOOKUP(B811,LifeList!$E$2:$G$2038,1)</f>
        <v>Chestnut-capped Warbler</v>
      </c>
      <c r="E811" s="3" t="str">
        <f>VLOOKUP(B811,LifeList!$E$2:$G$2038,2)</f>
        <v>Paruline de Delattre</v>
      </c>
      <c r="F811" s="3" t="str">
        <f>VLOOKUP(B811,LifeList!$E$2:$G$2038,3)</f>
        <v>Basileuterus delattrii</v>
      </c>
      <c r="G811" s="3" t="str">
        <f>VLOOKUP(B811,LifeList!$E$2:$I$2038,4)</f>
        <v>Passeriformes</v>
      </c>
      <c r="H811" s="3" t="str">
        <f>VLOOKUP(B811,LifeList!$E$2:$I$2038,5)</f>
        <v>Parulidae (New World Warblers)</v>
      </c>
      <c r="I811" s="3"/>
    </row>
    <row r="812" spans="1:9" ht="10.5" customHeight="1">
      <c r="A812" s="3" t="s">
        <v>1183</v>
      </c>
      <c r="B812" s="3" t="s">
        <v>1179</v>
      </c>
      <c r="C812" s="3">
        <f>VLOOKUP(B812,LifeList!$E$2:$J$2038,6)</f>
        <v>34233</v>
      </c>
      <c r="D812" s="3" t="str">
        <f>VLOOKUP(B812,LifeList!$E$2:$G$2038,1)</f>
        <v>Chestnut-capped Warbler</v>
      </c>
      <c r="E812" s="3" t="str">
        <f>VLOOKUP(B812,LifeList!$E$2:$G$2038,2)</f>
        <v>Paruline de Delattre</v>
      </c>
      <c r="F812" s="3" t="str">
        <f>VLOOKUP(B812,LifeList!$E$2:$G$2038,3)</f>
        <v>Basileuterus delattrii</v>
      </c>
      <c r="G812" s="3" t="str">
        <f>VLOOKUP(B812,LifeList!$E$2:$I$2038,4)</f>
        <v>Passeriformes</v>
      </c>
      <c r="H812" s="3" t="str">
        <f>VLOOKUP(B812,LifeList!$E$2:$I$2038,5)</f>
        <v>Parulidae (New World Warblers)</v>
      </c>
      <c r="I812" s="3"/>
    </row>
    <row r="813" spans="1:9" ht="10.5" customHeight="1">
      <c r="A813" s="3" t="s">
        <v>1184</v>
      </c>
      <c r="B813" s="3" t="s">
        <v>1179</v>
      </c>
      <c r="C813" s="3">
        <f>VLOOKUP(B813,LifeList!$E$2:$J$2038,6)</f>
        <v>34233</v>
      </c>
      <c r="D813" s="3" t="str">
        <f>VLOOKUP(B813,LifeList!$E$2:$G$2038,1)</f>
        <v>Chestnut-capped Warbler</v>
      </c>
      <c r="E813" s="3" t="str">
        <f>VLOOKUP(B813,LifeList!$E$2:$G$2038,2)</f>
        <v>Paruline de Delattre</v>
      </c>
      <c r="F813" s="3" t="str">
        <f>VLOOKUP(B813,LifeList!$E$2:$G$2038,3)</f>
        <v>Basileuterus delattrii</v>
      </c>
      <c r="G813" s="3" t="str">
        <f>VLOOKUP(B813,LifeList!$E$2:$I$2038,4)</f>
        <v>Passeriformes</v>
      </c>
      <c r="H813" s="3" t="str">
        <f>VLOOKUP(B813,LifeList!$E$2:$I$2038,5)</f>
        <v>Parulidae (New World Warblers)</v>
      </c>
      <c r="I813" s="3"/>
    </row>
    <row r="814" spans="1:9" ht="10.5" customHeight="1">
      <c r="A814" s="3" t="s">
        <v>1185</v>
      </c>
      <c r="B814" s="3" t="s">
        <v>1186</v>
      </c>
      <c r="C814" s="3">
        <f>VLOOKUP(B814,LifeList!$E$2:$J$2038,6)</f>
        <v>11798</v>
      </c>
      <c r="D814" s="3" t="str">
        <f>VLOOKUP(B814,LifeList!$E$2:$G$2038,1)</f>
        <v>Chestnut-colored Woodpecker</v>
      </c>
      <c r="E814" s="3" t="str">
        <f>VLOOKUP(B814,LifeList!$E$2:$G$2038,2)</f>
        <v>Pic roux</v>
      </c>
      <c r="F814" s="3" t="str">
        <f>VLOOKUP(B814,LifeList!$E$2:$G$2038,3)</f>
        <v>Celeus castaneus</v>
      </c>
      <c r="G814" s="3" t="str">
        <f>VLOOKUP(B814,LifeList!$E$2:$I$2038,4)</f>
        <v>Piciformes</v>
      </c>
      <c r="H814" s="3" t="str">
        <f>VLOOKUP(B814,LifeList!$E$2:$I$2038,5)</f>
        <v>Picidae (Woodpeckers)</v>
      </c>
      <c r="I814" s="3"/>
    </row>
    <row r="815" spans="1:9" ht="10.5" customHeight="1">
      <c r="A815" s="3" t="s">
        <v>1187</v>
      </c>
      <c r="B815" s="3" t="s">
        <v>1186</v>
      </c>
      <c r="C815" s="3">
        <f>VLOOKUP(B815,LifeList!$E$2:$J$2038,6)</f>
        <v>11798</v>
      </c>
      <c r="D815" s="3" t="str">
        <f>VLOOKUP(B815,LifeList!$E$2:$G$2038,1)</f>
        <v>Chestnut-colored Woodpecker</v>
      </c>
      <c r="E815" s="3" t="str">
        <f>VLOOKUP(B815,LifeList!$E$2:$G$2038,2)</f>
        <v>Pic roux</v>
      </c>
      <c r="F815" s="3" t="str">
        <f>VLOOKUP(B815,LifeList!$E$2:$G$2038,3)</f>
        <v>Celeus castaneus</v>
      </c>
      <c r="G815" s="3" t="str">
        <f>VLOOKUP(B815,LifeList!$E$2:$I$2038,4)</f>
        <v>Piciformes</v>
      </c>
      <c r="H815" s="3" t="str">
        <f>VLOOKUP(B815,LifeList!$E$2:$I$2038,5)</f>
        <v>Picidae (Woodpeckers)</v>
      </c>
      <c r="I815" s="3"/>
    </row>
    <row r="816" spans="1:9" ht="10.5" customHeight="1">
      <c r="A816" s="3" t="s">
        <v>1188</v>
      </c>
      <c r="B816" s="3" t="s">
        <v>1189</v>
      </c>
      <c r="C816" s="3">
        <f>VLOOKUP(B816,LifeList!$E$2:$J$2038,6)</f>
        <v>14234</v>
      </c>
      <c r="D816" s="3" t="str">
        <f>VLOOKUP(B816,LifeList!$E$2:$G$2038,1)</f>
        <v>Chestnut-crowned Antpitta</v>
      </c>
      <c r="E816" s="3" t="str">
        <f>VLOOKUP(B816,LifeList!$E$2:$G$2038,2)</f>
        <v>Grallaire à tête rousse</v>
      </c>
      <c r="F816" s="3" t="str">
        <f>VLOOKUP(B816,LifeList!$E$2:$G$2038,3)</f>
        <v>Grallaria ruficapilla</v>
      </c>
      <c r="G816" s="3" t="str">
        <f>VLOOKUP(B816,LifeList!$E$2:$I$2038,4)</f>
        <v>Passeriformes</v>
      </c>
      <c r="H816" s="3" t="str">
        <f>VLOOKUP(B816,LifeList!$E$2:$I$2038,5)</f>
        <v>Grallariidae (Antpittas)</v>
      </c>
      <c r="I816" s="3"/>
    </row>
    <row r="817" spans="1:9" ht="10.5" customHeight="1">
      <c r="A817" s="3" t="s">
        <v>1190</v>
      </c>
      <c r="B817" s="3" t="s">
        <v>1191</v>
      </c>
      <c r="C817" s="3">
        <f>VLOOKUP(B817,LifeList!$E$2:$J$2038,6)</f>
        <v>13142</v>
      </c>
      <c r="D817" s="3" t="str">
        <f>VLOOKUP(B817,LifeList!$E$2:$G$2038,1)</f>
        <v>Chestnut-fronted Macaw</v>
      </c>
      <c r="E817" s="3" t="str">
        <f>VLOOKUP(B817,LifeList!$E$2:$G$2038,2)</f>
        <v>Ara vert</v>
      </c>
      <c r="F817" s="3" t="str">
        <f>VLOOKUP(B817,LifeList!$E$2:$G$2038,3)</f>
        <v>Ara severus</v>
      </c>
      <c r="G817" s="3" t="str">
        <f>VLOOKUP(B817,LifeList!$E$2:$I$2038,4)</f>
        <v>Psittaciformes</v>
      </c>
      <c r="H817" s="3" t="str">
        <f>VLOOKUP(B817,LifeList!$E$2:$I$2038,5)</f>
        <v>Psittacidae (New World and African Parrots)</v>
      </c>
      <c r="I817" s="3"/>
    </row>
    <row r="818" spans="1:9" ht="10.5" customHeight="1">
      <c r="A818" s="3" t="s">
        <v>1192</v>
      </c>
      <c r="B818" s="3" t="s">
        <v>1191</v>
      </c>
      <c r="C818" s="3">
        <f>VLOOKUP(B818,LifeList!$E$2:$J$2038,6)</f>
        <v>13142</v>
      </c>
      <c r="D818" s="3" t="str">
        <f>VLOOKUP(B818,LifeList!$E$2:$G$2038,1)</f>
        <v>Chestnut-fronted Macaw</v>
      </c>
      <c r="E818" s="3" t="str">
        <f>VLOOKUP(B818,LifeList!$E$2:$G$2038,2)</f>
        <v>Ara vert</v>
      </c>
      <c r="F818" s="3" t="str">
        <f>VLOOKUP(B818,LifeList!$E$2:$G$2038,3)</f>
        <v>Ara severus</v>
      </c>
      <c r="G818" s="3" t="str">
        <f>VLOOKUP(B818,LifeList!$E$2:$I$2038,4)</f>
        <v>Psittaciformes</v>
      </c>
      <c r="H818" s="3" t="str">
        <f>VLOOKUP(B818,LifeList!$E$2:$I$2038,5)</f>
        <v>Psittacidae (New World and African Parrots)</v>
      </c>
      <c r="I818" s="3"/>
    </row>
    <row r="819" spans="1:9" ht="10.5" customHeight="1">
      <c r="A819" s="5" t="s">
        <v>1193</v>
      </c>
      <c r="B819" s="3" t="s">
        <v>1194</v>
      </c>
      <c r="C819" s="6">
        <f>VLOOKUP(B819,LifeList!$E$2:$J$2038,6)</f>
        <v>33629</v>
      </c>
      <c r="D819" s="3" t="str">
        <f>VLOOKUP(B819,LifeList!$E$2:$G$2038,1)</f>
        <v>Chestnut-headed Oropendola</v>
      </c>
      <c r="E819" s="3" t="str">
        <f>VLOOKUP(B819,LifeList!$E$2:$G$2038,2)</f>
        <v>Cassique à tête brune</v>
      </c>
      <c r="F819" s="3" t="str">
        <f>VLOOKUP(B819,LifeList!$E$2:$G$2038,3)</f>
        <v>Psarocolius wagleri</v>
      </c>
      <c r="G819" s="3" t="str">
        <f>VLOOKUP(B819,LifeList!$E$2:$I$2038,4)</f>
        <v>Passeriformes</v>
      </c>
      <c r="H819" s="3" t="str">
        <f>VLOOKUP(B819,LifeList!$E$2:$I$2038,5)</f>
        <v>Icteridae (Troupials and Allies)</v>
      </c>
      <c r="I819" s="3"/>
    </row>
    <row r="820" spans="1:9" ht="10.5" customHeight="1">
      <c r="A820" s="3" t="s">
        <v>1195</v>
      </c>
      <c r="B820" s="3" t="s">
        <v>1196</v>
      </c>
      <c r="C820" s="3">
        <f>VLOOKUP(B820,LifeList!$E$2:$J$2038,6)</f>
        <v>34133</v>
      </c>
      <c r="D820" s="3" t="str">
        <f>VLOOKUP(B820,LifeList!$E$2:$G$2038,1)</f>
        <v>Chestnut-sided Warbler</v>
      </c>
      <c r="E820" s="3" t="str">
        <f>VLOOKUP(B820,LifeList!$E$2:$G$2038,2)</f>
        <v>Paruline à flancs marron</v>
      </c>
      <c r="F820" s="3" t="str">
        <f>VLOOKUP(B820,LifeList!$E$2:$G$2038,3)</f>
        <v>Setophaga pensylvanica</v>
      </c>
      <c r="G820" s="3" t="str">
        <f>VLOOKUP(B820,LifeList!$E$2:$I$2038,4)</f>
        <v>Passeriformes</v>
      </c>
      <c r="H820" s="3" t="str">
        <f>VLOOKUP(B820,LifeList!$E$2:$I$2038,5)</f>
        <v>Parulidae (New World Warblers)</v>
      </c>
      <c r="I820" s="3"/>
    </row>
    <row r="821" spans="1:9" ht="10.5" customHeight="1">
      <c r="A821" s="5" t="s">
        <v>1197</v>
      </c>
      <c r="B821" s="5" t="s">
        <v>1196</v>
      </c>
      <c r="C821" s="3">
        <f>VLOOKUP(B821,LifeList!$E$2:$J$2038,6)</f>
        <v>34133</v>
      </c>
      <c r="D821" s="3" t="str">
        <f>VLOOKUP(B821,LifeList!$E$2:$G$2038,1)</f>
        <v>Chestnut-sided Warbler</v>
      </c>
      <c r="E821" s="3" t="str">
        <f>VLOOKUP(B821,LifeList!$E$2:$G$2038,2)</f>
        <v>Paruline à flancs marron</v>
      </c>
      <c r="F821" s="3" t="str">
        <f>VLOOKUP(B821,LifeList!$E$2:$G$2038,3)</f>
        <v>Setophaga pensylvanica</v>
      </c>
      <c r="G821" s="3" t="str">
        <f>VLOOKUP(B821,LifeList!$E$2:$I$2038,4)</f>
        <v>Passeriformes</v>
      </c>
      <c r="H821" s="3" t="str">
        <f>VLOOKUP(B821,LifeList!$E$2:$I$2038,5)</f>
        <v>Parulidae (New World Warblers)</v>
      </c>
      <c r="I821" s="3"/>
    </row>
    <row r="822" spans="1:9" ht="10.5" customHeight="1">
      <c r="A822" s="3" t="s">
        <v>1198</v>
      </c>
      <c r="B822" s="3" t="s">
        <v>1199</v>
      </c>
      <c r="C822" s="3">
        <f>VLOOKUP(B822,LifeList!$E$2:$J$2038,6)</f>
        <v>34133</v>
      </c>
      <c r="D822" s="3" t="str">
        <f>VLOOKUP(B822,LifeList!$E$2:$G$2038,1)</f>
        <v>Chestnut-sided Warbler</v>
      </c>
      <c r="E822" s="3" t="str">
        <f>VLOOKUP(B822,LifeList!$E$2:$G$2038,2)</f>
        <v>Paruline à flancs marron</v>
      </c>
      <c r="F822" s="3" t="str">
        <f>VLOOKUP(B822,LifeList!$E$2:$G$2038,3)</f>
        <v>Setophaga pensylvanica</v>
      </c>
      <c r="G822" s="3" t="str">
        <f>VLOOKUP(B822,LifeList!$E$2:$I$2038,4)</f>
        <v>Passeriformes</v>
      </c>
      <c r="H822" s="3" t="str">
        <f>VLOOKUP(B822,LifeList!$E$2:$I$2038,5)</f>
        <v>Parulidae (New World Warblers)</v>
      </c>
      <c r="I822" s="3"/>
    </row>
    <row r="823" spans="1:9" ht="10.5" customHeight="1">
      <c r="A823" s="3" t="s">
        <v>1200</v>
      </c>
      <c r="B823" s="3" t="s">
        <v>1199</v>
      </c>
      <c r="C823" s="3">
        <f>VLOOKUP(B823,LifeList!$E$2:$J$2038,6)</f>
        <v>34133</v>
      </c>
      <c r="D823" s="3" t="str">
        <f>VLOOKUP(B823,LifeList!$E$2:$G$2038,1)</f>
        <v>Chestnut-sided Warbler</v>
      </c>
      <c r="E823" s="3" t="str">
        <f>VLOOKUP(B823,LifeList!$E$2:$G$2038,2)</f>
        <v>Paruline à flancs marron</v>
      </c>
      <c r="F823" s="3" t="str">
        <f>VLOOKUP(B823,LifeList!$E$2:$G$2038,3)</f>
        <v>Setophaga pensylvanica</v>
      </c>
      <c r="G823" s="3" t="str">
        <f>VLOOKUP(B823,LifeList!$E$2:$I$2038,4)</f>
        <v>Passeriformes</v>
      </c>
      <c r="H823" s="3" t="str">
        <f>VLOOKUP(B823,LifeList!$E$2:$I$2038,5)</f>
        <v>Parulidae (New World Warblers)</v>
      </c>
      <c r="I823" s="3"/>
    </row>
    <row r="824" spans="1:9" ht="10.5" customHeight="1">
      <c r="A824" s="3" t="s">
        <v>1201</v>
      </c>
      <c r="B824" s="3" t="s">
        <v>1199</v>
      </c>
      <c r="C824" s="3">
        <f>VLOOKUP(B824,LifeList!$E$2:$J$2038,6)</f>
        <v>34133</v>
      </c>
      <c r="D824" s="3" t="str">
        <f>VLOOKUP(B824,LifeList!$E$2:$G$2038,1)</f>
        <v>Chestnut-sided Warbler</v>
      </c>
      <c r="E824" s="3" t="str">
        <f>VLOOKUP(B824,LifeList!$E$2:$G$2038,2)</f>
        <v>Paruline à flancs marron</v>
      </c>
      <c r="F824" s="3" t="str">
        <f>VLOOKUP(B824,LifeList!$E$2:$G$2038,3)</f>
        <v>Setophaga pensylvanica</v>
      </c>
      <c r="G824" s="3" t="str">
        <f>VLOOKUP(B824,LifeList!$E$2:$I$2038,4)</f>
        <v>Passeriformes</v>
      </c>
      <c r="H824" s="3" t="str">
        <f>VLOOKUP(B824,LifeList!$E$2:$I$2038,5)</f>
        <v>Parulidae (New World Warblers)</v>
      </c>
      <c r="I824" s="3"/>
    </row>
    <row r="825" spans="1:9" ht="10.5" customHeight="1">
      <c r="A825" s="3" t="s">
        <v>1202</v>
      </c>
      <c r="B825" s="3" t="s">
        <v>1199</v>
      </c>
      <c r="C825" s="3">
        <f>VLOOKUP(B825,LifeList!$E$2:$J$2038,6)</f>
        <v>34133</v>
      </c>
      <c r="D825" s="3" t="str">
        <f>VLOOKUP(B825,LifeList!$E$2:$G$2038,1)</f>
        <v>Chestnut-sided Warbler</v>
      </c>
      <c r="E825" s="3" t="str">
        <f>VLOOKUP(B825,LifeList!$E$2:$G$2038,2)</f>
        <v>Paruline à flancs marron</v>
      </c>
      <c r="F825" s="3" t="str">
        <f>VLOOKUP(B825,LifeList!$E$2:$G$2038,3)</f>
        <v>Setophaga pensylvanica</v>
      </c>
      <c r="G825" s="3" t="str">
        <f>VLOOKUP(B825,LifeList!$E$2:$I$2038,4)</f>
        <v>Passeriformes</v>
      </c>
      <c r="H825" s="3" t="str">
        <f>VLOOKUP(B825,LifeList!$E$2:$I$2038,5)</f>
        <v>Parulidae (New World Warblers)</v>
      </c>
      <c r="I825" s="3"/>
    </row>
    <row r="826" spans="1:9" ht="10.5" customHeight="1">
      <c r="A826" s="3" t="s">
        <v>1203</v>
      </c>
      <c r="B826" s="3" t="s">
        <v>1199</v>
      </c>
      <c r="C826" s="3">
        <f>VLOOKUP(B826,LifeList!$E$2:$J$2038,6)</f>
        <v>34133</v>
      </c>
      <c r="D826" s="3" t="str">
        <f>VLOOKUP(B826,LifeList!$E$2:$G$2038,1)</f>
        <v>Chestnut-sided Warbler</v>
      </c>
      <c r="E826" s="3" t="str">
        <f>VLOOKUP(B826,LifeList!$E$2:$G$2038,2)</f>
        <v>Paruline à flancs marron</v>
      </c>
      <c r="F826" s="3" t="str">
        <f>VLOOKUP(B826,LifeList!$E$2:$G$2038,3)</f>
        <v>Setophaga pensylvanica</v>
      </c>
      <c r="G826" s="3" t="str">
        <f>VLOOKUP(B826,LifeList!$E$2:$I$2038,4)</f>
        <v>Passeriformes</v>
      </c>
      <c r="H826" s="3" t="str">
        <f>VLOOKUP(B826,LifeList!$E$2:$I$2038,5)</f>
        <v>Parulidae (New World Warblers)</v>
      </c>
      <c r="I826" s="3"/>
    </row>
    <row r="827" spans="1:9" ht="10.5" customHeight="1">
      <c r="A827" s="3" t="s">
        <v>1204</v>
      </c>
      <c r="B827" s="3" t="s">
        <v>1199</v>
      </c>
      <c r="C827" s="3">
        <f>VLOOKUP(B827,LifeList!$E$2:$J$2038,6)</f>
        <v>34133</v>
      </c>
      <c r="D827" s="3" t="str">
        <f>VLOOKUP(B827,LifeList!$E$2:$G$2038,1)</f>
        <v>Chestnut-sided Warbler</v>
      </c>
      <c r="E827" s="3" t="str">
        <f>VLOOKUP(B827,LifeList!$E$2:$G$2038,2)</f>
        <v>Paruline à flancs marron</v>
      </c>
      <c r="F827" s="3" t="str">
        <f>VLOOKUP(B827,LifeList!$E$2:$G$2038,3)</f>
        <v>Setophaga pensylvanica</v>
      </c>
      <c r="G827" s="3" t="str">
        <f>VLOOKUP(B827,LifeList!$E$2:$I$2038,4)</f>
        <v>Passeriformes</v>
      </c>
      <c r="H827" s="3" t="str">
        <f>VLOOKUP(B827,LifeList!$E$2:$I$2038,5)</f>
        <v>Parulidae (New World Warblers)</v>
      </c>
      <c r="I827" s="3"/>
    </row>
    <row r="828" spans="1:9" ht="10.5" customHeight="1">
      <c r="A828" s="3" t="s">
        <v>1205</v>
      </c>
      <c r="B828" s="3" t="s">
        <v>1199</v>
      </c>
      <c r="C828" s="3">
        <f>VLOOKUP(B828,LifeList!$E$2:$J$2038,6)</f>
        <v>34133</v>
      </c>
      <c r="D828" s="3" t="str">
        <f>VLOOKUP(B828,LifeList!$E$2:$G$2038,1)</f>
        <v>Chestnut-sided Warbler</v>
      </c>
      <c r="E828" s="3" t="str">
        <f>VLOOKUP(B828,LifeList!$E$2:$G$2038,2)</f>
        <v>Paruline à flancs marron</v>
      </c>
      <c r="F828" s="3" t="str">
        <f>VLOOKUP(B828,LifeList!$E$2:$G$2038,3)</f>
        <v>Setophaga pensylvanica</v>
      </c>
      <c r="G828" s="3" t="str">
        <f>VLOOKUP(B828,LifeList!$E$2:$I$2038,4)</f>
        <v>Passeriformes</v>
      </c>
      <c r="H828" s="3" t="str">
        <f>VLOOKUP(B828,LifeList!$E$2:$I$2038,5)</f>
        <v>Parulidae (New World Warblers)</v>
      </c>
      <c r="I828" s="3"/>
    </row>
    <row r="829" spans="1:9" ht="10.5" customHeight="1">
      <c r="A829" s="3" t="s">
        <v>1206</v>
      </c>
      <c r="B829" s="3" t="s">
        <v>1199</v>
      </c>
      <c r="C829" s="3">
        <f>VLOOKUP(B829,LifeList!$E$2:$J$2038,6)</f>
        <v>34133</v>
      </c>
      <c r="D829" s="3" t="str">
        <f>VLOOKUP(B829,LifeList!$E$2:$G$2038,1)</f>
        <v>Chestnut-sided Warbler</v>
      </c>
      <c r="E829" s="3" t="str">
        <f>VLOOKUP(B829,LifeList!$E$2:$G$2038,2)</f>
        <v>Paruline à flancs marron</v>
      </c>
      <c r="F829" s="3" t="str">
        <f>VLOOKUP(B829,LifeList!$E$2:$G$2038,3)</f>
        <v>Setophaga pensylvanica</v>
      </c>
      <c r="G829" s="3" t="str">
        <f>VLOOKUP(B829,LifeList!$E$2:$I$2038,4)</f>
        <v>Passeriformes</v>
      </c>
      <c r="H829" s="3" t="str">
        <f>VLOOKUP(B829,LifeList!$E$2:$I$2038,5)</f>
        <v>Parulidae (New World Warblers)</v>
      </c>
      <c r="I829" s="3"/>
    </row>
    <row r="830" spans="1:9" ht="10.5" customHeight="1">
      <c r="A830" s="3" t="s">
        <v>1207</v>
      </c>
      <c r="B830" s="3" t="s">
        <v>1199</v>
      </c>
      <c r="C830" s="3">
        <f>VLOOKUP(B830,LifeList!$E$2:$J$2038,6)</f>
        <v>34133</v>
      </c>
      <c r="D830" s="3" t="str">
        <f>VLOOKUP(B830,LifeList!$E$2:$G$2038,1)</f>
        <v>Chestnut-sided Warbler</v>
      </c>
      <c r="E830" s="3" t="str">
        <f>VLOOKUP(B830,LifeList!$E$2:$G$2038,2)</f>
        <v>Paruline à flancs marron</v>
      </c>
      <c r="F830" s="3" t="str">
        <f>VLOOKUP(B830,LifeList!$E$2:$G$2038,3)</f>
        <v>Setophaga pensylvanica</v>
      </c>
      <c r="G830" s="3" t="str">
        <f>VLOOKUP(B830,LifeList!$E$2:$I$2038,4)</f>
        <v>Passeriformes</v>
      </c>
      <c r="H830" s="3" t="str">
        <f>VLOOKUP(B830,LifeList!$E$2:$I$2038,5)</f>
        <v>Parulidae (New World Warblers)</v>
      </c>
      <c r="I830" s="3"/>
    </row>
    <row r="831" spans="1:9" ht="10.5" customHeight="1">
      <c r="A831" s="3" t="s">
        <v>1208</v>
      </c>
      <c r="B831" s="3" t="s">
        <v>1199</v>
      </c>
      <c r="C831" s="3">
        <f>VLOOKUP(B831,LifeList!$E$2:$J$2038,6)</f>
        <v>34133</v>
      </c>
      <c r="D831" s="3" t="str">
        <f>VLOOKUP(B831,LifeList!$E$2:$G$2038,1)</f>
        <v>Chestnut-sided Warbler</v>
      </c>
      <c r="E831" s="3" t="str">
        <f>VLOOKUP(B831,LifeList!$E$2:$G$2038,2)</f>
        <v>Paruline à flancs marron</v>
      </c>
      <c r="F831" s="3" t="str">
        <f>VLOOKUP(B831,LifeList!$E$2:$G$2038,3)</f>
        <v>Setophaga pensylvanica</v>
      </c>
      <c r="G831" s="3" t="str">
        <f>VLOOKUP(B831,LifeList!$E$2:$I$2038,4)</f>
        <v>Passeriformes</v>
      </c>
      <c r="H831" s="3" t="str">
        <f>VLOOKUP(B831,LifeList!$E$2:$I$2038,5)</f>
        <v>Parulidae (New World Warblers)</v>
      </c>
      <c r="I831" s="3"/>
    </row>
    <row r="832" spans="1:9" ht="10.5" customHeight="1">
      <c r="A832" s="3" t="s">
        <v>1209</v>
      </c>
      <c r="B832" s="3" t="s">
        <v>1199</v>
      </c>
      <c r="C832" s="3">
        <f>VLOOKUP(B832,LifeList!$E$2:$J$2038,6)</f>
        <v>34133</v>
      </c>
      <c r="D832" s="3" t="str">
        <f>VLOOKUP(B832,LifeList!$E$2:$G$2038,1)</f>
        <v>Chestnut-sided Warbler</v>
      </c>
      <c r="E832" s="3" t="str">
        <f>VLOOKUP(B832,LifeList!$E$2:$G$2038,2)</f>
        <v>Paruline à flancs marron</v>
      </c>
      <c r="F832" s="3" t="str">
        <f>VLOOKUP(B832,LifeList!$E$2:$G$2038,3)</f>
        <v>Setophaga pensylvanica</v>
      </c>
      <c r="G832" s="3" t="str">
        <f>VLOOKUP(B832,LifeList!$E$2:$I$2038,4)</f>
        <v>Passeriformes</v>
      </c>
      <c r="H832" s="3" t="str">
        <f>VLOOKUP(B832,LifeList!$E$2:$I$2038,5)</f>
        <v>Parulidae (New World Warblers)</v>
      </c>
      <c r="I832" s="3"/>
    </row>
    <row r="833" spans="1:9" ht="10.5" customHeight="1">
      <c r="A833" s="3" t="s">
        <v>1210</v>
      </c>
      <c r="B833" s="3" t="s">
        <v>1199</v>
      </c>
      <c r="C833" s="3">
        <f>VLOOKUP(B833,LifeList!$E$2:$J$2038,6)</f>
        <v>34133</v>
      </c>
      <c r="D833" s="3" t="str">
        <f>VLOOKUP(B833,LifeList!$E$2:$G$2038,1)</f>
        <v>Chestnut-sided Warbler</v>
      </c>
      <c r="E833" s="3" t="str">
        <f>VLOOKUP(B833,LifeList!$E$2:$G$2038,2)</f>
        <v>Paruline à flancs marron</v>
      </c>
      <c r="F833" s="3" t="str">
        <f>VLOOKUP(B833,LifeList!$E$2:$G$2038,3)</f>
        <v>Setophaga pensylvanica</v>
      </c>
      <c r="G833" s="3" t="str">
        <f>VLOOKUP(B833,LifeList!$E$2:$I$2038,4)</f>
        <v>Passeriformes</v>
      </c>
      <c r="H833" s="3" t="str">
        <f>VLOOKUP(B833,LifeList!$E$2:$I$2038,5)</f>
        <v>Parulidae (New World Warblers)</v>
      </c>
      <c r="I833" s="3"/>
    </row>
    <row r="834" spans="1:9" ht="10.5" customHeight="1">
      <c r="A834" s="3" t="s">
        <v>1211</v>
      </c>
      <c r="B834" s="3" t="s">
        <v>1199</v>
      </c>
      <c r="C834" s="3">
        <f>VLOOKUP(B834,LifeList!$E$2:$J$2038,6)</f>
        <v>34133</v>
      </c>
      <c r="D834" s="3" t="str">
        <f>VLOOKUP(B834,LifeList!$E$2:$G$2038,1)</f>
        <v>Chestnut-sided Warbler</v>
      </c>
      <c r="E834" s="3" t="str">
        <f>VLOOKUP(B834,LifeList!$E$2:$G$2038,2)</f>
        <v>Paruline à flancs marron</v>
      </c>
      <c r="F834" s="3" t="str">
        <f>VLOOKUP(B834,LifeList!$E$2:$G$2038,3)</f>
        <v>Setophaga pensylvanica</v>
      </c>
      <c r="G834" s="3" t="str">
        <f>VLOOKUP(B834,LifeList!$E$2:$I$2038,4)</f>
        <v>Passeriformes</v>
      </c>
      <c r="H834" s="3" t="str">
        <f>VLOOKUP(B834,LifeList!$E$2:$I$2038,5)</f>
        <v>Parulidae (New World Warblers)</v>
      </c>
      <c r="I834" s="3"/>
    </row>
    <row r="835" spans="1:9" ht="10.5" customHeight="1">
      <c r="A835" s="3" t="s">
        <v>1212</v>
      </c>
      <c r="B835" s="3" t="s">
        <v>1199</v>
      </c>
      <c r="C835" s="3">
        <f>VLOOKUP(B835,LifeList!$E$2:$J$2038,6)</f>
        <v>34133</v>
      </c>
      <c r="D835" s="3" t="str">
        <f>VLOOKUP(B835,LifeList!$E$2:$G$2038,1)</f>
        <v>Chestnut-sided Warbler</v>
      </c>
      <c r="E835" s="3" t="str">
        <f>VLOOKUP(B835,LifeList!$E$2:$G$2038,2)</f>
        <v>Paruline à flancs marron</v>
      </c>
      <c r="F835" s="3" t="str">
        <f>VLOOKUP(B835,LifeList!$E$2:$G$2038,3)</f>
        <v>Setophaga pensylvanica</v>
      </c>
      <c r="G835" s="3" t="str">
        <f>VLOOKUP(B835,LifeList!$E$2:$I$2038,4)</f>
        <v>Passeriformes</v>
      </c>
      <c r="H835" s="3" t="str">
        <f>VLOOKUP(B835,LifeList!$E$2:$I$2038,5)</f>
        <v>Parulidae (New World Warblers)</v>
      </c>
      <c r="I835" s="3"/>
    </row>
    <row r="836" spans="1:9" ht="10.5" customHeight="1">
      <c r="A836" s="3" t="s">
        <v>1213</v>
      </c>
      <c r="B836" s="3" t="s">
        <v>1214</v>
      </c>
      <c r="C836" s="3">
        <f>VLOOKUP(B836,LifeList!$E$2:$J$2038,6)</f>
        <v>970</v>
      </c>
      <c r="D836" s="3" t="str">
        <f>VLOOKUP(B836,LifeList!$E$2:$G$2038,1)</f>
        <v>Chestnut-winged Chachalaca</v>
      </c>
      <c r="E836" s="3" t="str">
        <f>VLOOKUP(B836,LifeList!$E$2:$G$2038,2)</f>
        <v>Ortalide babillarde</v>
      </c>
      <c r="F836" s="3" t="str">
        <f>VLOOKUP(B836,LifeList!$E$2:$G$2038,3)</f>
        <v>Ortalis garrula</v>
      </c>
      <c r="G836" s="3" t="str">
        <f>VLOOKUP(B836,LifeList!$E$2:$I$2038,4)</f>
        <v>Galliformes</v>
      </c>
      <c r="H836" s="3" t="str">
        <f>VLOOKUP(B836,LifeList!$E$2:$I$2038,5)</f>
        <v>Cracidae (Guans, Chachalacas, and Curassows)</v>
      </c>
      <c r="I836" s="3"/>
    </row>
    <row r="837" spans="1:9" ht="10.5" customHeight="1">
      <c r="A837" s="3" t="s">
        <v>1215</v>
      </c>
      <c r="B837" s="3" t="s">
        <v>1216</v>
      </c>
      <c r="C837" s="3">
        <f>VLOOKUP(B837,LifeList!$E$2:$J$2038,6)</f>
        <v>15092</v>
      </c>
      <c r="D837" s="3" t="str">
        <f>VLOOKUP(B837,LifeList!$E$2:$G$2038,1)</f>
        <v>Chestnut-winged Cinclodes</v>
      </c>
      <c r="E837" s="3" t="str">
        <f>VLOOKUP(B837,LifeList!$E$2:$G$2038,2)</f>
        <v>Cinclode à miroir marron</v>
      </c>
      <c r="F837" s="3" t="str">
        <f>VLOOKUP(B837,LifeList!$E$2:$G$2038,3)</f>
        <v>Cinclodes albidiventris</v>
      </c>
      <c r="G837" s="3" t="str">
        <f>VLOOKUP(B837,LifeList!$E$2:$I$2038,4)</f>
        <v>Passeriformes</v>
      </c>
      <c r="H837" s="3" t="str">
        <f>VLOOKUP(B837,LifeList!$E$2:$I$2038,5)</f>
        <v>Furnariidae (Ovenbirds and Woodcreepers)</v>
      </c>
      <c r="I837" s="3"/>
    </row>
    <row r="838" spans="1:9" ht="10.5" customHeight="1">
      <c r="A838" s="3" t="s">
        <v>1217</v>
      </c>
      <c r="B838" s="3" t="s">
        <v>1218</v>
      </c>
      <c r="C838" s="3">
        <f>VLOOKUP(B838,LifeList!$E$2:$J$2038,6)</f>
        <v>3896</v>
      </c>
      <c r="D838" s="3" t="str">
        <f>VLOOKUP(B838,LifeList!$E$2:$G$2038,1)</f>
        <v>Chimney Swift</v>
      </c>
      <c r="E838" s="3" t="str">
        <f>VLOOKUP(B838,LifeList!$E$2:$G$2038,2)</f>
        <v>Martinet ramoneur</v>
      </c>
      <c r="F838" s="3" t="str">
        <f>VLOOKUP(B838,LifeList!$E$2:$G$2038,3)</f>
        <v>Chaetura pelagica</v>
      </c>
      <c r="G838" s="3" t="str">
        <f>VLOOKUP(B838,LifeList!$E$2:$I$2038,4)</f>
        <v>Apodiformes</v>
      </c>
      <c r="H838" s="3" t="str">
        <f>VLOOKUP(B838,LifeList!$E$2:$I$2038,5)</f>
        <v>Apodidae (Swifts)</v>
      </c>
      <c r="I838" s="3"/>
    </row>
    <row r="839" spans="1:9" ht="10.5" customHeight="1">
      <c r="A839" s="3" t="s">
        <v>1219</v>
      </c>
      <c r="B839" s="3" t="s">
        <v>1218</v>
      </c>
      <c r="C839" s="3">
        <f>VLOOKUP(B839,LifeList!$E$2:$J$2038,6)</f>
        <v>3896</v>
      </c>
      <c r="D839" s="3" t="str">
        <f>VLOOKUP(B839,LifeList!$E$2:$G$2038,1)</f>
        <v>Chimney Swift</v>
      </c>
      <c r="E839" s="3" t="str">
        <f>VLOOKUP(B839,LifeList!$E$2:$G$2038,2)</f>
        <v>Martinet ramoneur</v>
      </c>
      <c r="F839" s="3" t="str">
        <f>VLOOKUP(B839,LifeList!$E$2:$G$2038,3)</f>
        <v>Chaetura pelagica</v>
      </c>
      <c r="G839" s="3" t="str">
        <f>VLOOKUP(B839,LifeList!$E$2:$I$2038,4)</f>
        <v>Apodiformes</v>
      </c>
      <c r="H839" s="3" t="str">
        <f>VLOOKUP(B839,LifeList!$E$2:$I$2038,5)</f>
        <v>Apodidae (Swifts)</v>
      </c>
      <c r="I839" s="3"/>
    </row>
    <row r="840" spans="1:9" ht="10.5" customHeight="1">
      <c r="A840" s="7" t="s">
        <v>1220</v>
      </c>
      <c r="B840" s="9" t="s">
        <v>1221</v>
      </c>
      <c r="C840" s="3">
        <f>VLOOKUP(B840,LifeList!$E$2:$J$2038,6)</f>
        <v>19875</v>
      </c>
      <c r="D840" s="3" t="str">
        <f>VLOOKUP(B840,LifeList!$E$2:$G$2038,1)</f>
        <v>Chinspot Batis</v>
      </c>
      <c r="E840" s="3" t="str">
        <f>VLOOKUP(B840,LifeList!$E$2:$G$2038,2)</f>
        <v>Pririt molitor</v>
      </c>
      <c r="F840" s="3" t="str">
        <f>VLOOKUP(B840,LifeList!$E$2:$G$2038,3)</f>
        <v>Batis molitor</v>
      </c>
      <c r="G840" s="3" t="str">
        <f>VLOOKUP(B840,LifeList!$E$2:$I$2038,4)</f>
        <v>Passeriformes</v>
      </c>
      <c r="H840" s="3" t="str">
        <f>VLOOKUP(B840,LifeList!$E$2:$I$2038,5)</f>
        <v>Platysteiridae (Wattle-eyes and Batises)</v>
      </c>
      <c r="I840" s="3"/>
    </row>
    <row r="841" spans="1:9" ht="10.5" customHeight="1">
      <c r="A841" s="3" t="s">
        <v>1222</v>
      </c>
      <c r="B841" s="3" t="s">
        <v>1223</v>
      </c>
      <c r="C841" s="3">
        <f>VLOOKUP(B841,LifeList!$E$2:$J$2038,6)</f>
        <v>32990</v>
      </c>
      <c r="D841" s="3" t="str">
        <f>VLOOKUP(B841,LifeList!$E$2:$G$2038,1)</f>
        <v>Chipping Sparrow</v>
      </c>
      <c r="E841" s="3" t="str">
        <f>VLOOKUP(B841,LifeList!$E$2:$G$2038,2)</f>
        <v>Bruant familier</v>
      </c>
      <c r="F841" s="3" t="str">
        <f>VLOOKUP(B841,LifeList!$E$2:$G$2038,3)</f>
        <v>Spizella passerina</v>
      </c>
      <c r="G841" s="3" t="str">
        <f>VLOOKUP(B841,LifeList!$E$2:$I$2038,4)</f>
        <v>Passeriformes</v>
      </c>
      <c r="H841" s="3" t="str">
        <f>VLOOKUP(B841,LifeList!$E$2:$I$2038,5)</f>
        <v>Passerellidae (New World Sparrows)</v>
      </c>
      <c r="I841" s="3"/>
    </row>
    <row r="842" spans="1:9" ht="10.5" customHeight="1">
      <c r="A842" s="3" t="s">
        <v>1224</v>
      </c>
      <c r="B842" s="3" t="s">
        <v>1223</v>
      </c>
      <c r="C842" s="3">
        <f>VLOOKUP(B842,LifeList!$E$2:$J$2038,6)</f>
        <v>32990</v>
      </c>
      <c r="D842" s="3" t="str">
        <f>VLOOKUP(B842,LifeList!$E$2:$G$2038,1)</f>
        <v>Chipping Sparrow</v>
      </c>
      <c r="E842" s="3" t="str">
        <f>VLOOKUP(B842,LifeList!$E$2:$G$2038,2)</f>
        <v>Bruant familier</v>
      </c>
      <c r="F842" s="3" t="str">
        <f>VLOOKUP(B842,LifeList!$E$2:$G$2038,3)</f>
        <v>Spizella passerina</v>
      </c>
      <c r="G842" s="3" t="str">
        <f>VLOOKUP(B842,LifeList!$E$2:$I$2038,4)</f>
        <v>Passeriformes</v>
      </c>
      <c r="H842" s="3" t="str">
        <f>VLOOKUP(B842,LifeList!$E$2:$I$2038,5)</f>
        <v>Passerellidae (New World Sparrows)</v>
      </c>
      <c r="I842" s="3"/>
    </row>
    <row r="843" spans="1:9" ht="10.5" customHeight="1">
      <c r="A843" s="3" t="s">
        <v>1225</v>
      </c>
      <c r="B843" s="3" t="s">
        <v>1223</v>
      </c>
      <c r="C843" s="3">
        <f>VLOOKUP(B843,LifeList!$E$2:$J$2038,6)</f>
        <v>32990</v>
      </c>
      <c r="D843" s="3" t="str">
        <f>VLOOKUP(B843,LifeList!$E$2:$G$2038,1)</f>
        <v>Chipping Sparrow</v>
      </c>
      <c r="E843" s="3" t="str">
        <f>VLOOKUP(B843,LifeList!$E$2:$G$2038,2)</f>
        <v>Bruant familier</v>
      </c>
      <c r="F843" s="3" t="str">
        <f>VLOOKUP(B843,LifeList!$E$2:$G$2038,3)</f>
        <v>Spizella passerina</v>
      </c>
      <c r="G843" s="3" t="str">
        <f>VLOOKUP(B843,LifeList!$E$2:$I$2038,4)</f>
        <v>Passeriformes</v>
      </c>
      <c r="H843" s="3" t="str">
        <f>VLOOKUP(B843,LifeList!$E$2:$I$2038,5)</f>
        <v>Passerellidae (New World Sparrows)</v>
      </c>
      <c r="I843" s="3"/>
    </row>
    <row r="844" spans="1:9" ht="10.5" customHeight="1">
      <c r="A844" s="3" t="s">
        <v>1226</v>
      </c>
      <c r="B844" s="3" t="s">
        <v>1223</v>
      </c>
      <c r="C844" s="3">
        <f>VLOOKUP(B844,LifeList!$E$2:$J$2038,6)</f>
        <v>32990</v>
      </c>
      <c r="D844" s="3" t="str">
        <f>VLOOKUP(B844,LifeList!$E$2:$G$2038,1)</f>
        <v>Chipping Sparrow</v>
      </c>
      <c r="E844" s="3" t="str">
        <f>VLOOKUP(B844,LifeList!$E$2:$G$2038,2)</f>
        <v>Bruant familier</v>
      </c>
      <c r="F844" s="3" t="str">
        <f>VLOOKUP(B844,LifeList!$E$2:$G$2038,3)</f>
        <v>Spizella passerina</v>
      </c>
      <c r="G844" s="3" t="str">
        <f>VLOOKUP(B844,LifeList!$E$2:$I$2038,4)</f>
        <v>Passeriformes</v>
      </c>
      <c r="H844" s="3" t="str">
        <f>VLOOKUP(B844,LifeList!$E$2:$I$2038,5)</f>
        <v>Passerellidae (New World Sparrows)</v>
      </c>
      <c r="I844" s="3"/>
    </row>
    <row r="845" spans="1:9" ht="10.5" customHeight="1">
      <c r="A845" s="3" t="s">
        <v>1227</v>
      </c>
      <c r="B845" s="3" t="s">
        <v>1223</v>
      </c>
      <c r="C845" s="3">
        <f>VLOOKUP(B845,LifeList!$E$2:$J$2038,6)</f>
        <v>32990</v>
      </c>
      <c r="D845" s="3" t="str">
        <f>VLOOKUP(B845,LifeList!$E$2:$G$2038,1)</f>
        <v>Chipping Sparrow</v>
      </c>
      <c r="E845" s="3" t="str">
        <f>VLOOKUP(B845,LifeList!$E$2:$G$2038,2)</f>
        <v>Bruant familier</v>
      </c>
      <c r="F845" s="3" t="str">
        <f>VLOOKUP(B845,LifeList!$E$2:$G$2038,3)</f>
        <v>Spizella passerina</v>
      </c>
      <c r="G845" s="3" t="str">
        <f>VLOOKUP(B845,LifeList!$E$2:$I$2038,4)</f>
        <v>Passeriformes</v>
      </c>
      <c r="H845" s="3" t="str">
        <f>VLOOKUP(B845,LifeList!$E$2:$I$2038,5)</f>
        <v>Passerellidae (New World Sparrows)</v>
      </c>
      <c r="I845" s="3"/>
    </row>
    <row r="846" spans="1:9" ht="10.5" customHeight="1">
      <c r="A846" s="3" t="s">
        <v>1228</v>
      </c>
      <c r="B846" s="3" t="s">
        <v>1223</v>
      </c>
      <c r="C846" s="3">
        <f>VLOOKUP(B846,LifeList!$E$2:$J$2038,6)</f>
        <v>32990</v>
      </c>
      <c r="D846" s="3" t="str">
        <f>VLOOKUP(B846,LifeList!$E$2:$G$2038,1)</f>
        <v>Chipping Sparrow</v>
      </c>
      <c r="E846" s="3" t="str">
        <f>VLOOKUP(B846,LifeList!$E$2:$G$2038,2)</f>
        <v>Bruant familier</v>
      </c>
      <c r="F846" s="3" t="str">
        <f>VLOOKUP(B846,LifeList!$E$2:$G$2038,3)</f>
        <v>Spizella passerina</v>
      </c>
      <c r="G846" s="3" t="str">
        <f>VLOOKUP(B846,LifeList!$E$2:$I$2038,4)</f>
        <v>Passeriformes</v>
      </c>
      <c r="H846" s="3" t="str">
        <f>VLOOKUP(B846,LifeList!$E$2:$I$2038,5)</f>
        <v>Passerellidae (New World Sparrows)</v>
      </c>
      <c r="I846" s="3"/>
    </row>
    <row r="847" spans="1:9" ht="10.5" customHeight="1">
      <c r="A847" s="3" t="s">
        <v>1229</v>
      </c>
      <c r="B847" s="3" t="s">
        <v>1223</v>
      </c>
      <c r="C847" s="3">
        <f>VLOOKUP(B847,LifeList!$E$2:$J$2038,6)</f>
        <v>32990</v>
      </c>
      <c r="D847" s="3" t="str">
        <f>VLOOKUP(B847,LifeList!$E$2:$G$2038,1)</f>
        <v>Chipping Sparrow</v>
      </c>
      <c r="E847" s="3" t="str">
        <f>VLOOKUP(B847,LifeList!$E$2:$G$2038,2)</f>
        <v>Bruant familier</v>
      </c>
      <c r="F847" s="3" t="str">
        <f>VLOOKUP(B847,LifeList!$E$2:$G$2038,3)</f>
        <v>Spizella passerina</v>
      </c>
      <c r="G847" s="3" t="str">
        <f>VLOOKUP(B847,LifeList!$E$2:$I$2038,4)</f>
        <v>Passeriformes</v>
      </c>
      <c r="H847" s="3" t="str">
        <f>VLOOKUP(B847,LifeList!$E$2:$I$2038,5)</f>
        <v>Passerellidae (New World Sparrows)</v>
      </c>
      <c r="I847" s="3"/>
    </row>
    <row r="848" spans="1:9" ht="10.5" customHeight="1">
      <c r="A848" s="3" t="s">
        <v>1230</v>
      </c>
      <c r="B848" s="3" t="s">
        <v>1223</v>
      </c>
      <c r="C848" s="3">
        <f>VLOOKUP(B848,LifeList!$E$2:$J$2038,6)</f>
        <v>32990</v>
      </c>
      <c r="D848" s="3" t="str">
        <f>VLOOKUP(B848,LifeList!$E$2:$G$2038,1)</f>
        <v>Chipping Sparrow</v>
      </c>
      <c r="E848" s="3" t="str">
        <f>VLOOKUP(B848,LifeList!$E$2:$G$2038,2)</f>
        <v>Bruant familier</v>
      </c>
      <c r="F848" s="3" t="str">
        <f>VLOOKUP(B848,LifeList!$E$2:$G$2038,3)</f>
        <v>Spizella passerina</v>
      </c>
      <c r="G848" s="3" t="str">
        <f>VLOOKUP(B848,LifeList!$E$2:$I$2038,4)</f>
        <v>Passeriformes</v>
      </c>
      <c r="H848" s="3" t="str">
        <f>VLOOKUP(B848,LifeList!$E$2:$I$2038,5)</f>
        <v>Passerellidae (New World Sparrows)</v>
      </c>
      <c r="I848" s="3"/>
    </row>
    <row r="849" spans="1:9" ht="10.5" customHeight="1">
      <c r="A849" s="3" t="s">
        <v>1231</v>
      </c>
      <c r="B849" s="3" t="s">
        <v>1223</v>
      </c>
      <c r="C849" s="3">
        <f>VLOOKUP(B849,LifeList!$E$2:$J$2038,6)</f>
        <v>32990</v>
      </c>
      <c r="D849" s="3" t="str">
        <f>VLOOKUP(B849,LifeList!$E$2:$G$2038,1)</f>
        <v>Chipping Sparrow</v>
      </c>
      <c r="E849" s="3" t="str">
        <f>VLOOKUP(B849,LifeList!$E$2:$G$2038,2)</f>
        <v>Bruant familier</v>
      </c>
      <c r="F849" s="3" t="str">
        <f>VLOOKUP(B849,LifeList!$E$2:$G$2038,3)</f>
        <v>Spizella passerina</v>
      </c>
      <c r="G849" s="3" t="str">
        <f>VLOOKUP(B849,LifeList!$E$2:$I$2038,4)</f>
        <v>Passeriformes</v>
      </c>
      <c r="H849" s="3" t="str">
        <f>VLOOKUP(B849,LifeList!$E$2:$I$2038,5)</f>
        <v>Passerellidae (New World Sparrows)</v>
      </c>
      <c r="I849" s="3"/>
    </row>
    <row r="850" spans="1:9" ht="10.5" customHeight="1">
      <c r="A850" s="3" t="s">
        <v>1232</v>
      </c>
      <c r="B850" s="3" t="s">
        <v>1223</v>
      </c>
      <c r="C850" s="3">
        <f>VLOOKUP(B850,LifeList!$E$2:$J$2038,6)</f>
        <v>32990</v>
      </c>
      <c r="D850" s="3" t="str">
        <f>VLOOKUP(B850,LifeList!$E$2:$G$2038,1)</f>
        <v>Chipping Sparrow</v>
      </c>
      <c r="E850" s="3" t="str">
        <f>VLOOKUP(B850,LifeList!$E$2:$G$2038,2)</f>
        <v>Bruant familier</v>
      </c>
      <c r="F850" s="3" t="str">
        <f>VLOOKUP(B850,LifeList!$E$2:$G$2038,3)</f>
        <v>Spizella passerina</v>
      </c>
      <c r="G850" s="3" t="str">
        <f>VLOOKUP(B850,LifeList!$E$2:$I$2038,4)</f>
        <v>Passeriformes</v>
      </c>
      <c r="H850" s="3" t="str">
        <f>VLOOKUP(B850,LifeList!$E$2:$I$2038,5)</f>
        <v>Passerellidae (New World Sparrows)</v>
      </c>
      <c r="I850" s="3"/>
    </row>
    <row r="851" spans="1:9" ht="10.5" customHeight="1">
      <c r="A851" s="5" t="s">
        <v>1233</v>
      </c>
      <c r="B851" s="5" t="s">
        <v>1234</v>
      </c>
      <c r="C851" s="6">
        <f>VLOOKUP(B851,LifeList!$E$2:$J$2038,6)</f>
        <v>18983</v>
      </c>
      <c r="D851" s="3" t="str">
        <f>VLOOKUP(B851,LifeList!$E$2:$G$2038,1)</f>
        <v>Chirruping Wedgebill</v>
      </c>
      <c r="E851" s="3" t="str">
        <f>VLOOKUP(B851,LifeList!$E$2:$G$2038,2)</f>
        <v>Psophode babillard</v>
      </c>
      <c r="F851" s="3" t="str">
        <f>VLOOKUP(B851,LifeList!$E$2:$G$2038,3)</f>
        <v>Psophodes cristatus</v>
      </c>
      <c r="G851" s="3" t="str">
        <f>VLOOKUP(B851,LifeList!$E$2:$I$2038,4)</f>
        <v>Passeriformes</v>
      </c>
      <c r="H851" s="3" t="str">
        <f>VLOOKUP(B851,LifeList!$E$2:$I$2038,5)</f>
        <v>Psophodidae (Whipbirds and Wedgebills)</v>
      </c>
      <c r="I851" s="3"/>
    </row>
    <row r="852" spans="1:9" ht="10.5" customHeight="1">
      <c r="A852" s="3" t="s">
        <v>1235</v>
      </c>
      <c r="B852" s="3" t="s">
        <v>1236</v>
      </c>
      <c r="C852" s="3">
        <f>VLOOKUP(B852,LifeList!$E$2:$J$2038,6)</f>
        <v>33472</v>
      </c>
      <c r="D852" s="3" t="str">
        <f>VLOOKUP(B852,LifeList!$E$2:$G$2038,1)</f>
        <v>Choco Brushfinch</v>
      </c>
      <c r="E852" s="3" t="str">
        <f>VLOOKUP(B852,LifeList!$E$2:$G$2038,2)</f>
        <v>Tohi à bec fort</v>
      </c>
      <c r="F852" s="3" t="str">
        <f>VLOOKUP(B852,LifeList!$E$2:$G$2038,3)</f>
        <v>Atlapetes crassus</v>
      </c>
      <c r="G852" s="3" t="str">
        <f>VLOOKUP(B852,LifeList!$E$2:$I$2038,4)</f>
        <v>Passeriformes</v>
      </c>
      <c r="H852" s="3" t="str">
        <f>VLOOKUP(B852,LifeList!$E$2:$I$2038,5)</f>
        <v>Passerellidae (New World Sparrows)</v>
      </c>
      <c r="I852" s="3"/>
    </row>
    <row r="853" spans="1:9" ht="10.5" customHeight="1">
      <c r="A853" s="3" t="s">
        <v>1237</v>
      </c>
      <c r="B853" s="3" t="s">
        <v>1238</v>
      </c>
      <c r="C853" s="3">
        <f>VLOOKUP(B853,LifeList!$E$2:$J$2038,6)</f>
        <v>17262</v>
      </c>
      <c r="D853" s="3" t="str">
        <f>VLOOKUP(B853,LifeList!$E$2:$G$2038,1)</f>
        <v>Choco Sirystes</v>
      </c>
      <c r="E853" s="3" t="str">
        <f>VLOOKUP(B853,LifeList!$E$2:$G$2038,2)</f>
        <v>Tyran du Choco</v>
      </c>
      <c r="F853" s="3" t="str">
        <f>VLOOKUP(B853,LifeList!$E$2:$G$2038,3)</f>
        <v>Sirystes albogriseus</v>
      </c>
      <c r="G853" s="3" t="str">
        <f>VLOOKUP(B853,LifeList!$E$2:$I$2038,4)</f>
        <v>Passeriformes</v>
      </c>
      <c r="H853" s="3" t="str">
        <f>VLOOKUP(B853,LifeList!$E$2:$I$2038,5)</f>
        <v>Tyrannidae (Tyrant Flycatchers)</v>
      </c>
      <c r="I853" s="3"/>
    </row>
    <row r="854" spans="1:9" ht="10.5" customHeight="1">
      <c r="A854" s="3" t="s">
        <v>1239</v>
      </c>
      <c r="B854" s="3" t="s">
        <v>1240</v>
      </c>
      <c r="C854" s="3">
        <f>VLOOKUP(B854,LifeList!$E$2:$J$2038,6)</f>
        <v>10939</v>
      </c>
      <c r="D854" s="3" t="str">
        <f>VLOOKUP(B854,LifeList!$E$2:$G$2038,1)</f>
        <v>Choco Toucan</v>
      </c>
      <c r="E854" s="3" t="str">
        <f>VLOOKUP(B854,LifeList!$E$2:$G$2038,2)</f>
        <v>Toucan du Choco</v>
      </c>
      <c r="F854" s="3" t="str">
        <f>VLOOKUP(B854,LifeList!$E$2:$G$2038,3)</f>
        <v>Ramphastos brevis</v>
      </c>
      <c r="G854" s="3" t="str">
        <f>VLOOKUP(B854,LifeList!$E$2:$I$2038,4)</f>
        <v>Piciformes</v>
      </c>
      <c r="H854" s="3" t="str">
        <f>VLOOKUP(B854,LifeList!$E$2:$I$2038,5)</f>
        <v>Ramphastidae (Toucans)</v>
      </c>
      <c r="I854" s="3"/>
    </row>
    <row r="855" spans="1:9" ht="10.5" customHeight="1">
      <c r="A855" s="3" t="s">
        <v>1241</v>
      </c>
      <c r="B855" s="3" t="s">
        <v>1242</v>
      </c>
      <c r="C855" s="3">
        <f>VLOOKUP(B855,LifeList!$E$2:$J$2038,6)</f>
        <v>34324</v>
      </c>
      <c r="D855" s="3" t="str">
        <f>VLOOKUP(B855,LifeList!$E$2:$G$2038,1)</f>
        <v>Choco Warbler</v>
      </c>
      <c r="E855" s="3" t="str">
        <f>VLOOKUP(B855,LifeList!$E$2:$G$2038,2)</f>
        <v>Paruline du Choco</v>
      </c>
      <c r="F855" s="3" t="str">
        <f>VLOOKUP(B855,LifeList!$E$2:$G$2038,3)</f>
        <v>Myiothlypis chlorophrys</v>
      </c>
      <c r="G855" s="3" t="str">
        <f>VLOOKUP(B855,LifeList!$E$2:$I$2038,4)</f>
        <v>Passeriformes</v>
      </c>
      <c r="H855" s="3" t="str">
        <f>VLOOKUP(B855,LifeList!$E$2:$I$2038,5)</f>
        <v>Parulidae (New World Warblers)</v>
      </c>
      <c r="I855" s="3"/>
    </row>
    <row r="856" spans="1:9" ht="10.5" customHeight="1">
      <c r="A856" s="3" t="s">
        <v>1243</v>
      </c>
      <c r="B856" s="3" t="s">
        <v>1242</v>
      </c>
      <c r="C856" s="3">
        <f>VLOOKUP(B856,LifeList!$E$2:$J$2038,6)</f>
        <v>34324</v>
      </c>
      <c r="D856" s="3" t="str">
        <f>VLOOKUP(B856,LifeList!$E$2:$G$2038,1)</f>
        <v>Choco Warbler</v>
      </c>
      <c r="E856" s="3" t="str">
        <f>VLOOKUP(B856,LifeList!$E$2:$G$2038,2)</f>
        <v>Paruline du Choco</v>
      </c>
      <c r="F856" s="3" t="str">
        <f>VLOOKUP(B856,LifeList!$E$2:$G$2038,3)</f>
        <v>Myiothlypis chlorophrys</v>
      </c>
      <c r="G856" s="3" t="str">
        <f>VLOOKUP(B856,LifeList!$E$2:$I$2038,4)</f>
        <v>Passeriformes</v>
      </c>
      <c r="H856" s="3" t="str">
        <f>VLOOKUP(B856,LifeList!$E$2:$I$2038,5)</f>
        <v>Parulidae (New World Warblers)</v>
      </c>
      <c r="I856" s="3"/>
    </row>
    <row r="857" spans="1:9" ht="10.5" customHeight="1">
      <c r="A857" s="3" t="s">
        <v>1244</v>
      </c>
      <c r="B857" s="5" t="s">
        <v>1245</v>
      </c>
      <c r="C857" s="3">
        <f>VLOOKUP(B857,LifeList!$E$2:$J$2038,6)</f>
        <v>3594</v>
      </c>
      <c r="D857" s="3" t="str">
        <f>VLOOKUP(B857,LifeList!$E$2:$G$2038,1)</f>
        <v>Chuck-will's-widow</v>
      </c>
      <c r="E857" s="3" t="str">
        <f>VLOOKUP(B857,LifeList!$E$2:$G$2038,2)</f>
        <v>Engoulevent de Caroline</v>
      </c>
      <c r="F857" s="3" t="str">
        <f>VLOOKUP(B857,LifeList!$E$2:$G$2038,3)</f>
        <v>Antrostomus carolinensis</v>
      </c>
      <c r="G857" s="3" t="str">
        <f>VLOOKUP(B857,LifeList!$E$2:$I$2038,4)</f>
        <v>Caprimulgiformes</v>
      </c>
      <c r="H857" s="3" t="str">
        <f>VLOOKUP(B857,LifeList!$E$2:$I$2038,5)</f>
        <v>Caprimulgidae (Nightjars and Allies)</v>
      </c>
      <c r="I857" s="3"/>
    </row>
    <row r="858" spans="1:9" ht="10.5" customHeight="1">
      <c r="A858" s="3" t="s">
        <v>1246</v>
      </c>
      <c r="B858" s="5" t="s">
        <v>1245</v>
      </c>
      <c r="C858" s="3">
        <f>VLOOKUP(B858,LifeList!$E$2:$J$2038,6)</f>
        <v>3594</v>
      </c>
      <c r="D858" s="3" t="str">
        <f>VLOOKUP(B858,LifeList!$E$2:$G$2038,1)</f>
        <v>Chuck-will's-widow</v>
      </c>
      <c r="E858" s="3" t="str">
        <f>VLOOKUP(B858,LifeList!$E$2:$G$2038,2)</f>
        <v>Engoulevent de Caroline</v>
      </c>
      <c r="F858" s="3" t="str">
        <f>VLOOKUP(B858,LifeList!$E$2:$G$2038,3)</f>
        <v>Antrostomus carolinensis</v>
      </c>
      <c r="G858" s="3" t="str">
        <f>VLOOKUP(B858,LifeList!$E$2:$I$2038,4)</f>
        <v>Caprimulgiformes</v>
      </c>
      <c r="H858" s="3" t="str">
        <f>VLOOKUP(B858,LifeList!$E$2:$I$2038,5)</f>
        <v>Caprimulgidae (Nightjars and Allies)</v>
      </c>
      <c r="I858" s="3"/>
    </row>
    <row r="859" spans="1:9" ht="10.5" customHeight="1">
      <c r="A859" s="3" t="s">
        <v>1247</v>
      </c>
      <c r="B859" s="5" t="s">
        <v>1245</v>
      </c>
      <c r="C859" s="3">
        <f>VLOOKUP(B859,LifeList!$E$2:$J$2038,6)</f>
        <v>3594</v>
      </c>
      <c r="D859" s="3" t="str">
        <f>VLOOKUP(B859,LifeList!$E$2:$G$2038,1)</f>
        <v>Chuck-will's-widow</v>
      </c>
      <c r="E859" s="3" t="str">
        <f>VLOOKUP(B859,LifeList!$E$2:$G$2038,2)</f>
        <v>Engoulevent de Caroline</v>
      </c>
      <c r="F859" s="3" t="str">
        <f>VLOOKUP(B859,LifeList!$E$2:$G$2038,3)</f>
        <v>Antrostomus carolinensis</v>
      </c>
      <c r="G859" s="3" t="str">
        <f>VLOOKUP(B859,LifeList!$E$2:$I$2038,4)</f>
        <v>Caprimulgiformes</v>
      </c>
      <c r="H859" s="3" t="str">
        <f>VLOOKUP(B859,LifeList!$E$2:$I$2038,5)</f>
        <v>Caprimulgidae (Nightjars and Allies)</v>
      </c>
      <c r="I859" s="3"/>
    </row>
    <row r="860" spans="1:9" ht="10.5" customHeight="1">
      <c r="A860" s="3" t="s">
        <v>1248</v>
      </c>
      <c r="B860" s="3" t="s">
        <v>1249</v>
      </c>
      <c r="C860" s="3">
        <f>VLOOKUP(B860,LifeList!$E$2:$J$2038,6)</f>
        <v>1765</v>
      </c>
      <c r="D860" s="3" t="str">
        <f>VLOOKUP(B860,LifeList!$E$2:$G$2038,1)</f>
        <v>Chukar</v>
      </c>
      <c r="E860" s="3" t="str">
        <f>VLOOKUP(B860,LifeList!$E$2:$G$2038,2)</f>
        <v>Perdrix choukar</v>
      </c>
      <c r="F860" s="3" t="str">
        <f>VLOOKUP(B860,LifeList!$E$2:$G$2038,3)</f>
        <v>Alectoris chukar</v>
      </c>
      <c r="G860" s="3" t="str">
        <f>VLOOKUP(B860,LifeList!$E$2:$I$2038,4)</f>
        <v>Galliformes</v>
      </c>
      <c r="H860" s="3" t="str">
        <f>VLOOKUP(B860,LifeList!$E$2:$I$2038,5)</f>
        <v>Phasianidae (Pheasants, Grouse, and Allies)</v>
      </c>
      <c r="I860" s="3"/>
    </row>
    <row r="861" spans="1:9" ht="10.5" customHeight="1">
      <c r="A861" s="3" t="s">
        <v>1250</v>
      </c>
      <c r="B861" s="3" t="s">
        <v>1251</v>
      </c>
      <c r="C861" s="3">
        <f>VLOOKUP(B861,LifeList!$E$2:$J$2038,6)</f>
        <v>16034</v>
      </c>
      <c r="D861" s="3" t="str">
        <f>VLOOKUP(B861,LifeList!$E$2:$G$2038,1)</f>
        <v>Cinereous Becard</v>
      </c>
      <c r="E861" s="3" t="str">
        <f>VLOOKUP(B861,LifeList!$E$2:$G$2038,2)</f>
        <v>Bécarde cendrée</v>
      </c>
      <c r="F861" s="3" t="str">
        <f>VLOOKUP(B861,LifeList!$E$2:$G$2038,3)</f>
        <v>Pachyramphus rufus</v>
      </c>
      <c r="G861" s="3" t="str">
        <f>VLOOKUP(B861,LifeList!$E$2:$I$2038,4)</f>
        <v>Passeriformes</v>
      </c>
      <c r="H861" s="3" t="str">
        <f>VLOOKUP(B861,LifeList!$E$2:$I$2038,5)</f>
        <v>Tityridae (Tityras and Allies)</v>
      </c>
      <c r="I861" s="3"/>
    </row>
    <row r="862" spans="1:9" ht="10.5" customHeight="1">
      <c r="A862" s="3" t="s">
        <v>1252</v>
      </c>
      <c r="B862" s="3" t="s">
        <v>1253</v>
      </c>
      <c r="C862" s="3">
        <f>VLOOKUP(B862,LifeList!$E$2:$J$2038,6)</f>
        <v>16037</v>
      </c>
      <c r="D862" s="3" t="str">
        <f>VLOOKUP(B862,LifeList!$E$2:$G$2038,1)</f>
        <v>Cinnamon Becard</v>
      </c>
      <c r="E862" s="3" t="str">
        <f>VLOOKUP(B862,LifeList!$E$2:$G$2038,2)</f>
        <v>Bécarde cannelle</v>
      </c>
      <c r="F862" s="3" t="str">
        <f>VLOOKUP(B862,LifeList!$E$2:$G$2038,3)</f>
        <v>Pachyramphus cinnamomeus</v>
      </c>
      <c r="G862" s="3" t="str">
        <f>VLOOKUP(B862,LifeList!$E$2:$I$2038,4)</f>
        <v>Passeriformes</v>
      </c>
      <c r="H862" s="3" t="str">
        <f>VLOOKUP(B862,LifeList!$E$2:$I$2038,5)</f>
        <v>Tityridae (Tityras and Allies)</v>
      </c>
      <c r="I862" s="3"/>
    </row>
    <row r="863" spans="1:9" ht="10.5" customHeight="1">
      <c r="A863" s="3" t="s">
        <v>1254</v>
      </c>
      <c r="B863" s="3" t="s">
        <v>1253</v>
      </c>
      <c r="C863" s="3">
        <f>VLOOKUP(B863,LifeList!$E$2:$J$2038,6)</f>
        <v>16037</v>
      </c>
      <c r="D863" s="3" t="str">
        <f>VLOOKUP(B863,LifeList!$E$2:$G$2038,1)</f>
        <v>Cinnamon Becard</v>
      </c>
      <c r="E863" s="3" t="str">
        <f>VLOOKUP(B863,LifeList!$E$2:$G$2038,2)</f>
        <v>Bécarde cannelle</v>
      </c>
      <c r="F863" s="3" t="str">
        <f>VLOOKUP(B863,LifeList!$E$2:$G$2038,3)</f>
        <v>Pachyramphus cinnamomeus</v>
      </c>
      <c r="G863" s="3" t="str">
        <f>VLOOKUP(B863,LifeList!$E$2:$I$2038,4)</f>
        <v>Passeriformes</v>
      </c>
      <c r="H863" s="3" t="str">
        <f>VLOOKUP(B863,LifeList!$E$2:$I$2038,5)</f>
        <v>Tityridae (Tityras and Allies)</v>
      </c>
      <c r="I863" s="3"/>
    </row>
    <row r="864" spans="1:9" ht="10.5" customHeight="1">
      <c r="A864" s="3" t="s">
        <v>1255</v>
      </c>
      <c r="B864" s="3" t="s">
        <v>1256</v>
      </c>
      <c r="C864" s="3">
        <f>VLOOKUP(B864,LifeList!$E$2:$J$2038,6)</f>
        <v>16519</v>
      </c>
      <c r="D864" s="3" t="str">
        <f>VLOOKUP(B864,LifeList!$E$2:$G$2038,1)</f>
        <v>Cinnamon Flycatcher</v>
      </c>
      <c r="E864" s="3" t="str">
        <f>VLOOKUP(B864,LifeList!$E$2:$G$2038,2)</f>
        <v>Moucherolle cannelle</v>
      </c>
      <c r="F864" s="3" t="str">
        <f>VLOOKUP(B864,LifeList!$E$2:$G$2038,3)</f>
        <v>Pyrrhomyias cinnamomeus</v>
      </c>
      <c r="G864" s="3" t="str">
        <f>VLOOKUP(B864,LifeList!$E$2:$I$2038,4)</f>
        <v>Passeriformes</v>
      </c>
      <c r="H864" s="3" t="str">
        <f>VLOOKUP(B864,LifeList!$E$2:$I$2038,5)</f>
        <v>Tyrannidae (Tyrant Flycatchers)</v>
      </c>
      <c r="I864" s="3"/>
    </row>
    <row r="865" spans="1:9" ht="10.5" customHeight="1">
      <c r="A865" s="3" t="s">
        <v>1257</v>
      </c>
      <c r="B865" s="3" t="s">
        <v>1256</v>
      </c>
      <c r="C865" s="3">
        <f>VLOOKUP(B865,LifeList!$E$2:$J$2038,6)</f>
        <v>16519</v>
      </c>
      <c r="D865" s="3" t="str">
        <f>VLOOKUP(B865,LifeList!$E$2:$G$2038,1)</f>
        <v>Cinnamon Flycatcher</v>
      </c>
      <c r="E865" s="3" t="str">
        <f>VLOOKUP(B865,LifeList!$E$2:$G$2038,2)</f>
        <v>Moucherolle cannelle</v>
      </c>
      <c r="F865" s="3" t="str">
        <f>VLOOKUP(B865,LifeList!$E$2:$G$2038,3)</f>
        <v>Pyrrhomyias cinnamomeus</v>
      </c>
      <c r="G865" s="3" t="str">
        <f>VLOOKUP(B865,LifeList!$E$2:$I$2038,4)</f>
        <v>Passeriformes</v>
      </c>
      <c r="H865" s="3" t="str">
        <f>VLOOKUP(B865,LifeList!$E$2:$I$2038,5)</f>
        <v>Tyrannidae (Tyrant Flycatchers)</v>
      </c>
      <c r="I865" s="3"/>
    </row>
    <row r="866" spans="1:9" ht="10.5" customHeight="1">
      <c r="A866" s="3" t="s">
        <v>1258</v>
      </c>
      <c r="B866" s="3" t="s">
        <v>1259</v>
      </c>
      <c r="C866" s="3">
        <f>VLOOKUP(B866,LifeList!$E$2:$J$2038,6)</f>
        <v>5100</v>
      </c>
      <c r="D866" s="3" t="str">
        <f>VLOOKUP(B866,LifeList!$E$2:$G$2038,1)</f>
        <v>Cinnamon Hummingbird</v>
      </c>
      <c r="E866" s="3" t="str">
        <f>VLOOKUP(B866,LifeList!$E$2:$G$2038,2)</f>
        <v>Ariane cannelle</v>
      </c>
      <c r="F866" s="3" t="str">
        <f>VLOOKUP(B866,LifeList!$E$2:$G$2038,3)</f>
        <v>Amazilia rutila</v>
      </c>
      <c r="G866" s="3" t="str">
        <f>VLOOKUP(B866,LifeList!$E$2:$I$2038,4)</f>
        <v>Apodiformes</v>
      </c>
      <c r="H866" s="3" t="str">
        <f>VLOOKUP(B866,LifeList!$E$2:$I$2038,5)</f>
        <v>Trochilidae (Hummingbirds)</v>
      </c>
      <c r="I866" s="3"/>
    </row>
    <row r="867" spans="1:9" ht="10.5" customHeight="1">
      <c r="A867" s="7" t="s">
        <v>1260</v>
      </c>
      <c r="B867" s="8" t="s">
        <v>1261</v>
      </c>
      <c r="C867" s="3">
        <f>VLOOKUP(B867,LifeList!$E$2:$J$2038,6)</f>
        <v>18539</v>
      </c>
      <c r="D867" s="3" t="str">
        <f>VLOOKUP(B867,LifeList!$E$2:$G$2038,1)</f>
        <v>Cinnamon Quail-thrush</v>
      </c>
      <c r="E867" s="3" t="str">
        <f>VLOOKUP(B867,LifeList!$E$2:$G$2038,2)</f>
        <v>Cinclosome cannelle</v>
      </c>
      <c r="F867" s="3" t="str">
        <f>VLOOKUP(B867,LifeList!$E$2:$G$2038,3)</f>
        <v>Cinclosoma cinnamomeum</v>
      </c>
      <c r="G867" s="3" t="str">
        <f>VLOOKUP(B867,LifeList!$E$2:$I$2038,4)</f>
        <v>Passeriformes</v>
      </c>
      <c r="H867" s="3" t="str">
        <f>VLOOKUP(B867,LifeList!$E$2:$I$2038,5)</f>
        <v>Cinclosomatidae (Quail-thrushes and Jewel-babblers)</v>
      </c>
      <c r="I867" s="3"/>
    </row>
    <row r="868" spans="1:9" ht="10.5" customHeight="1">
      <c r="A868" s="3" t="s">
        <v>1262</v>
      </c>
      <c r="B868" s="3" t="s">
        <v>1263</v>
      </c>
      <c r="C868" s="3">
        <f>VLOOKUP(B868,LifeList!$E$2:$J$2038,6)</f>
        <v>11788</v>
      </c>
      <c r="D868" s="3" t="str">
        <f>VLOOKUP(B868,LifeList!$E$2:$G$2038,1)</f>
        <v>Cinnamon Woodpecker</v>
      </c>
      <c r="E868" s="3" t="str">
        <f>VLOOKUP(B868,LifeList!$E$2:$G$2038,2)</f>
        <v>Pic cannelle</v>
      </c>
      <c r="F868" s="3" t="str">
        <f>VLOOKUP(B868,LifeList!$E$2:$G$2038,3)</f>
        <v>Celeus loricatus</v>
      </c>
      <c r="G868" s="3" t="str">
        <f>VLOOKUP(B868,LifeList!$E$2:$I$2038,4)</f>
        <v>Piciformes</v>
      </c>
      <c r="H868" s="3" t="str">
        <f>VLOOKUP(B868,LifeList!$E$2:$I$2038,5)</f>
        <v>Picidae (Woodpeckers)</v>
      </c>
      <c r="I868" s="3"/>
    </row>
    <row r="869" spans="1:9" ht="10.5" customHeight="1">
      <c r="A869" s="3" t="s">
        <v>1264</v>
      </c>
      <c r="B869" s="3" t="s">
        <v>1263</v>
      </c>
      <c r="C869" s="3">
        <f>VLOOKUP(B869,LifeList!$E$2:$J$2038,6)</f>
        <v>11788</v>
      </c>
      <c r="D869" s="3" t="str">
        <f>VLOOKUP(B869,LifeList!$E$2:$G$2038,1)</f>
        <v>Cinnamon Woodpecker</v>
      </c>
      <c r="E869" s="3" t="str">
        <f>VLOOKUP(B869,LifeList!$E$2:$G$2038,2)</f>
        <v>Pic cannelle</v>
      </c>
      <c r="F869" s="3" t="str">
        <f>VLOOKUP(B869,LifeList!$E$2:$G$2038,3)</f>
        <v>Celeus loricatus</v>
      </c>
      <c r="G869" s="3" t="str">
        <f>VLOOKUP(B869,LifeList!$E$2:$I$2038,4)</f>
        <v>Piciformes</v>
      </c>
      <c r="H869" s="3" t="str">
        <f>VLOOKUP(B869,LifeList!$E$2:$I$2038,5)</f>
        <v>Picidae (Woodpeckers)</v>
      </c>
      <c r="I869" s="3"/>
    </row>
    <row r="870" spans="1:9" ht="10.5" customHeight="1">
      <c r="A870" s="3" t="s">
        <v>1265</v>
      </c>
      <c r="B870" s="3" t="s">
        <v>1266</v>
      </c>
      <c r="C870" s="3">
        <f>VLOOKUP(B870,LifeList!$E$2:$J$2038,6)</f>
        <v>35806</v>
      </c>
      <c r="D870" s="3" t="str">
        <f>VLOOKUP(B870,LifeList!$E$2:$G$2038,1)</f>
        <v>Cinnamon-bellied Saltator</v>
      </c>
      <c r="E870" s="3" t="str">
        <f>VLOOKUP(B870,LifeList!$E$2:$G$2038,2)</f>
        <v>Saltator du Mexique</v>
      </c>
      <c r="F870" s="3" t="str">
        <f>VLOOKUP(B870,LifeList!$E$2:$G$2038,3)</f>
        <v>Saltator grandis</v>
      </c>
      <c r="G870" s="3" t="str">
        <f>VLOOKUP(B870,LifeList!$E$2:$I$2038,4)</f>
        <v>Passeriformes</v>
      </c>
      <c r="H870" s="3" t="str">
        <f>VLOOKUP(B870,LifeList!$E$2:$I$2038,5)</f>
        <v>Thraupidae (Tanagers and Allies)</v>
      </c>
      <c r="I870" s="3"/>
    </row>
    <row r="871" spans="1:9" ht="10.5" customHeight="1">
      <c r="A871" s="3" t="s">
        <v>1267</v>
      </c>
      <c r="B871" s="3" t="s">
        <v>1266</v>
      </c>
      <c r="C871" s="3">
        <f>VLOOKUP(B871,LifeList!$E$2:$J$2038,6)</f>
        <v>35806</v>
      </c>
      <c r="D871" s="3" t="str">
        <f>VLOOKUP(B871,LifeList!$E$2:$G$2038,1)</f>
        <v>Cinnamon-bellied Saltator</v>
      </c>
      <c r="E871" s="3" t="str">
        <f>VLOOKUP(B871,LifeList!$E$2:$G$2038,2)</f>
        <v>Saltator du Mexique</v>
      </c>
      <c r="F871" s="3" t="str">
        <f>VLOOKUP(B871,LifeList!$E$2:$G$2038,3)</f>
        <v>Saltator grandis</v>
      </c>
      <c r="G871" s="3" t="str">
        <f>VLOOKUP(B871,LifeList!$E$2:$I$2038,4)</f>
        <v>Passeriformes</v>
      </c>
      <c r="H871" s="3" t="str">
        <f>VLOOKUP(B871,LifeList!$E$2:$I$2038,5)</f>
        <v>Thraupidae (Tanagers and Allies)</v>
      </c>
      <c r="I871" s="3"/>
    </row>
    <row r="872" spans="1:9" ht="10.5" customHeight="1">
      <c r="A872" s="3" t="s">
        <v>1268</v>
      </c>
      <c r="B872" s="3" t="s">
        <v>1266</v>
      </c>
      <c r="C872" s="3">
        <f>VLOOKUP(B872,LifeList!$E$2:$J$2038,6)</f>
        <v>35806</v>
      </c>
      <c r="D872" s="3" t="str">
        <f>VLOOKUP(B872,LifeList!$E$2:$G$2038,1)</f>
        <v>Cinnamon-bellied Saltator</v>
      </c>
      <c r="E872" s="3" t="str">
        <f>VLOOKUP(B872,LifeList!$E$2:$G$2038,2)</f>
        <v>Saltator du Mexique</v>
      </c>
      <c r="F872" s="3" t="str">
        <f>VLOOKUP(B872,LifeList!$E$2:$G$2038,3)</f>
        <v>Saltator grandis</v>
      </c>
      <c r="G872" s="3" t="str">
        <f>VLOOKUP(B872,LifeList!$E$2:$I$2038,4)</f>
        <v>Passeriformes</v>
      </c>
      <c r="H872" s="3" t="str">
        <f>VLOOKUP(B872,LifeList!$E$2:$I$2038,5)</f>
        <v>Thraupidae (Tanagers and Allies)</v>
      </c>
      <c r="I872" s="3"/>
    </row>
    <row r="873" spans="1:9" ht="10.5" customHeight="1">
      <c r="A873" s="5" t="s">
        <v>1269</v>
      </c>
      <c r="B873" s="5" t="s">
        <v>1270</v>
      </c>
      <c r="C873" s="6">
        <f>VLOOKUP(B873,LifeList!$E$2:$J$2038,6)</f>
        <v>9794</v>
      </c>
      <c r="D873" s="3" t="str">
        <f>VLOOKUP(B873,LifeList!$E$2:$G$2038,1)</f>
        <v>Cinnamon-chested Bee-eater</v>
      </c>
      <c r="E873" s="3" t="str">
        <f>VLOOKUP(B873,LifeList!$E$2:$G$2038,2)</f>
        <v>Guêpier montagnard</v>
      </c>
      <c r="F873" s="3" t="str">
        <f>VLOOKUP(B873,LifeList!$E$2:$G$2038,3)</f>
        <v>Merops oreobates</v>
      </c>
      <c r="G873" s="3" t="str">
        <f>VLOOKUP(B873,LifeList!$E$2:$I$2038,4)</f>
        <v>Coraciiformes</v>
      </c>
      <c r="H873" s="3" t="str">
        <f>VLOOKUP(B873,LifeList!$E$2:$I$2038,5)</f>
        <v>Meropidae (Bee-eaters)</v>
      </c>
      <c r="I873" s="3"/>
    </row>
    <row r="874" spans="1:9" ht="10.5" customHeight="1">
      <c r="A874" s="5" t="s">
        <v>1271</v>
      </c>
      <c r="B874" s="3" t="s">
        <v>1272</v>
      </c>
      <c r="C874" s="6">
        <f>VLOOKUP(B874,LifeList!$E$2:$J$2038,6)</f>
        <v>21484</v>
      </c>
      <c r="D874" s="3" t="str">
        <f>VLOOKUP(B874,LifeList!$E$2:$G$2038,1)</f>
        <v>Clark's Nutcracker</v>
      </c>
      <c r="E874" s="3" t="str">
        <f>VLOOKUP(B874,LifeList!$E$2:$G$2038,2)</f>
        <v>Cassenoix d'Amérique</v>
      </c>
      <c r="F874" s="3" t="str">
        <f>VLOOKUP(B874,LifeList!$E$2:$G$2038,3)</f>
        <v>Nucifraga columbiana</v>
      </c>
      <c r="G874" s="3" t="str">
        <f>VLOOKUP(B874,LifeList!$E$2:$I$2038,4)</f>
        <v>Passeriformes</v>
      </c>
      <c r="H874" s="3" t="str">
        <f>VLOOKUP(B874,LifeList!$E$2:$I$2038,5)</f>
        <v>Corvidae (Crows, Jays, and Magpies)</v>
      </c>
      <c r="I874" s="3"/>
    </row>
    <row r="875" spans="1:9" ht="10.5" customHeight="1">
      <c r="A875" s="3" t="s">
        <v>1273</v>
      </c>
      <c r="B875" s="3" t="s">
        <v>1274</v>
      </c>
      <c r="C875" s="3">
        <f>VLOOKUP(B875,LifeList!$E$2:$J$2038,6)</f>
        <v>32996</v>
      </c>
      <c r="D875" s="3" t="str">
        <f>VLOOKUP(B875,LifeList!$E$2:$G$2038,1)</f>
        <v>Clay-colored Sparrow</v>
      </c>
      <c r="E875" s="3" t="str">
        <f>VLOOKUP(B875,LifeList!$E$2:$G$2038,2)</f>
        <v>Bruant des plaines</v>
      </c>
      <c r="F875" s="3" t="str">
        <f>VLOOKUP(B875,LifeList!$E$2:$G$2038,3)</f>
        <v>Spizella pallida</v>
      </c>
      <c r="G875" s="3" t="str">
        <f>VLOOKUP(B875,LifeList!$E$2:$I$2038,4)</f>
        <v>Passeriformes</v>
      </c>
      <c r="H875" s="3" t="str">
        <f>VLOOKUP(B875,LifeList!$E$2:$I$2038,5)</f>
        <v>Passerellidae (New World Sparrows)</v>
      </c>
      <c r="I875" s="3"/>
    </row>
    <row r="876" spans="1:9" ht="10.5" customHeight="1">
      <c r="A876" s="3" t="s">
        <v>1275</v>
      </c>
      <c r="B876" s="3" t="s">
        <v>1274</v>
      </c>
      <c r="C876" s="3">
        <f>VLOOKUP(B876,LifeList!$E$2:$J$2038,6)</f>
        <v>32996</v>
      </c>
      <c r="D876" s="3" t="str">
        <f>VLOOKUP(B876,LifeList!$E$2:$G$2038,1)</f>
        <v>Clay-colored Sparrow</v>
      </c>
      <c r="E876" s="3" t="str">
        <f>VLOOKUP(B876,LifeList!$E$2:$G$2038,2)</f>
        <v>Bruant des plaines</v>
      </c>
      <c r="F876" s="3" t="str">
        <f>VLOOKUP(B876,LifeList!$E$2:$G$2038,3)</f>
        <v>Spizella pallida</v>
      </c>
      <c r="G876" s="3" t="str">
        <f>VLOOKUP(B876,LifeList!$E$2:$I$2038,4)</f>
        <v>Passeriformes</v>
      </c>
      <c r="H876" s="3" t="str">
        <f>VLOOKUP(B876,LifeList!$E$2:$I$2038,5)</f>
        <v>Passerellidae (New World Sparrows)</v>
      </c>
      <c r="I876" s="3"/>
    </row>
    <row r="877" spans="1:9" ht="10.5" customHeight="1">
      <c r="A877" s="3" t="s">
        <v>1276</v>
      </c>
      <c r="B877" s="3" t="s">
        <v>1274</v>
      </c>
      <c r="C877" s="3">
        <f>VLOOKUP(B877,LifeList!$E$2:$J$2038,6)</f>
        <v>32996</v>
      </c>
      <c r="D877" s="3" t="str">
        <f>VLOOKUP(B877,LifeList!$E$2:$G$2038,1)</f>
        <v>Clay-colored Sparrow</v>
      </c>
      <c r="E877" s="3" t="str">
        <f>VLOOKUP(B877,LifeList!$E$2:$G$2038,2)</f>
        <v>Bruant des plaines</v>
      </c>
      <c r="F877" s="3" t="str">
        <f>VLOOKUP(B877,LifeList!$E$2:$G$2038,3)</f>
        <v>Spizella pallida</v>
      </c>
      <c r="G877" s="3" t="str">
        <f>VLOOKUP(B877,LifeList!$E$2:$I$2038,4)</f>
        <v>Passeriformes</v>
      </c>
      <c r="H877" s="3" t="str">
        <f>VLOOKUP(B877,LifeList!$E$2:$I$2038,5)</f>
        <v>Passerellidae (New World Sparrows)</v>
      </c>
      <c r="I877" s="3"/>
    </row>
    <row r="878" spans="1:9" ht="10.5" customHeight="1">
      <c r="A878" s="3" t="s">
        <v>1277</v>
      </c>
      <c r="B878" s="3" t="s">
        <v>1278</v>
      </c>
      <c r="C878" s="3">
        <f>VLOOKUP(B878,LifeList!$E$2:$J$2038,6)</f>
        <v>28767</v>
      </c>
      <c r="D878" s="3" t="str">
        <f>VLOOKUP(B878,LifeList!$E$2:$G$2038,1)</f>
        <v>Clay-colored Thrush</v>
      </c>
      <c r="E878" s="3" t="str">
        <f>VLOOKUP(B878,LifeList!$E$2:$G$2038,2)</f>
        <v>Merle fauve</v>
      </c>
      <c r="F878" s="3" t="str">
        <f>VLOOKUP(B878,LifeList!$E$2:$G$2038,3)</f>
        <v>Turdus grayi</v>
      </c>
      <c r="G878" s="3" t="str">
        <f>VLOOKUP(B878,LifeList!$E$2:$I$2038,4)</f>
        <v>Passeriformes</v>
      </c>
      <c r="H878" s="3" t="str">
        <f>VLOOKUP(B878,LifeList!$E$2:$I$2038,5)</f>
        <v>Turdidae (Thrushes and Allies)</v>
      </c>
      <c r="I878" s="3"/>
    </row>
    <row r="879" spans="1:9" ht="10.5" customHeight="1">
      <c r="A879" s="3" t="s">
        <v>1279</v>
      </c>
      <c r="B879" s="3" t="s">
        <v>1278</v>
      </c>
      <c r="C879" s="3">
        <f>VLOOKUP(B879,LifeList!$E$2:$J$2038,6)</f>
        <v>28767</v>
      </c>
      <c r="D879" s="3" t="str">
        <f>VLOOKUP(B879,LifeList!$E$2:$G$2038,1)</f>
        <v>Clay-colored Thrush</v>
      </c>
      <c r="E879" s="3" t="str">
        <f>VLOOKUP(B879,LifeList!$E$2:$G$2038,2)</f>
        <v>Merle fauve</v>
      </c>
      <c r="F879" s="3" t="str">
        <f>VLOOKUP(B879,LifeList!$E$2:$G$2038,3)</f>
        <v>Turdus grayi</v>
      </c>
      <c r="G879" s="3" t="str">
        <f>VLOOKUP(B879,LifeList!$E$2:$I$2038,4)</f>
        <v>Passeriformes</v>
      </c>
      <c r="H879" s="3" t="str">
        <f>VLOOKUP(B879,LifeList!$E$2:$I$2038,5)</f>
        <v>Turdidae (Thrushes and Allies)</v>
      </c>
      <c r="I879" s="3"/>
    </row>
    <row r="880" spans="1:9" ht="10.5" customHeight="1">
      <c r="A880" s="3" t="s">
        <v>1280</v>
      </c>
      <c r="B880" s="3" t="s">
        <v>1278</v>
      </c>
      <c r="C880" s="3">
        <f>VLOOKUP(B880,LifeList!$E$2:$J$2038,6)</f>
        <v>28767</v>
      </c>
      <c r="D880" s="3" t="str">
        <f>VLOOKUP(B880,LifeList!$E$2:$G$2038,1)</f>
        <v>Clay-colored Thrush</v>
      </c>
      <c r="E880" s="3" t="str">
        <f>VLOOKUP(B880,LifeList!$E$2:$G$2038,2)</f>
        <v>Merle fauve</v>
      </c>
      <c r="F880" s="3" t="str">
        <f>VLOOKUP(B880,LifeList!$E$2:$G$2038,3)</f>
        <v>Turdus grayi</v>
      </c>
      <c r="G880" s="3" t="str">
        <f>VLOOKUP(B880,LifeList!$E$2:$I$2038,4)</f>
        <v>Passeriformes</v>
      </c>
      <c r="H880" s="3" t="str">
        <f>VLOOKUP(B880,LifeList!$E$2:$I$2038,5)</f>
        <v>Turdidae (Thrushes and Allies)</v>
      </c>
      <c r="I880" s="3"/>
    </row>
    <row r="881" spans="1:9" ht="10.5" customHeight="1">
      <c r="A881" s="3" t="s">
        <v>1281</v>
      </c>
      <c r="B881" s="3" t="s">
        <v>1278</v>
      </c>
      <c r="C881" s="3">
        <f>VLOOKUP(B881,LifeList!$E$2:$J$2038,6)</f>
        <v>28767</v>
      </c>
      <c r="D881" s="3" t="str">
        <f>VLOOKUP(B881,LifeList!$E$2:$G$2038,1)</f>
        <v>Clay-colored Thrush</v>
      </c>
      <c r="E881" s="3" t="str">
        <f>VLOOKUP(B881,LifeList!$E$2:$G$2038,2)</f>
        <v>Merle fauve</v>
      </c>
      <c r="F881" s="3" t="str">
        <f>VLOOKUP(B881,LifeList!$E$2:$G$2038,3)</f>
        <v>Turdus grayi</v>
      </c>
      <c r="G881" s="3" t="str">
        <f>VLOOKUP(B881,LifeList!$E$2:$I$2038,4)</f>
        <v>Passeriformes</v>
      </c>
      <c r="H881" s="3" t="str">
        <f>VLOOKUP(B881,LifeList!$E$2:$I$2038,5)</f>
        <v>Turdidae (Thrushes and Allies)</v>
      </c>
      <c r="I881" s="3"/>
    </row>
    <row r="882" spans="1:9" ht="10.5" customHeight="1">
      <c r="A882" s="3" t="s">
        <v>1282</v>
      </c>
      <c r="B882" s="3" t="s">
        <v>1278</v>
      </c>
      <c r="C882" s="3">
        <f>VLOOKUP(B882,LifeList!$E$2:$J$2038,6)</f>
        <v>28767</v>
      </c>
      <c r="D882" s="3" t="str">
        <f>VLOOKUP(B882,LifeList!$E$2:$G$2038,1)</f>
        <v>Clay-colored Thrush</v>
      </c>
      <c r="E882" s="3" t="str">
        <f>VLOOKUP(B882,LifeList!$E$2:$G$2038,2)</f>
        <v>Merle fauve</v>
      </c>
      <c r="F882" s="3" t="str">
        <f>VLOOKUP(B882,LifeList!$E$2:$G$2038,3)</f>
        <v>Turdus grayi</v>
      </c>
      <c r="G882" s="3" t="str">
        <f>VLOOKUP(B882,LifeList!$E$2:$I$2038,4)</f>
        <v>Passeriformes</v>
      </c>
      <c r="H882" s="3" t="str">
        <f>VLOOKUP(B882,LifeList!$E$2:$I$2038,5)</f>
        <v>Turdidae (Thrushes and Allies)</v>
      </c>
      <c r="I882" s="3"/>
    </row>
    <row r="883" spans="1:9" ht="10.5" customHeight="1">
      <c r="A883" s="3" t="s">
        <v>1283</v>
      </c>
      <c r="B883" s="3" t="s">
        <v>1284</v>
      </c>
      <c r="C883" s="3">
        <f>VLOOKUP(B883,LifeList!$E$2:$J$2038,6)</f>
        <v>24281</v>
      </c>
      <c r="D883" s="3" t="str">
        <f>VLOOKUP(B883,LifeList!$E$2:$G$2038,1)</f>
        <v>Cliff Swallow</v>
      </c>
      <c r="E883" s="3" t="str">
        <f>VLOOKUP(B883,LifeList!$E$2:$G$2038,2)</f>
        <v>Hirondelle à front blanc</v>
      </c>
      <c r="F883" s="3" t="str">
        <f>VLOOKUP(B883,LifeList!$E$2:$G$2038,3)</f>
        <v>Petrochelidon pyrrhonota</v>
      </c>
      <c r="G883" s="3" t="str">
        <f>VLOOKUP(B883,LifeList!$E$2:$I$2038,4)</f>
        <v>Passeriformes</v>
      </c>
      <c r="H883" s="3" t="str">
        <f>VLOOKUP(B883,LifeList!$E$2:$I$2038,5)</f>
        <v>Hirundinidae (Swallows)</v>
      </c>
      <c r="I883" s="3"/>
    </row>
    <row r="884" spans="1:9" ht="10.5" customHeight="1">
      <c r="A884" s="3" t="s">
        <v>1285</v>
      </c>
      <c r="B884" s="3" t="s">
        <v>1286</v>
      </c>
      <c r="C884" s="3">
        <f>VLOOKUP(B884,LifeList!$E$2:$J$2038,6)</f>
        <v>14821</v>
      </c>
      <c r="D884" s="3" t="str">
        <f>VLOOKUP(B884,LifeList!$E$2:$G$2038,1)</f>
        <v>Cocoa Woodcreeper</v>
      </c>
      <c r="E884" s="3" t="str">
        <f>VLOOKUP(B884,LifeList!$E$2:$G$2038,2)</f>
        <v>Grimpar cacao</v>
      </c>
      <c r="F884" s="3" t="str">
        <f>VLOOKUP(B884,LifeList!$E$2:$G$2038,3)</f>
        <v>Xiphorhynchus susurrans</v>
      </c>
      <c r="G884" s="3" t="str">
        <f>VLOOKUP(B884,LifeList!$E$2:$I$2038,4)</f>
        <v>Passeriformes</v>
      </c>
      <c r="H884" s="3" t="str">
        <f>VLOOKUP(B884,LifeList!$E$2:$I$2038,5)</f>
        <v>Furnariidae (Ovenbirds and Woodcreepers)</v>
      </c>
      <c r="I884" s="3"/>
    </row>
    <row r="885" spans="1:9" ht="10.5" customHeight="1">
      <c r="A885" s="3" t="s">
        <v>1287</v>
      </c>
      <c r="B885" s="3" t="s">
        <v>1286</v>
      </c>
      <c r="C885" s="3">
        <f>VLOOKUP(B885,LifeList!$E$2:$J$2038,6)</f>
        <v>14821</v>
      </c>
      <c r="D885" s="3" t="str">
        <f>VLOOKUP(B885,LifeList!$E$2:$G$2038,1)</f>
        <v>Cocoa Woodcreeper</v>
      </c>
      <c r="E885" s="3" t="str">
        <f>VLOOKUP(B885,LifeList!$E$2:$G$2038,2)</f>
        <v>Grimpar cacao</v>
      </c>
      <c r="F885" s="3" t="str">
        <f>VLOOKUP(B885,LifeList!$E$2:$G$2038,3)</f>
        <v>Xiphorhynchus susurrans</v>
      </c>
      <c r="G885" s="3" t="str">
        <f>VLOOKUP(B885,LifeList!$E$2:$I$2038,4)</f>
        <v>Passeriformes</v>
      </c>
      <c r="H885" s="3" t="str">
        <f>VLOOKUP(B885,LifeList!$E$2:$I$2038,5)</f>
        <v>Furnariidae (Ovenbirds and Woodcreepers)</v>
      </c>
      <c r="I885" s="3"/>
    </row>
    <row r="886" spans="1:9" ht="10.5" customHeight="1">
      <c r="A886" s="3" t="s">
        <v>1288</v>
      </c>
      <c r="B886" s="3" t="s">
        <v>1286</v>
      </c>
      <c r="C886" s="3">
        <f>VLOOKUP(B886,LifeList!$E$2:$J$2038,6)</f>
        <v>14821</v>
      </c>
      <c r="D886" s="3" t="str">
        <f>VLOOKUP(B886,LifeList!$E$2:$G$2038,1)</f>
        <v>Cocoa Woodcreeper</v>
      </c>
      <c r="E886" s="3" t="str">
        <f>VLOOKUP(B886,LifeList!$E$2:$G$2038,2)</f>
        <v>Grimpar cacao</v>
      </c>
      <c r="F886" s="3" t="str">
        <f>VLOOKUP(B886,LifeList!$E$2:$G$2038,3)</f>
        <v>Xiphorhynchus susurrans</v>
      </c>
      <c r="G886" s="3" t="str">
        <f>VLOOKUP(B886,LifeList!$E$2:$I$2038,4)</f>
        <v>Passeriformes</v>
      </c>
      <c r="H886" s="3" t="str">
        <f>VLOOKUP(B886,LifeList!$E$2:$I$2038,5)</f>
        <v>Furnariidae (Ovenbirds and Woodcreepers)</v>
      </c>
      <c r="I886" s="3"/>
    </row>
    <row r="887" spans="1:9" ht="10.5" customHeight="1">
      <c r="A887" s="3" t="s">
        <v>1289</v>
      </c>
      <c r="B887" s="3" t="s">
        <v>1286</v>
      </c>
      <c r="C887" s="3">
        <f>VLOOKUP(B887,LifeList!$E$2:$J$2038,6)</f>
        <v>14821</v>
      </c>
      <c r="D887" s="3" t="str">
        <f>VLOOKUP(B887,LifeList!$E$2:$G$2038,1)</f>
        <v>Cocoa Woodcreeper</v>
      </c>
      <c r="E887" s="3" t="str">
        <f>VLOOKUP(B887,LifeList!$E$2:$G$2038,2)</f>
        <v>Grimpar cacao</v>
      </c>
      <c r="F887" s="3" t="str">
        <f>VLOOKUP(B887,LifeList!$E$2:$G$2038,3)</f>
        <v>Xiphorhynchus susurrans</v>
      </c>
      <c r="G887" s="3" t="str">
        <f>VLOOKUP(B887,LifeList!$E$2:$I$2038,4)</f>
        <v>Passeriformes</v>
      </c>
      <c r="H887" s="3" t="str">
        <f>VLOOKUP(B887,LifeList!$E$2:$I$2038,5)</f>
        <v>Furnariidae (Ovenbirds and Woodcreepers)</v>
      </c>
      <c r="I887" s="3"/>
    </row>
    <row r="888" spans="1:9" ht="10.5" customHeight="1">
      <c r="A888" s="3" t="s">
        <v>1290</v>
      </c>
      <c r="B888" s="3" t="s">
        <v>1286</v>
      </c>
      <c r="C888" s="3">
        <f>VLOOKUP(B888,LifeList!$E$2:$J$2038,6)</f>
        <v>14821</v>
      </c>
      <c r="D888" s="3" t="str">
        <f>VLOOKUP(B888,LifeList!$E$2:$G$2038,1)</f>
        <v>Cocoa Woodcreeper</v>
      </c>
      <c r="E888" s="3" t="str">
        <f>VLOOKUP(B888,LifeList!$E$2:$G$2038,2)</f>
        <v>Grimpar cacao</v>
      </c>
      <c r="F888" s="3" t="str">
        <f>VLOOKUP(B888,LifeList!$E$2:$G$2038,3)</f>
        <v>Xiphorhynchus susurrans</v>
      </c>
      <c r="G888" s="3" t="str">
        <f>VLOOKUP(B888,LifeList!$E$2:$I$2038,4)</f>
        <v>Passeriformes</v>
      </c>
      <c r="H888" s="3" t="str">
        <f>VLOOKUP(B888,LifeList!$E$2:$I$2038,5)</f>
        <v>Furnariidae (Ovenbirds and Woodcreepers)</v>
      </c>
      <c r="I888" s="3"/>
    </row>
    <row r="889" spans="1:9" ht="10.5" customHeight="1">
      <c r="A889" s="3" t="s">
        <v>1291</v>
      </c>
      <c r="B889" s="3" t="s">
        <v>1286</v>
      </c>
      <c r="C889" s="3">
        <f>VLOOKUP(B889,LifeList!$E$2:$J$2038,6)</f>
        <v>14821</v>
      </c>
      <c r="D889" s="3" t="str">
        <f>VLOOKUP(B889,LifeList!$E$2:$G$2038,1)</f>
        <v>Cocoa Woodcreeper</v>
      </c>
      <c r="E889" s="3" t="str">
        <f>VLOOKUP(B889,LifeList!$E$2:$G$2038,2)</f>
        <v>Grimpar cacao</v>
      </c>
      <c r="F889" s="3" t="str">
        <f>VLOOKUP(B889,LifeList!$E$2:$G$2038,3)</f>
        <v>Xiphorhynchus susurrans</v>
      </c>
      <c r="G889" s="3" t="str">
        <f>VLOOKUP(B889,LifeList!$E$2:$I$2038,4)</f>
        <v>Passeriformes</v>
      </c>
      <c r="H889" s="3" t="str">
        <f>VLOOKUP(B889,LifeList!$E$2:$I$2038,5)</f>
        <v>Furnariidae (Ovenbirds and Woodcreepers)</v>
      </c>
      <c r="I889" s="3"/>
    </row>
    <row r="890" spans="1:9" ht="10.5" customHeight="1">
      <c r="A890" s="3" t="s">
        <v>1292</v>
      </c>
      <c r="B890" s="3" t="s">
        <v>1286</v>
      </c>
      <c r="C890" s="3">
        <f>VLOOKUP(B890,LifeList!$E$2:$J$2038,6)</f>
        <v>14821</v>
      </c>
      <c r="D890" s="3" t="str">
        <f>VLOOKUP(B890,LifeList!$E$2:$G$2038,1)</f>
        <v>Cocoa Woodcreeper</v>
      </c>
      <c r="E890" s="3" t="str">
        <f>VLOOKUP(B890,LifeList!$E$2:$G$2038,2)</f>
        <v>Grimpar cacao</v>
      </c>
      <c r="F890" s="3" t="str">
        <f>VLOOKUP(B890,LifeList!$E$2:$G$2038,3)</f>
        <v>Xiphorhynchus susurrans</v>
      </c>
      <c r="G890" s="3" t="str">
        <f>VLOOKUP(B890,LifeList!$E$2:$I$2038,4)</f>
        <v>Passeriformes</v>
      </c>
      <c r="H890" s="3" t="str">
        <f>VLOOKUP(B890,LifeList!$E$2:$I$2038,5)</f>
        <v>Furnariidae (Ovenbirds and Woodcreepers)</v>
      </c>
      <c r="I890" s="3"/>
    </row>
    <row r="891" spans="1:9" ht="10.5" customHeight="1">
      <c r="A891" s="3" t="s">
        <v>1293</v>
      </c>
      <c r="B891" s="3" t="s">
        <v>1294</v>
      </c>
      <c r="C891" s="3">
        <f>VLOOKUP(B891,LifeList!$E$2:$J$2038,6)</f>
        <v>7762</v>
      </c>
      <c r="D891" s="3" t="str">
        <f>VLOOKUP(B891,LifeList!$E$2:$G$2038,1)</f>
        <v>Cocoi Heron</v>
      </c>
      <c r="E891" s="3" t="str">
        <f>VLOOKUP(B891,LifeList!$E$2:$G$2038,2)</f>
        <v>Héron cocoi</v>
      </c>
      <c r="F891" s="3" t="str">
        <f>VLOOKUP(B891,LifeList!$E$2:$G$2038,3)</f>
        <v>Ardea cocoi</v>
      </c>
      <c r="G891" s="3" t="str">
        <f>VLOOKUP(B891,LifeList!$E$2:$I$2038,4)</f>
        <v>Pelecaniformes</v>
      </c>
      <c r="H891" s="3" t="str">
        <f>VLOOKUP(B891,LifeList!$E$2:$I$2038,5)</f>
        <v>Ardeidae (Herons, Egrets, and Bitterns)</v>
      </c>
      <c r="I891" s="3"/>
    </row>
    <row r="892" spans="1:9" ht="10.5" customHeight="1">
      <c r="A892" s="3" t="s">
        <v>1295</v>
      </c>
      <c r="B892" s="3" t="s">
        <v>1294</v>
      </c>
      <c r="C892" s="3">
        <f>VLOOKUP(B892,LifeList!$E$2:$J$2038,6)</f>
        <v>7762</v>
      </c>
      <c r="D892" s="3" t="str">
        <f>VLOOKUP(B892,LifeList!$E$2:$G$2038,1)</f>
        <v>Cocoi Heron</v>
      </c>
      <c r="E892" s="3" t="str">
        <f>VLOOKUP(B892,LifeList!$E$2:$G$2038,2)</f>
        <v>Héron cocoi</v>
      </c>
      <c r="F892" s="3" t="str">
        <f>VLOOKUP(B892,LifeList!$E$2:$G$2038,3)</f>
        <v>Ardea cocoi</v>
      </c>
      <c r="G892" s="3" t="str">
        <f>VLOOKUP(B892,LifeList!$E$2:$I$2038,4)</f>
        <v>Pelecaniformes</v>
      </c>
      <c r="H892" s="3" t="str">
        <f>VLOOKUP(B892,LifeList!$E$2:$I$2038,5)</f>
        <v>Ardeidae (Herons, Egrets, and Bitterns)</v>
      </c>
      <c r="I892" s="3"/>
    </row>
    <row r="893" spans="1:9" ht="10.5" customHeight="1">
      <c r="A893" s="5" t="s">
        <v>1296</v>
      </c>
      <c r="B893" s="3" t="s">
        <v>1297</v>
      </c>
      <c r="C893" s="6">
        <f>VLOOKUP(B893,LifeList!$E$2:$J$2038,6)</f>
        <v>30197</v>
      </c>
      <c r="D893" s="3" t="str">
        <f>VLOOKUP(B893,LifeList!$E$2:$G$2038,1)</f>
        <v>Collared Sunbird</v>
      </c>
      <c r="E893" s="3" t="str">
        <f>VLOOKUP(B893,LifeList!$E$2:$G$2038,2)</f>
        <v>Souimanga à collier</v>
      </c>
      <c r="F893" s="3" t="str">
        <f>VLOOKUP(B893,LifeList!$E$2:$G$2038,3)</f>
        <v>Hedydipna collaris</v>
      </c>
      <c r="G893" s="3" t="str">
        <f>VLOOKUP(B893,LifeList!$E$2:$I$2038,4)</f>
        <v>Passeriformes</v>
      </c>
      <c r="H893" s="3" t="str">
        <f>VLOOKUP(B893,LifeList!$E$2:$I$2038,5)</f>
        <v>Nectariniidae (Sunbirds and Spiderhunters)</v>
      </c>
      <c r="I893" s="3"/>
    </row>
    <row r="894" spans="1:9" ht="10.5" customHeight="1">
      <c r="A894" s="3" t="s">
        <v>1298</v>
      </c>
      <c r="B894" s="3" t="s">
        <v>1299</v>
      </c>
      <c r="C894" s="3">
        <f>VLOOKUP(B894,LifeList!$E$2:$J$2038,6)</f>
        <v>10885</v>
      </c>
      <c r="D894" s="3" t="str">
        <f>VLOOKUP(B894,LifeList!$E$2:$G$2038,1)</f>
        <v>Collared Aracari</v>
      </c>
      <c r="E894" s="3" t="str">
        <f>VLOOKUP(B894,LifeList!$E$2:$G$2038,2)</f>
        <v>Araçari à collier</v>
      </c>
      <c r="F894" s="3" t="str">
        <f>VLOOKUP(B894,LifeList!$E$2:$G$2038,3)</f>
        <v>Pteroglossus torquatus</v>
      </c>
      <c r="G894" s="3" t="str">
        <f>VLOOKUP(B894,LifeList!$E$2:$I$2038,4)</f>
        <v>Piciformes</v>
      </c>
      <c r="H894" s="3" t="str">
        <f>VLOOKUP(B894,LifeList!$E$2:$I$2038,5)</f>
        <v>Ramphastidae (Toucans)</v>
      </c>
      <c r="I894" s="3"/>
    </row>
    <row r="895" spans="1:9" ht="10.5" customHeight="1">
      <c r="A895" s="3" t="s">
        <v>1300</v>
      </c>
      <c r="B895" s="3" t="s">
        <v>1299</v>
      </c>
      <c r="C895" s="3">
        <f>VLOOKUP(B895,LifeList!$E$2:$J$2038,6)</f>
        <v>10885</v>
      </c>
      <c r="D895" s="3" t="str">
        <f>VLOOKUP(B895,LifeList!$E$2:$G$2038,1)</f>
        <v>Collared Aracari</v>
      </c>
      <c r="E895" s="3" t="str">
        <f>VLOOKUP(B895,LifeList!$E$2:$G$2038,2)</f>
        <v>Araçari à collier</v>
      </c>
      <c r="F895" s="3" t="str">
        <f>VLOOKUP(B895,LifeList!$E$2:$G$2038,3)</f>
        <v>Pteroglossus torquatus</v>
      </c>
      <c r="G895" s="3" t="str">
        <f>VLOOKUP(B895,LifeList!$E$2:$I$2038,4)</f>
        <v>Piciformes</v>
      </c>
      <c r="H895" s="3" t="str">
        <f>VLOOKUP(B895,LifeList!$E$2:$I$2038,5)</f>
        <v>Ramphastidae (Toucans)</v>
      </c>
      <c r="I895" s="3"/>
    </row>
    <row r="896" spans="1:9" ht="10.5" customHeight="1">
      <c r="A896" s="3" t="s">
        <v>1301</v>
      </c>
      <c r="B896" s="3" t="s">
        <v>1299</v>
      </c>
      <c r="C896" s="3">
        <f>VLOOKUP(B896,LifeList!$E$2:$J$2038,6)</f>
        <v>10885</v>
      </c>
      <c r="D896" s="3" t="str">
        <f>VLOOKUP(B896,LifeList!$E$2:$G$2038,1)</f>
        <v>Collared Aracari</v>
      </c>
      <c r="E896" s="3" t="str">
        <f>VLOOKUP(B896,LifeList!$E$2:$G$2038,2)</f>
        <v>Araçari à collier</v>
      </c>
      <c r="F896" s="3" t="str">
        <f>VLOOKUP(B896,LifeList!$E$2:$G$2038,3)</f>
        <v>Pteroglossus torquatus</v>
      </c>
      <c r="G896" s="3" t="str">
        <f>VLOOKUP(B896,LifeList!$E$2:$I$2038,4)</f>
        <v>Piciformes</v>
      </c>
      <c r="H896" s="3" t="str">
        <f>VLOOKUP(B896,LifeList!$E$2:$I$2038,5)</f>
        <v>Ramphastidae (Toucans)</v>
      </c>
      <c r="I896" s="3"/>
    </row>
    <row r="897" spans="1:9" ht="10.5" customHeight="1">
      <c r="A897" s="3" t="s">
        <v>1302</v>
      </c>
      <c r="B897" s="3" t="s">
        <v>1299</v>
      </c>
      <c r="C897" s="3">
        <f>VLOOKUP(B897,LifeList!$E$2:$J$2038,6)</f>
        <v>10885</v>
      </c>
      <c r="D897" s="3" t="str">
        <f>VLOOKUP(B897,LifeList!$E$2:$G$2038,1)</f>
        <v>Collared Aracari</v>
      </c>
      <c r="E897" s="3" t="str">
        <f>VLOOKUP(B897,LifeList!$E$2:$G$2038,2)</f>
        <v>Araçari à collier</v>
      </c>
      <c r="F897" s="3" t="str">
        <f>VLOOKUP(B897,LifeList!$E$2:$G$2038,3)</f>
        <v>Pteroglossus torquatus</v>
      </c>
      <c r="G897" s="3" t="str">
        <f>VLOOKUP(B897,LifeList!$E$2:$I$2038,4)</f>
        <v>Piciformes</v>
      </c>
      <c r="H897" s="3" t="str">
        <f>VLOOKUP(B897,LifeList!$E$2:$I$2038,5)</f>
        <v>Ramphastidae (Toucans)</v>
      </c>
      <c r="I897" s="3"/>
    </row>
    <row r="898" spans="1:9" ht="10.5" customHeight="1">
      <c r="A898" s="3" t="s">
        <v>1303</v>
      </c>
      <c r="B898" s="3" t="s">
        <v>1304</v>
      </c>
      <c r="C898" s="3">
        <f>VLOOKUP(B898,LifeList!$E$2:$J$2038,6)</f>
        <v>4623</v>
      </c>
      <c r="D898" s="3" t="str">
        <f>VLOOKUP(B898,LifeList!$E$2:$G$2038,1)</f>
        <v>Collared Inca</v>
      </c>
      <c r="E898" s="3" t="str">
        <f>VLOOKUP(B898,LifeList!$E$2:$G$2038,2)</f>
        <v>Inca à collier</v>
      </c>
      <c r="F898" s="3" t="str">
        <f>VLOOKUP(B898,LifeList!$E$2:$G$2038,3)</f>
        <v>Coeligena torquata</v>
      </c>
      <c r="G898" s="3" t="str">
        <f>VLOOKUP(B898,LifeList!$E$2:$I$2038,4)</f>
        <v>Apodiformes</v>
      </c>
      <c r="H898" s="3" t="str">
        <f>VLOOKUP(B898,LifeList!$E$2:$I$2038,5)</f>
        <v>Trochilidae (Hummingbirds)</v>
      </c>
      <c r="I898" s="3"/>
    </row>
    <row r="899" spans="1:9" ht="10.5" customHeight="1">
      <c r="A899" s="7" t="s">
        <v>1305</v>
      </c>
      <c r="B899" s="8" t="s">
        <v>1306</v>
      </c>
      <c r="C899" s="3">
        <f>VLOOKUP(B899,LifeList!$E$2:$J$2038,6)</f>
        <v>10885</v>
      </c>
      <c r="D899" s="3" t="str">
        <f>VLOOKUP(B899,LifeList!$E$2:$G$2038,1)</f>
        <v>Collared Aracari</v>
      </c>
      <c r="E899" s="3" t="str">
        <f>VLOOKUP(B899,LifeList!$E$2:$G$2038,2)</f>
        <v>Araçari à collier</v>
      </c>
      <c r="F899" s="3" t="str">
        <f>VLOOKUP(B899,LifeList!$E$2:$G$2038,3)</f>
        <v>Pteroglossus torquatus</v>
      </c>
      <c r="G899" s="3" t="str">
        <f>VLOOKUP(B899,LifeList!$E$2:$I$2038,4)</f>
        <v>Piciformes</v>
      </c>
      <c r="H899" s="3" t="str">
        <f>VLOOKUP(B899,LifeList!$E$2:$I$2038,5)</f>
        <v>Ramphastidae (Toucans)</v>
      </c>
      <c r="I899" s="3"/>
    </row>
    <row r="900" spans="1:9" ht="10.5" customHeight="1">
      <c r="A900" s="3" t="s">
        <v>1307</v>
      </c>
      <c r="B900" s="3" t="s">
        <v>1308</v>
      </c>
      <c r="C900" s="3">
        <f>VLOOKUP(B900,LifeList!$E$2:$J$2038,6)</f>
        <v>5933</v>
      </c>
      <c r="D900" s="3" t="str">
        <f>VLOOKUP(B900,LifeList!$E$2:$G$2038,1)</f>
        <v>Collared Plover</v>
      </c>
      <c r="E900" s="3" t="str">
        <f>VLOOKUP(B900,LifeList!$E$2:$G$2038,2)</f>
        <v>Pluvier d'Azara</v>
      </c>
      <c r="F900" s="3" t="str">
        <f>VLOOKUP(B900,LifeList!$E$2:$G$2038,3)</f>
        <v>Anarhynchus collaris</v>
      </c>
      <c r="G900" s="3" t="str">
        <f>VLOOKUP(B900,LifeList!$E$2:$I$2038,4)</f>
        <v>Charadriiformes</v>
      </c>
      <c r="H900" s="3" t="str">
        <f>VLOOKUP(B900,LifeList!$E$2:$I$2038,5)</f>
        <v>Charadriidae (Plovers and Lapwings)</v>
      </c>
      <c r="I900" s="3"/>
    </row>
    <row r="901" spans="1:9" ht="10.5" customHeight="1">
      <c r="A901" s="3" t="s">
        <v>1309</v>
      </c>
      <c r="B901" s="3" t="s">
        <v>1308</v>
      </c>
      <c r="C901" s="3">
        <f>VLOOKUP(B901,LifeList!$E$2:$J$2038,6)</f>
        <v>5933</v>
      </c>
      <c r="D901" s="3" t="str">
        <f>VLOOKUP(B901,LifeList!$E$2:$G$2038,1)</f>
        <v>Collared Plover</v>
      </c>
      <c r="E901" s="3" t="str">
        <f>VLOOKUP(B901,LifeList!$E$2:$G$2038,2)</f>
        <v>Pluvier d'Azara</v>
      </c>
      <c r="F901" s="3" t="str">
        <f>VLOOKUP(B901,LifeList!$E$2:$G$2038,3)</f>
        <v>Anarhynchus collaris</v>
      </c>
      <c r="G901" s="3" t="str">
        <f>VLOOKUP(B901,LifeList!$E$2:$I$2038,4)</f>
        <v>Charadriiformes</v>
      </c>
      <c r="H901" s="3" t="str">
        <f>VLOOKUP(B901,LifeList!$E$2:$I$2038,5)</f>
        <v>Charadriidae (Plovers and Lapwings)</v>
      </c>
      <c r="I901" s="3"/>
    </row>
    <row r="902" spans="1:9" ht="10.5" customHeight="1">
      <c r="A902" s="3" t="s">
        <v>1310</v>
      </c>
      <c r="B902" s="3" t="s">
        <v>1311</v>
      </c>
      <c r="C902" s="3">
        <f>VLOOKUP(B902,LifeList!$E$2:$J$2038,6)</f>
        <v>34382</v>
      </c>
      <c r="D902" s="3" t="str">
        <f>VLOOKUP(B902,LifeList!$E$2:$G$2038,1)</f>
        <v>Collared Redstart</v>
      </c>
      <c r="E902" s="3" t="str">
        <f>VLOOKUP(B902,LifeList!$E$2:$G$2038,2)</f>
        <v>Paruline ceinturée</v>
      </c>
      <c r="F902" s="3" t="str">
        <f>VLOOKUP(B902,LifeList!$E$2:$G$2038,3)</f>
        <v>Myioborus torquatus</v>
      </c>
      <c r="G902" s="3" t="str">
        <f>VLOOKUP(B902,LifeList!$E$2:$I$2038,4)</f>
        <v>Passeriformes</v>
      </c>
      <c r="H902" s="3" t="str">
        <f>VLOOKUP(B902,LifeList!$E$2:$I$2038,5)</f>
        <v>Parulidae (New World Warblers)</v>
      </c>
      <c r="I902" s="3"/>
    </row>
    <row r="903" spans="1:9" ht="10.5" customHeight="1">
      <c r="A903" s="3" t="s">
        <v>1312</v>
      </c>
      <c r="B903" s="3" t="s">
        <v>1311</v>
      </c>
      <c r="C903" s="3">
        <f>VLOOKUP(B903,LifeList!$E$2:$J$2038,6)</f>
        <v>34382</v>
      </c>
      <c r="D903" s="3" t="str">
        <f>VLOOKUP(B903,LifeList!$E$2:$G$2038,1)</f>
        <v>Collared Redstart</v>
      </c>
      <c r="E903" s="3" t="str">
        <f>VLOOKUP(B903,LifeList!$E$2:$G$2038,2)</f>
        <v>Paruline ceinturée</v>
      </c>
      <c r="F903" s="3" t="str">
        <f>VLOOKUP(B903,LifeList!$E$2:$G$2038,3)</f>
        <v>Myioborus torquatus</v>
      </c>
      <c r="G903" s="3" t="str">
        <f>VLOOKUP(B903,LifeList!$E$2:$I$2038,4)</f>
        <v>Passeriformes</v>
      </c>
      <c r="H903" s="3" t="str">
        <f>VLOOKUP(B903,LifeList!$E$2:$I$2038,5)</f>
        <v>Parulidae (New World Warblers)</v>
      </c>
      <c r="I903" s="3"/>
    </row>
    <row r="904" spans="1:9" ht="10.5" customHeight="1">
      <c r="A904" s="7" t="s">
        <v>1313</v>
      </c>
      <c r="B904" s="8" t="s">
        <v>1314</v>
      </c>
      <c r="C904" s="3">
        <f>VLOOKUP(B904,LifeList!$E$2:$J$2038,6)</f>
        <v>9579</v>
      </c>
      <c r="D904" s="3" t="str">
        <f>VLOOKUP(B904,LifeList!$E$2:$G$2038,1)</f>
        <v>Collared Trogon</v>
      </c>
      <c r="E904" s="3" t="str">
        <f>VLOOKUP(B904,LifeList!$E$2:$G$2038,2)</f>
        <v>Trogon rosalba</v>
      </c>
      <c r="F904" s="3" t="str">
        <f>VLOOKUP(B904,LifeList!$E$2:$G$2038,3)</f>
        <v>Trogon collaris</v>
      </c>
      <c r="G904" s="3" t="str">
        <f>VLOOKUP(B904,LifeList!$E$2:$I$2038,4)</f>
        <v>Trogoniformes</v>
      </c>
      <c r="H904" s="3" t="str">
        <f>VLOOKUP(B904,LifeList!$E$2:$I$2038,5)</f>
        <v>Trogonidae (Trogons)</v>
      </c>
      <c r="I904" s="3"/>
    </row>
    <row r="905" spans="1:9" ht="10.5" customHeight="1">
      <c r="A905" s="3" t="s">
        <v>1315</v>
      </c>
      <c r="B905" s="3" t="s">
        <v>1316</v>
      </c>
      <c r="C905" s="3">
        <f>VLOOKUP(B905,LifeList!$E$2:$J$2038,6)</f>
        <v>9579</v>
      </c>
      <c r="D905" s="3" t="str">
        <f>VLOOKUP(B905,LifeList!$E$2:$G$2038,1)</f>
        <v>Collared Trogon</v>
      </c>
      <c r="E905" s="3" t="str">
        <f>VLOOKUP(B905,LifeList!$E$2:$G$2038,2)</f>
        <v>Trogon rosalba</v>
      </c>
      <c r="F905" s="3" t="str">
        <f>VLOOKUP(B905,LifeList!$E$2:$G$2038,3)</f>
        <v>Trogon collaris</v>
      </c>
      <c r="G905" s="3" t="str">
        <f>VLOOKUP(B905,LifeList!$E$2:$I$2038,4)</f>
        <v>Trogoniformes</v>
      </c>
      <c r="H905" s="3" t="str">
        <f>VLOOKUP(B905,LifeList!$E$2:$I$2038,5)</f>
        <v>Trogonidae (Trogons)</v>
      </c>
      <c r="I905" s="3"/>
    </row>
    <row r="906" spans="1:9" ht="10.5" customHeight="1">
      <c r="A906" s="3" t="s">
        <v>1317</v>
      </c>
      <c r="B906" s="3" t="s">
        <v>1316</v>
      </c>
      <c r="C906" s="3">
        <f>VLOOKUP(B906,LifeList!$E$2:$J$2038,6)</f>
        <v>9579</v>
      </c>
      <c r="D906" s="3" t="str">
        <f>VLOOKUP(B906,LifeList!$E$2:$G$2038,1)</f>
        <v>Collared Trogon</v>
      </c>
      <c r="E906" s="3" t="str">
        <f>VLOOKUP(B906,LifeList!$E$2:$G$2038,2)</f>
        <v>Trogon rosalba</v>
      </c>
      <c r="F906" s="3" t="str">
        <f>VLOOKUP(B906,LifeList!$E$2:$G$2038,3)</f>
        <v>Trogon collaris</v>
      </c>
      <c r="G906" s="3" t="str">
        <f>VLOOKUP(B906,LifeList!$E$2:$I$2038,4)</f>
        <v>Trogoniformes</v>
      </c>
      <c r="H906" s="3" t="str">
        <f>VLOOKUP(B906,LifeList!$E$2:$I$2038,5)</f>
        <v>Trogonidae (Trogons)</v>
      </c>
      <c r="I906" s="3"/>
    </row>
    <row r="907" spans="1:9" ht="10.5" customHeight="1">
      <c r="A907" s="3" t="s">
        <v>1318</v>
      </c>
      <c r="B907" s="3" t="s">
        <v>1316</v>
      </c>
      <c r="C907" s="3">
        <f>VLOOKUP(B907,LifeList!$E$2:$J$2038,6)</f>
        <v>9579</v>
      </c>
      <c r="D907" s="3" t="str">
        <f>VLOOKUP(B907,LifeList!$E$2:$G$2038,1)</f>
        <v>Collared Trogon</v>
      </c>
      <c r="E907" s="3" t="str">
        <f>VLOOKUP(B907,LifeList!$E$2:$G$2038,2)</f>
        <v>Trogon rosalba</v>
      </c>
      <c r="F907" s="3" t="str">
        <f>VLOOKUP(B907,LifeList!$E$2:$G$2038,3)</f>
        <v>Trogon collaris</v>
      </c>
      <c r="G907" s="3" t="str">
        <f>VLOOKUP(B907,LifeList!$E$2:$I$2038,4)</f>
        <v>Trogoniformes</v>
      </c>
      <c r="H907" s="3" t="str">
        <f>VLOOKUP(B907,LifeList!$E$2:$I$2038,5)</f>
        <v>Trogonidae (Trogons)</v>
      </c>
      <c r="I907" s="3"/>
    </row>
    <row r="908" spans="1:9" ht="10.5" customHeight="1">
      <c r="A908" s="5" t="s">
        <v>1319</v>
      </c>
      <c r="B908" s="3" t="s">
        <v>1320</v>
      </c>
      <c r="C908" s="6">
        <f>VLOOKUP(B908,LifeList!$E$2:$J$2038,6)</f>
        <v>961</v>
      </c>
      <c r="D908" s="3" t="str">
        <f>VLOOKUP(B908,LifeList!$E$2:$G$2038,1)</f>
        <v>Colombian Chachalaca</v>
      </c>
      <c r="E908" s="3" t="str">
        <f>VLOOKUP(B908,LifeList!$E$2:$G$2038,2)</f>
        <v>Ortalide de Colombie</v>
      </c>
      <c r="F908" s="3" t="str">
        <f>VLOOKUP(B908,LifeList!$E$2:$G$2038,3)</f>
        <v>Ortalis columbiana</v>
      </c>
      <c r="G908" s="3" t="str">
        <f>VLOOKUP(B908,LifeList!$E$2:$I$2038,4)</f>
        <v>Galliformes</v>
      </c>
      <c r="H908" s="3" t="str">
        <f>VLOOKUP(B908,LifeList!$E$2:$I$2038,5)</f>
        <v>Cracidae (Guans, Chachalacas, and Curassows)</v>
      </c>
      <c r="I908" s="3"/>
    </row>
    <row r="909" spans="1:9" ht="10.5" customHeight="1">
      <c r="A909" s="3" t="s">
        <v>1321</v>
      </c>
      <c r="B909" s="5" t="s">
        <v>1322</v>
      </c>
      <c r="C909" s="3">
        <f>VLOOKUP(B909,LifeList!$E$2:$J$2038,6)</f>
        <v>32483</v>
      </c>
      <c r="D909" s="3" t="str">
        <f>VLOOKUP(B909,LifeList!$E$2:$G$2038,1)</f>
        <v>Redpoll</v>
      </c>
      <c r="E909" s="3" t="str">
        <f>VLOOKUP(B909,LifeList!$E$2:$G$2038,2)</f>
        <v>Sizerin flammé</v>
      </c>
      <c r="F909" s="3" t="str">
        <f>VLOOKUP(B909,LifeList!$E$2:$G$2038,3)</f>
        <v>Acanthis flammea</v>
      </c>
      <c r="G909" s="3" t="str">
        <f>VLOOKUP(B909,LifeList!$E$2:$I$2038,4)</f>
        <v>Passeriformes</v>
      </c>
      <c r="H909" s="3" t="str">
        <f>VLOOKUP(B909,LifeList!$E$2:$I$2038,5)</f>
        <v>Fringillidae (Finches, Euphonias, and Allies)</v>
      </c>
      <c r="I909" s="3"/>
    </row>
    <row r="910" spans="1:9" ht="10.5" customHeight="1">
      <c r="A910" s="5" t="s">
        <v>1323</v>
      </c>
      <c r="B910" s="5" t="s">
        <v>1322</v>
      </c>
      <c r="C910" s="3">
        <f>VLOOKUP(B910,LifeList!$E$2:$J$2038,6)</f>
        <v>32483</v>
      </c>
      <c r="D910" s="3" t="str">
        <f>VLOOKUP(B910,LifeList!$E$2:$G$2038,1)</f>
        <v>Redpoll</v>
      </c>
      <c r="E910" s="3" t="str">
        <f>VLOOKUP(B910,LifeList!$E$2:$G$2038,2)</f>
        <v>Sizerin flammé</v>
      </c>
      <c r="F910" s="3" t="str">
        <f>VLOOKUP(B910,LifeList!$E$2:$G$2038,3)</f>
        <v>Acanthis flammea</v>
      </c>
      <c r="G910" s="3" t="str">
        <f>VLOOKUP(B910,LifeList!$E$2:$I$2038,4)</f>
        <v>Passeriformes</v>
      </c>
      <c r="H910" s="3" t="str">
        <f>VLOOKUP(B910,LifeList!$E$2:$I$2038,5)</f>
        <v>Fringillidae (Finches, Euphonias, and Allies)</v>
      </c>
      <c r="I910" s="3"/>
    </row>
    <row r="911" spans="1:9" ht="10.5" customHeight="1">
      <c r="A911" s="3" t="s">
        <v>1324</v>
      </c>
      <c r="B911" s="3" t="s">
        <v>1325</v>
      </c>
      <c r="C911" s="3">
        <f>VLOOKUP(B911,LifeList!$E$2:$J$2038,6)</f>
        <v>34028</v>
      </c>
      <c r="D911" s="3" t="str">
        <f>VLOOKUP(B911,LifeList!$E$2:$G$2038,1)</f>
        <v>Common Yellowthroat</v>
      </c>
      <c r="E911" s="3" t="str">
        <f>VLOOKUP(B911,LifeList!$E$2:$G$2038,2)</f>
        <v>Paruline masquée</v>
      </c>
      <c r="F911" s="3" t="str">
        <f>VLOOKUP(B911,LifeList!$E$2:$G$2038,3)</f>
        <v>Geothlypis trichas</v>
      </c>
      <c r="G911" s="3" t="str">
        <f>VLOOKUP(B911,LifeList!$E$2:$I$2038,4)</f>
        <v>Passeriformes</v>
      </c>
      <c r="H911" s="3" t="str">
        <f>VLOOKUP(B911,LifeList!$E$2:$I$2038,5)</f>
        <v>Parulidae (New World Warblers)</v>
      </c>
      <c r="I911" s="3"/>
    </row>
    <row r="912" spans="1:9" ht="10.5" customHeight="1">
      <c r="A912" s="3" t="s">
        <v>1326</v>
      </c>
      <c r="B912" s="3" t="s">
        <v>1327</v>
      </c>
      <c r="C912" s="3">
        <f>VLOOKUP(B912,LifeList!$E$2:$J$2038,6)</f>
        <v>8411</v>
      </c>
      <c r="D912" s="3" t="str">
        <f>VLOOKUP(B912,LifeList!$E$2:$G$2038,1)</f>
        <v>Common Black Hawk</v>
      </c>
      <c r="E912" s="3" t="str">
        <f>VLOOKUP(B912,LifeList!$E$2:$G$2038,2)</f>
        <v>Buse noire</v>
      </c>
      <c r="F912" s="3" t="str">
        <f>VLOOKUP(B912,LifeList!$E$2:$G$2038,3)</f>
        <v>Buteogallus anthracinus</v>
      </c>
      <c r="G912" s="3" t="str">
        <f>VLOOKUP(B912,LifeList!$E$2:$I$2038,4)</f>
        <v>Accipitriformes</v>
      </c>
      <c r="H912" s="3" t="str">
        <f>VLOOKUP(B912,LifeList!$E$2:$I$2038,5)</f>
        <v>Accipitridae (Hawks, Eagles, and Kites)</v>
      </c>
      <c r="I912" s="3"/>
    </row>
    <row r="913" spans="1:9" ht="10.5" customHeight="1">
      <c r="A913" s="3" t="s">
        <v>1328</v>
      </c>
      <c r="B913" s="3" t="s">
        <v>1327</v>
      </c>
      <c r="C913" s="3">
        <f>VLOOKUP(B913,LifeList!$E$2:$J$2038,6)</f>
        <v>8411</v>
      </c>
      <c r="D913" s="3" t="str">
        <f>VLOOKUP(B913,LifeList!$E$2:$G$2038,1)</f>
        <v>Common Black Hawk</v>
      </c>
      <c r="E913" s="3" t="str">
        <f>VLOOKUP(B913,LifeList!$E$2:$G$2038,2)</f>
        <v>Buse noire</v>
      </c>
      <c r="F913" s="3" t="str">
        <f>VLOOKUP(B913,LifeList!$E$2:$G$2038,3)</f>
        <v>Buteogallus anthracinus</v>
      </c>
      <c r="G913" s="3" t="str">
        <f>VLOOKUP(B913,LifeList!$E$2:$I$2038,4)</f>
        <v>Accipitriformes</v>
      </c>
      <c r="H913" s="3" t="str">
        <f>VLOOKUP(B913,LifeList!$E$2:$I$2038,5)</f>
        <v>Accipitridae (Hawks, Eagles, and Kites)</v>
      </c>
      <c r="I913" s="3"/>
    </row>
    <row r="914" spans="1:9" ht="10.5" customHeight="1">
      <c r="A914" s="3" t="s">
        <v>1329</v>
      </c>
      <c r="B914" s="3" t="s">
        <v>1327</v>
      </c>
      <c r="C914" s="3">
        <f>VLOOKUP(B914,LifeList!$E$2:$J$2038,6)</f>
        <v>8411</v>
      </c>
      <c r="D914" s="3" t="str">
        <f>VLOOKUP(B914,LifeList!$E$2:$G$2038,1)</f>
        <v>Common Black Hawk</v>
      </c>
      <c r="E914" s="3" t="str">
        <f>VLOOKUP(B914,LifeList!$E$2:$G$2038,2)</f>
        <v>Buse noire</v>
      </c>
      <c r="F914" s="3" t="str">
        <f>VLOOKUP(B914,LifeList!$E$2:$G$2038,3)</f>
        <v>Buteogallus anthracinus</v>
      </c>
      <c r="G914" s="3" t="str">
        <f>VLOOKUP(B914,LifeList!$E$2:$I$2038,4)</f>
        <v>Accipitriformes</v>
      </c>
      <c r="H914" s="3" t="str">
        <f>VLOOKUP(B914,LifeList!$E$2:$I$2038,5)</f>
        <v>Accipitridae (Hawks, Eagles, and Kites)</v>
      </c>
      <c r="I914" s="3"/>
    </row>
    <row r="915" spans="1:9" ht="10.5" customHeight="1">
      <c r="A915" s="3" t="s">
        <v>1330</v>
      </c>
      <c r="B915" s="3" t="s">
        <v>1327</v>
      </c>
      <c r="C915" s="3">
        <f>VLOOKUP(B915,LifeList!$E$2:$J$2038,6)</f>
        <v>8411</v>
      </c>
      <c r="D915" s="3" t="str">
        <f>VLOOKUP(B915,LifeList!$E$2:$G$2038,1)</f>
        <v>Common Black Hawk</v>
      </c>
      <c r="E915" s="3" t="str">
        <f>VLOOKUP(B915,LifeList!$E$2:$G$2038,2)</f>
        <v>Buse noire</v>
      </c>
      <c r="F915" s="3" t="str">
        <f>VLOOKUP(B915,LifeList!$E$2:$G$2038,3)</f>
        <v>Buteogallus anthracinus</v>
      </c>
      <c r="G915" s="3" t="str">
        <f>VLOOKUP(B915,LifeList!$E$2:$I$2038,4)</f>
        <v>Accipitriformes</v>
      </c>
      <c r="H915" s="3" t="str">
        <f>VLOOKUP(B915,LifeList!$E$2:$I$2038,5)</f>
        <v>Accipitridae (Hawks, Eagles, and Kites)</v>
      </c>
      <c r="I915" s="3"/>
    </row>
    <row r="916" spans="1:9" ht="10.5" customHeight="1">
      <c r="A916" s="3" t="s">
        <v>1331</v>
      </c>
      <c r="B916" s="3" t="s">
        <v>1332</v>
      </c>
      <c r="C916" s="3">
        <f>VLOOKUP(B916,LifeList!$E$2:$J$2038,6)</f>
        <v>2206</v>
      </c>
      <c r="D916" s="3" t="str">
        <f>VLOOKUP(B916,LifeList!$E$2:$G$2038,1)</f>
        <v>Common Bronzewing</v>
      </c>
      <c r="E916" s="3" t="str">
        <f>VLOOKUP(B916,LifeList!$E$2:$G$2038,2)</f>
        <v>Colombine lumachelle</v>
      </c>
      <c r="F916" s="3" t="str">
        <f>VLOOKUP(B916,LifeList!$E$2:$G$2038,3)</f>
        <v>Phaps chalcoptera</v>
      </c>
      <c r="G916" s="3" t="str">
        <f>VLOOKUP(B916,LifeList!$E$2:$I$2038,4)</f>
        <v>Columbiformes</v>
      </c>
      <c r="H916" s="3" t="str">
        <f>VLOOKUP(B916,LifeList!$E$2:$I$2038,5)</f>
        <v>Columbidae (Pigeons and Doves)</v>
      </c>
      <c r="I916" s="3"/>
    </row>
    <row r="917" spans="1:9" ht="10.5" customHeight="1">
      <c r="A917" s="3" t="s">
        <v>1333</v>
      </c>
      <c r="B917" s="3" t="s">
        <v>1334</v>
      </c>
      <c r="C917" s="3">
        <f>VLOOKUP(B917,LifeList!$E$2:$J$2038,6)</f>
        <v>24720</v>
      </c>
      <c r="D917" s="3" t="str">
        <f>VLOOKUP(B917,LifeList!$E$2:$G$2038,1)</f>
        <v>Common Bulbul</v>
      </c>
      <c r="E917" s="3" t="str">
        <f>VLOOKUP(B917,LifeList!$E$2:$G$2038,2)</f>
        <v>Bulbul des jardins</v>
      </c>
      <c r="F917" s="3" t="str">
        <f>VLOOKUP(B917,LifeList!$E$2:$G$2038,3)</f>
        <v>Pycnonotus barbatus</v>
      </c>
      <c r="G917" s="3" t="str">
        <f>VLOOKUP(B917,LifeList!$E$2:$I$2038,4)</f>
        <v>Passeriformes</v>
      </c>
      <c r="H917" s="3" t="str">
        <f>VLOOKUP(B917,LifeList!$E$2:$I$2038,5)</f>
        <v>Pycnonotidae (Bulbuls)</v>
      </c>
      <c r="I917" s="3"/>
    </row>
    <row r="918" spans="1:9" ht="10.5" customHeight="1">
      <c r="A918" s="3" t="s">
        <v>1335</v>
      </c>
      <c r="B918" s="3" t="s">
        <v>1334</v>
      </c>
      <c r="C918" s="3">
        <f>VLOOKUP(B918,LifeList!$E$2:$J$2038,6)</f>
        <v>24720</v>
      </c>
      <c r="D918" s="3" t="str">
        <f>VLOOKUP(B918,LifeList!$E$2:$G$2038,1)</f>
        <v>Common Bulbul</v>
      </c>
      <c r="E918" s="3" t="str">
        <f>VLOOKUP(B918,LifeList!$E$2:$G$2038,2)</f>
        <v>Bulbul des jardins</v>
      </c>
      <c r="F918" s="3" t="str">
        <f>VLOOKUP(B918,LifeList!$E$2:$G$2038,3)</f>
        <v>Pycnonotus barbatus</v>
      </c>
      <c r="G918" s="3" t="str">
        <f>VLOOKUP(B918,LifeList!$E$2:$I$2038,4)</f>
        <v>Passeriformes</v>
      </c>
      <c r="H918" s="3" t="str">
        <f>VLOOKUP(B918,LifeList!$E$2:$I$2038,5)</f>
        <v>Pycnonotidae (Bulbuls)</v>
      </c>
      <c r="I918" s="3"/>
    </row>
    <row r="919" spans="1:9" ht="10.5" customHeight="1">
      <c r="A919" s="3" t="s">
        <v>1336</v>
      </c>
      <c r="B919" s="3" t="s">
        <v>1337</v>
      </c>
      <c r="C919" s="3">
        <f>VLOOKUP(B919,LifeList!$E$2:$J$2038,6)</f>
        <v>32867</v>
      </c>
      <c r="D919" s="3" t="str">
        <f>VLOOKUP(B919,LifeList!$E$2:$G$2038,1)</f>
        <v>Common Chlorospingus</v>
      </c>
      <c r="E919" s="3" t="str">
        <f>VLOOKUP(B919,LifeList!$E$2:$G$2038,2)</f>
        <v>Chlorospin des buissons</v>
      </c>
      <c r="F919" s="3" t="str">
        <f>VLOOKUP(B919,LifeList!$E$2:$G$2038,3)</f>
        <v>Chlorospingus flavopectus</v>
      </c>
      <c r="G919" s="3" t="str">
        <f>VLOOKUP(B919,LifeList!$E$2:$I$2038,4)</f>
        <v>Passeriformes</v>
      </c>
      <c r="H919" s="3" t="str">
        <f>VLOOKUP(B919,LifeList!$E$2:$I$2038,5)</f>
        <v>Passerellidae (New World Sparrows)</v>
      </c>
      <c r="I919" s="3"/>
    </row>
    <row r="920" spans="1:9" ht="10.5" customHeight="1">
      <c r="A920" s="3" t="s">
        <v>1338</v>
      </c>
      <c r="B920" s="3" t="s">
        <v>1339</v>
      </c>
      <c r="C920" s="3">
        <f>VLOOKUP(B920,LifeList!$E$2:$J$2038,6)</f>
        <v>715</v>
      </c>
      <c r="D920" s="3" t="str">
        <f>VLOOKUP(B920,LifeList!$E$2:$G$2038,1)</f>
        <v>Common Eider</v>
      </c>
      <c r="E920" s="3" t="str">
        <f>VLOOKUP(B920,LifeList!$E$2:$G$2038,2)</f>
        <v>Eider à duvet</v>
      </c>
      <c r="F920" s="3" t="str">
        <f>VLOOKUP(B920,LifeList!$E$2:$G$2038,3)</f>
        <v>Somateria mollissima</v>
      </c>
      <c r="G920" s="3" t="str">
        <f>VLOOKUP(B920,LifeList!$E$2:$I$2038,4)</f>
        <v>Anseriformes</v>
      </c>
      <c r="H920" s="3" t="str">
        <f>VLOOKUP(B920,LifeList!$E$2:$I$2038,5)</f>
        <v>Anatidae (Ducks, Geese, and Waterfowl)</v>
      </c>
      <c r="I920" s="3"/>
    </row>
    <row r="921" spans="1:9" ht="10.5" customHeight="1">
      <c r="A921" s="3" t="s">
        <v>1340</v>
      </c>
      <c r="B921" s="3" t="s">
        <v>1341</v>
      </c>
      <c r="C921" s="3">
        <f>VLOOKUP(B921,LifeList!$E$2:$J$2038,6)</f>
        <v>5468</v>
      </c>
      <c r="D921" s="3" t="str">
        <f>VLOOKUP(B921,LifeList!$E$2:$G$2038,1)</f>
        <v>Common Gallinule</v>
      </c>
      <c r="E921" s="3" t="str">
        <f>VLOOKUP(B921,LifeList!$E$2:$G$2038,2)</f>
        <v>Gallinule d'Amérique</v>
      </c>
      <c r="F921" s="3" t="str">
        <f>VLOOKUP(B921,LifeList!$E$2:$G$2038,3)</f>
        <v>Gallinula galeata</v>
      </c>
      <c r="G921" s="3" t="str">
        <f>VLOOKUP(B921,LifeList!$E$2:$I$2038,4)</f>
        <v>Gruiformes</v>
      </c>
      <c r="H921" s="3" t="str">
        <f>VLOOKUP(B921,LifeList!$E$2:$I$2038,5)</f>
        <v>Rallidae (Rails, Gallinules, and Coots)</v>
      </c>
      <c r="I921" s="3"/>
    </row>
    <row r="922" spans="1:9" ht="10.5" customHeight="1">
      <c r="A922" s="3" t="s">
        <v>1342</v>
      </c>
      <c r="B922" s="3" t="s">
        <v>1341</v>
      </c>
      <c r="C922" s="3">
        <f>VLOOKUP(B922,LifeList!$E$2:$J$2038,6)</f>
        <v>5468</v>
      </c>
      <c r="D922" s="3" t="str">
        <f>VLOOKUP(B922,LifeList!$E$2:$G$2038,1)</f>
        <v>Common Gallinule</v>
      </c>
      <c r="E922" s="3" t="str">
        <f>VLOOKUP(B922,LifeList!$E$2:$G$2038,2)</f>
        <v>Gallinule d'Amérique</v>
      </c>
      <c r="F922" s="3" t="str">
        <f>VLOOKUP(B922,LifeList!$E$2:$G$2038,3)</f>
        <v>Gallinula galeata</v>
      </c>
      <c r="G922" s="3" t="str">
        <f>VLOOKUP(B922,LifeList!$E$2:$I$2038,4)</f>
        <v>Gruiformes</v>
      </c>
      <c r="H922" s="3" t="str">
        <f>VLOOKUP(B922,LifeList!$E$2:$I$2038,5)</f>
        <v>Rallidae (Rails, Gallinules, and Coots)</v>
      </c>
      <c r="I922" s="3"/>
    </row>
    <row r="923" spans="1:9" ht="10.5" customHeight="1">
      <c r="A923" s="3" t="s">
        <v>1343</v>
      </c>
      <c r="B923" s="3" t="s">
        <v>1341</v>
      </c>
      <c r="C923" s="3">
        <f>VLOOKUP(B923,LifeList!$E$2:$J$2038,6)</f>
        <v>5468</v>
      </c>
      <c r="D923" s="3" t="str">
        <f>VLOOKUP(B923,LifeList!$E$2:$G$2038,1)</f>
        <v>Common Gallinule</v>
      </c>
      <c r="E923" s="3" t="str">
        <f>VLOOKUP(B923,LifeList!$E$2:$G$2038,2)</f>
        <v>Gallinule d'Amérique</v>
      </c>
      <c r="F923" s="3" t="str">
        <f>VLOOKUP(B923,LifeList!$E$2:$G$2038,3)</f>
        <v>Gallinula galeata</v>
      </c>
      <c r="G923" s="3" t="str">
        <f>VLOOKUP(B923,LifeList!$E$2:$I$2038,4)</f>
        <v>Gruiformes</v>
      </c>
      <c r="H923" s="3" t="str">
        <f>VLOOKUP(B923,LifeList!$E$2:$I$2038,5)</f>
        <v>Rallidae (Rails, Gallinules, and Coots)</v>
      </c>
      <c r="I923" s="3"/>
    </row>
    <row r="924" spans="1:9" ht="10.5" customHeight="1">
      <c r="A924" s="3" t="s">
        <v>1344</v>
      </c>
      <c r="B924" s="3" t="s">
        <v>1341</v>
      </c>
      <c r="C924" s="3">
        <f>VLOOKUP(B924,LifeList!$E$2:$J$2038,6)</f>
        <v>5468</v>
      </c>
      <c r="D924" s="3" t="str">
        <f>VLOOKUP(B924,LifeList!$E$2:$G$2038,1)</f>
        <v>Common Gallinule</v>
      </c>
      <c r="E924" s="3" t="str">
        <f>VLOOKUP(B924,LifeList!$E$2:$G$2038,2)</f>
        <v>Gallinule d'Amérique</v>
      </c>
      <c r="F924" s="3" t="str">
        <f>VLOOKUP(B924,LifeList!$E$2:$G$2038,3)</f>
        <v>Gallinula galeata</v>
      </c>
      <c r="G924" s="3" t="str">
        <f>VLOOKUP(B924,LifeList!$E$2:$I$2038,4)</f>
        <v>Gruiformes</v>
      </c>
      <c r="H924" s="3" t="str">
        <f>VLOOKUP(B924,LifeList!$E$2:$I$2038,5)</f>
        <v>Rallidae (Rails, Gallinules, and Coots)</v>
      </c>
      <c r="I924" s="3"/>
    </row>
    <row r="925" spans="1:9" ht="10.5" customHeight="1">
      <c r="A925" s="3" t="s">
        <v>1345</v>
      </c>
      <c r="B925" s="3" t="s">
        <v>1341</v>
      </c>
      <c r="C925" s="3">
        <f>VLOOKUP(B925,LifeList!$E$2:$J$2038,6)</f>
        <v>5468</v>
      </c>
      <c r="D925" s="3" t="str">
        <f>VLOOKUP(B925,LifeList!$E$2:$G$2038,1)</f>
        <v>Common Gallinule</v>
      </c>
      <c r="E925" s="3" t="str">
        <f>VLOOKUP(B925,LifeList!$E$2:$G$2038,2)</f>
        <v>Gallinule d'Amérique</v>
      </c>
      <c r="F925" s="3" t="str">
        <f>VLOOKUP(B925,LifeList!$E$2:$G$2038,3)</f>
        <v>Gallinula galeata</v>
      </c>
      <c r="G925" s="3" t="str">
        <f>VLOOKUP(B925,LifeList!$E$2:$I$2038,4)</f>
        <v>Gruiformes</v>
      </c>
      <c r="H925" s="3" t="str">
        <f>VLOOKUP(B925,LifeList!$E$2:$I$2038,5)</f>
        <v>Rallidae (Rails, Gallinules, and Coots)</v>
      </c>
      <c r="I925" s="3"/>
    </row>
    <row r="926" spans="1:9" ht="10.5" customHeight="1">
      <c r="A926" s="3" t="s">
        <v>1346</v>
      </c>
      <c r="B926" s="3" t="s">
        <v>1341</v>
      </c>
      <c r="C926" s="3">
        <f>VLOOKUP(B926,LifeList!$E$2:$J$2038,6)</f>
        <v>5468</v>
      </c>
      <c r="D926" s="3" t="str">
        <f>VLOOKUP(B926,LifeList!$E$2:$G$2038,1)</f>
        <v>Common Gallinule</v>
      </c>
      <c r="E926" s="3" t="str">
        <f>VLOOKUP(B926,LifeList!$E$2:$G$2038,2)</f>
        <v>Gallinule d'Amérique</v>
      </c>
      <c r="F926" s="3" t="str">
        <f>VLOOKUP(B926,LifeList!$E$2:$G$2038,3)</f>
        <v>Gallinula galeata</v>
      </c>
      <c r="G926" s="3" t="str">
        <f>VLOOKUP(B926,LifeList!$E$2:$I$2038,4)</f>
        <v>Gruiformes</v>
      </c>
      <c r="H926" s="3" t="str">
        <f>VLOOKUP(B926,LifeList!$E$2:$I$2038,5)</f>
        <v>Rallidae (Rails, Gallinules, and Coots)</v>
      </c>
      <c r="I926" s="3"/>
    </row>
    <row r="927" spans="1:9" ht="10.5" customHeight="1">
      <c r="A927" s="3" t="s">
        <v>1347</v>
      </c>
      <c r="B927" s="3" t="s">
        <v>1341</v>
      </c>
      <c r="C927" s="3">
        <f>VLOOKUP(B927,LifeList!$E$2:$J$2038,6)</f>
        <v>5468</v>
      </c>
      <c r="D927" s="3" t="str">
        <f>VLOOKUP(B927,LifeList!$E$2:$G$2038,1)</f>
        <v>Common Gallinule</v>
      </c>
      <c r="E927" s="3" t="str">
        <f>VLOOKUP(B927,LifeList!$E$2:$G$2038,2)</f>
        <v>Gallinule d'Amérique</v>
      </c>
      <c r="F927" s="3" t="str">
        <f>VLOOKUP(B927,LifeList!$E$2:$G$2038,3)</f>
        <v>Gallinula galeata</v>
      </c>
      <c r="G927" s="3" t="str">
        <f>VLOOKUP(B927,LifeList!$E$2:$I$2038,4)</f>
        <v>Gruiformes</v>
      </c>
      <c r="H927" s="3" t="str">
        <f>VLOOKUP(B927,LifeList!$E$2:$I$2038,5)</f>
        <v>Rallidae (Rails, Gallinules, and Coots)</v>
      </c>
      <c r="I927" s="3"/>
    </row>
    <row r="928" spans="1:9" ht="10.5" customHeight="1">
      <c r="A928" s="3" t="s">
        <v>1348</v>
      </c>
      <c r="B928" s="3" t="s">
        <v>1341</v>
      </c>
      <c r="C928" s="3">
        <f>VLOOKUP(B928,LifeList!$E$2:$J$2038,6)</f>
        <v>5468</v>
      </c>
      <c r="D928" s="3" t="str">
        <f>VLOOKUP(B928,LifeList!$E$2:$G$2038,1)</f>
        <v>Common Gallinule</v>
      </c>
      <c r="E928" s="3" t="str">
        <f>VLOOKUP(B928,LifeList!$E$2:$G$2038,2)</f>
        <v>Gallinule d'Amérique</v>
      </c>
      <c r="F928" s="3" t="str">
        <f>VLOOKUP(B928,LifeList!$E$2:$G$2038,3)</f>
        <v>Gallinula galeata</v>
      </c>
      <c r="G928" s="3" t="str">
        <f>VLOOKUP(B928,LifeList!$E$2:$I$2038,4)</f>
        <v>Gruiformes</v>
      </c>
      <c r="H928" s="3" t="str">
        <f>VLOOKUP(B928,LifeList!$E$2:$I$2038,5)</f>
        <v>Rallidae (Rails, Gallinules, and Coots)</v>
      </c>
      <c r="I928" s="3"/>
    </row>
    <row r="929" spans="1:9" ht="10.5" customHeight="1">
      <c r="A929" s="3" t="s">
        <v>1349</v>
      </c>
      <c r="B929" s="3" t="s">
        <v>1341</v>
      </c>
      <c r="C929" s="3">
        <f>VLOOKUP(B929,LifeList!$E$2:$J$2038,6)</f>
        <v>5468</v>
      </c>
      <c r="D929" s="3" t="str">
        <f>VLOOKUP(B929,LifeList!$E$2:$G$2038,1)</f>
        <v>Common Gallinule</v>
      </c>
      <c r="E929" s="3" t="str">
        <f>VLOOKUP(B929,LifeList!$E$2:$G$2038,2)</f>
        <v>Gallinule d'Amérique</v>
      </c>
      <c r="F929" s="3" t="str">
        <f>VLOOKUP(B929,LifeList!$E$2:$G$2038,3)</f>
        <v>Gallinula galeata</v>
      </c>
      <c r="G929" s="3" t="str">
        <f>VLOOKUP(B929,LifeList!$E$2:$I$2038,4)</f>
        <v>Gruiformes</v>
      </c>
      <c r="H929" s="3" t="str">
        <f>VLOOKUP(B929,LifeList!$E$2:$I$2038,5)</f>
        <v>Rallidae (Rails, Gallinules, and Coots)</v>
      </c>
      <c r="I929" s="3"/>
    </row>
    <row r="930" spans="1:9" ht="10.5" customHeight="1">
      <c r="A930" s="3" t="s">
        <v>1350</v>
      </c>
      <c r="B930" s="3" t="s">
        <v>1341</v>
      </c>
      <c r="C930" s="3">
        <f>VLOOKUP(B930,LifeList!$E$2:$J$2038,6)</f>
        <v>5468</v>
      </c>
      <c r="D930" s="3" t="str">
        <f>VLOOKUP(B930,LifeList!$E$2:$G$2038,1)</f>
        <v>Common Gallinule</v>
      </c>
      <c r="E930" s="3" t="str">
        <f>VLOOKUP(B930,LifeList!$E$2:$G$2038,2)</f>
        <v>Gallinule d'Amérique</v>
      </c>
      <c r="F930" s="3" t="str">
        <f>VLOOKUP(B930,LifeList!$E$2:$G$2038,3)</f>
        <v>Gallinula galeata</v>
      </c>
      <c r="G930" s="3" t="str">
        <f>VLOOKUP(B930,LifeList!$E$2:$I$2038,4)</f>
        <v>Gruiformes</v>
      </c>
      <c r="H930" s="3" t="str">
        <f>VLOOKUP(B930,LifeList!$E$2:$I$2038,5)</f>
        <v>Rallidae (Rails, Gallinules, and Coots)</v>
      </c>
      <c r="I930" s="3"/>
    </row>
    <row r="931" spans="1:9" ht="10.5" customHeight="1">
      <c r="A931" s="3" t="s">
        <v>1351</v>
      </c>
      <c r="B931" s="3" t="s">
        <v>1341</v>
      </c>
      <c r="C931" s="3">
        <f>VLOOKUP(B931,LifeList!$E$2:$J$2038,6)</f>
        <v>5468</v>
      </c>
      <c r="D931" s="3" t="str">
        <f>VLOOKUP(B931,LifeList!$E$2:$G$2038,1)</f>
        <v>Common Gallinule</v>
      </c>
      <c r="E931" s="3" t="str">
        <f>VLOOKUP(B931,LifeList!$E$2:$G$2038,2)</f>
        <v>Gallinule d'Amérique</v>
      </c>
      <c r="F931" s="3" t="str">
        <f>VLOOKUP(B931,LifeList!$E$2:$G$2038,3)</f>
        <v>Gallinula galeata</v>
      </c>
      <c r="G931" s="3" t="str">
        <f>VLOOKUP(B931,LifeList!$E$2:$I$2038,4)</f>
        <v>Gruiformes</v>
      </c>
      <c r="H931" s="3" t="str">
        <f>VLOOKUP(B931,LifeList!$E$2:$I$2038,5)</f>
        <v>Rallidae (Rails, Gallinules, and Coots)</v>
      </c>
      <c r="I931" s="3"/>
    </row>
    <row r="932" spans="1:9" ht="10.5" customHeight="1">
      <c r="A932" s="3" t="s">
        <v>1352</v>
      </c>
      <c r="B932" s="3" t="s">
        <v>1341</v>
      </c>
      <c r="C932" s="3">
        <f>VLOOKUP(B932,LifeList!$E$2:$J$2038,6)</f>
        <v>5468</v>
      </c>
      <c r="D932" s="3" t="str">
        <f>VLOOKUP(B932,LifeList!$E$2:$G$2038,1)</f>
        <v>Common Gallinule</v>
      </c>
      <c r="E932" s="3" t="str">
        <f>VLOOKUP(B932,LifeList!$E$2:$G$2038,2)</f>
        <v>Gallinule d'Amérique</v>
      </c>
      <c r="F932" s="3" t="str">
        <f>VLOOKUP(B932,LifeList!$E$2:$G$2038,3)</f>
        <v>Gallinula galeata</v>
      </c>
      <c r="G932" s="3" t="str">
        <f>VLOOKUP(B932,LifeList!$E$2:$I$2038,4)</f>
        <v>Gruiformes</v>
      </c>
      <c r="H932" s="3" t="str">
        <f>VLOOKUP(B932,LifeList!$E$2:$I$2038,5)</f>
        <v>Rallidae (Rails, Gallinules, and Coots)</v>
      </c>
      <c r="I932" s="3"/>
    </row>
    <row r="933" spans="1:9" ht="10.5" customHeight="1">
      <c r="A933" s="3" t="s">
        <v>1353</v>
      </c>
      <c r="B933" s="3" t="s">
        <v>1354</v>
      </c>
      <c r="C933" s="3">
        <f>VLOOKUP(B933,LifeList!$E$2:$J$2038,6)</f>
        <v>743</v>
      </c>
      <c r="D933" s="3" t="str">
        <f>VLOOKUP(B933,LifeList!$E$2:$G$2038,1)</f>
        <v>Common Goldeneye</v>
      </c>
      <c r="E933" s="3" t="str">
        <f>VLOOKUP(B933,LifeList!$E$2:$G$2038,2)</f>
        <v>Garrot à oeil d'or</v>
      </c>
      <c r="F933" s="3" t="str">
        <f>VLOOKUP(B933,LifeList!$E$2:$G$2038,3)</f>
        <v>Bucephala clangula</v>
      </c>
      <c r="G933" s="3" t="str">
        <f>VLOOKUP(B933,LifeList!$E$2:$I$2038,4)</f>
        <v>Anseriformes</v>
      </c>
      <c r="H933" s="3" t="str">
        <f>VLOOKUP(B933,LifeList!$E$2:$I$2038,5)</f>
        <v>Anatidae (Ducks, Geese, and Waterfowl)</v>
      </c>
      <c r="I933" s="3"/>
    </row>
    <row r="934" spans="1:9" ht="10.5" customHeight="1">
      <c r="A934" s="3" t="s">
        <v>1355</v>
      </c>
      <c r="B934" s="3" t="s">
        <v>1356</v>
      </c>
      <c r="C934" s="3">
        <f>VLOOKUP(B934,LifeList!$E$2:$J$2038,6)</f>
        <v>33853</v>
      </c>
      <c r="D934" s="3" t="str">
        <f>VLOOKUP(B934,LifeList!$E$2:$G$2038,1)</f>
        <v>Common Grackle</v>
      </c>
      <c r="E934" s="3" t="str">
        <f>VLOOKUP(B934,LifeList!$E$2:$G$2038,2)</f>
        <v>Quiscale bronzé</v>
      </c>
      <c r="F934" s="3" t="str">
        <f>VLOOKUP(B934,LifeList!$E$2:$G$2038,3)</f>
        <v>Quiscalus quiscula</v>
      </c>
      <c r="G934" s="3" t="str">
        <f>VLOOKUP(B934,LifeList!$E$2:$I$2038,4)</f>
        <v>Passeriformes</v>
      </c>
      <c r="H934" s="3" t="str">
        <f>VLOOKUP(B934,LifeList!$E$2:$I$2038,5)</f>
        <v>Icteridae (Troupials and Allies)</v>
      </c>
      <c r="I934" s="3"/>
    </row>
    <row r="935" spans="1:9" ht="10.5" customHeight="1">
      <c r="A935" s="3" t="s">
        <v>1357</v>
      </c>
      <c r="B935" s="3" t="s">
        <v>1356</v>
      </c>
      <c r="C935" s="3">
        <f>VLOOKUP(B935,LifeList!$E$2:$J$2038,6)</f>
        <v>33853</v>
      </c>
      <c r="D935" s="3" t="str">
        <f>VLOOKUP(B935,LifeList!$E$2:$G$2038,1)</f>
        <v>Common Grackle</v>
      </c>
      <c r="E935" s="3" t="str">
        <f>VLOOKUP(B935,LifeList!$E$2:$G$2038,2)</f>
        <v>Quiscale bronzé</v>
      </c>
      <c r="F935" s="3" t="str">
        <f>VLOOKUP(B935,LifeList!$E$2:$G$2038,3)</f>
        <v>Quiscalus quiscula</v>
      </c>
      <c r="G935" s="3" t="str">
        <f>VLOOKUP(B935,LifeList!$E$2:$I$2038,4)</f>
        <v>Passeriformes</v>
      </c>
      <c r="H935" s="3" t="str">
        <f>VLOOKUP(B935,LifeList!$E$2:$I$2038,5)</f>
        <v>Icteridae (Troupials and Allies)</v>
      </c>
      <c r="I935" s="3"/>
    </row>
    <row r="936" spans="1:9" ht="10.5" customHeight="1">
      <c r="A936" s="3" t="s">
        <v>1358</v>
      </c>
      <c r="B936" s="3" t="s">
        <v>1356</v>
      </c>
      <c r="C936" s="3">
        <f>VLOOKUP(B936,LifeList!$E$2:$J$2038,6)</f>
        <v>33853</v>
      </c>
      <c r="D936" s="3" t="str">
        <f>VLOOKUP(B936,LifeList!$E$2:$G$2038,1)</f>
        <v>Common Grackle</v>
      </c>
      <c r="E936" s="3" t="str">
        <f>VLOOKUP(B936,LifeList!$E$2:$G$2038,2)</f>
        <v>Quiscale bronzé</v>
      </c>
      <c r="F936" s="3" t="str">
        <f>VLOOKUP(B936,LifeList!$E$2:$G$2038,3)</f>
        <v>Quiscalus quiscula</v>
      </c>
      <c r="G936" s="3" t="str">
        <f>VLOOKUP(B936,LifeList!$E$2:$I$2038,4)</f>
        <v>Passeriformes</v>
      </c>
      <c r="H936" s="3" t="str">
        <f>VLOOKUP(B936,LifeList!$E$2:$I$2038,5)</f>
        <v>Icteridae (Troupials and Allies)</v>
      </c>
      <c r="I936" s="3"/>
    </row>
    <row r="937" spans="1:9" ht="10.5" customHeight="1">
      <c r="A937" s="3" t="s">
        <v>1359</v>
      </c>
      <c r="B937" s="3" t="s">
        <v>1356</v>
      </c>
      <c r="C937" s="3">
        <f>VLOOKUP(B937,LifeList!$E$2:$J$2038,6)</f>
        <v>33853</v>
      </c>
      <c r="D937" s="3" t="str">
        <f>VLOOKUP(B937,LifeList!$E$2:$G$2038,1)</f>
        <v>Common Grackle</v>
      </c>
      <c r="E937" s="3" t="str">
        <f>VLOOKUP(B937,LifeList!$E$2:$G$2038,2)</f>
        <v>Quiscale bronzé</v>
      </c>
      <c r="F937" s="3" t="str">
        <f>VLOOKUP(B937,LifeList!$E$2:$G$2038,3)</f>
        <v>Quiscalus quiscula</v>
      </c>
      <c r="G937" s="3" t="str">
        <f>VLOOKUP(B937,LifeList!$E$2:$I$2038,4)</f>
        <v>Passeriformes</v>
      </c>
      <c r="H937" s="3" t="str">
        <f>VLOOKUP(B937,LifeList!$E$2:$I$2038,5)</f>
        <v>Icteridae (Troupials and Allies)</v>
      </c>
      <c r="I937" s="3"/>
    </row>
    <row r="938" spans="1:9" ht="10.5" customHeight="1">
      <c r="A938" s="3" t="s">
        <v>1360</v>
      </c>
      <c r="B938" s="3" t="s">
        <v>1356</v>
      </c>
      <c r="C938" s="3">
        <f>VLOOKUP(B938,LifeList!$E$2:$J$2038,6)</f>
        <v>33853</v>
      </c>
      <c r="D938" s="3" t="str">
        <f>VLOOKUP(B938,LifeList!$E$2:$G$2038,1)</f>
        <v>Common Grackle</v>
      </c>
      <c r="E938" s="3" t="str">
        <f>VLOOKUP(B938,LifeList!$E$2:$G$2038,2)</f>
        <v>Quiscale bronzé</v>
      </c>
      <c r="F938" s="3" t="str">
        <f>VLOOKUP(B938,LifeList!$E$2:$G$2038,3)</f>
        <v>Quiscalus quiscula</v>
      </c>
      <c r="G938" s="3" t="str">
        <f>VLOOKUP(B938,LifeList!$E$2:$I$2038,4)</f>
        <v>Passeriformes</v>
      </c>
      <c r="H938" s="3" t="str">
        <f>VLOOKUP(B938,LifeList!$E$2:$I$2038,5)</f>
        <v>Icteridae (Troupials and Allies)</v>
      </c>
      <c r="I938" s="3"/>
    </row>
    <row r="939" spans="1:9" ht="10.5" customHeight="1">
      <c r="A939" s="3" t="s">
        <v>1361</v>
      </c>
      <c r="B939" s="3" t="s">
        <v>1356</v>
      </c>
      <c r="C939" s="3">
        <f>VLOOKUP(B939,LifeList!$E$2:$J$2038,6)</f>
        <v>33853</v>
      </c>
      <c r="D939" s="3" t="str">
        <f>VLOOKUP(B939,LifeList!$E$2:$G$2038,1)</f>
        <v>Common Grackle</v>
      </c>
      <c r="E939" s="3" t="str">
        <f>VLOOKUP(B939,LifeList!$E$2:$G$2038,2)</f>
        <v>Quiscale bronzé</v>
      </c>
      <c r="F939" s="3" t="str">
        <f>VLOOKUP(B939,LifeList!$E$2:$G$2038,3)</f>
        <v>Quiscalus quiscula</v>
      </c>
      <c r="G939" s="3" t="str">
        <f>VLOOKUP(B939,LifeList!$E$2:$I$2038,4)</f>
        <v>Passeriformes</v>
      </c>
      <c r="H939" s="3" t="str">
        <f>VLOOKUP(B939,LifeList!$E$2:$I$2038,5)</f>
        <v>Icteridae (Troupials and Allies)</v>
      </c>
      <c r="I939" s="3"/>
    </row>
    <row r="940" spans="1:9" ht="10.5" customHeight="1">
      <c r="A940" s="7" t="s">
        <v>1362</v>
      </c>
      <c r="B940" s="9" t="s">
        <v>1363</v>
      </c>
      <c r="C940" s="3">
        <f>VLOOKUP(B940,LifeList!$E$2:$J$2038,6)</f>
        <v>6152</v>
      </c>
      <c r="D940" s="3" t="str">
        <f>VLOOKUP(B940,LifeList!$E$2:$G$2038,1)</f>
        <v>Common Greenshank</v>
      </c>
      <c r="E940" s="3" t="str">
        <f>VLOOKUP(B940,LifeList!$E$2:$G$2038,2)</f>
        <v>Chevalier aboyeur</v>
      </c>
      <c r="F940" s="3" t="str">
        <f>VLOOKUP(B940,LifeList!$E$2:$G$2038,3)</f>
        <v>Tringa nebularia</v>
      </c>
      <c r="G940" s="3" t="str">
        <f>VLOOKUP(B940,LifeList!$E$2:$I$2038,4)</f>
        <v>Charadriiformes</v>
      </c>
      <c r="H940" s="3" t="str">
        <f>VLOOKUP(B940,LifeList!$E$2:$I$2038,5)</f>
        <v>Scolopacidae (Sandpipers and Allies)</v>
      </c>
      <c r="I940" s="3"/>
    </row>
    <row r="941" spans="1:9" ht="10.5" customHeight="1">
      <c r="A941" s="3" t="s">
        <v>1364</v>
      </c>
      <c r="B941" s="3" t="s">
        <v>1365</v>
      </c>
      <c r="C941" s="3">
        <f>VLOOKUP(B941,LifeList!$E$2:$J$2038,6)</f>
        <v>2243</v>
      </c>
      <c r="D941" s="3" t="str">
        <f>VLOOKUP(B941,LifeList!$E$2:$G$2038,1)</f>
        <v>Common Ground Dove</v>
      </c>
      <c r="E941" s="3" t="str">
        <f>VLOOKUP(B941,LifeList!$E$2:$G$2038,2)</f>
        <v>Colombe à queue noire</v>
      </c>
      <c r="F941" s="3" t="str">
        <f>VLOOKUP(B941,LifeList!$E$2:$G$2038,3)</f>
        <v>Columbina passerina</v>
      </c>
      <c r="G941" s="3" t="str">
        <f>VLOOKUP(B941,LifeList!$E$2:$I$2038,4)</f>
        <v>Columbiformes</v>
      </c>
      <c r="H941" s="3" t="str">
        <f>VLOOKUP(B941,LifeList!$E$2:$I$2038,5)</f>
        <v>Columbidae (Pigeons and Doves)</v>
      </c>
      <c r="I941" s="3"/>
    </row>
    <row r="942" spans="1:9" ht="10.5" customHeight="1">
      <c r="A942" s="3" t="s">
        <v>1366</v>
      </c>
      <c r="B942" s="3" t="s">
        <v>1367</v>
      </c>
      <c r="C942" s="3">
        <f>VLOOKUP(B942,LifeList!$E$2:$J$2038,6)</f>
        <v>9604</v>
      </c>
      <c r="D942" s="3" t="str">
        <f>VLOOKUP(B942,LifeList!$E$2:$G$2038,1)</f>
        <v>Common Hoopoe</v>
      </c>
      <c r="E942" s="3" t="str">
        <f>VLOOKUP(B942,LifeList!$E$2:$G$2038,2)</f>
        <v>Huppe fasciée</v>
      </c>
      <c r="F942" s="3" t="str">
        <f>VLOOKUP(B942,LifeList!$E$2:$G$2038,3)</f>
        <v>Upupa epops</v>
      </c>
      <c r="G942" s="3" t="str">
        <f>VLOOKUP(B942,LifeList!$E$2:$I$2038,4)</f>
        <v>Bucerotiformes</v>
      </c>
      <c r="H942" s="3" t="str">
        <f>VLOOKUP(B942,LifeList!$E$2:$I$2038,5)</f>
        <v>Upupidae (Hoopoes)</v>
      </c>
      <c r="I942" s="3"/>
    </row>
    <row r="943" spans="1:9" ht="10.5" customHeight="1">
      <c r="A943" s="3" t="s">
        <v>1368</v>
      </c>
      <c r="B943" s="3" t="s">
        <v>1367</v>
      </c>
      <c r="C943" s="3">
        <f>VLOOKUP(B943,LifeList!$E$2:$J$2038,6)</f>
        <v>9604</v>
      </c>
      <c r="D943" s="3" t="str">
        <f>VLOOKUP(B943,LifeList!$E$2:$G$2038,1)</f>
        <v>Common Hoopoe</v>
      </c>
      <c r="E943" s="3" t="str">
        <f>VLOOKUP(B943,LifeList!$E$2:$G$2038,2)</f>
        <v>Huppe fasciée</v>
      </c>
      <c r="F943" s="3" t="str">
        <f>VLOOKUP(B943,LifeList!$E$2:$G$2038,3)</f>
        <v>Upupa epops</v>
      </c>
      <c r="G943" s="3" t="str">
        <f>VLOOKUP(B943,LifeList!$E$2:$I$2038,4)</f>
        <v>Bucerotiformes</v>
      </c>
      <c r="H943" s="3" t="str">
        <f>VLOOKUP(B943,LifeList!$E$2:$I$2038,5)</f>
        <v>Upupidae (Hoopoes)</v>
      </c>
      <c r="I943" s="3"/>
    </row>
    <row r="944" spans="1:9" ht="10.5" customHeight="1">
      <c r="A944" s="3" t="s">
        <v>1369</v>
      </c>
      <c r="B944" s="3" t="s">
        <v>1367</v>
      </c>
      <c r="C944" s="3">
        <f>VLOOKUP(B944,LifeList!$E$2:$J$2038,6)</f>
        <v>9604</v>
      </c>
      <c r="D944" s="3" t="str">
        <f>VLOOKUP(B944,LifeList!$E$2:$G$2038,1)</f>
        <v>Common Hoopoe</v>
      </c>
      <c r="E944" s="3" t="str">
        <f>VLOOKUP(B944,LifeList!$E$2:$G$2038,2)</f>
        <v>Huppe fasciée</v>
      </c>
      <c r="F944" s="3" t="str">
        <f>VLOOKUP(B944,LifeList!$E$2:$G$2038,3)</f>
        <v>Upupa epops</v>
      </c>
      <c r="G944" s="3" t="str">
        <f>VLOOKUP(B944,LifeList!$E$2:$I$2038,4)</f>
        <v>Bucerotiformes</v>
      </c>
      <c r="H944" s="3" t="str">
        <f>VLOOKUP(B944,LifeList!$E$2:$I$2038,5)</f>
        <v>Upupidae (Hoopoes)</v>
      </c>
      <c r="I944" s="3"/>
    </row>
    <row r="945" spans="1:9" ht="10.5" customHeight="1">
      <c r="A945" s="3" t="s">
        <v>1370</v>
      </c>
      <c r="B945" s="3" t="s">
        <v>1371</v>
      </c>
      <c r="C945" s="3">
        <f>VLOOKUP(B945,LifeList!$E$2:$J$2038,6)</f>
        <v>22917</v>
      </c>
      <c r="D945" s="3" t="str">
        <f>VLOOKUP(B945,LifeList!$E$2:$G$2038,1)</f>
        <v>Common Jery</v>
      </c>
      <c r="E945" s="3" t="str">
        <f>VLOOKUP(B945,LifeList!$E$2:$G$2038,2)</f>
        <v>Petite Éroesse</v>
      </c>
      <c r="F945" s="3" t="str">
        <f>VLOOKUP(B945,LifeList!$E$2:$G$2038,3)</f>
        <v>Neomixis tenella</v>
      </c>
      <c r="G945" s="3" t="str">
        <f>VLOOKUP(B945,LifeList!$E$2:$I$2038,4)</f>
        <v>Passeriformes</v>
      </c>
      <c r="H945" s="3" t="str">
        <f>VLOOKUP(B945,LifeList!$E$2:$I$2038,5)</f>
        <v>Cisticolidae (Cisticolas and Allies)</v>
      </c>
      <c r="I945" s="3"/>
    </row>
    <row r="946" spans="1:9" ht="10.5" customHeight="1">
      <c r="A946" s="3" t="s">
        <v>1372</v>
      </c>
      <c r="B946" s="3" t="s">
        <v>1373</v>
      </c>
      <c r="C946" s="3">
        <f>VLOOKUP(B946,LifeList!$E$2:$J$2038,6)</f>
        <v>6933</v>
      </c>
      <c r="D946" s="3" t="str">
        <f>VLOOKUP(B946,LifeList!$E$2:$G$2038,1)</f>
        <v>Common Loon</v>
      </c>
      <c r="E946" s="3" t="str">
        <f>VLOOKUP(B946,LifeList!$E$2:$G$2038,2)</f>
        <v>Plongeon huard</v>
      </c>
      <c r="F946" s="3" t="str">
        <f>VLOOKUP(B946,LifeList!$E$2:$G$2038,3)</f>
        <v>Gavia immer</v>
      </c>
      <c r="G946" s="3" t="str">
        <f>VLOOKUP(B946,LifeList!$E$2:$I$2038,4)</f>
        <v>Gaviiformes</v>
      </c>
      <c r="H946" s="3" t="str">
        <f>VLOOKUP(B946,LifeList!$E$2:$I$2038,5)</f>
        <v>Gaviidae (Loons)</v>
      </c>
      <c r="I946" s="3"/>
    </row>
    <row r="947" spans="1:9" ht="10.5" customHeight="1">
      <c r="A947" s="3" t="s">
        <v>1374</v>
      </c>
      <c r="B947" s="3" t="s">
        <v>1373</v>
      </c>
      <c r="C947" s="3">
        <f>VLOOKUP(B947,LifeList!$E$2:$J$2038,6)</f>
        <v>6933</v>
      </c>
      <c r="D947" s="3" t="str">
        <f>VLOOKUP(B947,LifeList!$E$2:$G$2038,1)</f>
        <v>Common Loon</v>
      </c>
      <c r="E947" s="3" t="str">
        <f>VLOOKUP(B947,LifeList!$E$2:$G$2038,2)</f>
        <v>Plongeon huard</v>
      </c>
      <c r="F947" s="3" t="str">
        <f>VLOOKUP(B947,LifeList!$E$2:$G$2038,3)</f>
        <v>Gavia immer</v>
      </c>
      <c r="G947" s="3" t="str">
        <f>VLOOKUP(B947,LifeList!$E$2:$I$2038,4)</f>
        <v>Gaviiformes</v>
      </c>
      <c r="H947" s="3" t="str">
        <f>VLOOKUP(B947,LifeList!$E$2:$I$2038,5)</f>
        <v>Gaviidae (Loons)</v>
      </c>
      <c r="I947" s="3"/>
    </row>
    <row r="948" spans="1:9" ht="10.5" customHeight="1">
      <c r="A948" s="3" t="s">
        <v>1375</v>
      </c>
      <c r="B948" s="3" t="s">
        <v>1376</v>
      </c>
      <c r="C948" s="3">
        <f>VLOOKUP(B948,LifeList!$E$2:$J$2038,6)</f>
        <v>762</v>
      </c>
      <c r="D948" s="3" t="str">
        <f>VLOOKUP(B948,LifeList!$E$2:$G$2038,1)</f>
        <v>Common Merganser</v>
      </c>
      <c r="E948" s="3" t="str">
        <f>VLOOKUP(B948,LifeList!$E$2:$G$2038,2)</f>
        <v>Grand Harle</v>
      </c>
      <c r="F948" s="3" t="str">
        <f>VLOOKUP(B948,LifeList!$E$2:$G$2038,3)</f>
        <v>Mergus merganser</v>
      </c>
      <c r="G948" s="3" t="str">
        <f>VLOOKUP(B948,LifeList!$E$2:$I$2038,4)</f>
        <v>Anseriformes</v>
      </c>
      <c r="H948" s="3" t="str">
        <f>VLOOKUP(B948,LifeList!$E$2:$I$2038,5)</f>
        <v>Anatidae (Ducks, Geese, and Waterfowl)</v>
      </c>
      <c r="I948" s="3"/>
    </row>
    <row r="949" spans="1:9" ht="10.5" customHeight="1">
      <c r="A949" s="3" t="s">
        <v>1377</v>
      </c>
      <c r="B949" s="3" t="s">
        <v>1376</v>
      </c>
      <c r="C949" s="3">
        <f>VLOOKUP(B949,LifeList!$E$2:$J$2038,6)</f>
        <v>762</v>
      </c>
      <c r="D949" s="3" t="str">
        <f>VLOOKUP(B949,LifeList!$E$2:$G$2038,1)</f>
        <v>Common Merganser</v>
      </c>
      <c r="E949" s="3" t="str">
        <f>VLOOKUP(B949,LifeList!$E$2:$G$2038,2)</f>
        <v>Grand Harle</v>
      </c>
      <c r="F949" s="3" t="str">
        <f>VLOOKUP(B949,LifeList!$E$2:$G$2038,3)</f>
        <v>Mergus merganser</v>
      </c>
      <c r="G949" s="3" t="str">
        <f>VLOOKUP(B949,LifeList!$E$2:$I$2038,4)</f>
        <v>Anseriformes</v>
      </c>
      <c r="H949" s="3" t="str">
        <f>VLOOKUP(B949,LifeList!$E$2:$I$2038,5)</f>
        <v>Anatidae (Ducks, Geese, and Waterfowl)</v>
      </c>
      <c r="I949" s="3"/>
    </row>
    <row r="950" spans="1:9" ht="10.5" customHeight="1">
      <c r="A950" s="3" t="s">
        <v>1378</v>
      </c>
      <c r="B950" s="3" t="s">
        <v>1376</v>
      </c>
      <c r="C950" s="3">
        <f>VLOOKUP(B950,LifeList!$E$2:$J$2038,6)</f>
        <v>762</v>
      </c>
      <c r="D950" s="3" t="str">
        <f>VLOOKUP(B950,LifeList!$E$2:$G$2038,1)</f>
        <v>Common Merganser</v>
      </c>
      <c r="E950" s="3" t="str">
        <f>VLOOKUP(B950,LifeList!$E$2:$G$2038,2)</f>
        <v>Grand Harle</v>
      </c>
      <c r="F950" s="3" t="str">
        <f>VLOOKUP(B950,LifeList!$E$2:$G$2038,3)</f>
        <v>Mergus merganser</v>
      </c>
      <c r="G950" s="3" t="str">
        <f>VLOOKUP(B950,LifeList!$E$2:$I$2038,4)</f>
        <v>Anseriformes</v>
      </c>
      <c r="H950" s="3" t="str">
        <f>VLOOKUP(B950,LifeList!$E$2:$I$2038,5)</f>
        <v>Anatidae (Ducks, Geese, and Waterfowl)</v>
      </c>
      <c r="I950" s="3"/>
    </row>
    <row r="951" spans="1:9" ht="10.5" customHeight="1">
      <c r="A951" s="3" t="s">
        <v>1379</v>
      </c>
      <c r="B951" s="3" t="s">
        <v>1380</v>
      </c>
      <c r="C951" s="3">
        <f>VLOOKUP(B951,LifeList!$E$2:$J$2038,6)</f>
        <v>27859</v>
      </c>
      <c r="D951" s="3" t="str">
        <f>VLOOKUP(B951,LifeList!$E$2:$G$2038,1)</f>
        <v>Common Myna</v>
      </c>
      <c r="E951" s="3" t="str">
        <f>VLOOKUP(B951,LifeList!$E$2:$G$2038,2)</f>
        <v>Martin triste</v>
      </c>
      <c r="F951" s="3" t="str">
        <f>VLOOKUP(B951,LifeList!$E$2:$G$2038,3)</f>
        <v>Acridotheres tristis</v>
      </c>
      <c r="G951" s="3" t="str">
        <f>VLOOKUP(B951,LifeList!$E$2:$I$2038,4)</f>
        <v>Passeriformes</v>
      </c>
      <c r="H951" s="3" t="str">
        <f>VLOOKUP(B951,LifeList!$E$2:$I$2038,5)</f>
        <v>Sturnidae (Starlings)</v>
      </c>
      <c r="I951" s="3"/>
    </row>
    <row r="952" spans="1:9" ht="10.5" customHeight="1">
      <c r="A952" s="3" t="s">
        <v>1381</v>
      </c>
      <c r="B952" s="3" t="s">
        <v>1380</v>
      </c>
      <c r="C952" s="3">
        <f>VLOOKUP(B952,LifeList!$E$2:$J$2038,6)</f>
        <v>27859</v>
      </c>
      <c r="D952" s="3" t="str">
        <f>VLOOKUP(B952,LifeList!$E$2:$G$2038,1)</f>
        <v>Common Myna</v>
      </c>
      <c r="E952" s="3" t="str">
        <f>VLOOKUP(B952,LifeList!$E$2:$G$2038,2)</f>
        <v>Martin triste</v>
      </c>
      <c r="F952" s="3" t="str">
        <f>VLOOKUP(B952,LifeList!$E$2:$G$2038,3)</f>
        <v>Acridotheres tristis</v>
      </c>
      <c r="G952" s="3" t="str">
        <f>VLOOKUP(B952,LifeList!$E$2:$I$2038,4)</f>
        <v>Passeriformes</v>
      </c>
      <c r="H952" s="3" t="str">
        <f>VLOOKUP(B952,LifeList!$E$2:$I$2038,5)</f>
        <v>Sturnidae (Starlings)</v>
      </c>
      <c r="I952" s="3"/>
    </row>
    <row r="953" spans="1:9" ht="10.5" customHeight="1">
      <c r="A953" s="3" t="s">
        <v>1382</v>
      </c>
      <c r="B953" s="3" t="s">
        <v>1380</v>
      </c>
      <c r="C953" s="3">
        <f>VLOOKUP(B953,LifeList!$E$2:$J$2038,6)</f>
        <v>27859</v>
      </c>
      <c r="D953" s="3" t="str">
        <f>VLOOKUP(B953,LifeList!$E$2:$G$2038,1)</f>
        <v>Common Myna</v>
      </c>
      <c r="E953" s="3" t="str">
        <f>VLOOKUP(B953,LifeList!$E$2:$G$2038,2)</f>
        <v>Martin triste</v>
      </c>
      <c r="F953" s="3" t="str">
        <f>VLOOKUP(B953,LifeList!$E$2:$G$2038,3)</f>
        <v>Acridotheres tristis</v>
      </c>
      <c r="G953" s="3" t="str">
        <f>VLOOKUP(B953,LifeList!$E$2:$I$2038,4)</f>
        <v>Passeriformes</v>
      </c>
      <c r="H953" s="3" t="str">
        <f>VLOOKUP(B953,LifeList!$E$2:$I$2038,5)</f>
        <v>Sturnidae (Starlings)</v>
      </c>
      <c r="I953" s="3"/>
    </row>
    <row r="954" spans="1:9" ht="10.5" customHeight="1">
      <c r="A954" s="3" t="s">
        <v>1383</v>
      </c>
      <c r="B954" s="3" t="s">
        <v>1380</v>
      </c>
      <c r="C954" s="3">
        <f>VLOOKUP(B954,LifeList!$E$2:$J$2038,6)</f>
        <v>27859</v>
      </c>
      <c r="D954" s="3" t="str">
        <f>VLOOKUP(B954,LifeList!$E$2:$G$2038,1)</f>
        <v>Common Myna</v>
      </c>
      <c r="E954" s="3" t="str">
        <f>VLOOKUP(B954,LifeList!$E$2:$G$2038,2)</f>
        <v>Martin triste</v>
      </c>
      <c r="F954" s="3" t="str">
        <f>VLOOKUP(B954,LifeList!$E$2:$G$2038,3)</f>
        <v>Acridotheres tristis</v>
      </c>
      <c r="G954" s="3" t="str">
        <f>VLOOKUP(B954,LifeList!$E$2:$I$2038,4)</f>
        <v>Passeriformes</v>
      </c>
      <c r="H954" s="3" t="str">
        <f>VLOOKUP(B954,LifeList!$E$2:$I$2038,5)</f>
        <v>Sturnidae (Starlings)</v>
      </c>
      <c r="I954" s="3"/>
    </row>
    <row r="955" spans="1:9" ht="10.5" customHeight="1">
      <c r="A955" s="3" t="s">
        <v>1384</v>
      </c>
      <c r="B955" s="3" t="s">
        <v>1385</v>
      </c>
      <c r="C955" s="3">
        <f>VLOOKUP(B955,LifeList!$E$2:$J$2038,6)</f>
        <v>19970</v>
      </c>
      <c r="D955" s="3" t="str">
        <f>VLOOKUP(B955,LifeList!$E$2:$G$2038,1)</f>
        <v>Common Newtonia</v>
      </c>
      <c r="E955" s="3" t="str">
        <f>VLOOKUP(B955,LifeList!$E$2:$G$2038,2)</f>
        <v>Newtonie commune</v>
      </c>
      <c r="F955" s="3" t="str">
        <f>VLOOKUP(B955,LifeList!$E$2:$G$2038,3)</f>
        <v>Newtonia brunneicauda</v>
      </c>
      <c r="G955" s="3" t="str">
        <f>VLOOKUP(B955,LifeList!$E$2:$I$2038,4)</f>
        <v>Passeriformes</v>
      </c>
      <c r="H955" s="3" t="str">
        <f>VLOOKUP(B955,LifeList!$E$2:$I$2038,5)</f>
        <v>Vangidae (Vangas, Helmetshrikes, and Allies)</v>
      </c>
      <c r="I955" s="3"/>
    </row>
    <row r="956" spans="1:9" ht="10.5" customHeight="1">
      <c r="A956" s="7" t="s">
        <v>1386</v>
      </c>
      <c r="B956" s="9" t="s">
        <v>1387</v>
      </c>
      <c r="C956" s="3">
        <f>VLOOKUP(B956,LifeList!$E$2:$J$2038,6)</f>
        <v>3492</v>
      </c>
      <c r="D956" s="3" t="str">
        <f>VLOOKUP(B956,LifeList!$E$2:$G$2038,1)</f>
        <v>Common Nighthawk</v>
      </c>
      <c r="E956" s="3" t="str">
        <f>VLOOKUP(B956,LifeList!$E$2:$G$2038,2)</f>
        <v>Engoulevent d'Amérique</v>
      </c>
      <c r="F956" s="3" t="str">
        <f>VLOOKUP(B956,LifeList!$E$2:$G$2038,3)</f>
        <v>Chordeiles minor</v>
      </c>
      <c r="G956" s="3" t="str">
        <f>VLOOKUP(B956,LifeList!$E$2:$I$2038,4)</f>
        <v>Caprimulgiformes</v>
      </c>
      <c r="H956" s="3" t="str">
        <f>VLOOKUP(B956,LifeList!$E$2:$I$2038,5)</f>
        <v>Caprimulgidae (Nightjars and Allies)</v>
      </c>
      <c r="I956" s="3"/>
    </row>
    <row r="957" spans="1:9" ht="10.5" customHeight="1">
      <c r="A957" s="3" t="s">
        <v>1388</v>
      </c>
      <c r="B957" s="3" t="s">
        <v>1389</v>
      </c>
      <c r="C957" s="3">
        <f>VLOOKUP(B957,LifeList!$E$2:$J$2038,6)</f>
        <v>2</v>
      </c>
      <c r="D957" s="3" t="str">
        <f>VLOOKUP(B957,LifeList!$E$2:$G$2038,1)</f>
        <v>Common Ostrich</v>
      </c>
      <c r="E957" s="3" t="str">
        <f>VLOOKUP(B957,LifeList!$E$2:$G$2038,2)</f>
        <v>Autruche d'Afrique</v>
      </c>
      <c r="F957" s="3" t="str">
        <f>VLOOKUP(B957,LifeList!$E$2:$G$2038,3)</f>
        <v>Struthio camelus</v>
      </c>
      <c r="G957" s="3" t="str">
        <f>VLOOKUP(B957,LifeList!$E$2:$I$2038,4)</f>
        <v>Struthioniformes</v>
      </c>
      <c r="H957" s="3" t="str">
        <f>VLOOKUP(B957,LifeList!$E$2:$I$2038,5)</f>
        <v>Struthionidae (Ostriches)</v>
      </c>
      <c r="I957" s="3"/>
    </row>
    <row r="958" spans="1:9" ht="10.5" customHeight="1">
      <c r="A958" s="3" t="s">
        <v>1390</v>
      </c>
      <c r="B958" s="3" t="s">
        <v>1389</v>
      </c>
      <c r="C958" s="3">
        <f>VLOOKUP(B958,LifeList!$E$2:$J$2038,6)</f>
        <v>2</v>
      </c>
      <c r="D958" s="3" t="str">
        <f>VLOOKUP(B958,LifeList!$E$2:$G$2038,1)</f>
        <v>Common Ostrich</v>
      </c>
      <c r="E958" s="3" t="str">
        <f>VLOOKUP(B958,LifeList!$E$2:$G$2038,2)</f>
        <v>Autruche d'Afrique</v>
      </c>
      <c r="F958" s="3" t="str">
        <f>VLOOKUP(B958,LifeList!$E$2:$G$2038,3)</f>
        <v>Struthio camelus</v>
      </c>
      <c r="G958" s="3" t="str">
        <f>VLOOKUP(B958,LifeList!$E$2:$I$2038,4)</f>
        <v>Struthioniformes</v>
      </c>
      <c r="H958" s="3" t="str">
        <f>VLOOKUP(B958,LifeList!$E$2:$I$2038,5)</f>
        <v>Struthionidae (Ostriches)</v>
      </c>
      <c r="I958" s="3"/>
    </row>
    <row r="959" spans="1:9" ht="10.5" customHeight="1">
      <c r="A959" s="3" t="s">
        <v>1391</v>
      </c>
      <c r="B959" s="3" t="s">
        <v>1389</v>
      </c>
      <c r="C959" s="3">
        <f>VLOOKUP(B959,LifeList!$E$2:$J$2038,6)</f>
        <v>2</v>
      </c>
      <c r="D959" s="3" t="str">
        <f>VLOOKUP(B959,LifeList!$E$2:$G$2038,1)</f>
        <v>Common Ostrich</v>
      </c>
      <c r="E959" s="3" t="str">
        <f>VLOOKUP(B959,LifeList!$E$2:$G$2038,2)</f>
        <v>Autruche d'Afrique</v>
      </c>
      <c r="F959" s="3" t="str">
        <f>VLOOKUP(B959,LifeList!$E$2:$G$2038,3)</f>
        <v>Struthio camelus</v>
      </c>
      <c r="G959" s="3" t="str">
        <f>VLOOKUP(B959,LifeList!$E$2:$I$2038,4)</f>
        <v>Struthioniformes</v>
      </c>
      <c r="H959" s="3" t="str">
        <f>VLOOKUP(B959,LifeList!$E$2:$I$2038,5)</f>
        <v>Struthionidae (Ostriches)</v>
      </c>
      <c r="I959" s="3"/>
    </row>
    <row r="960" spans="1:9" ht="10.5" customHeight="1">
      <c r="A960" s="3" t="s">
        <v>1392</v>
      </c>
      <c r="B960" s="3" t="s">
        <v>1389</v>
      </c>
      <c r="C960" s="3">
        <f>VLOOKUP(B960,LifeList!$E$2:$J$2038,6)</f>
        <v>2</v>
      </c>
      <c r="D960" s="3" t="str">
        <f>VLOOKUP(B960,LifeList!$E$2:$G$2038,1)</f>
        <v>Common Ostrich</v>
      </c>
      <c r="E960" s="3" t="str">
        <f>VLOOKUP(B960,LifeList!$E$2:$G$2038,2)</f>
        <v>Autruche d'Afrique</v>
      </c>
      <c r="F960" s="3" t="str">
        <f>VLOOKUP(B960,LifeList!$E$2:$G$2038,3)</f>
        <v>Struthio camelus</v>
      </c>
      <c r="G960" s="3" t="str">
        <f>VLOOKUP(B960,LifeList!$E$2:$I$2038,4)</f>
        <v>Struthioniformes</v>
      </c>
      <c r="H960" s="3" t="str">
        <f>VLOOKUP(B960,LifeList!$E$2:$I$2038,5)</f>
        <v>Struthionidae (Ostriches)</v>
      </c>
      <c r="I960" s="3"/>
    </row>
    <row r="961" spans="1:9" ht="10.5" customHeight="1">
      <c r="A961" s="3" t="s">
        <v>1393</v>
      </c>
      <c r="B961" s="3" t="s">
        <v>1394</v>
      </c>
      <c r="C961" s="3">
        <f>VLOOKUP(B961,LifeList!$E$2:$J$2038,6)</f>
        <v>3751</v>
      </c>
      <c r="D961" s="3" t="str">
        <f>VLOOKUP(B961,LifeList!$E$2:$G$2038,1)</f>
        <v>Common Potoo</v>
      </c>
      <c r="E961" s="3" t="str">
        <f>VLOOKUP(B961,LifeList!$E$2:$G$2038,2)</f>
        <v>Ibijau gris</v>
      </c>
      <c r="F961" s="3" t="str">
        <f>VLOOKUP(B961,LifeList!$E$2:$G$2038,3)</f>
        <v>Nyctibius griseus</v>
      </c>
      <c r="G961" s="3" t="str">
        <f>VLOOKUP(B961,LifeList!$E$2:$I$2038,4)</f>
        <v>Nyctibiiformes</v>
      </c>
      <c r="H961" s="3" t="str">
        <f>VLOOKUP(B961,LifeList!$E$2:$I$2038,5)</f>
        <v>Nyctibiidae (Potoos)</v>
      </c>
      <c r="I961" s="3"/>
    </row>
    <row r="962" spans="1:9" ht="10.5" customHeight="1">
      <c r="A962" s="3" t="s">
        <v>1395</v>
      </c>
      <c r="B962" s="3" t="s">
        <v>1394</v>
      </c>
      <c r="C962" s="3">
        <f>VLOOKUP(B962,LifeList!$E$2:$J$2038,6)</f>
        <v>3751</v>
      </c>
      <c r="D962" s="3" t="str">
        <f>VLOOKUP(B962,LifeList!$E$2:$G$2038,1)</f>
        <v>Common Potoo</v>
      </c>
      <c r="E962" s="3" t="str">
        <f>VLOOKUP(B962,LifeList!$E$2:$G$2038,2)</f>
        <v>Ibijau gris</v>
      </c>
      <c r="F962" s="3" t="str">
        <f>VLOOKUP(B962,LifeList!$E$2:$G$2038,3)</f>
        <v>Nyctibius griseus</v>
      </c>
      <c r="G962" s="3" t="str">
        <f>VLOOKUP(B962,LifeList!$E$2:$I$2038,4)</f>
        <v>Nyctibiiformes</v>
      </c>
      <c r="H962" s="3" t="str">
        <f>VLOOKUP(B962,LifeList!$E$2:$I$2038,5)</f>
        <v>Nyctibiidae (Potoos)</v>
      </c>
      <c r="I962" s="3"/>
    </row>
    <row r="963" spans="1:9" ht="10.5" customHeight="1">
      <c r="A963" s="3" t="s">
        <v>1396</v>
      </c>
      <c r="B963" s="3" t="s">
        <v>1394</v>
      </c>
      <c r="C963" s="3">
        <f>VLOOKUP(B963,LifeList!$E$2:$J$2038,6)</f>
        <v>3751</v>
      </c>
      <c r="D963" s="3" t="str">
        <f>VLOOKUP(B963,LifeList!$E$2:$G$2038,1)</f>
        <v>Common Potoo</v>
      </c>
      <c r="E963" s="3" t="str">
        <f>VLOOKUP(B963,LifeList!$E$2:$G$2038,2)</f>
        <v>Ibijau gris</v>
      </c>
      <c r="F963" s="3" t="str">
        <f>VLOOKUP(B963,LifeList!$E$2:$G$2038,3)</f>
        <v>Nyctibius griseus</v>
      </c>
      <c r="G963" s="3" t="str">
        <f>VLOOKUP(B963,LifeList!$E$2:$I$2038,4)</f>
        <v>Nyctibiiformes</v>
      </c>
      <c r="H963" s="3" t="str">
        <f>VLOOKUP(B963,LifeList!$E$2:$I$2038,5)</f>
        <v>Nyctibiidae (Potoos)</v>
      </c>
      <c r="I963" s="3"/>
    </row>
    <row r="964" spans="1:9" ht="10.5" customHeight="1">
      <c r="A964" s="7" t="s">
        <v>1397</v>
      </c>
      <c r="B964" s="9" t="s">
        <v>1398</v>
      </c>
      <c r="C964" s="3">
        <f>VLOOKUP(B964,LifeList!$E$2:$J$2038,6)</f>
        <v>21624</v>
      </c>
      <c r="D964" s="3" t="str">
        <f>VLOOKUP(B964,LifeList!$E$2:$G$2038,1)</f>
        <v>Common Raven</v>
      </c>
      <c r="E964" s="3" t="str">
        <f>VLOOKUP(B964,LifeList!$E$2:$G$2038,2)</f>
        <v>Grand Corbeau</v>
      </c>
      <c r="F964" s="3" t="str">
        <f>VLOOKUP(B964,LifeList!$E$2:$G$2038,3)</f>
        <v>Corvus corax</v>
      </c>
      <c r="G964" s="3" t="str">
        <f>VLOOKUP(B964,LifeList!$E$2:$I$2038,4)</f>
        <v>Passeriformes</v>
      </c>
      <c r="H964" s="3" t="str">
        <f>VLOOKUP(B964,LifeList!$E$2:$I$2038,5)</f>
        <v>Corvidae (Crows, Jays, and Magpies)</v>
      </c>
      <c r="I964" s="3"/>
    </row>
    <row r="965" spans="1:9" ht="10.5" customHeight="1">
      <c r="A965" s="7" t="s">
        <v>1399</v>
      </c>
      <c r="B965" s="9" t="s">
        <v>1398</v>
      </c>
      <c r="C965" s="3">
        <f>VLOOKUP(B965,LifeList!$E$2:$J$2038,6)</f>
        <v>21624</v>
      </c>
      <c r="D965" s="3" t="str">
        <f>VLOOKUP(B965,LifeList!$E$2:$G$2038,1)</f>
        <v>Common Raven</v>
      </c>
      <c r="E965" s="3" t="str">
        <f>VLOOKUP(B965,LifeList!$E$2:$G$2038,2)</f>
        <v>Grand Corbeau</v>
      </c>
      <c r="F965" s="3" t="str">
        <f>VLOOKUP(B965,LifeList!$E$2:$G$2038,3)</f>
        <v>Corvus corax</v>
      </c>
      <c r="G965" s="3" t="str">
        <f>VLOOKUP(B965,LifeList!$E$2:$I$2038,4)</f>
        <v>Passeriformes</v>
      </c>
      <c r="H965" s="3" t="str">
        <f>VLOOKUP(B965,LifeList!$E$2:$I$2038,5)</f>
        <v>Corvidae (Crows, Jays, and Magpies)</v>
      </c>
      <c r="I965" s="3"/>
    </row>
    <row r="966" spans="1:9" ht="10.5" customHeight="1">
      <c r="A966" s="3" t="s">
        <v>1400</v>
      </c>
      <c r="B966" s="3" t="s">
        <v>1401</v>
      </c>
      <c r="C966" s="3">
        <f>VLOOKUP(B966,LifeList!$E$2:$J$2038,6)</f>
        <v>6125</v>
      </c>
      <c r="D966" s="3" t="str">
        <f>VLOOKUP(B966,LifeList!$E$2:$G$2038,1)</f>
        <v>Common Sandpiper</v>
      </c>
      <c r="E966" s="3" t="str">
        <f>VLOOKUP(B966,LifeList!$E$2:$G$2038,2)</f>
        <v>Chevalier guignette</v>
      </c>
      <c r="F966" s="3" t="str">
        <f>VLOOKUP(B966,LifeList!$E$2:$G$2038,3)</f>
        <v>Actitis hypoleucos</v>
      </c>
      <c r="G966" s="3" t="str">
        <f>VLOOKUP(B966,LifeList!$E$2:$I$2038,4)</f>
        <v>Charadriiformes</v>
      </c>
      <c r="H966" s="3" t="str">
        <f>VLOOKUP(B966,LifeList!$E$2:$I$2038,5)</f>
        <v>Scolopacidae (Sandpipers and Allies)</v>
      </c>
      <c r="I966" s="3"/>
    </row>
    <row r="967" spans="1:9" ht="10.5" customHeight="1">
      <c r="A967" s="3" t="s">
        <v>1402</v>
      </c>
      <c r="B967" s="3" t="s">
        <v>1401</v>
      </c>
      <c r="C967" s="3">
        <f>VLOOKUP(B967,LifeList!$E$2:$J$2038,6)</f>
        <v>6125</v>
      </c>
      <c r="D967" s="3" t="str">
        <f>VLOOKUP(B967,LifeList!$E$2:$G$2038,1)</f>
        <v>Common Sandpiper</v>
      </c>
      <c r="E967" s="3" t="str">
        <f>VLOOKUP(B967,LifeList!$E$2:$G$2038,2)</f>
        <v>Chevalier guignette</v>
      </c>
      <c r="F967" s="3" t="str">
        <f>VLOOKUP(B967,LifeList!$E$2:$G$2038,3)</f>
        <v>Actitis hypoleucos</v>
      </c>
      <c r="G967" s="3" t="str">
        <f>VLOOKUP(B967,LifeList!$E$2:$I$2038,4)</f>
        <v>Charadriiformes</v>
      </c>
      <c r="H967" s="3" t="str">
        <f>VLOOKUP(B967,LifeList!$E$2:$I$2038,5)</f>
        <v>Scolopacidae (Sandpipers and Allies)</v>
      </c>
      <c r="I967" s="3"/>
    </row>
    <row r="968" spans="1:9" ht="10.5" customHeight="1">
      <c r="A968" s="3" t="s">
        <v>1403</v>
      </c>
      <c r="B968" s="3" t="s">
        <v>1404</v>
      </c>
      <c r="C968" s="3">
        <f>VLOOKUP(B968,LifeList!$E$2:$J$2038,6)</f>
        <v>3218</v>
      </c>
      <c r="D968" s="3" t="str">
        <f>VLOOKUP(B968,LifeList!$E$2:$G$2038,1)</f>
        <v>Common Squirrel-Cuckoo</v>
      </c>
      <c r="E968" s="3" t="str">
        <f>VLOOKUP(B968,LifeList!$E$2:$G$2038,2)</f>
        <v>Piaye écureuil</v>
      </c>
      <c r="F968" s="3" t="str">
        <f>VLOOKUP(B968,LifeList!$E$2:$G$2038,3)</f>
        <v>Piaya cayana</v>
      </c>
      <c r="G968" s="3" t="str">
        <f>VLOOKUP(B968,LifeList!$E$2:$I$2038,4)</f>
        <v>Cuculiformes</v>
      </c>
      <c r="H968" s="3" t="str">
        <f>VLOOKUP(B968,LifeList!$E$2:$I$2038,5)</f>
        <v>Cuculidae (Cuckoos)</v>
      </c>
      <c r="I968" s="3"/>
    </row>
    <row r="969" spans="1:9" ht="10.5" customHeight="1">
      <c r="A969" s="3" t="s">
        <v>1405</v>
      </c>
      <c r="B969" s="3" t="s">
        <v>1404</v>
      </c>
      <c r="C969" s="3">
        <f>VLOOKUP(B969,LifeList!$E$2:$J$2038,6)</f>
        <v>3218</v>
      </c>
      <c r="D969" s="3" t="str">
        <f>VLOOKUP(B969,LifeList!$E$2:$G$2038,1)</f>
        <v>Common Squirrel-Cuckoo</v>
      </c>
      <c r="E969" s="3" t="str">
        <f>VLOOKUP(B969,LifeList!$E$2:$G$2038,2)</f>
        <v>Piaye écureuil</v>
      </c>
      <c r="F969" s="3" t="str">
        <f>VLOOKUP(B969,LifeList!$E$2:$G$2038,3)</f>
        <v>Piaya cayana</v>
      </c>
      <c r="G969" s="3" t="str">
        <f>VLOOKUP(B969,LifeList!$E$2:$I$2038,4)</f>
        <v>Cuculiformes</v>
      </c>
      <c r="H969" s="3" t="str">
        <f>VLOOKUP(B969,LifeList!$E$2:$I$2038,5)</f>
        <v>Cuculidae (Cuckoos)</v>
      </c>
      <c r="I969" s="3"/>
    </row>
    <row r="970" spans="1:9" ht="10.5" customHeight="1">
      <c r="A970" s="3" t="s">
        <v>1406</v>
      </c>
      <c r="B970" s="3" t="s">
        <v>1404</v>
      </c>
      <c r="C970" s="3">
        <f>VLOOKUP(B970,LifeList!$E$2:$J$2038,6)</f>
        <v>3218</v>
      </c>
      <c r="D970" s="3" t="str">
        <f>VLOOKUP(B970,LifeList!$E$2:$G$2038,1)</f>
        <v>Common Squirrel-Cuckoo</v>
      </c>
      <c r="E970" s="3" t="str">
        <f>VLOOKUP(B970,LifeList!$E$2:$G$2038,2)</f>
        <v>Piaye écureuil</v>
      </c>
      <c r="F970" s="3" t="str">
        <f>VLOOKUP(B970,LifeList!$E$2:$G$2038,3)</f>
        <v>Piaya cayana</v>
      </c>
      <c r="G970" s="3" t="str">
        <f>VLOOKUP(B970,LifeList!$E$2:$I$2038,4)</f>
        <v>Cuculiformes</v>
      </c>
      <c r="H970" s="3" t="str">
        <f>VLOOKUP(B970,LifeList!$E$2:$I$2038,5)</f>
        <v>Cuculidae (Cuckoos)</v>
      </c>
      <c r="I970" s="3"/>
    </row>
    <row r="971" spans="1:9" ht="10.5" customHeight="1">
      <c r="A971" s="3" t="s">
        <v>1407</v>
      </c>
      <c r="B971" s="3" t="s">
        <v>1404</v>
      </c>
      <c r="C971" s="3">
        <f>VLOOKUP(B971,LifeList!$E$2:$J$2038,6)</f>
        <v>3218</v>
      </c>
      <c r="D971" s="3" t="str">
        <f>VLOOKUP(B971,LifeList!$E$2:$G$2038,1)</f>
        <v>Common Squirrel-Cuckoo</v>
      </c>
      <c r="E971" s="3" t="str">
        <f>VLOOKUP(B971,LifeList!$E$2:$G$2038,2)</f>
        <v>Piaye écureuil</v>
      </c>
      <c r="F971" s="3" t="str">
        <f>VLOOKUP(B971,LifeList!$E$2:$G$2038,3)</f>
        <v>Piaya cayana</v>
      </c>
      <c r="G971" s="3" t="str">
        <f>VLOOKUP(B971,LifeList!$E$2:$I$2038,4)</f>
        <v>Cuculiformes</v>
      </c>
      <c r="H971" s="3" t="str">
        <f>VLOOKUP(B971,LifeList!$E$2:$I$2038,5)</f>
        <v>Cuculidae (Cuckoos)</v>
      </c>
      <c r="I971" s="3"/>
    </row>
    <row r="972" spans="1:9" ht="10.5" customHeight="1">
      <c r="A972" s="3" t="s">
        <v>1408</v>
      </c>
      <c r="B972" s="3" t="s">
        <v>1404</v>
      </c>
      <c r="C972" s="3">
        <f>VLOOKUP(B972,LifeList!$E$2:$J$2038,6)</f>
        <v>3218</v>
      </c>
      <c r="D972" s="3" t="str">
        <f>VLOOKUP(B972,LifeList!$E$2:$G$2038,1)</f>
        <v>Common Squirrel-Cuckoo</v>
      </c>
      <c r="E972" s="3" t="str">
        <f>VLOOKUP(B972,LifeList!$E$2:$G$2038,2)</f>
        <v>Piaye écureuil</v>
      </c>
      <c r="F972" s="3" t="str">
        <f>VLOOKUP(B972,LifeList!$E$2:$G$2038,3)</f>
        <v>Piaya cayana</v>
      </c>
      <c r="G972" s="3" t="str">
        <f>VLOOKUP(B972,LifeList!$E$2:$I$2038,4)</f>
        <v>Cuculiformes</v>
      </c>
      <c r="H972" s="3" t="str">
        <f>VLOOKUP(B972,LifeList!$E$2:$I$2038,5)</f>
        <v>Cuculidae (Cuckoos)</v>
      </c>
      <c r="I972" s="3"/>
    </row>
    <row r="973" spans="1:9" ht="10.5" customHeight="1">
      <c r="A973" s="3" t="s">
        <v>1409</v>
      </c>
      <c r="B973" s="3" t="s">
        <v>1404</v>
      </c>
      <c r="C973" s="3">
        <f>VLOOKUP(B973,LifeList!$E$2:$J$2038,6)</f>
        <v>3218</v>
      </c>
      <c r="D973" s="3" t="str">
        <f>VLOOKUP(B973,LifeList!$E$2:$G$2038,1)</f>
        <v>Common Squirrel-Cuckoo</v>
      </c>
      <c r="E973" s="3" t="str">
        <f>VLOOKUP(B973,LifeList!$E$2:$G$2038,2)</f>
        <v>Piaye écureuil</v>
      </c>
      <c r="F973" s="3" t="str">
        <f>VLOOKUP(B973,LifeList!$E$2:$G$2038,3)</f>
        <v>Piaya cayana</v>
      </c>
      <c r="G973" s="3" t="str">
        <f>VLOOKUP(B973,LifeList!$E$2:$I$2038,4)</f>
        <v>Cuculiformes</v>
      </c>
      <c r="H973" s="3" t="str">
        <f>VLOOKUP(B973,LifeList!$E$2:$I$2038,5)</f>
        <v>Cuculidae (Cuckoos)</v>
      </c>
      <c r="I973" s="3"/>
    </row>
    <row r="974" spans="1:9" ht="10.5" customHeight="1">
      <c r="A974" s="3" t="s">
        <v>1410</v>
      </c>
      <c r="B974" s="3" t="s">
        <v>1411</v>
      </c>
      <c r="C974" s="3">
        <f>VLOOKUP(B974,LifeList!$E$2:$J$2038,6)</f>
        <v>6748</v>
      </c>
      <c r="D974" s="3" t="str">
        <f>VLOOKUP(B974,LifeList!$E$2:$G$2038,1)</f>
        <v>Common Tern</v>
      </c>
      <c r="E974" s="3" t="str">
        <f>VLOOKUP(B974,LifeList!$E$2:$G$2038,2)</f>
        <v>Sterne pierregarin</v>
      </c>
      <c r="F974" s="3" t="str">
        <f>VLOOKUP(B974,LifeList!$E$2:$G$2038,3)</f>
        <v>Sterna hirundo</v>
      </c>
      <c r="G974" s="3" t="str">
        <f>VLOOKUP(B974,LifeList!$E$2:$I$2038,4)</f>
        <v>Charadriiformes</v>
      </c>
      <c r="H974" s="3" t="str">
        <f>VLOOKUP(B974,LifeList!$E$2:$I$2038,5)</f>
        <v>Laridae (Gulls, Terns, and Skimmers)</v>
      </c>
      <c r="I974" s="3"/>
    </row>
    <row r="975" spans="1:9" ht="10.5" customHeight="1">
      <c r="A975" s="3" t="s">
        <v>1412</v>
      </c>
      <c r="B975" s="3" t="s">
        <v>1411</v>
      </c>
      <c r="C975" s="3">
        <f>VLOOKUP(B975,LifeList!$E$2:$J$2038,6)</f>
        <v>6748</v>
      </c>
      <c r="D975" s="3" t="str">
        <f>VLOOKUP(B975,LifeList!$E$2:$G$2038,1)</f>
        <v>Common Tern</v>
      </c>
      <c r="E975" s="3" t="str">
        <f>VLOOKUP(B975,LifeList!$E$2:$G$2038,2)</f>
        <v>Sterne pierregarin</v>
      </c>
      <c r="F975" s="3" t="str">
        <f>VLOOKUP(B975,LifeList!$E$2:$G$2038,3)</f>
        <v>Sterna hirundo</v>
      </c>
      <c r="G975" s="3" t="str">
        <f>VLOOKUP(B975,LifeList!$E$2:$I$2038,4)</f>
        <v>Charadriiformes</v>
      </c>
      <c r="H975" s="3" t="str">
        <f>VLOOKUP(B975,LifeList!$E$2:$I$2038,5)</f>
        <v>Laridae (Gulls, Terns, and Skimmers)</v>
      </c>
      <c r="I975" s="3"/>
    </row>
    <row r="976" spans="1:9" ht="10.5" customHeight="1">
      <c r="A976" s="3" t="s">
        <v>1413</v>
      </c>
      <c r="B976" s="3" t="s">
        <v>1411</v>
      </c>
      <c r="C976" s="3">
        <f>VLOOKUP(B976,LifeList!$E$2:$J$2038,6)</f>
        <v>6748</v>
      </c>
      <c r="D976" s="3" t="str">
        <f>VLOOKUP(B976,LifeList!$E$2:$G$2038,1)</f>
        <v>Common Tern</v>
      </c>
      <c r="E976" s="3" t="str">
        <f>VLOOKUP(B976,LifeList!$E$2:$G$2038,2)</f>
        <v>Sterne pierregarin</v>
      </c>
      <c r="F976" s="3" t="str">
        <f>VLOOKUP(B976,LifeList!$E$2:$G$2038,3)</f>
        <v>Sterna hirundo</v>
      </c>
      <c r="G976" s="3" t="str">
        <f>VLOOKUP(B976,LifeList!$E$2:$I$2038,4)</f>
        <v>Charadriiformes</v>
      </c>
      <c r="H976" s="3" t="str">
        <f>VLOOKUP(B976,LifeList!$E$2:$I$2038,5)</f>
        <v>Laridae (Gulls, Terns, and Skimmers)</v>
      </c>
      <c r="I976" s="3"/>
    </row>
    <row r="977" spans="1:9" ht="10.5" customHeight="1">
      <c r="A977" s="3" t="s">
        <v>1414</v>
      </c>
      <c r="B977" s="3" t="s">
        <v>1411</v>
      </c>
      <c r="C977" s="3">
        <f>VLOOKUP(B977,LifeList!$E$2:$J$2038,6)</f>
        <v>6748</v>
      </c>
      <c r="D977" s="3" t="str">
        <f>VLOOKUP(B977,LifeList!$E$2:$G$2038,1)</f>
        <v>Common Tern</v>
      </c>
      <c r="E977" s="3" t="str">
        <f>VLOOKUP(B977,LifeList!$E$2:$G$2038,2)</f>
        <v>Sterne pierregarin</v>
      </c>
      <c r="F977" s="3" t="str">
        <f>VLOOKUP(B977,LifeList!$E$2:$G$2038,3)</f>
        <v>Sterna hirundo</v>
      </c>
      <c r="G977" s="3" t="str">
        <f>VLOOKUP(B977,LifeList!$E$2:$I$2038,4)</f>
        <v>Charadriiformes</v>
      </c>
      <c r="H977" s="3" t="str">
        <f>VLOOKUP(B977,LifeList!$E$2:$I$2038,5)</f>
        <v>Laridae (Gulls, Terns, and Skimmers)</v>
      </c>
      <c r="I977" s="3"/>
    </row>
    <row r="978" spans="1:9" ht="10.5" customHeight="1">
      <c r="A978" s="3" t="s">
        <v>1415</v>
      </c>
      <c r="B978" s="3" t="s">
        <v>1416</v>
      </c>
      <c r="C978" s="3">
        <f>VLOOKUP(B978,LifeList!$E$2:$J$2038,6)</f>
        <v>16429</v>
      </c>
      <c r="D978" s="3" t="str">
        <f>VLOOKUP(B978,LifeList!$E$2:$G$2038,1)</f>
        <v>Common Tody-Flycatcher</v>
      </c>
      <c r="E978" s="3" t="str">
        <f>VLOOKUP(B978,LifeList!$E$2:$G$2038,2)</f>
        <v>Todirostre familier</v>
      </c>
      <c r="F978" s="3" t="str">
        <f>VLOOKUP(B978,LifeList!$E$2:$G$2038,3)</f>
        <v>Todirostrum cinereum</v>
      </c>
      <c r="G978" s="3" t="str">
        <f>VLOOKUP(B978,LifeList!$E$2:$I$2038,4)</f>
        <v>Passeriformes</v>
      </c>
      <c r="H978" s="3" t="str">
        <f>VLOOKUP(B978,LifeList!$E$2:$I$2038,5)</f>
        <v>Tyrannidae (Tyrant Flycatchers)</v>
      </c>
      <c r="I978" s="3"/>
    </row>
    <row r="979" spans="1:9" ht="10.5" customHeight="1">
      <c r="A979" s="3" t="s">
        <v>1417</v>
      </c>
      <c r="B979" s="3" t="s">
        <v>1416</v>
      </c>
      <c r="C979" s="3">
        <f>VLOOKUP(B979,LifeList!$E$2:$J$2038,6)</f>
        <v>16429</v>
      </c>
      <c r="D979" s="3" t="str">
        <f>VLOOKUP(B979,LifeList!$E$2:$G$2038,1)</f>
        <v>Common Tody-Flycatcher</v>
      </c>
      <c r="E979" s="3" t="str">
        <f>VLOOKUP(B979,LifeList!$E$2:$G$2038,2)</f>
        <v>Todirostre familier</v>
      </c>
      <c r="F979" s="3" t="str">
        <f>VLOOKUP(B979,LifeList!$E$2:$G$2038,3)</f>
        <v>Todirostrum cinereum</v>
      </c>
      <c r="G979" s="3" t="str">
        <f>VLOOKUP(B979,LifeList!$E$2:$I$2038,4)</f>
        <v>Passeriformes</v>
      </c>
      <c r="H979" s="3" t="str">
        <f>VLOOKUP(B979,LifeList!$E$2:$I$2038,5)</f>
        <v>Tyrannidae (Tyrant Flycatchers)</v>
      </c>
      <c r="I979" s="3"/>
    </row>
    <row r="980" spans="1:9" ht="10.5" customHeight="1">
      <c r="A980" s="3" t="s">
        <v>1418</v>
      </c>
      <c r="B980" s="3" t="s">
        <v>1416</v>
      </c>
      <c r="C980" s="3">
        <f>VLOOKUP(B980,LifeList!$E$2:$J$2038,6)</f>
        <v>16429</v>
      </c>
      <c r="D980" s="3" t="str">
        <f>VLOOKUP(B980,LifeList!$E$2:$G$2038,1)</f>
        <v>Common Tody-Flycatcher</v>
      </c>
      <c r="E980" s="3" t="str">
        <f>VLOOKUP(B980,LifeList!$E$2:$G$2038,2)</f>
        <v>Todirostre familier</v>
      </c>
      <c r="F980" s="3" t="str">
        <f>VLOOKUP(B980,LifeList!$E$2:$G$2038,3)</f>
        <v>Todirostrum cinereum</v>
      </c>
      <c r="G980" s="3" t="str">
        <f>VLOOKUP(B980,LifeList!$E$2:$I$2038,4)</f>
        <v>Passeriformes</v>
      </c>
      <c r="H980" s="3" t="str">
        <f>VLOOKUP(B980,LifeList!$E$2:$I$2038,5)</f>
        <v>Tyrannidae (Tyrant Flycatchers)</v>
      </c>
      <c r="I980" s="3"/>
    </row>
    <row r="981" spans="1:9" ht="10.5" customHeight="1">
      <c r="A981" s="3" t="s">
        <v>1419</v>
      </c>
      <c r="B981" s="3" t="s">
        <v>1420</v>
      </c>
      <c r="C981" s="3">
        <f>VLOOKUP(B981,LifeList!$E$2:$J$2038,6)</f>
        <v>31298</v>
      </c>
      <c r="D981" s="3" t="str">
        <f>VLOOKUP(B981,LifeList!$E$2:$G$2038,1)</f>
        <v>Common Waxbill</v>
      </c>
      <c r="E981" s="3" t="str">
        <f>VLOOKUP(B981,LifeList!$E$2:$G$2038,2)</f>
        <v>Astrild ondulé</v>
      </c>
      <c r="F981" s="3" t="str">
        <f>VLOOKUP(B981,LifeList!$E$2:$G$2038,3)</f>
        <v>Estrilda astrild</v>
      </c>
      <c r="G981" s="3" t="str">
        <f>VLOOKUP(B981,LifeList!$E$2:$I$2038,4)</f>
        <v>Passeriformes</v>
      </c>
      <c r="H981" s="3" t="str">
        <f>VLOOKUP(B981,LifeList!$E$2:$I$2038,5)</f>
        <v>Estrildidae (Waxbills and Allies)</v>
      </c>
      <c r="I981" s="3"/>
    </row>
    <row r="982" spans="1:9" ht="10.5" customHeight="1">
      <c r="A982" s="3" t="s">
        <v>1421</v>
      </c>
      <c r="B982" s="3" t="s">
        <v>1422</v>
      </c>
      <c r="C982" s="3">
        <f>VLOOKUP(B982,LifeList!$E$2:$J$2038,6)</f>
        <v>34028</v>
      </c>
      <c r="D982" s="3" t="str">
        <f>VLOOKUP(B982,LifeList!$E$2:$G$2038,1)</f>
        <v>Common Yellowthroat</v>
      </c>
      <c r="E982" s="3" t="str">
        <f>VLOOKUP(B982,LifeList!$E$2:$G$2038,2)</f>
        <v>Paruline masquée</v>
      </c>
      <c r="F982" s="3" t="str">
        <f>VLOOKUP(B982,LifeList!$E$2:$G$2038,3)</f>
        <v>Geothlypis trichas</v>
      </c>
      <c r="G982" s="3" t="str">
        <f>VLOOKUP(B982,LifeList!$E$2:$I$2038,4)</f>
        <v>Passeriformes</v>
      </c>
      <c r="H982" s="3" t="str">
        <f>VLOOKUP(B982,LifeList!$E$2:$I$2038,5)</f>
        <v>Parulidae (New World Warblers)</v>
      </c>
      <c r="I982" s="3"/>
    </row>
    <row r="983" spans="1:9" ht="10.5" customHeight="1">
      <c r="A983" s="3" t="s">
        <v>1423</v>
      </c>
      <c r="B983" s="3" t="s">
        <v>1422</v>
      </c>
      <c r="C983" s="3">
        <f>VLOOKUP(B983,LifeList!$E$2:$J$2038,6)</f>
        <v>34028</v>
      </c>
      <c r="D983" s="3" t="str">
        <f>VLOOKUP(B983,LifeList!$E$2:$G$2038,1)</f>
        <v>Common Yellowthroat</v>
      </c>
      <c r="E983" s="3" t="str">
        <f>VLOOKUP(B983,LifeList!$E$2:$G$2038,2)</f>
        <v>Paruline masquée</v>
      </c>
      <c r="F983" s="3" t="str">
        <f>VLOOKUP(B983,LifeList!$E$2:$G$2038,3)</f>
        <v>Geothlypis trichas</v>
      </c>
      <c r="G983" s="3" t="str">
        <f>VLOOKUP(B983,LifeList!$E$2:$I$2038,4)</f>
        <v>Passeriformes</v>
      </c>
      <c r="H983" s="3" t="str">
        <f>VLOOKUP(B983,LifeList!$E$2:$I$2038,5)</f>
        <v>Parulidae (New World Warblers)</v>
      </c>
      <c r="I983" s="3"/>
    </row>
    <row r="984" spans="1:9" ht="10.5" customHeight="1">
      <c r="A984" s="3" t="s">
        <v>1424</v>
      </c>
      <c r="B984" s="3" t="s">
        <v>1422</v>
      </c>
      <c r="C984" s="3">
        <f>VLOOKUP(B984,LifeList!$E$2:$J$2038,6)</f>
        <v>34028</v>
      </c>
      <c r="D984" s="3" t="str">
        <f>VLOOKUP(B984,LifeList!$E$2:$G$2038,1)</f>
        <v>Common Yellowthroat</v>
      </c>
      <c r="E984" s="3" t="str">
        <f>VLOOKUP(B984,LifeList!$E$2:$G$2038,2)</f>
        <v>Paruline masquée</v>
      </c>
      <c r="F984" s="3" t="str">
        <f>VLOOKUP(B984,LifeList!$E$2:$G$2038,3)</f>
        <v>Geothlypis trichas</v>
      </c>
      <c r="G984" s="3" t="str">
        <f>VLOOKUP(B984,LifeList!$E$2:$I$2038,4)</f>
        <v>Passeriformes</v>
      </c>
      <c r="H984" s="3" t="str">
        <f>VLOOKUP(B984,LifeList!$E$2:$I$2038,5)</f>
        <v>Parulidae (New World Warblers)</v>
      </c>
      <c r="I984" s="3"/>
    </row>
    <row r="985" spans="1:9" ht="10.5" customHeight="1">
      <c r="A985" s="3" t="s">
        <v>1425</v>
      </c>
      <c r="B985" s="3" t="s">
        <v>1422</v>
      </c>
      <c r="C985" s="3">
        <f>VLOOKUP(B985,LifeList!$E$2:$J$2038,6)</f>
        <v>34028</v>
      </c>
      <c r="D985" s="3" t="str">
        <f>VLOOKUP(B985,LifeList!$E$2:$G$2038,1)</f>
        <v>Common Yellowthroat</v>
      </c>
      <c r="E985" s="3" t="str">
        <f>VLOOKUP(B985,LifeList!$E$2:$G$2038,2)</f>
        <v>Paruline masquée</v>
      </c>
      <c r="F985" s="3" t="str">
        <f>VLOOKUP(B985,LifeList!$E$2:$G$2038,3)</f>
        <v>Geothlypis trichas</v>
      </c>
      <c r="G985" s="3" t="str">
        <f>VLOOKUP(B985,LifeList!$E$2:$I$2038,4)</f>
        <v>Passeriformes</v>
      </c>
      <c r="H985" s="3" t="str">
        <f>VLOOKUP(B985,LifeList!$E$2:$I$2038,5)</f>
        <v>Parulidae (New World Warblers)</v>
      </c>
      <c r="I985" s="3"/>
    </row>
    <row r="986" spans="1:9" ht="10.5" customHeight="1">
      <c r="A986" s="3" t="s">
        <v>1426</v>
      </c>
      <c r="B986" s="3" t="s">
        <v>1422</v>
      </c>
      <c r="C986" s="3">
        <f>VLOOKUP(B986,LifeList!$E$2:$J$2038,6)</f>
        <v>34028</v>
      </c>
      <c r="D986" s="3" t="str">
        <f>VLOOKUP(B986,LifeList!$E$2:$G$2038,1)</f>
        <v>Common Yellowthroat</v>
      </c>
      <c r="E986" s="3" t="str">
        <f>VLOOKUP(B986,LifeList!$E$2:$G$2038,2)</f>
        <v>Paruline masquée</v>
      </c>
      <c r="F986" s="3" t="str">
        <f>VLOOKUP(B986,LifeList!$E$2:$G$2038,3)</f>
        <v>Geothlypis trichas</v>
      </c>
      <c r="G986" s="3" t="str">
        <f>VLOOKUP(B986,LifeList!$E$2:$I$2038,4)</f>
        <v>Passeriformes</v>
      </c>
      <c r="H986" s="3" t="str">
        <f>VLOOKUP(B986,LifeList!$E$2:$I$2038,5)</f>
        <v>Parulidae (New World Warblers)</v>
      </c>
      <c r="I986" s="3"/>
    </row>
    <row r="987" spans="1:9" ht="10.5" customHeight="1">
      <c r="A987" s="3" t="s">
        <v>1427</v>
      </c>
      <c r="B987" s="3" t="s">
        <v>1422</v>
      </c>
      <c r="C987" s="3">
        <f>VLOOKUP(B987,LifeList!$E$2:$J$2038,6)</f>
        <v>34028</v>
      </c>
      <c r="D987" s="3" t="str">
        <f>VLOOKUP(B987,LifeList!$E$2:$G$2038,1)</f>
        <v>Common Yellowthroat</v>
      </c>
      <c r="E987" s="3" t="str">
        <f>VLOOKUP(B987,LifeList!$E$2:$G$2038,2)</f>
        <v>Paruline masquée</v>
      </c>
      <c r="F987" s="3" t="str">
        <f>VLOOKUP(B987,LifeList!$E$2:$G$2038,3)</f>
        <v>Geothlypis trichas</v>
      </c>
      <c r="G987" s="3" t="str">
        <f>VLOOKUP(B987,LifeList!$E$2:$I$2038,4)</f>
        <v>Passeriformes</v>
      </c>
      <c r="H987" s="3" t="str">
        <f>VLOOKUP(B987,LifeList!$E$2:$I$2038,5)</f>
        <v>Parulidae (New World Warblers)</v>
      </c>
      <c r="I987" s="3"/>
    </row>
    <row r="988" spans="1:9" ht="10.5" customHeight="1">
      <c r="A988" s="3" t="s">
        <v>1428</v>
      </c>
      <c r="B988" s="3" t="s">
        <v>1422</v>
      </c>
      <c r="C988" s="3">
        <f>VLOOKUP(B988,LifeList!$E$2:$J$2038,6)</f>
        <v>34028</v>
      </c>
      <c r="D988" s="3" t="str">
        <f>VLOOKUP(B988,LifeList!$E$2:$G$2038,1)</f>
        <v>Common Yellowthroat</v>
      </c>
      <c r="E988" s="3" t="str">
        <f>VLOOKUP(B988,LifeList!$E$2:$G$2038,2)</f>
        <v>Paruline masquée</v>
      </c>
      <c r="F988" s="3" t="str">
        <f>VLOOKUP(B988,LifeList!$E$2:$G$2038,3)</f>
        <v>Geothlypis trichas</v>
      </c>
      <c r="G988" s="3" t="str">
        <f>VLOOKUP(B988,LifeList!$E$2:$I$2038,4)</f>
        <v>Passeriformes</v>
      </c>
      <c r="H988" s="3" t="str">
        <f>VLOOKUP(B988,LifeList!$E$2:$I$2038,5)</f>
        <v>Parulidae (New World Warblers)</v>
      </c>
      <c r="I988" s="3"/>
    </row>
    <row r="989" spans="1:9" ht="10.5" customHeight="1">
      <c r="A989" s="3" t="s">
        <v>1429</v>
      </c>
      <c r="B989" s="3" t="s">
        <v>1422</v>
      </c>
      <c r="C989" s="3">
        <f>VLOOKUP(B989,LifeList!$E$2:$J$2038,6)</f>
        <v>34028</v>
      </c>
      <c r="D989" s="3" t="str">
        <f>VLOOKUP(B989,LifeList!$E$2:$G$2038,1)</f>
        <v>Common Yellowthroat</v>
      </c>
      <c r="E989" s="3" t="str">
        <f>VLOOKUP(B989,LifeList!$E$2:$G$2038,2)</f>
        <v>Paruline masquée</v>
      </c>
      <c r="F989" s="3" t="str">
        <f>VLOOKUP(B989,LifeList!$E$2:$G$2038,3)</f>
        <v>Geothlypis trichas</v>
      </c>
      <c r="G989" s="3" t="str">
        <f>VLOOKUP(B989,LifeList!$E$2:$I$2038,4)</f>
        <v>Passeriformes</v>
      </c>
      <c r="H989" s="3" t="str">
        <f>VLOOKUP(B989,LifeList!$E$2:$I$2038,5)</f>
        <v>Parulidae (New World Warblers)</v>
      </c>
      <c r="I989" s="3"/>
    </row>
    <row r="990" spans="1:9" ht="10.5" customHeight="1">
      <c r="A990" s="3" t="s">
        <v>1430</v>
      </c>
      <c r="B990" s="3" t="s">
        <v>1422</v>
      </c>
      <c r="C990" s="3">
        <f>VLOOKUP(B990,LifeList!$E$2:$J$2038,6)</f>
        <v>34028</v>
      </c>
      <c r="D990" s="3" t="str">
        <f>VLOOKUP(B990,LifeList!$E$2:$G$2038,1)</f>
        <v>Common Yellowthroat</v>
      </c>
      <c r="E990" s="3" t="str">
        <f>VLOOKUP(B990,LifeList!$E$2:$G$2038,2)</f>
        <v>Paruline masquée</v>
      </c>
      <c r="F990" s="3" t="str">
        <f>VLOOKUP(B990,LifeList!$E$2:$G$2038,3)</f>
        <v>Geothlypis trichas</v>
      </c>
      <c r="G990" s="3" t="str">
        <f>VLOOKUP(B990,LifeList!$E$2:$I$2038,4)</f>
        <v>Passeriformes</v>
      </c>
      <c r="H990" s="3" t="str">
        <f>VLOOKUP(B990,LifeList!$E$2:$I$2038,5)</f>
        <v>Parulidae (New World Warblers)</v>
      </c>
      <c r="I990" s="3"/>
    </row>
    <row r="991" spans="1:9" ht="10.5" customHeight="1">
      <c r="A991" s="3" t="s">
        <v>1431</v>
      </c>
      <c r="B991" s="3" t="s">
        <v>1422</v>
      </c>
      <c r="C991" s="3">
        <f>VLOOKUP(B991,LifeList!$E$2:$J$2038,6)</f>
        <v>34028</v>
      </c>
      <c r="D991" s="3" t="str">
        <f>VLOOKUP(B991,LifeList!$E$2:$G$2038,1)</f>
        <v>Common Yellowthroat</v>
      </c>
      <c r="E991" s="3" t="str">
        <f>VLOOKUP(B991,LifeList!$E$2:$G$2038,2)</f>
        <v>Paruline masquée</v>
      </c>
      <c r="F991" s="3" t="str">
        <f>VLOOKUP(B991,LifeList!$E$2:$G$2038,3)</f>
        <v>Geothlypis trichas</v>
      </c>
      <c r="G991" s="3" t="str">
        <f>VLOOKUP(B991,LifeList!$E$2:$I$2038,4)</f>
        <v>Passeriformes</v>
      </c>
      <c r="H991" s="3" t="str">
        <f>VLOOKUP(B991,LifeList!$E$2:$I$2038,5)</f>
        <v>Parulidae (New World Warblers)</v>
      </c>
      <c r="I991" s="3"/>
    </row>
    <row r="992" spans="1:9" ht="10.5" customHeight="1">
      <c r="A992" s="3" t="s">
        <v>1432</v>
      </c>
      <c r="B992" s="3" t="s">
        <v>1422</v>
      </c>
      <c r="C992" s="3">
        <f>VLOOKUP(B992,LifeList!$E$2:$J$2038,6)</f>
        <v>34028</v>
      </c>
      <c r="D992" s="3" t="str">
        <f>VLOOKUP(B992,LifeList!$E$2:$G$2038,1)</f>
        <v>Common Yellowthroat</v>
      </c>
      <c r="E992" s="3" t="str">
        <f>VLOOKUP(B992,LifeList!$E$2:$G$2038,2)</f>
        <v>Paruline masquée</v>
      </c>
      <c r="F992" s="3" t="str">
        <f>VLOOKUP(B992,LifeList!$E$2:$G$2038,3)</f>
        <v>Geothlypis trichas</v>
      </c>
      <c r="G992" s="3" t="str">
        <f>VLOOKUP(B992,LifeList!$E$2:$I$2038,4)</f>
        <v>Passeriformes</v>
      </c>
      <c r="H992" s="3" t="str">
        <f>VLOOKUP(B992,LifeList!$E$2:$I$2038,5)</f>
        <v>Parulidae (New World Warblers)</v>
      </c>
      <c r="I992" s="3"/>
    </row>
    <row r="993" spans="1:9" ht="10.5" customHeight="1">
      <c r="A993" s="3" t="s">
        <v>1433</v>
      </c>
      <c r="B993" s="3" t="s">
        <v>1422</v>
      </c>
      <c r="C993" s="3">
        <f>VLOOKUP(B993,LifeList!$E$2:$J$2038,6)</f>
        <v>34028</v>
      </c>
      <c r="D993" s="3" t="str">
        <f>VLOOKUP(B993,LifeList!$E$2:$G$2038,1)</f>
        <v>Common Yellowthroat</v>
      </c>
      <c r="E993" s="3" t="str">
        <f>VLOOKUP(B993,LifeList!$E$2:$G$2038,2)</f>
        <v>Paruline masquée</v>
      </c>
      <c r="F993" s="3" t="str">
        <f>VLOOKUP(B993,LifeList!$E$2:$G$2038,3)</f>
        <v>Geothlypis trichas</v>
      </c>
      <c r="G993" s="3" t="str">
        <f>VLOOKUP(B993,LifeList!$E$2:$I$2038,4)</f>
        <v>Passeriformes</v>
      </c>
      <c r="H993" s="3" t="str">
        <f>VLOOKUP(B993,LifeList!$E$2:$I$2038,5)</f>
        <v>Parulidae (New World Warblers)</v>
      </c>
      <c r="I993" s="3"/>
    </row>
    <row r="994" spans="1:9" ht="10.5" customHeight="1">
      <c r="A994" s="3" t="s">
        <v>1434</v>
      </c>
      <c r="B994" s="3" t="s">
        <v>1422</v>
      </c>
      <c r="C994" s="3">
        <f>VLOOKUP(B994,LifeList!$E$2:$J$2038,6)</f>
        <v>34028</v>
      </c>
      <c r="D994" s="3" t="str">
        <f>VLOOKUP(B994,LifeList!$E$2:$G$2038,1)</f>
        <v>Common Yellowthroat</v>
      </c>
      <c r="E994" s="3" t="str">
        <f>VLOOKUP(B994,LifeList!$E$2:$G$2038,2)</f>
        <v>Paruline masquée</v>
      </c>
      <c r="F994" s="3" t="str">
        <f>VLOOKUP(B994,LifeList!$E$2:$G$2038,3)</f>
        <v>Geothlypis trichas</v>
      </c>
      <c r="G994" s="3" t="str">
        <f>VLOOKUP(B994,LifeList!$E$2:$I$2038,4)</f>
        <v>Passeriformes</v>
      </c>
      <c r="H994" s="3" t="str">
        <f>VLOOKUP(B994,LifeList!$E$2:$I$2038,5)</f>
        <v>Parulidae (New World Warblers)</v>
      </c>
      <c r="I994" s="3"/>
    </row>
    <row r="995" spans="1:9" ht="10.5" customHeight="1">
      <c r="A995" s="3" t="s">
        <v>1435</v>
      </c>
      <c r="B995" s="3" t="s">
        <v>1422</v>
      </c>
      <c r="C995" s="3">
        <f>VLOOKUP(B995,LifeList!$E$2:$J$2038,6)</f>
        <v>34028</v>
      </c>
      <c r="D995" s="3" t="str">
        <f>VLOOKUP(B995,LifeList!$E$2:$G$2038,1)</f>
        <v>Common Yellowthroat</v>
      </c>
      <c r="E995" s="3" t="str">
        <f>VLOOKUP(B995,LifeList!$E$2:$G$2038,2)</f>
        <v>Paruline masquée</v>
      </c>
      <c r="F995" s="3" t="str">
        <f>VLOOKUP(B995,LifeList!$E$2:$G$2038,3)</f>
        <v>Geothlypis trichas</v>
      </c>
      <c r="G995" s="3" t="str">
        <f>VLOOKUP(B995,LifeList!$E$2:$I$2038,4)</f>
        <v>Passeriformes</v>
      </c>
      <c r="H995" s="3" t="str">
        <f>VLOOKUP(B995,LifeList!$E$2:$I$2038,5)</f>
        <v>Parulidae (New World Warblers)</v>
      </c>
      <c r="I995" s="3"/>
    </row>
    <row r="996" spans="1:9" ht="10.5" customHeight="1">
      <c r="A996" s="3" t="s">
        <v>1436</v>
      </c>
      <c r="B996" s="3" t="s">
        <v>1422</v>
      </c>
      <c r="C996" s="3">
        <f>VLOOKUP(B996,LifeList!$E$2:$J$2038,6)</f>
        <v>34028</v>
      </c>
      <c r="D996" s="3" t="str">
        <f>VLOOKUP(B996,LifeList!$E$2:$G$2038,1)</f>
        <v>Common Yellowthroat</v>
      </c>
      <c r="E996" s="3" t="str">
        <f>VLOOKUP(B996,LifeList!$E$2:$G$2038,2)</f>
        <v>Paruline masquée</v>
      </c>
      <c r="F996" s="3" t="str">
        <f>VLOOKUP(B996,LifeList!$E$2:$G$2038,3)</f>
        <v>Geothlypis trichas</v>
      </c>
      <c r="G996" s="3" t="str">
        <f>VLOOKUP(B996,LifeList!$E$2:$I$2038,4)</f>
        <v>Passeriformes</v>
      </c>
      <c r="H996" s="3" t="str">
        <f>VLOOKUP(B996,LifeList!$E$2:$I$2038,5)</f>
        <v>Parulidae (New World Warblers)</v>
      </c>
      <c r="I996" s="3"/>
    </row>
    <row r="997" spans="1:9" ht="10.5" customHeight="1">
      <c r="A997" s="3" t="s">
        <v>1437</v>
      </c>
      <c r="B997" s="3" t="s">
        <v>1422</v>
      </c>
      <c r="C997" s="3">
        <f>VLOOKUP(B997,LifeList!$E$2:$J$2038,6)</f>
        <v>34028</v>
      </c>
      <c r="D997" s="3" t="str">
        <f>VLOOKUP(B997,LifeList!$E$2:$G$2038,1)</f>
        <v>Common Yellowthroat</v>
      </c>
      <c r="E997" s="3" t="str">
        <f>VLOOKUP(B997,LifeList!$E$2:$G$2038,2)</f>
        <v>Paruline masquée</v>
      </c>
      <c r="F997" s="3" t="str">
        <f>VLOOKUP(B997,LifeList!$E$2:$G$2038,3)</f>
        <v>Geothlypis trichas</v>
      </c>
      <c r="G997" s="3" t="str">
        <f>VLOOKUP(B997,LifeList!$E$2:$I$2038,4)</f>
        <v>Passeriformes</v>
      </c>
      <c r="H997" s="3" t="str">
        <f>VLOOKUP(B997,LifeList!$E$2:$I$2038,5)</f>
        <v>Parulidae (New World Warblers)</v>
      </c>
      <c r="I997" s="3"/>
    </row>
    <row r="998" spans="1:9" ht="10.5" customHeight="1">
      <c r="A998" s="3" t="s">
        <v>1438</v>
      </c>
      <c r="B998" s="3" t="s">
        <v>1422</v>
      </c>
      <c r="C998" s="3">
        <f>VLOOKUP(B998,LifeList!$E$2:$J$2038,6)</f>
        <v>34028</v>
      </c>
      <c r="D998" s="3" t="str">
        <f>VLOOKUP(B998,LifeList!$E$2:$G$2038,1)</f>
        <v>Common Yellowthroat</v>
      </c>
      <c r="E998" s="3" t="str">
        <f>VLOOKUP(B998,LifeList!$E$2:$G$2038,2)</f>
        <v>Paruline masquée</v>
      </c>
      <c r="F998" s="3" t="str">
        <f>VLOOKUP(B998,LifeList!$E$2:$G$2038,3)</f>
        <v>Geothlypis trichas</v>
      </c>
      <c r="G998" s="3" t="str">
        <f>VLOOKUP(B998,LifeList!$E$2:$I$2038,4)</f>
        <v>Passeriformes</v>
      </c>
      <c r="H998" s="3" t="str">
        <f>VLOOKUP(B998,LifeList!$E$2:$I$2038,5)</f>
        <v>Parulidae (New World Warblers)</v>
      </c>
      <c r="I998" s="3"/>
    </row>
    <row r="999" spans="1:9" ht="10.5" customHeight="1">
      <c r="A999" s="3" t="s">
        <v>1439</v>
      </c>
      <c r="B999" s="3" t="s">
        <v>1422</v>
      </c>
      <c r="C999" s="3">
        <f>VLOOKUP(B999,LifeList!$E$2:$J$2038,6)</f>
        <v>34028</v>
      </c>
      <c r="D999" s="3" t="str">
        <f>VLOOKUP(B999,LifeList!$E$2:$G$2038,1)</f>
        <v>Common Yellowthroat</v>
      </c>
      <c r="E999" s="3" t="str">
        <f>VLOOKUP(B999,LifeList!$E$2:$G$2038,2)</f>
        <v>Paruline masquée</v>
      </c>
      <c r="F999" s="3" t="str">
        <f>VLOOKUP(B999,LifeList!$E$2:$G$2038,3)</f>
        <v>Geothlypis trichas</v>
      </c>
      <c r="G999" s="3" t="str">
        <f>VLOOKUP(B999,LifeList!$E$2:$I$2038,4)</f>
        <v>Passeriformes</v>
      </c>
      <c r="H999" s="3" t="str">
        <f>VLOOKUP(B999,LifeList!$E$2:$I$2038,5)</f>
        <v>Parulidae (New World Warblers)</v>
      </c>
      <c r="I999" s="3"/>
    </row>
    <row r="1000" spans="1:9" ht="10.5" customHeight="1">
      <c r="A1000" s="3" t="s">
        <v>1440</v>
      </c>
      <c r="B1000" s="3" t="s">
        <v>1441</v>
      </c>
      <c r="C1000" s="3">
        <f>VLOOKUP(B1000,LifeList!$E$2:$J$2038,6)</f>
        <v>8278</v>
      </c>
      <c r="D1000" s="3" t="str">
        <f>VLOOKUP(B1000,LifeList!$E$2:$G$2038,1)</f>
        <v>Cooper's Hawk</v>
      </c>
      <c r="E1000" s="3" t="str">
        <f>VLOOKUP(B1000,LifeList!$E$2:$G$2038,2)</f>
        <v>Épervier de Cooper</v>
      </c>
      <c r="F1000" s="3" t="str">
        <f>VLOOKUP(B1000,LifeList!$E$2:$G$2038,3)</f>
        <v>Astur cooperii</v>
      </c>
      <c r="G1000" s="3" t="str">
        <f>VLOOKUP(B1000,LifeList!$E$2:$I$2038,4)</f>
        <v>Accipitriformes</v>
      </c>
      <c r="H1000" s="3" t="str">
        <f>VLOOKUP(B1000,LifeList!$E$2:$I$2038,5)</f>
        <v>Accipitridae (Hawks, Eagles, and Kites)</v>
      </c>
      <c r="I1000" s="3"/>
    </row>
    <row r="1001" spans="1:9" ht="10.5" customHeight="1">
      <c r="A1001" s="3" t="s">
        <v>1442</v>
      </c>
      <c r="B1001" s="3" t="s">
        <v>1441</v>
      </c>
      <c r="C1001" s="3">
        <f>VLOOKUP(B1001,LifeList!$E$2:$J$2038,6)</f>
        <v>8278</v>
      </c>
      <c r="D1001" s="3" t="str">
        <f>VLOOKUP(B1001,LifeList!$E$2:$G$2038,1)</f>
        <v>Cooper's Hawk</v>
      </c>
      <c r="E1001" s="3" t="str">
        <f>VLOOKUP(B1001,LifeList!$E$2:$G$2038,2)</f>
        <v>Épervier de Cooper</v>
      </c>
      <c r="F1001" s="3" t="str">
        <f>VLOOKUP(B1001,LifeList!$E$2:$G$2038,3)</f>
        <v>Astur cooperii</v>
      </c>
      <c r="G1001" s="3" t="str">
        <f>VLOOKUP(B1001,LifeList!$E$2:$I$2038,4)</f>
        <v>Accipitriformes</v>
      </c>
      <c r="H1001" s="3" t="str">
        <f>VLOOKUP(B1001,LifeList!$E$2:$I$2038,5)</f>
        <v>Accipitridae (Hawks, Eagles, and Kites)</v>
      </c>
      <c r="I1001" s="3"/>
    </row>
    <row r="1002" spans="1:9" ht="10.5" customHeight="1">
      <c r="A1002" s="3" t="s">
        <v>1443</v>
      </c>
      <c r="B1002" s="3" t="s">
        <v>1441</v>
      </c>
      <c r="C1002" s="3">
        <f>VLOOKUP(B1002,LifeList!$E$2:$J$2038,6)</f>
        <v>8278</v>
      </c>
      <c r="D1002" s="3" t="str">
        <f>VLOOKUP(B1002,LifeList!$E$2:$G$2038,1)</f>
        <v>Cooper's Hawk</v>
      </c>
      <c r="E1002" s="3" t="str">
        <f>VLOOKUP(B1002,LifeList!$E$2:$G$2038,2)</f>
        <v>Épervier de Cooper</v>
      </c>
      <c r="F1002" s="3" t="str">
        <f>VLOOKUP(B1002,LifeList!$E$2:$G$2038,3)</f>
        <v>Astur cooperii</v>
      </c>
      <c r="G1002" s="3" t="str">
        <f>VLOOKUP(B1002,LifeList!$E$2:$I$2038,4)</f>
        <v>Accipitriformes</v>
      </c>
      <c r="H1002" s="3" t="str">
        <f>VLOOKUP(B1002,LifeList!$E$2:$I$2038,5)</f>
        <v>Accipitridae (Hawks, Eagles, and Kites)</v>
      </c>
      <c r="I1002" s="3"/>
    </row>
    <row r="1003" spans="1:9" ht="10.5" customHeight="1">
      <c r="A1003" s="3" t="s">
        <v>1444</v>
      </c>
      <c r="B1003" s="3" t="s">
        <v>1445</v>
      </c>
      <c r="C1003" s="3">
        <f>VLOOKUP(B1003,LifeList!$E$2:$J$2038,6)</f>
        <v>5091</v>
      </c>
      <c r="D1003" s="3" t="str">
        <f>VLOOKUP(B1003,LifeList!$E$2:$G$2038,1)</f>
        <v>Copper-rumped Hummingbird</v>
      </c>
      <c r="E1003" s="3" t="str">
        <f>VLOOKUP(B1003,LifeList!$E$2:$G$2038,2)</f>
        <v>Ariane de Félicie</v>
      </c>
      <c r="F1003" s="3" t="str">
        <f>VLOOKUP(B1003,LifeList!$E$2:$G$2038,3)</f>
        <v>Saucerottia tobaci</v>
      </c>
      <c r="G1003" s="3" t="str">
        <f>VLOOKUP(B1003,LifeList!$E$2:$I$2038,4)</f>
        <v>Apodiformes</v>
      </c>
      <c r="H1003" s="3" t="str">
        <f>VLOOKUP(B1003,LifeList!$E$2:$I$2038,5)</f>
        <v>Trochilidae (Hummingbirds)</v>
      </c>
      <c r="I1003" s="3"/>
    </row>
    <row r="1004" spans="1:9" ht="10.5" customHeight="1">
      <c r="A1004" s="3" t="s">
        <v>1446</v>
      </c>
      <c r="B1004" s="3" t="s">
        <v>1447</v>
      </c>
      <c r="C1004" s="3">
        <f>VLOOKUP(B1004,LifeList!$E$2:$J$2038,6)</f>
        <v>5008</v>
      </c>
      <c r="D1004" s="3" t="str">
        <f>VLOOKUP(B1004,LifeList!$E$2:$G$2038,1)</f>
        <v>Coppery-headed Emerald</v>
      </c>
      <c r="E1004" s="3" t="str">
        <f>VLOOKUP(B1004,LifeList!$E$2:$G$2038,2)</f>
        <v>Colibri à tête cuivrée</v>
      </c>
      <c r="F1004" s="3" t="str">
        <f>VLOOKUP(B1004,LifeList!$E$2:$G$2038,3)</f>
        <v>Microchera cupreiceps</v>
      </c>
      <c r="G1004" s="3" t="str">
        <f>VLOOKUP(B1004,LifeList!$E$2:$I$2038,4)</f>
        <v>Apodiformes</v>
      </c>
      <c r="H1004" s="3" t="str">
        <f>VLOOKUP(B1004,LifeList!$E$2:$I$2038,5)</f>
        <v>Trochilidae (Hummingbirds)</v>
      </c>
      <c r="I1004" s="3"/>
    </row>
    <row r="1005" spans="1:9" ht="10.5" customHeight="1">
      <c r="A1005" s="3" t="s">
        <v>1448</v>
      </c>
      <c r="B1005" s="3" t="s">
        <v>1447</v>
      </c>
      <c r="C1005" s="3">
        <f>VLOOKUP(B1005,LifeList!$E$2:$J$2038,6)</f>
        <v>5008</v>
      </c>
      <c r="D1005" s="3" t="str">
        <f>VLOOKUP(B1005,LifeList!$E$2:$G$2038,1)</f>
        <v>Coppery-headed Emerald</v>
      </c>
      <c r="E1005" s="3" t="str">
        <f>VLOOKUP(B1005,LifeList!$E$2:$G$2038,2)</f>
        <v>Colibri à tête cuivrée</v>
      </c>
      <c r="F1005" s="3" t="str">
        <f>VLOOKUP(B1005,LifeList!$E$2:$G$2038,3)</f>
        <v>Microchera cupreiceps</v>
      </c>
      <c r="G1005" s="3" t="str">
        <f>VLOOKUP(B1005,LifeList!$E$2:$I$2038,4)</f>
        <v>Apodiformes</v>
      </c>
      <c r="H1005" s="3" t="str">
        <f>VLOOKUP(B1005,LifeList!$E$2:$I$2038,5)</f>
        <v>Trochilidae (Hummingbirds)</v>
      </c>
      <c r="I1005" s="3"/>
    </row>
    <row r="1006" spans="1:9" ht="10.5" customHeight="1">
      <c r="A1006" s="3" t="s">
        <v>1449</v>
      </c>
      <c r="B1006" s="3" t="s">
        <v>1447</v>
      </c>
      <c r="C1006" s="3">
        <f>VLOOKUP(B1006,LifeList!$E$2:$J$2038,6)</f>
        <v>5008</v>
      </c>
      <c r="D1006" s="3" t="str">
        <f>VLOOKUP(B1006,LifeList!$E$2:$G$2038,1)</f>
        <v>Coppery-headed Emerald</v>
      </c>
      <c r="E1006" s="3" t="str">
        <f>VLOOKUP(B1006,LifeList!$E$2:$G$2038,2)</f>
        <v>Colibri à tête cuivrée</v>
      </c>
      <c r="F1006" s="3" t="str">
        <f>VLOOKUP(B1006,LifeList!$E$2:$G$2038,3)</f>
        <v>Microchera cupreiceps</v>
      </c>
      <c r="G1006" s="3" t="str">
        <f>VLOOKUP(B1006,LifeList!$E$2:$I$2038,4)</f>
        <v>Apodiformes</v>
      </c>
      <c r="H1006" s="3" t="str">
        <f>VLOOKUP(B1006,LifeList!$E$2:$I$2038,5)</f>
        <v>Trochilidae (Hummingbirds)</v>
      </c>
      <c r="I1006" s="3"/>
    </row>
    <row r="1007" spans="1:9" ht="10.5" customHeight="1">
      <c r="A1007" s="3" t="s">
        <v>1450</v>
      </c>
      <c r="B1007" s="3" t="s">
        <v>1447</v>
      </c>
      <c r="C1007" s="3">
        <f>VLOOKUP(B1007,LifeList!$E$2:$J$2038,6)</f>
        <v>5008</v>
      </c>
      <c r="D1007" s="3" t="str">
        <f>VLOOKUP(B1007,LifeList!$E$2:$G$2038,1)</f>
        <v>Coppery-headed Emerald</v>
      </c>
      <c r="E1007" s="3" t="str">
        <f>VLOOKUP(B1007,LifeList!$E$2:$G$2038,2)</f>
        <v>Colibri à tête cuivrée</v>
      </c>
      <c r="F1007" s="3" t="str">
        <f>VLOOKUP(B1007,LifeList!$E$2:$G$2038,3)</f>
        <v>Microchera cupreiceps</v>
      </c>
      <c r="G1007" s="3" t="str">
        <f>VLOOKUP(B1007,LifeList!$E$2:$I$2038,4)</f>
        <v>Apodiformes</v>
      </c>
      <c r="H1007" s="3" t="str">
        <f>VLOOKUP(B1007,LifeList!$E$2:$I$2038,5)</f>
        <v>Trochilidae (Hummingbirds)</v>
      </c>
      <c r="I1007" s="3"/>
    </row>
    <row r="1008" spans="1:9" ht="10.5" customHeight="1">
      <c r="A1008" s="3" t="s">
        <v>1451</v>
      </c>
      <c r="B1008" s="3" t="s">
        <v>1452</v>
      </c>
      <c r="C1008" s="3">
        <f>VLOOKUP(B1008,LifeList!$E$2:$J$2038,6)</f>
        <v>3108</v>
      </c>
      <c r="D1008" s="3" t="str">
        <f>VLOOKUP(B1008,LifeList!$E$2:$G$2038,1)</f>
        <v>Coppery-tailed Coucal</v>
      </c>
      <c r="E1008" s="3" t="str">
        <f>VLOOKUP(B1008,LifeList!$E$2:$G$2038,2)</f>
        <v>Coucal des papyrus</v>
      </c>
      <c r="F1008" s="3" t="str">
        <f>VLOOKUP(B1008,LifeList!$E$2:$G$2038,3)</f>
        <v>Centropus cupreicaudus</v>
      </c>
      <c r="G1008" s="3" t="str">
        <f>VLOOKUP(B1008,LifeList!$E$2:$I$2038,4)</f>
        <v>Cuculiformes</v>
      </c>
      <c r="H1008" s="3" t="str">
        <f>VLOOKUP(B1008,LifeList!$E$2:$I$2038,5)</f>
        <v>Cuculidae (Cuckoos)</v>
      </c>
      <c r="I1008" s="3"/>
    </row>
    <row r="1009" spans="1:9" ht="10.5" customHeight="1">
      <c r="A1009" s="5" t="s">
        <v>1453</v>
      </c>
      <c r="B1009" s="3" t="s">
        <v>1454</v>
      </c>
      <c r="C1009" s="3">
        <f>VLOOKUP(B1009,LifeList!$E$2:$J$2038,6)</f>
        <v>3070</v>
      </c>
      <c r="D1009" s="3" t="str">
        <f>VLOOKUP(B1009,LifeList!$E$2:$G$2038,1)</f>
        <v>Coquerel's Coua</v>
      </c>
      <c r="E1009" s="3" t="str">
        <f>VLOOKUP(B1009,LifeList!$E$2:$G$2038,2)</f>
        <v>Coua de Coquerel</v>
      </c>
      <c r="F1009" s="3" t="str">
        <f>VLOOKUP(B1009,LifeList!$E$2:$G$2038,3)</f>
        <v>Coua coquereli</v>
      </c>
      <c r="G1009" s="3" t="str">
        <f>VLOOKUP(B1009,LifeList!$E$2:$I$2038,4)</f>
        <v>Cuculiformes</v>
      </c>
      <c r="H1009" s="3" t="str">
        <f>VLOOKUP(B1009,LifeList!$E$2:$I$2038,5)</f>
        <v>Cuculidae (Cuckoos)</v>
      </c>
      <c r="I1009" s="3"/>
    </row>
    <row r="1010" spans="1:9" ht="10.5" customHeight="1">
      <c r="A1010" s="3" t="s">
        <v>1455</v>
      </c>
      <c r="B1010" s="3" t="s">
        <v>1454</v>
      </c>
      <c r="C1010" s="3">
        <f>VLOOKUP(B1010,LifeList!$E$2:$J$2038,6)</f>
        <v>3070</v>
      </c>
      <c r="D1010" s="3" t="str">
        <f>VLOOKUP(B1010,LifeList!$E$2:$G$2038,1)</f>
        <v>Coquerel's Coua</v>
      </c>
      <c r="E1010" s="3" t="str">
        <f>VLOOKUP(B1010,LifeList!$E$2:$G$2038,2)</f>
        <v>Coua de Coquerel</v>
      </c>
      <c r="F1010" s="3" t="str">
        <f>VLOOKUP(B1010,LifeList!$E$2:$G$2038,3)</f>
        <v>Coua coquereli</v>
      </c>
      <c r="G1010" s="3" t="str">
        <f>VLOOKUP(B1010,LifeList!$E$2:$I$2038,4)</f>
        <v>Cuculiformes</v>
      </c>
      <c r="H1010" s="3" t="str">
        <f>VLOOKUP(B1010,LifeList!$E$2:$I$2038,5)</f>
        <v>Cuculidae (Cuckoos)</v>
      </c>
      <c r="I1010" s="3"/>
    </row>
    <row r="1011" spans="1:9" ht="10.5" customHeight="1">
      <c r="A1011" s="3" t="s">
        <v>1456</v>
      </c>
      <c r="B1011" s="3" t="s">
        <v>1457</v>
      </c>
      <c r="C1011" s="3">
        <f>VLOOKUP(B1011,LifeList!$E$2:$J$2038,6)</f>
        <v>1660</v>
      </c>
      <c r="D1011" s="3" t="str">
        <f>VLOOKUP(B1011,LifeList!$E$2:$G$2038,1)</f>
        <v>Coqui Francolin</v>
      </c>
      <c r="E1011" s="3" t="str">
        <f>VLOOKUP(B1011,LifeList!$E$2:$G$2038,2)</f>
        <v>Francolin coqui</v>
      </c>
      <c r="F1011" s="3" t="str">
        <f>VLOOKUP(B1011,LifeList!$E$2:$G$2038,3)</f>
        <v>Campocolinus coqui</v>
      </c>
      <c r="G1011" s="3" t="str">
        <f>VLOOKUP(B1011,LifeList!$E$2:$I$2038,4)</f>
        <v>Galliformes</v>
      </c>
      <c r="H1011" s="3" t="str">
        <f>VLOOKUP(B1011,LifeList!$E$2:$I$2038,5)</f>
        <v>Phasianidae (Pheasants, Grouse, and Allies)</v>
      </c>
      <c r="I1011" s="3"/>
    </row>
    <row r="1012" spans="1:9" ht="10.5" customHeight="1">
      <c r="A1012" s="3" t="s">
        <v>1458</v>
      </c>
      <c r="B1012" s="3" t="s">
        <v>1459</v>
      </c>
      <c r="C1012" s="3">
        <f>VLOOKUP(B1012,LifeList!$E$2:$J$2038,6)</f>
        <v>34268</v>
      </c>
      <c r="D1012" s="3" t="str">
        <f>VLOOKUP(B1012,LifeList!$E$2:$G$2038,1)</f>
        <v>Costa Rican Warbler</v>
      </c>
      <c r="E1012" s="3" t="str">
        <f>VLOOKUP(B1012,LifeList!$E$2:$G$2038,2)</f>
        <v>Paruline du Costa Rica</v>
      </c>
      <c r="F1012" s="3" t="str">
        <f>VLOOKUP(B1012,LifeList!$E$2:$G$2038,3)</f>
        <v>Basileuterus melanotis</v>
      </c>
      <c r="G1012" s="3" t="str">
        <f>VLOOKUP(B1012,LifeList!$E$2:$I$2038,4)</f>
        <v>Passeriformes</v>
      </c>
      <c r="H1012" s="3" t="str">
        <f>VLOOKUP(B1012,LifeList!$E$2:$I$2038,5)</f>
        <v>Parulidae (New World Warblers)</v>
      </c>
      <c r="I1012" s="3"/>
    </row>
    <row r="1013" spans="1:9" ht="10.5" customHeight="1">
      <c r="A1013" s="7" t="s">
        <v>1460</v>
      </c>
      <c r="B1013" s="8" t="s">
        <v>1461</v>
      </c>
      <c r="C1013" s="3">
        <f>VLOOKUP(B1013,LifeList!$E$2:$J$2038,6)</f>
        <v>17459</v>
      </c>
      <c r="D1013" s="3" t="str">
        <f>VLOOKUP(B1013,LifeList!$E$2:$G$2038,1)</f>
        <v>Couch's Kingbird</v>
      </c>
      <c r="E1013" s="3" t="str">
        <f>VLOOKUP(B1013,LifeList!$E$2:$G$2038,2)</f>
        <v>Tyran de Couch</v>
      </c>
      <c r="F1013" s="3" t="str">
        <f>VLOOKUP(B1013,LifeList!$E$2:$G$2038,3)</f>
        <v>Tyrannus couchii</v>
      </c>
      <c r="G1013" s="3" t="str">
        <f>VLOOKUP(B1013,LifeList!$E$2:$I$2038,4)</f>
        <v>Passeriformes</v>
      </c>
      <c r="H1013" s="3" t="str">
        <f>VLOOKUP(B1013,LifeList!$E$2:$I$2038,5)</f>
        <v>Tyrannidae (Tyrant Flycatchers)</v>
      </c>
      <c r="I1013" s="3"/>
    </row>
    <row r="1014" spans="1:9" ht="10.5" customHeight="1">
      <c r="A1014" s="7" t="s">
        <v>1462</v>
      </c>
      <c r="B1014" s="9" t="s">
        <v>1463</v>
      </c>
      <c r="C1014" s="3">
        <f>VLOOKUP(B1014,LifeList!$E$2:$J$2038,6)</f>
        <v>4882</v>
      </c>
      <c r="D1014" s="3" t="str">
        <f>VLOOKUP(B1014,LifeList!$E$2:$G$2038,1)</f>
        <v>Cozumel Emerald</v>
      </c>
      <c r="E1014" s="3" t="str">
        <f>VLOOKUP(B1014,LifeList!$E$2:$G$2038,2)</f>
        <v>Émeraude de Cozumel</v>
      </c>
      <c r="F1014" s="3" t="str">
        <f>VLOOKUP(B1014,LifeList!$E$2:$G$2038,3)</f>
        <v>Cynanthus forficatus</v>
      </c>
      <c r="G1014" s="3" t="str">
        <f>VLOOKUP(B1014,LifeList!$E$2:$I$2038,4)</f>
        <v>Apodiformes</v>
      </c>
      <c r="H1014" s="3" t="str">
        <f>VLOOKUP(B1014,LifeList!$E$2:$I$2038,5)</f>
        <v>Trochilidae (Hummingbirds)</v>
      </c>
      <c r="I1014" s="3"/>
    </row>
    <row r="1015" spans="1:9" ht="10.5" customHeight="1">
      <c r="A1015" s="7" t="s">
        <v>1464</v>
      </c>
      <c r="B1015" s="9" t="s">
        <v>1465</v>
      </c>
      <c r="C1015" s="3">
        <f>VLOOKUP(B1015,LifeList!$E$2:$J$2038,6)</f>
        <v>19191</v>
      </c>
      <c r="D1015" s="3" t="str">
        <f>VLOOKUP(B1015,LifeList!$E$2:$G$2038,1)</f>
        <v>Cozumel Vireo</v>
      </c>
      <c r="E1015" s="3" t="str">
        <f>VLOOKUP(B1015,LifeList!$E$2:$G$2038,2)</f>
        <v>Viréo de Cozumel</v>
      </c>
      <c r="F1015" s="3" t="str">
        <f>VLOOKUP(B1015,LifeList!$E$2:$G$2038,3)</f>
        <v>Vireo bairdi</v>
      </c>
      <c r="G1015" s="3" t="str">
        <f>VLOOKUP(B1015,LifeList!$E$2:$I$2038,4)</f>
        <v>Passeriformes</v>
      </c>
      <c r="H1015" s="3" t="str">
        <f>VLOOKUP(B1015,LifeList!$E$2:$I$2038,5)</f>
        <v>Vireonidae (Vireos, Shrike-Babblers, and Erpornis)</v>
      </c>
      <c r="I1015" s="3"/>
    </row>
    <row r="1016" spans="1:9" ht="10.5" customHeight="1">
      <c r="A1016" s="3" t="s">
        <v>1466</v>
      </c>
      <c r="B1016" s="3" t="s">
        <v>1467</v>
      </c>
      <c r="C1016" s="3">
        <f>VLOOKUP(B1016,LifeList!$E$2:$J$2038,6)</f>
        <v>6306</v>
      </c>
      <c r="D1016" s="3" t="str">
        <f>VLOOKUP(B1016,LifeList!$E$2:$G$2038,1)</f>
        <v>Crab-Plover</v>
      </c>
      <c r="E1016" s="3" t="str">
        <f>VLOOKUP(B1016,LifeList!$E$2:$G$2038,2)</f>
        <v>Drome ardéole</v>
      </c>
      <c r="F1016" s="3" t="str">
        <f>VLOOKUP(B1016,LifeList!$E$2:$G$2038,3)</f>
        <v>Dromas ardeola</v>
      </c>
      <c r="G1016" s="3" t="str">
        <f>VLOOKUP(B1016,LifeList!$E$2:$I$2038,4)</f>
        <v>Charadriiformes</v>
      </c>
      <c r="H1016" s="3" t="str">
        <f>VLOOKUP(B1016,LifeList!$E$2:$I$2038,5)</f>
        <v>Dromadidae (Crab-Plover)</v>
      </c>
      <c r="I1016" s="3"/>
    </row>
    <row r="1017" spans="1:9" ht="10.5" customHeight="1">
      <c r="A1017" s="3" t="s">
        <v>1468</v>
      </c>
      <c r="B1017" s="3" t="s">
        <v>1467</v>
      </c>
      <c r="C1017" s="3">
        <f>VLOOKUP(B1017,LifeList!$E$2:$J$2038,6)</f>
        <v>6306</v>
      </c>
      <c r="D1017" s="3" t="str">
        <f>VLOOKUP(B1017,LifeList!$E$2:$G$2038,1)</f>
        <v>Crab-Plover</v>
      </c>
      <c r="E1017" s="3" t="str">
        <f>VLOOKUP(B1017,LifeList!$E$2:$G$2038,2)</f>
        <v>Drome ardéole</v>
      </c>
      <c r="F1017" s="3" t="str">
        <f>VLOOKUP(B1017,LifeList!$E$2:$G$2038,3)</f>
        <v>Dromas ardeola</v>
      </c>
      <c r="G1017" s="3" t="str">
        <f>VLOOKUP(B1017,LifeList!$E$2:$I$2038,4)</f>
        <v>Charadriiformes</v>
      </c>
      <c r="H1017" s="3" t="str">
        <f>VLOOKUP(B1017,LifeList!$E$2:$I$2038,5)</f>
        <v>Dromadidae (Crab-Plover)</v>
      </c>
      <c r="I1017" s="3"/>
    </row>
    <row r="1018" spans="1:9" ht="10.5" customHeight="1">
      <c r="A1018" s="5" t="s">
        <v>1469</v>
      </c>
      <c r="B1018" s="3" t="s">
        <v>1470</v>
      </c>
      <c r="C1018" s="3">
        <f>VLOOKUP(B1018,LifeList!$E$2:$J$2038,6)</f>
        <v>6306</v>
      </c>
      <c r="D1018" s="3" t="str">
        <f>VLOOKUP(B1018,LifeList!$E$2:$G$2038,1)</f>
        <v>Crab-Plover</v>
      </c>
      <c r="E1018" s="3" t="str">
        <f>VLOOKUP(B1018,LifeList!$E$2:$G$2038,2)</f>
        <v>Drome ardéole</v>
      </c>
      <c r="F1018" s="3" t="str">
        <f>VLOOKUP(B1018,LifeList!$E$2:$G$2038,3)</f>
        <v>Dromas ardeola</v>
      </c>
      <c r="G1018" s="3" t="str">
        <f>VLOOKUP(B1018,LifeList!$E$2:$I$2038,4)</f>
        <v>Charadriiformes</v>
      </c>
      <c r="H1018" s="3" t="str">
        <f>VLOOKUP(B1018,LifeList!$E$2:$I$2038,5)</f>
        <v>Dromadidae (Crab-Plover)</v>
      </c>
      <c r="I1018" s="3"/>
    </row>
    <row r="1019" spans="1:9" ht="10.5" customHeight="1">
      <c r="A1019" s="3" t="s">
        <v>1471</v>
      </c>
      <c r="B1019" s="3" t="s">
        <v>1472</v>
      </c>
      <c r="C1019" s="3">
        <f>VLOOKUP(B1019,LifeList!$E$2:$J$2038,6)</f>
        <v>18099</v>
      </c>
      <c r="D1019" s="3" t="str">
        <f>VLOOKUP(B1019,LifeList!$E$2:$G$2038,1)</f>
        <v>Crescent Honeyeater</v>
      </c>
      <c r="E1019" s="3" t="str">
        <f>VLOOKUP(B1019,LifeList!$E$2:$G$2038,2)</f>
        <v>Méliphage à croissants</v>
      </c>
      <c r="F1019" s="3" t="str">
        <f>VLOOKUP(B1019,LifeList!$E$2:$G$2038,3)</f>
        <v>Phylidonyris pyrrhopterus</v>
      </c>
      <c r="G1019" s="3" t="str">
        <f>VLOOKUP(B1019,LifeList!$E$2:$I$2038,4)</f>
        <v>Passeriformes</v>
      </c>
      <c r="H1019" s="3" t="str">
        <f>VLOOKUP(B1019,LifeList!$E$2:$I$2038,5)</f>
        <v>Meliphagidae (Honeyeaters)</v>
      </c>
      <c r="I1019" s="3"/>
    </row>
    <row r="1020" spans="1:9" ht="10.5" customHeight="1">
      <c r="A1020" s="3" t="s">
        <v>1473</v>
      </c>
      <c r="B1020" s="3" t="s">
        <v>1474</v>
      </c>
      <c r="C1020" s="3">
        <f>VLOOKUP(B1020,LifeList!$E$2:$J$2038,6)</f>
        <v>10535</v>
      </c>
      <c r="D1020" s="3" t="str">
        <f>VLOOKUP(B1020,LifeList!$E$2:$G$2038,1)</f>
        <v>Crested Barbet</v>
      </c>
      <c r="E1020" s="3" t="str">
        <f>VLOOKUP(B1020,LifeList!$E$2:$G$2038,2)</f>
        <v>Barbican promépic</v>
      </c>
      <c r="F1020" s="3" t="str">
        <f>VLOOKUP(B1020,LifeList!$E$2:$G$2038,3)</f>
        <v>Trachyphonus vaillantii</v>
      </c>
      <c r="G1020" s="3" t="str">
        <f>VLOOKUP(B1020,LifeList!$E$2:$I$2038,4)</f>
        <v>Piciformes</v>
      </c>
      <c r="H1020" s="3" t="str">
        <f>VLOOKUP(B1020,LifeList!$E$2:$I$2038,5)</f>
        <v>Lybiidae (African Barbets)</v>
      </c>
      <c r="I1020" s="3"/>
    </row>
    <row r="1021" spans="1:9" ht="10.5" customHeight="1">
      <c r="A1021" s="7" t="s">
        <v>1475</v>
      </c>
      <c r="B1021" s="8" t="s">
        <v>1476</v>
      </c>
      <c r="C1021" s="3">
        <f>VLOOKUP(B1021,LifeList!$E$2:$J$2038,6)</f>
        <v>18989</v>
      </c>
      <c r="D1021" s="3" t="str">
        <f>VLOOKUP(B1021,LifeList!$E$2:$G$2038,1)</f>
        <v>Crested Bellbird</v>
      </c>
      <c r="E1021" s="3" t="str">
        <f>VLOOKUP(B1021,LifeList!$E$2:$G$2038,2)</f>
        <v>Carillonneur huppé</v>
      </c>
      <c r="F1021" s="3" t="str">
        <f>VLOOKUP(B1021,LifeList!$E$2:$G$2038,3)</f>
        <v>Oreoica gutturalis</v>
      </c>
      <c r="G1021" s="3" t="str">
        <f>VLOOKUP(B1021,LifeList!$E$2:$I$2038,4)</f>
        <v>Passeriformes</v>
      </c>
      <c r="H1021" s="3" t="str">
        <f>VLOOKUP(B1021,LifeList!$E$2:$I$2038,5)</f>
        <v>Oreoicidae (Australo-Papuan Bellbirds)</v>
      </c>
      <c r="I1021" s="3"/>
    </row>
    <row r="1022" spans="1:9" ht="10.5" customHeight="1">
      <c r="A1022" s="3" t="s">
        <v>1477</v>
      </c>
      <c r="B1022" s="3" t="s">
        <v>1478</v>
      </c>
      <c r="C1022" s="3">
        <f>VLOOKUP(B1022,LifeList!$E$2:$J$2038,6)</f>
        <v>11962</v>
      </c>
      <c r="D1022" s="3" t="str">
        <f>VLOOKUP(B1022,LifeList!$E$2:$G$2038,1)</f>
        <v>Crested Caracara</v>
      </c>
      <c r="E1022" s="3" t="str">
        <f>VLOOKUP(B1022,LifeList!$E$2:$G$2038,2)</f>
        <v>Caracara huppé</v>
      </c>
      <c r="F1022" s="3" t="str">
        <f>VLOOKUP(B1022,LifeList!$E$2:$G$2038,3)</f>
        <v>Caracara plancus</v>
      </c>
      <c r="G1022" s="3" t="str">
        <f>VLOOKUP(B1022,LifeList!$E$2:$I$2038,4)</f>
        <v>Falconiformes</v>
      </c>
      <c r="H1022" s="3" t="str">
        <f>VLOOKUP(B1022,LifeList!$E$2:$I$2038,5)</f>
        <v>Falconidae (Falcons and Caracaras)</v>
      </c>
      <c r="I1022" s="3"/>
    </row>
    <row r="1023" spans="1:9" ht="10.5" customHeight="1">
      <c r="A1023" s="3" t="s">
        <v>1479</v>
      </c>
      <c r="B1023" s="3" t="s">
        <v>1478</v>
      </c>
      <c r="C1023" s="3">
        <f>VLOOKUP(B1023,LifeList!$E$2:$J$2038,6)</f>
        <v>11962</v>
      </c>
      <c r="D1023" s="3" t="str">
        <f>VLOOKUP(B1023,LifeList!$E$2:$G$2038,1)</f>
        <v>Crested Caracara</v>
      </c>
      <c r="E1023" s="3" t="str">
        <f>VLOOKUP(B1023,LifeList!$E$2:$G$2038,2)</f>
        <v>Caracara huppé</v>
      </c>
      <c r="F1023" s="3" t="str">
        <f>VLOOKUP(B1023,LifeList!$E$2:$G$2038,3)</f>
        <v>Caracara plancus</v>
      </c>
      <c r="G1023" s="3" t="str">
        <f>VLOOKUP(B1023,LifeList!$E$2:$I$2038,4)</f>
        <v>Falconiformes</v>
      </c>
      <c r="H1023" s="3" t="str">
        <f>VLOOKUP(B1023,LifeList!$E$2:$I$2038,5)</f>
        <v>Falconidae (Falcons and Caracaras)</v>
      </c>
      <c r="I1023" s="3"/>
    </row>
    <row r="1024" spans="1:9" ht="10.5" customHeight="1">
      <c r="A1024" s="3" t="s">
        <v>1480</v>
      </c>
      <c r="B1024" s="3" t="s">
        <v>1478</v>
      </c>
      <c r="C1024" s="3">
        <f>VLOOKUP(B1024,LifeList!$E$2:$J$2038,6)</f>
        <v>11962</v>
      </c>
      <c r="D1024" s="3" t="str">
        <f>VLOOKUP(B1024,LifeList!$E$2:$G$2038,1)</f>
        <v>Crested Caracara</v>
      </c>
      <c r="E1024" s="3" t="str">
        <f>VLOOKUP(B1024,LifeList!$E$2:$G$2038,2)</f>
        <v>Caracara huppé</v>
      </c>
      <c r="F1024" s="3" t="str">
        <f>VLOOKUP(B1024,LifeList!$E$2:$G$2038,3)</f>
        <v>Caracara plancus</v>
      </c>
      <c r="G1024" s="3" t="str">
        <f>VLOOKUP(B1024,LifeList!$E$2:$I$2038,4)</f>
        <v>Falconiformes</v>
      </c>
      <c r="H1024" s="3" t="str">
        <f>VLOOKUP(B1024,LifeList!$E$2:$I$2038,5)</f>
        <v>Falconidae (Falcons and Caracaras)</v>
      </c>
      <c r="I1024" s="3"/>
    </row>
    <row r="1025" spans="1:9" ht="10.5" customHeight="1">
      <c r="A1025" s="3" t="s">
        <v>1481</v>
      </c>
      <c r="B1025" s="3" t="s">
        <v>1478</v>
      </c>
      <c r="C1025" s="3">
        <f>VLOOKUP(B1025,LifeList!$E$2:$J$2038,6)</f>
        <v>11962</v>
      </c>
      <c r="D1025" s="3" t="str">
        <f>VLOOKUP(B1025,LifeList!$E$2:$G$2038,1)</f>
        <v>Crested Caracara</v>
      </c>
      <c r="E1025" s="3" t="str">
        <f>VLOOKUP(B1025,LifeList!$E$2:$G$2038,2)</f>
        <v>Caracara huppé</v>
      </c>
      <c r="F1025" s="3" t="str">
        <f>VLOOKUP(B1025,LifeList!$E$2:$G$2038,3)</f>
        <v>Caracara plancus</v>
      </c>
      <c r="G1025" s="3" t="str">
        <f>VLOOKUP(B1025,LifeList!$E$2:$I$2038,4)</f>
        <v>Falconiformes</v>
      </c>
      <c r="H1025" s="3" t="str">
        <f>VLOOKUP(B1025,LifeList!$E$2:$I$2038,5)</f>
        <v>Falconidae (Falcons and Caracaras)</v>
      </c>
      <c r="I1025" s="3"/>
    </row>
    <row r="1026" spans="1:9" ht="10.5" customHeight="1">
      <c r="A1026" s="3" t="s">
        <v>1482</v>
      </c>
      <c r="B1026" s="3" t="s">
        <v>1478</v>
      </c>
      <c r="C1026" s="3">
        <f>VLOOKUP(B1026,LifeList!$E$2:$J$2038,6)</f>
        <v>11962</v>
      </c>
      <c r="D1026" s="3" t="str">
        <f>VLOOKUP(B1026,LifeList!$E$2:$G$2038,1)</f>
        <v>Crested Caracara</v>
      </c>
      <c r="E1026" s="3" t="str">
        <f>VLOOKUP(B1026,LifeList!$E$2:$G$2038,2)</f>
        <v>Caracara huppé</v>
      </c>
      <c r="F1026" s="3" t="str">
        <f>VLOOKUP(B1026,LifeList!$E$2:$G$2038,3)</f>
        <v>Caracara plancus</v>
      </c>
      <c r="G1026" s="3" t="str">
        <f>VLOOKUP(B1026,LifeList!$E$2:$I$2038,4)</f>
        <v>Falconiformes</v>
      </c>
      <c r="H1026" s="3" t="str">
        <f>VLOOKUP(B1026,LifeList!$E$2:$I$2038,5)</f>
        <v>Falconidae (Falcons and Caracaras)</v>
      </c>
      <c r="I1026" s="3"/>
    </row>
    <row r="1027" spans="1:9" ht="10.5" customHeight="1">
      <c r="A1027" s="3" t="s">
        <v>1483</v>
      </c>
      <c r="B1027" s="3" t="s">
        <v>1478</v>
      </c>
      <c r="C1027" s="3">
        <f>VLOOKUP(B1027,LifeList!$E$2:$J$2038,6)</f>
        <v>11962</v>
      </c>
      <c r="D1027" s="3" t="str">
        <f>VLOOKUP(B1027,LifeList!$E$2:$G$2038,1)</f>
        <v>Crested Caracara</v>
      </c>
      <c r="E1027" s="3" t="str">
        <f>VLOOKUP(B1027,LifeList!$E$2:$G$2038,2)</f>
        <v>Caracara huppé</v>
      </c>
      <c r="F1027" s="3" t="str">
        <f>VLOOKUP(B1027,LifeList!$E$2:$G$2038,3)</f>
        <v>Caracara plancus</v>
      </c>
      <c r="G1027" s="3" t="str">
        <f>VLOOKUP(B1027,LifeList!$E$2:$I$2038,4)</f>
        <v>Falconiformes</v>
      </c>
      <c r="H1027" s="3" t="str">
        <f>VLOOKUP(B1027,LifeList!$E$2:$I$2038,5)</f>
        <v>Falconidae (Falcons and Caracaras)</v>
      </c>
      <c r="I1027" s="3"/>
    </row>
    <row r="1028" spans="1:9" ht="10.5" customHeight="1">
      <c r="A1028" s="7" t="s">
        <v>1484</v>
      </c>
      <c r="B1028" s="8" t="s">
        <v>1485</v>
      </c>
      <c r="C1028" s="3">
        <f>VLOOKUP(B1028,LifeList!$E$2:$J$2038,6)</f>
        <v>11962</v>
      </c>
      <c r="D1028" s="3" t="str">
        <f>VLOOKUP(B1028,LifeList!$E$2:$G$2038,1)</f>
        <v>Crested Caracara</v>
      </c>
      <c r="E1028" s="3" t="str">
        <f>VLOOKUP(B1028,LifeList!$E$2:$G$2038,2)</f>
        <v>Caracara huppé</v>
      </c>
      <c r="F1028" s="3" t="str">
        <f>VLOOKUP(B1028,LifeList!$E$2:$G$2038,3)</f>
        <v>Caracara plancus</v>
      </c>
      <c r="G1028" s="3" t="str">
        <f>VLOOKUP(B1028,LifeList!$E$2:$I$2038,4)</f>
        <v>Falconiformes</v>
      </c>
      <c r="H1028" s="3" t="str">
        <f>VLOOKUP(B1028,LifeList!$E$2:$I$2038,5)</f>
        <v>Falconidae (Falcons and Caracaras)</v>
      </c>
      <c r="I1028" s="3"/>
    </row>
    <row r="1029" spans="1:9" ht="10.5" customHeight="1">
      <c r="A1029" s="7" t="s">
        <v>1486</v>
      </c>
      <c r="B1029" s="8" t="s">
        <v>1485</v>
      </c>
      <c r="C1029" s="3">
        <f>VLOOKUP(B1029,LifeList!$E$2:$J$2038,6)</f>
        <v>11962</v>
      </c>
      <c r="D1029" s="3" t="str">
        <f>VLOOKUP(B1029,LifeList!$E$2:$G$2038,1)</f>
        <v>Crested Caracara</v>
      </c>
      <c r="E1029" s="3" t="str">
        <f>VLOOKUP(B1029,LifeList!$E$2:$G$2038,2)</f>
        <v>Caracara huppé</v>
      </c>
      <c r="F1029" s="3" t="str">
        <f>VLOOKUP(B1029,LifeList!$E$2:$G$2038,3)</f>
        <v>Caracara plancus</v>
      </c>
      <c r="G1029" s="3" t="str">
        <f>VLOOKUP(B1029,LifeList!$E$2:$I$2038,4)</f>
        <v>Falconiformes</v>
      </c>
      <c r="H1029" s="3" t="str">
        <f>VLOOKUP(B1029,LifeList!$E$2:$I$2038,5)</f>
        <v>Falconidae (Falcons and Caracaras)</v>
      </c>
      <c r="I1029" s="3"/>
    </row>
    <row r="1030" spans="1:9" ht="10.5" customHeight="1">
      <c r="A1030" s="3" t="s">
        <v>1487</v>
      </c>
      <c r="B1030" s="3" t="s">
        <v>1488</v>
      </c>
      <c r="C1030" s="3">
        <f>VLOOKUP(B1030,LifeList!$E$2:$J$2038,6)</f>
        <v>3058</v>
      </c>
      <c r="D1030" s="3" t="str">
        <f>VLOOKUP(B1030,LifeList!$E$2:$G$2038,1)</f>
        <v>Crested Coua</v>
      </c>
      <c r="E1030" s="3" t="str">
        <f>VLOOKUP(B1030,LifeList!$E$2:$G$2038,2)</f>
        <v>Coua huppé</v>
      </c>
      <c r="F1030" s="3" t="str">
        <f>VLOOKUP(B1030,LifeList!$E$2:$G$2038,3)</f>
        <v>Coua cristata</v>
      </c>
      <c r="G1030" s="3" t="str">
        <f>VLOOKUP(B1030,LifeList!$E$2:$I$2038,4)</f>
        <v>Cuculiformes</v>
      </c>
      <c r="H1030" s="3" t="str">
        <f>VLOOKUP(B1030,LifeList!$E$2:$I$2038,5)</f>
        <v>Cuculidae (Cuckoos)</v>
      </c>
      <c r="I1030" s="3"/>
    </row>
    <row r="1031" spans="1:9" ht="10.5" customHeight="1">
      <c r="A1031" s="3" t="s">
        <v>1489</v>
      </c>
      <c r="B1031" s="3" t="s">
        <v>1488</v>
      </c>
      <c r="C1031" s="3">
        <f>VLOOKUP(B1031,LifeList!$E$2:$J$2038,6)</f>
        <v>3058</v>
      </c>
      <c r="D1031" s="3" t="str">
        <f>VLOOKUP(B1031,LifeList!$E$2:$G$2038,1)</f>
        <v>Crested Coua</v>
      </c>
      <c r="E1031" s="3" t="str">
        <f>VLOOKUP(B1031,LifeList!$E$2:$G$2038,2)</f>
        <v>Coua huppé</v>
      </c>
      <c r="F1031" s="3" t="str">
        <f>VLOOKUP(B1031,LifeList!$E$2:$G$2038,3)</f>
        <v>Coua cristata</v>
      </c>
      <c r="G1031" s="3" t="str">
        <f>VLOOKUP(B1031,LifeList!$E$2:$I$2038,4)</f>
        <v>Cuculiformes</v>
      </c>
      <c r="H1031" s="3" t="str">
        <f>VLOOKUP(B1031,LifeList!$E$2:$I$2038,5)</f>
        <v>Cuculidae (Cuckoos)</v>
      </c>
      <c r="I1031" s="3"/>
    </row>
    <row r="1032" spans="1:9" ht="10.5" customHeight="1">
      <c r="A1032" s="7" t="s">
        <v>1490</v>
      </c>
      <c r="B1032" s="8" t="s">
        <v>1491</v>
      </c>
      <c r="C1032" s="3">
        <f>VLOOKUP(B1032,LifeList!$E$2:$J$2038,6)</f>
        <v>20430</v>
      </c>
      <c r="D1032" s="3" t="str">
        <f>VLOOKUP(B1032,LifeList!$E$2:$G$2038,1)</f>
        <v>Crested Drongo</v>
      </c>
      <c r="E1032" s="3" t="str">
        <f>VLOOKUP(B1032,LifeList!$E$2:$G$2038,2)</f>
        <v>Drongo malgache</v>
      </c>
      <c r="F1032" s="3" t="str">
        <f>VLOOKUP(B1032,LifeList!$E$2:$G$2038,3)</f>
        <v>Dicrurus forficatus</v>
      </c>
      <c r="G1032" s="3" t="str">
        <f>VLOOKUP(B1032,LifeList!$E$2:$I$2038,4)</f>
        <v>Passeriformes</v>
      </c>
      <c r="H1032" s="3" t="str">
        <f>VLOOKUP(B1032,LifeList!$E$2:$I$2038,5)</f>
        <v>Dicruridae (Drongos)</v>
      </c>
      <c r="I1032" s="3"/>
    </row>
    <row r="1033" spans="1:9" ht="10.5" customHeight="1">
      <c r="A1033" s="7" t="s">
        <v>1492</v>
      </c>
      <c r="B1033" s="8" t="s">
        <v>1491</v>
      </c>
      <c r="C1033" s="3">
        <f>VLOOKUP(B1033,LifeList!$E$2:$J$2038,6)</f>
        <v>20430</v>
      </c>
      <c r="D1033" s="3" t="str">
        <f>VLOOKUP(B1033,LifeList!$E$2:$G$2038,1)</f>
        <v>Crested Drongo</v>
      </c>
      <c r="E1033" s="3" t="str">
        <f>VLOOKUP(B1033,LifeList!$E$2:$G$2038,2)</f>
        <v>Drongo malgache</v>
      </c>
      <c r="F1033" s="3" t="str">
        <f>VLOOKUP(B1033,LifeList!$E$2:$G$2038,3)</f>
        <v>Dicrurus forficatus</v>
      </c>
      <c r="G1033" s="3" t="str">
        <f>VLOOKUP(B1033,LifeList!$E$2:$I$2038,4)</f>
        <v>Passeriformes</v>
      </c>
      <c r="H1033" s="3" t="str">
        <f>VLOOKUP(B1033,LifeList!$E$2:$I$2038,5)</f>
        <v>Dicruridae (Drongos)</v>
      </c>
      <c r="I1033" s="3"/>
    </row>
    <row r="1034" spans="1:9" ht="10.5" customHeight="1">
      <c r="A1034" s="3" t="s">
        <v>1493</v>
      </c>
      <c r="B1034" s="3" t="s">
        <v>1494</v>
      </c>
      <c r="C1034" s="3">
        <f>VLOOKUP(B1034,LifeList!$E$2:$J$2038,6)</f>
        <v>20430</v>
      </c>
      <c r="D1034" s="3" t="str">
        <f>VLOOKUP(B1034,LifeList!$E$2:$G$2038,1)</f>
        <v>Crested Drongo</v>
      </c>
      <c r="E1034" s="3" t="str">
        <f>VLOOKUP(B1034,LifeList!$E$2:$G$2038,2)</f>
        <v>Drongo malgache</v>
      </c>
      <c r="F1034" s="3" t="str">
        <f>VLOOKUP(B1034,LifeList!$E$2:$G$2038,3)</f>
        <v>Dicrurus forficatus</v>
      </c>
      <c r="G1034" s="3" t="str">
        <f>VLOOKUP(B1034,LifeList!$E$2:$I$2038,4)</f>
        <v>Passeriformes</v>
      </c>
      <c r="H1034" s="3" t="str">
        <f>VLOOKUP(B1034,LifeList!$E$2:$I$2038,5)</f>
        <v>Dicruridae (Drongos)</v>
      </c>
      <c r="I1034" s="3"/>
    </row>
    <row r="1035" spans="1:9" ht="10.5" customHeight="1">
      <c r="A1035" s="3" t="s">
        <v>1495</v>
      </c>
      <c r="B1035" s="3" t="s">
        <v>1494</v>
      </c>
      <c r="C1035" s="3">
        <f>VLOOKUP(B1035,LifeList!$E$2:$J$2038,6)</f>
        <v>20430</v>
      </c>
      <c r="D1035" s="3" t="str">
        <f>VLOOKUP(B1035,LifeList!$E$2:$G$2038,1)</f>
        <v>Crested Drongo</v>
      </c>
      <c r="E1035" s="3" t="str">
        <f>VLOOKUP(B1035,LifeList!$E$2:$G$2038,2)</f>
        <v>Drongo malgache</v>
      </c>
      <c r="F1035" s="3" t="str">
        <f>VLOOKUP(B1035,LifeList!$E$2:$G$2038,3)</f>
        <v>Dicrurus forficatus</v>
      </c>
      <c r="G1035" s="3" t="str">
        <f>VLOOKUP(B1035,LifeList!$E$2:$I$2038,4)</f>
        <v>Passeriformes</v>
      </c>
      <c r="H1035" s="3" t="str">
        <f>VLOOKUP(B1035,LifeList!$E$2:$I$2038,5)</f>
        <v>Dicruridae (Drongos)</v>
      </c>
      <c r="I1035" s="3"/>
    </row>
    <row r="1036" spans="1:9" ht="10.5" customHeight="1">
      <c r="A1036" s="3" t="s">
        <v>1496</v>
      </c>
      <c r="B1036" s="3" t="s">
        <v>1494</v>
      </c>
      <c r="C1036" s="3">
        <f>VLOOKUP(B1036,LifeList!$E$2:$J$2038,6)</f>
        <v>20430</v>
      </c>
      <c r="D1036" s="3" t="str">
        <f>VLOOKUP(B1036,LifeList!$E$2:$G$2038,1)</f>
        <v>Crested Drongo</v>
      </c>
      <c r="E1036" s="3" t="str">
        <f>VLOOKUP(B1036,LifeList!$E$2:$G$2038,2)</f>
        <v>Drongo malgache</v>
      </c>
      <c r="F1036" s="3" t="str">
        <f>VLOOKUP(B1036,LifeList!$E$2:$G$2038,3)</f>
        <v>Dicrurus forficatus</v>
      </c>
      <c r="G1036" s="3" t="str">
        <f>VLOOKUP(B1036,LifeList!$E$2:$I$2038,4)</f>
        <v>Passeriformes</v>
      </c>
      <c r="H1036" s="3" t="str">
        <f>VLOOKUP(B1036,LifeList!$E$2:$I$2038,5)</f>
        <v>Dicruridae (Drongos)</v>
      </c>
      <c r="I1036" s="3"/>
    </row>
    <row r="1037" spans="1:9" ht="10.5" customHeight="1">
      <c r="A1037" s="3" t="s">
        <v>1497</v>
      </c>
      <c r="B1037" s="3" t="s">
        <v>1498</v>
      </c>
      <c r="C1037" s="3">
        <f>VLOOKUP(B1037,LifeList!$E$2:$J$2038,6)</f>
        <v>8083</v>
      </c>
      <c r="D1037" s="3" t="str">
        <f>VLOOKUP(B1037,LifeList!$E$2:$G$2038,1)</f>
        <v>Crested Eagle</v>
      </c>
      <c r="E1037" s="3" t="str">
        <f>VLOOKUP(B1037,LifeList!$E$2:$G$2038,2)</f>
        <v>Harpie huppée</v>
      </c>
      <c r="F1037" s="3" t="str">
        <f>VLOOKUP(B1037,LifeList!$E$2:$G$2038,3)</f>
        <v>Morphnus guianensis</v>
      </c>
      <c r="G1037" s="3" t="str">
        <f>VLOOKUP(B1037,LifeList!$E$2:$I$2038,4)</f>
        <v>Accipitriformes</v>
      </c>
      <c r="H1037" s="3" t="str">
        <f>VLOOKUP(B1037,LifeList!$E$2:$I$2038,5)</f>
        <v>Accipitridae (Hawks, Eagles, and Kites)</v>
      </c>
      <c r="I1037" s="3"/>
    </row>
    <row r="1038" spans="1:9" ht="10.5" customHeight="1">
      <c r="A1038" s="3" t="s">
        <v>1499</v>
      </c>
      <c r="B1038" s="3" t="s">
        <v>1498</v>
      </c>
      <c r="C1038" s="3">
        <f>VLOOKUP(B1038,LifeList!$E$2:$J$2038,6)</f>
        <v>8083</v>
      </c>
      <c r="D1038" s="3" t="str">
        <f>VLOOKUP(B1038,LifeList!$E$2:$G$2038,1)</f>
        <v>Crested Eagle</v>
      </c>
      <c r="E1038" s="3" t="str">
        <f>VLOOKUP(B1038,LifeList!$E$2:$G$2038,2)</f>
        <v>Harpie huppée</v>
      </c>
      <c r="F1038" s="3" t="str">
        <f>VLOOKUP(B1038,LifeList!$E$2:$G$2038,3)</f>
        <v>Morphnus guianensis</v>
      </c>
      <c r="G1038" s="3" t="str">
        <f>VLOOKUP(B1038,LifeList!$E$2:$I$2038,4)</f>
        <v>Accipitriformes</v>
      </c>
      <c r="H1038" s="3" t="str">
        <f>VLOOKUP(B1038,LifeList!$E$2:$I$2038,5)</f>
        <v>Accipitridae (Hawks, Eagles, and Kites)</v>
      </c>
      <c r="I1038" s="3"/>
    </row>
    <row r="1039" spans="1:9" ht="10.5" customHeight="1">
      <c r="A1039" s="3" t="s">
        <v>1500</v>
      </c>
      <c r="B1039" s="3" t="s">
        <v>1501</v>
      </c>
      <c r="C1039" s="3">
        <f>VLOOKUP(B1039,LifeList!$E$2:$J$2038,6)</f>
        <v>1632</v>
      </c>
      <c r="D1039" s="3" t="str">
        <f>VLOOKUP(B1039,LifeList!$E$2:$G$2038,1)</f>
        <v>Crested Francolin</v>
      </c>
      <c r="E1039" s="3" t="str">
        <f>VLOOKUP(B1039,LifeList!$E$2:$G$2038,2)</f>
        <v>Francolin huppé</v>
      </c>
      <c r="F1039" s="3" t="str">
        <f>VLOOKUP(B1039,LifeList!$E$2:$G$2038,3)</f>
        <v>Ortygornis sephaena</v>
      </c>
      <c r="G1039" s="3" t="str">
        <f>VLOOKUP(B1039,LifeList!$E$2:$I$2038,4)</f>
        <v>Galliformes</v>
      </c>
      <c r="H1039" s="3" t="str">
        <f>VLOOKUP(B1039,LifeList!$E$2:$I$2038,5)</f>
        <v>Phasianidae (Pheasants, Grouse, and Allies)</v>
      </c>
      <c r="I1039" s="3"/>
    </row>
    <row r="1040" spans="1:9" ht="10.5" customHeight="1">
      <c r="A1040" s="3" t="s">
        <v>1502</v>
      </c>
      <c r="B1040" s="3" t="s">
        <v>1501</v>
      </c>
      <c r="C1040" s="3">
        <f>VLOOKUP(B1040,LifeList!$E$2:$J$2038,6)</f>
        <v>1632</v>
      </c>
      <c r="D1040" s="3" t="str">
        <f>VLOOKUP(B1040,LifeList!$E$2:$G$2038,1)</f>
        <v>Crested Francolin</v>
      </c>
      <c r="E1040" s="3" t="str">
        <f>VLOOKUP(B1040,LifeList!$E$2:$G$2038,2)</f>
        <v>Francolin huppé</v>
      </c>
      <c r="F1040" s="3" t="str">
        <f>VLOOKUP(B1040,LifeList!$E$2:$G$2038,3)</f>
        <v>Ortygornis sephaena</v>
      </c>
      <c r="G1040" s="3" t="str">
        <f>VLOOKUP(B1040,LifeList!$E$2:$I$2038,4)</f>
        <v>Galliformes</v>
      </c>
      <c r="H1040" s="3" t="str">
        <f>VLOOKUP(B1040,LifeList!$E$2:$I$2038,5)</f>
        <v>Phasianidae (Pheasants, Grouse, and Allies)</v>
      </c>
      <c r="I1040" s="3"/>
    </row>
    <row r="1041" spans="1:9" ht="10.5" customHeight="1">
      <c r="A1041" s="3" t="s">
        <v>1503</v>
      </c>
      <c r="B1041" s="3" t="s">
        <v>1504</v>
      </c>
      <c r="C1041" s="3">
        <f>VLOOKUP(B1041,LifeList!$E$2:$J$2038,6)</f>
        <v>884</v>
      </c>
      <c r="D1041" s="3" t="str">
        <f>VLOOKUP(B1041,LifeList!$E$2:$G$2038,1)</f>
        <v>Crested Guan</v>
      </c>
      <c r="E1041" s="3" t="str">
        <f>VLOOKUP(B1041,LifeList!$E$2:$G$2038,2)</f>
        <v>Pénélope panachée</v>
      </c>
      <c r="F1041" s="3" t="str">
        <f>VLOOKUP(B1041,LifeList!$E$2:$G$2038,3)</f>
        <v>Penelope purpurascens</v>
      </c>
      <c r="G1041" s="3" t="str">
        <f>VLOOKUP(B1041,LifeList!$E$2:$I$2038,4)</f>
        <v>Galliformes</v>
      </c>
      <c r="H1041" s="3" t="str">
        <f>VLOOKUP(B1041,LifeList!$E$2:$I$2038,5)</f>
        <v>Cracidae (Guans, Chachalacas, and Curassows)</v>
      </c>
      <c r="I1041" s="3"/>
    </row>
    <row r="1042" spans="1:9" ht="10.5" customHeight="1">
      <c r="A1042" s="3" t="s">
        <v>1505</v>
      </c>
      <c r="B1042" s="3" t="s">
        <v>1504</v>
      </c>
      <c r="C1042" s="3">
        <f>VLOOKUP(B1042,LifeList!$E$2:$J$2038,6)</f>
        <v>884</v>
      </c>
      <c r="D1042" s="3" t="str">
        <f>VLOOKUP(B1042,LifeList!$E$2:$G$2038,1)</f>
        <v>Crested Guan</v>
      </c>
      <c r="E1042" s="3" t="str">
        <f>VLOOKUP(B1042,LifeList!$E$2:$G$2038,2)</f>
        <v>Pénélope panachée</v>
      </c>
      <c r="F1042" s="3" t="str">
        <f>VLOOKUP(B1042,LifeList!$E$2:$G$2038,3)</f>
        <v>Penelope purpurascens</v>
      </c>
      <c r="G1042" s="3" t="str">
        <f>VLOOKUP(B1042,LifeList!$E$2:$I$2038,4)</f>
        <v>Galliformes</v>
      </c>
      <c r="H1042" s="3" t="str">
        <f>VLOOKUP(B1042,LifeList!$E$2:$I$2038,5)</f>
        <v>Cracidae (Guans, Chachalacas, and Curassows)</v>
      </c>
      <c r="I1042" s="3"/>
    </row>
    <row r="1043" spans="1:9" ht="10.5" customHeight="1">
      <c r="A1043" s="3" t="s">
        <v>1506</v>
      </c>
      <c r="B1043" s="3" t="s">
        <v>1504</v>
      </c>
      <c r="C1043" s="3">
        <f>VLOOKUP(B1043,LifeList!$E$2:$J$2038,6)</f>
        <v>884</v>
      </c>
      <c r="D1043" s="3" t="str">
        <f>VLOOKUP(B1043,LifeList!$E$2:$G$2038,1)</f>
        <v>Crested Guan</v>
      </c>
      <c r="E1043" s="3" t="str">
        <f>VLOOKUP(B1043,LifeList!$E$2:$G$2038,2)</f>
        <v>Pénélope panachée</v>
      </c>
      <c r="F1043" s="3" t="str">
        <f>VLOOKUP(B1043,LifeList!$E$2:$G$2038,3)</f>
        <v>Penelope purpurascens</v>
      </c>
      <c r="G1043" s="3" t="str">
        <f>VLOOKUP(B1043,LifeList!$E$2:$I$2038,4)</f>
        <v>Galliformes</v>
      </c>
      <c r="H1043" s="3" t="str">
        <f>VLOOKUP(B1043,LifeList!$E$2:$I$2038,5)</f>
        <v>Cracidae (Guans, Chachalacas, and Curassows)</v>
      </c>
      <c r="I1043" s="3"/>
    </row>
    <row r="1044" spans="1:9" ht="10.5" customHeight="1">
      <c r="A1044" s="3" t="s">
        <v>1507</v>
      </c>
      <c r="B1044" s="3" t="s">
        <v>1508</v>
      </c>
      <c r="C1044" s="3">
        <f>VLOOKUP(B1044,LifeList!$E$2:$J$2038,6)</f>
        <v>33624</v>
      </c>
      <c r="D1044" s="3" t="str">
        <f>VLOOKUP(B1044,LifeList!$E$2:$G$2038,1)</f>
        <v>Crested Oropendola</v>
      </c>
      <c r="E1044" s="3" t="str">
        <f>VLOOKUP(B1044,LifeList!$E$2:$G$2038,2)</f>
        <v>Cassique huppé</v>
      </c>
      <c r="F1044" s="3" t="str">
        <f>VLOOKUP(B1044,LifeList!$E$2:$G$2038,3)</f>
        <v>Psarocolius decumanus</v>
      </c>
      <c r="G1044" s="3" t="str">
        <f>VLOOKUP(B1044,LifeList!$E$2:$I$2038,4)</f>
        <v>Passeriformes</v>
      </c>
      <c r="H1044" s="3" t="str">
        <f>VLOOKUP(B1044,LifeList!$E$2:$I$2038,5)</f>
        <v>Icteridae (Troupials and Allies)</v>
      </c>
      <c r="I1044" s="3"/>
    </row>
    <row r="1045" spans="1:9" ht="10.5" customHeight="1">
      <c r="A1045" s="3" t="s">
        <v>1509</v>
      </c>
      <c r="B1045" s="3" t="s">
        <v>1508</v>
      </c>
      <c r="C1045" s="3">
        <f>VLOOKUP(B1045,LifeList!$E$2:$J$2038,6)</f>
        <v>33624</v>
      </c>
      <c r="D1045" s="3" t="str">
        <f>VLOOKUP(B1045,LifeList!$E$2:$G$2038,1)</f>
        <v>Crested Oropendola</v>
      </c>
      <c r="E1045" s="3" t="str">
        <f>VLOOKUP(B1045,LifeList!$E$2:$G$2038,2)</f>
        <v>Cassique huppé</v>
      </c>
      <c r="F1045" s="3" t="str">
        <f>VLOOKUP(B1045,LifeList!$E$2:$G$2038,3)</f>
        <v>Psarocolius decumanus</v>
      </c>
      <c r="G1045" s="3" t="str">
        <f>VLOOKUP(B1045,LifeList!$E$2:$I$2038,4)</f>
        <v>Passeriformes</v>
      </c>
      <c r="H1045" s="3" t="str">
        <f>VLOOKUP(B1045,LifeList!$E$2:$I$2038,5)</f>
        <v>Icteridae (Troupials and Allies)</v>
      </c>
      <c r="I1045" s="3"/>
    </row>
    <row r="1046" spans="1:9" ht="10.5" customHeight="1">
      <c r="A1046" s="3" t="s">
        <v>1510</v>
      </c>
      <c r="B1046" s="3" t="s">
        <v>1508</v>
      </c>
      <c r="C1046" s="3">
        <f>VLOOKUP(B1046,LifeList!$E$2:$J$2038,6)</f>
        <v>33624</v>
      </c>
      <c r="D1046" s="3" t="str">
        <f>VLOOKUP(B1046,LifeList!$E$2:$G$2038,1)</f>
        <v>Crested Oropendola</v>
      </c>
      <c r="E1046" s="3" t="str">
        <f>VLOOKUP(B1046,LifeList!$E$2:$G$2038,2)</f>
        <v>Cassique huppé</v>
      </c>
      <c r="F1046" s="3" t="str">
        <f>VLOOKUP(B1046,LifeList!$E$2:$G$2038,3)</f>
        <v>Psarocolius decumanus</v>
      </c>
      <c r="G1046" s="3" t="str">
        <f>VLOOKUP(B1046,LifeList!$E$2:$I$2038,4)</f>
        <v>Passeriformes</v>
      </c>
      <c r="H1046" s="3" t="str">
        <f>VLOOKUP(B1046,LifeList!$E$2:$I$2038,5)</f>
        <v>Icteridae (Troupials and Allies)</v>
      </c>
      <c r="I1046" s="3"/>
    </row>
    <row r="1047" spans="1:9" ht="10.5" customHeight="1">
      <c r="A1047" s="3" t="s">
        <v>1511</v>
      </c>
      <c r="B1047" s="3" t="s">
        <v>1508</v>
      </c>
      <c r="C1047" s="3">
        <f>VLOOKUP(B1047,LifeList!$E$2:$J$2038,6)</f>
        <v>33624</v>
      </c>
      <c r="D1047" s="3" t="str">
        <f>VLOOKUP(B1047,LifeList!$E$2:$G$2038,1)</f>
        <v>Crested Oropendola</v>
      </c>
      <c r="E1047" s="3" t="str">
        <f>VLOOKUP(B1047,LifeList!$E$2:$G$2038,2)</f>
        <v>Cassique huppé</v>
      </c>
      <c r="F1047" s="3" t="str">
        <f>VLOOKUP(B1047,LifeList!$E$2:$G$2038,3)</f>
        <v>Psarocolius decumanus</v>
      </c>
      <c r="G1047" s="3" t="str">
        <f>VLOOKUP(B1047,LifeList!$E$2:$I$2038,4)</f>
        <v>Passeriformes</v>
      </c>
      <c r="H1047" s="3" t="str">
        <f>VLOOKUP(B1047,LifeList!$E$2:$I$2038,5)</f>
        <v>Icteridae (Troupials and Allies)</v>
      </c>
      <c r="I1047" s="3"/>
    </row>
    <row r="1048" spans="1:9" ht="10.5" customHeight="1">
      <c r="A1048" s="3" t="s">
        <v>1512</v>
      </c>
      <c r="B1048" s="3" t="s">
        <v>1508</v>
      </c>
      <c r="C1048" s="3">
        <f>VLOOKUP(B1048,LifeList!$E$2:$J$2038,6)</f>
        <v>33624</v>
      </c>
      <c r="D1048" s="3" t="str">
        <f>VLOOKUP(B1048,LifeList!$E$2:$G$2038,1)</f>
        <v>Crested Oropendola</v>
      </c>
      <c r="E1048" s="3" t="str">
        <f>VLOOKUP(B1048,LifeList!$E$2:$G$2038,2)</f>
        <v>Cassique huppé</v>
      </c>
      <c r="F1048" s="3" t="str">
        <f>VLOOKUP(B1048,LifeList!$E$2:$G$2038,3)</f>
        <v>Psarocolius decumanus</v>
      </c>
      <c r="G1048" s="3" t="str">
        <f>VLOOKUP(B1048,LifeList!$E$2:$I$2038,4)</f>
        <v>Passeriformes</v>
      </c>
      <c r="H1048" s="3" t="str">
        <f>VLOOKUP(B1048,LifeList!$E$2:$I$2038,5)</f>
        <v>Icteridae (Troupials and Allies)</v>
      </c>
      <c r="I1048" s="3"/>
    </row>
    <row r="1049" spans="1:9" ht="10.5" customHeight="1">
      <c r="A1049" s="3" t="s">
        <v>1513</v>
      </c>
      <c r="B1049" s="3" t="s">
        <v>1508</v>
      </c>
      <c r="C1049" s="3">
        <f>VLOOKUP(B1049,LifeList!$E$2:$J$2038,6)</f>
        <v>33624</v>
      </c>
      <c r="D1049" s="3" t="str">
        <f>VLOOKUP(B1049,LifeList!$E$2:$G$2038,1)</f>
        <v>Crested Oropendola</v>
      </c>
      <c r="E1049" s="3" t="str">
        <f>VLOOKUP(B1049,LifeList!$E$2:$G$2038,2)</f>
        <v>Cassique huppé</v>
      </c>
      <c r="F1049" s="3" t="str">
        <f>VLOOKUP(B1049,LifeList!$E$2:$G$2038,3)</f>
        <v>Psarocolius decumanus</v>
      </c>
      <c r="G1049" s="3" t="str">
        <f>VLOOKUP(B1049,LifeList!$E$2:$I$2038,4)</f>
        <v>Passeriformes</v>
      </c>
      <c r="H1049" s="3" t="str">
        <f>VLOOKUP(B1049,LifeList!$E$2:$I$2038,5)</f>
        <v>Icteridae (Troupials and Allies)</v>
      </c>
      <c r="I1049" s="3"/>
    </row>
    <row r="1050" spans="1:9" ht="10.5" customHeight="1">
      <c r="A1050" s="3" t="s">
        <v>1514</v>
      </c>
      <c r="B1050" s="3" t="s">
        <v>1508</v>
      </c>
      <c r="C1050" s="3">
        <f>VLOOKUP(B1050,LifeList!$E$2:$J$2038,6)</f>
        <v>33624</v>
      </c>
      <c r="D1050" s="3" t="str">
        <f>VLOOKUP(B1050,LifeList!$E$2:$G$2038,1)</f>
        <v>Crested Oropendola</v>
      </c>
      <c r="E1050" s="3" t="str">
        <f>VLOOKUP(B1050,LifeList!$E$2:$G$2038,2)</f>
        <v>Cassique huppé</v>
      </c>
      <c r="F1050" s="3" t="str">
        <f>VLOOKUP(B1050,LifeList!$E$2:$G$2038,3)</f>
        <v>Psarocolius decumanus</v>
      </c>
      <c r="G1050" s="3" t="str">
        <f>VLOOKUP(B1050,LifeList!$E$2:$I$2038,4)</f>
        <v>Passeriformes</v>
      </c>
      <c r="H1050" s="3" t="str">
        <f>VLOOKUP(B1050,LifeList!$E$2:$I$2038,5)</f>
        <v>Icteridae (Troupials and Allies)</v>
      </c>
      <c r="I1050" s="3"/>
    </row>
    <row r="1051" spans="1:9" ht="10.5" customHeight="1">
      <c r="A1051" s="3" t="s">
        <v>1515</v>
      </c>
      <c r="B1051" s="3" t="s">
        <v>1516</v>
      </c>
      <c r="C1051" s="3">
        <f>VLOOKUP(B1051,LifeList!$E$2:$J$2038,6)</f>
        <v>8892</v>
      </c>
      <c r="D1051" s="3" t="str">
        <f>VLOOKUP(B1051,LifeList!$E$2:$G$2038,1)</f>
        <v>Crested Owl</v>
      </c>
      <c r="E1051" s="3" t="str">
        <f>VLOOKUP(B1051,LifeList!$E$2:$G$2038,2)</f>
        <v>Duc à aigrettes</v>
      </c>
      <c r="F1051" s="3" t="str">
        <f>VLOOKUP(B1051,LifeList!$E$2:$G$2038,3)</f>
        <v>Lophostrix cristata</v>
      </c>
      <c r="G1051" s="3" t="str">
        <f>VLOOKUP(B1051,LifeList!$E$2:$I$2038,4)</f>
        <v>Strigiformes</v>
      </c>
      <c r="H1051" s="3" t="str">
        <f>VLOOKUP(B1051,LifeList!$E$2:$I$2038,5)</f>
        <v>Strigidae (Owls)</v>
      </c>
      <c r="I1051" s="3"/>
    </row>
    <row r="1052" spans="1:9" ht="10.5" customHeight="1">
      <c r="A1052" s="3" t="s">
        <v>1517</v>
      </c>
      <c r="B1052" s="3" t="s">
        <v>1518</v>
      </c>
      <c r="C1052" s="3">
        <f>VLOOKUP(B1052,LifeList!$E$2:$J$2038,6)</f>
        <v>2212</v>
      </c>
      <c r="D1052" s="3" t="str">
        <f>VLOOKUP(B1052,LifeList!$E$2:$G$2038,1)</f>
        <v>Crested Pigeon</v>
      </c>
      <c r="E1052" s="3" t="str">
        <f>VLOOKUP(B1052,LifeList!$E$2:$G$2038,2)</f>
        <v>Colombine longup</v>
      </c>
      <c r="F1052" s="3" t="str">
        <f>VLOOKUP(B1052,LifeList!$E$2:$G$2038,3)</f>
        <v>Ocyphaps lophotes</v>
      </c>
      <c r="G1052" s="3" t="str">
        <f>VLOOKUP(B1052,LifeList!$E$2:$I$2038,4)</f>
        <v>Columbiformes</v>
      </c>
      <c r="H1052" s="3" t="str">
        <f>VLOOKUP(B1052,LifeList!$E$2:$I$2038,5)</f>
        <v>Columbidae (Pigeons and Doves)</v>
      </c>
      <c r="I1052" s="3"/>
    </row>
    <row r="1053" spans="1:9" ht="10.5" customHeight="1">
      <c r="A1053" s="7" t="s">
        <v>1519</v>
      </c>
      <c r="B1053" s="8" t="s">
        <v>1520</v>
      </c>
      <c r="C1053" s="3">
        <f>VLOOKUP(B1053,LifeList!$E$2:$J$2038,6)</f>
        <v>12480</v>
      </c>
      <c r="D1053" s="3" t="str">
        <f>VLOOKUP(B1053,LifeList!$E$2:$G$2038,1)</f>
        <v>Crimson Rosella</v>
      </c>
      <c r="E1053" s="3" t="str">
        <f>VLOOKUP(B1053,LifeList!$E$2:$G$2038,2)</f>
        <v>Perruche de Pennant</v>
      </c>
      <c r="F1053" s="3" t="str">
        <f>VLOOKUP(B1053,LifeList!$E$2:$G$2038,3)</f>
        <v>Platycercus elegans</v>
      </c>
      <c r="G1053" s="3" t="str">
        <f>VLOOKUP(B1053,LifeList!$E$2:$I$2038,4)</f>
        <v>Psittaciformes</v>
      </c>
      <c r="H1053" s="3" t="str">
        <f>VLOOKUP(B1053,LifeList!$E$2:$I$2038,5)</f>
        <v>Psittaculidae (Old World Parrots)</v>
      </c>
      <c r="I1053" s="3"/>
    </row>
    <row r="1054" spans="1:9" ht="10.5" customHeight="1">
      <c r="A1054" s="7" t="s">
        <v>1521</v>
      </c>
      <c r="B1054" s="8" t="s">
        <v>1520</v>
      </c>
      <c r="C1054" s="3">
        <f>VLOOKUP(B1054,LifeList!$E$2:$J$2038,6)</f>
        <v>12480</v>
      </c>
      <c r="D1054" s="3" t="str">
        <f>VLOOKUP(B1054,LifeList!$E$2:$G$2038,1)</f>
        <v>Crimson Rosella</v>
      </c>
      <c r="E1054" s="3" t="str">
        <f>VLOOKUP(B1054,LifeList!$E$2:$G$2038,2)</f>
        <v>Perruche de Pennant</v>
      </c>
      <c r="F1054" s="3" t="str">
        <f>VLOOKUP(B1054,LifeList!$E$2:$G$2038,3)</f>
        <v>Platycercus elegans</v>
      </c>
      <c r="G1054" s="3" t="str">
        <f>VLOOKUP(B1054,LifeList!$E$2:$I$2038,4)</f>
        <v>Psittaciformes</v>
      </c>
      <c r="H1054" s="3" t="str">
        <f>VLOOKUP(B1054,LifeList!$E$2:$I$2038,5)</f>
        <v>Psittaculidae (Old World Parrots)</v>
      </c>
      <c r="I1054" s="3"/>
    </row>
    <row r="1055" spans="1:9" ht="10.5" customHeight="1">
      <c r="A1055" s="7" t="s">
        <v>1522</v>
      </c>
      <c r="B1055" s="8" t="s">
        <v>1520</v>
      </c>
      <c r="C1055" s="3">
        <f>VLOOKUP(B1055,LifeList!$E$2:$J$2038,6)</f>
        <v>12480</v>
      </c>
      <c r="D1055" s="3" t="str">
        <f>VLOOKUP(B1055,LifeList!$E$2:$G$2038,1)</f>
        <v>Crimson Rosella</v>
      </c>
      <c r="E1055" s="3" t="str">
        <f>VLOOKUP(B1055,LifeList!$E$2:$G$2038,2)</f>
        <v>Perruche de Pennant</v>
      </c>
      <c r="F1055" s="3" t="str">
        <f>VLOOKUP(B1055,LifeList!$E$2:$G$2038,3)</f>
        <v>Platycercus elegans</v>
      </c>
      <c r="G1055" s="3" t="str">
        <f>VLOOKUP(B1055,LifeList!$E$2:$I$2038,4)</f>
        <v>Psittaciformes</v>
      </c>
      <c r="H1055" s="3" t="str">
        <f>VLOOKUP(B1055,LifeList!$E$2:$I$2038,5)</f>
        <v>Psittaculidae (Old World Parrots)</v>
      </c>
      <c r="I1055" s="3"/>
    </row>
    <row r="1056" spans="1:9" ht="10.5" customHeight="1">
      <c r="A1056" s="3" t="s">
        <v>1523</v>
      </c>
      <c r="B1056" s="3" t="s">
        <v>1524</v>
      </c>
      <c r="C1056" s="3">
        <f>VLOOKUP(B1056,LifeList!$E$2:$J$2038,6)</f>
        <v>12480</v>
      </c>
      <c r="D1056" s="3" t="str">
        <f>VLOOKUP(B1056,LifeList!$E$2:$G$2038,1)</f>
        <v>Crimson Rosella</v>
      </c>
      <c r="E1056" s="3" t="str">
        <f>VLOOKUP(B1056,LifeList!$E$2:$G$2038,2)</f>
        <v>Perruche de Pennant</v>
      </c>
      <c r="F1056" s="3" t="str">
        <f>VLOOKUP(B1056,LifeList!$E$2:$G$2038,3)</f>
        <v>Platycercus elegans</v>
      </c>
      <c r="G1056" s="3" t="str">
        <f>VLOOKUP(B1056,LifeList!$E$2:$I$2038,4)</f>
        <v>Psittaciformes</v>
      </c>
      <c r="H1056" s="3" t="str">
        <f>VLOOKUP(B1056,LifeList!$E$2:$I$2038,5)</f>
        <v>Psittaculidae (Old World Parrots)</v>
      </c>
      <c r="I1056" s="3"/>
    </row>
    <row r="1057" spans="1:9" ht="10.5" customHeight="1">
      <c r="A1057" s="3" t="s">
        <v>1525</v>
      </c>
      <c r="B1057" s="3" t="s">
        <v>1524</v>
      </c>
      <c r="C1057" s="3">
        <f>VLOOKUP(B1057,LifeList!$E$2:$J$2038,6)</f>
        <v>12480</v>
      </c>
      <c r="D1057" s="3" t="str">
        <f>VLOOKUP(B1057,LifeList!$E$2:$G$2038,1)</f>
        <v>Crimson Rosella</v>
      </c>
      <c r="E1057" s="3" t="str">
        <f>VLOOKUP(B1057,LifeList!$E$2:$G$2038,2)</f>
        <v>Perruche de Pennant</v>
      </c>
      <c r="F1057" s="3" t="str">
        <f>VLOOKUP(B1057,LifeList!$E$2:$G$2038,3)</f>
        <v>Platycercus elegans</v>
      </c>
      <c r="G1057" s="3" t="str">
        <f>VLOOKUP(B1057,LifeList!$E$2:$I$2038,4)</f>
        <v>Psittaciformes</v>
      </c>
      <c r="H1057" s="3" t="str">
        <f>VLOOKUP(B1057,LifeList!$E$2:$I$2038,5)</f>
        <v>Psittaculidae (Old World Parrots)</v>
      </c>
      <c r="I1057" s="3"/>
    </row>
    <row r="1058" spans="1:9" ht="10.5" customHeight="1">
      <c r="A1058" s="3" t="s">
        <v>1526</v>
      </c>
      <c r="B1058" s="3" t="s">
        <v>1524</v>
      </c>
      <c r="C1058" s="3">
        <f>VLOOKUP(B1058,LifeList!$E$2:$J$2038,6)</f>
        <v>12480</v>
      </c>
      <c r="D1058" s="3" t="str">
        <f>VLOOKUP(B1058,LifeList!$E$2:$G$2038,1)</f>
        <v>Crimson Rosella</v>
      </c>
      <c r="E1058" s="3" t="str">
        <f>VLOOKUP(B1058,LifeList!$E$2:$G$2038,2)</f>
        <v>Perruche de Pennant</v>
      </c>
      <c r="F1058" s="3" t="str">
        <f>VLOOKUP(B1058,LifeList!$E$2:$G$2038,3)</f>
        <v>Platycercus elegans</v>
      </c>
      <c r="G1058" s="3" t="str">
        <f>VLOOKUP(B1058,LifeList!$E$2:$I$2038,4)</f>
        <v>Psittaciformes</v>
      </c>
      <c r="H1058" s="3" t="str">
        <f>VLOOKUP(B1058,LifeList!$E$2:$I$2038,5)</f>
        <v>Psittaculidae (Old World Parrots)</v>
      </c>
      <c r="I1058" s="3"/>
    </row>
    <row r="1059" spans="1:9" ht="10.5" customHeight="1">
      <c r="A1059" s="3" t="s">
        <v>1527</v>
      </c>
      <c r="B1059" s="3" t="s">
        <v>1524</v>
      </c>
      <c r="C1059" s="3">
        <f>VLOOKUP(B1059,LifeList!$E$2:$J$2038,6)</f>
        <v>12480</v>
      </c>
      <c r="D1059" s="3" t="str">
        <f>VLOOKUP(B1059,LifeList!$E$2:$G$2038,1)</f>
        <v>Crimson Rosella</v>
      </c>
      <c r="E1059" s="3" t="str">
        <f>VLOOKUP(B1059,LifeList!$E$2:$G$2038,2)</f>
        <v>Perruche de Pennant</v>
      </c>
      <c r="F1059" s="3" t="str">
        <f>VLOOKUP(B1059,LifeList!$E$2:$G$2038,3)</f>
        <v>Platycercus elegans</v>
      </c>
      <c r="G1059" s="3" t="str">
        <f>VLOOKUP(B1059,LifeList!$E$2:$I$2038,4)</f>
        <v>Psittaciformes</v>
      </c>
      <c r="H1059" s="3" t="str">
        <f>VLOOKUP(B1059,LifeList!$E$2:$I$2038,5)</f>
        <v>Psittaculidae (Old World Parrots)</v>
      </c>
      <c r="I1059" s="3"/>
    </row>
    <row r="1060" spans="1:9" ht="10.5" customHeight="1">
      <c r="A1060" s="3" t="s">
        <v>1528</v>
      </c>
      <c r="B1060" s="3" t="s">
        <v>1529</v>
      </c>
      <c r="C1060" s="3">
        <f>VLOOKUP(B1060,LifeList!$E$2:$J$2038,6)</f>
        <v>34820</v>
      </c>
      <c r="D1060" s="3" t="str">
        <f>VLOOKUP(B1060,LifeList!$E$2:$G$2038,1)</f>
        <v>Crimson-backed Tanager</v>
      </c>
      <c r="E1060" s="3" t="str">
        <f>VLOOKUP(B1060,LifeList!$E$2:$G$2038,2)</f>
        <v>Tangara à dos rouge</v>
      </c>
      <c r="F1060" s="3" t="str">
        <f>VLOOKUP(B1060,LifeList!$E$2:$G$2038,3)</f>
        <v>Ramphocelus dimidiatus</v>
      </c>
      <c r="G1060" s="3" t="str">
        <f>VLOOKUP(B1060,LifeList!$E$2:$I$2038,4)</f>
        <v>Passeriformes</v>
      </c>
      <c r="H1060" s="3" t="str">
        <f>VLOOKUP(B1060,LifeList!$E$2:$I$2038,5)</f>
        <v>Thraupidae (Tanagers and Allies)</v>
      </c>
      <c r="I1060" s="3"/>
    </row>
    <row r="1061" spans="1:9" ht="10.5" customHeight="1">
      <c r="A1061" s="3" t="s">
        <v>1530</v>
      </c>
      <c r="B1061" s="3" t="s">
        <v>1529</v>
      </c>
      <c r="C1061" s="3">
        <f>VLOOKUP(B1061,LifeList!$E$2:$J$2038,6)</f>
        <v>34820</v>
      </c>
      <c r="D1061" s="3" t="str">
        <f>VLOOKUP(B1061,LifeList!$E$2:$G$2038,1)</f>
        <v>Crimson-backed Tanager</v>
      </c>
      <c r="E1061" s="3" t="str">
        <f>VLOOKUP(B1061,LifeList!$E$2:$G$2038,2)</f>
        <v>Tangara à dos rouge</v>
      </c>
      <c r="F1061" s="3" t="str">
        <f>VLOOKUP(B1061,LifeList!$E$2:$G$2038,3)</f>
        <v>Ramphocelus dimidiatus</v>
      </c>
      <c r="G1061" s="3" t="str">
        <f>VLOOKUP(B1061,LifeList!$E$2:$I$2038,4)</f>
        <v>Passeriformes</v>
      </c>
      <c r="H1061" s="3" t="str">
        <f>VLOOKUP(B1061,LifeList!$E$2:$I$2038,5)</f>
        <v>Thraupidae (Tanagers and Allies)</v>
      </c>
      <c r="I1061" s="3"/>
    </row>
    <row r="1062" spans="1:9" ht="10.5" customHeight="1">
      <c r="A1062" s="3" t="s">
        <v>1531</v>
      </c>
      <c r="B1062" s="3" t="s">
        <v>1529</v>
      </c>
      <c r="C1062" s="3">
        <f>VLOOKUP(B1062,LifeList!$E$2:$J$2038,6)</f>
        <v>34820</v>
      </c>
      <c r="D1062" s="3" t="str">
        <f>VLOOKUP(B1062,LifeList!$E$2:$G$2038,1)</f>
        <v>Crimson-backed Tanager</v>
      </c>
      <c r="E1062" s="3" t="str">
        <f>VLOOKUP(B1062,LifeList!$E$2:$G$2038,2)</f>
        <v>Tangara à dos rouge</v>
      </c>
      <c r="F1062" s="3" t="str">
        <f>VLOOKUP(B1062,LifeList!$E$2:$G$2038,3)</f>
        <v>Ramphocelus dimidiatus</v>
      </c>
      <c r="G1062" s="3" t="str">
        <f>VLOOKUP(B1062,LifeList!$E$2:$I$2038,4)</f>
        <v>Passeriformes</v>
      </c>
      <c r="H1062" s="3" t="str">
        <f>VLOOKUP(B1062,LifeList!$E$2:$I$2038,5)</f>
        <v>Thraupidae (Tanagers and Allies)</v>
      </c>
      <c r="I1062" s="3"/>
    </row>
    <row r="1063" spans="1:9" ht="10.5" customHeight="1">
      <c r="A1063" s="3" t="s">
        <v>1532</v>
      </c>
      <c r="B1063" s="3" t="s">
        <v>1529</v>
      </c>
      <c r="C1063" s="3">
        <f>VLOOKUP(B1063,LifeList!$E$2:$J$2038,6)</f>
        <v>34820</v>
      </c>
      <c r="D1063" s="3" t="str">
        <f>VLOOKUP(B1063,LifeList!$E$2:$G$2038,1)</f>
        <v>Crimson-backed Tanager</v>
      </c>
      <c r="E1063" s="3" t="str">
        <f>VLOOKUP(B1063,LifeList!$E$2:$G$2038,2)</f>
        <v>Tangara à dos rouge</v>
      </c>
      <c r="F1063" s="3" t="str">
        <f>VLOOKUP(B1063,LifeList!$E$2:$G$2038,3)</f>
        <v>Ramphocelus dimidiatus</v>
      </c>
      <c r="G1063" s="3" t="str">
        <f>VLOOKUP(B1063,LifeList!$E$2:$I$2038,4)</f>
        <v>Passeriformes</v>
      </c>
      <c r="H1063" s="3" t="str">
        <f>VLOOKUP(B1063,LifeList!$E$2:$I$2038,5)</f>
        <v>Thraupidae (Tanagers and Allies)</v>
      </c>
      <c r="I1063" s="3"/>
    </row>
    <row r="1064" spans="1:9" ht="10.5" customHeight="1">
      <c r="A1064" s="3" t="s">
        <v>1533</v>
      </c>
      <c r="B1064" s="3" t="s">
        <v>1529</v>
      </c>
      <c r="C1064" s="3">
        <f>VLOOKUP(B1064,LifeList!$E$2:$J$2038,6)</f>
        <v>34820</v>
      </c>
      <c r="D1064" s="3" t="str">
        <f>VLOOKUP(B1064,LifeList!$E$2:$G$2038,1)</f>
        <v>Crimson-backed Tanager</v>
      </c>
      <c r="E1064" s="3" t="str">
        <f>VLOOKUP(B1064,LifeList!$E$2:$G$2038,2)</f>
        <v>Tangara à dos rouge</v>
      </c>
      <c r="F1064" s="3" t="str">
        <f>VLOOKUP(B1064,LifeList!$E$2:$G$2038,3)</f>
        <v>Ramphocelus dimidiatus</v>
      </c>
      <c r="G1064" s="3" t="str">
        <f>VLOOKUP(B1064,LifeList!$E$2:$I$2038,4)</f>
        <v>Passeriformes</v>
      </c>
      <c r="H1064" s="3" t="str">
        <f>VLOOKUP(B1064,LifeList!$E$2:$I$2038,5)</f>
        <v>Thraupidae (Tanagers and Allies)</v>
      </c>
      <c r="I1064" s="3"/>
    </row>
    <row r="1065" spans="1:9" ht="10.5" customHeight="1">
      <c r="A1065" s="3" t="s">
        <v>1534</v>
      </c>
      <c r="B1065" s="3" t="s">
        <v>1535</v>
      </c>
      <c r="C1065" s="3">
        <f>VLOOKUP(B1065,LifeList!$E$2:$J$2038,6)</f>
        <v>20133</v>
      </c>
      <c r="D1065" s="3" t="str">
        <f>VLOOKUP(B1065,LifeList!$E$2:$G$2038,1)</f>
        <v>Crimson-breasted Gonolek</v>
      </c>
      <c r="E1065" s="3" t="str">
        <f>VLOOKUP(B1065,LifeList!$E$2:$G$2038,2)</f>
        <v>Gonolek rouge et noir</v>
      </c>
      <c r="F1065" s="3" t="str">
        <f>VLOOKUP(B1065,LifeList!$E$2:$G$2038,3)</f>
        <v>Laniarius atrococcineus</v>
      </c>
      <c r="G1065" s="3" t="str">
        <f>VLOOKUP(B1065,LifeList!$E$2:$I$2038,4)</f>
        <v>Passeriformes</v>
      </c>
      <c r="H1065" s="3" t="str">
        <f>VLOOKUP(B1065,LifeList!$E$2:$I$2038,5)</f>
        <v>Malaconotidae (Bushshrikes and Allies)</v>
      </c>
      <c r="I1065" s="3"/>
    </row>
    <row r="1066" spans="1:9" ht="10.5" customHeight="1">
      <c r="A1066" s="3" t="s">
        <v>1536</v>
      </c>
      <c r="B1066" s="3" t="s">
        <v>1535</v>
      </c>
      <c r="C1066" s="3">
        <f>VLOOKUP(B1066,LifeList!$E$2:$J$2038,6)</f>
        <v>20133</v>
      </c>
      <c r="D1066" s="3" t="str">
        <f>VLOOKUP(B1066,LifeList!$E$2:$G$2038,1)</f>
        <v>Crimson-breasted Gonolek</v>
      </c>
      <c r="E1066" s="3" t="str">
        <f>VLOOKUP(B1066,LifeList!$E$2:$G$2038,2)</f>
        <v>Gonolek rouge et noir</v>
      </c>
      <c r="F1066" s="3" t="str">
        <f>VLOOKUP(B1066,LifeList!$E$2:$G$2038,3)</f>
        <v>Laniarius atrococcineus</v>
      </c>
      <c r="G1066" s="3" t="str">
        <f>VLOOKUP(B1066,LifeList!$E$2:$I$2038,4)</f>
        <v>Passeriformes</v>
      </c>
      <c r="H1066" s="3" t="str">
        <f>VLOOKUP(B1066,LifeList!$E$2:$I$2038,5)</f>
        <v>Malaconotidae (Bushshrikes and Allies)</v>
      </c>
      <c r="I1066" s="3"/>
    </row>
    <row r="1067" spans="1:9" ht="10.5" customHeight="1">
      <c r="A1067" s="3" t="s">
        <v>1537</v>
      </c>
      <c r="B1067" s="3" t="s">
        <v>1538</v>
      </c>
      <c r="C1067" s="3">
        <f>VLOOKUP(B1067,LifeList!$E$2:$J$2038,6)</f>
        <v>34793</v>
      </c>
      <c r="D1067" s="3" t="str">
        <f>VLOOKUP(B1067,LifeList!$E$2:$G$2038,1)</f>
        <v>Crimson-collared Tanager</v>
      </c>
      <c r="E1067" s="3" t="str">
        <f>VLOOKUP(B1067,LifeList!$E$2:$G$2038,2)</f>
        <v>Tangara ceinturé</v>
      </c>
      <c r="F1067" s="3" t="str">
        <f>VLOOKUP(B1067,LifeList!$E$2:$G$2038,3)</f>
        <v>Ramphocelus sanguinolentus</v>
      </c>
      <c r="G1067" s="3" t="str">
        <f>VLOOKUP(B1067,LifeList!$E$2:$I$2038,4)</f>
        <v>Passeriformes</v>
      </c>
      <c r="H1067" s="3" t="str">
        <f>VLOOKUP(B1067,LifeList!$E$2:$I$2038,5)</f>
        <v>Thraupidae (Tanagers and Allies)</v>
      </c>
      <c r="I1067" s="3"/>
    </row>
    <row r="1068" spans="1:9" ht="10.5" customHeight="1">
      <c r="A1068" s="3" t="s">
        <v>1539</v>
      </c>
      <c r="B1068" s="3" t="s">
        <v>1540</v>
      </c>
      <c r="C1068" s="3">
        <f>VLOOKUP(B1068,LifeList!$E$2:$J$2038,6)</f>
        <v>11558</v>
      </c>
      <c r="D1068" s="3" t="str">
        <f>VLOOKUP(B1068,LifeList!$E$2:$G$2038,1)</f>
        <v>Crimson-crested Woodpecker</v>
      </c>
      <c r="E1068" s="3" t="str">
        <f>VLOOKUP(B1068,LifeList!$E$2:$G$2038,2)</f>
        <v>Pic de Malherbe</v>
      </c>
      <c r="F1068" s="3" t="str">
        <f>VLOOKUP(B1068,LifeList!$E$2:$G$2038,3)</f>
        <v>Campephilus melanoleucos</v>
      </c>
      <c r="G1068" s="3" t="str">
        <f>VLOOKUP(B1068,LifeList!$E$2:$I$2038,4)</f>
        <v>Piciformes</v>
      </c>
      <c r="H1068" s="3" t="str">
        <f>VLOOKUP(B1068,LifeList!$E$2:$I$2038,5)</f>
        <v>Picidae (Woodpeckers)</v>
      </c>
      <c r="I1068" s="3"/>
    </row>
    <row r="1069" spans="1:9" ht="10.5" customHeight="1">
      <c r="A1069" s="3" t="s">
        <v>1541</v>
      </c>
      <c r="B1069" s="3" t="s">
        <v>1540</v>
      </c>
      <c r="C1069" s="3">
        <f>VLOOKUP(B1069,LifeList!$E$2:$J$2038,6)</f>
        <v>11558</v>
      </c>
      <c r="D1069" s="3" t="str">
        <f>VLOOKUP(B1069,LifeList!$E$2:$G$2038,1)</f>
        <v>Crimson-crested Woodpecker</v>
      </c>
      <c r="E1069" s="3" t="str">
        <f>VLOOKUP(B1069,LifeList!$E$2:$G$2038,2)</f>
        <v>Pic de Malherbe</v>
      </c>
      <c r="F1069" s="3" t="str">
        <f>VLOOKUP(B1069,LifeList!$E$2:$G$2038,3)</f>
        <v>Campephilus melanoleucos</v>
      </c>
      <c r="G1069" s="3" t="str">
        <f>VLOOKUP(B1069,LifeList!$E$2:$I$2038,4)</f>
        <v>Piciformes</v>
      </c>
      <c r="H1069" s="3" t="str">
        <f>VLOOKUP(B1069,LifeList!$E$2:$I$2038,5)</f>
        <v>Picidae (Woodpeckers)</v>
      </c>
      <c r="I1069" s="3"/>
    </row>
    <row r="1070" spans="1:9" ht="10.5" customHeight="1">
      <c r="A1070" s="3" t="s">
        <v>1542</v>
      </c>
      <c r="B1070" s="3" t="s">
        <v>1540</v>
      </c>
      <c r="C1070" s="3">
        <f>VLOOKUP(B1070,LifeList!$E$2:$J$2038,6)</f>
        <v>11558</v>
      </c>
      <c r="D1070" s="3" t="str">
        <f>VLOOKUP(B1070,LifeList!$E$2:$G$2038,1)</f>
        <v>Crimson-crested Woodpecker</v>
      </c>
      <c r="E1070" s="3" t="str">
        <f>VLOOKUP(B1070,LifeList!$E$2:$G$2038,2)</f>
        <v>Pic de Malherbe</v>
      </c>
      <c r="F1070" s="3" t="str">
        <f>VLOOKUP(B1070,LifeList!$E$2:$G$2038,3)</f>
        <v>Campephilus melanoleucos</v>
      </c>
      <c r="G1070" s="3" t="str">
        <f>VLOOKUP(B1070,LifeList!$E$2:$I$2038,4)</f>
        <v>Piciformes</v>
      </c>
      <c r="H1070" s="3" t="str">
        <f>VLOOKUP(B1070,LifeList!$E$2:$I$2038,5)</f>
        <v>Picidae (Woodpeckers)</v>
      </c>
      <c r="I1070" s="3"/>
    </row>
    <row r="1071" spans="1:9" ht="10.5" customHeight="1">
      <c r="A1071" s="3" t="s">
        <v>1543</v>
      </c>
      <c r="B1071" s="3" t="s">
        <v>1540</v>
      </c>
      <c r="C1071" s="3">
        <f>VLOOKUP(B1071,LifeList!$E$2:$J$2038,6)</f>
        <v>11558</v>
      </c>
      <c r="D1071" s="3" t="str">
        <f>VLOOKUP(B1071,LifeList!$E$2:$G$2038,1)</f>
        <v>Crimson-crested Woodpecker</v>
      </c>
      <c r="E1071" s="3" t="str">
        <f>VLOOKUP(B1071,LifeList!$E$2:$G$2038,2)</f>
        <v>Pic de Malherbe</v>
      </c>
      <c r="F1071" s="3" t="str">
        <f>VLOOKUP(B1071,LifeList!$E$2:$G$2038,3)</f>
        <v>Campephilus melanoleucos</v>
      </c>
      <c r="G1071" s="3" t="str">
        <f>VLOOKUP(B1071,LifeList!$E$2:$I$2038,4)</f>
        <v>Piciformes</v>
      </c>
      <c r="H1071" s="3" t="str">
        <f>VLOOKUP(B1071,LifeList!$E$2:$I$2038,5)</f>
        <v>Picidae (Woodpeckers)</v>
      </c>
      <c r="I1071" s="3"/>
    </row>
    <row r="1072" spans="1:9" ht="10.5" customHeight="1">
      <c r="A1072" s="3" t="s">
        <v>1544</v>
      </c>
      <c r="B1072" s="3" t="s">
        <v>1540</v>
      </c>
      <c r="C1072" s="3">
        <f>VLOOKUP(B1072,LifeList!$E$2:$J$2038,6)</f>
        <v>11558</v>
      </c>
      <c r="D1072" s="3" t="str">
        <f>VLOOKUP(B1072,LifeList!$E$2:$G$2038,1)</f>
        <v>Crimson-crested Woodpecker</v>
      </c>
      <c r="E1072" s="3" t="str">
        <f>VLOOKUP(B1072,LifeList!$E$2:$G$2038,2)</f>
        <v>Pic de Malherbe</v>
      </c>
      <c r="F1072" s="3" t="str">
        <f>VLOOKUP(B1072,LifeList!$E$2:$G$2038,3)</f>
        <v>Campephilus melanoleucos</v>
      </c>
      <c r="G1072" s="3" t="str">
        <f>VLOOKUP(B1072,LifeList!$E$2:$I$2038,4)</f>
        <v>Piciformes</v>
      </c>
      <c r="H1072" s="3" t="str">
        <f>VLOOKUP(B1072,LifeList!$E$2:$I$2038,5)</f>
        <v>Picidae (Woodpeckers)</v>
      </c>
      <c r="I1072" s="3"/>
    </row>
    <row r="1073" spans="1:9" ht="10.5" customHeight="1">
      <c r="A1073" s="3" t="s">
        <v>1545</v>
      </c>
      <c r="B1073" s="3" t="s">
        <v>1540</v>
      </c>
      <c r="C1073" s="3">
        <f>VLOOKUP(B1073,LifeList!$E$2:$J$2038,6)</f>
        <v>11558</v>
      </c>
      <c r="D1073" s="3" t="str">
        <f>VLOOKUP(B1073,LifeList!$E$2:$G$2038,1)</f>
        <v>Crimson-crested Woodpecker</v>
      </c>
      <c r="E1073" s="3" t="str">
        <f>VLOOKUP(B1073,LifeList!$E$2:$G$2038,2)</f>
        <v>Pic de Malherbe</v>
      </c>
      <c r="F1073" s="3" t="str">
        <f>VLOOKUP(B1073,LifeList!$E$2:$G$2038,3)</f>
        <v>Campephilus melanoleucos</v>
      </c>
      <c r="G1073" s="3" t="str">
        <f>VLOOKUP(B1073,LifeList!$E$2:$I$2038,4)</f>
        <v>Piciformes</v>
      </c>
      <c r="H1073" s="3" t="str">
        <f>VLOOKUP(B1073,LifeList!$E$2:$I$2038,5)</f>
        <v>Picidae (Woodpeckers)</v>
      </c>
      <c r="I1073" s="3"/>
    </row>
    <row r="1074" spans="1:9" ht="10.5" customHeight="1">
      <c r="A1074" s="3" t="s">
        <v>1546</v>
      </c>
      <c r="B1074" s="3" t="s">
        <v>1540</v>
      </c>
      <c r="C1074" s="3">
        <f>VLOOKUP(B1074,LifeList!$E$2:$J$2038,6)</f>
        <v>11558</v>
      </c>
      <c r="D1074" s="3" t="str">
        <f>VLOOKUP(B1074,LifeList!$E$2:$G$2038,1)</f>
        <v>Crimson-crested Woodpecker</v>
      </c>
      <c r="E1074" s="3" t="str">
        <f>VLOOKUP(B1074,LifeList!$E$2:$G$2038,2)</f>
        <v>Pic de Malherbe</v>
      </c>
      <c r="F1074" s="3" t="str">
        <f>VLOOKUP(B1074,LifeList!$E$2:$G$2038,3)</f>
        <v>Campephilus melanoleucos</v>
      </c>
      <c r="G1074" s="3" t="str">
        <f>VLOOKUP(B1074,LifeList!$E$2:$I$2038,4)</f>
        <v>Piciformes</v>
      </c>
      <c r="H1074" s="3" t="str">
        <f>VLOOKUP(B1074,LifeList!$E$2:$I$2038,5)</f>
        <v>Picidae (Woodpeckers)</v>
      </c>
      <c r="I1074" s="3"/>
    </row>
    <row r="1075" spans="1:9" ht="10.5" customHeight="1">
      <c r="A1075" s="3" t="s">
        <v>1547</v>
      </c>
      <c r="B1075" s="3" t="s">
        <v>1548</v>
      </c>
      <c r="C1075" s="3">
        <f>VLOOKUP(B1075,LifeList!$E$2:$J$2038,6)</f>
        <v>13187</v>
      </c>
      <c r="D1075" s="3" t="str">
        <f>VLOOKUP(B1075,LifeList!$E$2:$G$2038,1)</f>
        <v>Crimson-fronted Parakeet</v>
      </c>
      <c r="E1075" s="3" t="str">
        <f>VLOOKUP(B1075,LifeList!$E$2:$G$2038,2)</f>
        <v>Conure de Finsch</v>
      </c>
      <c r="F1075" s="3" t="str">
        <f>VLOOKUP(B1075,LifeList!$E$2:$G$2038,3)</f>
        <v>Psittacara finschi</v>
      </c>
      <c r="G1075" s="3" t="str">
        <f>VLOOKUP(B1075,LifeList!$E$2:$I$2038,4)</f>
        <v>Psittaciformes</v>
      </c>
      <c r="H1075" s="3" t="str">
        <f>VLOOKUP(B1075,LifeList!$E$2:$I$2038,5)</f>
        <v>Psittacidae (New World and African Parrots)</v>
      </c>
      <c r="I1075" s="3"/>
    </row>
    <row r="1076" spans="1:9" ht="10.5" customHeight="1">
      <c r="A1076" s="3" t="s">
        <v>1549</v>
      </c>
      <c r="B1076" s="3" t="s">
        <v>1550</v>
      </c>
      <c r="C1076" s="3">
        <f>VLOOKUP(B1076,LifeList!$E$2:$J$2038,6)</f>
        <v>11874</v>
      </c>
      <c r="D1076" s="3" t="str">
        <f>VLOOKUP(B1076,LifeList!$E$2:$G$2038,1)</f>
        <v>Crimson-mantled Woodpecker</v>
      </c>
      <c r="E1076" s="3" t="str">
        <f>VLOOKUP(B1076,LifeList!$E$2:$G$2038,2)</f>
        <v>Pic de Rivoli</v>
      </c>
      <c r="F1076" s="3" t="str">
        <f>VLOOKUP(B1076,LifeList!$E$2:$G$2038,3)</f>
        <v>Colaptes rivolii</v>
      </c>
      <c r="G1076" s="3" t="str">
        <f>VLOOKUP(B1076,LifeList!$E$2:$I$2038,4)</f>
        <v>Piciformes</v>
      </c>
      <c r="H1076" s="3" t="str">
        <f>VLOOKUP(B1076,LifeList!$E$2:$I$2038,5)</f>
        <v>Picidae (Woodpeckers)</v>
      </c>
      <c r="I1076" s="3"/>
    </row>
    <row r="1077" spans="1:9" ht="10.5" customHeight="1">
      <c r="A1077" s="3" t="s">
        <v>1551</v>
      </c>
      <c r="B1077" s="3" t="s">
        <v>1550</v>
      </c>
      <c r="C1077" s="3">
        <f>VLOOKUP(B1077,LifeList!$E$2:$J$2038,6)</f>
        <v>11874</v>
      </c>
      <c r="D1077" s="3" t="str">
        <f>VLOOKUP(B1077,LifeList!$E$2:$G$2038,1)</f>
        <v>Crimson-mantled Woodpecker</v>
      </c>
      <c r="E1077" s="3" t="str">
        <f>VLOOKUP(B1077,LifeList!$E$2:$G$2038,2)</f>
        <v>Pic de Rivoli</v>
      </c>
      <c r="F1077" s="3" t="str">
        <f>VLOOKUP(B1077,LifeList!$E$2:$G$2038,3)</f>
        <v>Colaptes rivolii</v>
      </c>
      <c r="G1077" s="3" t="str">
        <f>VLOOKUP(B1077,LifeList!$E$2:$I$2038,4)</f>
        <v>Piciformes</v>
      </c>
      <c r="H1077" s="3" t="str">
        <f>VLOOKUP(B1077,LifeList!$E$2:$I$2038,5)</f>
        <v>Picidae (Woodpeckers)</v>
      </c>
      <c r="I1077" s="3"/>
    </row>
    <row r="1078" spans="1:9" ht="10.5" customHeight="1">
      <c r="A1078" s="3" t="s">
        <v>1552</v>
      </c>
      <c r="B1078" s="3" t="s">
        <v>1550</v>
      </c>
      <c r="C1078" s="3">
        <f>VLOOKUP(B1078,LifeList!$E$2:$J$2038,6)</f>
        <v>11874</v>
      </c>
      <c r="D1078" s="3" t="str">
        <f>VLOOKUP(B1078,LifeList!$E$2:$G$2038,1)</f>
        <v>Crimson-mantled Woodpecker</v>
      </c>
      <c r="E1078" s="3" t="str">
        <f>VLOOKUP(B1078,LifeList!$E$2:$G$2038,2)</f>
        <v>Pic de Rivoli</v>
      </c>
      <c r="F1078" s="3" t="str">
        <f>VLOOKUP(B1078,LifeList!$E$2:$G$2038,3)</f>
        <v>Colaptes rivolii</v>
      </c>
      <c r="G1078" s="3" t="str">
        <f>VLOOKUP(B1078,LifeList!$E$2:$I$2038,4)</f>
        <v>Piciformes</v>
      </c>
      <c r="H1078" s="3" t="str">
        <f>VLOOKUP(B1078,LifeList!$E$2:$I$2038,5)</f>
        <v>Picidae (Woodpeckers)</v>
      </c>
      <c r="I1078" s="3"/>
    </row>
    <row r="1079" spans="1:9" ht="10.5" customHeight="1">
      <c r="A1079" s="3" t="s">
        <v>1553</v>
      </c>
      <c r="B1079" s="3" t="s">
        <v>1550</v>
      </c>
      <c r="C1079" s="3">
        <f>VLOOKUP(B1079,LifeList!$E$2:$J$2038,6)</f>
        <v>11874</v>
      </c>
      <c r="D1079" s="3" t="str">
        <f>VLOOKUP(B1079,LifeList!$E$2:$G$2038,1)</f>
        <v>Crimson-mantled Woodpecker</v>
      </c>
      <c r="E1079" s="3" t="str">
        <f>VLOOKUP(B1079,LifeList!$E$2:$G$2038,2)</f>
        <v>Pic de Rivoli</v>
      </c>
      <c r="F1079" s="3" t="str">
        <f>VLOOKUP(B1079,LifeList!$E$2:$G$2038,3)</f>
        <v>Colaptes rivolii</v>
      </c>
      <c r="G1079" s="3" t="str">
        <f>VLOOKUP(B1079,LifeList!$E$2:$I$2038,4)</f>
        <v>Piciformes</v>
      </c>
      <c r="H1079" s="3" t="str">
        <f>VLOOKUP(B1079,LifeList!$E$2:$I$2038,5)</f>
        <v>Picidae (Woodpeckers)</v>
      </c>
      <c r="I1079" s="3"/>
    </row>
    <row r="1080" spans="1:9" ht="10.5" customHeight="1">
      <c r="A1080" s="3" t="s">
        <v>1554</v>
      </c>
      <c r="B1080" s="3" t="s">
        <v>1555</v>
      </c>
      <c r="C1080" s="3">
        <f>VLOOKUP(B1080,LifeList!$E$2:$J$2038,6)</f>
        <v>10865</v>
      </c>
      <c r="D1080" s="3" t="str">
        <f>VLOOKUP(B1080,LifeList!$E$2:$G$2038,1)</f>
        <v>Crimson-rumped Toucanet</v>
      </c>
      <c r="E1080" s="3" t="str">
        <f>VLOOKUP(B1080,LifeList!$E$2:$G$2038,2)</f>
        <v>Toucanet à croupion rouge</v>
      </c>
      <c r="F1080" s="3" t="str">
        <f>VLOOKUP(B1080,LifeList!$E$2:$G$2038,3)</f>
        <v>Aulacorhynchus haematopygus</v>
      </c>
      <c r="G1080" s="3" t="str">
        <f>VLOOKUP(B1080,LifeList!$E$2:$I$2038,4)</f>
        <v>Piciformes</v>
      </c>
      <c r="H1080" s="3" t="str">
        <f>VLOOKUP(B1080,LifeList!$E$2:$I$2038,5)</f>
        <v>Ramphastidae (Toucans)</v>
      </c>
      <c r="I1080" s="3"/>
    </row>
    <row r="1081" spans="1:9" ht="10.5" customHeight="1">
      <c r="A1081" s="3" t="s">
        <v>1556</v>
      </c>
      <c r="B1081" s="3" t="s">
        <v>1557</v>
      </c>
      <c r="C1081" s="3">
        <f>VLOOKUP(B1081,LifeList!$E$2:$J$2038,6)</f>
        <v>9658</v>
      </c>
      <c r="D1081" s="3" t="str">
        <f>VLOOKUP(B1081,LifeList!$E$2:$G$2038,1)</f>
        <v>Crowned Hornbill</v>
      </c>
      <c r="E1081" s="3" t="str">
        <f>VLOOKUP(B1081,LifeList!$E$2:$G$2038,2)</f>
        <v>Calao couronné</v>
      </c>
      <c r="F1081" s="3" t="str">
        <f>VLOOKUP(B1081,LifeList!$E$2:$G$2038,3)</f>
        <v>Lophoceros alboterminatus</v>
      </c>
      <c r="G1081" s="3" t="str">
        <f>VLOOKUP(B1081,LifeList!$E$2:$I$2038,4)</f>
        <v>Bucerotiformes</v>
      </c>
      <c r="H1081" s="3" t="str">
        <f>VLOOKUP(B1081,LifeList!$E$2:$I$2038,5)</f>
        <v>Bucerotidae (Hornbills)</v>
      </c>
      <c r="I1081" s="3"/>
    </row>
    <row r="1082" spans="1:9" ht="10.5" customHeight="1">
      <c r="A1082" s="3" t="s">
        <v>1558</v>
      </c>
      <c r="B1082" s="3" t="s">
        <v>1559</v>
      </c>
      <c r="C1082" s="3">
        <f>VLOOKUP(B1082,LifeList!$E$2:$J$2038,6)</f>
        <v>5873</v>
      </c>
      <c r="D1082" s="3" t="str">
        <f>VLOOKUP(B1082,LifeList!$E$2:$G$2038,1)</f>
        <v>Crowned Lapwing</v>
      </c>
      <c r="E1082" s="3" t="str">
        <f>VLOOKUP(B1082,LifeList!$E$2:$G$2038,2)</f>
        <v>Vanneau couronné</v>
      </c>
      <c r="F1082" s="3" t="str">
        <f>VLOOKUP(B1082,LifeList!$E$2:$G$2038,3)</f>
        <v>Vanellus coronatus</v>
      </c>
      <c r="G1082" s="3" t="str">
        <f>VLOOKUP(B1082,LifeList!$E$2:$I$2038,4)</f>
        <v>Charadriiformes</v>
      </c>
      <c r="H1082" s="3" t="str">
        <f>VLOOKUP(B1082,LifeList!$E$2:$I$2038,5)</f>
        <v>Charadriidae (Plovers and Lapwings)</v>
      </c>
      <c r="I1082" s="3"/>
    </row>
    <row r="1083" spans="1:9" ht="10.5" customHeight="1">
      <c r="A1083" s="3" t="s">
        <v>1560</v>
      </c>
      <c r="B1083" s="3" t="s">
        <v>1559</v>
      </c>
      <c r="C1083" s="3">
        <f>VLOOKUP(B1083,LifeList!$E$2:$J$2038,6)</f>
        <v>5873</v>
      </c>
      <c r="D1083" s="3" t="str">
        <f>VLOOKUP(B1083,LifeList!$E$2:$G$2038,1)</f>
        <v>Crowned Lapwing</v>
      </c>
      <c r="E1083" s="3" t="str">
        <f>VLOOKUP(B1083,LifeList!$E$2:$G$2038,2)</f>
        <v>Vanneau couronné</v>
      </c>
      <c r="F1083" s="3" t="str">
        <f>VLOOKUP(B1083,LifeList!$E$2:$G$2038,3)</f>
        <v>Vanellus coronatus</v>
      </c>
      <c r="G1083" s="3" t="str">
        <f>VLOOKUP(B1083,LifeList!$E$2:$I$2038,4)</f>
        <v>Charadriiformes</v>
      </c>
      <c r="H1083" s="3" t="str">
        <f>VLOOKUP(B1083,LifeList!$E$2:$I$2038,5)</f>
        <v>Charadriidae (Plovers and Lapwings)</v>
      </c>
      <c r="I1083" s="3"/>
    </row>
    <row r="1084" spans="1:9" ht="10.5" customHeight="1">
      <c r="A1084" s="3" t="s">
        <v>1561</v>
      </c>
      <c r="B1084" s="3" t="s">
        <v>1562</v>
      </c>
      <c r="C1084" s="3">
        <f>VLOOKUP(B1084,LifeList!$E$2:$J$2038,6)</f>
        <v>4976</v>
      </c>
      <c r="D1084" s="3" t="str">
        <f>VLOOKUP(B1084,LifeList!$E$2:$G$2038,1)</f>
        <v>Crowned Woodnymph</v>
      </c>
      <c r="E1084" s="3" t="str">
        <f>VLOOKUP(B1084,LifeList!$E$2:$G$2038,2)</f>
        <v>Dryade couronnée</v>
      </c>
      <c r="F1084" s="3" t="str">
        <f>VLOOKUP(B1084,LifeList!$E$2:$G$2038,3)</f>
        <v>Thalurania colombica</v>
      </c>
      <c r="G1084" s="3" t="str">
        <f>VLOOKUP(B1084,LifeList!$E$2:$I$2038,4)</f>
        <v>Apodiformes</v>
      </c>
      <c r="H1084" s="3" t="str">
        <f>VLOOKUP(B1084,LifeList!$E$2:$I$2038,5)</f>
        <v>Trochilidae (Hummingbirds)</v>
      </c>
      <c r="I1084" s="3"/>
    </row>
    <row r="1085" spans="1:9" ht="10.5" customHeight="1">
      <c r="A1085" s="3" t="s">
        <v>1563</v>
      </c>
      <c r="B1085" s="3" t="s">
        <v>1562</v>
      </c>
      <c r="C1085" s="3">
        <f>VLOOKUP(B1085,LifeList!$E$2:$J$2038,6)</f>
        <v>4976</v>
      </c>
      <c r="D1085" s="3" t="str">
        <f>VLOOKUP(B1085,LifeList!$E$2:$G$2038,1)</f>
        <v>Crowned Woodnymph</v>
      </c>
      <c r="E1085" s="3" t="str">
        <f>VLOOKUP(B1085,LifeList!$E$2:$G$2038,2)</f>
        <v>Dryade couronnée</v>
      </c>
      <c r="F1085" s="3" t="str">
        <f>VLOOKUP(B1085,LifeList!$E$2:$G$2038,3)</f>
        <v>Thalurania colombica</v>
      </c>
      <c r="G1085" s="3" t="str">
        <f>VLOOKUP(B1085,LifeList!$E$2:$I$2038,4)</f>
        <v>Apodiformes</v>
      </c>
      <c r="H1085" s="3" t="str">
        <f>VLOOKUP(B1085,LifeList!$E$2:$I$2038,5)</f>
        <v>Trochilidae (Hummingbirds)</v>
      </c>
      <c r="I1085" s="3"/>
    </row>
    <row r="1086" spans="1:9" ht="10.5" customHeight="1">
      <c r="A1086" s="3" t="s">
        <v>1564</v>
      </c>
      <c r="B1086" s="3" t="s">
        <v>1562</v>
      </c>
      <c r="C1086" s="3">
        <f>VLOOKUP(B1086,LifeList!$E$2:$J$2038,6)</f>
        <v>4976</v>
      </c>
      <c r="D1086" s="3" t="str">
        <f>VLOOKUP(B1086,LifeList!$E$2:$G$2038,1)</f>
        <v>Crowned Woodnymph</v>
      </c>
      <c r="E1086" s="3" t="str">
        <f>VLOOKUP(B1086,LifeList!$E$2:$G$2038,2)</f>
        <v>Dryade couronnée</v>
      </c>
      <c r="F1086" s="3" t="str">
        <f>VLOOKUP(B1086,LifeList!$E$2:$G$2038,3)</f>
        <v>Thalurania colombica</v>
      </c>
      <c r="G1086" s="3" t="str">
        <f>VLOOKUP(B1086,LifeList!$E$2:$I$2038,4)</f>
        <v>Apodiformes</v>
      </c>
      <c r="H1086" s="3" t="str">
        <f>VLOOKUP(B1086,LifeList!$E$2:$I$2038,5)</f>
        <v>Trochilidae (Hummingbirds)</v>
      </c>
      <c r="I1086" s="3"/>
    </row>
    <row r="1087" spans="1:9" ht="10.5" customHeight="1">
      <c r="A1087" s="3" t="s">
        <v>1565</v>
      </c>
      <c r="B1087" s="3" t="s">
        <v>1562</v>
      </c>
      <c r="C1087" s="3">
        <f>VLOOKUP(B1087,LifeList!$E$2:$J$2038,6)</f>
        <v>4976</v>
      </c>
      <c r="D1087" s="3" t="str">
        <f>VLOOKUP(B1087,LifeList!$E$2:$G$2038,1)</f>
        <v>Crowned Woodnymph</v>
      </c>
      <c r="E1087" s="3" t="str">
        <f>VLOOKUP(B1087,LifeList!$E$2:$G$2038,2)</f>
        <v>Dryade couronnée</v>
      </c>
      <c r="F1087" s="3" t="str">
        <f>VLOOKUP(B1087,LifeList!$E$2:$G$2038,3)</f>
        <v>Thalurania colombica</v>
      </c>
      <c r="G1087" s="3" t="str">
        <f>VLOOKUP(B1087,LifeList!$E$2:$I$2038,4)</f>
        <v>Apodiformes</v>
      </c>
      <c r="H1087" s="3" t="str">
        <f>VLOOKUP(B1087,LifeList!$E$2:$I$2038,5)</f>
        <v>Trochilidae (Hummingbirds)</v>
      </c>
      <c r="I1087" s="3"/>
    </row>
    <row r="1088" spans="1:9" ht="10.5" customHeight="1">
      <c r="A1088" s="3" t="s">
        <v>1566</v>
      </c>
      <c r="B1088" s="3" t="s">
        <v>1562</v>
      </c>
      <c r="C1088" s="3">
        <f>VLOOKUP(B1088,LifeList!$E$2:$J$2038,6)</f>
        <v>4976</v>
      </c>
      <c r="D1088" s="3" t="str">
        <f>VLOOKUP(B1088,LifeList!$E$2:$G$2038,1)</f>
        <v>Crowned Woodnymph</v>
      </c>
      <c r="E1088" s="3" t="str">
        <f>VLOOKUP(B1088,LifeList!$E$2:$G$2038,2)</f>
        <v>Dryade couronnée</v>
      </c>
      <c r="F1088" s="3" t="str">
        <f>VLOOKUP(B1088,LifeList!$E$2:$G$2038,3)</f>
        <v>Thalurania colombica</v>
      </c>
      <c r="G1088" s="3" t="str">
        <f>VLOOKUP(B1088,LifeList!$E$2:$I$2038,4)</f>
        <v>Apodiformes</v>
      </c>
      <c r="H1088" s="3" t="str">
        <f>VLOOKUP(B1088,LifeList!$E$2:$I$2038,5)</f>
        <v>Trochilidae (Hummingbirds)</v>
      </c>
      <c r="I1088" s="3"/>
    </row>
    <row r="1089" spans="1:9" ht="10.5" customHeight="1">
      <c r="A1089" s="3" t="s">
        <v>1567</v>
      </c>
      <c r="B1089" s="3" t="s">
        <v>1562</v>
      </c>
      <c r="C1089" s="3">
        <f>VLOOKUP(B1089,LifeList!$E$2:$J$2038,6)</f>
        <v>4976</v>
      </c>
      <c r="D1089" s="3" t="str">
        <f>VLOOKUP(B1089,LifeList!$E$2:$G$2038,1)</f>
        <v>Crowned Woodnymph</v>
      </c>
      <c r="E1089" s="3" t="str">
        <f>VLOOKUP(B1089,LifeList!$E$2:$G$2038,2)</f>
        <v>Dryade couronnée</v>
      </c>
      <c r="F1089" s="3" t="str">
        <f>VLOOKUP(B1089,LifeList!$E$2:$G$2038,3)</f>
        <v>Thalurania colombica</v>
      </c>
      <c r="G1089" s="3" t="str">
        <f>VLOOKUP(B1089,LifeList!$E$2:$I$2038,4)</f>
        <v>Apodiformes</v>
      </c>
      <c r="H1089" s="3" t="str">
        <f>VLOOKUP(B1089,LifeList!$E$2:$I$2038,5)</f>
        <v>Trochilidae (Hummingbirds)</v>
      </c>
      <c r="I1089" s="3"/>
    </row>
    <row r="1090" spans="1:9" ht="10.5" customHeight="1">
      <c r="A1090" s="3" t="s">
        <v>1568</v>
      </c>
      <c r="B1090" s="3" t="s">
        <v>1562</v>
      </c>
      <c r="C1090" s="3">
        <f>VLOOKUP(B1090,LifeList!$E$2:$J$2038,6)</f>
        <v>4976</v>
      </c>
      <c r="D1090" s="3" t="str">
        <f>VLOOKUP(B1090,LifeList!$E$2:$G$2038,1)</f>
        <v>Crowned Woodnymph</v>
      </c>
      <c r="E1090" s="3" t="str">
        <f>VLOOKUP(B1090,LifeList!$E$2:$G$2038,2)</f>
        <v>Dryade couronnée</v>
      </c>
      <c r="F1090" s="3" t="str">
        <f>VLOOKUP(B1090,LifeList!$E$2:$G$2038,3)</f>
        <v>Thalurania colombica</v>
      </c>
      <c r="G1090" s="3" t="str">
        <f>VLOOKUP(B1090,LifeList!$E$2:$I$2038,4)</f>
        <v>Apodiformes</v>
      </c>
      <c r="H1090" s="3" t="str">
        <f>VLOOKUP(B1090,LifeList!$E$2:$I$2038,5)</f>
        <v>Trochilidae (Hummingbirds)</v>
      </c>
      <c r="I1090" s="3"/>
    </row>
    <row r="1091" spans="1:9" ht="10.5" customHeight="1">
      <c r="A1091" s="7" t="s">
        <v>1569</v>
      </c>
      <c r="B1091" s="9" t="s">
        <v>1570</v>
      </c>
      <c r="C1091" s="3">
        <f>VLOOKUP(B1091,LifeList!$E$2:$J$2038,6)</f>
        <v>4976</v>
      </c>
      <c r="D1091" s="3" t="str">
        <f>VLOOKUP(B1091,LifeList!$E$2:$G$2038,1)</f>
        <v>Crowned Woodnymph</v>
      </c>
      <c r="E1091" s="3" t="str">
        <f>VLOOKUP(B1091,LifeList!$E$2:$G$2038,2)</f>
        <v>Dryade couronnée</v>
      </c>
      <c r="F1091" s="3" t="str">
        <f>VLOOKUP(B1091,LifeList!$E$2:$G$2038,3)</f>
        <v>Thalurania colombica</v>
      </c>
      <c r="G1091" s="3" t="str">
        <f>VLOOKUP(B1091,LifeList!$E$2:$I$2038,4)</f>
        <v>Apodiformes</v>
      </c>
      <c r="H1091" s="3" t="str">
        <f>VLOOKUP(B1091,LifeList!$E$2:$I$2038,5)</f>
        <v>Trochilidae (Hummingbirds)</v>
      </c>
      <c r="I1091" s="3"/>
    </row>
    <row r="1092" spans="1:9" ht="10.5" customHeight="1">
      <c r="A1092" s="3" t="s">
        <v>1571</v>
      </c>
      <c r="B1092" s="3" t="s">
        <v>1572</v>
      </c>
      <c r="C1092" s="3">
        <f>VLOOKUP(B1092,LifeList!$E$2:$J$2038,6)</f>
        <v>9444</v>
      </c>
      <c r="D1092" s="3" t="str">
        <f>VLOOKUP(B1092,LifeList!$E$2:$G$2038,1)</f>
        <v>Cuckoo-roller</v>
      </c>
      <c r="E1092" s="3" t="str">
        <f>VLOOKUP(B1092,LifeList!$E$2:$G$2038,2)</f>
        <v>Courol vouroudriou</v>
      </c>
      <c r="F1092" s="3" t="str">
        <f>VLOOKUP(B1092,LifeList!$E$2:$G$2038,3)</f>
        <v>Leptosomus discolor</v>
      </c>
      <c r="G1092" s="3" t="str">
        <f>VLOOKUP(B1092,LifeList!$E$2:$I$2038,4)</f>
        <v>Leptosomiformes</v>
      </c>
      <c r="H1092" s="3" t="str">
        <f>VLOOKUP(B1092,LifeList!$E$2:$I$2038,5)</f>
        <v>Leptosomidae (Cuckoo-roller)</v>
      </c>
      <c r="I1092" s="3"/>
    </row>
    <row r="1093" spans="1:9" ht="10.5" customHeight="1">
      <c r="A1093" s="3" t="s">
        <v>1573</v>
      </c>
      <c r="B1093" s="3" t="s">
        <v>1574</v>
      </c>
      <c r="C1093" s="3">
        <f>VLOOKUP(B1093,LifeList!$E$2:$J$2038,6)</f>
        <v>6182</v>
      </c>
      <c r="D1093" s="3" t="str">
        <f>VLOOKUP(B1093,LifeList!$E$2:$G$2038,1)</f>
        <v>Curlew Sandpiper</v>
      </c>
      <c r="E1093" s="3" t="str">
        <f>VLOOKUP(B1093,LifeList!$E$2:$G$2038,2)</f>
        <v>Bécasseau cocorli</v>
      </c>
      <c r="F1093" s="3" t="str">
        <f>VLOOKUP(B1093,LifeList!$E$2:$G$2038,3)</f>
        <v>Calidris ferruginea</v>
      </c>
      <c r="G1093" s="3" t="str">
        <f>VLOOKUP(B1093,LifeList!$E$2:$I$2038,4)</f>
        <v>Charadriiformes</v>
      </c>
      <c r="H1093" s="3" t="str">
        <f>VLOOKUP(B1093,LifeList!$E$2:$I$2038,5)</f>
        <v>Scolopacidae (Sandpipers and Allies)</v>
      </c>
      <c r="I1093" s="3"/>
    </row>
    <row r="1094" spans="1:9" ht="10.5" customHeight="1">
      <c r="A1094" s="3" t="s">
        <v>1575</v>
      </c>
      <c r="B1094" s="3" t="s">
        <v>1574</v>
      </c>
      <c r="C1094" s="3">
        <f>VLOOKUP(B1094,LifeList!$E$2:$J$2038,6)</f>
        <v>6182</v>
      </c>
      <c r="D1094" s="3" t="str">
        <f>VLOOKUP(B1094,LifeList!$E$2:$G$2038,1)</f>
        <v>Curlew Sandpiper</v>
      </c>
      <c r="E1094" s="3" t="str">
        <f>VLOOKUP(B1094,LifeList!$E$2:$G$2038,2)</f>
        <v>Bécasseau cocorli</v>
      </c>
      <c r="F1094" s="3" t="str">
        <f>VLOOKUP(B1094,LifeList!$E$2:$G$2038,3)</f>
        <v>Calidris ferruginea</v>
      </c>
      <c r="G1094" s="3" t="str">
        <f>VLOOKUP(B1094,LifeList!$E$2:$I$2038,4)</f>
        <v>Charadriiformes</v>
      </c>
      <c r="H1094" s="3" t="str">
        <f>VLOOKUP(B1094,LifeList!$E$2:$I$2038,5)</f>
        <v>Scolopacidae (Sandpipers and Allies)</v>
      </c>
      <c r="I1094" s="3"/>
    </row>
    <row r="1095" spans="1:9" ht="10.5" customHeight="1">
      <c r="A1095" s="3" t="s">
        <v>1576</v>
      </c>
      <c r="B1095" s="3" t="s">
        <v>1577</v>
      </c>
      <c r="C1095" s="3">
        <f>VLOOKUP(B1095,LifeList!$E$2:$J$2038,6)</f>
        <v>16895</v>
      </c>
      <c r="D1095" s="3" t="str">
        <f>VLOOKUP(B1095,LifeList!$E$2:$G$2038,1)</f>
        <v>Dark Pewee</v>
      </c>
      <c r="E1095" s="3" t="str">
        <f>VLOOKUP(B1095,LifeList!$E$2:$G$2038,2)</f>
        <v>Moucherolle ombré</v>
      </c>
      <c r="F1095" s="3" t="str">
        <f>VLOOKUP(B1095,LifeList!$E$2:$G$2038,3)</f>
        <v>Contopus lugubris</v>
      </c>
      <c r="G1095" s="3" t="str">
        <f>VLOOKUP(B1095,LifeList!$E$2:$I$2038,4)</f>
        <v>Passeriformes</v>
      </c>
      <c r="H1095" s="3" t="str">
        <f>VLOOKUP(B1095,LifeList!$E$2:$I$2038,5)</f>
        <v>Tyrannidae (Tyrant Flycatchers)</v>
      </c>
      <c r="I1095" s="3"/>
    </row>
    <row r="1096" spans="1:9" ht="10.5" customHeight="1">
      <c r="A1096" s="5" t="s">
        <v>1578</v>
      </c>
      <c r="B1096" s="3" t="s">
        <v>1579</v>
      </c>
      <c r="C1096" s="6">
        <f>VLOOKUP(B1096,LifeList!$E$2:$J$2038,6)</f>
        <v>30877</v>
      </c>
      <c r="D1096" s="3" t="str">
        <f>VLOOKUP(B1096,LifeList!$E$2:$G$2038,1)</f>
        <v>Dark-backed Weaver</v>
      </c>
      <c r="E1096" s="3" t="str">
        <f>VLOOKUP(B1096,LifeList!$E$2:$G$2038,2)</f>
        <v>Tisserin bicolore</v>
      </c>
      <c r="F1096" s="3" t="str">
        <f>VLOOKUP(B1096,LifeList!$E$2:$G$2038,3)</f>
        <v>Ploceus bicolor</v>
      </c>
      <c r="G1096" s="3" t="str">
        <f>VLOOKUP(B1096,LifeList!$E$2:$I$2038,4)</f>
        <v>Passeriformes</v>
      </c>
      <c r="H1096" s="3" t="str">
        <f>VLOOKUP(B1096,LifeList!$E$2:$I$2038,5)</f>
        <v>Ploceidae (Weavers and Allies)</v>
      </c>
      <c r="I1096" s="3"/>
    </row>
    <row r="1097" spans="1:9" ht="10.5" customHeight="1">
      <c r="A1097" s="3" t="s">
        <v>1580</v>
      </c>
      <c r="B1097" s="3" t="s">
        <v>1581</v>
      </c>
      <c r="C1097" s="3">
        <f>VLOOKUP(B1097,LifeList!$E$2:$J$2038,6)</f>
        <v>33124</v>
      </c>
      <c r="D1097" s="3" t="str">
        <f>VLOOKUP(B1097,LifeList!$E$2:$G$2038,1)</f>
        <v>Dark-eyed Junco</v>
      </c>
      <c r="E1097" s="3" t="str">
        <f>VLOOKUP(B1097,LifeList!$E$2:$G$2038,2)</f>
        <v>Junco ardoisé</v>
      </c>
      <c r="F1097" s="3" t="str">
        <f>VLOOKUP(B1097,LifeList!$E$2:$G$2038,3)</f>
        <v>Junco hyemalis</v>
      </c>
      <c r="G1097" s="3" t="str">
        <f>VLOOKUP(B1097,LifeList!$E$2:$I$2038,4)</f>
        <v>Passeriformes</v>
      </c>
      <c r="H1097" s="3" t="str">
        <f>VLOOKUP(B1097,LifeList!$E$2:$I$2038,5)</f>
        <v>Passerellidae (New World Sparrows)</v>
      </c>
      <c r="I1097" s="3"/>
    </row>
    <row r="1098" spans="1:9" ht="10.5" customHeight="1">
      <c r="A1098" s="7" t="s">
        <v>1582</v>
      </c>
      <c r="B1098" s="9" t="s">
        <v>1583</v>
      </c>
      <c r="C1098" s="3">
        <f>VLOOKUP(B1098,LifeList!$E$2:$J$2038,6)</f>
        <v>31014</v>
      </c>
      <c r="D1098" s="3" t="str">
        <f>VLOOKUP(B1098,LifeList!$E$2:$G$2038,1)</f>
        <v>Diamond Firetail</v>
      </c>
      <c r="E1098" s="3" t="str">
        <f>VLOOKUP(B1098,LifeList!$E$2:$G$2038,2)</f>
        <v>Diamant à gouttelettes</v>
      </c>
      <c r="F1098" s="3" t="str">
        <f>VLOOKUP(B1098,LifeList!$E$2:$G$2038,3)</f>
        <v>Stagonopleura guttata</v>
      </c>
      <c r="G1098" s="3" t="str">
        <f>VLOOKUP(B1098,LifeList!$E$2:$I$2038,4)</f>
        <v>Passeriformes</v>
      </c>
      <c r="H1098" s="3" t="str">
        <f>VLOOKUP(B1098,LifeList!$E$2:$I$2038,5)</f>
        <v>Estrildidae (Waxbills and Allies)</v>
      </c>
      <c r="I1098" s="3"/>
    </row>
    <row r="1099" spans="1:9" ht="10.5" customHeight="1">
      <c r="A1099" s="3" t="s">
        <v>1584</v>
      </c>
      <c r="B1099" s="3" t="s">
        <v>1585</v>
      </c>
      <c r="C1099" s="3">
        <f>VLOOKUP(B1099,LifeList!$E$2:$J$2038,6)</f>
        <v>10358</v>
      </c>
      <c r="D1099" s="3" t="str">
        <f>VLOOKUP(B1099,LifeList!$E$2:$G$2038,1)</f>
        <v>Dollarbird</v>
      </c>
      <c r="E1099" s="3" t="str">
        <f>VLOOKUP(B1099,LifeList!$E$2:$G$2038,2)</f>
        <v>Rolle oriental</v>
      </c>
      <c r="F1099" s="3" t="str">
        <f>VLOOKUP(B1099,LifeList!$E$2:$G$2038,3)</f>
        <v>Eurystomus orientalis</v>
      </c>
      <c r="G1099" s="3" t="str">
        <f>VLOOKUP(B1099,LifeList!$E$2:$I$2038,4)</f>
        <v>Coraciiformes</v>
      </c>
      <c r="H1099" s="3" t="str">
        <f>VLOOKUP(B1099,LifeList!$E$2:$I$2038,5)</f>
        <v>Coraciidae (Rollers)</v>
      </c>
      <c r="I1099" s="3"/>
    </row>
    <row r="1100" spans="1:9" ht="10.5" customHeight="1">
      <c r="A1100" s="3" t="s">
        <v>1586</v>
      </c>
      <c r="B1100" s="3" t="s">
        <v>1587</v>
      </c>
      <c r="C1100" s="3">
        <f>VLOOKUP(B1100,LifeList!$E$2:$J$2038,6)</f>
        <v>13817</v>
      </c>
      <c r="D1100" s="3" t="str">
        <f>VLOOKUP(B1100,LifeList!$E$2:$G$2038,1)</f>
        <v>Dot-winged Antwren</v>
      </c>
      <c r="E1100" s="3" t="str">
        <f>VLOOKUP(B1100,LifeList!$E$2:$G$2038,2)</f>
        <v>Grisin étoilé</v>
      </c>
      <c r="F1100" s="3" t="str">
        <f>VLOOKUP(B1100,LifeList!$E$2:$G$2038,3)</f>
        <v>Microrhopias quixensis</v>
      </c>
      <c r="G1100" s="3" t="str">
        <f>VLOOKUP(B1100,LifeList!$E$2:$I$2038,4)</f>
        <v>Passeriformes</v>
      </c>
      <c r="H1100" s="3" t="str">
        <f>VLOOKUP(B1100,LifeList!$E$2:$I$2038,5)</f>
        <v>Thamnophilidae (Typical Antbirds)</v>
      </c>
      <c r="I1100" s="3"/>
    </row>
    <row r="1101" spans="1:9" ht="10.5" customHeight="1">
      <c r="A1101" s="3" t="s">
        <v>1588</v>
      </c>
      <c r="B1101" s="3" t="s">
        <v>1587</v>
      </c>
      <c r="C1101" s="3">
        <f>VLOOKUP(B1101,LifeList!$E$2:$J$2038,6)</f>
        <v>13817</v>
      </c>
      <c r="D1101" s="3" t="str">
        <f>VLOOKUP(B1101,LifeList!$E$2:$G$2038,1)</f>
        <v>Dot-winged Antwren</v>
      </c>
      <c r="E1101" s="3" t="str">
        <f>VLOOKUP(B1101,LifeList!$E$2:$G$2038,2)</f>
        <v>Grisin étoilé</v>
      </c>
      <c r="F1101" s="3" t="str">
        <f>VLOOKUP(B1101,LifeList!$E$2:$G$2038,3)</f>
        <v>Microrhopias quixensis</v>
      </c>
      <c r="G1101" s="3" t="str">
        <f>VLOOKUP(B1101,LifeList!$E$2:$I$2038,4)</f>
        <v>Passeriformes</v>
      </c>
      <c r="H1101" s="3" t="str">
        <f>VLOOKUP(B1101,LifeList!$E$2:$I$2038,5)</f>
        <v>Thamnophilidae (Typical Antbirds)</v>
      </c>
      <c r="I1101" s="3"/>
    </row>
    <row r="1102" spans="1:9" ht="10.5" customHeight="1">
      <c r="A1102" s="3" t="s">
        <v>1589</v>
      </c>
      <c r="B1102" s="3" t="s">
        <v>1587</v>
      </c>
      <c r="C1102" s="3">
        <f>VLOOKUP(B1102,LifeList!$E$2:$J$2038,6)</f>
        <v>13817</v>
      </c>
      <c r="D1102" s="3" t="str">
        <f>VLOOKUP(B1102,LifeList!$E$2:$G$2038,1)</f>
        <v>Dot-winged Antwren</v>
      </c>
      <c r="E1102" s="3" t="str">
        <f>VLOOKUP(B1102,LifeList!$E$2:$G$2038,2)</f>
        <v>Grisin étoilé</v>
      </c>
      <c r="F1102" s="3" t="str">
        <f>VLOOKUP(B1102,LifeList!$E$2:$G$2038,3)</f>
        <v>Microrhopias quixensis</v>
      </c>
      <c r="G1102" s="3" t="str">
        <f>VLOOKUP(B1102,LifeList!$E$2:$I$2038,4)</f>
        <v>Passeriformes</v>
      </c>
      <c r="H1102" s="3" t="str">
        <f>VLOOKUP(B1102,LifeList!$E$2:$I$2038,5)</f>
        <v>Thamnophilidae (Typical Antbirds)</v>
      </c>
      <c r="I1102" s="3"/>
    </row>
    <row r="1103" spans="1:9" ht="10.5" customHeight="1">
      <c r="A1103" s="3" t="s">
        <v>1590</v>
      </c>
      <c r="B1103" s="3" t="s">
        <v>1587</v>
      </c>
      <c r="C1103" s="3">
        <f>VLOOKUP(B1103,LifeList!$E$2:$J$2038,6)</f>
        <v>13817</v>
      </c>
      <c r="D1103" s="3" t="str">
        <f>VLOOKUP(B1103,LifeList!$E$2:$G$2038,1)</f>
        <v>Dot-winged Antwren</v>
      </c>
      <c r="E1103" s="3" t="str">
        <f>VLOOKUP(B1103,LifeList!$E$2:$G$2038,2)</f>
        <v>Grisin étoilé</v>
      </c>
      <c r="F1103" s="3" t="str">
        <f>VLOOKUP(B1103,LifeList!$E$2:$G$2038,3)</f>
        <v>Microrhopias quixensis</v>
      </c>
      <c r="G1103" s="3" t="str">
        <f>VLOOKUP(B1103,LifeList!$E$2:$I$2038,4)</f>
        <v>Passeriformes</v>
      </c>
      <c r="H1103" s="3" t="str">
        <f>VLOOKUP(B1103,LifeList!$E$2:$I$2038,5)</f>
        <v>Thamnophilidae (Typical Antbirds)</v>
      </c>
      <c r="I1103" s="3"/>
    </row>
    <row r="1104" spans="1:9" ht="10.5" customHeight="1">
      <c r="A1104" s="7" t="s">
        <v>1591</v>
      </c>
      <c r="B1104" s="8" t="s">
        <v>1592</v>
      </c>
      <c r="C1104" s="3">
        <f>VLOOKUP(B1104,LifeList!$E$2:$J$2038,6)</f>
        <v>15461</v>
      </c>
      <c r="D1104" s="3" t="str">
        <f>VLOOKUP(B1104,LifeList!$E$2:$G$2038,1)</f>
        <v>Double-banded Graytail</v>
      </c>
      <c r="E1104" s="3" t="str">
        <f>VLOOKUP(B1104,LifeList!$E$2:$G$2038,2)</f>
        <v>Queue-grise des feuilles</v>
      </c>
      <c r="F1104" s="3" t="str">
        <f>VLOOKUP(B1104,LifeList!$E$2:$G$2038,3)</f>
        <v>Xenerpestes minlosi</v>
      </c>
      <c r="G1104" s="3" t="str">
        <f>VLOOKUP(B1104,LifeList!$E$2:$I$2038,4)</f>
        <v>Passeriformes</v>
      </c>
      <c r="H1104" s="3" t="str">
        <f>VLOOKUP(B1104,LifeList!$E$2:$I$2038,5)</f>
        <v>Furnariidae (Ovenbirds and Woodcreepers)</v>
      </c>
      <c r="I1104" s="3"/>
    </row>
    <row r="1105" spans="1:9" ht="10.5" customHeight="1">
      <c r="A1105" s="3" t="s">
        <v>1593</v>
      </c>
      <c r="B1105" s="3" t="s">
        <v>1594</v>
      </c>
      <c r="C1105" s="3">
        <f>VLOOKUP(B1105,LifeList!$E$2:$J$2038,6)</f>
        <v>2901</v>
      </c>
      <c r="D1105" s="3" t="str">
        <f>VLOOKUP(B1105,LifeList!$E$2:$G$2038,1)</f>
        <v>Double-banded Sandgrouse</v>
      </c>
      <c r="E1105" s="3" t="str">
        <f>VLOOKUP(B1105,LifeList!$E$2:$G$2038,2)</f>
        <v>Ganga bibande</v>
      </c>
      <c r="F1105" s="3" t="str">
        <f>VLOOKUP(B1105,LifeList!$E$2:$G$2038,3)</f>
        <v>Pterocles bicinctus</v>
      </c>
      <c r="G1105" s="3" t="str">
        <f>VLOOKUP(B1105,LifeList!$E$2:$I$2038,4)</f>
        <v>Pterocliformes</v>
      </c>
      <c r="H1105" s="3" t="str">
        <f>VLOOKUP(B1105,LifeList!$E$2:$I$2038,5)</f>
        <v>Pteroclidae (Sandgrouse)</v>
      </c>
      <c r="I1105" s="3"/>
    </row>
    <row r="1106" spans="1:9" ht="10.5" customHeight="1">
      <c r="A1106" s="3" t="s">
        <v>1595</v>
      </c>
      <c r="B1106" s="3" t="s">
        <v>1596</v>
      </c>
      <c r="C1106" s="3">
        <f>VLOOKUP(B1106,LifeList!$E$2:$J$2038,6)</f>
        <v>7424</v>
      </c>
      <c r="D1106" s="3" t="str">
        <f>VLOOKUP(B1106,LifeList!$E$2:$G$2038,1)</f>
        <v>Double-crested Cormorant</v>
      </c>
      <c r="E1106" s="3" t="str">
        <f>VLOOKUP(B1106,LifeList!$E$2:$G$2038,2)</f>
        <v>Cormoran à aigrettes</v>
      </c>
      <c r="F1106" s="3" t="str">
        <f>VLOOKUP(B1106,LifeList!$E$2:$G$2038,3)</f>
        <v>Nannopterum auritum</v>
      </c>
      <c r="G1106" s="3" t="str">
        <f>VLOOKUP(B1106,LifeList!$E$2:$I$2038,4)</f>
        <v>Suliformes</v>
      </c>
      <c r="H1106" s="3" t="str">
        <f>VLOOKUP(B1106,LifeList!$E$2:$I$2038,5)</f>
        <v>Phalacrocoracidae (Cormorants and Shags)</v>
      </c>
      <c r="I1106" s="3"/>
    </row>
    <row r="1107" spans="1:9" ht="10.5" customHeight="1">
      <c r="A1107" s="3" t="s">
        <v>1597</v>
      </c>
      <c r="B1107" s="3" t="s">
        <v>1596</v>
      </c>
      <c r="C1107" s="3">
        <f>VLOOKUP(B1107,LifeList!$E$2:$J$2038,6)</f>
        <v>7424</v>
      </c>
      <c r="D1107" s="3" t="str">
        <f>VLOOKUP(B1107,LifeList!$E$2:$G$2038,1)</f>
        <v>Double-crested Cormorant</v>
      </c>
      <c r="E1107" s="3" t="str">
        <f>VLOOKUP(B1107,LifeList!$E$2:$G$2038,2)</f>
        <v>Cormoran à aigrettes</v>
      </c>
      <c r="F1107" s="3" t="str">
        <f>VLOOKUP(B1107,LifeList!$E$2:$G$2038,3)</f>
        <v>Nannopterum auritum</v>
      </c>
      <c r="G1107" s="3" t="str">
        <f>VLOOKUP(B1107,LifeList!$E$2:$I$2038,4)</f>
        <v>Suliformes</v>
      </c>
      <c r="H1107" s="3" t="str">
        <f>VLOOKUP(B1107,LifeList!$E$2:$I$2038,5)</f>
        <v>Phalacrocoracidae (Cormorants and Shags)</v>
      </c>
      <c r="I1107" s="3"/>
    </row>
    <row r="1108" spans="1:9" ht="10.5" customHeight="1">
      <c r="A1108" s="3" t="s">
        <v>1598</v>
      </c>
      <c r="B1108" s="3" t="s">
        <v>1596</v>
      </c>
      <c r="C1108" s="3">
        <f>VLOOKUP(B1108,LifeList!$E$2:$J$2038,6)</f>
        <v>7424</v>
      </c>
      <c r="D1108" s="3" t="str">
        <f>VLOOKUP(B1108,LifeList!$E$2:$G$2038,1)</f>
        <v>Double-crested Cormorant</v>
      </c>
      <c r="E1108" s="3" t="str">
        <f>VLOOKUP(B1108,LifeList!$E$2:$G$2038,2)</f>
        <v>Cormoran à aigrettes</v>
      </c>
      <c r="F1108" s="3" t="str">
        <f>VLOOKUP(B1108,LifeList!$E$2:$G$2038,3)</f>
        <v>Nannopterum auritum</v>
      </c>
      <c r="G1108" s="3" t="str">
        <f>VLOOKUP(B1108,LifeList!$E$2:$I$2038,4)</f>
        <v>Suliformes</v>
      </c>
      <c r="H1108" s="3" t="str">
        <f>VLOOKUP(B1108,LifeList!$E$2:$I$2038,5)</f>
        <v>Phalacrocoracidae (Cormorants and Shags)</v>
      </c>
      <c r="I1108" s="3"/>
    </row>
    <row r="1109" spans="1:9" ht="10.5" customHeight="1">
      <c r="A1109" s="3" t="s">
        <v>1599</v>
      </c>
      <c r="B1109" s="3" t="s">
        <v>1596</v>
      </c>
      <c r="C1109" s="3">
        <f>VLOOKUP(B1109,LifeList!$E$2:$J$2038,6)</f>
        <v>7424</v>
      </c>
      <c r="D1109" s="3" t="str">
        <f>VLOOKUP(B1109,LifeList!$E$2:$G$2038,1)</f>
        <v>Double-crested Cormorant</v>
      </c>
      <c r="E1109" s="3" t="str">
        <f>VLOOKUP(B1109,LifeList!$E$2:$G$2038,2)</f>
        <v>Cormoran à aigrettes</v>
      </c>
      <c r="F1109" s="3" t="str">
        <f>VLOOKUP(B1109,LifeList!$E$2:$G$2038,3)</f>
        <v>Nannopterum auritum</v>
      </c>
      <c r="G1109" s="3" t="str">
        <f>VLOOKUP(B1109,LifeList!$E$2:$I$2038,4)</f>
        <v>Suliformes</v>
      </c>
      <c r="H1109" s="3" t="str">
        <f>VLOOKUP(B1109,LifeList!$E$2:$I$2038,5)</f>
        <v>Phalacrocoracidae (Cormorants and Shags)</v>
      </c>
      <c r="I1109" s="3"/>
    </row>
    <row r="1110" spans="1:9" ht="10.5" customHeight="1">
      <c r="A1110" s="3" t="s">
        <v>1600</v>
      </c>
      <c r="B1110" s="3" t="s">
        <v>1596</v>
      </c>
      <c r="C1110" s="3">
        <f>VLOOKUP(B1110,LifeList!$E$2:$J$2038,6)</f>
        <v>7424</v>
      </c>
      <c r="D1110" s="3" t="str">
        <f>VLOOKUP(B1110,LifeList!$E$2:$G$2038,1)</f>
        <v>Double-crested Cormorant</v>
      </c>
      <c r="E1110" s="3" t="str">
        <f>VLOOKUP(B1110,LifeList!$E$2:$G$2038,2)</f>
        <v>Cormoran à aigrettes</v>
      </c>
      <c r="F1110" s="3" t="str">
        <f>VLOOKUP(B1110,LifeList!$E$2:$G$2038,3)</f>
        <v>Nannopterum auritum</v>
      </c>
      <c r="G1110" s="3" t="str">
        <f>VLOOKUP(B1110,LifeList!$E$2:$I$2038,4)</f>
        <v>Suliformes</v>
      </c>
      <c r="H1110" s="3" t="str">
        <f>VLOOKUP(B1110,LifeList!$E$2:$I$2038,5)</f>
        <v>Phalacrocoracidae (Cormorants and Shags)</v>
      </c>
      <c r="I1110" s="3"/>
    </row>
    <row r="1111" spans="1:9" ht="10.5" customHeight="1">
      <c r="A1111" s="3" t="s">
        <v>1601</v>
      </c>
      <c r="B1111" s="3" t="s">
        <v>1596</v>
      </c>
      <c r="C1111" s="3">
        <f>VLOOKUP(B1111,LifeList!$E$2:$J$2038,6)</f>
        <v>7424</v>
      </c>
      <c r="D1111" s="3" t="str">
        <f>VLOOKUP(B1111,LifeList!$E$2:$G$2038,1)</f>
        <v>Double-crested Cormorant</v>
      </c>
      <c r="E1111" s="3" t="str">
        <f>VLOOKUP(B1111,LifeList!$E$2:$G$2038,2)</f>
        <v>Cormoran à aigrettes</v>
      </c>
      <c r="F1111" s="3" t="str">
        <f>VLOOKUP(B1111,LifeList!$E$2:$G$2038,3)</f>
        <v>Nannopterum auritum</v>
      </c>
      <c r="G1111" s="3" t="str">
        <f>VLOOKUP(B1111,LifeList!$E$2:$I$2038,4)</f>
        <v>Suliformes</v>
      </c>
      <c r="H1111" s="3" t="str">
        <f>VLOOKUP(B1111,LifeList!$E$2:$I$2038,5)</f>
        <v>Phalacrocoracidae (Cormorants and Shags)</v>
      </c>
      <c r="I1111" s="3"/>
    </row>
    <row r="1112" spans="1:9" ht="10.5" customHeight="1">
      <c r="A1112" s="3" t="s">
        <v>1602</v>
      </c>
      <c r="B1112" s="3" t="s">
        <v>1596</v>
      </c>
      <c r="C1112" s="3">
        <f>VLOOKUP(B1112,LifeList!$E$2:$J$2038,6)</f>
        <v>7424</v>
      </c>
      <c r="D1112" s="3" t="str">
        <f>VLOOKUP(B1112,LifeList!$E$2:$G$2038,1)</f>
        <v>Double-crested Cormorant</v>
      </c>
      <c r="E1112" s="3" t="str">
        <f>VLOOKUP(B1112,LifeList!$E$2:$G$2038,2)</f>
        <v>Cormoran à aigrettes</v>
      </c>
      <c r="F1112" s="3" t="str">
        <f>VLOOKUP(B1112,LifeList!$E$2:$G$2038,3)</f>
        <v>Nannopterum auritum</v>
      </c>
      <c r="G1112" s="3" t="str">
        <f>VLOOKUP(B1112,LifeList!$E$2:$I$2038,4)</f>
        <v>Suliformes</v>
      </c>
      <c r="H1112" s="3" t="str">
        <f>VLOOKUP(B1112,LifeList!$E$2:$I$2038,5)</f>
        <v>Phalacrocoracidae (Cormorants and Shags)</v>
      </c>
      <c r="I1112" s="3"/>
    </row>
    <row r="1113" spans="1:9" ht="10.5" customHeight="1">
      <c r="A1113" s="3" t="s">
        <v>1603</v>
      </c>
      <c r="B1113" s="3" t="s">
        <v>1596</v>
      </c>
      <c r="C1113" s="3">
        <f>VLOOKUP(B1113,LifeList!$E$2:$J$2038,6)</f>
        <v>7424</v>
      </c>
      <c r="D1113" s="3" t="str">
        <f>VLOOKUP(B1113,LifeList!$E$2:$G$2038,1)</f>
        <v>Double-crested Cormorant</v>
      </c>
      <c r="E1113" s="3" t="str">
        <f>VLOOKUP(B1113,LifeList!$E$2:$G$2038,2)</f>
        <v>Cormoran à aigrettes</v>
      </c>
      <c r="F1113" s="3" t="str">
        <f>VLOOKUP(B1113,LifeList!$E$2:$G$2038,3)</f>
        <v>Nannopterum auritum</v>
      </c>
      <c r="G1113" s="3" t="str">
        <f>VLOOKUP(B1113,LifeList!$E$2:$I$2038,4)</f>
        <v>Suliformes</v>
      </c>
      <c r="H1113" s="3" t="str">
        <f>VLOOKUP(B1113,LifeList!$E$2:$I$2038,5)</f>
        <v>Phalacrocoracidae (Cormorants and Shags)</v>
      </c>
      <c r="I1113" s="3"/>
    </row>
    <row r="1114" spans="1:9" ht="10.5" customHeight="1">
      <c r="A1114" s="3" t="s">
        <v>1604</v>
      </c>
      <c r="B1114" s="3" t="s">
        <v>1596</v>
      </c>
      <c r="C1114" s="3">
        <f>VLOOKUP(B1114,LifeList!$E$2:$J$2038,6)</f>
        <v>7424</v>
      </c>
      <c r="D1114" s="3" t="str">
        <f>VLOOKUP(B1114,LifeList!$E$2:$G$2038,1)</f>
        <v>Double-crested Cormorant</v>
      </c>
      <c r="E1114" s="3" t="str">
        <f>VLOOKUP(B1114,LifeList!$E$2:$G$2038,2)</f>
        <v>Cormoran à aigrettes</v>
      </c>
      <c r="F1114" s="3" t="str">
        <f>VLOOKUP(B1114,LifeList!$E$2:$G$2038,3)</f>
        <v>Nannopterum auritum</v>
      </c>
      <c r="G1114" s="3" t="str">
        <f>VLOOKUP(B1114,LifeList!$E$2:$I$2038,4)</f>
        <v>Suliformes</v>
      </c>
      <c r="H1114" s="3" t="str">
        <f>VLOOKUP(B1114,LifeList!$E$2:$I$2038,5)</f>
        <v>Phalacrocoracidae (Cormorants and Shags)</v>
      </c>
      <c r="I1114" s="3"/>
    </row>
    <row r="1115" spans="1:9" ht="10.5" customHeight="1">
      <c r="A1115" s="3" t="s">
        <v>1605</v>
      </c>
      <c r="B1115" s="3" t="s">
        <v>1606</v>
      </c>
      <c r="C1115" s="3">
        <f>VLOOKUP(B1115,LifeList!$E$2:$J$2038,6)</f>
        <v>5734</v>
      </c>
      <c r="D1115" s="3" t="str">
        <f>VLOOKUP(B1115,LifeList!$E$2:$G$2038,1)</f>
        <v>Double-striped Thick-knee</v>
      </c>
      <c r="E1115" s="3" t="str">
        <f>VLOOKUP(B1115,LifeList!$E$2:$G$2038,2)</f>
        <v>Oedicnème bistrié</v>
      </c>
      <c r="F1115" s="3" t="str">
        <f>VLOOKUP(B1115,LifeList!$E$2:$G$2038,3)</f>
        <v>Hesperoburhinus bistriatus</v>
      </c>
      <c r="G1115" s="3" t="str">
        <f>VLOOKUP(B1115,LifeList!$E$2:$I$2038,4)</f>
        <v>Charadriiformes</v>
      </c>
      <c r="H1115" s="3" t="str">
        <f>VLOOKUP(B1115,LifeList!$E$2:$I$2038,5)</f>
        <v>Burhinidae (Thick-knees)</v>
      </c>
      <c r="I1115" s="3"/>
    </row>
    <row r="1116" spans="1:9" ht="10.5" customHeight="1">
      <c r="A1116" s="3" t="s">
        <v>1607</v>
      </c>
      <c r="B1116" s="3" t="s">
        <v>1606</v>
      </c>
      <c r="C1116" s="3">
        <f>VLOOKUP(B1116,LifeList!$E$2:$J$2038,6)</f>
        <v>5734</v>
      </c>
      <c r="D1116" s="3" t="str">
        <f>VLOOKUP(B1116,LifeList!$E$2:$G$2038,1)</f>
        <v>Double-striped Thick-knee</v>
      </c>
      <c r="E1116" s="3" t="str">
        <f>VLOOKUP(B1116,LifeList!$E$2:$G$2038,2)</f>
        <v>Oedicnème bistrié</v>
      </c>
      <c r="F1116" s="3" t="str">
        <f>VLOOKUP(B1116,LifeList!$E$2:$G$2038,3)</f>
        <v>Hesperoburhinus bistriatus</v>
      </c>
      <c r="G1116" s="3" t="str">
        <f>VLOOKUP(B1116,LifeList!$E$2:$I$2038,4)</f>
        <v>Charadriiformes</v>
      </c>
      <c r="H1116" s="3" t="str">
        <f>VLOOKUP(B1116,LifeList!$E$2:$I$2038,5)</f>
        <v>Burhinidae (Thick-knees)</v>
      </c>
      <c r="I1116" s="3"/>
    </row>
    <row r="1117" spans="1:9" ht="10.5" customHeight="1">
      <c r="A1117" s="3" t="s">
        <v>1608</v>
      </c>
      <c r="B1117" s="3" t="s">
        <v>1606</v>
      </c>
      <c r="C1117" s="3">
        <f>VLOOKUP(B1117,LifeList!$E$2:$J$2038,6)</f>
        <v>5734</v>
      </c>
      <c r="D1117" s="3" t="str">
        <f>VLOOKUP(B1117,LifeList!$E$2:$G$2038,1)</f>
        <v>Double-striped Thick-knee</v>
      </c>
      <c r="E1117" s="3" t="str">
        <f>VLOOKUP(B1117,LifeList!$E$2:$G$2038,2)</f>
        <v>Oedicnème bistrié</v>
      </c>
      <c r="F1117" s="3" t="str">
        <f>VLOOKUP(B1117,LifeList!$E$2:$G$2038,3)</f>
        <v>Hesperoburhinus bistriatus</v>
      </c>
      <c r="G1117" s="3" t="str">
        <f>VLOOKUP(B1117,LifeList!$E$2:$I$2038,4)</f>
        <v>Charadriiformes</v>
      </c>
      <c r="H1117" s="3" t="str">
        <f>VLOOKUP(B1117,LifeList!$E$2:$I$2038,5)</f>
        <v>Burhinidae (Thick-knees)</v>
      </c>
      <c r="I1117" s="3"/>
    </row>
    <row r="1118" spans="1:9" ht="10.5" customHeight="1">
      <c r="A1118" s="3" t="s">
        <v>1609</v>
      </c>
      <c r="B1118" s="3" t="s">
        <v>1610</v>
      </c>
      <c r="C1118" s="3">
        <f>VLOOKUP(B1118,LifeList!$E$2:$J$2038,6)</f>
        <v>11400</v>
      </c>
      <c r="D1118" s="3" t="str">
        <f>VLOOKUP(B1118,LifeList!$E$2:$G$2038,1)</f>
        <v>Downy Woodpecker</v>
      </c>
      <c r="E1118" s="3" t="str">
        <f>VLOOKUP(B1118,LifeList!$E$2:$G$2038,2)</f>
        <v>Pic mineur</v>
      </c>
      <c r="F1118" s="3" t="str">
        <f>VLOOKUP(B1118,LifeList!$E$2:$G$2038,3)</f>
        <v>Dryobates pubescens</v>
      </c>
      <c r="G1118" s="3" t="str">
        <f>VLOOKUP(B1118,LifeList!$E$2:$I$2038,4)</f>
        <v>Piciformes</v>
      </c>
      <c r="H1118" s="3" t="str">
        <f>VLOOKUP(B1118,LifeList!$E$2:$I$2038,5)</f>
        <v>Picidae (Woodpeckers)</v>
      </c>
      <c r="I1118" s="3"/>
    </row>
    <row r="1119" spans="1:9" ht="10.5" customHeight="1">
      <c r="A1119" s="3" t="s">
        <v>1611</v>
      </c>
      <c r="B1119" s="3" t="s">
        <v>1610</v>
      </c>
      <c r="C1119" s="3">
        <f>VLOOKUP(B1119,LifeList!$E$2:$J$2038,6)</f>
        <v>11400</v>
      </c>
      <c r="D1119" s="3" t="str">
        <f>VLOOKUP(B1119,LifeList!$E$2:$G$2038,1)</f>
        <v>Downy Woodpecker</v>
      </c>
      <c r="E1119" s="3" t="str">
        <f>VLOOKUP(B1119,LifeList!$E$2:$G$2038,2)</f>
        <v>Pic mineur</v>
      </c>
      <c r="F1119" s="3" t="str">
        <f>VLOOKUP(B1119,LifeList!$E$2:$G$2038,3)</f>
        <v>Dryobates pubescens</v>
      </c>
      <c r="G1119" s="3" t="str">
        <f>VLOOKUP(B1119,LifeList!$E$2:$I$2038,4)</f>
        <v>Piciformes</v>
      </c>
      <c r="H1119" s="3" t="str">
        <f>VLOOKUP(B1119,LifeList!$E$2:$I$2038,5)</f>
        <v>Picidae (Woodpeckers)</v>
      </c>
      <c r="I1119" s="3"/>
    </row>
    <row r="1120" spans="1:9" ht="10.5" customHeight="1">
      <c r="A1120" s="3" t="s">
        <v>1612</v>
      </c>
      <c r="B1120" s="3" t="s">
        <v>1613</v>
      </c>
      <c r="C1120" s="3">
        <f>VLOOKUP(B1120,LifeList!$E$2:$J$2038,6)</f>
        <v>35731</v>
      </c>
      <c r="D1120" s="3" t="str">
        <f>VLOOKUP(B1120,LifeList!$E$2:$G$2038,1)</f>
        <v>Dull-colored Grassquit</v>
      </c>
      <c r="E1120" s="3" t="str">
        <f>VLOOKUP(B1120,LifeList!$E$2:$G$2038,2)</f>
        <v>Cici obscur</v>
      </c>
      <c r="F1120" s="3" t="str">
        <f>VLOOKUP(B1120,LifeList!$E$2:$G$2038,3)</f>
        <v>Asemospiza obscura</v>
      </c>
      <c r="G1120" s="3" t="str">
        <f>VLOOKUP(B1120,LifeList!$E$2:$I$2038,4)</f>
        <v>Passeriformes</v>
      </c>
      <c r="H1120" s="3" t="str">
        <f>VLOOKUP(B1120,LifeList!$E$2:$I$2038,5)</f>
        <v>Thraupidae (Tanagers and Allies)</v>
      </c>
      <c r="I1120" s="3"/>
    </row>
    <row r="1121" spans="1:9" ht="10.5" customHeight="1">
      <c r="A1121" s="3" t="s">
        <v>1614</v>
      </c>
      <c r="B1121" s="3" t="s">
        <v>1615</v>
      </c>
      <c r="C1121" s="3">
        <f>VLOOKUP(B1121,LifeList!$E$2:$J$2038,6)</f>
        <v>14029</v>
      </c>
      <c r="D1121" s="3" t="str">
        <f>VLOOKUP(B1121,LifeList!$E$2:$G$2038,1)</f>
        <v>Dull-mantled Antbird</v>
      </c>
      <c r="E1121" s="3" t="str">
        <f>VLOOKUP(B1121,LifeList!$E$2:$G$2038,2)</f>
        <v>Alapi tabac</v>
      </c>
      <c r="F1121" s="3" t="str">
        <f>VLOOKUP(B1121,LifeList!$E$2:$G$2038,3)</f>
        <v>Sipia laemosticta</v>
      </c>
      <c r="G1121" s="3" t="str">
        <f>VLOOKUP(B1121,LifeList!$E$2:$I$2038,4)</f>
        <v>Passeriformes</v>
      </c>
      <c r="H1121" s="3" t="str">
        <f>VLOOKUP(B1121,LifeList!$E$2:$I$2038,5)</f>
        <v>Thamnophilidae (Typical Antbirds)</v>
      </c>
      <c r="I1121" s="3"/>
    </row>
    <row r="1122" spans="1:9" ht="10.5" customHeight="1">
      <c r="A1122" s="3" t="s">
        <v>1616</v>
      </c>
      <c r="B1122" s="3" t="s">
        <v>1617</v>
      </c>
      <c r="C1122" s="3">
        <f>VLOOKUP(B1122,LifeList!$E$2:$J$2038,6)</f>
        <v>6192</v>
      </c>
      <c r="D1122" s="3" t="str">
        <f>VLOOKUP(B1122,LifeList!$E$2:$G$2038,1)</f>
        <v>Dunlin</v>
      </c>
      <c r="E1122" s="3" t="str">
        <f>VLOOKUP(B1122,LifeList!$E$2:$G$2038,2)</f>
        <v>Bécasseau variable</v>
      </c>
      <c r="F1122" s="3" t="str">
        <f>VLOOKUP(B1122,LifeList!$E$2:$G$2038,3)</f>
        <v>Calidris alpina</v>
      </c>
      <c r="G1122" s="3" t="str">
        <f>VLOOKUP(B1122,LifeList!$E$2:$I$2038,4)</f>
        <v>Charadriiformes</v>
      </c>
      <c r="H1122" s="3" t="str">
        <f>VLOOKUP(B1122,LifeList!$E$2:$I$2038,5)</f>
        <v>Scolopacidae (Sandpipers and Allies)</v>
      </c>
      <c r="I1122" s="3"/>
    </row>
    <row r="1123" spans="1:9" ht="10.5" customHeight="1">
      <c r="A1123" s="3" t="s">
        <v>1618</v>
      </c>
      <c r="B1123" s="3" t="s">
        <v>1617</v>
      </c>
      <c r="C1123" s="3">
        <f>VLOOKUP(B1123,LifeList!$E$2:$J$2038,6)</f>
        <v>6192</v>
      </c>
      <c r="D1123" s="3" t="str">
        <f>VLOOKUP(B1123,LifeList!$E$2:$G$2038,1)</f>
        <v>Dunlin</v>
      </c>
      <c r="E1123" s="3" t="str">
        <f>VLOOKUP(B1123,LifeList!$E$2:$G$2038,2)</f>
        <v>Bécasseau variable</v>
      </c>
      <c r="F1123" s="3" t="str">
        <f>VLOOKUP(B1123,LifeList!$E$2:$G$2038,3)</f>
        <v>Calidris alpina</v>
      </c>
      <c r="G1123" s="3" t="str">
        <f>VLOOKUP(B1123,LifeList!$E$2:$I$2038,4)</f>
        <v>Charadriiformes</v>
      </c>
      <c r="H1123" s="3" t="str">
        <f>VLOOKUP(B1123,LifeList!$E$2:$I$2038,5)</f>
        <v>Scolopacidae (Sandpipers and Allies)</v>
      </c>
      <c r="I1123" s="3"/>
    </row>
    <row r="1124" spans="1:9" ht="10.5" customHeight="1">
      <c r="A1124" s="3" t="s">
        <v>1619</v>
      </c>
      <c r="B1124" s="3" t="s">
        <v>1617</v>
      </c>
      <c r="C1124" s="3">
        <f>VLOOKUP(B1124,LifeList!$E$2:$J$2038,6)</f>
        <v>6192</v>
      </c>
      <c r="D1124" s="3" t="str">
        <f>VLOOKUP(B1124,LifeList!$E$2:$G$2038,1)</f>
        <v>Dunlin</v>
      </c>
      <c r="E1124" s="3" t="str">
        <f>VLOOKUP(B1124,LifeList!$E$2:$G$2038,2)</f>
        <v>Bécasseau variable</v>
      </c>
      <c r="F1124" s="3" t="str">
        <f>VLOOKUP(B1124,LifeList!$E$2:$G$2038,3)</f>
        <v>Calidris alpina</v>
      </c>
      <c r="G1124" s="3" t="str">
        <f>VLOOKUP(B1124,LifeList!$E$2:$I$2038,4)</f>
        <v>Charadriiformes</v>
      </c>
      <c r="H1124" s="3" t="str">
        <f>VLOOKUP(B1124,LifeList!$E$2:$I$2038,5)</f>
        <v>Scolopacidae (Sandpipers and Allies)</v>
      </c>
      <c r="I1124" s="3"/>
    </row>
    <row r="1125" spans="1:9" ht="10.5" customHeight="1">
      <c r="A1125" s="3" t="s">
        <v>1620</v>
      </c>
      <c r="B1125" s="3" t="s">
        <v>1617</v>
      </c>
      <c r="C1125" s="3">
        <f>VLOOKUP(B1125,LifeList!$E$2:$J$2038,6)</f>
        <v>6192</v>
      </c>
      <c r="D1125" s="3" t="str">
        <f>VLOOKUP(B1125,LifeList!$E$2:$G$2038,1)</f>
        <v>Dunlin</v>
      </c>
      <c r="E1125" s="3" t="str">
        <f>VLOOKUP(B1125,LifeList!$E$2:$G$2038,2)</f>
        <v>Bécasseau variable</v>
      </c>
      <c r="F1125" s="3" t="str">
        <f>VLOOKUP(B1125,LifeList!$E$2:$G$2038,3)</f>
        <v>Calidris alpina</v>
      </c>
      <c r="G1125" s="3" t="str">
        <f>VLOOKUP(B1125,LifeList!$E$2:$I$2038,4)</f>
        <v>Charadriiformes</v>
      </c>
      <c r="H1125" s="3" t="str">
        <f>VLOOKUP(B1125,LifeList!$E$2:$I$2038,5)</f>
        <v>Scolopacidae (Sandpipers and Allies)</v>
      </c>
      <c r="I1125" s="3"/>
    </row>
    <row r="1126" spans="1:9" ht="10.5" customHeight="1">
      <c r="A1126" s="3" t="s">
        <v>1621</v>
      </c>
      <c r="B1126" s="3" t="s">
        <v>1617</v>
      </c>
      <c r="C1126" s="3">
        <f>VLOOKUP(B1126,LifeList!$E$2:$J$2038,6)</f>
        <v>6192</v>
      </c>
      <c r="D1126" s="3" t="str">
        <f>VLOOKUP(B1126,LifeList!$E$2:$G$2038,1)</f>
        <v>Dunlin</v>
      </c>
      <c r="E1126" s="3" t="str">
        <f>VLOOKUP(B1126,LifeList!$E$2:$G$2038,2)</f>
        <v>Bécasseau variable</v>
      </c>
      <c r="F1126" s="3" t="str">
        <f>VLOOKUP(B1126,LifeList!$E$2:$G$2038,3)</f>
        <v>Calidris alpina</v>
      </c>
      <c r="G1126" s="3" t="str">
        <f>VLOOKUP(B1126,LifeList!$E$2:$I$2038,4)</f>
        <v>Charadriiformes</v>
      </c>
      <c r="H1126" s="3" t="str">
        <f>VLOOKUP(B1126,LifeList!$E$2:$I$2038,5)</f>
        <v>Scolopacidae (Sandpipers and Allies)</v>
      </c>
      <c r="I1126" s="3"/>
    </row>
    <row r="1127" spans="1:9" ht="10.5" customHeight="1">
      <c r="A1127" s="3" t="s">
        <v>1622</v>
      </c>
      <c r="B1127" s="3" t="s">
        <v>1617</v>
      </c>
      <c r="C1127" s="3">
        <f>VLOOKUP(B1127,LifeList!$E$2:$J$2038,6)</f>
        <v>6192</v>
      </c>
      <c r="D1127" s="3" t="str">
        <f>VLOOKUP(B1127,LifeList!$E$2:$G$2038,1)</f>
        <v>Dunlin</v>
      </c>
      <c r="E1127" s="3" t="str">
        <f>VLOOKUP(B1127,LifeList!$E$2:$G$2038,2)</f>
        <v>Bécasseau variable</v>
      </c>
      <c r="F1127" s="3" t="str">
        <f>VLOOKUP(B1127,LifeList!$E$2:$G$2038,3)</f>
        <v>Calidris alpina</v>
      </c>
      <c r="G1127" s="3" t="str">
        <f>VLOOKUP(B1127,LifeList!$E$2:$I$2038,4)</f>
        <v>Charadriiformes</v>
      </c>
      <c r="H1127" s="3" t="str">
        <f>VLOOKUP(B1127,LifeList!$E$2:$I$2038,5)</f>
        <v>Scolopacidae (Sandpipers and Allies)</v>
      </c>
      <c r="I1127" s="3"/>
    </row>
    <row r="1128" spans="1:9" ht="10.5" customHeight="1">
      <c r="A1128" s="3" t="s">
        <v>1623</v>
      </c>
      <c r="B1128" s="3" t="s">
        <v>1617</v>
      </c>
      <c r="C1128" s="3">
        <f>VLOOKUP(B1128,LifeList!$E$2:$J$2038,6)</f>
        <v>6192</v>
      </c>
      <c r="D1128" s="3" t="str">
        <f>VLOOKUP(B1128,LifeList!$E$2:$G$2038,1)</f>
        <v>Dunlin</v>
      </c>
      <c r="E1128" s="3" t="str">
        <f>VLOOKUP(B1128,LifeList!$E$2:$G$2038,2)</f>
        <v>Bécasseau variable</v>
      </c>
      <c r="F1128" s="3" t="str">
        <f>VLOOKUP(B1128,LifeList!$E$2:$G$2038,3)</f>
        <v>Calidris alpina</v>
      </c>
      <c r="G1128" s="3" t="str">
        <f>VLOOKUP(B1128,LifeList!$E$2:$I$2038,4)</f>
        <v>Charadriiformes</v>
      </c>
      <c r="H1128" s="3" t="str">
        <f>VLOOKUP(B1128,LifeList!$E$2:$I$2038,5)</f>
        <v>Scolopacidae (Sandpipers and Allies)</v>
      </c>
      <c r="I1128" s="3"/>
    </row>
    <row r="1129" spans="1:9" ht="10.5" customHeight="1">
      <c r="A1129" s="3" t="s">
        <v>1624</v>
      </c>
      <c r="B1129" s="3" t="s">
        <v>1625</v>
      </c>
      <c r="C1129" s="3">
        <f>VLOOKUP(B1129,LifeList!$E$2:$J$2038,6)</f>
        <v>13906</v>
      </c>
      <c r="D1129" s="3" t="str">
        <f>VLOOKUP(B1129,LifeList!$E$2:$G$2038,1)</f>
        <v>Dusky Antbird</v>
      </c>
      <c r="E1129" s="3" t="str">
        <f>VLOOKUP(B1129,LifeList!$E$2:$G$2038,2)</f>
        <v>Grisin sombre</v>
      </c>
      <c r="F1129" s="3" t="str">
        <f>VLOOKUP(B1129,LifeList!$E$2:$G$2038,3)</f>
        <v>Cercomacroides tyrannina</v>
      </c>
      <c r="G1129" s="3" t="str">
        <f>VLOOKUP(B1129,LifeList!$E$2:$I$2038,4)</f>
        <v>Passeriformes</v>
      </c>
      <c r="H1129" s="3" t="str">
        <f>VLOOKUP(B1129,LifeList!$E$2:$I$2038,5)</f>
        <v>Thamnophilidae (Typical Antbirds)</v>
      </c>
      <c r="I1129" s="3"/>
    </row>
    <row r="1130" spans="1:9" ht="10.5" customHeight="1">
      <c r="A1130" s="3" t="s">
        <v>1626</v>
      </c>
      <c r="B1130" s="3" t="s">
        <v>1627</v>
      </c>
      <c r="C1130" s="3">
        <f>VLOOKUP(B1130,LifeList!$E$2:$J$2038,6)</f>
        <v>5478</v>
      </c>
      <c r="D1130" s="3" t="str">
        <f>VLOOKUP(B1130,LifeList!$E$2:$G$2038,1)</f>
        <v>Dusky Moorhen</v>
      </c>
      <c r="E1130" s="3" t="str">
        <f>VLOOKUP(B1130,LifeList!$E$2:$G$2038,2)</f>
        <v>Gallinule sombre</v>
      </c>
      <c r="F1130" s="3" t="str">
        <f>VLOOKUP(B1130,LifeList!$E$2:$G$2038,3)</f>
        <v>Gallinula tenebrosa</v>
      </c>
      <c r="G1130" s="3" t="str">
        <f>VLOOKUP(B1130,LifeList!$E$2:$I$2038,4)</f>
        <v>Gruiformes</v>
      </c>
      <c r="H1130" s="3" t="str">
        <f>VLOOKUP(B1130,LifeList!$E$2:$I$2038,5)</f>
        <v>Rallidae (Rails, Gallinules, and Coots)</v>
      </c>
      <c r="I1130" s="3"/>
    </row>
    <row r="1131" spans="1:9" ht="10.5" customHeight="1">
      <c r="A1131" s="3" t="s">
        <v>1628</v>
      </c>
      <c r="B1131" s="3" t="s">
        <v>1627</v>
      </c>
      <c r="C1131" s="3">
        <f>VLOOKUP(B1131,LifeList!$E$2:$J$2038,6)</f>
        <v>5478</v>
      </c>
      <c r="D1131" s="3" t="str">
        <f>VLOOKUP(B1131,LifeList!$E$2:$G$2038,1)</f>
        <v>Dusky Moorhen</v>
      </c>
      <c r="E1131" s="3" t="str">
        <f>VLOOKUP(B1131,LifeList!$E$2:$G$2038,2)</f>
        <v>Gallinule sombre</v>
      </c>
      <c r="F1131" s="3" t="str">
        <f>VLOOKUP(B1131,LifeList!$E$2:$G$2038,3)</f>
        <v>Gallinula tenebrosa</v>
      </c>
      <c r="G1131" s="3" t="str">
        <f>VLOOKUP(B1131,LifeList!$E$2:$I$2038,4)</f>
        <v>Gruiformes</v>
      </c>
      <c r="H1131" s="3" t="str">
        <f>VLOOKUP(B1131,LifeList!$E$2:$I$2038,5)</f>
        <v>Rallidae (Rails, Gallinules, and Coots)</v>
      </c>
      <c r="I1131" s="3"/>
    </row>
    <row r="1132" spans="1:9" ht="10.5" customHeight="1">
      <c r="A1132" s="3" t="s">
        <v>1629</v>
      </c>
      <c r="B1132" s="3" t="s">
        <v>1630</v>
      </c>
      <c r="C1132" s="3">
        <f>VLOOKUP(B1132,LifeList!$E$2:$J$2038,6)</f>
        <v>21831</v>
      </c>
      <c r="D1132" s="3" t="str">
        <f>VLOOKUP(B1132,LifeList!$E$2:$G$2038,1)</f>
        <v>Dusky Robin</v>
      </c>
      <c r="E1132" s="3" t="str">
        <f>VLOOKUP(B1132,LifeList!$E$2:$G$2038,2)</f>
        <v>Miro de Tasmanie</v>
      </c>
      <c r="F1132" s="3" t="str">
        <f>VLOOKUP(B1132,LifeList!$E$2:$G$2038,3)</f>
        <v>Melanodryas vittata</v>
      </c>
      <c r="G1132" s="3" t="str">
        <f>VLOOKUP(B1132,LifeList!$E$2:$I$2038,4)</f>
        <v>Passeriformes</v>
      </c>
      <c r="H1132" s="3" t="str">
        <f>VLOOKUP(B1132,LifeList!$E$2:$I$2038,5)</f>
        <v>Petroicidae (Australasian Robins)</v>
      </c>
      <c r="I1132" s="3"/>
    </row>
    <row r="1133" spans="1:9" ht="10.5" customHeight="1">
      <c r="A1133" s="7" t="s">
        <v>1631</v>
      </c>
      <c r="B1133" s="9" t="s">
        <v>1632</v>
      </c>
      <c r="C1133" s="3">
        <f>VLOOKUP(B1133,LifeList!$E$2:$J$2038,6)</f>
        <v>19761</v>
      </c>
      <c r="D1133" s="3" t="str">
        <f>VLOOKUP(B1133,LifeList!$E$2:$G$2038,1)</f>
        <v>Dusky Woodswallow</v>
      </c>
      <c r="E1133" s="3" t="str">
        <f>VLOOKUP(B1133,LifeList!$E$2:$G$2038,2)</f>
        <v>Langrayen sordide</v>
      </c>
      <c r="F1133" s="3" t="str">
        <f>VLOOKUP(B1133,LifeList!$E$2:$G$2038,3)</f>
        <v>Artamus cyanopterus</v>
      </c>
      <c r="G1133" s="3" t="str">
        <f>VLOOKUP(B1133,LifeList!$E$2:$I$2038,4)</f>
        <v>Passeriformes</v>
      </c>
      <c r="H1133" s="3" t="str">
        <f>VLOOKUP(B1133,LifeList!$E$2:$I$2038,5)</f>
        <v>Artamidae (Woodswallows, Bellmagpies, and Allies)</v>
      </c>
      <c r="I1133" s="3"/>
    </row>
    <row r="1134" spans="1:9" ht="10.5" customHeight="1">
      <c r="A1134" s="7" t="s">
        <v>1633</v>
      </c>
      <c r="B1134" s="9" t="s">
        <v>1632</v>
      </c>
      <c r="C1134" s="3">
        <f>VLOOKUP(B1134,LifeList!$E$2:$J$2038,6)</f>
        <v>19761</v>
      </c>
      <c r="D1134" s="3" t="str">
        <f>VLOOKUP(B1134,LifeList!$E$2:$G$2038,1)</f>
        <v>Dusky Woodswallow</v>
      </c>
      <c r="E1134" s="3" t="str">
        <f>VLOOKUP(B1134,LifeList!$E$2:$G$2038,2)</f>
        <v>Langrayen sordide</v>
      </c>
      <c r="F1134" s="3" t="str">
        <f>VLOOKUP(B1134,LifeList!$E$2:$G$2038,3)</f>
        <v>Artamus cyanopterus</v>
      </c>
      <c r="G1134" s="3" t="str">
        <f>VLOOKUP(B1134,LifeList!$E$2:$I$2038,4)</f>
        <v>Passeriformes</v>
      </c>
      <c r="H1134" s="3" t="str">
        <f>VLOOKUP(B1134,LifeList!$E$2:$I$2038,5)</f>
        <v>Artamidae (Woodswallows, Bellmagpies, and Allies)</v>
      </c>
      <c r="I1134" s="3"/>
    </row>
    <row r="1135" spans="1:9" ht="10.5" customHeight="1">
      <c r="A1135" s="3" t="s">
        <v>1634</v>
      </c>
      <c r="B1135" s="3" t="s">
        <v>1635</v>
      </c>
      <c r="C1135" s="3">
        <f>VLOOKUP(B1135,LifeList!$E$2:$J$2038,6)</f>
        <v>10493</v>
      </c>
      <c r="D1135" s="3" t="str">
        <f>VLOOKUP(B1135,LifeList!$E$2:$G$2038,1)</f>
        <v>Dusky-backed Jacamar</v>
      </c>
      <c r="E1135" s="3" t="str">
        <f>VLOOKUP(B1135,LifeList!$E$2:$G$2038,2)</f>
        <v>Jacamar sombre</v>
      </c>
      <c r="F1135" s="3" t="str">
        <f>VLOOKUP(B1135,LifeList!$E$2:$G$2038,3)</f>
        <v>Brachygalba salmoni</v>
      </c>
      <c r="G1135" s="3" t="str">
        <f>VLOOKUP(B1135,LifeList!$E$2:$I$2038,4)</f>
        <v>Piciformes</v>
      </c>
      <c r="H1135" s="3" t="str">
        <f>VLOOKUP(B1135,LifeList!$E$2:$I$2038,5)</f>
        <v>Galbulidae (Jacamars)</v>
      </c>
      <c r="I1135" s="3"/>
    </row>
    <row r="1136" spans="1:9" ht="10.5" customHeight="1">
      <c r="A1136" s="3" t="s">
        <v>1636</v>
      </c>
      <c r="B1136" s="3" t="s">
        <v>1637</v>
      </c>
      <c r="C1136" s="3">
        <f>VLOOKUP(B1136,LifeList!$E$2:$J$2038,6)</f>
        <v>17284</v>
      </c>
      <c r="D1136" s="3" t="str">
        <f>VLOOKUP(B1136,LifeList!$E$2:$G$2038,1)</f>
        <v>Dusky-capped Flycatcher</v>
      </c>
      <c r="E1136" s="3" t="str">
        <f>VLOOKUP(B1136,LifeList!$E$2:$G$2038,2)</f>
        <v>Tyran olivâtre</v>
      </c>
      <c r="F1136" s="3" t="str">
        <f>VLOOKUP(B1136,LifeList!$E$2:$G$2038,3)</f>
        <v>Myiarchus tuberculifer</v>
      </c>
      <c r="G1136" s="3" t="str">
        <f>VLOOKUP(B1136,LifeList!$E$2:$I$2038,4)</f>
        <v>Passeriformes</v>
      </c>
      <c r="H1136" s="3" t="str">
        <f>VLOOKUP(B1136,LifeList!$E$2:$I$2038,5)</f>
        <v>Tyrannidae (Tyrant Flycatchers)</v>
      </c>
      <c r="I1136" s="3"/>
    </row>
    <row r="1137" spans="1:9" ht="10.5" customHeight="1">
      <c r="A1137" s="3" t="s">
        <v>1638</v>
      </c>
      <c r="B1137" s="3" t="s">
        <v>1637</v>
      </c>
      <c r="C1137" s="3">
        <f>VLOOKUP(B1137,LifeList!$E$2:$J$2038,6)</f>
        <v>17284</v>
      </c>
      <c r="D1137" s="3" t="str">
        <f>VLOOKUP(B1137,LifeList!$E$2:$G$2038,1)</f>
        <v>Dusky-capped Flycatcher</v>
      </c>
      <c r="E1137" s="3" t="str">
        <f>VLOOKUP(B1137,LifeList!$E$2:$G$2038,2)</f>
        <v>Tyran olivâtre</v>
      </c>
      <c r="F1137" s="3" t="str">
        <f>VLOOKUP(B1137,LifeList!$E$2:$G$2038,3)</f>
        <v>Myiarchus tuberculifer</v>
      </c>
      <c r="G1137" s="3" t="str">
        <f>VLOOKUP(B1137,LifeList!$E$2:$I$2038,4)</f>
        <v>Passeriformes</v>
      </c>
      <c r="H1137" s="3" t="str">
        <f>VLOOKUP(B1137,LifeList!$E$2:$I$2038,5)</f>
        <v>Tyrannidae (Tyrant Flycatchers)</v>
      </c>
      <c r="I1137" s="3"/>
    </row>
    <row r="1138" spans="1:9" ht="10.5" customHeight="1">
      <c r="A1138" s="3" t="s">
        <v>1639</v>
      </c>
      <c r="B1138" s="3" t="s">
        <v>1637</v>
      </c>
      <c r="C1138" s="3">
        <f>VLOOKUP(B1138,LifeList!$E$2:$J$2038,6)</f>
        <v>17284</v>
      </c>
      <c r="D1138" s="3" t="str">
        <f>VLOOKUP(B1138,LifeList!$E$2:$G$2038,1)</f>
        <v>Dusky-capped Flycatcher</v>
      </c>
      <c r="E1138" s="3" t="str">
        <f>VLOOKUP(B1138,LifeList!$E$2:$G$2038,2)</f>
        <v>Tyran olivâtre</v>
      </c>
      <c r="F1138" s="3" t="str">
        <f>VLOOKUP(B1138,LifeList!$E$2:$G$2038,3)</f>
        <v>Myiarchus tuberculifer</v>
      </c>
      <c r="G1138" s="3" t="str">
        <f>VLOOKUP(B1138,LifeList!$E$2:$I$2038,4)</f>
        <v>Passeriformes</v>
      </c>
      <c r="H1138" s="3" t="str">
        <f>VLOOKUP(B1138,LifeList!$E$2:$I$2038,5)</f>
        <v>Tyrannidae (Tyrant Flycatchers)</v>
      </c>
      <c r="I1138" s="3"/>
    </row>
    <row r="1139" spans="1:9" ht="10.5" customHeight="1">
      <c r="A1139" s="3" t="s">
        <v>1640</v>
      </c>
      <c r="B1139" s="3" t="s">
        <v>1637</v>
      </c>
      <c r="C1139" s="3">
        <f>VLOOKUP(B1139,LifeList!$E$2:$J$2038,6)</f>
        <v>17284</v>
      </c>
      <c r="D1139" s="3" t="str">
        <f>VLOOKUP(B1139,LifeList!$E$2:$G$2038,1)</f>
        <v>Dusky-capped Flycatcher</v>
      </c>
      <c r="E1139" s="3" t="str">
        <f>VLOOKUP(B1139,LifeList!$E$2:$G$2038,2)</f>
        <v>Tyran olivâtre</v>
      </c>
      <c r="F1139" s="3" t="str">
        <f>VLOOKUP(B1139,LifeList!$E$2:$G$2038,3)</f>
        <v>Myiarchus tuberculifer</v>
      </c>
      <c r="G1139" s="3" t="str">
        <f>VLOOKUP(B1139,LifeList!$E$2:$I$2038,4)</f>
        <v>Passeriformes</v>
      </c>
      <c r="H1139" s="3" t="str">
        <f>VLOOKUP(B1139,LifeList!$E$2:$I$2038,5)</f>
        <v>Tyrannidae (Tyrant Flycatchers)</v>
      </c>
      <c r="I1139" s="3"/>
    </row>
    <row r="1140" spans="1:9" ht="10.5" customHeight="1">
      <c r="A1140" s="3" t="s">
        <v>1641</v>
      </c>
      <c r="B1140" s="3" t="s">
        <v>1637</v>
      </c>
      <c r="C1140" s="3">
        <f>VLOOKUP(B1140,LifeList!$E$2:$J$2038,6)</f>
        <v>17284</v>
      </c>
      <c r="D1140" s="3" t="str">
        <f>VLOOKUP(B1140,LifeList!$E$2:$G$2038,1)</f>
        <v>Dusky-capped Flycatcher</v>
      </c>
      <c r="E1140" s="3" t="str">
        <f>VLOOKUP(B1140,LifeList!$E$2:$G$2038,2)</f>
        <v>Tyran olivâtre</v>
      </c>
      <c r="F1140" s="3" t="str">
        <f>VLOOKUP(B1140,LifeList!$E$2:$G$2038,3)</f>
        <v>Myiarchus tuberculifer</v>
      </c>
      <c r="G1140" s="3" t="str">
        <f>VLOOKUP(B1140,LifeList!$E$2:$I$2038,4)</f>
        <v>Passeriformes</v>
      </c>
      <c r="H1140" s="3" t="str">
        <f>VLOOKUP(B1140,LifeList!$E$2:$I$2038,5)</f>
        <v>Tyrannidae (Tyrant Flycatchers)</v>
      </c>
      <c r="I1140" s="3"/>
    </row>
    <row r="1141" spans="1:9" ht="10.5" customHeight="1">
      <c r="A1141" s="3" t="s">
        <v>1642</v>
      </c>
      <c r="B1141" s="3" t="s">
        <v>1637</v>
      </c>
      <c r="C1141" s="3">
        <f>VLOOKUP(B1141,LifeList!$E$2:$J$2038,6)</f>
        <v>17284</v>
      </c>
      <c r="D1141" s="3" t="str">
        <f>VLOOKUP(B1141,LifeList!$E$2:$G$2038,1)</f>
        <v>Dusky-capped Flycatcher</v>
      </c>
      <c r="E1141" s="3" t="str">
        <f>VLOOKUP(B1141,LifeList!$E$2:$G$2038,2)</f>
        <v>Tyran olivâtre</v>
      </c>
      <c r="F1141" s="3" t="str">
        <f>VLOOKUP(B1141,LifeList!$E$2:$G$2038,3)</f>
        <v>Myiarchus tuberculifer</v>
      </c>
      <c r="G1141" s="3" t="str">
        <f>VLOOKUP(B1141,LifeList!$E$2:$I$2038,4)</f>
        <v>Passeriformes</v>
      </c>
      <c r="H1141" s="3" t="str">
        <f>VLOOKUP(B1141,LifeList!$E$2:$I$2038,5)</f>
        <v>Tyrannidae (Tyrant Flycatchers)</v>
      </c>
      <c r="I1141" s="3"/>
    </row>
    <row r="1142" spans="1:9" ht="10.5" customHeight="1">
      <c r="A1142" s="3" t="s">
        <v>1643</v>
      </c>
      <c r="B1142" s="3" t="s">
        <v>1644</v>
      </c>
      <c r="C1142" s="3">
        <f>VLOOKUP(B1142,LifeList!$E$2:$J$2038,6)</f>
        <v>34400</v>
      </c>
      <c r="D1142" s="3" t="str">
        <f>VLOOKUP(B1142,LifeList!$E$2:$G$2038,1)</f>
        <v>Dusky-faced Tanager</v>
      </c>
      <c r="E1142" s="3" t="str">
        <f>VLOOKUP(B1142,LifeList!$E$2:$G$2038,2)</f>
        <v>Mitrospin obscur</v>
      </c>
      <c r="F1142" s="3" t="str">
        <f>VLOOKUP(B1142,LifeList!$E$2:$G$2038,3)</f>
        <v>Mitrospingus cassinii</v>
      </c>
      <c r="G1142" s="3" t="str">
        <f>VLOOKUP(B1142,LifeList!$E$2:$I$2038,4)</f>
        <v>Passeriformes</v>
      </c>
      <c r="H1142" s="3" t="str">
        <f>VLOOKUP(B1142,LifeList!$E$2:$I$2038,5)</f>
        <v>Mitrospingidae (Mitrospingid Tanagers)</v>
      </c>
      <c r="I1142" s="3"/>
    </row>
    <row r="1143" spans="1:9" ht="10.5" customHeight="1">
      <c r="A1143" s="5" t="s">
        <v>1645</v>
      </c>
      <c r="B1143" s="3" t="s">
        <v>1646</v>
      </c>
      <c r="C1143" s="6">
        <f>VLOOKUP(B1143,LifeList!$E$2:$J$2038,6)</f>
        <v>6876</v>
      </c>
      <c r="D1143" s="3" t="str">
        <f>VLOOKUP(B1143,LifeList!$E$2:$G$2038,1)</f>
        <v>Eared Grebe</v>
      </c>
      <c r="E1143" s="3" t="str">
        <f>VLOOKUP(B1143,LifeList!$E$2:$G$2038,2)</f>
        <v>Grèbe à cou noir</v>
      </c>
      <c r="F1143" s="3" t="str">
        <f>VLOOKUP(B1143,LifeList!$E$2:$G$2038,3)</f>
        <v>Podiceps nigricollis</v>
      </c>
      <c r="G1143" s="3" t="str">
        <f>VLOOKUP(B1143,LifeList!$E$2:$I$2038,4)</f>
        <v>Podicipediformes</v>
      </c>
      <c r="H1143" s="3" t="str">
        <f>VLOOKUP(B1143,LifeList!$E$2:$I$2038,5)</f>
        <v>Podicipedidae (Grebes)</v>
      </c>
      <c r="I1143" s="3"/>
    </row>
    <row r="1144" spans="1:9" ht="10.5" customHeight="1">
      <c r="A1144" s="3" t="s">
        <v>1647</v>
      </c>
      <c r="B1144" s="3" t="s">
        <v>1648</v>
      </c>
      <c r="C1144" s="3">
        <f>VLOOKUP(B1144,LifeList!$E$2:$J$2038,6)</f>
        <v>2400</v>
      </c>
      <c r="D1144" s="3" t="str">
        <f>VLOOKUP(B1144,LifeList!$E$2:$G$2038,1)</f>
        <v>Eared Dove</v>
      </c>
      <c r="E1144" s="3" t="str">
        <f>VLOOKUP(B1144,LifeList!$E$2:$G$2038,2)</f>
        <v>Tourterelle oreillarde</v>
      </c>
      <c r="F1144" s="3" t="str">
        <f>VLOOKUP(B1144,LifeList!$E$2:$G$2038,3)</f>
        <v>Zenaida auriculata</v>
      </c>
      <c r="G1144" s="3" t="str">
        <f>VLOOKUP(B1144,LifeList!$E$2:$I$2038,4)</f>
        <v>Columbiformes</v>
      </c>
      <c r="H1144" s="3" t="str">
        <f>VLOOKUP(B1144,LifeList!$E$2:$I$2038,5)</f>
        <v>Columbidae (Pigeons and Doves)</v>
      </c>
      <c r="I1144" s="3"/>
    </row>
    <row r="1145" spans="1:9" ht="10.5" customHeight="1">
      <c r="A1145" s="3" t="s">
        <v>1649</v>
      </c>
      <c r="B1145" s="3" t="s">
        <v>1648</v>
      </c>
      <c r="C1145" s="3">
        <f>VLOOKUP(B1145,LifeList!$E$2:$J$2038,6)</f>
        <v>2400</v>
      </c>
      <c r="D1145" s="3" t="str">
        <f>VLOOKUP(B1145,LifeList!$E$2:$G$2038,1)</f>
        <v>Eared Dove</v>
      </c>
      <c r="E1145" s="3" t="str">
        <f>VLOOKUP(B1145,LifeList!$E$2:$G$2038,2)</f>
        <v>Tourterelle oreillarde</v>
      </c>
      <c r="F1145" s="3" t="str">
        <f>VLOOKUP(B1145,LifeList!$E$2:$G$2038,3)</f>
        <v>Zenaida auriculata</v>
      </c>
      <c r="G1145" s="3" t="str">
        <f>VLOOKUP(B1145,LifeList!$E$2:$I$2038,4)</f>
        <v>Columbiformes</v>
      </c>
      <c r="H1145" s="3" t="str">
        <f>VLOOKUP(B1145,LifeList!$E$2:$I$2038,5)</f>
        <v>Columbidae (Pigeons and Doves)</v>
      </c>
      <c r="I1145" s="3"/>
    </row>
    <row r="1146" spans="1:9" ht="10.5" customHeight="1">
      <c r="A1146" s="3" t="s">
        <v>1650</v>
      </c>
      <c r="B1146" s="3" t="s">
        <v>1648</v>
      </c>
      <c r="C1146" s="3">
        <f>VLOOKUP(B1146,LifeList!$E$2:$J$2038,6)</f>
        <v>2400</v>
      </c>
      <c r="D1146" s="3" t="str">
        <f>VLOOKUP(B1146,LifeList!$E$2:$G$2038,1)</f>
        <v>Eared Dove</v>
      </c>
      <c r="E1146" s="3" t="str">
        <f>VLOOKUP(B1146,LifeList!$E$2:$G$2038,2)</f>
        <v>Tourterelle oreillarde</v>
      </c>
      <c r="F1146" s="3" t="str">
        <f>VLOOKUP(B1146,LifeList!$E$2:$G$2038,3)</f>
        <v>Zenaida auriculata</v>
      </c>
      <c r="G1146" s="3" t="str">
        <f>VLOOKUP(B1146,LifeList!$E$2:$I$2038,4)</f>
        <v>Columbiformes</v>
      </c>
      <c r="H1146" s="3" t="str">
        <f>VLOOKUP(B1146,LifeList!$E$2:$I$2038,5)</f>
        <v>Columbidae (Pigeons and Doves)</v>
      </c>
      <c r="I1146" s="3"/>
    </row>
    <row r="1147" spans="1:9" ht="10.5" customHeight="1">
      <c r="A1147" s="3" t="s">
        <v>1651</v>
      </c>
      <c r="B1147" s="3" t="s">
        <v>1652</v>
      </c>
      <c r="C1147" s="3">
        <f>VLOOKUP(B1147,LifeList!$E$2:$J$2038,6)</f>
        <v>17472</v>
      </c>
      <c r="D1147" s="3" t="str">
        <f>VLOOKUP(B1147,LifeList!$E$2:$G$2038,1)</f>
        <v>Eastern Kingbird</v>
      </c>
      <c r="E1147" s="3" t="str">
        <f>VLOOKUP(B1147,LifeList!$E$2:$G$2038,2)</f>
        <v>Tyran tritri</v>
      </c>
      <c r="F1147" s="3" t="str">
        <f>VLOOKUP(B1147,LifeList!$E$2:$G$2038,3)</f>
        <v>Tyrannus tyrannus</v>
      </c>
      <c r="G1147" s="3" t="str">
        <f>VLOOKUP(B1147,LifeList!$E$2:$I$2038,4)</f>
        <v>Passeriformes</v>
      </c>
      <c r="H1147" s="3" t="str">
        <f>VLOOKUP(B1147,LifeList!$E$2:$I$2038,5)</f>
        <v>Tyrannidae (Tyrant Flycatchers)</v>
      </c>
      <c r="I1147" s="3"/>
    </row>
    <row r="1148" spans="1:9" ht="10.5" customHeight="1">
      <c r="A1148" s="3" t="s">
        <v>1653</v>
      </c>
      <c r="B1148" s="3" t="s">
        <v>1654</v>
      </c>
      <c r="C1148" s="3">
        <f>VLOOKUP(B1148,LifeList!$E$2:$J$2038,6)</f>
        <v>28126</v>
      </c>
      <c r="D1148" s="3" t="str">
        <f>VLOOKUP(B1148,LifeList!$E$2:$G$2038,1)</f>
        <v>Eastern Bluebird</v>
      </c>
      <c r="E1148" s="3" t="str">
        <f>VLOOKUP(B1148,LifeList!$E$2:$G$2038,2)</f>
        <v>Merlebleu de l'Est</v>
      </c>
      <c r="F1148" s="3" t="str">
        <f>VLOOKUP(B1148,LifeList!$E$2:$G$2038,3)</f>
        <v>Sialia sialis</v>
      </c>
      <c r="G1148" s="3" t="str">
        <f>VLOOKUP(B1148,LifeList!$E$2:$I$2038,4)</f>
        <v>Passeriformes</v>
      </c>
      <c r="H1148" s="3" t="str">
        <f>VLOOKUP(B1148,LifeList!$E$2:$I$2038,5)</f>
        <v>Turdidae (Thrushes and Allies)</v>
      </c>
      <c r="I1148" s="3"/>
    </row>
    <row r="1149" spans="1:9" ht="10.5" customHeight="1">
      <c r="A1149" s="3" t="s">
        <v>1655</v>
      </c>
      <c r="B1149" s="3" t="s">
        <v>1654</v>
      </c>
      <c r="C1149" s="3">
        <f>VLOOKUP(B1149,LifeList!$E$2:$J$2038,6)</f>
        <v>28126</v>
      </c>
      <c r="D1149" s="3" t="str">
        <f>VLOOKUP(B1149,LifeList!$E$2:$G$2038,1)</f>
        <v>Eastern Bluebird</v>
      </c>
      <c r="E1149" s="3" t="str">
        <f>VLOOKUP(B1149,LifeList!$E$2:$G$2038,2)</f>
        <v>Merlebleu de l'Est</v>
      </c>
      <c r="F1149" s="3" t="str">
        <f>VLOOKUP(B1149,LifeList!$E$2:$G$2038,3)</f>
        <v>Sialia sialis</v>
      </c>
      <c r="G1149" s="3" t="str">
        <f>VLOOKUP(B1149,LifeList!$E$2:$I$2038,4)</f>
        <v>Passeriformes</v>
      </c>
      <c r="H1149" s="3" t="str">
        <f>VLOOKUP(B1149,LifeList!$E$2:$I$2038,5)</f>
        <v>Turdidae (Thrushes and Allies)</v>
      </c>
      <c r="I1149" s="3"/>
    </row>
    <row r="1150" spans="1:9" ht="10.5" customHeight="1">
      <c r="A1150" s="3" t="s">
        <v>1656</v>
      </c>
      <c r="B1150" s="3" t="s">
        <v>1657</v>
      </c>
      <c r="C1150" s="3">
        <f>VLOOKUP(B1150,LifeList!$E$2:$J$2038,6)</f>
        <v>7726</v>
      </c>
      <c r="D1150" s="3" t="str">
        <f>VLOOKUP(B1150,LifeList!$E$2:$G$2038,1)</f>
        <v>Eastern Cattle-Egret</v>
      </c>
      <c r="E1150" s="3" t="str">
        <f>VLOOKUP(B1150,LifeList!$E$2:$G$2038,2)</f>
        <v>Héron de Coromandel</v>
      </c>
      <c r="F1150" s="3" t="str">
        <f>VLOOKUP(B1150,LifeList!$E$2:$G$2038,3)</f>
        <v>Ardea coromanda</v>
      </c>
      <c r="G1150" s="3" t="str">
        <f>VLOOKUP(B1150,LifeList!$E$2:$I$2038,4)</f>
        <v>Pelecaniformes</v>
      </c>
      <c r="H1150" s="3" t="str">
        <f>VLOOKUP(B1150,LifeList!$E$2:$I$2038,5)</f>
        <v>Ardeidae (Herons, Egrets, and Bitterns)</v>
      </c>
      <c r="I1150" s="3"/>
    </row>
    <row r="1151" spans="1:9" ht="10.5" customHeight="1">
      <c r="A1151" s="3" t="s">
        <v>1658</v>
      </c>
      <c r="B1151" s="3" t="s">
        <v>1657</v>
      </c>
      <c r="C1151" s="3">
        <f>VLOOKUP(B1151,LifeList!$E$2:$J$2038,6)</f>
        <v>7726</v>
      </c>
      <c r="D1151" s="3" t="str">
        <f>VLOOKUP(B1151,LifeList!$E$2:$G$2038,1)</f>
        <v>Eastern Cattle-Egret</v>
      </c>
      <c r="E1151" s="3" t="str">
        <f>VLOOKUP(B1151,LifeList!$E$2:$G$2038,2)</f>
        <v>Héron de Coromandel</v>
      </c>
      <c r="F1151" s="3" t="str">
        <f>VLOOKUP(B1151,LifeList!$E$2:$G$2038,3)</f>
        <v>Ardea coromanda</v>
      </c>
      <c r="G1151" s="3" t="str">
        <f>VLOOKUP(B1151,LifeList!$E$2:$I$2038,4)</f>
        <v>Pelecaniformes</v>
      </c>
      <c r="H1151" s="3" t="str">
        <f>VLOOKUP(B1151,LifeList!$E$2:$I$2038,5)</f>
        <v>Ardeidae (Herons, Egrets, and Bitterns)</v>
      </c>
      <c r="I1151" s="3"/>
    </row>
    <row r="1152" spans="1:9" ht="10.5" customHeight="1">
      <c r="A1152" s="3" t="s">
        <v>1659</v>
      </c>
      <c r="B1152" s="3" t="s">
        <v>1657</v>
      </c>
      <c r="C1152" s="3">
        <f>VLOOKUP(B1152,LifeList!$E$2:$J$2038,6)</f>
        <v>7726</v>
      </c>
      <c r="D1152" s="3" t="str">
        <f>VLOOKUP(B1152,LifeList!$E$2:$G$2038,1)</f>
        <v>Eastern Cattle-Egret</v>
      </c>
      <c r="E1152" s="3" t="str">
        <f>VLOOKUP(B1152,LifeList!$E$2:$G$2038,2)</f>
        <v>Héron de Coromandel</v>
      </c>
      <c r="F1152" s="3" t="str">
        <f>VLOOKUP(B1152,LifeList!$E$2:$G$2038,3)</f>
        <v>Ardea coromanda</v>
      </c>
      <c r="G1152" s="3" t="str">
        <f>VLOOKUP(B1152,LifeList!$E$2:$I$2038,4)</f>
        <v>Pelecaniformes</v>
      </c>
      <c r="H1152" s="3" t="str">
        <f>VLOOKUP(B1152,LifeList!$E$2:$I$2038,5)</f>
        <v>Ardeidae (Herons, Egrets, and Bitterns)</v>
      </c>
      <c r="I1152" s="3"/>
    </row>
    <row r="1153" spans="1:9" ht="10.5" customHeight="1">
      <c r="A1153" s="3" t="s">
        <v>1660</v>
      </c>
      <c r="B1153" s="3" t="s">
        <v>1657</v>
      </c>
      <c r="C1153" s="3">
        <f>VLOOKUP(B1153,LifeList!$E$2:$J$2038,6)</f>
        <v>7726</v>
      </c>
      <c r="D1153" s="3" t="str">
        <f>VLOOKUP(B1153,LifeList!$E$2:$G$2038,1)</f>
        <v>Eastern Cattle-Egret</v>
      </c>
      <c r="E1153" s="3" t="str">
        <f>VLOOKUP(B1153,LifeList!$E$2:$G$2038,2)</f>
        <v>Héron de Coromandel</v>
      </c>
      <c r="F1153" s="3" t="str">
        <f>VLOOKUP(B1153,LifeList!$E$2:$G$2038,3)</f>
        <v>Ardea coromanda</v>
      </c>
      <c r="G1153" s="3" t="str">
        <f>VLOOKUP(B1153,LifeList!$E$2:$I$2038,4)</f>
        <v>Pelecaniformes</v>
      </c>
      <c r="H1153" s="3" t="str">
        <f>VLOOKUP(B1153,LifeList!$E$2:$I$2038,5)</f>
        <v>Ardeidae (Herons, Egrets, and Bitterns)</v>
      </c>
      <c r="I1153" s="3"/>
    </row>
    <row r="1154" spans="1:9" ht="10.5" customHeight="1">
      <c r="A1154" s="3" t="s">
        <v>1661</v>
      </c>
      <c r="B1154" s="3" t="s">
        <v>1657</v>
      </c>
      <c r="C1154" s="3">
        <f>VLOOKUP(B1154,LifeList!$E$2:$J$2038,6)</f>
        <v>7726</v>
      </c>
      <c r="D1154" s="3" t="str">
        <f>VLOOKUP(B1154,LifeList!$E$2:$G$2038,1)</f>
        <v>Eastern Cattle-Egret</v>
      </c>
      <c r="E1154" s="3" t="str">
        <f>VLOOKUP(B1154,LifeList!$E$2:$G$2038,2)</f>
        <v>Héron de Coromandel</v>
      </c>
      <c r="F1154" s="3" t="str">
        <f>VLOOKUP(B1154,LifeList!$E$2:$G$2038,3)</f>
        <v>Ardea coromanda</v>
      </c>
      <c r="G1154" s="3" t="str">
        <f>VLOOKUP(B1154,LifeList!$E$2:$I$2038,4)</f>
        <v>Pelecaniformes</v>
      </c>
      <c r="H1154" s="3" t="str">
        <f>VLOOKUP(B1154,LifeList!$E$2:$I$2038,5)</f>
        <v>Ardeidae (Herons, Egrets, and Bitterns)</v>
      </c>
      <c r="I1154" s="3"/>
    </row>
    <row r="1155" spans="1:9" ht="10.5" customHeight="1">
      <c r="A1155" s="3" t="s">
        <v>1662</v>
      </c>
      <c r="B1155" s="3" t="s">
        <v>1657</v>
      </c>
      <c r="C1155" s="3">
        <f>VLOOKUP(B1155,LifeList!$E$2:$J$2038,6)</f>
        <v>7726</v>
      </c>
      <c r="D1155" s="3" t="str">
        <f>VLOOKUP(B1155,LifeList!$E$2:$G$2038,1)</f>
        <v>Eastern Cattle-Egret</v>
      </c>
      <c r="E1155" s="3" t="str">
        <f>VLOOKUP(B1155,LifeList!$E$2:$G$2038,2)</f>
        <v>Héron de Coromandel</v>
      </c>
      <c r="F1155" s="3" t="str">
        <f>VLOOKUP(B1155,LifeList!$E$2:$G$2038,3)</f>
        <v>Ardea coromanda</v>
      </c>
      <c r="G1155" s="3" t="str">
        <f>VLOOKUP(B1155,LifeList!$E$2:$I$2038,4)</f>
        <v>Pelecaniformes</v>
      </c>
      <c r="H1155" s="3" t="str">
        <f>VLOOKUP(B1155,LifeList!$E$2:$I$2038,5)</f>
        <v>Ardeidae (Herons, Egrets, and Bitterns)</v>
      </c>
      <c r="I1155" s="3"/>
    </row>
    <row r="1156" spans="1:9" ht="10.5" customHeight="1">
      <c r="A1156" s="3" t="s">
        <v>1663</v>
      </c>
      <c r="B1156" s="3" t="s">
        <v>1664</v>
      </c>
      <c r="C1156" s="3">
        <f>VLOOKUP(B1156,LifeList!$E$2:$J$2038,6)</f>
        <v>17472</v>
      </c>
      <c r="D1156" s="3" t="str">
        <f>VLOOKUP(B1156,LifeList!$E$2:$G$2038,1)</f>
        <v>Eastern Kingbird</v>
      </c>
      <c r="E1156" s="3" t="str">
        <f>VLOOKUP(B1156,LifeList!$E$2:$G$2038,2)</f>
        <v>Tyran tritri</v>
      </c>
      <c r="F1156" s="3" t="str">
        <f>VLOOKUP(B1156,LifeList!$E$2:$G$2038,3)</f>
        <v>Tyrannus tyrannus</v>
      </c>
      <c r="G1156" s="3" t="str">
        <f>VLOOKUP(B1156,LifeList!$E$2:$I$2038,4)</f>
        <v>Passeriformes</v>
      </c>
      <c r="H1156" s="3" t="str">
        <f>VLOOKUP(B1156,LifeList!$E$2:$I$2038,5)</f>
        <v>Tyrannidae (Tyrant Flycatchers)</v>
      </c>
      <c r="I1156" s="3"/>
    </row>
    <row r="1157" spans="1:9" ht="10.5" customHeight="1">
      <c r="A1157" s="3" t="s">
        <v>1665</v>
      </c>
      <c r="B1157" s="3" t="s">
        <v>1664</v>
      </c>
      <c r="C1157" s="3">
        <f>VLOOKUP(B1157,LifeList!$E$2:$J$2038,6)</f>
        <v>17472</v>
      </c>
      <c r="D1157" s="3" t="str">
        <f>VLOOKUP(B1157,LifeList!$E$2:$G$2038,1)</f>
        <v>Eastern Kingbird</v>
      </c>
      <c r="E1157" s="3" t="str">
        <f>VLOOKUP(B1157,LifeList!$E$2:$G$2038,2)</f>
        <v>Tyran tritri</v>
      </c>
      <c r="F1157" s="3" t="str">
        <f>VLOOKUP(B1157,LifeList!$E$2:$G$2038,3)</f>
        <v>Tyrannus tyrannus</v>
      </c>
      <c r="G1157" s="3" t="str">
        <f>VLOOKUP(B1157,LifeList!$E$2:$I$2038,4)</f>
        <v>Passeriformes</v>
      </c>
      <c r="H1157" s="3" t="str">
        <f>VLOOKUP(B1157,LifeList!$E$2:$I$2038,5)</f>
        <v>Tyrannidae (Tyrant Flycatchers)</v>
      </c>
      <c r="I1157" s="3"/>
    </row>
    <row r="1158" spans="1:9" ht="10.5" customHeight="1">
      <c r="A1158" s="3" t="s">
        <v>1666</v>
      </c>
      <c r="B1158" s="3" t="s">
        <v>1664</v>
      </c>
      <c r="C1158" s="3">
        <f>VLOOKUP(B1158,LifeList!$E$2:$J$2038,6)</f>
        <v>17472</v>
      </c>
      <c r="D1158" s="3" t="str">
        <f>VLOOKUP(B1158,LifeList!$E$2:$G$2038,1)</f>
        <v>Eastern Kingbird</v>
      </c>
      <c r="E1158" s="3" t="str">
        <f>VLOOKUP(B1158,LifeList!$E$2:$G$2038,2)</f>
        <v>Tyran tritri</v>
      </c>
      <c r="F1158" s="3" t="str">
        <f>VLOOKUP(B1158,LifeList!$E$2:$G$2038,3)</f>
        <v>Tyrannus tyrannus</v>
      </c>
      <c r="G1158" s="3" t="str">
        <f>VLOOKUP(B1158,LifeList!$E$2:$I$2038,4)</f>
        <v>Passeriformes</v>
      </c>
      <c r="H1158" s="3" t="str">
        <f>VLOOKUP(B1158,LifeList!$E$2:$I$2038,5)</f>
        <v>Tyrannidae (Tyrant Flycatchers)</v>
      </c>
      <c r="I1158" s="3"/>
    </row>
    <row r="1159" spans="1:9" ht="10.5" customHeight="1">
      <c r="A1159" s="3" t="s">
        <v>1667</v>
      </c>
      <c r="B1159" s="3" t="s">
        <v>1664</v>
      </c>
      <c r="C1159" s="3">
        <f>VLOOKUP(B1159,LifeList!$E$2:$J$2038,6)</f>
        <v>17472</v>
      </c>
      <c r="D1159" s="3" t="str">
        <f>VLOOKUP(B1159,LifeList!$E$2:$G$2038,1)</f>
        <v>Eastern Kingbird</v>
      </c>
      <c r="E1159" s="3" t="str">
        <f>VLOOKUP(B1159,LifeList!$E$2:$G$2038,2)</f>
        <v>Tyran tritri</v>
      </c>
      <c r="F1159" s="3" t="str">
        <f>VLOOKUP(B1159,LifeList!$E$2:$G$2038,3)</f>
        <v>Tyrannus tyrannus</v>
      </c>
      <c r="G1159" s="3" t="str">
        <f>VLOOKUP(B1159,LifeList!$E$2:$I$2038,4)</f>
        <v>Passeriformes</v>
      </c>
      <c r="H1159" s="3" t="str">
        <f>VLOOKUP(B1159,LifeList!$E$2:$I$2038,5)</f>
        <v>Tyrannidae (Tyrant Flycatchers)</v>
      </c>
      <c r="I1159" s="3"/>
    </row>
    <row r="1160" spans="1:9" ht="10.5" customHeight="1">
      <c r="A1160" s="3" t="s">
        <v>1668</v>
      </c>
      <c r="B1160" s="3" t="s">
        <v>1664</v>
      </c>
      <c r="C1160" s="3">
        <f>VLOOKUP(B1160,LifeList!$E$2:$J$2038,6)</f>
        <v>17472</v>
      </c>
      <c r="D1160" s="3" t="str">
        <f>VLOOKUP(B1160,LifeList!$E$2:$G$2038,1)</f>
        <v>Eastern Kingbird</v>
      </c>
      <c r="E1160" s="3" t="str">
        <f>VLOOKUP(B1160,LifeList!$E$2:$G$2038,2)</f>
        <v>Tyran tritri</v>
      </c>
      <c r="F1160" s="3" t="str">
        <f>VLOOKUP(B1160,LifeList!$E$2:$G$2038,3)</f>
        <v>Tyrannus tyrannus</v>
      </c>
      <c r="G1160" s="3" t="str">
        <f>VLOOKUP(B1160,LifeList!$E$2:$I$2038,4)</f>
        <v>Passeriformes</v>
      </c>
      <c r="H1160" s="3" t="str">
        <f>VLOOKUP(B1160,LifeList!$E$2:$I$2038,5)</f>
        <v>Tyrannidae (Tyrant Flycatchers)</v>
      </c>
      <c r="I1160" s="3"/>
    </row>
    <row r="1161" spans="1:9" ht="10.5" customHeight="1">
      <c r="A1161" s="3" t="s">
        <v>1669</v>
      </c>
      <c r="B1161" s="3" t="s">
        <v>1664</v>
      </c>
      <c r="C1161" s="3">
        <f>VLOOKUP(B1161,LifeList!$E$2:$J$2038,6)</f>
        <v>17472</v>
      </c>
      <c r="D1161" s="3" t="str">
        <f>VLOOKUP(B1161,LifeList!$E$2:$G$2038,1)</f>
        <v>Eastern Kingbird</v>
      </c>
      <c r="E1161" s="3" t="str">
        <f>VLOOKUP(B1161,LifeList!$E$2:$G$2038,2)</f>
        <v>Tyran tritri</v>
      </c>
      <c r="F1161" s="3" t="str">
        <f>VLOOKUP(B1161,LifeList!$E$2:$G$2038,3)</f>
        <v>Tyrannus tyrannus</v>
      </c>
      <c r="G1161" s="3" t="str">
        <f>VLOOKUP(B1161,LifeList!$E$2:$I$2038,4)</f>
        <v>Passeriformes</v>
      </c>
      <c r="H1161" s="3" t="str">
        <f>VLOOKUP(B1161,LifeList!$E$2:$I$2038,5)</f>
        <v>Tyrannidae (Tyrant Flycatchers)</v>
      </c>
      <c r="I1161" s="3"/>
    </row>
    <row r="1162" spans="1:9" ht="10.5" customHeight="1">
      <c r="A1162" s="3" t="s">
        <v>1670</v>
      </c>
      <c r="B1162" s="3" t="s">
        <v>1664</v>
      </c>
      <c r="C1162" s="3">
        <f>VLOOKUP(B1162,LifeList!$E$2:$J$2038,6)</f>
        <v>17472</v>
      </c>
      <c r="D1162" s="3" t="str">
        <f>VLOOKUP(B1162,LifeList!$E$2:$G$2038,1)</f>
        <v>Eastern Kingbird</v>
      </c>
      <c r="E1162" s="3" t="str">
        <f>VLOOKUP(B1162,LifeList!$E$2:$G$2038,2)</f>
        <v>Tyran tritri</v>
      </c>
      <c r="F1162" s="3" t="str">
        <f>VLOOKUP(B1162,LifeList!$E$2:$G$2038,3)</f>
        <v>Tyrannus tyrannus</v>
      </c>
      <c r="G1162" s="3" t="str">
        <f>VLOOKUP(B1162,LifeList!$E$2:$I$2038,4)</f>
        <v>Passeriformes</v>
      </c>
      <c r="H1162" s="3" t="str">
        <f>VLOOKUP(B1162,LifeList!$E$2:$I$2038,5)</f>
        <v>Tyrannidae (Tyrant Flycatchers)</v>
      </c>
      <c r="I1162" s="3"/>
    </row>
    <row r="1163" spans="1:9" ht="10.5" customHeight="1">
      <c r="A1163" s="3" t="s">
        <v>1671</v>
      </c>
      <c r="B1163" s="3" t="s">
        <v>1664</v>
      </c>
      <c r="C1163" s="3">
        <f>VLOOKUP(B1163,LifeList!$E$2:$J$2038,6)</f>
        <v>17472</v>
      </c>
      <c r="D1163" s="3" t="str">
        <f>VLOOKUP(B1163,LifeList!$E$2:$G$2038,1)</f>
        <v>Eastern Kingbird</v>
      </c>
      <c r="E1163" s="3" t="str">
        <f>VLOOKUP(B1163,LifeList!$E$2:$G$2038,2)</f>
        <v>Tyran tritri</v>
      </c>
      <c r="F1163" s="3" t="str">
        <f>VLOOKUP(B1163,LifeList!$E$2:$G$2038,3)</f>
        <v>Tyrannus tyrannus</v>
      </c>
      <c r="G1163" s="3" t="str">
        <f>VLOOKUP(B1163,LifeList!$E$2:$I$2038,4)</f>
        <v>Passeriformes</v>
      </c>
      <c r="H1163" s="3" t="str">
        <f>VLOOKUP(B1163,LifeList!$E$2:$I$2038,5)</f>
        <v>Tyrannidae (Tyrant Flycatchers)</v>
      </c>
      <c r="I1163" s="3"/>
    </row>
    <row r="1164" spans="1:9" ht="10.5" customHeight="1">
      <c r="A1164" s="3" t="s">
        <v>1672</v>
      </c>
      <c r="B1164" s="3" t="s">
        <v>1664</v>
      </c>
      <c r="C1164" s="3">
        <f>VLOOKUP(B1164,LifeList!$E$2:$J$2038,6)</f>
        <v>17472</v>
      </c>
      <c r="D1164" s="3" t="str">
        <f>VLOOKUP(B1164,LifeList!$E$2:$G$2038,1)</f>
        <v>Eastern Kingbird</v>
      </c>
      <c r="E1164" s="3" t="str">
        <f>VLOOKUP(B1164,LifeList!$E$2:$G$2038,2)</f>
        <v>Tyran tritri</v>
      </c>
      <c r="F1164" s="3" t="str">
        <f>VLOOKUP(B1164,LifeList!$E$2:$G$2038,3)</f>
        <v>Tyrannus tyrannus</v>
      </c>
      <c r="G1164" s="3" t="str">
        <f>VLOOKUP(B1164,LifeList!$E$2:$I$2038,4)</f>
        <v>Passeriformes</v>
      </c>
      <c r="H1164" s="3" t="str">
        <f>VLOOKUP(B1164,LifeList!$E$2:$I$2038,5)</f>
        <v>Tyrannidae (Tyrant Flycatchers)</v>
      </c>
      <c r="I1164" s="3"/>
    </row>
    <row r="1165" spans="1:9" ht="10.5" customHeight="1">
      <c r="A1165" s="3" t="s">
        <v>1673</v>
      </c>
      <c r="B1165" s="3" t="s">
        <v>1664</v>
      </c>
      <c r="C1165" s="3">
        <f>VLOOKUP(B1165,LifeList!$E$2:$J$2038,6)</f>
        <v>17472</v>
      </c>
      <c r="D1165" s="3" t="str">
        <f>VLOOKUP(B1165,LifeList!$E$2:$G$2038,1)</f>
        <v>Eastern Kingbird</v>
      </c>
      <c r="E1165" s="3" t="str">
        <f>VLOOKUP(B1165,LifeList!$E$2:$G$2038,2)</f>
        <v>Tyran tritri</v>
      </c>
      <c r="F1165" s="3" t="str">
        <f>VLOOKUP(B1165,LifeList!$E$2:$G$2038,3)</f>
        <v>Tyrannus tyrannus</v>
      </c>
      <c r="G1165" s="3" t="str">
        <f>VLOOKUP(B1165,LifeList!$E$2:$I$2038,4)</f>
        <v>Passeriformes</v>
      </c>
      <c r="H1165" s="3" t="str">
        <f>VLOOKUP(B1165,LifeList!$E$2:$I$2038,5)</f>
        <v>Tyrannidae (Tyrant Flycatchers)</v>
      </c>
      <c r="I1165" s="3"/>
    </row>
    <row r="1166" spans="1:9" ht="10.5" customHeight="1">
      <c r="A1166" s="3" t="s">
        <v>1674</v>
      </c>
      <c r="B1166" s="3" t="s">
        <v>1664</v>
      </c>
      <c r="C1166" s="3">
        <f>VLOOKUP(B1166,LifeList!$E$2:$J$2038,6)</f>
        <v>17472</v>
      </c>
      <c r="D1166" s="3" t="str">
        <f>VLOOKUP(B1166,LifeList!$E$2:$G$2038,1)</f>
        <v>Eastern Kingbird</v>
      </c>
      <c r="E1166" s="3" t="str">
        <f>VLOOKUP(B1166,LifeList!$E$2:$G$2038,2)</f>
        <v>Tyran tritri</v>
      </c>
      <c r="F1166" s="3" t="str">
        <f>VLOOKUP(B1166,LifeList!$E$2:$G$2038,3)</f>
        <v>Tyrannus tyrannus</v>
      </c>
      <c r="G1166" s="3" t="str">
        <f>VLOOKUP(B1166,LifeList!$E$2:$I$2038,4)</f>
        <v>Passeriformes</v>
      </c>
      <c r="H1166" s="3" t="str">
        <f>VLOOKUP(B1166,LifeList!$E$2:$I$2038,5)</f>
        <v>Tyrannidae (Tyrant Flycatchers)</v>
      </c>
      <c r="I1166" s="3"/>
    </row>
    <row r="1167" spans="1:9" ht="10.5" customHeight="1">
      <c r="A1167" s="3" t="s">
        <v>1675</v>
      </c>
      <c r="B1167" s="3" t="s">
        <v>1676</v>
      </c>
      <c r="C1167" s="3">
        <f>VLOOKUP(B1167,LifeList!$E$2:$J$2038,6)</f>
        <v>33568</v>
      </c>
      <c r="D1167" s="3" t="str">
        <f>VLOOKUP(B1167,LifeList!$E$2:$G$2038,1)</f>
        <v>Eastern Meadowlark</v>
      </c>
      <c r="E1167" s="3" t="str">
        <f>VLOOKUP(B1167,LifeList!$E$2:$G$2038,2)</f>
        <v>Sturnelle des prés</v>
      </c>
      <c r="F1167" s="3" t="str">
        <f>VLOOKUP(B1167,LifeList!$E$2:$G$2038,3)</f>
        <v>Sturnella magna</v>
      </c>
      <c r="G1167" s="3" t="str">
        <f>VLOOKUP(B1167,LifeList!$E$2:$I$2038,4)</f>
        <v>Passeriformes</v>
      </c>
      <c r="H1167" s="3" t="str">
        <f>VLOOKUP(B1167,LifeList!$E$2:$I$2038,5)</f>
        <v>Icteridae (Troupials and Allies)</v>
      </c>
      <c r="I1167" s="3"/>
    </row>
    <row r="1168" spans="1:9" ht="10.5" customHeight="1">
      <c r="A1168" s="3" t="s">
        <v>1677</v>
      </c>
      <c r="B1168" s="3" t="s">
        <v>1676</v>
      </c>
      <c r="C1168" s="3">
        <f>VLOOKUP(B1168,LifeList!$E$2:$J$2038,6)</f>
        <v>33568</v>
      </c>
      <c r="D1168" s="3" t="str">
        <f>VLOOKUP(B1168,LifeList!$E$2:$G$2038,1)</f>
        <v>Eastern Meadowlark</v>
      </c>
      <c r="E1168" s="3" t="str">
        <f>VLOOKUP(B1168,LifeList!$E$2:$G$2038,2)</f>
        <v>Sturnelle des prés</v>
      </c>
      <c r="F1168" s="3" t="str">
        <f>VLOOKUP(B1168,LifeList!$E$2:$G$2038,3)</f>
        <v>Sturnella magna</v>
      </c>
      <c r="G1168" s="3" t="str">
        <f>VLOOKUP(B1168,LifeList!$E$2:$I$2038,4)</f>
        <v>Passeriformes</v>
      </c>
      <c r="H1168" s="3" t="str">
        <f>VLOOKUP(B1168,LifeList!$E$2:$I$2038,5)</f>
        <v>Icteridae (Troupials and Allies)</v>
      </c>
      <c r="I1168" s="3"/>
    </row>
    <row r="1169" spans="1:9" ht="10.5" customHeight="1">
      <c r="A1169" s="3" t="s">
        <v>1678</v>
      </c>
      <c r="B1169" s="3" t="s">
        <v>1676</v>
      </c>
      <c r="C1169" s="3">
        <f>VLOOKUP(B1169,LifeList!$E$2:$J$2038,6)</f>
        <v>33568</v>
      </c>
      <c r="D1169" s="3" t="str">
        <f>VLOOKUP(B1169,LifeList!$E$2:$G$2038,1)</f>
        <v>Eastern Meadowlark</v>
      </c>
      <c r="E1169" s="3" t="str">
        <f>VLOOKUP(B1169,LifeList!$E$2:$G$2038,2)</f>
        <v>Sturnelle des prés</v>
      </c>
      <c r="F1169" s="3" t="str">
        <f>VLOOKUP(B1169,LifeList!$E$2:$G$2038,3)</f>
        <v>Sturnella magna</v>
      </c>
      <c r="G1169" s="3" t="str">
        <f>VLOOKUP(B1169,LifeList!$E$2:$I$2038,4)</f>
        <v>Passeriformes</v>
      </c>
      <c r="H1169" s="3" t="str">
        <f>VLOOKUP(B1169,LifeList!$E$2:$I$2038,5)</f>
        <v>Icteridae (Troupials and Allies)</v>
      </c>
      <c r="I1169" s="3"/>
    </row>
    <row r="1170" spans="1:9" ht="10.5" customHeight="1">
      <c r="A1170" s="3" t="s">
        <v>1679</v>
      </c>
      <c r="B1170" s="3" t="s">
        <v>1676</v>
      </c>
      <c r="C1170" s="3">
        <f>VLOOKUP(B1170,LifeList!$E$2:$J$2038,6)</f>
        <v>33568</v>
      </c>
      <c r="D1170" s="3" t="str">
        <f>VLOOKUP(B1170,LifeList!$E$2:$G$2038,1)</f>
        <v>Eastern Meadowlark</v>
      </c>
      <c r="E1170" s="3" t="str">
        <f>VLOOKUP(B1170,LifeList!$E$2:$G$2038,2)</f>
        <v>Sturnelle des prés</v>
      </c>
      <c r="F1170" s="3" t="str">
        <f>VLOOKUP(B1170,LifeList!$E$2:$G$2038,3)</f>
        <v>Sturnella magna</v>
      </c>
      <c r="G1170" s="3" t="str">
        <f>VLOOKUP(B1170,LifeList!$E$2:$I$2038,4)</f>
        <v>Passeriformes</v>
      </c>
      <c r="H1170" s="3" t="str">
        <f>VLOOKUP(B1170,LifeList!$E$2:$I$2038,5)</f>
        <v>Icteridae (Troupials and Allies)</v>
      </c>
      <c r="I1170" s="3"/>
    </row>
    <row r="1171" spans="1:9" ht="10.5" customHeight="1">
      <c r="A1171" s="3" t="s">
        <v>1680</v>
      </c>
      <c r="B1171" s="3" t="s">
        <v>1681</v>
      </c>
      <c r="C1171" s="3">
        <f>VLOOKUP(B1171,LifeList!$E$2:$J$2038,6)</f>
        <v>17007</v>
      </c>
      <c r="D1171" s="3" t="str">
        <f>VLOOKUP(B1171,LifeList!$E$2:$G$2038,1)</f>
        <v>Eastern Phoebe</v>
      </c>
      <c r="E1171" s="3" t="str">
        <f>VLOOKUP(B1171,LifeList!$E$2:$G$2038,2)</f>
        <v>Moucherolle phébi</v>
      </c>
      <c r="F1171" s="3" t="str">
        <f>VLOOKUP(B1171,LifeList!$E$2:$G$2038,3)</f>
        <v>Sayornis phoebe</v>
      </c>
      <c r="G1171" s="3" t="str">
        <f>VLOOKUP(B1171,LifeList!$E$2:$I$2038,4)</f>
        <v>Passeriformes</v>
      </c>
      <c r="H1171" s="3" t="str">
        <f>VLOOKUP(B1171,LifeList!$E$2:$I$2038,5)</f>
        <v>Tyrannidae (Tyrant Flycatchers)</v>
      </c>
      <c r="I1171" s="3"/>
    </row>
    <row r="1172" spans="1:9" ht="10.5" customHeight="1">
      <c r="A1172" s="3" t="s">
        <v>1682</v>
      </c>
      <c r="B1172" s="3" t="s">
        <v>1681</v>
      </c>
      <c r="C1172" s="3">
        <f>VLOOKUP(B1172,LifeList!$E$2:$J$2038,6)</f>
        <v>17007</v>
      </c>
      <c r="D1172" s="3" t="str">
        <f>VLOOKUP(B1172,LifeList!$E$2:$G$2038,1)</f>
        <v>Eastern Phoebe</v>
      </c>
      <c r="E1172" s="3" t="str">
        <f>VLOOKUP(B1172,LifeList!$E$2:$G$2038,2)</f>
        <v>Moucherolle phébi</v>
      </c>
      <c r="F1172" s="3" t="str">
        <f>VLOOKUP(B1172,LifeList!$E$2:$G$2038,3)</f>
        <v>Sayornis phoebe</v>
      </c>
      <c r="G1172" s="3" t="str">
        <f>VLOOKUP(B1172,LifeList!$E$2:$I$2038,4)</f>
        <v>Passeriformes</v>
      </c>
      <c r="H1172" s="3" t="str">
        <f>VLOOKUP(B1172,LifeList!$E$2:$I$2038,5)</f>
        <v>Tyrannidae (Tyrant Flycatchers)</v>
      </c>
      <c r="I1172" s="3"/>
    </row>
    <row r="1173" spans="1:9" ht="10.5" customHeight="1">
      <c r="A1173" s="3" t="s">
        <v>1683</v>
      </c>
      <c r="B1173" s="3" t="s">
        <v>1681</v>
      </c>
      <c r="C1173" s="3">
        <f>VLOOKUP(B1173,LifeList!$E$2:$J$2038,6)</f>
        <v>17007</v>
      </c>
      <c r="D1173" s="3" t="str">
        <f>VLOOKUP(B1173,LifeList!$E$2:$G$2038,1)</f>
        <v>Eastern Phoebe</v>
      </c>
      <c r="E1173" s="3" t="str">
        <f>VLOOKUP(B1173,LifeList!$E$2:$G$2038,2)</f>
        <v>Moucherolle phébi</v>
      </c>
      <c r="F1173" s="3" t="str">
        <f>VLOOKUP(B1173,LifeList!$E$2:$G$2038,3)</f>
        <v>Sayornis phoebe</v>
      </c>
      <c r="G1173" s="3" t="str">
        <f>VLOOKUP(B1173,LifeList!$E$2:$I$2038,4)</f>
        <v>Passeriformes</v>
      </c>
      <c r="H1173" s="3" t="str">
        <f>VLOOKUP(B1173,LifeList!$E$2:$I$2038,5)</f>
        <v>Tyrannidae (Tyrant Flycatchers)</v>
      </c>
      <c r="I1173" s="3"/>
    </row>
    <row r="1174" spans="1:9" ht="10.5" customHeight="1">
      <c r="A1174" s="3" t="s">
        <v>1684</v>
      </c>
      <c r="B1174" s="3" t="s">
        <v>1681</v>
      </c>
      <c r="C1174" s="3">
        <f>VLOOKUP(B1174,LifeList!$E$2:$J$2038,6)</f>
        <v>17007</v>
      </c>
      <c r="D1174" s="3" t="str">
        <f>VLOOKUP(B1174,LifeList!$E$2:$G$2038,1)</f>
        <v>Eastern Phoebe</v>
      </c>
      <c r="E1174" s="3" t="str">
        <f>VLOOKUP(B1174,LifeList!$E$2:$G$2038,2)</f>
        <v>Moucherolle phébi</v>
      </c>
      <c r="F1174" s="3" t="str">
        <f>VLOOKUP(B1174,LifeList!$E$2:$G$2038,3)</f>
        <v>Sayornis phoebe</v>
      </c>
      <c r="G1174" s="3" t="str">
        <f>VLOOKUP(B1174,LifeList!$E$2:$I$2038,4)</f>
        <v>Passeriformes</v>
      </c>
      <c r="H1174" s="3" t="str">
        <f>VLOOKUP(B1174,LifeList!$E$2:$I$2038,5)</f>
        <v>Tyrannidae (Tyrant Flycatchers)</v>
      </c>
      <c r="I1174" s="3"/>
    </row>
    <row r="1175" spans="1:9" ht="10.5" customHeight="1">
      <c r="A1175" s="3" t="s">
        <v>1685</v>
      </c>
      <c r="B1175" s="3" t="s">
        <v>1681</v>
      </c>
      <c r="C1175" s="3">
        <f>VLOOKUP(B1175,LifeList!$E$2:$J$2038,6)</f>
        <v>17007</v>
      </c>
      <c r="D1175" s="3" t="str">
        <f>VLOOKUP(B1175,LifeList!$E$2:$G$2038,1)</f>
        <v>Eastern Phoebe</v>
      </c>
      <c r="E1175" s="3" t="str">
        <f>VLOOKUP(B1175,LifeList!$E$2:$G$2038,2)</f>
        <v>Moucherolle phébi</v>
      </c>
      <c r="F1175" s="3" t="str">
        <f>VLOOKUP(B1175,LifeList!$E$2:$G$2038,3)</f>
        <v>Sayornis phoebe</v>
      </c>
      <c r="G1175" s="3" t="str">
        <f>VLOOKUP(B1175,LifeList!$E$2:$I$2038,4)</f>
        <v>Passeriformes</v>
      </c>
      <c r="H1175" s="3" t="str">
        <f>VLOOKUP(B1175,LifeList!$E$2:$I$2038,5)</f>
        <v>Tyrannidae (Tyrant Flycatchers)</v>
      </c>
      <c r="I1175" s="3"/>
    </row>
    <row r="1176" spans="1:9" ht="10.5" customHeight="1">
      <c r="A1176" s="3" t="s">
        <v>1686</v>
      </c>
      <c r="B1176" s="3" t="s">
        <v>1681</v>
      </c>
      <c r="C1176" s="3">
        <f>VLOOKUP(B1176,LifeList!$E$2:$J$2038,6)</f>
        <v>17007</v>
      </c>
      <c r="D1176" s="3" t="str">
        <f>VLOOKUP(B1176,LifeList!$E$2:$G$2038,1)</f>
        <v>Eastern Phoebe</v>
      </c>
      <c r="E1176" s="3" t="str">
        <f>VLOOKUP(B1176,LifeList!$E$2:$G$2038,2)</f>
        <v>Moucherolle phébi</v>
      </c>
      <c r="F1176" s="3" t="str">
        <f>VLOOKUP(B1176,LifeList!$E$2:$G$2038,3)</f>
        <v>Sayornis phoebe</v>
      </c>
      <c r="G1176" s="3" t="str">
        <f>VLOOKUP(B1176,LifeList!$E$2:$I$2038,4)</f>
        <v>Passeriformes</v>
      </c>
      <c r="H1176" s="3" t="str">
        <f>VLOOKUP(B1176,LifeList!$E$2:$I$2038,5)</f>
        <v>Tyrannidae (Tyrant Flycatchers)</v>
      </c>
      <c r="I1176" s="3"/>
    </row>
    <row r="1177" spans="1:9" ht="10.5" customHeight="1">
      <c r="A1177" s="3" t="s">
        <v>1687</v>
      </c>
      <c r="B1177" s="3" t="s">
        <v>1688</v>
      </c>
      <c r="C1177" s="3">
        <f>VLOOKUP(B1177,LifeList!$E$2:$J$2038,6)</f>
        <v>12492</v>
      </c>
      <c r="D1177" s="3" t="str">
        <f>VLOOKUP(B1177,LifeList!$E$2:$G$2038,1)</f>
        <v>Eastern Rosella</v>
      </c>
      <c r="E1177" s="3" t="str">
        <f>VLOOKUP(B1177,LifeList!$E$2:$G$2038,2)</f>
        <v>Perruche omnicolore</v>
      </c>
      <c r="F1177" s="3" t="str">
        <f>VLOOKUP(B1177,LifeList!$E$2:$G$2038,3)</f>
        <v>Platycercus eximius</v>
      </c>
      <c r="G1177" s="3" t="str">
        <f>VLOOKUP(B1177,LifeList!$E$2:$I$2038,4)</f>
        <v>Psittaciformes</v>
      </c>
      <c r="H1177" s="3" t="str">
        <f>VLOOKUP(B1177,LifeList!$E$2:$I$2038,5)</f>
        <v>Psittaculidae (Old World Parrots)</v>
      </c>
      <c r="I1177" s="3"/>
    </row>
    <row r="1178" spans="1:9" ht="10.5" customHeight="1">
      <c r="A1178" s="3" t="s">
        <v>1689</v>
      </c>
      <c r="B1178" s="3" t="s">
        <v>1688</v>
      </c>
      <c r="C1178" s="3">
        <f>VLOOKUP(B1178,LifeList!$E$2:$J$2038,6)</f>
        <v>12492</v>
      </c>
      <c r="D1178" s="3" t="str">
        <f>VLOOKUP(B1178,LifeList!$E$2:$G$2038,1)</f>
        <v>Eastern Rosella</v>
      </c>
      <c r="E1178" s="3" t="str">
        <f>VLOOKUP(B1178,LifeList!$E$2:$G$2038,2)</f>
        <v>Perruche omnicolore</v>
      </c>
      <c r="F1178" s="3" t="str">
        <f>VLOOKUP(B1178,LifeList!$E$2:$G$2038,3)</f>
        <v>Platycercus eximius</v>
      </c>
      <c r="G1178" s="3" t="str">
        <f>VLOOKUP(B1178,LifeList!$E$2:$I$2038,4)</f>
        <v>Psittaciformes</v>
      </c>
      <c r="H1178" s="3" t="str">
        <f>VLOOKUP(B1178,LifeList!$E$2:$I$2038,5)</f>
        <v>Psittaculidae (Old World Parrots)</v>
      </c>
      <c r="I1178" s="3"/>
    </row>
    <row r="1179" spans="1:9" ht="10.5" customHeight="1">
      <c r="A1179" s="3" t="s">
        <v>1690</v>
      </c>
      <c r="B1179" s="3" t="s">
        <v>1691</v>
      </c>
      <c r="C1179" s="3">
        <f>VLOOKUP(B1179,LifeList!$E$2:$J$2038,6)</f>
        <v>8866</v>
      </c>
      <c r="D1179" s="3" t="str">
        <f>VLOOKUP(B1179,LifeList!$E$2:$G$2038,1)</f>
        <v>Eastern Screech-Owl</v>
      </c>
      <c r="E1179" s="3" t="str">
        <f>VLOOKUP(B1179,LifeList!$E$2:$G$2038,2)</f>
        <v>Petit-duc maculé</v>
      </c>
      <c r="F1179" s="3" t="str">
        <f>VLOOKUP(B1179,LifeList!$E$2:$G$2038,3)</f>
        <v>Megascops asio</v>
      </c>
      <c r="G1179" s="3" t="str">
        <f>VLOOKUP(B1179,LifeList!$E$2:$I$2038,4)</f>
        <v>Strigiformes</v>
      </c>
      <c r="H1179" s="3" t="str">
        <f>VLOOKUP(B1179,LifeList!$E$2:$I$2038,5)</f>
        <v>Strigidae (Owls)</v>
      </c>
      <c r="I1179" s="3"/>
    </row>
    <row r="1180" spans="1:9" ht="10.5" customHeight="1">
      <c r="A1180" s="3" t="s">
        <v>1692</v>
      </c>
      <c r="B1180" s="3" t="s">
        <v>1691</v>
      </c>
      <c r="C1180" s="3">
        <f>VLOOKUP(B1180,LifeList!$E$2:$J$2038,6)</f>
        <v>8866</v>
      </c>
      <c r="D1180" s="3" t="str">
        <f>VLOOKUP(B1180,LifeList!$E$2:$G$2038,1)</f>
        <v>Eastern Screech-Owl</v>
      </c>
      <c r="E1180" s="3" t="str">
        <f>VLOOKUP(B1180,LifeList!$E$2:$G$2038,2)</f>
        <v>Petit-duc maculé</v>
      </c>
      <c r="F1180" s="3" t="str">
        <f>VLOOKUP(B1180,LifeList!$E$2:$G$2038,3)</f>
        <v>Megascops asio</v>
      </c>
      <c r="G1180" s="3" t="str">
        <f>VLOOKUP(B1180,LifeList!$E$2:$I$2038,4)</f>
        <v>Strigiformes</v>
      </c>
      <c r="H1180" s="3" t="str">
        <f>VLOOKUP(B1180,LifeList!$E$2:$I$2038,5)</f>
        <v>Strigidae (Owls)</v>
      </c>
      <c r="I1180" s="3"/>
    </row>
    <row r="1181" spans="1:9" ht="10.5" customHeight="1">
      <c r="A1181" s="3" t="s">
        <v>1693</v>
      </c>
      <c r="B1181" s="3" t="s">
        <v>1691</v>
      </c>
      <c r="C1181" s="3">
        <f>VLOOKUP(B1181,LifeList!$E$2:$J$2038,6)</f>
        <v>8866</v>
      </c>
      <c r="D1181" s="3" t="str">
        <f>VLOOKUP(B1181,LifeList!$E$2:$G$2038,1)</f>
        <v>Eastern Screech-Owl</v>
      </c>
      <c r="E1181" s="3" t="str">
        <f>VLOOKUP(B1181,LifeList!$E$2:$G$2038,2)</f>
        <v>Petit-duc maculé</v>
      </c>
      <c r="F1181" s="3" t="str">
        <f>VLOOKUP(B1181,LifeList!$E$2:$G$2038,3)</f>
        <v>Megascops asio</v>
      </c>
      <c r="G1181" s="3" t="str">
        <f>VLOOKUP(B1181,LifeList!$E$2:$I$2038,4)</f>
        <v>Strigiformes</v>
      </c>
      <c r="H1181" s="3" t="str">
        <f>VLOOKUP(B1181,LifeList!$E$2:$I$2038,5)</f>
        <v>Strigidae (Owls)</v>
      </c>
      <c r="I1181" s="3"/>
    </row>
    <row r="1182" spans="1:9" ht="10.5" customHeight="1">
      <c r="A1182" s="7" t="s">
        <v>1694</v>
      </c>
      <c r="B1182" s="8" t="s">
        <v>1695</v>
      </c>
      <c r="C1182" s="3">
        <f>VLOOKUP(B1182,LifeList!$E$2:$J$2038,6)</f>
        <v>19002</v>
      </c>
      <c r="D1182" s="3" t="str">
        <f>VLOOKUP(B1182,LifeList!$E$2:$G$2038,1)</f>
        <v>Eastern Shrike-tit</v>
      </c>
      <c r="E1182" s="3" t="str">
        <f>VLOOKUP(B1182,LifeList!$E$2:$G$2038,2)</f>
        <v>Falconelle à casque</v>
      </c>
      <c r="F1182" s="3" t="str">
        <f>VLOOKUP(B1182,LifeList!$E$2:$G$2038,3)</f>
        <v>Falcunculus frontatus</v>
      </c>
      <c r="G1182" s="3" t="str">
        <f>VLOOKUP(B1182,LifeList!$E$2:$I$2038,4)</f>
        <v>Passeriformes</v>
      </c>
      <c r="H1182" s="3" t="str">
        <f>VLOOKUP(B1182,LifeList!$E$2:$I$2038,5)</f>
        <v>Falcunculidae (Shrike-tits)</v>
      </c>
      <c r="I1182" s="3"/>
    </row>
    <row r="1183" spans="1:9" ht="10.5" customHeight="1">
      <c r="A1183" s="3" t="s">
        <v>1696</v>
      </c>
      <c r="B1183" s="3" t="s">
        <v>1697</v>
      </c>
      <c r="C1183" s="3">
        <f>VLOOKUP(B1183,LifeList!$E$2:$J$2038,6)</f>
        <v>17706</v>
      </c>
      <c r="D1183" s="3" t="str">
        <f>VLOOKUP(B1183,LifeList!$E$2:$G$2038,1)</f>
        <v>Eastern Spinebill</v>
      </c>
      <c r="E1183" s="3" t="str">
        <f>VLOOKUP(B1183,LifeList!$E$2:$G$2038,2)</f>
        <v>Méliphage à bec grêle</v>
      </c>
      <c r="F1183" s="3" t="str">
        <f>VLOOKUP(B1183,LifeList!$E$2:$G$2038,3)</f>
        <v>Acanthorhynchus tenuirostris</v>
      </c>
      <c r="G1183" s="3" t="str">
        <f>VLOOKUP(B1183,LifeList!$E$2:$I$2038,4)</f>
        <v>Passeriformes</v>
      </c>
      <c r="H1183" s="3" t="str">
        <f>VLOOKUP(B1183,LifeList!$E$2:$I$2038,5)</f>
        <v>Meliphagidae (Honeyeaters)</v>
      </c>
      <c r="I1183" s="3"/>
    </row>
    <row r="1184" spans="1:9" ht="10.5" customHeight="1">
      <c r="A1184" s="3" t="s">
        <v>1698</v>
      </c>
      <c r="B1184" s="3" t="s">
        <v>1697</v>
      </c>
      <c r="C1184" s="3">
        <f>VLOOKUP(B1184,LifeList!$E$2:$J$2038,6)</f>
        <v>17706</v>
      </c>
      <c r="D1184" s="3" t="str">
        <f>VLOOKUP(B1184,LifeList!$E$2:$G$2038,1)</f>
        <v>Eastern Spinebill</v>
      </c>
      <c r="E1184" s="3" t="str">
        <f>VLOOKUP(B1184,LifeList!$E$2:$G$2038,2)</f>
        <v>Méliphage à bec grêle</v>
      </c>
      <c r="F1184" s="3" t="str">
        <f>VLOOKUP(B1184,LifeList!$E$2:$G$2038,3)</f>
        <v>Acanthorhynchus tenuirostris</v>
      </c>
      <c r="G1184" s="3" t="str">
        <f>VLOOKUP(B1184,LifeList!$E$2:$I$2038,4)</f>
        <v>Passeriformes</v>
      </c>
      <c r="H1184" s="3" t="str">
        <f>VLOOKUP(B1184,LifeList!$E$2:$I$2038,5)</f>
        <v>Meliphagidae (Honeyeaters)</v>
      </c>
      <c r="I1184" s="3"/>
    </row>
    <row r="1185" spans="1:9" ht="10.5" customHeight="1">
      <c r="A1185" s="3" t="s">
        <v>1699</v>
      </c>
      <c r="B1185" s="3" t="s">
        <v>1700</v>
      </c>
      <c r="C1185" s="3">
        <f>VLOOKUP(B1185,LifeList!$E$2:$J$2038,6)</f>
        <v>33415</v>
      </c>
      <c r="D1185" s="3" t="str">
        <f>VLOOKUP(B1185,LifeList!$E$2:$G$2038,1)</f>
        <v>Eastern Towhee</v>
      </c>
      <c r="E1185" s="3" t="str">
        <f>VLOOKUP(B1185,LifeList!$E$2:$G$2038,2)</f>
        <v>Tohi à flancs roux</v>
      </c>
      <c r="F1185" s="3" t="str">
        <f>VLOOKUP(B1185,LifeList!$E$2:$G$2038,3)</f>
        <v>Pipilo erythrophthalmus</v>
      </c>
      <c r="G1185" s="3" t="str">
        <f>VLOOKUP(B1185,LifeList!$E$2:$I$2038,4)</f>
        <v>Passeriformes</v>
      </c>
      <c r="H1185" s="3" t="str">
        <f>VLOOKUP(B1185,LifeList!$E$2:$I$2038,5)</f>
        <v>Passerellidae (New World Sparrows)</v>
      </c>
      <c r="I1185" s="3"/>
    </row>
    <row r="1186" spans="1:9" ht="10.5" customHeight="1">
      <c r="A1186" s="3" t="s">
        <v>1701</v>
      </c>
      <c r="B1186" s="3" t="s">
        <v>1700</v>
      </c>
      <c r="C1186" s="3">
        <f>VLOOKUP(B1186,LifeList!$E$2:$J$2038,6)</f>
        <v>33415</v>
      </c>
      <c r="D1186" s="3" t="str">
        <f>VLOOKUP(B1186,LifeList!$E$2:$G$2038,1)</f>
        <v>Eastern Towhee</v>
      </c>
      <c r="E1186" s="3" t="str">
        <f>VLOOKUP(B1186,LifeList!$E$2:$G$2038,2)</f>
        <v>Tohi à flancs roux</v>
      </c>
      <c r="F1186" s="3" t="str">
        <f>VLOOKUP(B1186,LifeList!$E$2:$G$2038,3)</f>
        <v>Pipilo erythrophthalmus</v>
      </c>
      <c r="G1186" s="3" t="str">
        <f>VLOOKUP(B1186,LifeList!$E$2:$I$2038,4)</f>
        <v>Passeriformes</v>
      </c>
      <c r="H1186" s="3" t="str">
        <f>VLOOKUP(B1186,LifeList!$E$2:$I$2038,5)</f>
        <v>Passerellidae (New World Sparrows)</v>
      </c>
      <c r="I1186" s="3"/>
    </row>
    <row r="1187" spans="1:9" ht="10.5" customHeight="1">
      <c r="A1187" s="3" t="s">
        <v>1702</v>
      </c>
      <c r="B1187" s="3" t="s">
        <v>1703</v>
      </c>
      <c r="C1187" s="3">
        <f>VLOOKUP(B1187,LifeList!$E$2:$J$2038,6)</f>
        <v>19245</v>
      </c>
      <c r="D1187" s="3" t="str">
        <f>VLOOKUP(B1187,LifeList!$E$2:$G$2038,1)</f>
        <v>Eastern Warbling Vireo</v>
      </c>
      <c r="E1187" s="3" t="str">
        <f>VLOOKUP(B1187,LifeList!$E$2:$G$2038,2)</f>
        <v>Viréo mélodieux</v>
      </c>
      <c r="F1187" s="3" t="str">
        <f>VLOOKUP(B1187,LifeList!$E$2:$G$2038,3)</f>
        <v>Vireo gilvus</v>
      </c>
      <c r="G1187" s="3" t="str">
        <f>VLOOKUP(B1187,LifeList!$E$2:$I$2038,4)</f>
        <v>Passeriformes</v>
      </c>
      <c r="H1187" s="3" t="str">
        <f>VLOOKUP(B1187,LifeList!$E$2:$I$2038,5)</f>
        <v>Vireonidae (Vireos, Shrike-Babblers, and Erpornis)</v>
      </c>
      <c r="I1187" s="3"/>
    </row>
    <row r="1188" spans="1:9" ht="10.5" customHeight="1">
      <c r="A1188" s="3" t="s">
        <v>1704</v>
      </c>
      <c r="B1188" s="3" t="s">
        <v>1703</v>
      </c>
      <c r="C1188" s="3">
        <f>VLOOKUP(B1188,LifeList!$E$2:$J$2038,6)</f>
        <v>19245</v>
      </c>
      <c r="D1188" s="3" t="str">
        <f>VLOOKUP(B1188,LifeList!$E$2:$G$2038,1)</f>
        <v>Eastern Warbling Vireo</v>
      </c>
      <c r="E1188" s="3" t="str">
        <f>VLOOKUP(B1188,LifeList!$E$2:$G$2038,2)</f>
        <v>Viréo mélodieux</v>
      </c>
      <c r="F1188" s="3" t="str">
        <f>VLOOKUP(B1188,LifeList!$E$2:$G$2038,3)</f>
        <v>Vireo gilvus</v>
      </c>
      <c r="G1188" s="3" t="str">
        <f>VLOOKUP(B1188,LifeList!$E$2:$I$2038,4)</f>
        <v>Passeriformes</v>
      </c>
      <c r="H1188" s="3" t="str">
        <f>VLOOKUP(B1188,LifeList!$E$2:$I$2038,5)</f>
        <v>Vireonidae (Vireos, Shrike-Babblers, and Erpornis)</v>
      </c>
      <c r="I1188" s="3"/>
    </row>
    <row r="1189" spans="1:9" ht="10.5" customHeight="1">
      <c r="A1189" s="3" t="s">
        <v>1705</v>
      </c>
      <c r="B1189" s="3" t="s">
        <v>1703</v>
      </c>
      <c r="C1189" s="3">
        <f>VLOOKUP(B1189,LifeList!$E$2:$J$2038,6)</f>
        <v>19245</v>
      </c>
      <c r="D1189" s="3" t="str">
        <f>VLOOKUP(B1189,LifeList!$E$2:$G$2038,1)</f>
        <v>Eastern Warbling Vireo</v>
      </c>
      <c r="E1189" s="3" t="str">
        <f>VLOOKUP(B1189,LifeList!$E$2:$G$2038,2)</f>
        <v>Viréo mélodieux</v>
      </c>
      <c r="F1189" s="3" t="str">
        <f>VLOOKUP(B1189,LifeList!$E$2:$G$2038,3)</f>
        <v>Vireo gilvus</v>
      </c>
      <c r="G1189" s="3" t="str">
        <f>VLOOKUP(B1189,LifeList!$E$2:$I$2038,4)</f>
        <v>Passeriformes</v>
      </c>
      <c r="H1189" s="3" t="str">
        <f>VLOOKUP(B1189,LifeList!$E$2:$I$2038,5)</f>
        <v>Vireonidae (Vireos, Shrike-Babblers, and Erpornis)</v>
      </c>
      <c r="I1189" s="3"/>
    </row>
    <row r="1190" spans="1:9" ht="10.5" customHeight="1">
      <c r="A1190" s="3" t="s">
        <v>1706</v>
      </c>
      <c r="B1190" s="3" t="s">
        <v>1703</v>
      </c>
      <c r="C1190" s="3">
        <f>VLOOKUP(B1190,LifeList!$E$2:$J$2038,6)</f>
        <v>19245</v>
      </c>
      <c r="D1190" s="3" t="str">
        <f>VLOOKUP(B1190,LifeList!$E$2:$G$2038,1)</f>
        <v>Eastern Warbling Vireo</v>
      </c>
      <c r="E1190" s="3" t="str">
        <f>VLOOKUP(B1190,LifeList!$E$2:$G$2038,2)</f>
        <v>Viréo mélodieux</v>
      </c>
      <c r="F1190" s="3" t="str">
        <f>VLOOKUP(B1190,LifeList!$E$2:$G$2038,3)</f>
        <v>Vireo gilvus</v>
      </c>
      <c r="G1190" s="3" t="str">
        <f>VLOOKUP(B1190,LifeList!$E$2:$I$2038,4)</f>
        <v>Passeriformes</v>
      </c>
      <c r="H1190" s="3" t="str">
        <f>VLOOKUP(B1190,LifeList!$E$2:$I$2038,5)</f>
        <v>Vireonidae (Vireos, Shrike-Babblers, and Erpornis)</v>
      </c>
      <c r="I1190" s="3"/>
    </row>
    <row r="1191" spans="1:9" ht="10.5" customHeight="1">
      <c r="A1191" s="3" t="s">
        <v>1707</v>
      </c>
      <c r="B1191" s="3" t="s">
        <v>1703</v>
      </c>
      <c r="C1191" s="3">
        <f>VLOOKUP(B1191,LifeList!$E$2:$J$2038,6)</f>
        <v>19245</v>
      </c>
      <c r="D1191" s="3" t="str">
        <f>VLOOKUP(B1191,LifeList!$E$2:$G$2038,1)</f>
        <v>Eastern Warbling Vireo</v>
      </c>
      <c r="E1191" s="3" t="str">
        <f>VLOOKUP(B1191,LifeList!$E$2:$G$2038,2)</f>
        <v>Viréo mélodieux</v>
      </c>
      <c r="F1191" s="3" t="str">
        <f>VLOOKUP(B1191,LifeList!$E$2:$G$2038,3)</f>
        <v>Vireo gilvus</v>
      </c>
      <c r="G1191" s="3" t="str">
        <f>VLOOKUP(B1191,LifeList!$E$2:$I$2038,4)</f>
        <v>Passeriformes</v>
      </c>
      <c r="H1191" s="3" t="str">
        <f>VLOOKUP(B1191,LifeList!$E$2:$I$2038,5)</f>
        <v>Vireonidae (Vireos, Shrike-Babblers, and Erpornis)</v>
      </c>
      <c r="I1191" s="3"/>
    </row>
    <row r="1192" spans="1:9" ht="10.5" customHeight="1">
      <c r="A1192" s="3" t="s">
        <v>1708</v>
      </c>
      <c r="B1192" s="3" t="s">
        <v>1703</v>
      </c>
      <c r="C1192" s="3">
        <f>VLOOKUP(B1192,LifeList!$E$2:$J$2038,6)</f>
        <v>19245</v>
      </c>
      <c r="D1192" s="3" t="str">
        <f>VLOOKUP(B1192,LifeList!$E$2:$G$2038,1)</f>
        <v>Eastern Warbling Vireo</v>
      </c>
      <c r="E1192" s="3" t="str">
        <f>VLOOKUP(B1192,LifeList!$E$2:$G$2038,2)</f>
        <v>Viréo mélodieux</v>
      </c>
      <c r="F1192" s="3" t="str">
        <f>VLOOKUP(B1192,LifeList!$E$2:$G$2038,3)</f>
        <v>Vireo gilvus</v>
      </c>
      <c r="G1192" s="3" t="str">
        <f>VLOOKUP(B1192,LifeList!$E$2:$I$2038,4)</f>
        <v>Passeriformes</v>
      </c>
      <c r="H1192" s="3" t="str">
        <f>VLOOKUP(B1192,LifeList!$E$2:$I$2038,5)</f>
        <v>Vireonidae (Vireos, Shrike-Babblers, and Erpornis)</v>
      </c>
      <c r="I1192" s="3"/>
    </row>
    <row r="1193" spans="1:9" ht="10.5" customHeight="1">
      <c r="A1193" s="3" t="s">
        <v>1709</v>
      </c>
      <c r="B1193" s="3" t="s">
        <v>1703</v>
      </c>
      <c r="C1193" s="3">
        <f>VLOOKUP(B1193,LifeList!$E$2:$J$2038,6)</f>
        <v>19245</v>
      </c>
      <c r="D1193" s="3" t="str">
        <f>VLOOKUP(B1193,LifeList!$E$2:$G$2038,1)</f>
        <v>Eastern Warbling Vireo</v>
      </c>
      <c r="E1193" s="3" t="str">
        <f>VLOOKUP(B1193,LifeList!$E$2:$G$2038,2)</f>
        <v>Viréo mélodieux</v>
      </c>
      <c r="F1193" s="3" t="str">
        <f>VLOOKUP(B1193,LifeList!$E$2:$G$2038,3)</f>
        <v>Vireo gilvus</v>
      </c>
      <c r="G1193" s="3" t="str">
        <f>VLOOKUP(B1193,LifeList!$E$2:$I$2038,4)</f>
        <v>Passeriformes</v>
      </c>
      <c r="H1193" s="3" t="str">
        <f>VLOOKUP(B1193,LifeList!$E$2:$I$2038,5)</f>
        <v>Vireonidae (Vireos, Shrike-Babblers, and Erpornis)</v>
      </c>
      <c r="I1193" s="3"/>
    </row>
    <row r="1194" spans="1:9" ht="10.5" customHeight="1">
      <c r="A1194" s="3" t="s">
        <v>1710</v>
      </c>
      <c r="B1194" s="3" t="s">
        <v>1703</v>
      </c>
      <c r="C1194" s="3">
        <f>VLOOKUP(B1194,LifeList!$E$2:$J$2038,6)</f>
        <v>19245</v>
      </c>
      <c r="D1194" s="3" t="str">
        <f>VLOOKUP(B1194,LifeList!$E$2:$G$2038,1)</f>
        <v>Eastern Warbling Vireo</v>
      </c>
      <c r="E1194" s="3" t="str">
        <f>VLOOKUP(B1194,LifeList!$E$2:$G$2038,2)</f>
        <v>Viréo mélodieux</v>
      </c>
      <c r="F1194" s="3" t="str">
        <f>VLOOKUP(B1194,LifeList!$E$2:$G$2038,3)</f>
        <v>Vireo gilvus</v>
      </c>
      <c r="G1194" s="3" t="str">
        <f>VLOOKUP(B1194,LifeList!$E$2:$I$2038,4)</f>
        <v>Passeriformes</v>
      </c>
      <c r="H1194" s="3" t="str">
        <f>VLOOKUP(B1194,LifeList!$E$2:$I$2038,5)</f>
        <v>Vireonidae (Vireos, Shrike-Babblers, and Erpornis)</v>
      </c>
      <c r="I1194" s="3"/>
    </row>
    <row r="1195" spans="1:9" ht="10.5" customHeight="1">
      <c r="A1195" s="3" t="s">
        <v>1711</v>
      </c>
      <c r="B1195" s="3" t="s">
        <v>1703</v>
      </c>
      <c r="C1195" s="3">
        <f>VLOOKUP(B1195,LifeList!$E$2:$J$2038,6)</f>
        <v>19245</v>
      </c>
      <c r="D1195" s="3" t="str">
        <f>VLOOKUP(B1195,LifeList!$E$2:$G$2038,1)</f>
        <v>Eastern Warbling Vireo</v>
      </c>
      <c r="E1195" s="3" t="str">
        <f>VLOOKUP(B1195,LifeList!$E$2:$G$2038,2)</f>
        <v>Viréo mélodieux</v>
      </c>
      <c r="F1195" s="3" t="str">
        <f>VLOOKUP(B1195,LifeList!$E$2:$G$2038,3)</f>
        <v>Vireo gilvus</v>
      </c>
      <c r="G1195" s="3" t="str">
        <f>VLOOKUP(B1195,LifeList!$E$2:$I$2038,4)</f>
        <v>Passeriformes</v>
      </c>
      <c r="H1195" s="3" t="str">
        <f>VLOOKUP(B1195,LifeList!$E$2:$I$2038,5)</f>
        <v>Vireonidae (Vireos, Shrike-Babblers, and Erpornis)</v>
      </c>
      <c r="I1195" s="3"/>
    </row>
    <row r="1196" spans="1:9" ht="10.5" customHeight="1">
      <c r="A1196" s="3" t="s">
        <v>1712</v>
      </c>
      <c r="B1196" s="3" t="s">
        <v>1703</v>
      </c>
      <c r="C1196" s="3">
        <f>VLOOKUP(B1196,LifeList!$E$2:$J$2038,6)</f>
        <v>19245</v>
      </c>
      <c r="D1196" s="3" t="str">
        <f>VLOOKUP(B1196,LifeList!$E$2:$G$2038,1)</f>
        <v>Eastern Warbling Vireo</v>
      </c>
      <c r="E1196" s="3" t="str">
        <f>VLOOKUP(B1196,LifeList!$E$2:$G$2038,2)</f>
        <v>Viréo mélodieux</v>
      </c>
      <c r="F1196" s="3" t="str">
        <f>VLOOKUP(B1196,LifeList!$E$2:$G$2038,3)</f>
        <v>Vireo gilvus</v>
      </c>
      <c r="G1196" s="3" t="str">
        <f>VLOOKUP(B1196,LifeList!$E$2:$I$2038,4)</f>
        <v>Passeriformes</v>
      </c>
      <c r="H1196" s="3" t="str">
        <f>VLOOKUP(B1196,LifeList!$E$2:$I$2038,5)</f>
        <v>Vireonidae (Vireos, Shrike-Babblers, and Erpornis)</v>
      </c>
      <c r="I1196" s="3"/>
    </row>
    <row r="1197" spans="1:9" ht="10.5" customHeight="1">
      <c r="A1197" s="3" t="s">
        <v>1713</v>
      </c>
      <c r="B1197" s="3" t="s">
        <v>1703</v>
      </c>
      <c r="C1197" s="3">
        <f>VLOOKUP(B1197,LifeList!$E$2:$J$2038,6)</f>
        <v>19245</v>
      </c>
      <c r="D1197" s="3" t="str">
        <f>VLOOKUP(B1197,LifeList!$E$2:$G$2038,1)</f>
        <v>Eastern Warbling Vireo</v>
      </c>
      <c r="E1197" s="3" t="str">
        <f>VLOOKUP(B1197,LifeList!$E$2:$G$2038,2)</f>
        <v>Viréo mélodieux</v>
      </c>
      <c r="F1197" s="3" t="str">
        <f>VLOOKUP(B1197,LifeList!$E$2:$G$2038,3)</f>
        <v>Vireo gilvus</v>
      </c>
      <c r="G1197" s="3" t="str">
        <f>VLOOKUP(B1197,LifeList!$E$2:$I$2038,4)</f>
        <v>Passeriformes</v>
      </c>
      <c r="H1197" s="3" t="str">
        <f>VLOOKUP(B1197,LifeList!$E$2:$I$2038,5)</f>
        <v>Vireonidae (Vireos, Shrike-Babblers, and Erpornis)</v>
      </c>
      <c r="I1197" s="3"/>
    </row>
    <row r="1198" spans="1:9" ht="10.5" customHeight="1">
      <c r="A1198" s="3" t="s">
        <v>1714</v>
      </c>
      <c r="B1198" s="3" t="s">
        <v>1715</v>
      </c>
      <c r="C1198" s="3">
        <f>VLOOKUP(B1198,LifeList!$E$2:$J$2038,6)</f>
        <v>3614</v>
      </c>
      <c r="D1198" s="3" t="str">
        <f>VLOOKUP(B1198,LifeList!$E$2:$G$2038,1)</f>
        <v>Eastern Whip-poor-will</v>
      </c>
      <c r="E1198" s="3" t="str">
        <f>VLOOKUP(B1198,LifeList!$E$2:$G$2038,2)</f>
        <v>Engoulevent bois-pourri</v>
      </c>
      <c r="F1198" s="3" t="str">
        <f>VLOOKUP(B1198,LifeList!$E$2:$G$2038,3)</f>
        <v>Antrostomus vociferus</v>
      </c>
      <c r="G1198" s="3" t="str">
        <f>VLOOKUP(B1198,LifeList!$E$2:$I$2038,4)</f>
        <v>Caprimulgiformes</v>
      </c>
      <c r="H1198" s="3" t="str">
        <f>VLOOKUP(B1198,LifeList!$E$2:$I$2038,5)</f>
        <v>Caprimulgidae (Nightjars and Allies)</v>
      </c>
      <c r="I1198" s="3"/>
    </row>
    <row r="1199" spans="1:9" ht="10.5" customHeight="1">
      <c r="A1199" s="3" t="s">
        <v>1716</v>
      </c>
      <c r="B1199" s="3" t="s">
        <v>1715</v>
      </c>
      <c r="C1199" s="3">
        <f>VLOOKUP(B1199,LifeList!$E$2:$J$2038,6)</f>
        <v>3614</v>
      </c>
      <c r="D1199" s="3" t="str">
        <f>VLOOKUP(B1199,LifeList!$E$2:$G$2038,1)</f>
        <v>Eastern Whip-poor-will</v>
      </c>
      <c r="E1199" s="3" t="str">
        <f>VLOOKUP(B1199,LifeList!$E$2:$G$2038,2)</f>
        <v>Engoulevent bois-pourri</v>
      </c>
      <c r="F1199" s="3" t="str">
        <f>VLOOKUP(B1199,LifeList!$E$2:$G$2038,3)</f>
        <v>Antrostomus vociferus</v>
      </c>
      <c r="G1199" s="3" t="str">
        <f>VLOOKUP(B1199,LifeList!$E$2:$I$2038,4)</f>
        <v>Caprimulgiformes</v>
      </c>
      <c r="H1199" s="3" t="str">
        <f>VLOOKUP(B1199,LifeList!$E$2:$I$2038,5)</f>
        <v>Caprimulgidae (Nightjars and Allies)</v>
      </c>
      <c r="I1199" s="3"/>
    </row>
    <row r="1200" spans="1:9" ht="10.5" customHeight="1">
      <c r="A1200" s="3" t="s">
        <v>1717</v>
      </c>
      <c r="B1200" s="3" t="s">
        <v>1715</v>
      </c>
      <c r="C1200" s="3">
        <f>VLOOKUP(B1200,LifeList!$E$2:$J$2038,6)</f>
        <v>3614</v>
      </c>
      <c r="D1200" s="3" t="str">
        <f>VLOOKUP(B1200,LifeList!$E$2:$G$2038,1)</f>
        <v>Eastern Whip-poor-will</v>
      </c>
      <c r="E1200" s="3" t="str">
        <f>VLOOKUP(B1200,LifeList!$E$2:$G$2038,2)</f>
        <v>Engoulevent bois-pourri</v>
      </c>
      <c r="F1200" s="3" t="str">
        <f>VLOOKUP(B1200,LifeList!$E$2:$G$2038,3)</f>
        <v>Antrostomus vociferus</v>
      </c>
      <c r="G1200" s="3" t="str">
        <f>VLOOKUP(B1200,LifeList!$E$2:$I$2038,4)</f>
        <v>Caprimulgiformes</v>
      </c>
      <c r="H1200" s="3" t="str">
        <f>VLOOKUP(B1200,LifeList!$E$2:$I$2038,5)</f>
        <v>Caprimulgidae (Nightjars and Allies)</v>
      </c>
      <c r="I1200" s="3"/>
    </row>
    <row r="1201" spans="1:9" ht="10.5" customHeight="1">
      <c r="A1201" s="3" t="s">
        <v>1718</v>
      </c>
      <c r="B1201" s="3" t="s">
        <v>1719</v>
      </c>
      <c r="C1201" s="3">
        <f>VLOOKUP(B1201,LifeList!$E$2:$J$2038,6)</f>
        <v>16924</v>
      </c>
      <c r="D1201" s="3" t="str">
        <f>VLOOKUP(B1201,LifeList!$E$2:$G$2038,1)</f>
        <v>Eastern Wood-Pewee</v>
      </c>
      <c r="E1201" s="3" t="str">
        <f>VLOOKUP(B1201,LifeList!$E$2:$G$2038,2)</f>
        <v>Pioui de l'Est</v>
      </c>
      <c r="F1201" s="3" t="str">
        <f>VLOOKUP(B1201,LifeList!$E$2:$G$2038,3)</f>
        <v>Contopus virens</v>
      </c>
      <c r="G1201" s="3" t="str">
        <f>VLOOKUP(B1201,LifeList!$E$2:$I$2038,4)</f>
        <v>Passeriformes</v>
      </c>
      <c r="H1201" s="3" t="str">
        <f>VLOOKUP(B1201,LifeList!$E$2:$I$2038,5)</f>
        <v>Tyrannidae (Tyrant Flycatchers)</v>
      </c>
      <c r="I1201" s="3"/>
    </row>
    <row r="1202" spans="1:9" ht="10.5" customHeight="1">
      <c r="A1202" s="3" t="s">
        <v>1720</v>
      </c>
      <c r="B1202" s="3" t="s">
        <v>1719</v>
      </c>
      <c r="C1202" s="3">
        <f>VLOOKUP(B1202,LifeList!$E$2:$J$2038,6)</f>
        <v>16924</v>
      </c>
      <c r="D1202" s="3" t="str">
        <f>VLOOKUP(B1202,LifeList!$E$2:$G$2038,1)</f>
        <v>Eastern Wood-Pewee</v>
      </c>
      <c r="E1202" s="3" t="str">
        <f>VLOOKUP(B1202,LifeList!$E$2:$G$2038,2)</f>
        <v>Pioui de l'Est</v>
      </c>
      <c r="F1202" s="3" t="str">
        <f>VLOOKUP(B1202,LifeList!$E$2:$G$2038,3)</f>
        <v>Contopus virens</v>
      </c>
      <c r="G1202" s="3" t="str">
        <f>VLOOKUP(B1202,LifeList!$E$2:$I$2038,4)</f>
        <v>Passeriformes</v>
      </c>
      <c r="H1202" s="3" t="str">
        <f>VLOOKUP(B1202,LifeList!$E$2:$I$2038,5)</f>
        <v>Tyrannidae (Tyrant Flycatchers)</v>
      </c>
      <c r="I1202" s="3"/>
    </row>
    <row r="1203" spans="1:9" ht="10.5" customHeight="1">
      <c r="A1203" s="3" t="s">
        <v>1721</v>
      </c>
      <c r="B1203" s="3" t="s">
        <v>1719</v>
      </c>
      <c r="C1203" s="3">
        <f>VLOOKUP(B1203,LifeList!$E$2:$J$2038,6)</f>
        <v>16924</v>
      </c>
      <c r="D1203" s="3" t="str">
        <f>VLOOKUP(B1203,LifeList!$E$2:$G$2038,1)</f>
        <v>Eastern Wood-Pewee</v>
      </c>
      <c r="E1203" s="3" t="str">
        <f>VLOOKUP(B1203,LifeList!$E$2:$G$2038,2)</f>
        <v>Pioui de l'Est</v>
      </c>
      <c r="F1203" s="3" t="str">
        <f>VLOOKUP(B1203,LifeList!$E$2:$G$2038,3)</f>
        <v>Contopus virens</v>
      </c>
      <c r="G1203" s="3" t="str">
        <f>VLOOKUP(B1203,LifeList!$E$2:$I$2038,4)</f>
        <v>Passeriformes</v>
      </c>
      <c r="H1203" s="3" t="str">
        <f>VLOOKUP(B1203,LifeList!$E$2:$I$2038,5)</f>
        <v>Tyrannidae (Tyrant Flycatchers)</v>
      </c>
      <c r="I1203" s="3"/>
    </row>
    <row r="1204" spans="1:9" ht="10.5" customHeight="1">
      <c r="A1204" s="3" t="s">
        <v>1722</v>
      </c>
      <c r="B1204" s="3" t="s">
        <v>1719</v>
      </c>
      <c r="C1204" s="3">
        <f>VLOOKUP(B1204,LifeList!$E$2:$J$2038,6)</f>
        <v>16924</v>
      </c>
      <c r="D1204" s="3" t="str">
        <f>VLOOKUP(B1204,LifeList!$E$2:$G$2038,1)</f>
        <v>Eastern Wood-Pewee</v>
      </c>
      <c r="E1204" s="3" t="str">
        <f>VLOOKUP(B1204,LifeList!$E$2:$G$2038,2)</f>
        <v>Pioui de l'Est</v>
      </c>
      <c r="F1204" s="3" t="str">
        <f>VLOOKUP(B1204,LifeList!$E$2:$G$2038,3)</f>
        <v>Contopus virens</v>
      </c>
      <c r="G1204" s="3" t="str">
        <f>VLOOKUP(B1204,LifeList!$E$2:$I$2038,4)</f>
        <v>Passeriformes</v>
      </c>
      <c r="H1204" s="3" t="str">
        <f>VLOOKUP(B1204,LifeList!$E$2:$I$2038,5)</f>
        <v>Tyrannidae (Tyrant Flycatchers)</v>
      </c>
      <c r="I1204" s="3"/>
    </row>
    <row r="1205" spans="1:9" ht="10.5" customHeight="1">
      <c r="A1205" s="3" t="s">
        <v>1723</v>
      </c>
      <c r="B1205" s="3" t="s">
        <v>1719</v>
      </c>
      <c r="C1205" s="3">
        <f>VLOOKUP(B1205,LifeList!$E$2:$J$2038,6)</f>
        <v>16924</v>
      </c>
      <c r="D1205" s="3" t="str">
        <f>VLOOKUP(B1205,LifeList!$E$2:$G$2038,1)</f>
        <v>Eastern Wood-Pewee</v>
      </c>
      <c r="E1205" s="3" t="str">
        <f>VLOOKUP(B1205,LifeList!$E$2:$G$2038,2)</f>
        <v>Pioui de l'Est</v>
      </c>
      <c r="F1205" s="3" t="str">
        <f>VLOOKUP(B1205,LifeList!$E$2:$G$2038,3)</f>
        <v>Contopus virens</v>
      </c>
      <c r="G1205" s="3" t="str">
        <f>VLOOKUP(B1205,LifeList!$E$2:$I$2038,4)</f>
        <v>Passeriformes</v>
      </c>
      <c r="H1205" s="3" t="str">
        <f>VLOOKUP(B1205,LifeList!$E$2:$I$2038,5)</f>
        <v>Tyrannidae (Tyrant Flycatchers)</v>
      </c>
      <c r="I1205" s="3"/>
    </row>
    <row r="1206" spans="1:9" ht="10.5" customHeight="1">
      <c r="A1206" s="3" t="s">
        <v>1724</v>
      </c>
      <c r="B1206" s="3" t="s">
        <v>1719</v>
      </c>
      <c r="C1206" s="3">
        <f>VLOOKUP(B1206,LifeList!$E$2:$J$2038,6)</f>
        <v>16924</v>
      </c>
      <c r="D1206" s="3" t="str">
        <f>VLOOKUP(B1206,LifeList!$E$2:$G$2038,1)</f>
        <v>Eastern Wood-Pewee</v>
      </c>
      <c r="E1206" s="3" t="str">
        <f>VLOOKUP(B1206,LifeList!$E$2:$G$2038,2)</f>
        <v>Pioui de l'Est</v>
      </c>
      <c r="F1206" s="3" t="str">
        <f>VLOOKUP(B1206,LifeList!$E$2:$G$2038,3)</f>
        <v>Contopus virens</v>
      </c>
      <c r="G1206" s="3" t="str">
        <f>VLOOKUP(B1206,LifeList!$E$2:$I$2038,4)</f>
        <v>Passeriformes</v>
      </c>
      <c r="H1206" s="3" t="str">
        <f>VLOOKUP(B1206,LifeList!$E$2:$I$2038,5)</f>
        <v>Tyrannidae (Tyrant Flycatchers)</v>
      </c>
      <c r="I1206" s="3"/>
    </row>
    <row r="1207" spans="1:9" ht="10.5" customHeight="1">
      <c r="A1207" s="3" t="s">
        <v>1725</v>
      </c>
      <c r="B1207" s="3" t="s">
        <v>1719</v>
      </c>
      <c r="C1207" s="3">
        <f>VLOOKUP(B1207,LifeList!$E$2:$J$2038,6)</f>
        <v>16924</v>
      </c>
      <c r="D1207" s="3" t="str">
        <f>VLOOKUP(B1207,LifeList!$E$2:$G$2038,1)</f>
        <v>Eastern Wood-Pewee</v>
      </c>
      <c r="E1207" s="3" t="str">
        <f>VLOOKUP(B1207,LifeList!$E$2:$G$2038,2)</f>
        <v>Pioui de l'Est</v>
      </c>
      <c r="F1207" s="3" t="str">
        <f>VLOOKUP(B1207,LifeList!$E$2:$G$2038,3)</f>
        <v>Contopus virens</v>
      </c>
      <c r="G1207" s="3" t="str">
        <f>VLOOKUP(B1207,LifeList!$E$2:$I$2038,4)</f>
        <v>Passeriformes</v>
      </c>
      <c r="H1207" s="3" t="str">
        <f>VLOOKUP(B1207,LifeList!$E$2:$I$2038,5)</f>
        <v>Tyrannidae (Tyrant Flycatchers)</v>
      </c>
      <c r="I1207" s="3"/>
    </row>
    <row r="1208" spans="1:9" ht="10.5" customHeight="1">
      <c r="A1208" s="3" t="s">
        <v>1726</v>
      </c>
      <c r="B1208" s="3" t="s">
        <v>1719</v>
      </c>
      <c r="C1208" s="3">
        <f>VLOOKUP(B1208,LifeList!$E$2:$J$2038,6)</f>
        <v>16924</v>
      </c>
      <c r="D1208" s="3" t="str">
        <f>VLOOKUP(B1208,LifeList!$E$2:$G$2038,1)</f>
        <v>Eastern Wood-Pewee</v>
      </c>
      <c r="E1208" s="3" t="str">
        <f>VLOOKUP(B1208,LifeList!$E$2:$G$2038,2)</f>
        <v>Pioui de l'Est</v>
      </c>
      <c r="F1208" s="3" t="str">
        <f>VLOOKUP(B1208,LifeList!$E$2:$G$2038,3)</f>
        <v>Contopus virens</v>
      </c>
      <c r="G1208" s="3" t="str">
        <f>VLOOKUP(B1208,LifeList!$E$2:$I$2038,4)</f>
        <v>Passeriformes</v>
      </c>
      <c r="H1208" s="3" t="str">
        <f>VLOOKUP(B1208,LifeList!$E$2:$I$2038,5)</f>
        <v>Tyrannidae (Tyrant Flycatchers)</v>
      </c>
      <c r="I1208" s="3"/>
    </row>
    <row r="1209" spans="1:9" ht="10.5" customHeight="1">
      <c r="A1209" s="3" t="s">
        <v>1727</v>
      </c>
      <c r="B1209" s="3" t="s">
        <v>1728</v>
      </c>
      <c r="C1209" s="3">
        <f>VLOOKUP(B1209,LifeList!$E$2:$J$2038,6)</f>
        <v>21861</v>
      </c>
      <c r="D1209" s="3" t="str">
        <f>VLOOKUP(B1209,LifeList!$E$2:$G$2038,1)</f>
        <v>Eastern Yellow Robin</v>
      </c>
      <c r="E1209" s="3" t="str">
        <f>VLOOKUP(B1209,LifeList!$E$2:$G$2038,2)</f>
        <v>Miro à poitrine jaune</v>
      </c>
      <c r="F1209" s="3" t="str">
        <f>VLOOKUP(B1209,LifeList!$E$2:$G$2038,3)</f>
        <v>Eopsaltria australis</v>
      </c>
      <c r="G1209" s="3" t="str">
        <f>VLOOKUP(B1209,LifeList!$E$2:$I$2038,4)</f>
        <v>Passeriformes</v>
      </c>
      <c r="H1209" s="3" t="str">
        <f>VLOOKUP(B1209,LifeList!$E$2:$I$2038,5)</f>
        <v>Petroicidae (Australasian Robins)</v>
      </c>
      <c r="I1209" s="3"/>
    </row>
    <row r="1210" spans="1:9" ht="10.5" customHeight="1">
      <c r="A1210" s="3" t="s">
        <v>1729</v>
      </c>
      <c r="B1210" s="3" t="s">
        <v>1730</v>
      </c>
      <c r="C1210" s="3">
        <f>VLOOKUP(B1210,LifeList!$E$2:$J$2038,6)</f>
        <v>4487</v>
      </c>
      <c r="D1210" s="3" t="str">
        <f>VLOOKUP(B1210,LifeList!$E$2:$G$2038,1)</f>
        <v>Ecuadorian Hillstar</v>
      </c>
      <c r="E1210" s="3" t="str">
        <f>VLOOKUP(B1210,LifeList!$E$2:$G$2038,2)</f>
        <v>Colibri du Chimborazo</v>
      </c>
      <c r="F1210" s="3" t="str">
        <f>VLOOKUP(B1210,LifeList!$E$2:$G$2038,3)</f>
        <v>Oreotrochilus chimborazo</v>
      </c>
      <c r="G1210" s="3" t="str">
        <f>VLOOKUP(B1210,LifeList!$E$2:$I$2038,4)</f>
        <v>Apodiformes</v>
      </c>
      <c r="H1210" s="3" t="str">
        <f>VLOOKUP(B1210,LifeList!$E$2:$I$2038,5)</f>
        <v>Trochilidae (Hummingbirds)</v>
      </c>
      <c r="I1210" s="3"/>
    </row>
    <row r="1211" spans="1:9" ht="10.5" customHeight="1">
      <c r="A1211" s="3" t="s">
        <v>1731</v>
      </c>
      <c r="B1211" s="3" t="s">
        <v>1730</v>
      </c>
      <c r="C1211" s="3">
        <f>VLOOKUP(B1211,LifeList!$E$2:$J$2038,6)</f>
        <v>4487</v>
      </c>
      <c r="D1211" s="3" t="str">
        <f>VLOOKUP(B1211,LifeList!$E$2:$G$2038,1)</f>
        <v>Ecuadorian Hillstar</v>
      </c>
      <c r="E1211" s="3" t="str">
        <f>VLOOKUP(B1211,LifeList!$E$2:$G$2038,2)</f>
        <v>Colibri du Chimborazo</v>
      </c>
      <c r="F1211" s="3" t="str">
        <f>VLOOKUP(B1211,LifeList!$E$2:$G$2038,3)</f>
        <v>Oreotrochilus chimborazo</v>
      </c>
      <c r="G1211" s="3" t="str">
        <f>VLOOKUP(B1211,LifeList!$E$2:$I$2038,4)</f>
        <v>Apodiformes</v>
      </c>
      <c r="H1211" s="3" t="str">
        <f>VLOOKUP(B1211,LifeList!$E$2:$I$2038,5)</f>
        <v>Trochilidae (Hummingbirds)</v>
      </c>
      <c r="I1211" s="3"/>
    </row>
    <row r="1212" spans="1:9" ht="10.5" customHeight="1">
      <c r="A1212" s="3" t="s">
        <v>1732</v>
      </c>
      <c r="B1212" s="3" t="s">
        <v>1733</v>
      </c>
      <c r="C1212" s="3">
        <f>VLOOKUP(B1212,LifeList!$E$2:$J$2038,6)</f>
        <v>28766</v>
      </c>
      <c r="D1212" s="3" t="str">
        <f>VLOOKUP(B1212,LifeList!$E$2:$G$2038,1)</f>
        <v>Ecuadorian Thrush</v>
      </c>
      <c r="E1212" s="3" t="str">
        <f>VLOOKUP(B1212,LifeList!$E$2:$G$2038,2)</f>
        <v>Merle d'Équateur</v>
      </c>
      <c r="F1212" s="3" t="str">
        <f>VLOOKUP(B1212,LifeList!$E$2:$G$2038,3)</f>
        <v>Turdus maculirostris</v>
      </c>
      <c r="G1212" s="3" t="str">
        <f>VLOOKUP(B1212,LifeList!$E$2:$I$2038,4)</f>
        <v>Passeriformes</v>
      </c>
      <c r="H1212" s="3" t="str">
        <f>VLOOKUP(B1212,LifeList!$E$2:$I$2038,5)</f>
        <v>Turdidae (Thrushes and Allies)</v>
      </c>
      <c r="I1212" s="3"/>
    </row>
    <row r="1213" spans="1:9" ht="10.5" customHeight="1">
      <c r="A1213" s="5" t="s">
        <v>1734</v>
      </c>
      <c r="B1213" s="3" t="s">
        <v>1735</v>
      </c>
      <c r="C1213" s="6">
        <f>VLOOKUP(B1213,LifeList!$E$2:$J$2038,6)</f>
        <v>417</v>
      </c>
      <c r="D1213" s="3" t="str">
        <f>VLOOKUP(B1213,LifeList!$E$2:$G$2038,1)</f>
        <v>Egyptian Goose</v>
      </c>
      <c r="E1213" s="3" t="str">
        <f>VLOOKUP(B1213,LifeList!$E$2:$G$2038,2)</f>
        <v>Ouette d'Égypte</v>
      </c>
      <c r="F1213" s="3" t="str">
        <f>VLOOKUP(B1213,LifeList!$E$2:$G$2038,3)</f>
        <v>Alopochen aegyptiaca</v>
      </c>
      <c r="G1213" s="3" t="str">
        <f>VLOOKUP(B1213,LifeList!$E$2:$I$2038,4)</f>
        <v>Anseriformes</v>
      </c>
      <c r="H1213" s="3" t="str">
        <f>VLOOKUP(B1213,LifeList!$E$2:$I$2038,5)</f>
        <v>Anatidae (Ducks, Geese, and Waterfowl)</v>
      </c>
      <c r="I1213" s="3"/>
    </row>
    <row r="1214" spans="1:9" ht="10.5" customHeight="1">
      <c r="A1214" s="3" t="s">
        <v>1736</v>
      </c>
      <c r="B1214" s="3" t="s">
        <v>1737</v>
      </c>
      <c r="C1214" s="3">
        <f>VLOOKUP(B1214,LifeList!$E$2:$J$2038,6)</f>
        <v>417</v>
      </c>
      <c r="D1214" s="3" t="str">
        <f>VLOOKUP(B1214,LifeList!$E$2:$G$2038,1)</f>
        <v>Egyptian Goose</v>
      </c>
      <c r="E1214" s="3" t="str">
        <f>VLOOKUP(B1214,LifeList!$E$2:$G$2038,2)</f>
        <v>Ouette d'Égypte</v>
      </c>
      <c r="F1214" s="3" t="str">
        <f>VLOOKUP(B1214,LifeList!$E$2:$G$2038,3)</f>
        <v>Alopochen aegyptiaca</v>
      </c>
      <c r="G1214" s="3" t="str">
        <f>VLOOKUP(B1214,LifeList!$E$2:$I$2038,4)</f>
        <v>Anseriformes</v>
      </c>
      <c r="H1214" s="3" t="str">
        <f>VLOOKUP(B1214,LifeList!$E$2:$I$2038,5)</f>
        <v>Anatidae (Ducks, Geese, and Waterfowl)</v>
      </c>
      <c r="I1214" s="3"/>
    </row>
    <row r="1215" spans="1:9" ht="10.5" customHeight="1">
      <c r="A1215" s="3" t="s">
        <v>1738</v>
      </c>
      <c r="B1215" s="3" t="s">
        <v>1737</v>
      </c>
      <c r="C1215" s="3">
        <f>VLOOKUP(B1215,LifeList!$E$2:$J$2038,6)</f>
        <v>417</v>
      </c>
      <c r="D1215" s="3" t="str">
        <f>VLOOKUP(B1215,LifeList!$E$2:$G$2038,1)</f>
        <v>Egyptian Goose</v>
      </c>
      <c r="E1215" s="3" t="str">
        <f>VLOOKUP(B1215,LifeList!$E$2:$G$2038,2)</f>
        <v>Ouette d'Égypte</v>
      </c>
      <c r="F1215" s="3" t="str">
        <f>VLOOKUP(B1215,LifeList!$E$2:$G$2038,3)</f>
        <v>Alopochen aegyptiaca</v>
      </c>
      <c r="G1215" s="3" t="str">
        <f>VLOOKUP(B1215,LifeList!$E$2:$I$2038,4)</f>
        <v>Anseriformes</v>
      </c>
      <c r="H1215" s="3" t="str">
        <f>VLOOKUP(B1215,LifeList!$E$2:$I$2038,5)</f>
        <v>Anatidae (Ducks, Geese, and Waterfowl)</v>
      </c>
      <c r="I1215" s="3"/>
    </row>
    <row r="1216" spans="1:9" ht="10.5" customHeight="1">
      <c r="A1216" s="3" t="s">
        <v>1739</v>
      </c>
      <c r="B1216" s="3" t="s">
        <v>1737</v>
      </c>
      <c r="C1216" s="3">
        <f>VLOOKUP(B1216,LifeList!$E$2:$J$2038,6)</f>
        <v>417</v>
      </c>
      <c r="D1216" s="3" t="str">
        <f>VLOOKUP(B1216,LifeList!$E$2:$G$2038,1)</f>
        <v>Egyptian Goose</v>
      </c>
      <c r="E1216" s="3" t="str">
        <f>VLOOKUP(B1216,LifeList!$E$2:$G$2038,2)</f>
        <v>Ouette d'Égypte</v>
      </c>
      <c r="F1216" s="3" t="str">
        <f>VLOOKUP(B1216,LifeList!$E$2:$G$2038,3)</f>
        <v>Alopochen aegyptiaca</v>
      </c>
      <c r="G1216" s="3" t="str">
        <f>VLOOKUP(B1216,LifeList!$E$2:$I$2038,4)</f>
        <v>Anseriformes</v>
      </c>
      <c r="H1216" s="3" t="str">
        <f>VLOOKUP(B1216,LifeList!$E$2:$I$2038,5)</f>
        <v>Anatidae (Ducks, Geese, and Waterfowl)</v>
      </c>
      <c r="I1216" s="3"/>
    </row>
    <row r="1217" spans="1:9" ht="10.5" customHeight="1">
      <c r="A1217" s="7" t="s">
        <v>1740</v>
      </c>
      <c r="B1217" s="9" t="s">
        <v>1741</v>
      </c>
      <c r="C1217" s="3">
        <f>VLOOKUP(B1217,LifeList!$E$2:$J$2038,6)</f>
        <v>12439</v>
      </c>
      <c r="D1217" s="3" t="str">
        <f>VLOOKUP(B1217,LifeList!$E$2:$G$2038,1)</f>
        <v>Elegant Parrot</v>
      </c>
      <c r="E1217" s="3" t="str">
        <f>VLOOKUP(B1217,LifeList!$E$2:$G$2038,2)</f>
        <v>Perruche élégante</v>
      </c>
      <c r="F1217" s="3" t="str">
        <f>VLOOKUP(B1217,LifeList!$E$2:$G$2038,3)</f>
        <v>Neophema elegans</v>
      </c>
      <c r="G1217" s="3" t="str">
        <f>VLOOKUP(B1217,LifeList!$E$2:$I$2038,4)</f>
        <v>Psittaciformes</v>
      </c>
      <c r="H1217" s="3" t="str">
        <f>VLOOKUP(B1217,LifeList!$E$2:$I$2038,5)</f>
        <v>Psittaculidae (Old World Parrots)</v>
      </c>
      <c r="I1217" s="3"/>
    </row>
    <row r="1218" spans="1:9" ht="10.5" customHeight="1">
      <c r="A1218" s="7" t="s">
        <v>1742</v>
      </c>
      <c r="B1218" s="9" t="s">
        <v>1741</v>
      </c>
      <c r="C1218" s="3">
        <f>VLOOKUP(B1218,LifeList!$E$2:$J$2038,6)</f>
        <v>12439</v>
      </c>
      <c r="D1218" s="3" t="str">
        <f>VLOOKUP(B1218,LifeList!$E$2:$G$2038,1)</f>
        <v>Elegant Parrot</v>
      </c>
      <c r="E1218" s="3" t="str">
        <f>VLOOKUP(B1218,LifeList!$E$2:$G$2038,2)</f>
        <v>Perruche élégante</v>
      </c>
      <c r="F1218" s="3" t="str">
        <f>VLOOKUP(B1218,LifeList!$E$2:$G$2038,3)</f>
        <v>Neophema elegans</v>
      </c>
      <c r="G1218" s="3" t="str">
        <f>VLOOKUP(B1218,LifeList!$E$2:$I$2038,4)</f>
        <v>Psittaciformes</v>
      </c>
      <c r="H1218" s="3" t="str">
        <f>VLOOKUP(B1218,LifeList!$E$2:$I$2038,5)</f>
        <v>Psittaculidae (Old World Parrots)</v>
      </c>
      <c r="I1218" s="3"/>
    </row>
    <row r="1219" spans="1:9" ht="10.5" customHeight="1">
      <c r="A1219" s="3" t="s">
        <v>1743</v>
      </c>
      <c r="B1219" s="3" t="s">
        <v>1744</v>
      </c>
      <c r="C1219" s="3">
        <f>VLOOKUP(B1219,LifeList!$E$2:$J$2038,6)</f>
        <v>35127</v>
      </c>
      <c r="D1219" s="3" t="str">
        <f>VLOOKUP(B1219,LifeList!$E$2:$G$2038,1)</f>
        <v>Emerald Tanager</v>
      </c>
      <c r="E1219" s="3" t="str">
        <f>VLOOKUP(B1219,LifeList!$E$2:$G$2038,2)</f>
        <v>Calliste émeraude</v>
      </c>
      <c r="F1219" s="3" t="str">
        <f>VLOOKUP(B1219,LifeList!$E$2:$G$2038,3)</f>
        <v>Tangara florida</v>
      </c>
      <c r="G1219" s="3" t="str">
        <f>VLOOKUP(B1219,LifeList!$E$2:$I$2038,4)</f>
        <v>Passeriformes</v>
      </c>
      <c r="H1219" s="3" t="str">
        <f>VLOOKUP(B1219,LifeList!$E$2:$I$2038,5)</f>
        <v>Thraupidae (Tanagers and Allies)</v>
      </c>
      <c r="I1219" s="3"/>
    </row>
    <row r="1220" spans="1:9" ht="10.5" customHeight="1">
      <c r="A1220" s="3" t="s">
        <v>1745</v>
      </c>
      <c r="B1220" s="3" t="s">
        <v>1744</v>
      </c>
      <c r="C1220" s="3">
        <f>VLOOKUP(B1220,LifeList!$E$2:$J$2038,6)</f>
        <v>35127</v>
      </c>
      <c r="D1220" s="3" t="str">
        <f>VLOOKUP(B1220,LifeList!$E$2:$G$2038,1)</f>
        <v>Emerald Tanager</v>
      </c>
      <c r="E1220" s="3" t="str">
        <f>VLOOKUP(B1220,LifeList!$E$2:$G$2038,2)</f>
        <v>Calliste émeraude</v>
      </c>
      <c r="F1220" s="3" t="str">
        <f>VLOOKUP(B1220,LifeList!$E$2:$G$2038,3)</f>
        <v>Tangara florida</v>
      </c>
      <c r="G1220" s="3" t="str">
        <f>VLOOKUP(B1220,LifeList!$E$2:$I$2038,4)</f>
        <v>Passeriformes</v>
      </c>
      <c r="H1220" s="3" t="str">
        <f>VLOOKUP(B1220,LifeList!$E$2:$I$2038,5)</f>
        <v>Thraupidae (Tanagers and Allies)</v>
      </c>
      <c r="I1220" s="3"/>
    </row>
    <row r="1221" spans="1:9" ht="10.5" customHeight="1">
      <c r="A1221" s="3" t="s">
        <v>1746</v>
      </c>
      <c r="B1221" s="3" t="s">
        <v>1747</v>
      </c>
      <c r="C1221" s="3">
        <f>VLOOKUP(B1221,LifeList!$E$2:$J$2038,6)</f>
        <v>2151</v>
      </c>
      <c r="D1221" s="3" t="str">
        <f>VLOOKUP(B1221,LifeList!$E$2:$G$2038,1)</f>
        <v>Emerald-spotted Wood-Dove</v>
      </c>
      <c r="E1221" s="3" t="str">
        <f>VLOOKUP(B1221,LifeList!$E$2:$G$2038,2)</f>
        <v>Tourtelette émeraudine</v>
      </c>
      <c r="F1221" s="3" t="str">
        <f>VLOOKUP(B1221,LifeList!$E$2:$G$2038,3)</f>
        <v>Turtur chalcospilos</v>
      </c>
      <c r="G1221" s="3" t="str">
        <f>VLOOKUP(B1221,LifeList!$E$2:$I$2038,4)</f>
        <v>Columbiformes</v>
      </c>
      <c r="H1221" s="3" t="str">
        <f>VLOOKUP(B1221,LifeList!$E$2:$I$2038,5)</f>
        <v>Columbidae (Pigeons and Doves)</v>
      </c>
      <c r="I1221" s="3"/>
    </row>
    <row r="1222" spans="1:9" ht="10.5" customHeight="1">
      <c r="A1222" s="3" t="s">
        <v>1748</v>
      </c>
      <c r="B1222" s="3" t="s">
        <v>1749</v>
      </c>
      <c r="C1222" s="3">
        <f>VLOOKUP(B1222,LifeList!$E$2:$J$2038,6)</f>
        <v>15</v>
      </c>
      <c r="D1222" s="3" t="str">
        <f>VLOOKUP(B1222,LifeList!$E$2:$G$2038,1)</f>
        <v>Emu</v>
      </c>
      <c r="E1222" s="3" t="str">
        <f>VLOOKUP(B1222,LifeList!$E$2:$G$2038,2)</f>
        <v>Émeu d'Australie</v>
      </c>
      <c r="F1222" s="3" t="str">
        <f>VLOOKUP(B1222,LifeList!$E$2:$G$2038,3)</f>
        <v>Dromaius novaehollandiae</v>
      </c>
      <c r="G1222" s="3" t="str">
        <f>VLOOKUP(B1222,LifeList!$E$2:$I$2038,4)</f>
        <v>Casuariiformes</v>
      </c>
      <c r="H1222" s="3" t="str">
        <f>VLOOKUP(B1222,LifeList!$E$2:$I$2038,5)</f>
        <v>Casuariidae (Cassowaries and Emu)</v>
      </c>
      <c r="I1222" s="3"/>
    </row>
    <row r="1223" spans="1:9" ht="10.5" customHeight="1">
      <c r="A1223" s="3" t="s">
        <v>1750</v>
      </c>
      <c r="B1223" s="3" t="s">
        <v>1749</v>
      </c>
      <c r="C1223" s="3">
        <f>VLOOKUP(B1223,LifeList!$E$2:$J$2038,6)</f>
        <v>15</v>
      </c>
      <c r="D1223" s="3" t="str">
        <f>VLOOKUP(B1223,LifeList!$E$2:$G$2038,1)</f>
        <v>Emu</v>
      </c>
      <c r="E1223" s="3" t="str">
        <f>VLOOKUP(B1223,LifeList!$E$2:$G$2038,2)</f>
        <v>Émeu d'Australie</v>
      </c>
      <c r="F1223" s="3" t="str">
        <f>VLOOKUP(B1223,LifeList!$E$2:$G$2038,3)</f>
        <v>Dromaius novaehollandiae</v>
      </c>
      <c r="G1223" s="3" t="str">
        <f>VLOOKUP(B1223,LifeList!$E$2:$I$2038,4)</f>
        <v>Casuariiformes</v>
      </c>
      <c r="H1223" s="3" t="str">
        <f>VLOOKUP(B1223,LifeList!$E$2:$I$2038,5)</f>
        <v>Casuariidae (Cassowaries and Emu)</v>
      </c>
      <c r="I1223" s="3"/>
    </row>
    <row r="1224" spans="1:9" ht="10.5" customHeight="1">
      <c r="A1224" s="3" t="s">
        <v>1751</v>
      </c>
      <c r="B1224" s="3" t="s">
        <v>1752</v>
      </c>
      <c r="C1224" s="3">
        <f>VLOOKUP(B1224,LifeList!$E$2:$J$2038,6)</f>
        <v>14277</v>
      </c>
      <c r="D1224" s="3" t="str">
        <f>VLOOKUP(B1224,LifeList!$E$2:$G$2038,1)</f>
        <v>Equatorial Antpitta</v>
      </c>
      <c r="E1224" s="3" t="str">
        <f>VLOOKUP(B1224,LifeList!$E$2:$G$2038,2)</f>
        <v>Grallaire d'Équateur</v>
      </c>
      <c r="F1224" s="3" t="str">
        <f>VLOOKUP(B1224,LifeList!$E$2:$G$2038,3)</f>
        <v>Grallaria saturata</v>
      </c>
      <c r="G1224" s="3" t="str">
        <f>VLOOKUP(B1224,LifeList!$E$2:$I$2038,4)</f>
        <v>Passeriformes</v>
      </c>
      <c r="H1224" s="3" t="str">
        <f>VLOOKUP(B1224,LifeList!$E$2:$I$2038,5)</f>
        <v>Grallariidae (Antpittas)</v>
      </c>
      <c r="I1224" s="3"/>
    </row>
    <row r="1225" spans="1:9" ht="10.5" customHeight="1">
      <c r="A1225" s="3" t="s">
        <v>1753</v>
      </c>
      <c r="B1225" s="3" t="s">
        <v>1754</v>
      </c>
      <c r="C1225" s="3">
        <f>VLOOKUP(B1225,LifeList!$E$2:$J$2038,6)</f>
        <v>1816</v>
      </c>
      <c r="D1225" s="3" t="str">
        <f>VLOOKUP(B1225,LifeList!$E$2:$G$2038,1)</f>
        <v>Erckel's Spurfowl</v>
      </c>
      <c r="E1225" s="3" t="str">
        <f>VLOOKUP(B1225,LifeList!$E$2:$G$2038,2)</f>
        <v>Francolin d'Erckel</v>
      </c>
      <c r="F1225" s="3" t="str">
        <f>VLOOKUP(B1225,LifeList!$E$2:$G$2038,3)</f>
        <v>Pternistis erckelii</v>
      </c>
      <c r="G1225" s="3" t="str">
        <f>VLOOKUP(B1225,LifeList!$E$2:$I$2038,4)</f>
        <v>Galliformes</v>
      </c>
      <c r="H1225" s="3" t="str">
        <f>VLOOKUP(B1225,LifeList!$E$2:$I$2038,5)</f>
        <v>Phasianidae (Pheasants, Grouse, and Allies)</v>
      </c>
      <c r="I1225" s="3"/>
    </row>
    <row r="1226" spans="1:9" ht="10.5" customHeight="1">
      <c r="A1226" s="3" t="s">
        <v>1755</v>
      </c>
      <c r="B1226" s="3" t="s">
        <v>1756</v>
      </c>
      <c r="C1226" s="3">
        <f>VLOOKUP(B1226,LifeList!$E$2:$J$2038,6)</f>
        <v>28500</v>
      </c>
      <c r="D1226" s="3" t="str">
        <f>VLOOKUP(B1226,LifeList!$E$2:$G$2038,1)</f>
        <v>Eurasian Blackbird</v>
      </c>
      <c r="E1226" s="3" t="str">
        <f>VLOOKUP(B1226,LifeList!$E$2:$G$2038,2)</f>
        <v>Merle noir</v>
      </c>
      <c r="F1226" s="3" t="str">
        <f>VLOOKUP(B1226,LifeList!$E$2:$G$2038,3)</f>
        <v>Turdus merula</v>
      </c>
      <c r="G1226" s="3" t="str">
        <f>VLOOKUP(B1226,LifeList!$E$2:$I$2038,4)</f>
        <v>Passeriformes</v>
      </c>
      <c r="H1226" s="3" t="str">
        <f>VLOOKUP(B1226,LifeList!$E$2:$I$2038,5)</f>
        <v>Turdidae (Thrushes and Allies)</v>
      </c>
      <c r="I1226" s="3"/>
    </row>
    <row r="1227" spans="1:9" ht="10.5" customHeight="1">
      <c r="A1227" s="3" t="s">
        <v>1757</v>
      </c>
      <c r="B1227" s="3" t="s">
        <v>1756</v>
      </c>
      <c r="C1227" s="3">
        <f>VLOOKUP(B1227,LifeList!$E$2:$J$2038,6)</f>
        <v>28500</v>
      </c>
      <c r="D1227" s="3" t="str">
        <f>VLOOKUP(B1227,LifeList!$E$2:$G$2038,1)</f>
        <v>Eurasian Blackbird</v>
      </c>
      <c r="E1227" s="3" t="str">
        <f>VLOOKUP(B1227,LifeList!$E$2:$G$2038,2)</f>
        <v>Merle noir</v>
      </c>
      <c r="F1227" s="3" t="str">
        <f>VLOOKUP(B1227,LifeList!$E$2:$G$2038,3)</f>
        <v>Turdus merula</v>
      </c>
      <c r="G1227" s="3" t="str">
        <f>VLOOKUP(B1227,LifeList!$E$2:$I$2038,4)</f>
        <v>Passeriformes</v>
      </c>
      <c r="H1227" s="3" t="str">
        <f>VLOOKUP(B1227,LifeList!$E$2:$I$2038,5)</f>
        <v>Turdidae (Thrushes and Allies)</v>
      </c>
      <c r="I1227" s="3"/>
    </row>
    <row r="1228" spans="1:9" ht="10.5" customHeight="1">
      <c r="A1228" s="3" t="s">
        <v>1758</v>
      </c>
      <c r="B1228" s="3" t="s">
        <v>1759</v>
      </c>
      <c r="C1228" s="3">
        <f>VLOOKUP(B1228,LifeList!$E$2:$J$2038,6)</f>
        <v>2031</v>
      </c>
      <c r="D1228" s="3" t="str">
        <f>VLOOKUP(B1228,LifeList!$E$2:$G$2038,1)</f>
        <v>Eurasian Collared-Dove</v>
      </c>
      <c r="E1228" s="3" t="str">
        <f>VLOOKUP(B1228,LifeList!$E$2:$G$2038,2)</f>
        <v>Tourterelle turque</v>
      </c>
      <c r="F1228" s="3" t="str">
        <f>VLOOKUP(B1228,LifeList!$E$2:$G$2038,3)</f>
        <v>Streptopelia decaocto</v>
      </c>
      <c r="G1228" s="3" t="str">
        <f>VLOOKUP(B1228,LifeList!$E$2:$I$2038,4)</f>
        <v>Columbiformes</v>
      </c>
      <c r="H1228" s="3" t="str">
        <f>VLOOKUP(B1228,LifeList!$E$2:$I$2038,5)</f>
        <v>Columbidae (Pigeons and Doves)</v>
      </c>
      <c r="I1228" s="3"/>
    </row>
    <row r="1229" spans="1:9" ht="10.5" customHeight="1">
      <c r="A1229" s="3" t="s">
        <v>1760</v>
      </c>
      <c r="B1229" s="3" t="s">
        <v>1759</v>
      </c>
      <c r="C1229" s="3">
        <f>VLOOKUP(B1229,LifeList!$E$2:$J$2038,6)</f>
        <v>2031</v>
      </c>
      <c r="D1229" s="3" t="str">
        <f>VLOOKUP(B1229,LifeList!$E$2:$G$2038,1)</f>
        <v>Eurasian Collared-Dove</v>
      </c>
      <c r="E1229" s="3" t="str">
        <f>VLOOKUP(B1229,LifeList!$E$2:$G$2038,2)</f>
        <v>Tourterelle turque</v>
      </c>
      <c r="F1229" s="3" t="str">
        <f>VLOOKUP(B1229,LifeList!$E$2:$G$2038,3)</f>
        <v>Streptopelia decaocto</v>
      </c>
      <c r="G1229" s="3" t="str">
        <f>VLOOKUP(B1229,LifeList!$E$2:$I$2038,4)</f>
        <v>Columbiformes</v>
      </c>
      <c r="H1229" s="3" t="str">
        <f>VLOOKUP(B1229,LifeList!$E$2:$I$2038,5)</f>
        <v>Columbidae (Pigeons and Doves)</v>
      </c>
      <c r="I1229" s="3"/>
    </row>
    <row r="1230" spans="1:9" ht="10.5" customHeight="1">
      <c r="A1230" s="7" t="s">
        <v>1761</v>
      </c>
      <c r="B1230" s="9" t="s">
        <v>1762</v>
      </c>
      <c r="C1230" s="3">
        <f>VLOOKUP(B1230,LifeList!$E$2:$J$2038,6)</f>
        <v>5487</v>
      </c>
      <c r="D1230" s="3" t="str">
        <f>VLOOKUP(B1230,LifeList!$E$2:$G$2038,1)</f>
        <v>Eurasian Coot</v>
      </c>
      <c r="E1230" s="3" t="str">
        <f>VLOOKUP(B1230,LifeList!$E$2:$G$2038,2)</f>
        <v>Foulque macroule</v>
      </c>
      <c r="F1230" s="3" t="str">
        <f>VLOOKUP(B1230,LifeList!$E$2:$G$2038,3)</f>
        <v>Fulica atra</v>
      </c>
      <c r="G1230" s="3" t="str">
        <f>VLOOKUP(B1230,LifeList!$E$2:$I$2038,4)</f>
        <v>Gruiformes</v>
      </c>
      <c r="H1230" s="3" t="str">
        <f>VLOOKUP(B1230,LifeList!$E$2:$I$2038,5)</f>
        <v>Rallidae (Rails, Gallinules, and Coots)</v>
      </c>
      <c r="I1230" s="3"/>
    </row>
    <row r="1231" spans="1:9" ht="10.5" customHeight="1">
      <c r="A1231" s="3" t="s">
        <v>1763</v>
      </c>
      <c r="B1231" s="3" t="s">
        <v>1764</v>
      </c>
      <c r="C1231" s="3">
        <f>VLOOKUP(B1231,LifeList!$E$2:$J$2038,6)</f>
        <v>5462</v>
      </c>
      <c r="D1231" s="3" t="str">
        <f>VLOOKUP(B1231,LifeList!$E$2:$G$2038,1)</f>
        <v>Eurasian Moorhen</v>
      </c>
      <c r="E1231" s="3" t="str">
        <f>VLOOKUP(B1231,LifeList!$E$2:$G$2038,2)</f>
        <v>Gallinule poule-d'eau</v>
      </c>
      <c r="F1231" s="3" t="str">
        <f>VLOOKUP(B1231,LifeList!$E$2:$G$2038,3)</f>
        <v>Gallinula chloropus</v>
      </c>
      <c r="G1231" s="3" t="str">
        <f>VLOOKUP(B1231,LifeList!$E$2:$I$2038,4)</f>
        <v>Gruiformes</v>
      </c>
      <c r="H1231" s="3" t="str">
        <f>VLOOKUP(B1231,LifeList!$E$2:$I$2038,5)</f>
        <v>Rallidae (Rails, Gallinules, and Coots)</v>
      </c>
      <c r="I1231" s="3"/>
    </row>
    <row r="1232" spans="1:9" ht="10.5" customHeight="1">
      <c r="A1232" s="3" t="s">
        <v>1765</v>
      </c>
      <c r="B1232" s="3" t="s">
        <v>1764</v>
      </c>
      <c r="C1232" s="3">
        <f>VLOOKUP(B1232,LifeList!$E$2:$J$2038,6)</f>
        <v>5462</v>
      </c>
      <c r="D1232" s="3" t="str">
        <f>VLOOKUP(B1232,LifeList!$E$2:$G$2038,1)</f>
        <v>Eurasian Moorhen</v>
      </c>
      <c r="E1232" s="3" t="str">
        <f>VLOOKUP(B1232,LifeList!$E$2:$G$2038,2)</f>
        <v>Gallinule poule-d'eau</v>
      </c>
      <c r="F1232" s="3" t="str">
        <f>VLOOKUP(B1232,LifeList!$E$2:$G$2038,3)</f>
        <v>Gallinula chloropus</v>
      </c>
      <c r="G1232" s="3" t="str">
        <f>VLOOKUP(B1232,LifeList!$E$2:$I$2038,4)</f>
        <v>Gruiformes</v>
      </c>
      <c r="H1232" s="3" t="str">
        <f>VLOOKUP(B1232,LifeList!$E$2:$I$2038,5)</f>
        <v>Rallidae (Rails, Gallinules, and Coots)</v>
      </c>
      <c r="I1232" s="3"/>
    </row>
    <row r="1233" spans="1:9" ht="10.5" customHeight="1">
      <c r="A1233" s="3" t="s">
        <v>1766</v>
      </c>
      <c r="B1233" s="3" t="s">
        <v>1764</v>
      </c>
      <c r="C1233" s="3">
        <f>VLOOKUP(B1233,LifeList!$E$2:$J$2038,6)</f>
        <v>5462</v>
      </c>
      <c r="D1233" s="3" t="str">
        <f>VLOOKUP(B1233,LifeList!$E$2:$G$2038,1)</f>
        <v>Eurasian Moorhen</v>
      </c>
      <c r="E1233" s="3" t="str">
        <f>VLOOKUP(B1233,LifeList!$E$2:$G$2038,2)</f>
        <v>Gallinule poule-d'eau</v>
      </c>
      <c r="F1233" s="3" t="str">
        <f>VLOOKUP(B1233,LifeList!$E$2:$G$2038,3)</f>
        <v>Gallinula chloropus</v>
      </c>
      <c r="G1233" s="3" t="str">
        <f>VLOOKUP(B1233,LifeList!$E$2:$I$2038,4)</f>
        <v>Gruiformes</v>
      </c>
      <c r="H1233" s="3" t="str">
        <f>VLOOKUP(B1233,LifeList!$E$2:$I$2038,5)</f>
        <v>Rallidae (Rails, Gallinules, and Coots)</v>
      </c>
      <c r="I1233" s="3"/>
    </row>
    <row r="1234" spans="1:9" ht="10.5" customHeight="1">
      <c r="A1234" s="3" t="s">
        <v>1767</v>
      </c>
      <c r="B1234" s="3" t="s">
        <v>1768</v>
      </c>
      <c r="C1234" s="3">
        <f>VLOOKUP(B1234,LifeList!$E$2:$J$2038,6)</f>
        <v>22615</v>
      </c>
      <c r="D1234" s="3" t="str">
        <f>VLOOKUP(B1234,LifeList!$E$2:$G$2038,1)</f>
        <v>Eurasian Skylark</v>
      </c>
      <c r="E1234" s="3" t="str">
        <f>VLOOKUP(B1234,LifeList!$E$2:$G$2038,2)</f>
        <v>Alouette des champs</v>
      </c>
      <c r="F1234" s="3" t="str">
        <f>VLOOKUP(B1234,LifeList!$E$2:$G$2038,3)</f>
        <v>Alauda arvensis</v>
      </c>
      <c r="G1234" s="3" t="str">
        <f>VLOOKUP(B1234,LifeList!$E$2:$I$2038,4)</f>
        <v>Passeriformes</v>
      </c>
      <c r="H1234" s="3" t="str">
        <f>VLOOKUP(B1234,LifeList!$E$2:$I$2038,5)</f>
        <v>Alaudidae (Larks)</v>
      </c>
      <c r="I1234" s="3"/>
    </row>
    <row r="1235" spans="1:9" ht="10.5" customHeight="1">
      <c r="A1235" s="3" t="s">
        <v>1769</v>
      </c>
      <c r="B1235" s="3" t="s">
        <v>1768</v>
      </c>
      <c r="C1235" s="3">
        <f>VLOOKUP(B1235,LifeList!$E$2:$J$2038,6)</f>
        <v>22615</v>
      </c>
      <c r="D1235" s="3" t="str">
        <f>VLOOKUP(B1235,LifeList!$E$2:$G$2038,1)</f>
        <v>Eurasian Skylark</v>
      </c>
      <c r="E1235" s="3" t="str">
        <f>VLOOKUP(B1235,LifeList!$E$2:$G$2038,2)</f>
        <v>Alouette des champs</v>
      </c>
      <c r="F1235" s="3" t="str">
        <f>VLOOKUP(B1235,LifeList!$E$2:$G$2038,3)</f>
        <v>Alauda arvensis</v>
      </c>
      <c r="G1235" s="3" t="str">
        <f>VLOOKUP(B1235,LifeList!$E$2:$I$2038,4)</f>
        <v>Passeriformes</v>
      </c>
      <c r="H1235" s="3" t="str">
        <f>VLOOKUP(B1235,LifeList!$E$2:$I$2038,5)</f>
        <v>Alaudidae (Larks)</v>
      </c>
      <c r="I1235" s="3"/>
    </row>
    <row r="1236" spans="1:9" ht="10.5" customHeight="1">
      <c r="A1236" s="7" t="s">
        <v>1770</v>
      </c>
      <c r="B1236" s="9" t="s">
        <v>1771</v>
      </c>
      <c r="C1236" s="3">
        <f>VLOOKUP(B1236,LifeList!$E$2:$J$2038,6)</f>
        <v>31603</v>
      </c>
      <c r="D1236" s="3" t="str">
        <f>VLOOKUP(B1236,LifeList!$E$2:$G$2038,1)</f>
        <v>Eurasian Tree Sparrow</v>
      </c>
      <c r="E1236" s="3" t="str">
        <f>VLOOKUP(B1236,LifeList!$E$2:$G$2038,2)</f>
        <v>Moineau friquet</v>
      </c>
      <c r="F1236" s="3" t="str">
        <f>VLOOKUP(B1236,LifeList!$E$2:$G$2038,3)</f>
        <v>Passer montanus</v>
      </c>
      <c r="G1236" s="3" t="str">
        <f>VLOOKUP(B1236,LifeList!$E$2:$I$2038,4)</f>
        <v>Passeriformes</v>
      </c>
      <c r="H1236" s="3" t="str">
        <f>VLOOKUP(B1236,LifeList!$E$2:$I$2038,5)</f>
        <v>Passeridae (Old World Sparrows)</v>
      </c>
      <c r="I1236" s="3"/>
    </row>
    <row r="1237" spans="1:9" ht="10.5" customHeight="1">
      <c r="A1237" s="3" t="s">
        <v>1772</v>
      </c>
      <c r="B1237" s="3" t="s">
        <v>1773</v>
      </c>
      <c r="C1237" s="3">
        <f>VLOOKUP(B1237,LifeList!$E$2:$J$2038,6)</f>
        <v>6012</v>
      </c>
      <c r="D1237" s="3" t="str">
        <f>VLOOKUP(B1237,LifeList!$E$2:$G$2038,1)</f>
        <v>Eurasian Whimbrel</v>
      </c>
      <c r="E1237" s="3" t="str">
        <f>VLOOKUP(B1237,LifeList!$E$2:$G$2038,2)</f>
        <v>Courlis corlieu</v>
      </c>
      <c r="F1237" s="3" t="str">
        <f>VLOOKUP(B1237,LifeList!$E$2:$G$2038,3)</f>
        <v>Numenius phaeopus</v>
      </c>
      <c r="G1237" s="3" t="str">
        <f>VLOOKUP(B1237,LifeList!$E$2:$I$2038,4)</f>
        <v>Charadriiformes</v>
      </c>
      <c r="H1237" s="3" t="str">
        <f>VLOOKUP(B1237,LifeList!$E$2:$I$2038,5)</f>
        <v>Scolopacidae (Sandpipers and Allies)</v>
      </c>
      <c r="I1237" s="3"/>
    </row>
    <row r="1238" spans="1:9" ht="10.5" customHeight="1">
      <c r="A1238" s="3" t="s">
        <v>1774</v>
      </c>
      <c r="B1238" s="3" t="s">
        <v>1773</v>
      </c>
      <c r="C1238" s="3">
        <f>VLOOKUP(B1238,LifeList!$E$2:$J$2038,6)</f>
        <v>6012</v>
      </c>
      <c r="D1238" s="3" t="str">
        <f>VLOOKUP(B1238,LifeList!$E$2:$G$2038,1)</f>
        <v>Eurasian Whimbrel</v>
      </c>
      <c r="E1238" s="3" t="str">
        <f>VLOOKUP(B1238,LifeList!$E$2:$G$2038,2)</f>
        <v>Courlis corlieu</v>
      </c>
      <c r="F1238" s="3" t="str">
        <f>VLOOKUP(B1238,LifeList!$E$2:$G$2038,3)</f>
        <v>Numenius phaeopus</v>
      </c>
      <c r="G1238" s="3" t="str">
        <f>VLOOKUP(B1238,LifeList!$E$2:$I$2038,4)</f>
        <v>Charadriiformes</v>
      </c>
      <c r="H1238" s="3" t="str">
        <f>VLOOKUP(B1238,LifeList!$E$2:$I$2038,5)</f>
        <v>Scolopacidae (Sandpipers and Allies)</v>
      </c>
      <c r="I1238" s="3"/>
    </row>
    <row r="1239" spans="1:9" ht="10.5" customHeight="1">
      <c r="A1239" s="3" t="s">
        <v>1775</v>
      </c>
      <c r="B1239" s="3" t="s">
        <v>1773</v>
      </c>
      <c r="C1239" s="3">
        <f>VLOOKUP(B1239,LifeList!$E$2:$J$2038,6)</f>
        <v>6012</v>
      </c>
      <c r="D1239" s="3" t="str">
        <f>VLOOKUP(B1239,LifeList!$E$2:$G$2038,1)</f>
        <v>Eurasian Whimbrel</v>
      </c>
      <c r="E1239" s="3" t="str">
        <f>VLOOKUP(B1239,LifeList!$E$2:$G$2038,2)</f>
        <v>Courlis corlieu</v>
      </c>
      <c r="F1239" s="3" t="str">
        <f>VLOOKUP(B1239,LifeList!$E$2:$G$2038,3)</f>
        <v>Numenius phaeopus</v>
      </c>
      <c r="G1239" s="3" t="str">
        <f>VLOOKUP(B1239,LifeList!$E$2:$I$2038,4)</f>
        <v>Charadriiformes</v>
      </c>
      <c r="H1239" s="3" t="str">
        <f>VLOOKUP(B1239,LifeList!$E$2:$I$2038,5)</f>
        <v>Scolopacidae (Sandpipers and Allies)</v>
      </c>
      <c r="I1239" s="3"/>
    </row>
    <row r="1240" spans="1:9" ht="10.5" customHeight="1">
      <c r="A1240" s="3" t="s">
        <v>1776</v>
      </c>
      <c r="B1240" s="3" t="s">
        <v>1773</v>
      </c>
      <c r="C1240" s="3">
        <f>VLOOKUP(B1240,LifeList!$E$2:$J$2038,6)</f>
        <v>6012</v>
      </c>
      <c r="D1240" s="3" t="str">
        <f>VLOOKUP(B1240,LifeList!$E$2:$G$2038,1)</f>
        <v>Eurasian Whimbrel</v>
      </c>
      <c r="E1240" s="3" t="str">
        <f>VLOOKUP(B1240,LifeList!$E$2:$G$2038,2)</f>
        <v>Courlis corlieu</v>
      </c>
      <c r="F1240" s="3" t="str">
        <f>VLOOKUP(B1240,LifeList!$E$2:$G$2038,3)</f>
        <v>Numenius phaeopus</v>
      </c>
      <c r="G1240" s="3" t="str">
        <f>VLOOKUP(B1240,LifeList!$E$2:$I$2038,4)</f>
        <v>Charadriiformes</v>
      </c>
      <c r="H1240" s="3" t="str">
        <f>VLOOKUP(B1240,LifeList!$E$2:$I$2038,5)</f>
        <v>Scolopacidae (Sandpipers and Allies)</v>
      </c>
      <c r="I1240" s="3"/>
    </row>
    <row r="1241" spans="1:9" ht="10.5" customHeight="1">
      <c r="A1241" s="3" t="s">
        <v>1777</v>
      </c>
      <c r="B1241" s="3" t="s">
        <v>1773</v>
      </c>
      <c r="C1241" s="3">
        <f>VLOOKUP(B1241,LifeList!$E$2:$J$2038,6)</f>
        <v>6012</v>
      </c>
      <c r="D1241" s="3" t="str">
        <f>VLOOKUP(B1241,LifeList!$E$2:$G$2038,1)</f>
        <v>Eurasian Whimbrel</v>
      </c>
      <c r="E1241" s="3" t="str">
        <f>VLOOKUP(B1241,LifeList!$E$2:$G$2038,2)</f>
        <v>Courlis corlieu</v>
      </c>
      <c r="F1241" s="3" t="str">
        <f>VLOOKUP(B1241,LifeList!$E$2:$G$2038,3)</f>
        <v>Numenius phaeopus</v>
      </c>
      <c r="G1241" s="3" t="str">
        <f>VLOOKUP(B1241,LifeList!$E$2:$I$2038,4)</f>
        <v>Charadriiformes</v>
      </c>
      <c r="H1241" s="3" t="str">
        <f>VLOOKUP(B1241,LifeList!$E$2:$I$2038,5)</f>
        <v>Scolopacidae (Sandpipers and Allies)</v>
      </c>
      <c r="I1241" s="3"/>
    </row>
    <row r="1242" spans="1:9" ht="10.5" customHeight="1">
      <c r="A1242" s="3" t="s">
        <v>1778</v>
      </c>
      <c r="B1242" s="3" t="s">
        <v>1773</v>
      </c>
      <c r="C1242" s="3">
        <f>VLOOKUP(B1242,LifeList!$E$2:$J$2038,6)</f>
        <v>6012</v>
      </c>
      <c r="D1242" s="3" t="str">
        <f>VLOOKUP(B1242,LifeList!$E$2:$G$2038,1)</f>
        <v>Eurasian Whimbrel</v>
      </c>
      <c r="E1242" s="3" t="str">
        <f>VLOOKUP(B1242,LifeList!$E$2:$G$2038,2)</f>
        <v>Courlis corlieu</v>
      </c>
      <c r="F1242" s="3" t="str">
        <f>VLOOKUP(B1242,LifeList!$E$2:$G$2038,3)</f>
        <v>Numenius phaeopus</v>
      </c>
      <c r="G1242" s="3" t="str">
        <f>VLOOKUP(B1242,LifeList!$E$2:$I$2038,4)</f>
        <v>Charadriiformes</v>
      </c>
      <c r="H1242" s="3" t="str">
        <f>VLOOKUP(B1242,LifeList!$E$2:$I$2038,5)</f>
        <v>Scolopacidae (Sandpipers and Allies)</v>
      </c>
      <c r="I1242" s="3"/>
    </row>
    <row r="1243" spans="1:9" ht="10.5" customHeight="1">
      <c r="A1243" s="3" t="s">
        <v>1779</v>
      </c>
      <c r="B1243" s="3" t="s">
        <v>1780</v>
      </c>
      <c r="C1243" s="3">
        <f>VLOOKUP(B1243,LifeList!$E$2:$J$2038,6)</f>
        <v>512</v>
      </c>
      <c r="D1243" s="3" t="str">
        <f>VLOOKUP(B1243,LifeList!$E$2:$G$2038,1)</f>
        <v>Eurasian Wigeon</v>
      </c>
      <c r="E1243" s="3" t="str">
        <f>VLOOKUP(B1243,LifeList!$E$2:$G$2038,2)</f>
        <v>Canard siffleur</v>
      </c>
      <c r="F1243" s="3" t="str">
        <f>VLOOKUP(B1243,LifeList!$E$2:$G$2038,3)</f>
        <v>Mareca penelope</v>
      </c>
      <c r="G1243" s="3" t="str">
        <f>VLOOKUP(B1243,LifeList!$E$2:$I$2038,4)</f>
        <v>Anseriformes</v>
      </c>
      <c r="H1243" s="3" t="str">
        <f>VLOOKUP(B1243,LifeList!$E$2:$I$2038,5)</f>
        <v>Anatidae (Ducks, Geese, and Waterfowl)</v>
      </c>
      <c r="I1243" s="3"/>
    </row>
    <row r="1244" spans="1:9" ht="10.5" customHeight="1">
      <c r="A1244" s="5" t="s">
        <v>1781</v>
      </c>
      <c r="B1244" s="3" t="s">
        <v>1782</v>
      </c>
      <c r="C1244" s="6">
        <f>VLOOKUP(B1244,LifeList!$E$2:$J$2038,6)</f>
        <v>9829</v>
      </c>
      <c r="D1244" s="3" t="str">
        <f>VLOOKUP(B1244,LifeList!$E$2:$G$2038,1)</f>
        <v>European Bee-eater</v>
      </c>
      <c r="E1244" s="3" t="str">
        <f>VLOOKUP(B1244,LifeList!$E$2:$G$2038,2)</f>
        <v>Guêpier d'Europe</v>
      </c>
      <c r="F1244" s="3" t="str">
        <f>VLOOKUP(B1244,LifeList!$E$2:$G$2038,3)</f>
        <v>Merops apiaster</v>
      </c>
      <c r="G1244" s="3" t="str">
        <f>VLOOKUP(B1244,LifeList!$E$2:$I$2038,4)</f>
        <v>Coraciiformes</v>
      </c>
      <c r="H1244" s="3" t="str">
        <f>VLOOKUP(B1244,LifeList!$E$2:$I$2038,5)</f>
        <v>Meropidae (Bee-eaters)</v>
      </c>
      <c r="I1244" s="3"/>
    </row>
    <row r="1245" spans="1:9" ht="10.5" customHeight="1">
      <c r="A1245" s="3" t="s">
        <v>1783</v>
      </c>
      <c r="B1245" s="3" t="s">
        <v>1784</v>
      </c>
      <c r="C1245" s="3">
        <f>VLOOKUP(B1245,LifeList!$E$2:$J$2038,6)</f>
        <v>32552</v>
      </c>
      <c r="D1245" s="3" t="str">
        <f>VLOOKUP(B1245,LifeList!$E$2:$G$2038,1)</f>
        <v>European Goldfinch</v>
      </c>
      <c r="E1245" s="3" t="str">
        <f>VLOOKUP(B1245,LifeList!$E$2:$G$2038,2)</f>
        <v>Chardonneret élégant</v>
      </c>
      <c r="F1245" s="3" t="str">
        <f>VLOOKUP(B1245,LifeList!$E$2:$G$2038,3)</f>
        <v>Carduelis carduelis</v>
      </c>
      <c r="G1245" s="3" t="str">
        <f>VLOOKUP(B1245,LifeList!$E$2:$I$2038,4)</f>
        <v>Passeriformes</v>
      </c>
      <c r="H1245" s="3" t="str">
        <f>VLOOKUP(B1245,LifeList!$E$2:$I$2038,5)</f>
        <v>Fringillidae (Finches, Euphonias, and Allies)</v>
      </c>
      <c r="I1245" s="3"/>
    </row>
    <row r="1246" spans="1:9" ht="10.5" customHeight="1">
      <c r="A1246" s="3" t="s">
        <v>1785</v>
      </c>
      <c r="B1246" s="3" t="s">
        <v>1786</v>
      </c>
      <c r="C1246" s="3">
        <f>VLOOKUP(B1246,LifeList!$E$2:$J$2038,6)</f>
        <v>27813</v>
      </c>
      <c r="D1246" s="3" t="str">
        <f>VLOOKUP(B1246,LifeList!$E$2:$G$2038,1)</f>
        <v>European Starling</v>
      </c>
      <c r="E1246" s="3" t="str">
        <f>VLOOKUP(B1246,LifeList!$E$2:$G$2038,2)</f>
        <v>Étourneau sansonnet</v>
      </c>
      <c r="F1246" s="3" t="str">
        <f>VLOOKUP(B1246,LifeList!$E$2:$G$2038,3)</f>
        <v>Sturnus vulgaris</v>
      </c>
      <c r="G1246" s="3" t="str">
        <f>VLOOKUP(B1246,LifeList!$E$2:$I$2038,4)</f>
        <v>Passeriformes</v>
      </c>
      <c r="H1246" s="3" t="str">
        <f>VLOOKUP(B1246,LifeList!$E$2:$I$2038,5)</f>
        <v>Sturnidae (Starlings)</v>
      </c>
      <c r="I1246" s="3"/>
    </row>
    <row r="1247" spans="1:9" ht="10.5" customHeight="1">
      <c r="A1247" s="5" t="s">
        <v>1787</v>
      </c>
      <c r="B1247" s="3" t="s">
        <v>1788</v>
      </c>
      <c r="C1247" s="3">
        <f>VLOOKUP(B1247,LifeList!$E$2:$J$2038,6)</f>
        <v>32085</v>
      </c>
      <c r="D1247" s="3" t="str">
        <f>VLOOKUP(B1247,LifeList!$E$2:$G$2038,1)</f>
        <v>Evening Grosbeak</v>
      </c>
      <c r="E1247" s="3" t="str">
        <f>VLOOKUP(B1247,LifeList!$E$2:$G$2038,2)</f>
        <v>Gros-bec errant</v>
      </c>
      <c r="F1247" s="3" t="str">
        <f>VLOOKUP(B1247,LifeList!$E$2:$G$2038,3)</f>
        <v>Hesperiphona vespertina</v>
      </c>
      <c r="G1247" s="3" t="str">
        <f>VLOOKUP(B1247,LifeList!$E$2:$I$2038,4)</f>
        <v>Passeriformes</v>
      </c>
      <c r="H1247" s="3" t="str">
        <f>VLOOKUP(B1247,LifeList!$E$2:$I$2038,5)</f>
        <v>Fringillidae (Finches, Euphonias, and Allies)</v>
      </c>
      <c r="I1247" s="3"/>
    </row>
    <row r="1248" spans="1:9" ht="10.5" customHeight="1">
      <c r="A1248" s="5" t="s">
        <v>1789</v>
      </c>
      <c r="B1248" s="3" t="s">
        <v>1788</v>
      </c>
      <c r="C1248" s="3">
        <f>VLOOKUP(B1248,LifeList!$E$2:$J$2038,6)</f>
        <v>32085</v>
      </c>
      <c r="D1248" s="3" t="str">
        <f>VLOOKUP(B1248,LifeList!$E$2:$G$2038,1)</f>
        <v>Evening Grosbeak</v>
      </c>
      <c r="E1248" s="3" t="str">
        <f>VLOOKUP(B1248,LifeList!$E$2:$G$2038,2)</f>
        <v>Gros-bec errant</v>
      </c>
      <c r="F1248" s="3" t="str">
        <f>VLOOKUP(B1248,LifeList!$E$2:$G$2038,3)</f>
        <v>Hesperiphona vespertina</v>
      </c>
      <c r="G1248" s="3" t="str">
        <f>VLOOKUP(B1248,LifeList!$E$2:$I$2038,4)</f>
        <v>Passeriformes</v>
      </c>
      <c r="H1248" s="3" t="str">
        <f>VLOOKUP(B1248,LifeList!$E$2:$I$2038,5)</f>
        <v>Fringillidae (Finches, Euphonias, and Allies)</v>
      </c>
      <c r="I1248" s="3"/>
    </row>
    <row r="1249" spans="1:9" ht="10.5" customHeight="1">
      <c r="A1249" s="3" t="s">
        <v>1790</v>
      </c>
      <c r="B1249" s="3" t="s">
        <v>1791</v>
      </c>
      <c r="C1249" s="3">
        <f>VLOOKUP(B1249,LifeList!$E$2:$J$2038,6)</f>
        <v>16453</v>
      </c>
      <c r="D1249" s="3" t="str">
        <f>VLOOKUP(B1249,LifeList!$E$2:$G$2038,1)</f>
        <v>Eye-ringed Flatbill</v>
      </c>
      <c r="E1249" s="3" t="str">
        <f>VLOOKUP(B1249,LifeList!$E$2:$G$2038,2)</f>
        <v>Tyranneau à bec court</v>
      </c>
      <c r="F1249" s="3" t="str">
        <f>VLOOKUP(B1249,LifeList!$E$2:$G$2038,3)</f>
        <v>Rhynchocyclus brevirostris</v>
      </c>
      <c r="G1249" s="3" t="str">
        <f>VLOOKUP(B1249,LifeList!$E$2:$I$2038,4)</f>
        <v>Passeriformes</v>
      </c>
      <c r="H1249" s="3" t="str">
        <f>VLOOKUP(B1249,LifeList!$E$2:$I$2038,5)</f>
        <v>Tyrannidae (Tyrant Flycatchers)</v>
      </c>
      <c r="I1249" s="3"/>
    </row>
    <row r="1250" spans="1:9" ht="10.5" customHeight="1">
      <c r="A1250" s="3" t="s">
        <v>1792</v>
      </c>
      <c r="B1250" s="3" t="s">
        <v>1791</v>
      </c>
      <c r="C1250" s="3">
        <f>VLOOKUP(B1250,LifeList!$E$2:$J$2038,6)</f>
        <v>16453</v>
      </c>
      <c r="D1250" s="3" t="str">
        <f>VLOOKUP(B1250,LifeList!$E$2:$G$2038,1)</f>
        <v>Eye-ringed Flatbill</v>
      </c>
      <c r="E1250" s="3" t="str">
        <f>VLOOKUP(B1250,LifeList!$E$2:$G$2038,2)</f>
        <v>Tyranneau à bec court</v>
      </c>
      <c r="F1250" s="3" t="str">
        <f>VLOOKUP(B1250,LifeList!$E$2:$G$2038,3)</f>
        <v>Rhynchocyclus brevirostris</v>
      </c>
      <c r="G1250" s="3" t="str">
        <f>VLOOKUP(B1250,LifeList!$E$2:$I$2038,4)</f>
        <v>Passeriformes</v>
      </c>
      <c r="H1250" s="3" t="str">
        <f>VLOOKUP(B1250,LifeList!$E$2:$I$2038,5)</f>
        <v>Tyrannidae (Tyrant Flycatchers)</v>
      </c>
      <c r="I1250" s="3"/>
    </row>
    <row r="1251" spans="1:9" ht="10.5" customHeight="1">
      <c r="A1251" s="3" t="s">
        <v>1793</v>
      </c>
      <c r="B1251" s="3" t="s">
        <v>1791</v>
      </c>
      <c r="C1251" s="3">
        <f>VLOOKUP(B1251,LifeList!$E$2:$J$2038,6)</f>
        <v>16453</v>
      </c>
      <c r="D1251" s="3" t="str">
        <f>VLOOKUP(B1251,LifeList!$E$2:$G$2038,1)</f>
        <v>Eye-ringed Flatbill</v>
      </c>
      <c r="E1251" s="3" t="str">
        <f>VLOOKUP(B1251,LifeList!$E$2:$G$2038,2)</f>
        <v>Tyranneau à bec court</v>
      </c>
      <c r="F1251" s="3" t="str">
        <f>VLOOKUP(B1251,LifeList!$E$2:$G$2038,3)</f>
        <v>Rhynchocyclus brevirostris</v>
      </c>
      <c r="G1251" s="3" t="str">
        <f>VLOOKUP(B1251,LifeList!$E$2:$I$2038,4)</f>
        <v>Passeriformes</v>
      </c>
      <c r="H1251" s="3" t="str">
        <f>VLOOKUP(B1251,LifeList!$E$2:$I$2038,5)</f>
        <v>Tyrannidae (Tyrant Flycatchers)</v>
      </c>
      <c r="I1251" s="3"/>
    </row>
    <row r="1252" spans="1:9" ht="10.5" customHeight="1">
      <c r="A1252" s="3" t="s">
        <v>1794</v>
      </c>
      <c r="B1252" s="3" t="s">
        <v>1795</v>
      </c>
      <c r="C1252" s="3">
        <f>VLOOKUP(B1252,LifeList!$E$2:$J$2038,6)</f>
        <v>29830</v>
      </c>
      <c r="D1252" s="3" t="str">
        <f>VLOOKUP(B1252,LifeList!$E$2:$G$2038,1)</f>
        <v>Familiar Chat</v>
      </c>
      <c r="E1252" s="3" t="str">
        <f>VLOOKUP(B1252,LifeList!$E$2:$G$2038,2)</f>
        <v>Tarier d'Afrique</v>
      </c>
      <c r="F1252" s="3" t="str">
        <f>VLOOKUP(B1252,LifeList!$E$2:$G$2038,3)</f>
        <v>Oenanthe familiaris</v>
      </c>
      <c r="G1252" s="3" t="str">
        <f>VLOOKUP(B1252,LifeList!$E$2:$I$2038,4)</f>
        <v>Passeriformes</v>
      </c>
      <c r="H1252" s="3" t="str">
        <f>VLOOKUP(B1252,LifeList!$E$2:$I$2038,5)</f>
        <v>Muscicapidae (Old World Flycatchers)</v>
      </c>
      <c r="I1252" s="3"/>
    </row>
    <row r="1253" spans="1:9" ht="10.5" customHeight="1">
      <c r="A1253" s="3" t="s">
        <v>1796</v>
      </c>
      <c r="B1253" s="3" t="s">
        <v>1795</v>
      </c>
      <c r="C1253" s="3">
        <f>VLOOKUP(B1253,LifeList!$E$2:$J$2038,6)</f>
        <v>29830</v>
      </c>
      <c r="D1253" s="3" t="str">
        <f>VLOOKUP(B1253,LifeList!$E$2:$G$2038,1)</f>
        <v>Familiar Chat</v>
      </c>
      <c r="E1253" s="3" t="str">
        <f>VLOOKUP(B1253,LifeList!$E$2:$G$2038,2)</f>
        <v>Tarier d'Afrique</v>
      </c>
      <c r="F1253" s="3" t="str">
        <f>VLOOKUP(B1253,LifeList!$E$2:$G$2038,3)</f>
        <v>Oenanthe familiaris</v>
      </c>
      <c r="G1253" s="3" t="str">
        <f>VLOOKUP(B1253,LifeList!$E$2:$I$2038,4)</f>
        <v>Passeriformes</v>
      </c>
      <c r="H1253" s="3" t="str">
        <f>VLOOKUP(B1253,LifeList!$E$2:$I$2038,5)</f>
        <v>Muscicapidae (Old World Flycatchers)</v>
      </c>
      <c r="I1253" s="3"/>
    </row>
    <row r="1254" spans="1:9" ht="10.5" customHeight="1">
      <c r="A1254" s="3" t="s">
        <v>1797</v>
      </c>
      <c r="B1254" s="3" t="s">
        <v>1798</v>
      </c>
      <c r="C1254" s="3">
        <f>VLOOKUP(B1254,LifeList!$E$2:$J$2038,6)</f>
        <v>3351</v>
      </c>
      <c r="D1254" s="3" t="str">
        <f>VLOOKUP(B1254,LifeList!$E$2:$G$2038,1)</f>
        <v>Fan-tailed Cuckoo</v>
      </c>
      <c r="E1254" s="3" t="str">
        <f>VLOOKUP(B1254,LifeList!$E$2:$G$2038,2)</f>
        <v>Coucou à éventail</v>
      </c>
      <c r="F1254" s="3" t="str">
        <f>VLOOKUP(B1254,LifeList!$E$2:$G$2038,3)</f>
        <v>Cacomantis flabelliformis</v>
      </c>
      <c r="G1254" s="3" t="str">
        <f>VLOOKUP(B1254,LifeList!$E$2:$I$2038,4)</f>
        <v>Cuculiformes</v>
      </c>
      <c r="H1254" s="3" t="str">
        <f>VLOOKUP(B1254,LifeList!$E$2:$I$2038,5)</f>
        <v>Cuculidae (Cuckoos)</v>
      </c>
      <c r="I1254" s="3"/>
    </row>
    <row r="1255" spans="1:9" ht="10.5" customHeight="1">
      <c r="A1255" s="3" t="s">
        <v>1799</v>
      </c>
      <c r="B1255" s="3" t="s">
        <v>1798</v>
      </c>
      <c r="C1255" s="3">
        <f>VLOOKUP(B1255,LifeList!$E$2:$J$2038,6)</f>
        <v>3351</v>
      </c>
      <c r="D1255" s="3" t="str">
        <f>VLOOKUP(B1255,LifeList!$E$2:$G$2038,1)</f>
        <v>Fan-tailed Cuckoo</v>
      </c>
      <c r="E1255" s="3" t="str">
        <f>VLOOKUP(B1255,LifeList!$E$2:$G$2038,2)</f>
        <v>Coucou à éventail</v>
      </c>
      <c r="F1255" s="3" t="str">
        <f>VLOOKUP(B1255,LifeList!$E$2:$G$2038,3)</f>
        <v>Cacomantis flabelliformis</v>
      </c>
      <c r="G1255" s="3" t="str">
        <f>VLOOKUP(B1255,LifeList!$E$2:$I$2038,4)</f>
        <v>Cuculiformes</v>
      </c>
      <c r="H1255" s="3" t="str">
        <f>VLOOKUP(B1255,LifeList!$E$2:$I$2038,5)</f>
        <v>Cuculidae (Cuckoos)</v>
      </c>
      <c r="I1255" s="3"/>
    </row>
    <row r="1256" spans="1:9" ht="10.5" customHeight="1">
      <c r="A1256" s="3" t="s">
        <v>1800</v>
      </c>
      <c r="B1256" s="3" t="s">
        <v>1801</v>
      </c>
      <c r="C1256" s="3">
        <f>VLOOKUP(B1256,LifeList!$E$2:$J$2038,6)</f>
        <v>13445</v>
      </c>
      <c r="D1256" s="3" t="str">
        <f>VLOOKUP(B1256,LifeList!$E$2:$G$2038,1)</f>
        <v>Fasciated Antshrike</v>
      </c>
      <c r="E1256" s="3" t="str">
        <f>VLOOKUP(B1256,LifeList!$E$2:$G$2038,2)</f>
        <v>Batara fascié</v>
      </c>
      <c r="F1256" s="3" t="str">
        <f>VLOOKUP(B1256,LifeList!$E$2:$G$2038,3)</f>
        <v>Cymbilaimus lineatus</v>
      </c>
      <c r="G1256" s="3" t="str">
        <f>VLOOKUP(B1256,LifeList!$E$2:$I$2038,4)</f>
        <v>Passeriformes</v>
      </c>
      <c r="H1256" s="3" t="str">
        <f>VLOOKUP(B1256,LifeList!$E$2:$I$2038,5)</f>
        <v>Thamnophilidae (Typical Antbirds)</v>
      </c>
      <c r="I1256" s="3"/>
    </row>
    <row r="1257" spans="1:9" ht="10.5" customHeight="1">
      <c r="A1257" s="3" t="s">
        <v>1802</v>
      </c>
      <c r="B1257" s="3" t="s">
        <v>1801</v>
      </c>
      <c r="C1257" s="3">
        <f>VLOOKUP(B1257,LifeList!$E$2:$J$2038,6)</f>
        <v>13445</v>
      </c>
      <c r="D1257" s="3" t="str">
        <f>VLOOKUP(B1257,LifeList!$E$2:$G$2038,1)</f>
        <v>Fasciated Antshrike</v>
      </c>
      <c r="E1257" s="3" t="str">
        <f>VLOOKUP(B1257,LifeList!$E$2:$G$2038,2)</f>
        <v>Batara fascié</v>
      </c>
      <c r="F1257" s="3" t="str">
        <f>VLOOKUP(B1257,LifeList!$E$2:$G$2038,3)</f>
        <v>Cymbilaimus lineatus</v>
      </c>
      <c r="G1257" s="3" t="str">
        <f>VLOOKUP(B1257,LifeList!$E$2:$I$2038,4)</f>
        <v>Passeriformes</v>
      </c>
      <c r="H1257" s="3" t="str">
        <f>VLOOKUP(B1257,LifeList!$E$2:$I$2038,5)</f>
        <v>Thamnophilidae (Typical Antbirds)</v>
      </c>
      <c r="I1257" s="3"/>
    </row>
    <row r="1258" spans="1:9" ht="10.5" customHeight="1">
      <c r="A1258" s="3" t="s">
        <v>1803</v>
      </c>
      <c r="B1258" s="3" t="s">
        <v>1804</v>
      </c>
      <c r="C1258" s="3">
        <f>VLOOKUP(B1258,LifeList!$E$2:$J$2038,6)</f>
        <v>4702</v>
      </c>
      <c r="D1258" s="3" t="str">
        <f>VLOOKUP(B1258,LifeList!$E$2:$G$2038,1)</f>
        <v>Fawn-breasted Brilliant</v>
      </c>
      <c r="E1258" s="3" t="str">
        <f>VLOOKUP(B1258,LifeList!$E$2:$G$2038,2)</f>
        <v>Brillant rubinoïde</v>
      </c>
      <c r="F1258" s="3" t="str">
        <f>VLOOKUP(B1258,LifeList!$E$2:$G$2038,3)</f>
        <v>Heliodoxa rubinoides</v>
      </c>
      <c r="G1258" s="3" t="str">
        <f>VLOOKUP(B1258,LifeList!$E$2:$I$2038,4)</f>
        <v>Apodiformes</v>
      </c>
      <c r="H1258" s="3" t="str">
        <f>VLOOKUP(B1258,LifeList!$E$2:$I$2038,5)</f>
        <v>Trochilidae (Hummingbirds)</v>
      </c>
      <c r="I1258" s="3"/>
    </row>
    <row r="1259" spans="1:9" ht="10.5" customHeight="1">
      <c r="A1259" s="7" t="s">
        <v>1805</v>
      </c>
      <c r="B1259" s="8" t="s">
        <v>1806</v>
      </c>
      <c r="C1259" s="3">
        <f>VLOOKUP(B1259,LifeList!$E$2:$J$2038,6)</f>
        <v>34917</v>
      </c>
      <c r="D1259" s="3" t="str">
        <f>VLOOKUP(B1259,LifeList!$E$2:$G$2038,1)</f>
        <v>Fawn-breasted Tanager</v>
      </c>
      <c r="E1259" s="3" t="str">
        <f>VLOOKUP(B1259,LifeList!$E$2:$G$2038,2)</f>
        <v>Tangara à dos noir</v>
      </c>
      <c r="F1259" s="3" t="str">
        <f>VLOOKUP(B1259,LifeList!$E$2:$G$2038,3)</f>
        <v>Pipraeidea melanonota</v>
      </c>
      <c r="G1259" s="3" t="str">
        <f>VLOOKUP(B1259,LifeList!$E$2:$I$2038,4)</f>
        <v>Passeriformes</v>
      </c>
      <c r="H1259" s="3" t="str">
        <f>VLOOKUP(B1259,LifeList!$E$2:$I$2038,5)</f>
        <v>Thraupidae (Tanagers and Allies)</v>
      </c>
      <c r="I1259" s="3"/>
    </row>
    <row r="1260" spans="1:9" ht="10.5" customHeight="1">
      <c r="A1260" s="3" t="s">
        <v>1807</v>
      </c>
      <c r="B1260" s="3" t="s">
        <v>1808</v>
      </c>
      <c r="C1260" s="3">
        <f>VLOOKUP(B1260,LifeList!$E$2:$J$2038,6)</f>
        <v>9037</v>
      </c>
      <c r="D1260" s="3" t="str">
        <f>VLOOKUP(B1260,LifeList!$E$2:$G$2038,1)</f>
        <v>Ferruginous Pygmy-Owl</v>
      </c>
      <c r="E1260" s="3" t="str">
        <f>VLOOKUP(B1260,LifeList!$E$2:$G$2038,2)</f>
        <v>Chevêchette brune</v>
      </c>
      <c r="F1260" s="3" t="str">
        <f>VLOOKUP(B1260,LifeList!$E$2:$G$2038,3)</f>
        <v>Glaucidium brasilianum</v>
      </c>
      <c r="G1260" s="3" t="str">
        <f>VLOOKUP(B1260,LifeList!$E$2:$I$2038,4)</f>
        <v>Strigiformes</v>
      </c>
      <c r="H1260" s="3" t="str">
        <f>VLOOKUP(B1260,LifeList!$E$2:$I$2038,5)</f>
        <v>Strigidae (Owls)</v>
      </c>
      <c r="I1260" s="3"/>
    </row>
    <row r="1261" spans="1:9" ht="10.5" customHeight="1">
      <c r="A1261" s="3" t="s">
        <v>1809</v>
      </c>
      <c r="B1261" s="3" t="s">
        <v>1808</v>
      </c>
      <c r="C1261" s="3">
        <f>VLOOKUP(B1261,LifeList!$E$2:$J$2038,6)</f>
        <v>9037</v>
      </c>
      <c r="D1261" s="3" t="str">
        <f>VLOOKUP(B1261,LifeList!$E$2:$G$2038,1)</f>
        <v>Ferruginous Pygmy-Owl</v>
      </c>
      <c r="E1261" s="3" t="str">
        <f>VLOOKUP(B1261,LifeList!$E$2:$G$2038,2)</f>
        <v>Chevêchette brune</v>
      </c>
      <c r="F1261" s="3" t="str">
        <f>VLOOKUP(B1261,LifeList!$E$2:$G$2038,3)</f>
        <v>Glaucidium brasilianum</v>
      </c>
      <c r="G1261" s="3" t="str">
        <f>VLOOKUP(B1261,LifeList!$E$2:$I$2038,4)</f>
        <v>Strigiformes</v>
      </c>
      <c r="H1261" s="3" t="str">
        <f>VLOOKUP(B1261,LifeList!$E$2:$I$2038,5)</f>
        <v>Strigidae (Owls)</v>
      </c>
      <c r="I1261" s="3"/>
    </row>
    <row r="1262" spans="1:9" ht="10.5" customHeight="1">
      <c r="A1262" s="3" t="s">
        <v>1810</v>
      </c>
      <c r="B1262" s="3" t="s">
        <v>1808</v>
      </c>
      <c r="C1262" s="3">
        <f>VLOOKUP(B1262,LifeList!$E$2:$J$2038,6)</f>
        <v>9037</v>
      </c>
      <c r="D1262" s="3" t="str">
        <f>VLOOKUP(B1262,LifeList!$E$2:$G$2038,1)</f>
        <v>Ferruginous Pygmy-Owl</v>
      </c>
      <c r="E1262" s="3" t="str">
        <f>VLOOKUP(B1262,LifeList!$E$2:$G$2038,2)</f>
        <v>Chevêchette brune</v>
      </c>
      <c r="F1262" s="3" t="str">
        <f>VLOOKUP(B1262,LifeList!$E$2:$G$2038,3)</f>
        <v>Glaucidium brasilianum</v>
      </c>
      <c r="G1262" s="3" t="str">
        <f>VLOOKUP(B1262,LifeList!$E$2:$I$2038,4)</f>
        <v>Strigiformes</v>
      </c>
      <c r="H1262" s="3" t="str">
        <f>VLOOKUP(B1262,LifeList!$E$2:$I$2038,5)</f>
        <v>Strigidae (Owls)</v>
      </c>
      <c r="I1262" s="3"/>
    </row>
    <row r="1263" spans="1:9" ht="10.5" customHeight="1">
      <c r="A1263" s="3" t="s">
        <v>1811</v>
      </c>
      <c r="B1263" s="3" t="s">
        <v>1812</v>
      </c>
      <c r="C1263" s="3">
        <f>VLOOKUP(B1263,LifeList!$E$2:$J$2038,6)</f>
        <v>33002</v>
      </c>
      <c r="D1263" s="3" t="str">
        <f>VLOOKUP(B1263,LifeList!$E$2:$G$2038,1)</f>
        <v>Field Sparrow</v>
      </c>
      <c r="E1263" s="3" t="str">
        <f>VLOOKUP(B1263,LifeList!$E$2:$G$2038,2)</f>
        <v>Bruant des champs</v>
      </c>
      <c r="F1263" s="3" t="str">
        <f>VLOOKUP(B1263,LifeList!$E$2:$G$2038,3)</f>
        <v>Spizella pusilla</v>
      </c>
      <c r="G1263" s="3" t="str">
        <f>VLOOKUP(B1263,LifeList!$E$2:$I$2038,4)</f>
        <v>Passeriformes</v>
      </c>
      <c r="H1263" s="3" t="str">
        <f>VLOOKUP(B1263,LifeList!$E$2:$I$2038,5)</f>
        <v>Passerellidae (New World Sparrows)</v>
      </c>
      <c r="I1263" s="3"/>
    </row>
    <row r="1264" spans="1:9" ht="10.5" customHeight="1">
      <c r="A1264" s="3" t="s">
        <v>1813</v>
      </c>
      <c r="B1264" s="3" t="s">
        <v>1812</v>
      </c>
      <c r="C1264" s="3">
        <f>VLOOKUP(B1264,LifeList!$E$2:$J$2038,6)</f>
        <v>33002</v>
      </c>
      <c r="D1264" s="3" t="str">
        <f>VLOOKUP(B1264,LifeList!$E$2:$G$2038,1)</f>
        <v>Field Sparrow</v>
      </c>
      <c r="E1264" s="3" t="str">
        <f>VLOOKUP(B1264,LifeList!$E$2:$G$2038,2)</f>
        <v>Bruant des champs</v>
      </c>
      <c r="F1264" s="3" t="str">
        <f>VLOOKUP(B1264,LifeList!$E$2:$G$2038,3)</f>
        <v>Spizella pusilla</v>
      </c>
      <c r="G1264" s="3" t="str">
        <f>VLOOKUP(B1264,LifeList!$E$2:$I$2038,4)</f>
        <v>Passeriformes</v>
      </c>
      <c r="H1264" s="3" t="str">
        <f>VLOOKUP(B1264,LifeList!$E$2:$I$2038,5)</f>
        <v>Passerellidae (New World Sparrows)</v>
      </c>
      <c r="I1264" s="3"/>
    </row>
    <row r="1265" spans="1:9" ht="10.5" customHeight="1">
      <c r="A1265" s="3" t="s">
        <v>1814</v>
      </c>
      <c r="B1265" s="3" t="s">
        <v>1812</v>
      </c>
      <c r="C1265" s="3">
        <f>VLOOKUP(B1265,LifeList!$E$2:$J$2038,6)</f>
        <v>33002</v>
      </c>
      <c r="D1265" s="3" t="str">
        <f>VLOOKUP(B1265,LifeList!$E$2:$G$2038,1)</f>
        <v>Field Sparrow</v>
      </c>
      <c r="E1265" s="3" t="str">
        <f>VLOOKUP(B1265,LifeList!$E$2:$G$2038,2)</f>
        <v>Bruant des champs</v>
      </c>
      <c r="F1265" s="3" t="str">
        <f>VLOOKUP(B1265,LifeList!$E$2:$G$2038,3)</f>
        <v>Spizella pusilla</v>
      </c>
      <c r="G1265" s="3" t="str">
        <f>VLOOKUP(B1265,LifeList!$E$2:$I$2038,4)</f>
        <v>Passeriformes</v>
      </c>
      <c r="H1265" s="3" t="str">
        <f>VLOOKUP(B1265,LifeList!$E$2:$I$2038,5)</f>
        <v>Passerellidae (New World Sparrows)</v>
      </c>
      <c r="I1265" s="3"/>
    </row>
    <row r="1266" spans="1:9" ht="10.5" customHeight="1">
      <c r="A1266" s="3" t="s">
        <v>1815</v>
      </c>
      <c r="B1266" s="3" t="s">
        <v>1816</v>
      </c>
      <c r="C1266" s="3">
        <f>VLOOKUP(B1266,LifeList!$E$2:$J$2038,6)</f>
        <v>4736</v>
      </c>
      <c r="D1266" s="3" t="str">
        <f>VLOOKUP(B1266,LifeList!$E$2:$G$2038,1)</f>
        <v>Fiery-throated Hummingbird</v>
      </c>
      <c r="E1266" s="3" t="str">
        <f>VLOOKUP(B1266,LifeList!$E$2:$G$2038,2)</f>
        <v>Colibri insigne</v>
      </c>
      <c r="F1266" s="3" t="str">
        <f>VLOOKUP(B1266,LifeList!$E$2:$G$2038,3)</f>
        <v>Panterpe insignis</v>
      </c>
      <c r="G1266" s="3" t="str">
        <f>VLOOKUP(B1266,LifeList!$E$2:$I$2038,4)</f>
        <v>Apodiformes</v>
      </c>
      <c r="H1266" s="3" t="str">
        <f>VLOOKUP(B1266,LifeList!$E$2:$I$2038,5)</f>
        <v>Trochilidae (Hummingbirds)</v>
      </c>
      <c r="I1266" s="3"/>
    </row>
    <row r="1267" spans="1:9" ht="10.5" customHeight="1">
      <c r="A1267" s="3" t="s">
        <v>1817</v>
      </c>
      <c r="B1267" s="3" t="s">
        <v>1816</v>
      </c>
      <c r="C1267" s="3">
        <f>VLOOKUP(B1267,LifeList!$E$2:$J$2038,6)</f>
        <v>4736</v>
      </c>
      <c r="D1267" s="3" t="str">
        <f>VLOOKUP(B1267,LifeList!$E$2:$G$2038,1)</f>
        <v>Fiery-throated Hummingbird</v>
      </c>
      <c r="E1267" s="3" t="str">
        <f>VLOOKUP(B1267,LifeList!$E$2:$G$2038,2)</f>
        <v>Colibri insigne</v>
      </c>
      <c r="F1267" s="3" t="str">
        <f>VLOOKUP(B1267,LifeList!$E$2:$G$2038,3)</f>
        <v>Panterpe insignis</v>
      </c>
      <c r="G1267" s="3" t="str">
        <f>VLOOKUP(B1267,LifeList!$E$2:$I$2038,4)</f>
        <v>Apodiformes</v>
      </c>
      <c r="H1267" s="3" t="str">
        <f>VLOOKUP(B1267,LifeList!$E$2:$I$2038,5)</f>
        <v>Trochilidae (Hummingbirds)</v>
      </c>
      <c r="I1267" s="3"/>
    </row>
    <row r="1268" spans="1:9" ht="10.5" customHeight="1">
      <c r="A1268" s="3" t="s">
        <v>1818</v>
      </c>
      <c r="B1268" s="3" t="s">
        <v>1819</v>
      </c>
      <c r="C1268" s="3">
        <f>VLOOKUP(B1268,LifeList!$E$2:$J$2038,6)</f>
        <v>21769</v>
      </c>
      <c r="D1268" s="3" t="str">
        <f>VLOOKUP(B1268,LifeList!$E$2:$G$2038,1)</f>
        <v>Flame Robin</v>
      </c>
      <c r="E1268" s="3" t="str">
        <f>VLOOKUP(B1268,LifeList!$E$2:$G$2038,2)</f>
        <v>Miro embrasé</v>
      </c>
      <c r="F1268" s="3" t="str">
        <f>VLOOKUP(B1268,LifeList!$E$2:$G$2038,3)</f>
        <v>Petroica phoenicea</v>
      </c>
      <c r="G1268" s="3" t="str">
        <f>VLOOKUP(B1268,LifeList!$E$2:$I$2038,4)</f>
        <v>Passeriformes</v>
      </c>
      <c r="H1268" s="3" t="str">
        <f>VLOOKUP(B1268,LifeList!$E$2:$I$2038,5)</f>
        <v>Petroicidae (Australasian Robins)</v>
      </c>
      <c r="I1268" s="3"/>
    </row>
    <row r="1269" spans="1:9" ht="10.5" customHeight="1">
      <c r="A1269" s="3" t="s">
        <v>1820</v>
      </c>
      <c r="B1269" s="3" t="s">
        <v>1821</v>
      </c>
      <c r="C1269" s="3">
        <f>VLOOKUP(B1269,LifeList!$E$2:$J$2038,6)</f>
        <v>34442</v>
      </c>
      <c r="D1269" s="3" t="str">
        <f>VLOOKUP(B1269,LifeList!$E$2:$G$2038,1)</f>
        <v>Flame-colored Tanager</v>
      </c>
      <c r="E1269" s="3" t="str">
        <f>VLOOKUP(B1269,LifeList!$E$2:$G$2038,2)</f>
        <v>Piranga à dos rayé</v>
      </c>
      <c r="F1269" s="3" t="str">
        <f>VLOOKUP(B1269,LifeList!$E$2:$G$2038,3)</f>
        <v>Piranga bidentata</v>
      </c>
      <c r="G1269" s="3" t="str">
        <f>VLOOKUP(B1269,LifeList!$E$2:$I$2038,4)</f>
        <v>Passeriformes</v>
      </c>
      <c r="H1269" s="3" t="str">
        <f>VLOOKUP(B1269,LifeList!$E$2:$I$2038,5)</f>
        <v>Cardinalidae (Cardinals and Allies)</v>
      </c>
      <c r="I1269" s="3"/>
    </row>
    <row r="1270" spans="1:9" ht="10.5" customHeight="1">
      <c r="A1270" s="3" t="s">
        <v>1822</v>
      </c>
      <c r="B1270" s="3" t="s">
        <v>1821</v>
      </c>
      <c r="C1270" s="3">
        <f>VLOOKUP(B1270,LifeList!$E$2:$J$2038,6)</f>
        <v>34442</v>
      </c>
      <c r="D1270" s="3" t="str">
        <f>VLOOKUP(B1270,LifeList!$E$2:$G$2038,1)</f>
        <v>Flame-colored Tanager</v>
      </c>
      <c r="E1270" s="3" t="str">
        <f>VLOOKUP(B1270,LifeList!$E$2:$G$2038,2)</f>
        <v>Piranga à dos rayé</v>
      </c>
      <c r="F1270" s="3" t="str">
        <f>VLOOKUP(B1270,LifeList!$E$2:$G$2038,3)</f>
        <v>Piranga bidentata</v>
      </c>
      <c r="G1270" s="3" t="str">
        <f>VLOOKUP(B1270,LifeList!$E$2:$I$2038,4)</f>
        <v>Passeriformes</v>
      </c>
      <c r="H1270" s="3" t="str">
        <f>VLOOKUP(B1270,LifeList!$E$2:$I$2038,5)</f>
        <v>Cardinalidae (Cardinals and Allies)</v>
      </c>
      <c r="I1270" s="3"/>
    </row>
    <row r="1271" spans="1:9" ht="10.5" customHeight="1">
      <c r="A1271" s="3" t="s">
        <v>1823</v>
      </c>
      <c r="B1271" s="3" t="s">
        <v>1821</v>
      </c>
      <c r="C1271" s="3">
        <f>VLOOKUP(B1271,LifeList!$E$2:$J$2038,6)</f>
        <v>34442</v>
      </c>
      <c r="D1271" s="3" t="str">
        <f>VLOOKUP(B1271,LifeList!$E$2:$G$2038,1)</f>
        <v>Flame-colored Tanager</v>
      </c>
      <c r="E1271" s="3" t="str">
        <f>VLOOKUP(B1271,LifeList!$E$2:$G$2038,2)</f>
        <v>Piranga à dos rayé</v>
      </c>
      <c r="F1271" s="3" t="str">
        <f>VLOOKUP(B1271,LifeList!$E$2:$G$2038,3)</f>
        <v>Piranga bidentata</v>
      </c>
      <c r="G1271" s="3" t="str">
        <f>VLOOKUP(B1271,LifeList!$E$2:$I$2038,4)</f>
        <v>Passeriformes</v>
      </c>
      <c r="H1271" s="3" t="str">
        <f>VLOOKUP(B1271,LifeList!$E$2:$I$2038,5)</f>
        <v>Cardinalidae (Cardinals and Allies)</v>
      </c>
      <c r="I1271" s="3"/>
    </row>
    <row r="1272" spans="1:9" ht="10.5" customHeight="1">
      <c r="A1272" s="3" t="s">
        <v>1824</v>
      </c>
      <c r="B1272" s="3" t="s">
        <v>1825</v>
      </c>
      <c r="C1272" s="3">
        <f>VLOOKUP(B1272,LifeList!$E$2:$J$2038,6)</f>
        <v>35106</v>
      </c>
      <c r="D1272" s="3" t="str">
        <f>VLOOKUP(B1272,LifeList!$E$2:$G$2038,1)</f>
        <v>Flame-faced Tanager</v>
      </c>
      <c r="E1272" s="3" t="str">
        <f>VLOOKUP(B1272,LifeList!$E$2:$G$2038,2)</f>
        <v>Calliste à face rouge</v>
      </c>
      <c r="F1272" s="3" t="str">
        <f>VLOOKUP(B1272,LifeList!$E$2:$G$2038,3)</f>
        <v>Tangara parzudakii</v>
      </c>
      <c r="G1272" s="3" t="str">
        <f>VLOOKUP(B1272,LifeList!$E$2:$I$2038,4)</f>
        <v>Passeriformes</v>
      </c>
      <c r="H1272" s="3" t="str">
        <f>VLOOKUP(B1272,LifeList!$E$2:$I$2038,5)</f>
        <v>Thraupidae (Tanagers and Allies)</v>
      </c>
      <c r="I1272" s="3"/>
    </row>
    <row r="1273" spans="1:9" ht="10.5" customHeight="1">
      <c r="A1273" s="3" t="s">
        <v>1826</v>
      </c>
      <c r="B1273" s="3" t="s">
        <v>1827</v>
      </c>
      <c r="C1273" s="3">
        <f>VLOOKUP(B1273,LifeList!$E$2:$J$2038,6)</f>
        <v>34796</v>
      </c>
      <c r="D1273" s="3" t="str">
        <f>VLOOKUP(B1273,LifeList!$E$2:$G$2038,1)</f>
        <v>Flame-rumped Tanager</v>
      </c>
      <c r="E1273" s="3" t="str">
        <f>VLOOKUP(B1273,LifeList!$E$2:$G$2038,2)</f>
        <v>Tangara flamboyant</v>
      </c>
      <c r="F1273" s="3" t="str">
        <f>VLOOKUP(B1273,LifeList!$E$2:$G$2038,3)</f>
        <v>Ramphocelus flammigerus</v>
      </c>
      <c r="G1273" s="3" t="str">
        <f>VLOOKUP(B1273,LifeList!$E$2:$I$2038,4)</f>
        <v>Passeriformes</v>
      </c>
      <c r="H1273" s="3" t="str">
        <f>VLOOKUP(B1273,LifeList!$E$2:$I$2038,5)</f>
        <v>Thraupidae (Tanagers and Allies)</v>
      </c>
      <c r="I1273" s="3"/>
    </row>
    <row r="1274" spans="1:9" ht="10.5" customHeight="1">
      <c r="A1274" s="3" t="s">
        <v>1828</v>
      </c>
      <c r="B1274" s="3" t="s">
        <v>1827</v>
      </c>
      <c r="C1274" s="3">
        <f>VLOOKUP(B1274,LifeList!$E$2:$J$2038,6)</f>
        <v>34796</v>
      </c>
      <c r="D1274" s="3" t="str">
        <f>VLOOKUP(B1274,LifeList!$E$2:$G$2038,1)</f>
        <v>Flame-rumped Tanager</v>
      </c>
      <c r="E1274" s="3" t="str">
        <f>VLOOKUP(B1274,LifeList!$E$2:$G$2038,2)</f>
        <v>Tangara flamboyant</v>
      </c>
      <c r="F1274" s="3" t="str">
        <f>VLOOKUP(B1274,LifeList!$E$2:$G$2038,3)</f>
        <v>Ramphocelus flammigerus</v>
      </c>
      <c r="G1274" s="3" t="str">
        <f>VLOOKUP(B1274,LifeList!$E$2:$I$2038,4)</f>
        <v>Passeriformes</v>
      </c>
      <c r="H1274" s="3" t="str">
        <f>VLOOKUP(B1274,LifeList!$E$2:$I$2038,5)</f>
        <v>Thraupidae (Tanagers and Allies)</v>
      </c>
      <c r="I1274" s="3"/>
    </row>
    <row r="1275" spans="1:9" ht="10.5" customHeight="1">
      <c r="A1275" s="3" t="s">
        <v>1829</v>
      </c>
      <c r="B1275" s="3" t="s">
        <v>1827</v>
      </c>
      <c r="C1275" s="3">
        <f>VLOOKUP(B1275,LifeList!$E$2:$J$2038,6)</f>
        <v>34796</v>
      </c>
      <c r="D1275" s="3" t="str">
        <f>VLOOKUP(B1275,LifeList!$E$2:$G$2038,1)</f>
        <v>Flame-rumped Tanager</v>
      </c>
      <c r="E1275" s="3" t="str">
        <f>VLOOKUP(B1275,LifeList!$E$2:$G$2038,2)</f>
        <v>Tangara flamboyant</v>
      </c>
      <c r="F1275" s="3" t="str">
        <f>VLOOKUP(B1275,LifeList!$E$2:$G$2038,3)</f>
        <v>Ramphocelus flammigerus</v>
      </c>
      <c r="G1275" s="3" t="str">
        <f>VLOOKUP(B1275,LifeList!$E$2:$I$2038,4)</f>
        <v>Passeriformes</v>
      </c>
      <c r="H1275" s="3" t="str">
        <f>VLOOKUP(B1275,LifeList!$E$2:$I$2038,5)</f>
        <v>Thraupidae (Tanagers and Allies)</v>
      </c>
      <c r="I1275" s="3"/>
    </row>
    <row r="1276" spans="1:9" ht="10.5" customHeight="1">
      <c r="A1276" s="3" t="s">
        <v>1830</v>
      </c>
      <c r="B1276" s="3" t="s">
        <v>1827</v>
      </c>
      <c r="C1276" s="3">
        <f>VLOOKUP(B1276,LifeList!$E$2:$J$2038,6)</f>
        <v>34796</v>
      </c>
      <c r="D1276" s="3" t="str">
        <f>VLOOKUP(B1276,LifeList!$E$2:$G$2038,1)</f>
        <v>Flame-rumped Tanager</v>
      </c>
      <c r="E1276" s="3" t="str">
        <f>VLOOKUP(B1276,LifeList!$E$2:$G$2038,2)</f>
        <v>Tangara flamboyant</v>
      </c>
      <c r="F1276" s="3" t="str">
        <f>VLOOKUP(B1276,LifeList!$E$2:$G$2038,3)</f>
        <v>Ramphocelus flammigerus</v>
      </c>
      <c r="G1276" s="3" t="str">
        <f>VLOOKUP(B1276,LifeList!$E$2:$I$2038,4)</f>
        <v>Passeriformes</v>
      </c>
      <c r="H1276" s="3" t="str">
        <f>VLOOKUP(B1276,LifeList!$E$2:$I$2038,5)</f>
        <v>Thraupidae (Tanagers and Allies)</v>
      </c>
      <c r="I1276" s="3"/>
    </row>
    <row r="1277" spans="1:9" ht="10.5" customHeight="1">
      <c r="A1277" s="3" t="s">
        <v>1831</v>
      </c>
      <c r="B1277" s="3" t="s">
        <v>1832</v>
      </c>
      <c r="C1277" s="3">
        <f>VLOOKUP(B1277,LifeList!$E$2:$J$2038,6)</f>
        <v>33971</v>
      </c>
      <c r="D1277" s="3" t="str">
        <f>VLOOKUP(B1277,LifeList!$E$2:$G$2038,1)</f>
        <v>Flame-throated Warbler</v>
      </c>
      <c r="E1277" s="3" t="str">
        <f>VLOOKUP(B1277,LifeList!$E$2:$G$2038,2)</f>
        <v>Paruline embrasée</v>
      </c>
      <c r="F1277" s="3" t="str">
        <f>VLOOKUP(B1277,LifeList!$E$2:$G$2038,3)</f>
        <v>Oreothlypis gutturalis</v>
      </c>
      <c r="G1277" s="3" t="str">
        <f>VLOOKUP(B1277,LifeList!$E$2:$I$2038,4)</f>
        <v>Passeriformes</v>
      </c>
      <c r="H1277" s="3" t="str">
        <f>VLOOKUP(B1277,LifeList!$E$2:$I$2038,5)</f>
        <v>Parulidae (New World Warblers)</v>
      </c>
      <c r="I1277" s="3"/>
    </row>
    <row r="1278" spans="1:9" ht="10.5" customHeight="1">
      <c r="A1278" s="3" t="s">
        <v>1833</v>
      </c>
      <c r="B1278" s="3" t="s">
        <v>1832</v>
      </c>
      <c r="C1278" s="3">
        <f>VLOOKUP(B1278,LifeList!$E$2:$J$2038,6)</f>
        <v>33971</v>
      </c>
      <c r="D1278" s="3" t="str">
        <f>VLOOKUP(B1278,LifeList!$E$2:$G$2038,1)</f>
        <v>Flame-throated Warbler</v>
      </c>
      <c r="E1278" s="3" t="str">
        <f>VLOOKUP(B1278,LifeList!$E$2:$G$2038,2)</f>
        <v>Paruline embrasée</v>
      </c>
      <c r="F1278" s="3" t="str">
        <f>VLOOKUP(B1278,LifeList!$E$2:$G$2038,3)</f>
        <v>Oreothlypis gutturalis</v>
      </c>
      <c r="G1278" s="3" t="str">
        <f>VLOOKUP(B1278,LifeList!$E$2:$I$2038,4)</f>
        <v>Passeriformes</v>
      </c>
      <c r="H1278" s="3" t="str">
        <f>VLOOKUP(B1278,LifeList!$E$2:$I$2038,5)</f>
        <v>Parulidae (New World Warblers)</v>
      </c>
      <c r="I1278" s="3"/>
    </row>
    <row r="1279" spans="1:9" ht="10.5" customHeight="1">
      <c r="A1279" s="3" t="s">
        <v>1834</v>
      </c>
      <c r="B1279" s="3" t="s">
        <v>1832</v>
      </c>
      <c r="C1279" s="3">
        <f>VLOOKUP(B1279,LifeList!$E$2:$J$2038,6)</f>
        <v>33971</v>
      </c>
      <c r="D1279" s="3" t="str">
        <f>VLOOKUP(B1279,LifeList!$E$2:$G$2038,1)</f>
        <v>Flame-throated Warbler</v>
      </c>
      <c r="E1279" s="3" t="str">
        <f>VLOOKUP(B1279,LifeList!$E$2:$G$2038,2)</f>
        <v>Paruline embrasée</v>
      </c>
      <c r="F1279" s="3" t="str">
        <f>VLOOKUP(B1279,LifeList!$E$2:$G$2038,3)</f>
        <v>Oreothlypis gutturalis</v>
      </c>
      <c r="G1279" s="3" t="str">
        <f>VLOOKUP(B1279,LifeList!$E$2:$I$2038,4)</f>
        <v>Passeriformes</v>
      </c>
      <c r="H1279" s="3" t="str">
        <f>VLOOKUP(B1279,LifeList!$E$2:$I$2038,5)</f>
        <v>Parulidae (New World Warblers)</v>
      </c>
      <c r="I1279" s="3"/>
    </row>
    <row r="1280" spans="1:9" ht="10.5" customHeight="1">
      <c r="A1280" s="7" t="s">
        <v>1835</v>
      </c>
      <c r="B1280" s="8" t="s">
        <v>1836</v>
      </c>
      <c r="C1280" s="3">
        <f>VLOOKUP(B1280,LifeList!$E$2:$J$2038,6)</f>
        <v>34796</v>
      </c>
      <c r="D1280" s="3" t="str">
        <f>VLOOKUP(B1280,LifeList!$E$2:$G$2038,1)</f>
        <v>Flame-rumped Tanager</v>
      </c>
      <c r="E1280" s="3" t="str">
        <f>VLOOKUP(B1280,LifeList!$E$2:$G$2038,2)</f>
        <v>Tangara flamboyant</v>
      </c>
      <c r="F1280" s="3" t="str">
        <f>VLOOKUP(B1280,LifeList!$E$2:$G$2038,3)</f>
        <v>Ramphocelus flammigerus</v>
      </c>
      <c r="G1280" s="3" t="str">
        <f>VLOOKUP(B1280,LifeList!$E$2:$I$2038,4)</f>
        <v>Passeriformes</v>
      </c>
      <c r="H1280" s="3" t="str">
        <f>VLOOKUP(B1280,LifeList!$E$2:$I$2038,5)</f>
        <v>Thraupidae (Tanagers and Allies)</v>
      </c>
      <c r="I1280" s="3"/>
    </row>
    <row r="1281" spans="1:9" ht="10.5" customHeight="1">
      <c r="A1281" s="3" t="s">
        <v>1837</v>
      </c>
      <c r="B1281" s="3" t="s">
        <v>1838</v>
      </c>
      <c r="C1281" s="3">
        <f>VLOOKUP(B1281,LifeList!$E$2:$J$2038,6)</f>
        <v>29648</v>
      </c>
      <c r="D1281" s="3" t="str">
        <f>VLOOKUP(B1281,LifeList!$E$2:$G$2038,1)</f>
        <v>Forest Rock-Thrush</v>
      </c>
      <c r="E1281" s="3" t="str">
        <f>VLOOKUP(B1281,LifeList!$E$2:$G$2038,2)</f>
        <v>Monticole de forêt</v>
      </c>
      <c r="F1281" s="3" t="str">
        <f>VLOOKUP(B1281,LifeList!$E$2:$G$2038,3)</f>
        <v>Monticola sharpei</v>
      </c>
      <c r="G1281" s="3" t="str">
        <f>VLOOKUP(B1281,LifeList!$E$2:$I$2038,4)</f>
        <v>Passeriformes</v>
      </c>
      <c r="H1281" s="3" t="str">
        <f>VLOOKUP(B1281,LifeList!$E$2:$I$2038,5)</f>
        <v>Muscicapidae (Old World Flycatchers)</v>
      </c>
      <c r="I1281" s="3"/>
    </row>
    <row r="1282" spans="1:9" ht="10.5" customHeight="1">
      <c r="A1282" s="3" t="s">
        <v>1839</v>
      </c>
      <c r="B1282" s="3" t="s">
        <v>1840</v>
      </c>
      <c r="C1282" s="3">
        <f>VLOOKUP(B1282,LifeList!$E$2:$J$2038,6)</f>
        <v>20415</v>
      </c>
      <c r="D1282" s="3" t="str">
        <f>VLOOKUP(B1282,LifeList!$E$2:$G$2038,1)</f>
        <v>Fork-tailed Drongo</v>
      </c>
      <c r="E1282" s="3" t="str">
        <f>VLOOKUP(B1282,LifeList!$E$2:$G$2038,2)</f>
        <v>Drongo brillant</v>
      </c>
      <c r="F1282" s="3" t="str">
        <f>VLOOKUP(B1282,LifeList!$E$2:$G$2038,3)</f>
        <v>Dicrurus adsimilis</v>
      </c>
      <c r="G1282" s="3" t="str">
        <f>VLOOKUP(B1282,LifeList!$E$2:$I$2038,4)</f>
        <v>Passeriformes</v>
      </c>
      <c r="H1282" s="3" t="str">
        <f>VLOOKUP(B1282,LifeList!$E$2:$I$2038,5)</f>
        <v>Dicruridae (Drongos)</v>
      </c>
      <c r="I1282" s="3"/>
    </row>
    <row r="1283" spans="1:9" ht="10.5" customHeight="1">
      <c r="A1283" s="3" t="s">
        <v>1841</v>
      </c>
      <c r="B1283" s="3" t="s">
        <v>1840</v>
      </c>
      <c r="C1283" s="3">
        <f>VLOOKUP(B1283,LifeList!$E$2:$J$2038,6)</f>
        <v>20415</v>
      </c>
      <c r="D1283" s="3" t="str">
        <f>VLOOKUP(B1283,LifeList!$E$2:$G$2038,1)</f>
        <v>Fork-tailed Drongo</v>
      </c>
      <c r="E1283" s="3" t="str">
        <f>VLOOKUP(B1283,LifeList!$E$2:$G$2038,2)</f>
        <v>Drongo brillant</v>
      </c>
      <c r="F1283" s="3" t="str">
        <f>VLOOKUP(B1283,LifeList!$E$2:$G$2038,3)</f>
        <v>Dicrurus adsimilis</v>
      </c>
      <c r="G1283" s="3" t="str">
        <f>VLOOKUP(B1283,LifeList!$E$2:$I$2038,4)</f>
        <v>Passeriformes</v>
      </c>
      <c r="H1283" s="3" t="str">
        <f>VLOOKUP(B1283,LifeList!$E$2:$I$2038,5)</f>
        <v>Dicruridae (Drongos)</v>
      </c>
      <c r="I1283" s="3"/>
    </row>
    <row r="1284" spans="1:9" ht="10.5" customHeight="1">
      <c r="A1284" s="3" t="s">
        <v>1842</v>
      </c>
      <c r="B1284" s="3" t="s">
        <v>1840</v>
      </c>
      <c r="C1284" s="3">
        <f>VLOOKUP(B1284,LifeList!$E$2:$J$2038,6)</f>
        <v>20415</v>
      </c>
      <c r="D1284" s="3" t="str">
        <f>VLOOKUP(B1284,LifeList!$E$2:$G$2038,1)</f>
        <v>Fork-tailed Drongo</v>
      </c>
      <c r="E1284" s="3" t="str">
        <f>VLOOKUP(B1284,LifeList!$E$2:$G$2038,2)</f>
        <v>Drongo brillant</v>
      </c>
      <c r="F1284" s="3" t="str">
        <f>VLOOKUP(B1284,LifeList!$E$2:$G$2038,3)</f>
        <v>Dicrurus adsimilis</v>
      </c>
      <c r="G1284" s="3" t="str">
        <f>VLOOKUP(B1284,LifeList!$E$2:$I$2038,4)</f>
        <v>Passeriformes</v>
      </c>
      <c r="H1284" s="3" t="str">
        <f>VLOOKUP(B1284,LifeList!$E$2:$I$2038,5)</f>
        <v>Dicruridae (Drongos)</v>
      </c>
      <c r="I1284" s="3"/>
    </row>
    <row r="1285" spans="1:9" ht="10.5" customHeight="1">
      <c r="A1285" s="3" t="s">
        <v>1843</v>
      </c>
      <c r="B1285" s="3" t="s">
        <v>1844</v>
      </c>
      <c r="C1285" s="3">
        <f>VLOOKUP(B1285,LifeList!$E$2:$J$2038,6)</f>
        <v>17494</v>
      </c>
      <c r="D1285" s="3" t="str">
        <f>VLOOKUP(B1285,LifeList!$E$2:$G$2038,1)</f>
        <v>Fork-tailed Flycatcher</v>
      </c>
      <c r="E1285" s="3" t="str">
        <f>VLOOKUP(B1285,LifeList!$E$2:$G$2038,2)</f>
        <v>Tyran des savanes</v>
      </c>
      <c r="F1285" s="3" t="str">
        <f>VLOOKUP(B1285,LifeList!$E$2:$G$2038,3)</f>
        <v>Tyrannus savana</v>
      </c>
      <c r="G1285" s="3" t="str">
        <f>VLOOKUP(B1285,LifeList!$E$2:$I$2038,4)</f>
        <v>Passeriformes</v>
      </c>
      <c r="H1285" s="3" t="str">
        <f>VLOOKUP(B1285,LifeList!$E$2:$I$2038,5)</f>
        <v>Tyrannidae (Tyrant Flycatchers)</v>
      </c>
      <c r="I1285" s="3"/>
    </row>
    <row r="1286" spans="1:9" ht="10.5" customHeight="1">
      <c r="A1286" s="3" t="s">
        <v>1845</v>
      </c>
      <c r="B1286" s="3" t="s">
        <v>1844</v>
      </c>
      <c r="C1286" s="3">
        <f>VLOOKUP(B1286,LifeList!$E$2:$J$2038,6)</f>
        <v>17494</v>
      </c>
      <c r="D1286" s="3" t="str">
        <f>VLOOKUP(B1286,LifeList!$E$2:$G$2038,1)</f>
        <v>Fork-tailed Flycatcher</v>
      </c>
      <c r="E1286" s="3" t="str">
        <f>VLOOKUP(B1286,LifeList!$E$2:$G$2038,2)</f>
        <v>Tyran des savanes</v>
      </c>
      <c r="F1286" s="3" t="str">
        <f>VLOOKUP(B1286,LifeList!$E$2:$G$2038,3)</f>
        <v>Tyrannus savana</v>
      </c>
      <c r="G1286" s="3" t="str">
        <f>VLOOKUP(B1286,LifeList!$E$2:$I$2038,4)</f>
        <v>Passeriformes</v>
      </c>
      <c r="H1286" s="3" t="str">
        <f>VLOOKUP(B1286,LifeList!$E$2:$I$2038,5)</f>
        <v>Tyrannidae (Tyrant Flycatchers)</v>
      </c>
      <c r="I1286" s="3"/>
    </row>
    <row r="1287" spans="1:9" ht="10.5" customHeight="1">
      <c r="A1287" s="3" t="s">
        <v>1846</v>
      </c>
      <c r="B1287" s="3" t="s">
        <v>1847</v>
      </c>
      <c r="C1287" s="3">
        <f>VLOOKUP(B1287,LifeList!$E$2:$J$2038,6)</f>
        <v>6731</v>
      </c>
      <c r="D1287" s="3" t="str">
        <f>VLOOKUP(B1287,LifeList!$E$2:$G$2038,1)</f>
        <v>Forster's Tern</v>
      </c>
      <c r="E1287" s="3" t="str">
        <f>VLOOKUP(B1287,LifeList!$E$2:$G$2038,2)</f>
        <v>Sterne de Forster</v>
      </c>
      <c r="F1287" s="3" t="str">
        <f>VLOOKUP(B1287,LifeList!$E$2:$G$2038,3)</f>
        <v>Sterna forsteri</v>
      </c>
      <c r="G1287" s="3" t="str">
        <f>VLOOKUP(B1287,LifeList!$E$2:$I$2038,4)</f>
        <v>Charadriiformes</v>
      </c>
      <c r="H1287" s="3" t="str">
        <f>VLOOKUP(B1287,LifeList!$E$2:$I$2038,5)</f>
        <v>Laridae (Gulls, Terns, and Skimmers)</v>
      </c>
      <c r="I1287" s="3"/>
    </row>
    <row r="1288" spans="1:9" ht="10.5" customHeight="1">
      <c r="A1288" s="3" t="s">
        <v>1848</v>
      </c>
      <c r="B1288" s="3" t="s">
        <v>1847</v>
      </c>
      <c r="C1288" s="3">
        <f>VLOOKUP(B1288,LifeList!$E$2:$J$2038,6)</f>
        <v>6731</v>
      </c>
      <c r="D1288" s="3" t="str">
        <f>VLOOKUP(B1288,LifeList!$E$2:$G$2038,1)</f>
        <v>Forster's Tern</v>
      </c>
      <c r="E1288" s="3" t="str">
        <f>VLOOKUP(B1288,LifeList!$E$2:$G$2038,2)</f>
        <v>Sterne de Forster</v>
      </c>
      <c r="F1288" s="3" t="str">
        <f>VLOOKUP(B1288,LifeList!$E$2:$G$2038,3)</f>
        <v>Sterna forsteri</v>
      </c>
      <c r="G1288" s="3" t="str">
        <f>VLOOKUP(B1288,LifeList!$E$2:$I$2038,4)</f>
        <v>Charadriiformes</v>
      </c>
      <c r="H1288" s="3" t="str">
        <f>VLOOKUP(B1288,LifeList!$E$2:$I$2038,5)</f>
        <v>Laridae (Gulls, Terns, and Skimmers)</v>
      </c>
      <c r="I1288" s="3"/>
    </row>
    <row r="1289" spans="1:9" ht="10.5" customHeight="1">
      <c r="A1289" s="5" t="s">
        <v>1849</v>
      </c>
      <c r="B1289" s="3" t="s">
        <v>1850</v>
      </c>
      <c r="C1289" s="6">
        <f>VLOOKUP(B1289,LifeList!$E$2:$J$2038,6)</f>
        <v>18231</v>
      </c>
      <c r="D1289" s="3" t="str">
        <f>VLOOKUP(B1289,LifeList!$E$2:$G$2038,1)</f>
        <v>Forty-spotted Pardalote</v>
      </c>
      <c r="E1289" s="3" t="str">
        <f>VLOOKUP(B1289,LifeList!$E$2:$G$2038,2)</f>
        <v>Pardalote de Tasmanie</v>
      </c>
      <c r="F1289" s="3" t="str">
        <f>VLOOKUP(B1289,LifeList!$E$2:$G$2038,3)</f>
        <v>Pardalotus quadragintus</v>
      </c>
      <c r="G1289" s="3" t="str">
        <f>VLOOKUP(B1289,LifeList!$E$2:$I$2038,4)</f>
        <v>Passeriformes</v>
      </c>
      <c r="H1289" s="3" t="str">
        <f>VLOOKUP(B1289,LifeList!$E$2:$I$2038,5)</f>
        <v>Pardalotidae (Pardalotes)</v>
      </c>
      <c r="I1289" s="3"/>
    </row>
    <row r="1290" spans="1:9" ht="10.5" customHeight="1">
      <c r="A1290" s="5" t="s">
        <v>1851</v>
      </c>
      <c r="B1290" s="3" t="s">
        <v>1852</v>
      </c>
      <c r="C1290" s="3">
        <f>VLOOKUP(B1290,LifeList!$E$2:$J$2038,6)</f>
        <v>33099</v>
      </c>
      <c r="D1290" s="3" t="str">
        <f>VLOOKUP(B1290,LifeList!$E$2:$G$2038,1)</f>
        <v>Fox Sparrow</v>
      </c>
      <c r="E1290" s="3" t="str">
        <f>VLOOKUP(B1290,LifeList!$E$2:$G$2038,2)</f>
        <v>Bruant fauve</v>
      </c>
      <c r="F1290" s="3" t="str">
        <f>VLOOKUP(B1290,LifeList!$E$2:$G$2038,3)</f>
        <v>Passerella iliaca</v>
      </c>
      <c r="G1290" s="3" t="str">
        <f>VLOOKUP(B1290,LifeList!$E$2:$I$2038,4)</f>
        <v>Passeriformes</v>
      </c>
      <c r="H1290" s="3" t="str">
        <f>VLOOKUP(B1290,LifeList!$E$2:$I$2038,5)</f>
        <v>Passerellidae (New World Sparrows)</v>
      </c>
      <c r="I1290" s="3"/>
    </row>
    <row r="1291" spans="1:9" ht="10.5" customHeight="1">
      <c r="A1291" s="3" t="s">
        <v>1853</v>
      </c>
      <c r="B1291" s="3" t="s">
        <v>1854</v>
      </c>
      <c r="C1291" s="3">
        <f>VLOOKUP(B1291,LifeList!$E$2:$J$2038,6)</f>
        <v>33099</v>
      </c>
      <c r="D1291" s="3" t="str">
        <f>VLOOKUP(B1291,LifeList!$E$2:$G$2038,1)</f>
        <v>Fox Sparrow</v>
      </c>
      <c r="E1291" s="3" t="str">
        <f>VLOOKUP(B1291,LifeList!$E$2:$G$2038,2)</f>
        <v>Bruant fauve</v>
      </c>
      <c r="F1291" s="3" t="str">
        <f>VLOOKUP(B1291,LifeList!$E$2:$G$2038,3)</f>
        <v>Passerella iliaca</v>
      </c>
      <c r="G1291" s="3" t="str">
        <f>VLOOKUP(B1291,LifeList!$E$2:$I$2038,4)</f>
        <v>Passeriformes</v>
      </c>
      <c r="H1291" s="3" t="str">
        <f>VLOOKUP(B1291,LifeList!$E$2:$I$2038,5)</f>
        <v>Passerellidae (New World Sparrows)</v>
      </c>
      <c r="I1291" s="3"/>
    </row>
    <row r="1292" spans="1:9" ht="10.5" customHeight="1">
      <c r="A1292" s="3" t="s">
        <v>1855</v>
      </c>
      <c r="B1292" s="3" t="s">
        <v>1854</v>
      </c>
      <c r="C1292" s="3">
        <f>VLOOKUP(B1292,LifeList!$E$2:$J$2038,6)</f>
        <v>33099</v>
      </c>
      <c r="D1292" s="3" t="str">
        <f>VLOOKUP(B1292,LifeList!$E$2:$G$2038,1)</f>
        <v>Fox Sparrow</v>
      </c>
      <c r="E1292" s="3" t="str">
        <f>VLOOKUP(B1292,LifeList!$E$2:$G$2038,2)</f>
        <v>Bruant fauve</v>
      </c>
      <c r="F1292" s="3" t="str">
        <f>VLOOKUP(B1292,LifeList!$E$2:$G$2038,3)</f>
        <v>Passerella iliaca</v>
      </c>
      <c r="G1292" s="3" t="str">
        <f>VLOOKUP(B1292,LifeList!$E$2:$I$2038,4)</f>
        <v>Passeriformes</v>
      </c>
      <c r="H1292" s="3" t="str">
        <f>VLOOKUP(B1292,LifeList!$E$2:$I$2038,5)</f>
        <v>Passerellidae (New World Sparrows)</v>
      </c>
      <c r="I1292" s="3"/>
    </row>
    <row r="1293" spans="1:9" ht="10.5" customHeight="1">
      <c r="A1293" s="3" t="s">
        <v>1856</v>
      </c>
      <c r="B1293" s="3" t="s">
        <v>1857</v>
      </c>
      <c r="C1293" s="3">
        <f>VLOOKUP(B1293,LifeList!$E$2:$J$2038,6)</f>
        <v>8179</v>
      </c>
      <c r="D1293" s="3" t="str">
        <f>VLOOKUP(B1293,LifeList!$E$2:$G$2038,1)</f>
        <v>Frances's Sparrowhawk</v>
      </c>
      <c r="E1293" s="3" t="str">
        <f>VLOOKUP(B1293,LifeList!$E$2:$G$2038,2)</f>
        <v>Épervier de Frances</v>
      </c>
      <c r="F1293" s="3" t="str">
        <f>VLOOKUP(B1293,LifeList!$E$2:$G$2038,3)</f>
        <v>Tachyspiza francesiae</v>
      </c>
      <c r="G1293" s="3" t="str">
        <f>VLOOKUP(B1293,LifeList!$E$2:$I$2038,4)</f>
        <v>Accipitriformes</v>
      </c>
      <c r="H1293" s="3" t="str">
        <f>VLOOKUP(B1293,LifeList!$E$2:$I$2038,5)</f>
        <v>Accipitridae (Hawks, Eagles, and Kites)</v>
      </c>
      <c r="I1293" s="3"/>
    </row>
    <row r="1294" spans="1:9" ht="10.5" customHeight="1">
      <c r="A1294" s="7" t="s">
        <v>1858</v>
      </c>
      <c r="B1294" s="9" t="s">
        <v>1859</v>
      </c>
      <c r="C1294" s="3">
        <f>VLOOKUP(B1294,LifeList!$E$2:$J$2038,6)</f>
        <v>375</v>
      </c>
      <c r="D1294" s="3" t="str">
        <f>VLOOKUP(B1294,LifeList!$E$2:$G$2038,1)</f>
        <v>Freckled Duck</v>
      </c>
      <c r="E1294" s="3" t="str">
        <f>VLOOKUP(B1294,LifeList!$E$2:$G$2038,2)</f>
        <v>Stictonette tachetée</v>
      </c>
      <c r="F1294" s="3" t="str">
        <f>VLOOKUP(B1294,LifeList!$E$2:$G$2038,3)</f>
        <v>Stictonetta naevosa</v>
      </c>
      <c r="G1294" s="3" t="str">
        <f>VLOOKUP(B1294,LifeList!$E$2:$I$2038,4)</f>
        <v>Anseriformes</v>
      </c>
      <c r="H1294" s="3" t="str">
        <f>VLOOKUP(B1294,LifeList!$E$2:$I$2038,5)</f>
        <v>Anatidae (Ducks, Geese, and Waterfowl)</v>
      </c>
      <c r="I1294" s="3"/>
    </row>
    <row r="1295" spans="1:9" ht="10.5" customHeight="1">
      <c r="A1295" s="7" t="s">
        <v>1860</v>
      </c>
      <c r="B1295" s="9" t="s">
        <v>1859</v>
      </c>
      <c r="C1295" s="3">
        <f>VLOOKUP(B1295,LifeList!$E$2:$J$2038,6)</f>
        <v>375</v>
      </c>
      <c r="D1295" s="3" t="str">
        <f>VLOOKUP(B1295,LifeList!$E$2:$G$2038,1)</f>
        <v>Freckled Duck</v>
      </c>
      <c r="E1295" s="3" t="str">
        <f>VLOOKUP(B1295,LifeList!$E$2:$G$2038,2)</f>
        <v>Stictonette tachetée</v>
      </c>
      <c r="F1295" s="3" t="str">
        <f>VLOOKUP(B1295,LifeList!$E$2:$G$2038,3)</f>
        <v>Stictonetta naevosa</v>
      </c>
      <c r="G1295" s="3" t="str">
        <f>VLOOKUP(B1295,LifeList!$E$2:$I$2038,4)</f>
        <v>Anseriformes</v>
      </c>
      <c r="H1295" s="3" t="str">
        <f>VLOOKUP(B1295,LifeList!$E$2:$I$2038,5)</f>
        <v>Anatidae (Ducks, Geese, and Waterfowl)</v>
      </c>
      <c r="I1295" s="3"/>
    </row>
    <row r="1296" spans="1:9" ht="10.5" customHeight="1">
      <c r="A1296" s="3" t="s">
        <v>1861</v>
      </c>
      <c r="B1296" s="3" t="s">
        <v>1862</v>
      </c>
      <c r="C1296" s="3">
        <f>VLOOKUP(B1296,LifeList!$E$2:$J$2038,6)</f>
        <v>249</v>
      </c>
      <c r="D1296" s="3" t="str">
        <f>VLOOKUP(B1296,LifeList!$E$2:$G$2038,1)</f>
        <v>Fulvous Whistling-Duck</v>
      </c>
      <c r="E1296" s="3" t="str">
        <f>VLOOKUP(B1296,LifeList!$E$2:$G$2038,2)</f>
        <v>Dendrocygne fauve</v>
      </c>
      <c r="F1296" s="3" t="str">
        <f>VLOOKUP(B1296,LifeList!$E$2:$G$2038,3)</f>
        <v>Dendrocygna bicolor</v>
      </c>
      <c r="G1296" s="3" t="str">
        <f>VLOOKUP(B1296,LifeList!$E$2:$I$2038,4)</f>
        <v>Anseriformes</v>
      </c>
      <c r="H1296" s="3" t="str">
        <f>VLOOKUP(B1296,LifeList!$E$2:$I$2038,5)</f>
        <v>Anatidae (Ducks, Geese, and Waterfowl)</v>
      </c>
      <c r="I1296" s="3"/>
    </row>
    <row r="1297" spans="1:9" ht="10.5" customHeight="1">
      <c r="A1297" s="3" t="s">
        <v>1863</v>
      </c>
      <c r="B1297" s="3" t="s">
        <v>1862</v>
      </c>
      <c r="C1297" s="3">
        <f>VLOOKUP(B1297,LifeList!$E$2:$J$2038,6)</f>
        <v>249</v>
      </c>
      <c r="D1297" s="3" t="str">
        <f>VLOOKUP(B1297,LifeList!$E$2:$G$2038,1)</f>
        <v>Fulvous Whistling-Duck</v>
      </c>
      <c r="E1297" s="3" t="str">
        <f>VLOOKUP(B1297,LifeList!$E$2:$G$2038,2)</f>
        <v>Dendrocygne fauve</v>
      </c>
      <c r="F1297" s="3" t="str">
        <f>VLOOKUP(B1297,LifeList!$E$2:$G$2038,3)</f>
        <v>Dendrocygna bicolor</v>
      </c>
      <c r="G1297" s="3" t="str">
        <f>VLOOKUP(B1297,LifeList!$E$2:$I$2038,4)</f>
        <v>Anseriformes</v>
      </c>
      <c r="H1297" s="3" t="str">
        <f>VLOOKUP(B1297,LifeList!$E$2:$I$2038,5)</f>
        <v>Anatidae (Ducks, Geese, and Waterfowl)</v>
      </c>
      <c r="I1297" s="3"/>
    </row>
    <row r="1298" spans="1:9" ht="10.5" customHeight="1">
      <c r="A1298" s="3" t="s">
        <v>1864</v>
      </c>
      <c r="B1298" s="3" t="s">
        <v>1865</v>
      </c>
      <c r="C1298" s="3">
        <f>VLOOKUP(B1298,LifeList!$E$2:$J$2038,6)</f>
        <v>32045</v>
      </c>
      <c r="D1298" s="3" t="str">
        <f>VLOOKUP(B1298,LifeList!$E$2:$G$2038,1)</f>
        <v>Fulvous-vented Euphonia</v>
      </c>
      <c r="E1298" s="3" t="str">
        <f>VLOOKUP(B1298,LifeList!$E$2:$G$2038,2)</f>
        <v>Organiste cul-roux</v>
      </c>
      <c r="F1298" s="3" t="str">
        <f>VLOOKUP(B1298,LifeList!$E$2:$G$2038,3)</f>
        <v>Euphonia fulvicrissa</v>
      </c>
      <c r="G1298" s="3" t="str">
        <f>VLOOKUP(B1298,LifeList!$E$2:$I$2038,4)</f>
        <v>Passeriformes</v>
      </c>
      <c r="H1298" s="3" t="str">
        <f>VLOOKUP(B1298,LifeList!$E$2:$I$2038,5)</f>
        <v>Fringillidae (Finches, Euphonias, and Allies)</v>
      </c>
      <c r="I1298" s="3"/>
    </row>
    <row r="1299" spans="1:9" ht="10.5" customHeight="1">
      <c r="A1299" s="3" t="s">
        <v>1866</v>
      </c>
      <c r="B1299" s="3" t="s">
        <v>1867</v>
      </c>
      <c r="C1299" s="3">
        <f>VLOOKUP(B1299,LifeList!$E$2:$J$2038,6)</f>
        <v>20117</v>
      </c>
      <c r="D1299" s="3" t="str">
        <f>VLOOKUP(B1299,LifeList!$E$2:$G$2038,1)</f>
        <v>Gabon Boubou</v>
      </c>
      <c r="E1299" s="3" t="str">
        <f>VLOOKUP(B1299,LifeList!$E$2:$G$2038,2)</f>
        <v>Gonolek à ventre blanc</v>
      </c>
      <c r="F1299" s="3" t="str">
        <f>VLOOKUP(B1299,LifeList!$E$2:$G$2038,3)</f>
        <v>Laniarius bicolor</v>
      </c>
      <c r="G1299" s="3" t="str">
        <f>VLOOKUP(B1299,LifeList!$E$2:$I$2038,4)</f>
        <v>Passeriformes</v>
      </c>
      <c r="H1299" s="3" t="str">
        <f>VLOOKUP(B1299,LifeList!$E$2:$I$2038,5)</f>
        <v>Malaconotidae (Bushshrikes and Allies)</v>
      </c>
      <c r="I1299" s="3"/>
    </row>
    <row r="1300" spans="1:9" ht="10.5" customHeight="1">
      <c r="A1300" s="3" t="s">
        <v>1868</v>
      </c>
      <c r="B1300" s="3" t="s">
        <v>1869</v>
      </c>
      <c r="C1300" s="3">
        <f>VLOOKUP(B1300,LifeList!$E$2:$J$2038,6)</f>
        <v>505</v>
      </c>
      <c r="D1300" s="3" t="str">
        <f>VLOOKUP(B1300,LifeList!$E$2:$G$2038,1)</f>
        <v>Gadwall</v>
      </c>
      <c r="E1300" s="3" t="str">
        <f>VLOOKUP(B1300,LifeList!$E$2:$G$2038,2)</f>
        <v>Canard chipeau</v>
      </c>
      <c r="F1300" s="3" t="str">
        <f>VLOOKUP(B1300,LifeList!$E$2:$G$2038,3)</f>
        <v>Mareca strepera</v>
      </c>
      <c r="G1300" s="3" t="str">
        <f>VLOOKUP(B1300,LifeList!$E$2:$I$2038,4)</f>
        <v>Anseriformes</v>
      </c>
      <c r="H1300" s="3" t="str">
        <f>VLOOKUP(B1300,LifeList!$E$2:$I$2038,5)</f>
        <v>Anatidae (Ducks, Geese, and Waterfowl)</v>
      </c>
      <c r="I1300" s="3"/>
    </row>
    <row r="1301" spans="1:9" ht="10.5" customHeight="1">
      <c r="A1301" s="3" t="s">
        <v>1870</v>
      </c>
      <c r="B1301" s="3" t="s">
        <v>1869</v>
      </c>
      <c r="C1301" s="3">
        <f>VLOOKUP(B1301,LifeList!$E$2:$J$2038,6)</f>
        <v>505</v>
      </c>
      <c r="D1301" s="3" t="str">
        <f>VLOOKUP(B1301,LifeList!$E$2:$G$2038,1)</f>
        <v>Gadwall</v>
      </c>
      <c r="E1301" s="3" t="str">
        <f>VLOOKUP(B1301,LifeList!$E$2:$G$2038,2)</f>
        <v>Canard chipeau</v>
      </c>
      <c r="F1301" s="3" t="str">
        <f>VLOOKUP(B1301,LifeList!$E$2:$G$2038,3)</f>
        <v>Mareca strepera</v>
      </c>
      <c r="G1301" s="3" t="str">
        <f>VLOOKUP(B1301,LifeList!$E$2:$I$2038,4)</f>
        <v>Anseriformes</v>
      </c>
      <c r="H1301" s="3" t="str">
        <f>VLOOKUP(B1301,LifeList!$E$2:$I$2038,5)</f>
        <v>Anatidae (Ducks, Geese, and Waterfowl)</v>
      </c>
      <c r="I1301" s="3"/>
    </row>
    <row r="1302" spans="1:9" ht="10.5" customHeight="1">
      <c r="A1302" s="3" t="s">
        <v>1871</v>
      </c>
      <c r="B1302" s="3" t="s">
        <v>1869</v>
      </c>
      <c r="C1302" s="3">
        <f>VLOOKUP(B1302,LifeList!$E$2:$J$2038,6)</f>
        <v>505</v>
      </c>
      <c r="D1302" s="3" t="str">
        <f>VLOOKUP(B1302,LifeList!$E$2:$G$2038,1)</f>
        <v>Gadwall</v>
      </c>
      <c r="E1302" s="3" t="str">
        <f>VLOOKUP(B1302,LifeList!$E$2:$G$2038,2)</f>
        <v>Canard chipeau</v>
      </c>
      <c r="F1302" s="3" t="str">
        <f>VLOOKUP(B1302,LifeList!$E$2:$G$2038,3)</f>
        <v>Mareca strepera</v>
      </c>
      <c r="G1302" s="3" t="str">
        <f>VLOOKUP(B1302,LifeList!$E$2:$I$2038,4)</f>
        <v>Anseriformes</v>
      </c>
      <c r="H1302" s="3" t="str">
        <f>VLOOKUP(B1302,LifeList!$E$2:$I$2038,5)</f>
        <v>Anatidae (Ducks, Geese, and Waterfowl)</v>
      </c>
      <c r="I1302" s="3"/>
    </row>
    <row r="1303" spans="1:9" ht="10.5" customHeight="1">
      <c r="A1303" s="3" t="s">
        <v>1872</v>
      </c>
      <c r="B1303" s="3" t="s">
        <v>1869</v>
      </c>
      <c r="C1303" s="3">
        <f>VLOOKUP(B1303,LifeList!$E$2:$J$2038,6)</f>
        <v>505</v>
      </c>
      <c r="D1303" s="3" t="str">
        <f>VLOOKUP(B1303,LifeList!$E$2:$G$2038,1)</f>
        <v>Gadwall</v>
      </c>
      <c r="E1303" s="3" t="str">
        <f>VLOOKUP(B1303,LifeList!$E$2:$G$2038,2)</f>
        <v>Canard chipeau</v>
      </c>
      <c r="F1303" s="3" t="str">
        <f>VLOOKUP(B1303,LifeList!$E$2:$G$2038,3)</f>
        <v>Mareca strepera</v>
      </c>
      <c r="G1303" s="3" t="str">
        <f>VLOOKUP(B1303,LifeList!$E$2:$I$2038,4)</f>
        <v>Anseriformes</v>
      </c>
      <c r="H1303" s="3" t="str">
        <f>VLOOKUP(B1303,LifeList!$E$2:$I$2038,5)</f>
        <v>Anatidae (Ducks, Geese, and Waterfowl)</v>
      </c>
      <c r="I1303" s="3"/>
    </row>
    <row r="1304" spans="1:9" ht="10.5" customHeight="1">
      <c r="A1304" s="3" t="s">
        <v>1873</v>
      </c>
      <c r="B1304" s="3" t="s">
        <v>1874</v>
      </c>
      <c r="C1304" s="3">
        <f>VLOOKUP(B1304,LifeList!$E$2:$J$2038,6)</f>
        <v>12176</v>
      </c>
      <c r="D1304" s="3" t="str">
        <f>VLOOKUP(B1304,LifeList!$E$2:$G$2038,1)</f>
        <v>Galah</v>
      </c>
      <c r="E1304" s="3" t="str">
        <f>VLOOKUP(B1304,LifeList!$E$2:$G$2038,2)</f>
        <v>Cacatoès rosalbin</v>
      </c>
      <c r="F1304" s="3" t="str">
        <f>VLOOKUP(B1304,LifeList!$E$2:$G$2038,3)</f>
        <v>Eolophus roseicapilla</v>
      </c>
      <c r="G1304" s="3" t="str">
        <f>VLOOKUP(B1304,LifeList!$E$2:$I$2038,4)</f>
        <v>Psittaciformes</v>
      </c>
      <c r="H1304" s="3" t="str">
        <f>VLOOKUP(B1304,LifeList!$E$2:$I$2038,5)</f>
        <v>Cacatuidae (Cockatoos)</v>
      </c>
      <c r="I1304" s="3"/>
    </row>
    <row r="1305" spans="1:9" ht="10.5" customHeight="1">
      <c r="A1305" s="3" t="s">
        <v>1875</v>
      </c>
      <c r="B1305" s="3" t="s">
        <v>1874</v>
      </c>
      <c r="C1305" s="3">
        <f>VLOOKUP(B1305,LifeList!$E$2:$J$2038,6)</f>
        <v>12176</v>
      </c>
      <c r="D1305" s="3" t="str">
        <f>VLOOKUP(B1305,LifeList!$E$2:$G$2038,1)</f>
        <v>Galah</v>
      </c>
      <c r="E1305" s="3" t="str">
        <f>VLOOKUP(B1305,LifeList!$E$2:$G$2038,2)</f>
        <v>Cacatoès rosalbin</v>
      </c>
      <c r="F1305" s="3" t="str">
        <f>VLOOKUP(B1305,LifeList!$E$2:$G$2038,3)</f>
        <v>Eolophus roseicapilla</v>
      </c>
      <c r="G1305" s="3" t="str">
        <f>VLOOKUP(B1305,LifeList!$E$2:$I$2038,4)</f>
        <v>Psittaciformes</v>
      </c>
      <c r="H1305" s="3" t="str">
        <f>VLOOKUP(B1305,LifeList!$E$2:$I$2038,5)</f>
        <v>Cacatuidae (Cockatoos)</v>
      </c>
      <c r="I1305" s="3"/>
    </row>
    <row r="1306" spans="1:9" ht="10.5" customHeight="1">
      <c r="A1306" s="3" t="s">
        <v>1876</v>
      </c>
      <c r="B1306" s="3" t="s">
        <v>1874</v>
      </c>
      <c r="C1306" s="3">
        <f>VLOOKUP(B1306,LifeList!$E$2:$J$2038,6)</f>
        <v>12176</v>
      </c>
      <c r="D1306" s="3" t="str">
        <f>VLOOKUP(B1306,LifeList!$E$2:$G$2038,1)</f>
        <v>Galah</v>
      </c>
      <c r="E1306" s="3" t="str">
        <f>VLOOKUP(B1306,LifeList!$E$2:$G$2038,2)</f>
        <v>Cacatoès rosalbin</v>
      </c>
      <c r="F1306" s="3" t="str">
        <f>VLOOKUP(B1306,LifeList!$E$2:$G$2038,3)</f>
        <v>Eolophus roseicapilla</v>
      </c>
      <c r="G1306" s="3" t="str">
        <f>VLOOKUP(B1306,LifeList!$E$2:$I$2038,4)</f>
        <v>Psittaciformes</v>
      </c>
      <c r="H1306" s="3" t="str">
        <f>VLOOKUP(B1306,LifeList!$E$2:$I$2038,5)</f>
        <v>Cacatuidae (Cockatoos)</v>
      </c>
      <c r="I1306" s="3"/>
    </row>
    <row r="1307" spans="1:9" ht="10.5" customHeight="1">
      <c r="A1307" s="3" t="s">
        <v>1877</v>
      </c>
      <c r="B1307" s="3" t="s">
        <v>1878</v>
      </c>
      <c r="C1307" s="3">
        <f>VLOOKUP(B1307,LifeList!$E$2:$J$2038,6)</f>
        <v>2397</v>
      </c>
      <c r="D1307" s="3" t="str">
        <f>VLOOKUP(B1307,LifeList!$E$2:$G$2038,1)</f>
        <v>Galapagos Dove</v>
      </c>
      <c r="E1307" s="3" t="str">
        <f>VLOOKUP(B1307,LifeList!$E$2:$G$2038,2)</f>
        <v>Tourterelle des Galapagos</v>
      </c>
      <c r="F1307" s="3" t="str">
        <f>VLOOKUP(B1307,LifeList!$E$2:$G$2038,3)</f>
        <v>Zenaida galapagoensis</v>
      </c>
      <c r="G1307" s="3" t="str">
        <f>VLOOKUP(B1307,LifeList!$E$2:$I$2038,4)</f>
        <v>Columbiformes</v>
      </c>
      <c r="H1307" s="3" t="str">
        <f>VLOOKUP(B1307,LifeList!$E$2:$I$2038,5)</f>
        <v>Columbidae (Pigeons and Doves)</v>
      </c>
      <c r="I1307" s="3"/>
    </row>
    <row r="1308" spans="1:9" ht="10.5" customHeight="1">
      <c r="A1308" s="3" t="s">
        <v>1879</v>
      </c>
      <c r="B1308" s="3" t="s">
        <v>1880</v>
      </c>
      <c r="C1308" s="3">
        <f>VLOOKUP(B1308,LifeList!$E$2:$J$2038,6)</f>
        <v>8505</v>
      </c>
      <c r="D1308" s="3" t="str">
        <f>VLOOKUP(B1308,LifeList!$E$2:$G$2038,1)</f>
        <v>Galapagos Hawk</v>
      </c>
      <c r="E1308" s="3" t="str">
        <f>VLOOKUP(B1308,LifeList!$E$2:$G$2038,2)</f>
        <v>Buse des Galapagos</v>
      </c>
      <c r="F1308" s="3" t="str">
        <f>VLOOKUP(B1308,LifeList!$E$2:$G$2038,3)</f>
        <v>Buteo galapagoensis</v>
      </c>
      <c r="G1308" s="3" t="str">
        <f>VLOOKUP(B1308,LifeList!$E$2:$I$2038,4)</f>
        <v>Accipitriformes</v>
      </c>
      <c r="H1308" s="3" t="str">
        <f>VLOOKUP(B1308,LifeList!$E$2:$I$2038,5)</f>
        <v>Accipitridae (Hawks, Eagles, and Kites)</v>
      </c>
      <c r="I1308" s="3"/>
    </row>
    <row r="1309" spans="1:9" ht="10.5" customHeight="1">
      <c r="A1309" s="3" t="s">
        <v>1881</v>
      </c>
      <c r="B1309" s="3" t="s">
        <v>1882</v>
      </c>
      <c r="C1309" s="3">
        <f>VLOOKUP(B1309,LifeList!$E$2:$J$2038,6)</f>
        <v>28085</v>
      </c>
      <c r="D1309" s="3" t="str">
        <f>VLOOKUP(B1309,LifeList!$E$2:$G$2038,1)</f>
        <v>Galapagos Mockingbird</v>
      </c>
      <c r="E1309" s="3" t="str">
        <f>VLOOKUP(B1309,LifeList!$E$2:$G$2038,2)</f>
        <v>Moqueur des Galapagos</v>
      </c>
      <c r="F1309" s="3" t="str">
        <f>VLOOKUP(B1309,LifeList!$E$2:$G$2038,3)</f>
        <v>Mimus parvulus</v>
      </c>
      <c r="G1309" s="3" t="str">
        <f>VLOOKUP(B1309,LifeList!$E$2:$I$2038,4)</f>
        <v>Passeriformes</v>
      </c>
      <c r="H1309" s="3" t="str">
        <f>VLOOKUP(B1309,LifeList!$E$2:$I$2038,5)</f>
        <v>Mimidae (Mockingbirds and Thrashers)</v>
      </c>
      <c r="I1309" s="3"/>
    </row>
    <row r="1310" spans="1:9" ht="10.5" customHeight="1">
      <c r="A1310" s="3" t="s">
        <v>1883</v>
      </c>
      <c r="B1310" s="3" t="s">
        <v>1884</v>
      </c>
      <c r="C1310" s="3">
        <f>VLOOKUP(B1310,LifeList!$E$2:$J$2038,6)</f>
        <v>6958</v>
      </c>
      <c r="D1310" s="3" t="str">
        <f>VLOOKUP(B1310,LifeList!$E$2:$G$2038,1)</f>
        <v>Galapagos Penguin</v>
      </c>
      <c r="E1310" s="3" t="str">
        <f>VLOOKUP(B1310,LifeList!$E$2:$G$2038,2)</f>
        <v>Manchot des Galapagos</v>
      </c>
      <c r="F1310" s="3" t="str">
        <f>VLOOKUP(B1310,LifeList!$E$2:$G$2038,3)</f>
        <v>Spheniscus mendiculus</v>
      </c>
      <c r="G1310" s="3" t="str">
        <f>VLOOKUP(B1310,LifeList!$E$2:$I$2038,4)</f>
        <v>Sphenisciformes</v>
      </c>
      <c r="H1310" s="3" t="str">
        <f>VLOOKUP(B1310,LifeList!$E$2:$I$2038,5)</f>
        <v>Spheniscidae (Penguins)</v>
      </c>
      <c r="I1310" s="3"/>
    </row>
    <row r="1311" spans="1:9" ht="10.5" customHeight="1">
      <c r="A1311" s="3" t="s">
        <v>1885</v>
      </c>
      <c r="B1311" s="3" t="s">
        <v>1886</v>
      </c>
      <c r="C1311" s="3">
        <f>VLOOKUP(B1311,LifeList!$E$2:$J$2038,6)</f>
        <v>12175</v>
      </c>
      <c r="D1311" s="3" t="str">
        <f>VLOOKUP(B1311,LifeList!$E$2:$G$2038,1)</f>
        <v>Gang-gang Cockatoo</v>
      </c>
      <c r="E1311" s="3" t="str">
        <f>VLOOKUP(B1311,LifeList!$E$2:$G$2038,2)</f>
        <v>Cacatoès à tête rouge</v>
      </c>
      <c r="F1311" s="3" t="str">
        <f>VLOOKUP(B1311,LifeList!$E$2:$G$2038,3)</f>
        <v>Callocephalon fimbriatum</v>
      </c>
      <c r="G1311" s="3" t="str">
        <f>VLOOKUP(B1311,LifeList!$E$2:$I$2038,4)</f>
        <v>Psittaciformes</v>
      </c>
      <c r="H1311" s="3" t="str">
        <f>VLOOKUP(B1311,LifeList!$E$2:$I$2038,5)</f>
        <v>Cacatuidae (Cockatoos)</v>
      </c>
      <c r="I1311" s="3"/>
    </row>
    <row r="1312" spans="1:9" ht="10.5" customHeight="1">
      <c r="A1312" s="3" t="s">
        <v>1887</v>
      </c>
      <c r="B1312" s="3" t="s">
        <v>1886</v>
      </c>
      <c r="C1312" s="3">
        <f>VLOOKUP(B1312,LifeList!$E$2:$J$2038,6)</f>
        <v>12175</v>
      </c>
      <c r="D1312" s="3" t="str">
        <f>VLOOKUP(B1312,LifeList!$E$2:$G$2038,1)</f>
        <v>Gang-gang Cockatoo</v>
      </c>
      <c r="E1312" s="3" t="str">
        <f>VLOOKUP(B1312,LifeList!$E$2:$G$2038,2)</f>
        <v>Cacatoès à tête rouge</v>
      </c>
      <c r="F1312" s="3" t="str">
        <f>VLOOKUP(B1312,LifeList!$E$2:$G$2038,3)</f>
        <v>Callocephalon fimbriatum</v>
      </c>
      <c r="G1312" s="3" t="str">
        <f>VLOOKUP(B1312,LifeList!$E$2:$I$2038,4)</f>
        <v>Psittaciformes</v>
      </c>
      <c r="H1312" s="3" t="str">
        <f>VLOOKUP(B1312,LifeList!$E$2:$I$2038,5)</f>
        <v>Cacatuidae (Cockatoos)</v>
      </c>
      <c r="I1312" s="3"/>
    </row>
    <row r="1313" spans="1:9" ht="10.5" customHeight="1">
      <c r="A1313" s="3" t="s">
        <v>1888</v>
      </c>
      <c r="B1313" s="3" t="s">
        <v>1889</v>
      </c>
      <c r="C1313" s="3">
        <f>VLOOKUP(B1313,LifeList!$E$2:$J$2038,6)</f>
        <v>9543</v>
      </c>
      <c r="D1313" s="3" t="str">
        <f>VLOOKUP(B1313,LifeList!$E$2:$G$2038,1)</f>
        <v>Gartered Violaceous Trogon</v>
      </c>
      <c r="E1313" s="3" t="str">
        <f>VLOOKUP(B1313,LifeList!$E$2:$G$2038,2)</f>
        <v>Trogon pattu</v>
      </c>
      <c r="F1313" s="3" t="str">
        <f>VLOOKUP(B1313,LifeList!$E$2:$G$2038,3)</f>
        <v>Trogon caligatus</v>
      </c>
      <c r="G1313" s="3" t="str">
        <f>VLOOKUP(B1313,LifeList!$E$2:$I$2038,4)</f>
        <v>Trogoniformes</v>
      </c>
      <c r="H1313" s="3" t="str">
        <f>VLOOKUP(B1313,LifeList!$E$2:$I$2038,5)</f>
        <v>Trogonidae (Trogons)</v>
      </c>
      <c r="I1313" s="3"/>
    </row>
    <row r="1314" spans="1:9" ht="10.5" customHeight="1">
      <c r="A1314" s="3" t="s">
        <v>1890</v>
      </c>
      <c r="B1314" s="3" t="s">
        <v>1889</v>
      </c>
      <c r="C1314" s="3">
        <f>VLOOKUP(B1314,LifeList!$E$2:$J$2038,6)</f>
        <v>9543</v>
      </c>
      <c r="D1314" s="3" t="str">
        <f>VLOOKUP(B1314,LifeList!$E$2:$G$2038,1)</f>
        <v>Gartered Violaceous Trogon</v>
      </c>
      <c r="E1314" s="3" t="str">
        <f>VLOOKUP(B1314,LifeList!$E$2:$G$2038,2)</f>
        <v>Trogon pattu</v>
      </c>
      <c r="F1314" s="3" t="str">
        <f>VLOOKUP(B1314,LifeList!$E$2:$G$2038,3)</f>
        <v>Trogon caligatus</v>
      </c>
      <c r="G1314" s="3" t="str">
        <f>VLOOKUP(B1314,LifeList!$E$2:$I$2038,4)</f>
        <v>Trogoniformes</v>
      </c>
      <c r="H1314" s="3" t="str">
        <f>VLOOKUP(B1314,LifeList!$E$2:$I$2038,5)</f>
        <v>Trogonidae (Trogons)</v>
      </c>
      <c r="I1314" s="3"/>
    </row>
    <row r="1315" spans="1:9" ht="10.5" customHeight="1">
      <c r="A1315" s="3" t="s">
        <v>1891</v>
      </c>
      <c r="B1315" s="3" t="s">
        <v>1889</v>
      </c>
      <c r="C1315" s="3">
        <f>VLOOKUP(B1315,LifeList!$E$2:$J$2038,6)</f>
        <v>9543</v>
      </c>
      <c r="D1315" s="3" t="str">
        <f>VLOOKUP(B1315,LifeList!$E$2:$G$2038,1)</f>
        <v>Gartered Violaceous Trogon</v>
      </c>
      <c r="E1315" s="3" t="str">
        <f>VLOOKUP(B1315,LifeList!$E$2:$G$2038,2)</f>
        <v>Trogon pattu</v>
      </c>
      <c r="F1315" s="3" t="str">
        <f>VLOOKUP(B1315,LifeList!$E$2:$G$2038,3)</f>
        <v>Trogon caligatus</v>
      </c>
      <c r="G1315" s="3" t="str">
        <f>VLOOKUP(B1315,LifeList!$E$2:$I$2038,4)</f>
        <v>Trogoniformes</v>
      </c>
      <c r="H1315" s="3" t="str">
        <f>VLOOKUP(B1315,LifeList!$E$2:$I$2038,5)</f>
        <v>Trogonidae (Trogons)</v>
      </c>
      <c r="I1315" s="3"/>
    </row>
    <row r="1316" spans="1:9" ht="10.5" customHeight="1">
      <c r="A1316" s="5" t="s">
        <v>1892</v>
      </c>
      <c r="B1316" s="3" t="s">
        <v>1893</v>
      </c>
      <c r="C1316" s="3">
        <f>VLOOKUP(B1316,LifeList!$E$2:$J$2038,6)</f>
        <v>3072</v>
      </c>
      <c r="D1316" s="3" t="str">
        <f>VLOOKUP(B1316,LifeList!$E$2:$G$2038,1)</f>
        <v>Giant Coua</v>
      </c>
      <c r="E1316" s="3" t="str">
        <f>VLOOKUP(B1316,LifeList!$E$2:$G$2038,2)</f>
        <v>Coua géant</v>
      </c>
      <c r="F1316" s="3" t="str">
        <f>VLOOKUP(B1316,LifeList!$E$2:$G$2038,3)</f>
        <v>Coua gigas</v>
      </c>
      <c r="G1316" s="3" t="str">
        <f>VLOOKUP(B1316,LifeList!$E$2:$I$2038,4)</f>
        <v>Cuculiformes</v>
      </c>
      <c r="H1316" s="3" t="str">
        <f>VLOOKUP(B1316,LifeList!$E$2:$I$2038,5)</f>
        <v>Cuculidae (Cuckoos)</v>
      </c>
      <c r="I1316" s="3"/>
    </row>
    <row r="1317" spans="1:9" ht="10.5" customHeight="1">
      <c r="A1317" s="3" t="s">
        <v>1894</v>
      </c>
      <c r="B1317" s="3" t="s">
        <v>1895</v>
      </c>
      <c r="C1317" s="3">
        <f>VLOOKUP(B1317,LifeList!$E$2:$J$2038,6)</f>
        <v>3072</v>
      </c>
      <c r="D1317" s="3" t="str">
        <f>VLOOKUP(B1317,LifeList!$E$2:$G$2038,1)</f>
        <v>Giant Coua</v>
      </c>
      <c r="E1317" s="3" t="str">
        <f>VLOOKUP(B1317,LifeList!$E$2:$G$2038,2)</f>
        <v>Coua géant</v>
      </c>
      <c r="F1317" s="3" t="str">
        <f>VLOOKUP(B1317,LifeList!$E$2:$G$2038,3)</f>
        <v>Coua gigas</v>
      </c>
      <c r="G1317" s="3" t="str">
        <f>VLOOKUP(B1317,LifeList!$E$2:$I$2038,4)</f>
        <v>Cuculiformes</v>
      </c>
      <c r="H1317" s="3" t="str">
        <f>VLOOKUP(B1317,LifeList!$E$2:$I$2038,5)</f>
        <v>Cuculidae (Cuckoos)</v>
      </c>
      <c r="I1317" s="3"/>
    </row>
    <row r="1318" spans="1:9" ht="10.5" customHeight="1">
      <c r="A1318" s="3" t="s">
        <v>1896</v>
      </c>
      <c r="B1318" s="3" t="s">
        <v>1895</v>
      </c>
      <c r="C1318" s="3">
        <f>VLOOKUP(B1318,LifeList!$E$2:$J$2038,6)</f>
        <v>3072</v>
      </c>
      <c r="D1318" s="3" t="str">
        <f>VLOOKUP(B1318,LifeList!$E$2:$G$2038,1)</f>
        <v>Giant Coua</v>
      </c>
      <c r="E1318" s="3" t="str">
        <f>VLOOKUP(B1318,LifeList!$E$2:$G$2038,2)</f>
        <v>Coua géant</v>
      </c>
      <c r="F1318" s="3" t="str">
        <f>VLOOKUP(B1318,LifeList!$E$2:$G$2038,3)</f>
        <v>Coua gigas</v>
      </c>
      <c r="G1318" s="3" t="str">
        <f>VLOOKUP(B1318,LifeList!$E$2:$I$2038,4)</f>
        <v>Cuculiformes</v>
      </c>
      <c r="H1318" s="3" t="str">
        <f>VLOOKUP(B1318,LifeList!$E$2:$I$2038,5)</f>
        <v>Cuculidae (Cuckoos)</v>
      </c>
      <c r="I1318" s="3"/>
    </row>
    <row r="1319" spans="1:9" ht="10.5" customHeight="1">
      <c r="A1319" s="3" t="s">
        <v>1897</v>
      </c>
      <c r="B1319" s="3" t="s">
        <v>1898</v>
      </c>
      <c r="C1319" s="3">
        <f>VLOOKUP(B1319,LifeList!$E$2:$J$2038,6)</f>
        <v>33840</v>
      </c>
      <c r="D1319" s="3" t="str">
        <f>VLOOKUP(B1319,LifeList!$E$2:$G$2038,1)</f>
        <v>Giant Cowbird</v>
      </c>
      <c r="E1319" s="3" t="str">
        <f>VLOOKUP(B1319,LifeList!$E$2:$G$2038,2)</f>
        <v>Vacher géant</v>
      </c>
      <c r="F1319" s="3" t="str">
        <f>VLOOKUP(B1319,LifeList!$E$2:$G$2038,3)</f>
        <v>Molothrus oryzivorus</v>
      </c>
      <c r="G1319" s="3" t="str">
        <f>VLOOKUP(B1319,LifeList!$E$2:$I$2038,4)</f>
        <v>Passeriformes</v>
      </c>
      <c r="H1319" s="3" t="str">
        <f>VLOOKUP(B1319,LifeList!$E$2:$I$2038,5)</f>
        <v>Icteridae (Troupials and Allies)</v>
      </c>
      <c r="I1319" s="3"/>
    </row>
    <row r="1320" spans="1:9" ht="10.5" customHeight="1">
      <c r="A1320" s="3" t="s">
        <v>1899</v>
      </c>
      <c r="B1320" s="3" t="s">
        <v>1900</v>
      </c>
      <c r="C1320" s="3">
        <f>VLOOKUP(B1320,LifeList!$E$2:$J$2038,6)</f>
        <v>4718</v>
      </c>
      <c r="D1320" s="3" t="str">
        <f>VLOOKUP(B1320,LifeList!$E$2:$G$2038,1)</f>
        <v>Giant Hummingbird</v>
      </c>
      <c r="E1320" s="3" t="str">
        <f>VLOOKUP(B1320,LifeList!$E$2:$G$2038,2)</f>
        <v>Colibri géant</v>
      </c>
      <c r="F1320" s="3" t="str">
        <f>VLOOKUP(B1320,LifeList!$E$2:$G$2038,3)</f>
        <v>Patagona gigas</v>
      </c>
      <c r="G1320" s="3" t="str">
        <f>VLOOKUP(B1320,LifeList!$E$2:$I$2038,4)</f>
        <v>Apodiformes</v>
      </c>
      <c r="H1320" s="3" t="str">
        <f>VLOOKUP(B1320,LifeList!$E$2:$I$2038,5)</f>
        <v>Trochilidae (Hummingbirds)</v>
      </c>
      <c r="I1320" s="3"/>
    </row>
    <row r="1321" spans="1:9" ht="10.5" customHeight="1">
      <c r="A1321" s="3" t="s">
        <v>1901</v>
      </c>
      <c r="B1321" s="3" t="s">
        <v>1902</v>
      </c>
      <c r="C1321" s="3">
        <f>VLOOKUP(B1321,LifeList!$E$2:$J$2038,6)</f>
        <v>10293</v>
      </c>
      <c r="D1321" s="3" t="str">
        <f>VLOOKUP(B1321,LifeList!$E$2:$G$2038,1)</f>
        <v>Giant Kingfisher</v>
      </c>
      <c r="E1321" s="3" t="str">
        <f>VLOOKUP(B1321,LifeList!$E$2:$G$2038,2)</f>
        <v>Martin-pêcheur géant</v>
      </c>
      <c r="F1321" s="3" t="str">
        <f>VLOOKUP(B1321,LifeList!$E$2:$G$2038,3)</f>
        <v>Megaceryle maxima</v>
      </c>
      <c r="G1321" s="3" t="str">
        <f>VLOOKUP(B1321,LifeList!$E$2:$I$2038,4)</f>
        <v>Coraciiformes</v>
      </c>
      <c r="H1321" s="3" t="str">
        <f>VLOOKUP(B1321,LifeList!$E$2:$I$2038,5)</f>
        <v>Alcedinidae (Kingfishers)</v>
      </c>
      <c r="I1321" s="3"/>
    </row>
    <row r="1322" spans="1:9" ht="10.5" customHeight="1">
      <c r="A1322" s="3" t="s">
        <v>1903</v>
      </c>
      <c r="B1322" s="3" t="s">
        <v>1904</v>
      </c>
      <c r="C1322" s="3">
        <f>VLOOKUP(B1322,LifeList!$E$2:$J$2038,6)</f>
        <v>34953</v>
      </c>
      <c r="D1322" s="3" t="str">
        <f>VLOOKUP(B1322,LifeList!$E$2:$G$2038,1)</f>
        <v>Glaucous Tanager</v>
      </c>
      <c r="E1322" s="3" t="str">
        <f>VLOOKUP(B1322,LifeList!$E$2:$G$2038,2)</f>
        <v>Tangara glauque</v>
      </c>
      <c r="F1322" s="3" t="str">
        <f>VLOOKUP(B1322,LifeList!$E$2:$G$2038,3)</f>
        <v>Thraupis glaucocolpa</v>
      </c>
      <c r="G1322" s="3" t="str">
        <f>VLOOKUP(B1322,LifeList!$E$2:$I$2038,4)</f>
        <v>Passeriformes</v>
      </c>
      <c r="H1322" s="3" t="str">
        <f>VLOOKUP(B1322,LifeList!$E$2:$I$2038,5)</f>
        <v>Thraupidae (Tanagers and Allies)</v>
      </c>
      <c r="I1322" s="3"/>
    </row>
    <row r="1323" spans="1:9" ht="10.5" customHeight="1">
      <c r="A1323" s="3" t="s">
        <v>1905</v>
      </c>
      <c r="B1323" s="3" t="s">
        <v>1906</v>
      </c>
      <c r="C1323" s="3">
        <f>VLOOKUP(B1323,LifeList!$E$2:$J$2038,6)</f>
        <v>6596</v>
      </c>
      <c r="D1323" s="3" t="str">
        <f>VLOOKUP(B1323,LifeList!$E$2:$G$2038,1)</f>
        <v>Glaucous-winged Gull</v>
      </c>
      <c r="E1323" s="3" t="str">
        <f>VLOOKUP(B1323,LifeList!$E$2:$G$2038,2)</f>
        <v>Goéland à ailes grises</v>
      </c>
      <c r="F1323" s="3" t="str">
        <f>VLOOKUP(B1323,LifeList!$E$2:$G$2038,3)</f>
        <v>Larus glaucescens</v>
      </c>
      <c r="G1323" s="3" t="str">
        <f>VLOOKUP(B1323,LifeList!$E$2:$I$2038,4)</f>
        <v>Charadriiformes</v>
      </c>
      <c r="H1323" s="3" t="str">
        <f>VLOOKUP(B1323,LifeList!$E$2:$I$2038,5)</f>
        <v>Laridae (Gulls, Terns, and Skimmers)</v>
      </c>
      <c r="I1323" s="3"/>
    </row>
    <row r="1324" spans="1:9" ht="10.5" customHeight="1">
      <c r="A1324" s="3" t="s">
        <v>1907</v>
      </c>
      <c r="B1324" s="3" t="s">
        <v>1908</v>
      </c>
      <c r="C1324" s="3">
        <f>VLOOKUP(B1324,LifeList!$E$2:$J$2038,6)</f>
        <v>34926</v>
      </c>
      <c r="D1324" s="3" t="str">
        <f>VLOOKUP(B1324,LifeList!$E$2:$G$2038,1)</f>
        <v>Glistening-green Tanager</v>
      </c>
      <c r="E1324" s="3" t="str">
        <f>VLOOKUP(B1324,LifeList!$E$2:$G$2038,2)</f>
        <v>Tangara étincelant</v>
      </c>
      <c r="F1324" s="3" t="str">
        <f>VLOOKUP(B1324,LifeList!$E$2:$G$2038,3)</f>
        <v>Chlorochrysa phoenicotis</v>
      </c>
      <c r="G1324" s="3" t="str">
        <f>VLOOKUP(B1324,LifeList!$E$2:$I$2038,4)</f>
        <v>Passeriformes</v>
      </c>
      <c r="H1324" s="3" t="str">
        <f>VLOOKUP(B1324,LifeList!$E$2:$I$2038,5)</f>
        <v>Thraupidae (Tanagers and Allies)</v>
      </c>
      <c r="I1324" s="3"/>
    </row>
    <row r="1325" spans="1:9" ht="10.5" customHeight="1">
      <c r="A1325" s="3" t="s">
        <v>1909</v>
      </c>
      <c r="B1325" s="3" t="s">
        <v>1910</v>
      </c>
      <c r="C1325" s="3">
        <f>VLOOKUP(B1325,LifeList!$E$2:$J$2038,6)</f>
        <v>7467</v>
      </c>
      <c r="D1325" s="3" t="str">
        <f>VLOOKUP(B1325,LifeList!$E$2:$G$2038,1)</f>
        <v>Glossy Ibis</v>
      </c>
      <c r="E1325" s="3" t="str">
        <f>VLOOKUP(B1325,LifeList!$E$2:$G$2038,2)</f>
        <v>Ibis falcinelle</v>
      </c>
      <c r="F1325" s="3" t="str">
        <f>VLOOKUP(B1325,LifeList!$E$2:$G$2038,3)</f>
        <v>Plegadis falcinellus</v>
      </c>
      <c r="G1325" s="3" t="str">
        <f>VLOOKUP(B1325,LifeList!$E$2:$I$2038,4)</f>
        <v>Pelecaniformes</v>
      </c>
      <c r="H1325" s="3" t="str">
        <f>VLOOKUP(B1325,LifeList!$E$2:$I$2038,5)</f>
        <v>Threskiornithidae (Ibises and Spoonbills)</v>
      </c>
      <c r="I1325" s="3"/>
    </row>
    <row r="1326" spans="1:9" ht="10.5" customHeight="1">
      <c r="A1326" s="3" t="s">
        <v>1911</v>
      </c>
      <c r="B1326" s="3" t="s">
        <v>1910</v>
      </c>
      <c r="C1326" s="3">
        <f>VLOOKUP(B1326,LifeList!$E$2:$J$2038,6)</f>
        <v>7467</v>
      </c>
      <c r="D1326" s="3" t="str">
        <f>VLOOKUP(B1326,LifeList!$E$2:$G$2038,1)</f>
        <v>Glossy Ibis</v>
      </c>
      <c r="E1326" s="3" t="str">
        <f>VLOOKUP(B1326,LifeList!$E$2:$G$2038,2)</f>
        <v>Ibis falcinelle</v>
      </c>
      <c r="F1326" s="3" t="str">
        <f>VLOOKUP(B1326,LifeList!$E$2:$G$2038,3)</f>
        <v>Plegadis falcinellus</v>
      </c>
      <c r="G1326" s="3" t="str">
        <f>VLOOKUP(B1326,LifeList!$E$2:$I$2038,4)</f>
        <v>Pelecaniformes</v>
      </c>
      <c r="H1326" s="3" t="str">
        <f>VLOOKUP(B1326,LifeList!$E$2:$I$2038,5)</f>
        <v>Threskiornithidae (Ibises and Spoonbills)</v>
      </c>
      <c r="I1326" s="3"/>
    </row>
    <row r="1327" spans="1:9" ht="10.5" customHeight="1">
      <c r="A1327" s="3" t="s">
        <v>1912</v>
      </c>
      <c r="B1327" s="3" t="s">
        <v>1910</v>
      </c>
      <c r="C1327" s="3">
        <f>VLOOKUP(B1327,LifeList!$E$2:$J$2038,6)</f>
        <v>7467</v>
      </c>
      <c r="D1327" s="3" t="str">
        <f>VLOOKUP(B1327,LifeList!$E$2:$G$2038,1)</f>
        <v>Glossy Ibis</v>
      </c>
      <c r="E1327" s="3" t="str">
        <f>VLOOKUP(B1327,LifeList!$E$2:$G$2038,2)</f>
        <v>Ibis falcinelle</v>
      </c>
      <c r="F1327" s="3" t="str">
        <f>VLOOKUP(B1327,LifeList!$E$2:$G$2038,3)</f>
        <v>Plegadis falcinellus</v>
      </c>
      <c r="G1327" s="3" t="str">
        <f>VLOOKUP(B1327,LifeList!$E$2:$I$2038,4)</f>
        <v>Pelecaniformes</v>
      </c>
      <c r="H1327" s="3" t="str">
        <f>VLOOKUP(B1327,LifeList!$E$2:$I$2038,5)</f>
        <v>Threskiornithidae (Ibises and Spoonbills)</v>
      </c>
      <c r="I1327" s="3"/>
    </row>
    <row r="1328" spans="1:9" ht="10.5" customHeight="1">
      <c r="A1328" s="3" t="s">
        <v>1913</v>
      </c>
      <c r="B1328" s="3" t="s">
        <v>1910</v>
      </c>
      <c r="C1328" s="3">
        <f>VLOOKUP(B1328,LifeList!$E$2:$J$2038,6)</f>
        <v>7467</v>
      </c>
      <c r="D1328" s="3" t="str">
        <f>VLOOKUP(B1328,LifeList!$E$2:$G$2038,1)</f>
        <v>Glossy Ibis</v>
      </c>
      <c r="E1328" s="3" t="str">
        <f>VLOOKUP(B1328,LifeList!$E$2:$G$2038,2)</f>
        <v>Ibis falcinelle</v>
      </c>
      <c r="F1328" s="3" t="str">
        <f>VLOOKUP(B1328,LifeList!$E$2:$G$2038,3)</f>
        <v>Plegadis falcinellus</v>
      </c>
      <c r="G1328" s="3" t="str">
        <f>VLOOKUP(B1328,LifeList!$E$2:$I$2038,4)</f>
        <v>Pelecaniformes</v>
      </c>
      <c r="H1328" s="3" t="str">
        <f>VLOOKUP(B1328,LifeList!$E$2:$I$2038,5)</f>
        <v>Threskiornithidae (Ibises and Spoonbills)</v>
      </c>
      <c r="I1328" s="3"/>
    </row>
    <row r="1329" spans="1:9" ht="10.5" customHeight="1">
      <c r="A1329" s="3" t="s">
        <v>1914</v>
      </c>
      <c r="B1329" s="3" t="s">
        <v>1910</v>
      </c>
      <c r="C1329" s="3">
        <f>VLOOKUP(B1329,LifeList!$E$2:$J$2038,6)</f>
        <v>7467</v>
      </c>
      <c r="D1329" s="3" t="str">
        <f>VLOOKUP(B1329,LifeList!$E$2:$G$2038,1)</f>
        <v>Glossy Ibis</v>
      </c>
      <c r="E1329" s="3" t="str">
        <f>VLOOKUP(B1329,LifeList!$E$2:$G$2038,2)</f>
        <v>Ibis falcinelle</v>
      </c>
      <c r="F1329" s="3" t="str">
        <f>VLOOKUP(B1329,LifeList!$E$2:$G$2038,3)</f>
        <v>Plegadis falcinellus</v>
      </c>
      <c r="G1329" s="3" t="str">
        <f>VLOOKUP(B1329,LifeList!$E$2:$I$2038,4)</f>
        <v>Pelecaniformes</v>
      </c>
      <c r="H1329" s="3" t="str">
        <f>VLOOKUP(B1329,LifeList!$E$2:$I$2038,5)</f>
        <v>Threskiornithidae (Ibises and Spoonbills)</v>
      </c>
      <c r="I1329" s="3"/>
    </row>
    <row r="1330" spans="1:9" ht="10.5" customHeight="1">
      <c r="A1330" s="3" t="s">
        <v>1915</v>
      </c>
      <c r="B1330" s="3" t="s">
        <v>1910</v>
      </c>
      <c r="C1330" s="3">
        <f>VLOOKUP(B1330,LifeList!$E$2:$J$2038,6)</f>
        <v>7467</v>
      </c>
      <c r="D1330" s="3" t="str">
        <f>VLOOKUP(B1330,LifeList!$E$2:$G$2038,1)</f>
        <v>Glossy Ibis</v>
      </c>
      <c r="E1330" s="3" t="str">
        <f>VLOOKUP(B1330,LifeList!$E$2:$G$2038,2)</f>
        <v>Ibis falcinelle</v>
      </c>
      <c r="F1330" s="3" t="str">
        <f>VLOOKUP(B1330,LifeList!$E$2:$G$2038,3)</f>
        <v>Plegadis falcinellus</v>
      </c>
      <c r="G1330" s="3" t="str">
        <f>VLOOKUP(B1330,LifeList!$E$2:$I$2038,4)</f>
        <v>Pelecaniformes</v>
      </c>
      <c r="H1330" s="3" t="str">
        <f>VLOOKUP(B1330,LifeList!$E$2:$I$2038,5)</f>
        <v>Threskiornithidae (Ibises and Spoonbills)</v>
      </c>
      <c r="I1330" s="3"/>
    </row>
    <row r="1331" spans="1:9" ht="10.5" customHeight="1">
      <c r="A1331" s="3" t="s">
        <v>1916</v>
      </c>
      <c r="B1331" s="3" t="s">
        <v>1910</v>
      </c>
      <c r="C1331" s="3">
        <f>VLOOKUP(B1331,LifeList!$E$2:$J$2038,6)</f>
        <v>7467</v>
      </c>
      <c r="D1331" s="3" t="str">
        <f>VLOOKUP(B1331,LifeList!$E$2:$G$2038,1)</f>
        <v>Glossy Ibis</v>
      </c>
      <c r="E1331" s="3" t="str">
        <f>VLOOKUP(B1331,LifeList!$E$2:$G$2038,2)</f>
        <v>Ibis falcinelle</v>
      </c>
      <c r="F1331" s="3" t="str">
        <f>VLOOKUP(B1331,LifeList!$E$2:$G$2038,3)</f>
        <v>Plegadis falcinellus</v>
      </c>
      <c r="G1331" s="3" t="str">
        <f>VLOOKUP(B1331,LifeList!$E$2:$I$2038,4)</f>
        <v>Pelecaniformes</v>
      </c>
      <c r="H1331" s="3" t="str">
        <f>VLOOKUP(B1331,LifeList!$E$2:$I$2038,5)</f>
        <v>Threskiornithidae (Ibises and Spoonbills)</v>
      </c>
      <c r="I1331" s="3"/>
    </row>
    <row r="1332" spans="1:9" ht="10.5" customHeight="1">
      <c r="A1332" s="3" t="s">
        <v>1917</v>
      </c>
      <c r="B1332" s="3" t="s">
        <v>1910</v>
      </c>
      <c r="C1332" s="3">
        <f>VLOOKUP(B1332,LifeList!$E$2:$J$2038,6)</f>
        <v>7467</v>
      </c>
      <c r="D1332" s="3" t="str">
        <f>VLOOKUP(B1332,LifeList!$E$2:$G$2038,1)</f>
        <v>Glossy Ibis</v>
      </c>
      <c r="E1332" s="3" t="str">
        <f>VLOOKUP(B1332,LifeList!$E$2:$G$2038,2)</f>
        <v>Ibis falcinelle</v>
      </c>
      <c r="F1332" s="3" t="str">
        <f>VLOOKUP(B1332,LifeList!$E$2:$G$2038,3)</f>
        <v>Plegadis falcinellus</v>
      </c>
      <c r="G1332" s="3" t="str">
        <f>VLOOKUP(B1332,LifeList!$E$2:$I$2038,4)</f>
        <v>Pelecaniformes</v>
      </c>
      <c r="H1332" s="3" t="str">
        <f>VLOOKUP(B1332,LifeList!$E$2:$I$2038,5)</f>
        <v>Threskiornithidae (Ibises and Spoonbills)</v>
      </c>
      <c r="I1332" s="3"/>
    </row>
    <row r="1333" spans="1:9" ht="10.5" customHeight="1">
      <c r="A1333" s="3" t="s">
        <v>1918</v>
      </c>
      <c r="B1333" s="3" t="s">
        <v>1910</v>
      </c>
      <c r="C1333" s="3">
        <f>VLOOKUP(B1333,LifeList!$E$2:$J$2038,6)</f>
        <v>7467</v>
      </c>
      <c r="D1333" s="3" t="str">
        <f>VLOOKUP(B1333,LifeList!$E$2:$G$2038,1)</f>
        <v>Glossy Ibis</v>
      </c>
      <c r="E1333" s="3" t="str">
        <f>VLOOKUP(B1333,LifeList!$E$2:$G$2038,2)</f>
        <v>Ibis falcinelle</v>
      </c>
      <c r="F1333" s="3" t="str">
        <f>VLOOKUP(B1333,LifeList!$E$2:$G$2038,3)</f>
        <v>Plegadis falcinellus</v>
      </c>
      <c r="G1333" s="3" t="str">
        <f>VLOOKUP(B1333,LifeList!$E$2:$I$2038,4)</f>
        <v>Pelecaniformes</v>
      </c>
      <c r="H1333" s="3" t="str">
        <f>VLOOKUP(B1333,LifeList!$E$2:$I$2038,5)</f>
        <v>Threskiornithidae (Ibises and Spoonbills)</v>
      </c>
      <c r="I1333" s="3"/>
    </row>
    <row r="1334" spans="1:9" ht="10.5" customHeight="1">
      <c r="A1334" s="3" t="s">
        <v>1919</v>
      </c>
      <c r="B1334" s="3" t="s">
        <v>1910</v>
      </c>
      <c r="C1334" s="3">
        <f>VLOOKUP(B1334,LifeList!$E$2:$J$2038,6)</f>
        <v>7467</v>
      </c>
      <c r="D1334" s="3" t="str">
        <f>VLOOKUP(B1334,LifeList!$E$2:$G$2038,1)</f>
        <v>Glossy Ibis</v>
      </c>
      <c r="E1334" s="3" t="str">
        <f>VLOOKUP(B1334,LifeList!$E$2:$G$2038,2)</f>
        <v>Ibis falcinelle</v>
      </c>
      <c r="F1334" s="3" t="str">
        <f>VLOOKUP(B1334,LifeList!$E$2:$G$2038,3)</f>
        <v>Plegadis falcinellus</v>
      </c>
      <c r="G1334" s="3" t="str">
        <f>VLOOKUP(B1334,LifeList!$E$2:$I$2038,4)</f>
        <v>Pelecaniformes</v>
      </c>
      <c r="H1334" s="3" t="str">
        <f>VLOOKUP(B1334,LifeList!$E$2:$I$2038,5)</f>
        <v>Threskiornithidae (Ibises and Spoonbills)</v>
      </c>
      <c r="I1334" s="3"/>
    </row>
    <row r="1335" spans="1:9" ht="10.5" customHeight="1">
      <c r="A1335" s="3" t="s">
        <v>1920</v>
      </c>
      <c r="B1335" s="3" t="s">
        <v>1910</v>
      </c>
      <c r="C1335" s="3">
        <f>VLOOKUP(B1335,LifeList!$E$2:$J$2038,6)</f>
        <v>7467</v>
      </c>
      <c r="D1335" s="3" t="str">
        <f>VLOOKUP(B1335,LifeList!$E$2:$G$2038,1)</f>
        <v>Glossy Ibis</v>
      </c>
      <c r="E1335" s="3" t="str">
        <f>VLOOKUP(B1335,LifeList!$E$2:$G$2038,2)</f>
        <v>Ibis falcinelle</v>
      </c>
      <c r="F1335" s="3" t="str">
        <f>VLOOKUP(B1335,LifeList!$E$2:$G$2038,3)</f>
        <v>Plegadis falcinellus</v>
      </c>
      <c r="G1335" s="3" t="str">
        <f>VLOOKUP(B1335,LifeList!$E$2:$I$2038,4)</f>
        <v>Pelecaniformes</v>
      </c>
      <c r="H1335" s="3" t="str">
        <f>VLOOKUP(B1335,LifeList!$E$2:$I$2038,5)</f>
        <v>Threskiornithidae (Ibises and Spoonbills)</v>
      </c>
      <c r="I1335" s="3"/>
    </row>
    <row r="1336" spans="1:9" ht="10.5" customHeight="1">
      <c r="A1336" s="3" t="s">
        <v>1921</v>
      </c>
      <c r="B1336" s="3" t="s">
        <v>1922</v>
      </c>
      <c r="C1336" s="3">
        <f>VLOOKUP(B1336,LifeList!$E$2:$J$2038,6)</f>
        <v>4581</v>
      </c>
      <c r="D1336" s="3" t="str">
        <f>VLOOKUP(B1336,LifeList!$E$2:$G$2038,1)</f>
        <v>Glowing Puffleg</v>
      </c>
      <c r="E1336" s="3" t="str">
        <f>VLOOKUP(B1336,LifeList!$E$2:$G$2038,2)</f>
        <v>Érione pattue</v>
      </c>
      <c r="F1336" s="3" t="str">
        <f>VLOOKUP(B1336,LifeList!$E$2:$G$2038,3)</f>
        <v>Eriocnemis vestita</v>
      </c>
      <c r="G1336" s="3" t="str">
        <f>VLOOKUP(B1336,LifeList!$E$2:$I$2038,4)</f>
        <v>Apodiformes</v>
      </c>
      <c r="H1336" s="3" t="str">
        <f>VLOOKUP(B1336,LifeList!$E$2:$I$2038,5)</f>
        <v>Trochilidae (Hummingbirds)</v>
      </c>
      <c r="I1336" s="3"/>
    </row>
    <row r="1337" spans="1:9" ht="10.5" customHeight="1">
      <c r="A1337" s="3" t="s">
        <v>1923</v>
      </c>
      <c r="B1337" s="3" t="s">
        <v>1924</v>
      </c>
      <c r="C1337" s="3">
        <f>VLOOKUP(B1337,LifeList!$E$2:$J$2038,6)</f>
        <v>34546</v>
      </c>
      <c r="D1337" s="3" t="str">
        <f>VLOOKUP(B1337,LifeList!$E$2:$G$2038,1)</f>
        <v>Golden Grosbeak</v>
      </c>
      <c r="E1337" s="3" t="str">
        <f>VLOOKUP(B1337,LifeList!$E$2:$G$2038,2)</f>
        <v>Cardinal à tête jaune</v>
      </c>
      <c r="F1337" s="3" t="str">
        <f>VLOOKUP(B1337,LifeList!$E$2:$G$2038,3)</f>
        <v>Pheucticus chrysogaster</v>
      </c>
      <c r="G1337" s="3" t="str">
        <f>VLOOKUP(B1337,LifeList!$E$2:$I$2038,4)</f>
        <v>Passeriformes</v>
      </c>
      <c r="H1337" s="3" t="str">
        <f>VLOOKUP(B1337,LifeList!$E$2:$I$2038,5)</f>
        <v>Cardinalidae (Cardinals and Allies)</v>
      </c>
      <c r="I1337" s="3"/>
    </row>
    <row r="1338" spans="1:9" ht="10.5" customHeight="1">
      <c r="A1338" s="3" t="s">
        <v>1925</v>
      </c>
      <c r="B1338" s="3" t="s">
        <v>1924</v>
      </c>
      <c r="C1338" s="3">
        <f>VLOOKUP(B1338,LifeList!$E$2:$J$2038,6)</f>
        <v>34546</v>
      </c>
      <c r="D1338" s="3" t="str">
        <f>VLOOKUP(B1338,LifeList!$E$2:$G$2038,1)</f>
        <v>Golden Grosbeak</v>
      </c>
      <c r="E1338" s="3" t="str">
        <f>VLOOKUP(B1338,LifeList!$E$2:$G$2038,2)</f>
        <v>Cardinal à tête jaune</v>
      </c>
      <c r="F1338" s="3" t="str">
        <f>VLOOKUP(B1338,LifeList!$E$2:$G$2038,3)</f>
        <v>Pheucticus chrysogaster</v>
      </c>
      <c r="G1338" s="3" t="str">
        <f>VLOOKUP(B1338,LifeList!$E$2:$I$2038,4)</f>
        <v>Passeriformes</v>
      </c>
      <c r="H1338" s="3" t="str">
        <f>VLOOKUP(B1338,LifeList!$E$2:$I$2038,5)</f>
        <v>Cardinalidae (Cardinals and Allies)</v>
      </c>
      <c r="I1338" s="3"/>
    </row>
    <row r="1339" spans="1:9" ht="10.5" customHeight="1">
      <c r="A1339" s="3" t="s">
        <v>1926</v>
      </c>
      <c r="B1339" s="3" t="s">
        <v>1927</v>
      </c>
      <c r="C1339" s="3">
        <f>VLOOKUP(B1339,LifeList!$E$2:$J$2038,6)</f>
        <v>35115</v>
      </c>
      <c r="D1339" s="3" t="str">
        <f>VLOOKUP(B1339,LifeList!$E$2:$G$2038,1)</f>
        <v>Golden Tanager</v>
      </c>
      <c r="E1339" s="3" t="str">
        <f>VLOOKUP(B1339,LifeList!$E$2:$G$2038,2)</f>
        <v>Calliste doré</v>
      </c>
      <c r="F1339" s="3" t="str">
        <f>VLOOKUP(B1339,LifeList!$E$2:$G$2038,3)</f>
        <v>Tangara arthus</v>
      </c>
      <c r="G1339" s="3" t="str">
        <f>VLOOKUP(B1339,LifeList!$E$2:$I$2038,4)</f>
        <v>Passeriformes</v>
      </c>
      <c r="H1339" s="3" t="str">
        <f>VLOOKUP(B1339,LifeList!$E$2:$I$2038,5)</f>
        <v>Thraupidae (Tanagers and Allies)</v>
      </c>
      <c r="I1339" s="3"/>
    </row>
    <row r="1340" spans="1:9" ht="10.5" customHeight="1">
      <c r="A1340" s="3" t="s">
        <v>1928</v>
      </c>
      <c r="B1340" s="3" t="s">
        <v>1929</v>
      </c>
      <c r="C1340" s="3">
        <f>VLOOKUP(B1340,LifeList!$E$2:$J$2038,6)</f>
        <v>19476</v>
      </c>
      <c r="D1340" s="3" t="str">
        <f>VLOOKUP(B1340,LifeList!$E$2:$G$2038,1)</f>
        <v>Golden Whistler</v>
      </c>
      <c r="E1340" s="3" t="str">
        <f>VLOOKUP(B1340,LifeList!$E$2:$G$2038,2)</f>
        <v>Siffleur doré</v>
      </c>
      <c r="F1340" s="3" t="str">
        <f>VLOOKUP(B1340,LifeList!$E$2:$G$2038,3)</f>
        <v>Pachycephala pectoralis</v>
      </c>
      <c r="G1340" s="3" t="str">
        <f>VLOOKUP(B1340,LifeList!$E$2:$I$2038,4)</f>
        <v>Passeriformes</v>
      </c>
      <c r="H1340" s="3" t="str">
        <f>VLOOKUP(B1340,LifeList!$E$2:$I$2038,5)</f>
        <v>Pachycephalidae (Whistlers and Allies)</v>
      </c>
      <c r="I1340" s="3"/>
    </row>
    <row r="1341" spans="1:9" ht="10.5" customHeight="1">
      <c r="A1341" s="3" t="s">
        <v>1930</v>
      </c>
      <c r="B1341" s="3" t="s">
        <v>1931</v>
      </c>
      <c r="C1341" s="3">
        <f>VLOOKUP(B1341,LifeList!$E$2:$J$2038,6)</f>
        <v>17423</v>
      </c>
      <c r="D1341" s="3" t="str">
        <f>VLOOKUP(B1341,LifeList!$E$2:$G$2038,1)</f>
        <v>Golden-bellied Flycatcher</v>
      </c>
      <c r="E1341" s="3" t="str">
        <f>VLOOKUP(B1341,LifeList!$E$2:$G$2038,2)</f>
        <v>Tyran à ventre d'or</v>
      </c>
      <c r="F1341" s="3" t="str">
        <f>VLOOKUP(B1341,LifeList!$E$2:$G$2038,3)</f>
        <v>Myiodynastes hemichrysus</v>
      </c>
      <c r="G1341" s="3" t="str">
        <f>VLOOKUP(B1341,LifeList!$E$2:$I$2038,4)</f>
        <v>Passeriformes</v>
      </c>
      <c r="H1341" s="3" t="str">
        <f>VLOOKUP(B1341,LifeList!$E$2:$I$2038,5)</f>
        <v>Tyrannidae (Tyrant Flycatchers)</v>
      </c>
      <c r="I1341" s="3"/>
    </row>
    <row r="1342" spans="1:9" ht="10.5" customHeight="1">
      <c r="A1342" s="3" t="s">
        <v>1932</v>
      </c>
      <c r="B1342" s="3" t="s">
        <v>1931</v>
      </c>
      <c r="C1342" s="3">
        <f>VLOOKUP(B1342,LifeList!$E$2:$J$2038,6)</f>
        <v>17423</v>
      </c>
      <c r="D1342" s="3" t="str">
        <f>VLOOKUP(B1342,LifeList!$E$2:$G$2038,1)</f>
        <v>Golden-bellied Flycatcher</v>
      </c>
      <c r="E1342" s="3" t="str">
        <f>VLOOKUP(B1342,LifeList!$E$2:$G$2038,2)</f>
        <v>Tyran à ventre d'or</v>
      </c>
      <c r="F1342" s="3" t="str">
        <f>VLOOKUP(B1342,LifeList!$E$2:$G$2038,3)</f>
        <v>Myiodynastes hemichrysus</v>
      </c>
      <c r="G1342" s="3" t="str">
        <f>VLOOKUP(B1342,LifeList!$E$2:$I$2038,4)</f>
        <v>Passeriformes</v>
      </c>
      <c r="H1342" s="3" t="str">
        <f>VLOOKUP(B1342,LifeList!$E$2:$I$2038,5)</f>
        <v>Tyrannidae (Tyrant Flycatchers)</v>
      </c>
      <c r="I1342" s="3"/>
    </row>
    <row r="1343" spans="1:9" ht="10.5" customHeight="1">
      <c r="A1343" s="3" t="s">
        <v>1933</v>
      </c>
      <c r="B1343" s="3" t="s">
        <v>1931</v>
      </c>
      <c r="C1343" s="3">
        <f>VLOOKUP(B1343,LifeList!$E$2:$J$2038,6)</f>
        <v>17423</v>
      </c>
      <c r="D1343" s="3" t="str">
        <f>VLOOKUP(B1343,LifeList!$E$2:$G$2038,1)</f>
        <v>Golden-bellied Flycatcher</v>
      </c>
      <c r="E1343" s="3" t="str">
        <f>VLOOKUP(B1343,LifeList!$E$2:$G$2038,2)</f>
        <v>Tyran à ventre d'or</v>
      </c>
      <c r="F1343" s="3" t="str">
        <f>VLOOKUP(B1343,LifeList!$E$2:$G$2038,3)</f>
        <v>Myiodynastes hemichrysus</v>
      </c>
      <c r="G1343" s="3" t="str">
        <f>VLOOKUP(B1343,LifeList!$E$2:$I$2038,4)</f>
        <v>Passeriformes</v>
      </c>
      <c r="H1343" s="3" t="str">
        <f>VLOOKUP(B1343,LifeList!$E$2:$I$2038,5)</f>
        <v>Tyrannidae (Tyrant Flycatchers)</v>
      </c>
      <c r="I1343" s="3"/>
    </row>
    <row r="1344" spans="1:9" ht="10.5" customHeight="1">
      <c r="A1344" s="7" t="s">
        <v>1934</v>
      </c>
      <c r="B1344" s="9" t="s">
        <v>1935</v>
      </c>
      <c r="C1344" s="3">
        <f>VLOOKUP(B1344,LifeList!$E$2:$J$2038,6)</f>
        <v>4652</v>
      </c>
      <c r="D1344" s="3" t="str">
        <f>VLOOKUP(B1344,LifeList!$E$2:$G$2038,1)</f>
        <v>Golden-bellied Starfrontlet</v>
      </c>
      <c r="E1344" s="3" t="str">
        <f>VLOOKUP(B1344,LifeList!$E$2:$G$2038,2)</f>
        <v>Inca de Bonaparte</v>
      </c>
      <c r="F1344" s="3" t="str">
        <f>VLOOKUP(B1344,LifeList!$E$2:$G$2038,3)</f>
        <v>Coeligena bonapartei</v>
      </c>
      <c r="G1344" s="3" t="str">
        <f>VLOOKUP(B1344,LifeList!$E$2:$I$2038,4)</f>
        <v>Apodiformes</v>
      </c>
      <c r="H1344" s="3" t="str">
        <f>VLOOKUP(B1344,LifeList!$E$2:$I$2038,5)</f>
        <v>Trochilidae (Hummingbirds)</v>
      </c>
      <c r="I1344" s="3"/>
    </row>
    <row r="1345" spans="1:9" ht="10.5" customHeight="1">
      <c r="A1345" s="5" t="s">
        <v>1936</v>
      </c>
      <c r="B1345" s="3" t="s">
        <v>1937</v>
      </c>
      <c r="C1345" s="6">
        <f>VLOOKUP(B1345,LifeList!$E$2:$J$2038,6)</f>
        <v>4597</v>
      </c>
      <c r="D1345" s="3" t="str">
        <f>VLOOKUP(B1345,LifeList!$E$2:$G$2038,1)</f>
        <v>Golden-breasted Puffleg</v>
      </c>
      <c r="E1345" s="3" t="str">
        <f>VLOOKUP(B1345,LifeList!$E$2:$G$2038,2)</f>
        <v>Érione à poitrine d'or</v>
      </c>
      <c r="F1345" s="3" t="str">
        <f>VLOOKUP(B1345,LifeList!$E$2:$G$2038,3)</f>
        <v>Eriocnemis mosquera</v>
      </c>
      <c r="G1345" s="3" t="str">
        <f>VLOOKUP(B1345,LifeList!$E$2:$I$2038,4)</f>
        <v>Apodiformes</v>
      </c>
      <c r="H1345" s="3" t="str">
        <f>VLOOKUP(B1345,LifeList!$E$2:$I$2038,5)</f>
        <v>Trochilidae (Hummingbirds)</v>
      </c>
      <c r="I1345" s="3"/>
    </row>
    <row r="1346" spans="1:9" ht="10.5" customHeight="1">
      <c r="A1346" s="7" t="s">
        <v>1938</v>
      </c>
      <c r="B1346" s="9" t="s">
        <v>1939</v>
      </c>
      <c r="C1346" s="3">
        <f>VLOOKUP(B1346,LifeList!$E$2:$J$2038,6)</f>
        <v>32756</v>
      </c>
      <c r="D1346" s="3" t="str">
        <f>VLOOKUP(B1346,LifeList!$E$2:$G$2038,1)</f>
        <v>Golden-breasted Bunting</v>
      </c>
      <c r="E1346" s="3" t="str">
        <f>VLOOKUP(B1346,LifeList!$E$2:$G$2038,2)</f>
        <v>Bruant à poitrine dorée</v>
      </c>
      <c r="F1346" s="3" t="str">
        <f>VLOOKUP(B1346,LifeList!$E$2:$G$2038,3)</f>
        <v>Emberiza flaviventris</v>
      </c>
      <c r="G1346" s="3" t="str">
        <f>VLOOKUP(B1346,LifeList!$E$2:$I$2038,4)</f>
        <v>Passeriformes</v>
      </c>
      <c r="H1346" s="3" t="str">
        <f>VLOOKUP(B1346,LifeList!$E$2:$I$2038,5)</f>
        <v>Emberizidae (Old World Buntings)</v>
      </c>
      <c r="I1346" s="3"/>
    </row>
    <row r="1347" spans="1:9" ht="10.5" customHeight="1">
      <c r="A1347" s="3" t="s">
        <v>1940</v>
      </c>
      <c r="B1347" s="3" t="s">
        <v>1941</v>
      </c>
      <c r="C1347" s="3">
        <f>VLOOKUP(B1347,LifeList!$E$2:$J$2038,6)</f>
        <v>31999</v>
      </c>
      <c r="D1347" s="3" t="str">
        <f>VLOOKUP(B1347,LifeList!$E$2:$G$2038,1)</f>
        <v>Golden-browed Chlorophonia</v>
      </c>
      <c r="E1347" s="3" t="str">
        <f>VLOOKUP(B1347,LifeList!$E$2:$G$2038,2)</f>
        <v>Organiste à sourcils jaunes</v>
      </c>
      <c r="F1347" s="3" t="str">
        <f>VLOOKUP(B1347,LifeList!$E$2:$G$2038,3)</f>
        <v>Chlorophonia callophrys</v>
      </c>
      <c r="G1347" s="3" t="str">
        <f>VLOOKUP(B1347,LifeList!$E$2:$I$2038,4)</f>
        <v>Passeriformes</v>
      </c>
      <c r="H1347" s="3" t="str">
        <f>VLOOKUP(B1347,LifeList!$E$2:$I$2038,5)</f>
        <v>Fringillidae (Finches, Euphonias, and Allies)</v>
      </c>
      <c r="I1347" s="3"/>
    </row>
    <row r="1348" spans="1:9" ht="10.5" customHeight="1">
      <c r="A1348" s="3" t="s">
        <v>1942</v>
      </c>
      <c r="B1348" s="3" t="s">
        <v>1941</v>
      </c>
      <c r="C1348" s="3">
        <f>VLOOKUP(B1348,LifeList!$E$2:$J$2038,6)</f>
        <v>31999</v>
      </c>
      <c r="D1348" s="3" t="str">
        <f>VLOOKUP(B1348,LifeList!$E$2:$G$2038,1)</f>
        <v>Golden-browed Chlorophonia</v>
      </c>
      <c r="E1348" s="3" t="str">
        <f>VLOOKUP(B1348,LifeList!$E$2:$G$2038,2)</f>
        <v>Organiste à sourcils jaunes</v>
      </c>
      <c r="F1348" s="3" t="str">
        <f>VLOOKUP(B1348,LifeList!$E$2:$G$2038,3)</f>
        <v>Chlorophonia callophrys</v>
      </c>
      <c r="G1348" s="3" t="str">
        <f>VLOOKUP(B1348,LifeList!$E$2:$I$2038,4)</f>
        <v>Passeriformes</v>
      </c>
      <c r="H1348" s="3" t="str">
        <f>VLOOKUP(B1348,LifeList!$E$2:$I$2038,5)</f>
        <v>Fringillidae (Finches, Euphonias, and Allies)</v>
      </c>
      <c r="I1348" s="3"/>
    </row>
    <row r="1349" spans="1:9" ht="10.5" customHeight="1">
      <c r="A1349" s="3" t="s">
        <v>1943</v>
      </c>
      <c r="B1349" s="3" t="s">
        <v>1944</v>
      </c>
      <c r="C1349" s="3">
        <f>VLOOKUP(B1349,LifeList!$E$2:$J$2038,6)</f>
        <v>35196</v>
      </c>
      <c r="D1349" s="3" t="str">
        <f>VLOOKUP(B1349,LifeList!$E$2:$G$2038,1)</f>
        <v>Golden-collared Honeycreeper</v>
      </c>
      <c r="E1349" s="3" t="str">
        <f>VLOOKUP(B1349,LifeList!$E$2:$G$2038,2)</f>
        <v>Tangara sucrier</v>
      </c>
      <c r="F1349" s="3" t="str">
        <f>VLOOKUP(B1349,LifeList!$E$2:$G$2038,3)</f>
        <v>Iridophanes pulcherrimus</v>
      </c>
      <c r="G1349" s="3" t="str">
        <f>VLOOKUP(B1349,LifeList!$E$2:$I$2038,4)</f>
        <v>Passeriformes</v>
      </c>
      <c r="H1349" s="3" t="str">
        <f>VLOOKUP(B1349,LifeList!$E$2:$I$2038,5)</f>
        <v>Thraupidae (Tanagers and Allies)</v>
      </c>
      <c r="I1349" s="3"/>
    </row>
    <row r="1350" spans="1:9" ht="10.5" customHeight="1">
      <c r="A1350" s="3" t="s">
        <v>1945</v>
      </c>
      <c r="B1350" s="3" t="s">
        <v>1946</v>
      </c>
      <c r="C1350" s="3">
        <f>VLOOKUP(B1350,LifeList!$E$2:$J$2038,6)</f>
        <v>15766</v>
      </c>
      <c r="D1350" s="3" t="str">
        <f>VLOOKUP(B1350,LifeList!$E$2:$G$2038,1)</f>
        <v>Golden-collared Manakin</v>
      </c>
      <c r="E1350" s="3" t="str">
        <f>VLOOKUP(B1350,LifeList!$E$2:$G$2038,2)</f>
        <v>Manakin à col d'or</v>
      </c>
      <c r="F1350" s="3" t="str">
        <f>VLOOKUP(B1350,LifeList!$E$2:$G$2038,3)</f>
        <v>Manacus vitellinus</v>
      </c>
      <c r="G1350" s="3" t="str">
        <f>VLOOKUP(B1350,LifeList!$E$2:$I$2038,4)</f>
        <v>Passeriformes</v>
      </c>
      <c r="H1350" s="3" t="str">
        <f>VLOOKUP(B1350,LifeList!$E$2:$I$2038,5)</f>
        <v>Pipridae (Manakins)</v>
      </c>
      <c r="I1350" s="3"/>
    </row>
    <row r="1351" spans="1:9" ht="10.5" customHeight="1">
      <c r="A1351" s="3" t="s">
        <v>1947</v>
      </c>
      <c r="B1351" s="3" t="s">
        <v>1946</v>
      </c>
      <c r="C1351" s="3">
        <f>VLOOKUP(B1351,LifeList!$E$2:$J$2038,6)</f>
        <v>15766</v>
      </c>
      <c r="D1351" s="3" t="str">
        <f>VLOOKUP(B1351,LifeList!$E$2:$G$2038,1)</f>
        <v>Golden-collared Manakin</v>
      </c>
      <c r="E1351" s="3" t="str">
        <f>VLOOKUP(B1351,LifeList!$E$2:$G$2038,2)</f>
        <v>Manakin à col d'or</v>
      </c>
      <c r="F1351" s="3" t="str">
        <f>VLOOKUP(B1351,LifeList!$E$2:$G$2038,3)</f>
        <v>Manacus vitellinus</v>
      </c>
      <c r="G1351" s="3" t="str">
        <f>VLOOKUP(B1351,LifeList!$E$2:$I$2038,4)</f>
        <v>Passeriformes</v>
      </c>
      <c r="H1351" s="3" t="str">
        <f>VLOOKUP(B1351,LifeList!$E$2:$I$2038,5)</f>
        <v>Pipridae (Manakins)</v>
      </c>
      <c r="I1351" s="3"/>
    </row>
    <row r="1352" spans="1:9" ht="10.5" customHeight="1">
      <c r="A1352" s="3" t="s">
        <v>1948</v>
      </c>
      <c r="B1352" s="3" t="s">
        <v>1946</v>
      </c>
      <c r="C1352" s="3">
        <f>VLOOKUP(B1352,LifeList!$E$2:$J$2038,6)</f>
        <v>15766</v>
      </c>
      <c r="D1352" s="3" t="str">
        <f>VLOOKUP(B1352,LifeList!$E$2:$G$2038,1)</f>
        <v>Golden-collared Manakin</v>
      </c>
      <c r="E1352" s="3" t="str">
        <f>VLOOKUP(B1352,LifeList!$E$2:$G$2038,2)</f>
        <v>Manakin à col d'or</v>
      </c>
      <c r="F1352" s="3" t="str">
        <f>VLOOKUP(B1352,LifeList!$E$2:$G$2038,3)</f>
        <v>Manacus vitellinus</v>
      </c>
      <c r="G1352" s="3" t="str">
        <f>VLOOKUP(B1352,LifeList!$E$2:$I$2038,4)</f>
        <v>Passeriformes</v>
      </c>
      <c r="H1352" s="3" t="str">
        <f>VLOOKUP(B1352,LifeList!$E$2:$I$2038,5)</f>
        <v>Pipridae (Manakins)</v>
      </c>
      <c r="I1352" s="3"/>
    </row>
    <row r="1353" spans="1:9" ht="10.5" customHeight="1">
      <c r="A1353" s="3" t="s">
        <v>1949</v>
      </c>
      <c r="B1353" s="3" t="s">
        <v>1950</v>
      </c>
      <c r="C1353" s="3">
        <f>VLOOKUP(B1353,LifeList!$E$2:$J$2038,6)</f>
        <v>26848</v>
      </c>
      <c r="D1353" s="3" t="str">
        <f>VLOOKUP(B1353,LifeList!$E$2:$G$2038,1)</f>
        <v>Golden-crowned Kinglet</v>
      </c>
      <c r="E1353" s="3" t="str">
        <f>VLOOKUP(B1353,LifeList!$E$2:$G$2038,2)</f>
        <v>Roitelet à couronne dorée</v>
      </c>
      <c r="F1353" s="3" t="str">
        <f>VLOOKUP(B1353,LifeList!$E$2:$G$2038,3)</f>
        <v>Regulus satrapa</v>
      </c>
      <c r="G1353" s="3" t="str">
        <f>VLOOKUP(B1353,LifeList!$E$2:$I$2038,4)</f>
        <v>Passeriformes</v>
      </c>
      <c r="H1353" s="3" t="str">
        <f>VLOOKUP(B1353,LifeList!$E$2:$I$2038,5)</f>
        <v>Regulidae (Kinglets)</v>
      </c>
      <c r="I1353" s="3"/>
    </row>
    <row r="1354" spans="1:9" ht="10.5" customHeight="1">
      <c r="A1354" s="3" t="s">
        <v>1951</v>
      </c>
      <c r="B1354" s="3" t="s">
        <v>1950</v>
      </c>
      <c r="C1354" s="3">
        <f>VLOOKUP(B1354,LifeList!$E$2:$J$2038,6)</f>
        <v>26848</v>
      </c>
      <c r="D1354" s="3" t="str">
        <f>VLOOKUP(B1354,LifeList!$E$2:$G$2038,1)</f>
        <v>Golden-crowned Kinglet</v>
      </c>
      <c r="E1354" s="3" t="str">
        <f>VLOOKUP(B1354,LifeList!$E$2:$G$2038,2)</f>
        <v>Roitelet à couronne dorée</v>
      </c>
      <c r="F1354" s="3" t="str">
        <f>VLOOKUP(B1354,LifeList!$E$2:$G$2038,3)</f>
        <v>Regulus satrapa</v>
      </c>
      <c r="G1354" s="3" t="str">
        <f>VLOOKUP(B1354,LifeList!$E$2:$I$2038,4)</f>
        <v>Passeriformes</v>
      </c>
      <c r="H1354" s="3" t="str">
        <f>VLOOKUP(B1354,LifeList!$E$2:$I$2038,5)</f>
        <v>Regulidae (Kinglets)</v>
      </c>
      <c r="I1354" s="3"/>
    </row>
    <row r="1355" spans="1:9" ht="10.5" customHeight="1">
      <c r="A1355" s="3" t="s">
        <v>1952</v>
      </c>
      <c r="B1355" s="3" t="s">
        <v>1953</v>
      </c>
      <c r="C1355" s="3">
        <f>VLOOKUP(B1355,LifeList!$E$2:$J$2038,6)</f>
        <v>33196</v>
      </c>
      <c r="D1355" s="3" t="str">
        <f>VLOOKUP(B1355,LifeList!$E$2:$G$2038,1)</f>
        <v>Golden-crowned Sparrow</v>
      </c>
      <c r="E1355" s="3" t="str">
        <f>VLOOKUP(B1355,LifeList!$E$2:$G$2038,2)</f>
        <v>Bruant à couronne dorée</v>
      </c>
      <c r="F1355" s="3" t="str">
        <f>VLOOKUP(B1355,LifeList!$E$2:$G$2038,3)</f>
        <v>Zonotrichia atricapilla</v>
      </c>
      <c r="G1355" s="3" t="str">
        <f>VLOOKUP(B1355,LifeList!$E$2:$I$2038,4)</f>
        <v>Passeriformes</v>
      </c>
      <c r="H1355" s="3" t="str">
        <f>VLOOKUP(B1355,LifeList!$E$2:$I$2038,5)</f>
        <v>Passerellidae (New World Sparrows)</v>
      </c>
      <c r="I1355" s="3"/>
    </row>
    <row r="1356" spans="1:9" ht="10.5" customHeight="1">
      <c r="A1356" s="3" t="s">
        <v>1954</v>
      </c>
      <c r="B1356" s="3" t="s">
        <v>1955</v>
      </c>
      <c r="C1356" s="3">
        <f>VLOOKUP(B1356,LifeList!$E$2:$J$2038,6)</f>
        <v>16806</v>
      </c>
      <c r="D1356" s="3" t="str">
        <f>VLOOKUP(B1356,LifeList!$E$2:$G$2038,1)</f>
        <v>Golden-faced Tyrannulet</v>
      </c>
      <c r="E1356" s="3" t="str">
        <f>VLOOKUP(B1356,LifeList!$E$2:$G$2038,2)</f>
        <v>Tyranneau à face d'or</v>
      </c>
      <c r="F1356" s="3" t="str">
        <f>VLOOKUP(B1356,LifeList!$E$2:$G$2038,3)</f>
        <v>Zimmerius chrysops</v>
      </c>
      <c r="G1356" s="3" t="str">
        <f>VLOOKUP(B1356,LifeList!$E$2:$I$2038,4)</f>
        <v>Passeriformes</v>
      </c>
      <c r="H1356" s="3" t="str">
        <f>VLOOKUP(B1356,LifeList!$E$2:$I$2038,5)</f>
        <v>Tyrannidae (Tyrant Flycatchers)</v>
      </c>
      <c r="I1356" s="3"/>
    </row>
    <row r="1357" spans="1:9" ht="10.5" customHeight="1">
      <c r="A1357" s="3" t="s">
        <v>1956</v>
      </c>
      <c r="B1357" s="3" t="s">
        <v>1955</v>
      </c>
      <c r="C1357" s="3">
        <f>VLOOKUP(B1357,LifeList!$E$2:$J$2038,6)</f>
        <v>16806</v>
      </c>
      <c r="D1357" s="3" t="str">
        <f>VLOOKUP(B1357,LifeList!$E$2:$G$2038,1)</f>
        <v>Golden-faced Tyrannulet</v>
      </c>
      <c r="E1357" s="3" t="str">
        <f>VLOOKUP(B1357,LifeList!$E$2:$G$2038,2)</f>
        <v>Tyranneau à face d'or</v>
      </c>
      <c r="F1357" s="3" t="str">
        <f>VLOOKUP(B1357,LifeList!$E$2:$G$2038,3)</f>
        <v>Zimmerius chrysops</v>
      </c>
      <c r="G1357" s="3" t="str">
        <f>VLOOKUP(B1357,LifeList!$E$2:$I$2038,4)</f>
        <v>Passeriformes</v>
      </c>
      <c r="H1357" s="3" t="str">
        <f>VLOOKUP(B1357,LifeList!$E$2:$I$2038,5)</f>
        <v>Tyrannidae (Tyrant Flycatchers)</v>
      </c>
      <c r="I1357" s="3"/>
    </row>
    <row r="1358" spans="1:9" ht="10.5" customHeight="1">
      <c r="A1358" s="3" t="s">
        <v>1957</v>
      </c>
      <c r="B1358" s="3" t="s">
        <v>1955</v>
      </c>
      <c r="C1358" s="3">
        <f>VLOOKUP(B1358,LifeList!$E$2:$J$2038,6)</f>
        <v>16806</v>
      </c>
      <c r="D1358" s="3" t="str">
        <f>VLOOKUP(B1358,LifeList!$E$2:$G$2038,1)</f>
        <v>Golden-faced Tyrannulet</v>
      </c>
      <c r="E1358" s="3" t="str">
        <f>VLOOKUP(B1358,LifeList!$E$2:$G$2038,2)</f>
        <v>Tyranneau à face d'or</v>
      </c>
      <c r="F1358" s="3" t="str">
        <f>VLOOKUP(B1358,LifeList!$E$2:$G$2038,3)</f>
        <v>Zimmerius chrysops</v>
      </c>
      <c r="G1358" s="3" t="str">
        <f>VLOOKUP(B1358,LifeList!$E$2:$I$2038,4)</f>
        <v>Passeriformes</v>
      </c>
      <c r="H1358" s="3" t="str">
        <f>VLOOKUP(B1358,LifeList!$E$2:$I$2038,5)</f>
        <v>Tyrannidae (Tyrant Flycatchers)</v>
      </c>
      <c r="I1358" s="3"/>
    </row>
    <row r="1359" spans="1:9" ht="10.5" customHeight="1">
      <c r="A1359" s="3" t="s">
        <v>1958</v>
      </c>
      <c r="B1359" s="3" t="s">
        <v>1959</v>
      </c>
      <c r="C1359" s="3">
        <f>VLOOKUP(B1359,LifeList!$E$2:$J$2038,6)</f>
        <v>19151</v>
      </c>
      <c r="D1359" s="3" t="str">
        <f>VLOOKUP(B1359,LifeList!$E$2:$G$2038,1)</f>
        <v>Golden-fronted Greenlet</v>
      </c>
      <c r="E1359" s="3" t="str">
        <f>VLOOKUP(B1359,LifeList!$E$2:$G$2038,2)</f>
        <v>Viréon à front d'or</v>
      </c>
      <c r="F1359" s="3" t="str">
        <f>VLOOKUP(B1359,LifeList!$E$2:$G$2038,3)</f>
        <v>Pachysylvia aurantiifrons</v>
      </c>
      <c r="G1359" s="3" t="str">
        <f>VLOOKUP(B1359,LifeList!$E$2:$I$2038,4)</f>
        <v>Passeriformes</v>
      </c>
      <c r="H1359" s="3" t="str">
        <f>VLOOKUP(B1359,LifeList!$E$2:$I$2038,5)</f>
        <v>Vireonidae (Vireos, Shrike-Babblers, and Erpornis)</v>
      </c>
      <c r="I1359" s="3"/>
    </row>
    <row r="1360" spans="1:9" ht="10.5" customHeight="1">
      <c r="A1360" s="3" t="s">
        <v>1960</v>
      </c>
      <c r="B1360" s="3" t="s">
        <v>1961</v>
      </c>
      <c r="C1360" s="3">
        <f>VLOOKUP(B1360,LifeList!$E$2:$J$2038,6)</f>
        <v>34384</v>
      </c>
      <c r="D1360" s="3" t="str">
        <f>VLOOKUP(B1360,LifeList!$E$2:$G$2038,1)</f>
        <v>Golden-fronted Redstart</v>
      </c>
      <c r="E1360" s="3" t="str">
        <f>VLOOKUP(B1360,LifeList!$E$2:$G$2038,2)</f>
        <v>Paruline dorée</v>
      </c>
      <c r="F1360" s="3" t="str">
        <f>VLOOKUP(B1360,LifeList!$E$2:$G$2038,3)</f>
        <v>Myioborus ornatus</v>
      </c>
      <c r="G1360" s="3" t="str">
        <f>VLOOKUP(B1360,LifeList!$E$2:$I$2038,4)</f>
        <v>Passeriformes</v>
      </c>
      <c r="H1360" s="3" t="str">
        <f>VLOOKUP(B1360,LifeList!$E$2:$I$2038,5)</f>
        <v>Parulidae (New World Warblers)</v>
      </c>
      <c r="I1360" s="3"/>
    </row>
    <row r="1361" spans="1:9" ht="10.5" customHeight="1">
      <c r="A1361" s="3" t="s">
        <v>1962</v>
      </c>
      <c r="B1361" s="3" t="s">
        <v>1961</v>
      </c>
      <c r="C1361" s="3">
        <f>VLOOKUP(B1361,LifeList!$E$2:$J$2038,6)</f>
        <v>34384</v>
      </c>
      <c r="D1361" s="3" t="str">
        <f>VLOOKUP(B1361,LifeList!$E$2:$G$2038,1)</f>
        <v>Golden-fronted Redstart</v>
      </c>
      <c r="E1361" s="3" t="str">
        <f>VLOOKUP(B1361,LifeList!$E$2:$G$2038,2)</f>
        <v>Paruline dorée</v>
      </c>
      <c r="F1361" s="3" t="str">
        <f>VLOOKUP(B1361,LifeList!$E$2:$G$2038,3)</f>
        <v>Myioborus ornatus</v>
      </c>
      <c r="G1361" s="3" t="str">
        <f>VLOOKUP(B1361,LifeList!$E$2:$I$2038,4)</f>
        <v>Passeriformes</v>
      </c>
      <c r="H1361" s="3" t="str">
        <f>VLOOKUP(B1361,LifeList!$E$2:$I$2038,5)</f>
        <v>Parulidae (New World Warblers)</v>
      </c>
      <c r="I1361" s="3"/>
    </row>
    <row r="1362" spans="1:9" ht="10.5" customHeight="1">
      <c r="A1362" s="3" t="s">
        <v>1963</v>
      </c>
      <c r="B1362" s="3" t="s">
        <v>1961</v>
      </c>
      <c r="C1362" s="3">
        <f>VLOOKUP(B1362,LifeList!$E$2:$J$2038,6)</f>
        <v>34384</v>
      </c>
      <c r="D1362" s="3" t="str">
        <f>VLOOKUP(B1362,LifeList!$E$2:$G$2038,1)</f>
        <v>Golden-fronted Redstart</v>
      </c>
      <c r="E1362" s="3" t="str">
        <f>VLOOKUP(B1362,LifeList!$E$2:$G$2038,2)</f>
        <v>Paruline dorée</v>
      </c>
      <c r="F1362" s="3" t="str">
        <f>VLOOKUP(B1362,LifeList!$E$2:$G$2038,3)</f>
        <v>Myioborus ornatus</v>
      </c>
      <c r="G1362" s="3" t="str">
        <f>VLOOKUP(B1362,LifeList!$E$2:$I$2038,4)</f>
        <v>Passeriformes</v>
      </c>
      <c r="H1362" s="3" t="str">
        <f>VLOOKUP(B1362,LifeList!$E$2:$I$2038,5)</f>
        <v>Parulidae (New World Warblers)</v>
      </c>
      <c r="I1362" s="3"/>
    </row>
    <row r="1363" spans="1:9" ht="10.5" customHeight="1">
      <c r="A1363" s="3" t="s">
        <v>1964</v>
      </c>
      <c r="B1363" s="3" t="s">
        <v>1965</v>
      </c>
      <c r="C1363" s="3">
        <f>VLOOKUP(B1363,LifeList!$E$2:$J$2038,6)</f>
        <v>11843</v>
      </c>
      <c r="D1363" s="3" t="str">
        <f>VLOOKUP(B1363,LifeList!$E$2:$G$2038,1)</f>
        <v>Golden-green Woodpecker</v>
      </c>
      <c r="E1363" s="3" t="str">
        <f>VLOOKUP(B1363,LifeList!$E$2:$G$2038,2)</f>
        <v>Pic vert-doré</v>
      </c>
      <c r="F1363" s="3" t="str">
        <f>VLOOKUP(B1363,LifeList!$E$2:$G$2038,3)</f>
        <v>Piculus chrysochloros</v>
      </c>
      <c r="G1363" s="3" t="str">
        <f>VLOOKUP(B1363,LifeList!$E$2:$I$2038,4)</f>
        <v>Piciformes</v>
      </c>
      <c r="H1363" s="3" t="str">
        <f>VLOOKUP(B1363,LifeList!$E$2:$I$2038,5)</f>
        <v>Picidae (Woodpeckers)</v>
      </c>
      <c r="I1363" s="3"/>
    </row>
    <row r="1364" spans="1:9" ht="10.5" customHeight="1">
      <c r="A1364" s="3" t="s">
        <v>1966</v>
      </c>
      <c r="B1364" s="3" t="s">
        <v>1965</v>
      </c>
      <c r="C1364" s="3">
        <f>VLOOKUP(B1364,LifeList!$E$2:$J$2038,6)</f>
        <v>11843</v>
      </c>
      <c r="D1364" s="3" t="str">
        <f>VLOOKUP(B1364,LifeList!$E$2:$G$2038,1)</f>
        <v>Golden-green Woodpecker</v>
      </c>
      <c r="E1364" s="3" t="str">
        <f>VLOOKUP(B1364,LifeList!$E$2:$G$2038,2)</f>
        <v>Pic vert-doré</v>
      </c>
      <c r="F1364" s="3" t="str">
        <f>VLOOKUP(B1364,LifeList!$E$2:$G$2038,3)</f>
        <v>Piculus chrysochloros</v>
      </c>
      <c r="G1364" s="3" t="str">
        <f>VLOOKUP(B1364,LifeList!$E$2:$I$2038,4)</f>
        <v>Piciformes</v>
      </c>
      <c r="H1364" s="3" t="str">
        <f>VLOOKUP(B1364,LifeList!$E$2:$I$2038,5)</f>
        <v>Picidae (Woodpeckers)</v>
      </c>
      <c r="I1364" s="3"/>
    </row>
    <row r="1365" spans="1:9" ht="10.5" customHeight="1">
      <c r="A1365" s="3" t="s">
        <v>1967</v>
      </c>
      <c r="B1365" s="3" t="s">
        <v>1968</v>
      </c>
      <c r="C1365" s="3">
        <f>VLOOKUP(B1365,LifeList!$E$2:$J$2038,6)</f>
        <v>15840</v>
      </c>
      <c r="D1365" s="3" t="str">
        <f>VLOOKUP(B1365,LifeList!$E$2:$G$2038,1)</f>
        <v>Golden-headed Manakin</v>
      </c>
      <c r="E1365" s="3" t="str">
        <f>VLOOKUP(B1365,LifeList!$E$2:$G$2038,2)</f>
        <v>Manakin à tête d'or</v>
      </c>
      <c r="F1365" s="3" t="str">
        <f>VLOOKUP(B1365,LifeList!$E$2:$G$2038,3)</f>
        <v>Ceratopipra erythrocephala</v>
      </c>
      <c r="G1365" s="3" t="str">
        <f>VLOOKUP(B1365,LifeList!$E$2:$I$2038,4)</f>
        <v>Passeriformes</v>
      </c>
      <c r="H1365" s="3" t="str">
        <f>VLOOKUP(B1365,LifeList!$E$2:$I$2038,5)</f>
        <v>Pipridae (Manakins)</v>
      </c>
      <c r="I1365" s="3"/>
    </row>
    <row r="1366" spans="1:9" ht="10.5" customHeight="1">
      <c r="A1366" s="3" t="s">
        <v>1969</v>
      </c>
      <c r="B1366" s="3" t="s">
        <v>1968</v>
      </c>
      <c r="C1366" s="3">
        <f>VLOOKUP(B1366,LifeList!$E$2:$J$2038,6)</f>
        <v>15840</v>
      </c>
      <c r="D1366" s="3" t="str">
        <f>VLOOKUP(B1366,LifeList!$E$2:$G$2038,1)</f>
        <v>Golden-headed Manakin</v>
      </c>
      <c r="E1366" s="3" t="str">
        <f>VLOOKUP(B1366,LifeList!$E$2:$G$2038,2)</f>
        <v>Manakin à tête d'or</v>
      </c>
      <c r="F1366" s="3" t="str">
        <f>VLOOKUP(B1366,LifeList!$E$2:$G$2038,3)</f>
        <v>Ceratopipra erythrocephala</v>
      </c>
      <c r="G1366" s="3" t="str">
        <f>VLOOKUP(B1366,LifeList!$E$2:$I$2038,4)</f>
        <v>Passeriformes</v>
      </c>
      <c r="H1366" s="3" t="str">
        <f>VLOOKUP(B1366,LifeList!$E$2:$I$2038,5)</f>
        <v>Pipridae (Manakins)</v>
      </c>
      <c r="I1366" s="3"/>
    </row>
    <row r="1367" spans="1:9" ht="10.5" customHeight="1">
      <c r="A1367" s="3" t="s">
        <v>1970</v>
      </c>
      <c r="B1367" s="3" t="s">
        <v>1971</v>
      </c>
      <c r="C1367" s="3">
        <f>VLOOKUP(B1367,LifeList!$E$2:$J$2038,6)</f>
        <v>35022</v>
      </c>
      <c r="D1367" s="3" t="str">
        <f>VLOOKUP(B1367,LifeList!$E$2:$G$2038,1)</f>
        <v>Golden-hooded Tanager</v>
      </c>
      <c r="E1367" s="3" t="str">
        <f>VLOOKUP(B1367,LifeList!$E$2:$G$2038,2)</f>
        <v>Calliste à coiffe d'or</v>
      </c>
      <c r="F1367" s="3" t="str">
        <f>VLOOKUP(B1367,LifeList!$E$2:$G$2038,3)</f>
        <v>Stilpnia larvata</v>
      </c>
      <c r="G1367" s="3" t="str">
        <f>VLOOKUP(B1367,LifeList!$E$2:$I$2038,4)</f>
        <v>Passeriformes</v>
      </c>
      <c r="H1367" s="3" t="str">
        <f>VLOOKUP(B1367,LifeList!$E$2:$I$2038,5)</f>
        <v>Thraupidae (Tanagers and Allies)</v>
      </c>
      <c r="I1367" s="3"/>
    </row>
    <row r="1368" spans="1:9" ht="10.5" customHeight="1">
      <c r="A1368" s="3" t="s">
        <v>1972</v>
      </c>
      <c r="B1368" s="3" t="s">
        <v>1971</v>
      </c>
      <c r="C1368" s="3">
        <f>VLOOKUP(B1368,LifeList!$E$2:$J$2038,6)</f>
        <v>35022</v>
      </c>
      <c r="D1368" s="3" t="str">
        <f>VLOOKUP(B1368,LifeList!$E$2:$G$2038,1)</f>
        <v>Golden-hooded Tanager</v>
      </c>
      <c r="E1368" s="3" t="str">
        <f>VLOOKUP(B1368,LifeList!$E$2:$G$2038,2)</f>
        <v>Calliste à coiffe d'or</v>
      </c>
      <c r="F1368" s="3" t="str">
        <f>VLOOKUP(B1368,LifeList!$E$2:$G$2038,3)</f>
        <v>Stilpnia larvata</v>
      </c>
      <c r="G1368" s="3" t="str">
        <f>VLOOKUP(B1368,LifeList!$E$2:$I$2038,4)</f>
        <v>Passeriformes</v>
      </c>
      <c r="H1368" s="3" t="str">
        <f>VLOOKUP(B1368,LifeList!$E$2:$I$2038,5)</f>
        <v>Thraupidae (Tanagers and Allies)</v>
      </c>
      <c r="I1368" s="3"/>
    </row>
    <row r="1369" spans="1:9" ht="10.5" customHeight="1">
      <c r="A1369" s="3" t="s">
        <v>1973</v>
      </c>
      <c r="B1369" s="3" t="s">
        <v>1971</v>
      </c>
      <c r="C1369" s="3">
        <f>VLOOKUP(B1369,LifeList!$E$2:$J$2038,6)</f>
        <v>35022</v>
      </c>
      <c r="D1369" s="3" t="str">
        <f>VLOOKUP(B1369,LifeList!$E$2:$G$2038,1)</f>
        <v>Golden-hooded Tanager</v>
      </c>
      <c r="E1369" s="3" t="str">
        <f>VLOOKUP(B1369,LifeList!$E$2:$G$2038,2)</f>
        <v>Calliste à coiffe d'or</v>
      </c>
      <c r="F1369" s="3" t="str">
        <f>VLOOKUP(B1369,LifeList!$E$2:$G$2038,3)</f>
        <v>Stilpnia larvata</v>
      </c>
      <c r="G1369" s="3" t="str">
        <f>VLOOKUP(B1369,LifeList!$E$2:$I$2038,4)</f>
        <v>Passeriformes</v>
      </c>
      <c r="H1369" s="3" t="str">
        <f>VLOOKUP(B1369,LifeList!$E$2:$I$2038,5)</f>
        <v>Thraupidae (Tanagers and Allies)</v>
      </c>
      <c r="I1369" s="3"/>
    </row>
    <row r="1370" spans="1:9" ht="10.5" customHeight="1">
      <c r="A1370" s="3" t="s">
        <v>1974</v>
      </c>
      <c r="B1370" s="3" t="s">
        <v>1971</v>
      </c>
      <c r="C1370" s="3">
        <f>VLOOKUP(B1370,LifeList!$E$2:$J$2038,6)</f>
        <v>35022</v>
      </c>
      <c r="D1370" s="3" t="str">
        <f>VLOOKUP(B1370,LifeList!$E$2:$G$2038,1)</f>
        <v>Golden-hooded Tanager</v>
      </c>
      <c r="E1370" s="3" t="str">
        <f>VLOOKUP(B1370,LifeList!$E$2:$G$2038,2)</f>
        <v>Calliste à coiffe d'or</v>
      </c>
      <c r="F1370" s="3" t="str">
        <f>VLOOKUP(B1370,LifeList!$E$2:$G$2038,3)</f>
        <v>Stilpnia larvata</v>
      </c>
      <c r="G1370" s="3" t="str">
        <f>VLOOKUP(B1370,LifeList!$E$2:$I$2038,4)</f>
        <v>Passeriformes</v>
      </c>
      <c r="H1370" s="3" t="str">
        <f>VLOOKUP(B1370,LifeList!$E$2:$I$2038,5)</f>
        <v>Thraupidae (Tanagers and Allies)</v>
      </c>
      <c r="I1370" s="3"/>
    </row>
    <row r="1371" spans="1:9" ht="10.5" customHeight="1">
      <c r="A1371" s="3" t="s">
        <v>1975</v>
      </c>
      <c r="B1371" s="3" t="s">
        <v>1976</v>
      </c>
      <c r="C1371" s="3">
        <f>VLOOKUP(B1371,LifeList!$E$2:$J$2038,6)</f>
        <v>34983</v>
      </c>
      <c r="D1371" s="3" t="str">
        <f>VLOOKUP(B1371,LifeList!$E$2:$G$2038,1)</f>
        <v>Golden-naped Tanager</v>
      </c>
      <c r="E1371" s="3" t="str">
        <f>VLOOKUP(B1371,LifeList!$E$2:$G$2038,2)</f>
        <v>Calliste à nuque d'or</v>
      </c>
      <c r="F1371" s="3" t="str">
        <f>VLOOKUP(B1371,LifeList!$E$2:$G$2038,3)</f>
        <v>Chalcothraupis ruficervix</v>
      </c>
      <c r="G1371" s="3" t="str">
        <f>VLOOKUP(B1371,LifeList!$E$2:$I$2038,4)</f>
        <v>Passeriformes</v>
      </c>
      <c r="H1371" s="3" t="str">
        <f>VLOOKUP(B1371,LifeList!$E$2:$I$2038,5)</f>
        <v>Thraupidae (Tanagers and Allies)</v>
      </c>
      <c r="I1371" s="3"/>
    </row>
    <row r="1372" spans="1:9" ht="10.5" customHeight="1">
      <c r="A1372" s="3" t="s">
        <v>1977</v>
      </c>
      <c r="B1372" s="3" t="s">
        <v>1978</v>
      </c>
      <c r="C1372" s="3">
        <f>VLOOKUP(B1372,LifeList!$E$2:$J$2038,6)</f>
        <v>11852</v>
      </c>
      <c r="D1372" s="3" t="str">
        <f>VLOOKUP(B1372,LifeList!$E$2:$G$2038,1)</f>
        <v>Golden-olive Woodpecker</v>
      </c>
      <c r="E1372" s="3" t="str">
        <f>VLOOKUP(B1372,LifeList!$E$2:$G$2038,2)</f>
        <v>Pic or-olive</v>
      </c>
      <c r="F1372" s="3" t="str">
        <f>VLOOKUP(B1372,LifeList!$E$2:$G$2038,3)</f>
        <v>Colaptes rubiginosus</v>
      </c>
      <c r="G1372" s="3" t="str">
        <f>VLOOKUP(B1372,LifeList!$E$2:$I$2038,4)</f>
        <v>Piciformes</v>
      </c>
      <c r="H1372" s="3" t="str">
        <f>VLOOKUP(B1372,LifeList!$E$2:$I$2038,5)</f>
        <v>Picidae (Woodpeckers)</v>
      </c>
      <c r="I1372" s="3"/>
    </row>
    <row r="1373" spans="1:9" ht="10.5" customHeight="1">
      <c r="A1373" s="3" t="s">
        <v>1979</v>
      </c>
      <c r="B1373" s="3" t="s">
        <v>1978</v>
      </c>
      <c r="C1373" s="3">
        <f>VLOOKUP(B1373,LifeList!$E$2:$J$2038,6)</f>
        <v>11852</v>
      </c>
      <c r="D1373" s="3" t="str">
        <f>VLOOKUP(B1373,LifeList!$E$2:$G$2038,1)</f>
        <v>Golden-olive Woodpecker</v>
      </c>
      <c r="E1373" s="3" t="str">
        <f>VLOOKUP(B1373,LifeList!$E$2:$G$2038,2)</f>
        <v>Pic or-olive</v>
      </c>
      <c r="F1373" s="3" t="str">
        <f>VLOOKUP(B1373,LifeList!$E$2:$G$2038,3)</f>
        <v>Colaptes rubiginosus</v>
      </c>
      <c r="G1373" s="3" t="str">
        <f>VLOOKUP(B1373,LifeList!$E$2:$I$2038,4)</f>
        <v>Piciformes</v>
      </c>
      <c r="H1373" s="3" t="str">
        <f>VLOOKUP(B1373,LifeList!$E$2:$I$2038,5)</f>
        <v>Picidae (Woodpeckers)</v>
      </c>
      <c r="I1373" s="3"/>
    </row>
    <row r="1374" spans="1:9" ht="10.5" customHeight="1">
      <c r="A1374" s="3" t="s">
        <v>1980</v>
      </c>
      <c r="B1374" s="3" t="s">
        <v>1978</v>
      </c>
      <c r="C1374" s="3">
        <f>VLOOKUP(B1374,LifeList!$E$2:$J$2038,6)</f>
        <v>11852</v>
      </c>
      <c r="D1374" s="3" t="str">
        <f>VLOOKUP(B1374,LifeList!$E$2:$G$2038,1)</f>
        <v>Golden-olive Woodpecker</v>
      </c>
      <c r="E1374" s="3" t="str">
        <f>VLOOKUP(B1374,LifeList!$E$2:$G$2038,2)</f>
        <v>Pic or-olive</v>
      </c>
      <c r="F1374" s="3" t="str">
        <f>VLOOKUP(B1374,LifeList!$E$2:$G$2038,3)</f>
        <v>Colaptes rubiginosus</v>
      </c>
      <c r="G1374" s="3" t="str">
        <f>VLOOKUP(B1374,LifeList!$E$2:$I$2038,4)</f>
        <v>Piciformes</v>
      </c>
      <c r="H1374" s="3" t="str">
        <f>VLOOKUP(B1374,LifeList!$E$2:$I$2038,5)</f>
        <v>Picidae (Woodpeckers)</v>
      </c>
      <c r="I1374" s="3"/>
    </row>
    <row r="1375" spans="1:9" ht="10.5" customHeight="1">
      <c r="A1375" s="3" t="s">
        <v>1981</v>
      </c>
      <c r="B1375" s="3" t="s">
        <v>1978</v>
      </c>
      <c r="C1375" s="3">
        <f>VLOOKUP(B1375,LifeList!$E$2:$J$2038,6)</f>
        <v>11852</v>
      </c>
      <c r="D1375" s="3" t="str">
        <f>VLOOKUP(B1375,LifeList!$E$2:$G$2038,1)</f>
        <v>Golden-olive Woodpecker</v>
      </c>
      <c r="E1375" s="3" t="str">
        <f>VLOOKUP(B1375,LifeList!$E$2:$G$2038,2)</f>
        <v>Pic or-olive</v>
      </c>
      <c r="F1375" s="3" t="str">
        <f>VLOOKUP(B1375,LifeList!$E$2:$G$2038,3)</f>
        <v>Colaptes rubiginosus</v>
      </c>
      <c r="G1375" s="3" t="str">
        <f>VLOOKUP(B1375,LifeList!$E$2:$I$2038,4)</f>
        <v>Piciformes</v>
      </c>
      <c r="H1375" s="3" t="str">
        <f>VLOOKUP(B1375,LifeList!$E$2:$I$2038,5)</f>
        <v>Picidae (Woodpeckers)</v>
      </c>
      <c r="I1375" s="3"/>
    </row>
    <row r="1376" spans="1:9" ht="10.5" customHeight="1">
      <c r="A1376" s="3" t="s">
        <v>1982</v>
      </c>
      <c r="B1376" s="3" t="s">
        <v>1983</v>
      </c>
      <c r="C1376" s="3">
        <f>VLOOKUP(B1376,LifeList!$E$2:$J$2038,6)</f>
        <v>13161</v>
      </c>
      <c r="D1376" s="3" t="str">
        <f>VLOOKUP(B1376,LifeList!$E$2:$G$2038,1)</f>
        <v>Golden-plumed Parakeet</v>
      </c>
      <c r="E1376" s="3" t="str">
        <f>VLOOKUP(B1376,LifeList!$E$2:$G$2038,2)</f>
        <v>Conure à pinceaux d'or</v>
      </c>
      <c r="F1376" s="3" t="str">
        <f>VLOOKUP(B1376,LifeList!$E$2:$G$2038,3)</f>
        <v>Leptosittaca branickii</v>
      </c>
      <c r="G1376" s="3" t="str">
        <f>VLOOKUP(B1376,LifeList!$E$2:$I$2038,4)</f>
        <v>Psittaciformes</v>
      </c>
      <c r="H1376" s="3" t="str">
        <f>VLOOKUP(B1376,LifeList!$E$2:$I$2038,5)</f>
        <v>Psittacidae (New World and African Parrots)</v>
      </c>
      <c r="I1376" s="3"/>
    </row>
    <row r="1377" spans="1:9" ht="10.5" customHeight="1">
      <c r="A1377" s="3" t="s">
        <v>1984</v>
      </c>
      <c r="B1377" s="3" t="s">
        <v>1983</v>
      </c>
      <c r="C1377" s="3">
        <f>VLOOKUP(B1377,LifeList!$E$2:$J$2038,6)</f>
        <v>13161</v>
      </c>
      <c r="D1377" s="3" t="str">
        <f>VLOOKUP(B1377,LifeList!$E$2:$G$2038,1)</f>
        <v>Golden-plumed Parakeet</v>
      </c>
      <c r="E1377" s="3" t="str">
        <f>VLOOKUP(B1377,LifeList!$E$2:$G$2038,2)</f>
        <v>Conure à pinceaux d'or</v>
      </c>
      <c r="F1377" s="3" t="str">
        <f>VLOOKUP(B1377,LifeList!$E$2:$G$2038,3)</f>
        <v>Leptosittaca branickii</v>
      </c>
      <c r="G1377" s="3" t="str">
        <f>VLOOKUP(B1377,LifeList!$E$2:$I$2038,4)</f>
        <v>Psittaciformes</v>
      </c>
      <c r="H1377" s="3" t="str">
        <f>VLOOKUP(B1377,LifeList!$E$2:$I$2038,5)</f>
        <v>Psittacidae (New World and African Parrots)</v>
      </c>
      <c r="I1377" s="3"/>
    </row>
    <row r="1378" spans="1:9" ht="10.5" customHeight="1">
      <c r="A1378" s="5" t="s">
        <v>1985</v>
      </c>
      <c r="B1378" s="3" t="s">
        <v>1986</v>
      </c>
      <c r="C1378" s="6">
        <f>VLOOKUP(B1378,LifeList!$E$2:$J$2038,6)</f>
        <v>11733</v>
      </c>
      <c r="D1378" s="3" t="str">
        <f>VLOOKUP(B1378,LifeList!$E$2:$G$2038,1)</f>
        <v>Golden-tailed Woodpecker</v>
      </c>
      <c r="E1378" s="3" t="str">
        <f>VLOOKUP(B1378,LifeList!$E$2:$G$2038,2)</f>
        <v>Pic à queue dorée</v>
      </c>
      <c r="F1378" s="3" t="str">
        <f>VLOOKUP(B1378,LifeList!$E$2:$G$2038,3)</f>
        <v>Campethera abingoni</v>
      </c>
      <c r="G1378" s="3" t="str">
        <f>VLOOKUP(B1378,LifeList!$E$2:$I$2038,4)</f>
        <v>Piciformes</v>
      </c>
      <c r="H1378" s="3" t="str">
        <f>VLOOKUP(B1378,LifeList!$E$2:$I$2038,5)</f>
        <v>Picidae (Woodpeckers)</v>
      </c>
      <c r="I1378" s="3"/>
    </row>
    <row r="1379" spans="1:9" ht="10.5" customHeight="1">
      <c r="A1379" s="3" t="s">
        <v>1987</v>
      </c>
      <c r="B1379" s="3" t="s">
        <v>1988</v>
      </c>
      <c r="C1379" s="3">
        <f>VLOOKUP(B1379,LifeList!$E$2:$J$2038,6)</f>
        <v>33956</v>
      </c>
      <c r="D1379" s="3" t="str">
        <f>VLOOKUP(B1379,LifeList!$E$2:$G$2038,1)</f>
        <v>Golden-winged Warbler</v>
      </c>
      <c r="E1379" s="3" t="str">
        <f>VLOOKUP(B1379,LifeList!$E$2:$G$2038,2)</f>
        <v>Paruline à ailes dorées</v>
      </c>
      <c r="F1379" s="3" t="str">
        <f>VLOOKUP(B1379,LifeList!$E$2:$G$2038,3)</f>
        <v>Vermivora chrysoptera</v>
      </c>
      <c r="G1379" s="3" t="str">
        <f>VLOOKUP(B1379,LifeList!$E$2:$I$2038,4)</f>
        <v>Passeriformes</v>
      </c>
      <c r="H1379" s="3" t="str">
        <f>VLOOKUP(B1379,LifeList!$E$2:$I$2038,5)</f>
        <v>Parulidae (New World Warblers)</v>
      </c>
      <c r="I1379" s="3"/>
    </row>
    <row r="1380" spans="1:9" ht="10.5" customHeight="1">
      <c r="A1380" s="3" t="s">
        <v>1989</v>
      </c>
      <c r="B1380" s="3" t="s">
        <v>1988</v>
      </c>
      <c r="C1380" s="3">
        <f>VLOOKUP(B1380,LifeList!$E$2:$J$2038,6)</f>
        <v>33956</v>
      </c>
      <c r="D1380" s="3" t="str">
        <f>VLOOKUP(B1380,LifeList!$E$2:$G$2038,1)</f>
        <v>Golden-winged Warbler</v>
      </c>
      <c r="E1380" s="3" t="str">
        <f>VLOOKUP(B1380,LifeList!$E$2:$G$2038,2)</f>
        <v>Paruline à ailes dorées</v>
      </c>
      <c r="F1380" s="3" t="str">
        <f>VLOOKUP(B1380,LifeList!$E$2:$G$2038,3)</f>
        <v>Vermivora chrysoptera</v>
      </c>
      <c r="G1380" s="3" t="str">
        <f>VLOOKUP(B1380,LifeList!$E$2:$I$2038,4)</f>
        <v>Passeriformes</v>
      </c>
      <c r="H1380" s="3" t="str">
        <f>VLOOKUP(B1380,LifeList!$E$2:$I$2038,5)</f>
        <v>Parulidae (New World Warblers)</v>
      </c>
      <c r="I1380" s="3"/>
    </row>
    <row r="1381" spans="1:9" ht="10.5" customHeight="1">
      <c r="A1381" s="3" t="s">
        <v>1990</v>
      </c>
      <c r="B1381" s="3" t="s">
        <v>1988</v>
      </c>
      <c r="C1381" s="3">
        <f>VLOOKUP(B1381,LifeList!$E$2:$J$2038,6)</f>
        <v>33956</v>
      </c>
      <c r="D1381" s="3" t="str">
        <f>VLOOKUP(B1381,LifeList!$E$2:$G$2038,1)</f>
        <v>Golden-winged Warbler</v>
      </c>
      <c r="E1381" s="3" t="str">
        <f>VLOOKUP(B1381,LifeList!$E$2:$G$2038,2)</f>
        <v>Paruline à ailes dorées</v>
      </c>
      <c r="F1381" s="3" t="str">
        <f>VLOOKUP(B1381,LifeList!$E$2:$G$2038,3)</f>
        <v>Vermivora chrysoptera</v>
      </c>
      <c r="G1381" s="3" t="str">
        <f>VLOOKUP(B1381,LifeList!$E$2:$I$2038,4)</f>
        <v>Passeriformes</v>
      </c>
      <c r="H1381" s="3" t="str">
        <f>VLOOKUP(B1381,LifeList!$E$2:$I$2038,5)</f>
        <v>Parulidae (New World Warblers)</v>
      </c>
      <c r="I1381" s="3"/>
    </row>
    <row r="1382" spans="1:9" ht="10.5" customHeight="1">
      <c r="A1382" s="3" t="s">
        <v>1991</v>
      </c>
      <c r="B1382" s="3" t="s">
        <v>1988</v>
      </c>
      <c r="C1382" s="3">
        <f>VLOOKUP(B1382,LifeList!$E$2:$J$2038,6)</f>
        <v>33956</v>
      </c>
      <c r="D1382" s="3" t="str">
        <f>VLOOKUP(B1382,LifeList!$E$2:$G$2038,1)</f>
        <v>Golden-winged Warbler</v>
      </c>
      <c r="E1382" s="3" t="str">
        <f>VLOOKUP(B1382,LifeList!$E$2:$G$2038,2)</f>
        <v>Paruline à ailes dorées</v>
      </c>
      <c r="F1382" s="3" t="str">
        <f>VLOOKUP(B1382,LifeList!$E$2:$G$2038,3)</f>
        <v>Vermivora chrysoptera</v>
      </c>
      <c r="G1382" s="3" t="str">
        <f>VLOOKUP(B1382,LifeList!$E$2:$I$2038,4)</f>
        <v>Passeriformes</v>
      </c>
      <c r="H1382" s="3" t="str">
        <f>VLOOKUP(B1382,LifeList!$E$2:$I$2038,5)</f>
        <v>Parulidae (New World Warblers)</v>
      </c>
      <c r="I1382" s="3"/>
    </row>
    <row r="1383" spans="1:9" ht="10.5" customHeight="1">
      <c r="A1383" s="3" t="s">
        <v>1992</v>
      </c>
      <c r="B1383" s="3" t="s">
        <v>1988</v>
      </c>
      <c r="C1383" s="3">
        <f>VLOOKUP(B1383,LifeList!$E$2:$J$2038,6)</f>
        <v>33956</v>
      </c>
      <c r="D1383" s="3" t="str">
        <f>VLOOKUP(B1383,LifeList!$E$2:$G$2038,1)</f>
        <v>Golden-winged Warbler</v>
      </c>
      <c r="E1383" s="3" t="str">
        <f>VLOOKUP(B1383,LifeList!$E$2:$G$2038,2)</f>
        <v>Paruline à ailes dorées</v>
      </c>
      <c r="F1383" s="3" t="str">
        <f>VLOOKUP(B1383,LifeList!$E$2:$G$2038,3)</f>
        <v>Vermivora chrysoptera</v>
      </c>
      <c r="G1383" s="3" t="str">
        <f>VLOOKUP(B1383,LifeList!$E$2:$I$2038,4)</f>
        <v>Passeriformes</v>
      </c>
      <c r="H1383" s="3" t="str">
        <f>VLOOKUP(B1383,LifeList!$E$2:$I$2038,5)</f>
        <v>Parulidae (New World Warblers)</v>
      </c>
      <c r="I1383" s="3"/>
    </row>
    <row r="1384" spans="1:9" ht="10.5" customHeight="1">
      <c r="A1384" s="7" t="s">
        <v>1993</v>
      </c>
      <c r="B1384" s="8" t="s">
        <v>1994</v>
      </c>
      <c r="C1384" s="3">
        <f>VLOOKUP(B1384,LifeList!$E$2:$J$2038,6)</f>
        <v>16806</v>
      </c>
      <c r="D1384" s="3" t="str">
        <f>VLOOKUP(B1384,LifeList!$E$2:$G$2038,1)</f>
        <v>Golden-faced Tyrannulet</v>
      </c>
      <c r="E1384" s="3" t="str">
        <f>VLOOKUP(B1384,LifeList!$E$2:$G$2038,2)</f>
        <v>Tyranneau à face d'or</v>
      </c>
      <c r="F1384" s="3" t="str">
        <f>VLOOKUP(B1384,LifeList!$E$2:$G$2038,3)</f>
        <v>Zimmerius chrysops</v>
      </c>
      <c r="G1384" s="3" t="str">
        <f>VLOOKUP(B1384,LifeList!$E$2:$I$2038,4)</f>
        <v>Passeriformes</v>
      </c>
      <c r="H1384" s="3" t="str">
        <f>VLOOKUP(B1384,LifeList!$E$2:$I$2038,5)</f>
        <v>Tyrannidae (Tyrant Flycatchers)</v>
      </c>
      <c r="I1384" s="3"/>
    </row>
    <row r="1385" spans="1:9" ht="10.5" customHeight="1">
      <c r="A1385" s="5" t="s">
        <v>1995</v>
      </c>
      <c r="B1385" s="3" t="s">
        <v>1996</v>
      </c>
      <c r="C1385" s="6">
        <f>VLOOKUP(B1385,LifeList!$E$2:$J$2038,6)</f>
        <v>7780</v>
      </c>
      <c r="D1385" s="3" t="str">
        <f>VLOOKUP(B1385,LifeList!$E$2:$G$2038,1)</f>
        <v>Goliath Heron</v>
      </c>
      <c r="E1385" s="3" t="str">
        <f>VLOOKUP(B1385,LifeList!$E$2:$G$2038,2)</f>
        <v>Héron goliath</v>
      </c>
      <c r="F1385" s="3" t="str">
        <f>VLOOKUP(B1385,LifeList!$E$2:$G$2038,3)</f>
        <v>Ardea goliath</v>
      </c>
      <c r="G1385" s="3" t="str">
        <f>VLOOKUP(B1385,LifeList!$E$2:$I$2038,4)</f>
        <v>Pelecaniformes</v>
      </c>
      <c r="H1385" s="3" t="str">
        <f>VLOOKUP(B1385,LifeList!$E$2:$I$2038,5)</f>
        <v>Ardeidae (Herons, Egrets, and Bitterns)</v>
      </c>
      <c r="I1385" s="3"/>
    </row>
    <row r="1386" spans="1:9" ht="10.5" customHeight="1">
      <c r="A1386" s="3" t="s">
        <v>1997</v>
      </c>
      <c r="B1386" s="3" t="s">
        <v>1998</v>
      </c>
      <c r="C1386" s="3">
        <f>VLOOKUP(B1386,LifeList!$E$2:$J$2038,6)</f>
        <v>7780</v>
      </c>
      <c r="D1386" s="3" t="str">
        <f>VLOOKUP(B1386,LifeList!$E$2:$G$2038,1)</f>
        <v>Goliath Heron</v>
      </c>
      <c r="E1386" s="3" t="str">
        <f>VLOOKUP(B1386,LifeList!$E$2:$G$2038,2)</f>
        <v>Héron goliath</v>
      </c>
      <c r="F1386" s="3" t="str">
        <f>VLOOKUP(B1386,LifeList!$E$2:$G$2038,3)</f>
        <v>Ardea goliath</v>
      </c>
      <c r="G1386" s="3" t="str">
        <f>VLOOKUP(B1386,LifeList!$E$2:$I$2038,4)</f>
        <v>Pelecaniformes</v>
      </c>
      <c r="H1386" s="3" t="str">
        <f>VLOOKUP(B1386,LifeList!$E$2:$I$2038,5)</f>
        <v>Ardeidae (Herons, Egrets, and Bitterns)</v>
      </c>
      <c r="I1386" s="3"/>
    </row>
    <row r="1387" spans="1:9" ht="10.5" customHeight="1">
      <c r="A1387" s="3" t="s">
        <v>1999</v>
      </c>
      <c r="B1387" s="3" t="s">
        <v>2000</v>
      </c>
      <c r="C1387" s="3">
        <f>VLOOKUP(B1387,LifeList!$E$2:$J$2038,6)</f>
        <v>4784</v>
      </c>
      <c r="D1387" s="3" t="str">
        <f>VLOOKUP(B1387,LifeList!$E$2:$G$2038,1)</f>
        <v>Gorgeted Woodstar</v>
      </c>
      <c r="E1387" s="3" t="str">
        <f>VLOOKUP(B1387,LifeList!$E$2:$G$2038,2)</f>
        <v>Colibri d'Héliodore</v>
      </c>
      <c r="F1387" s="3" t="str">
        <f>VLOOKUP(B1387,LifeList!$E$2:$G$2038,3)</f>
        <v>Chaetocercus heliodor</v>
      </c>
      <c r="G1387" s="3" t="str">
        <f>VLOOKUP(B1387,LifeList!$E$2:$I$2038,4)</f>
        <v>Apodiformes</v>
      </c>
      <c r="H1387" s="3" t="str">
        <f>VLOOKUP(B1387,LifeList!$E$2:$I$2038,5)</f>
        <v>Trochilidae (Hummingbirds)</v>
      </c>
      <c r="I1387" s="3"/>
    </row>
    <row r="1388" spans="1:9" ht="10.5" customHeight="1">
      <c r="A1388" s="3" t="s">
        <v>2001</v>
      </c>
      <c r="B1388" s="3" t="s">
        <v>2002</v>
      </c>
      <c r="C1388" s="3">
        <f>VLOOKUP(B1388,LifeList!$E$2:$J$2038,6)</f>
        <v>9560</v>
      </c>
      <c r="D1388" s="3" t="str">
        <f>VLOOKUP(B1388,LifeList!$E$2:$G$2038,1)</f>
        <v>Graceful Black-throated Trogon</v>
      </c>
      <c r="E1388" s="3" t="str">
        <f>VLOOKUP(B1388,LifeList!$E$2:$G$2038,2)</f>
        <v>Trogon de Cabanis</v>
      </c>
      <c r="F1388" s="3" t="str">
        <f>VLOOKUP(B1388,LifeList!$E$2:$G$2038,3)</f>
        <v>Trogon tenellus</v>
      </c>
      <c r="G1388" s="3" t="str">
        <f>VLOOKUP(B1388,LifeList!$E$2:$I$2038,4)</f>
        <v>Trogoniformes</v>
      </c>
      <c r="H1388" s="3" t="str">
        <f>VLOOKUP(B1388,LifeList!$E$2:$I$2038,5)</f>
        <v>Trogonidae (Trogons)</v>
      </c>
      <c r="I1388" s="3"/>
    </row>
    <row r="1389" spans="1:9" ht="10.5" customHeight="1">
      <c r="A1389" s="3" t="s">
        <v>2003</v>
      </c>
      <c r="B1389" s="3" t="s">
        <v>2002</v>
      </c>
      <c r="C1389" s="3">
        <f>VLOOKUP(B1389,LifeList!$E$2:$J$2038,6)</f>
        <v>9560</v>
      </c>
      <c r="D1389" s="3" t="str">
        <f>VLOOKUP(B1389,LifeList!$E$2:$G$2038,1)</f>
        <v>Graceful Black-throated Trogon</v>
      </c>
      <c r="E1389" s="3" t="str">
        <f>VLOOKUP(B1389,LifeList!$E$2:$G$2038,2)</f>
        <v>Trogon de Cabanis</v>
      </c>
      <c r="F1389" s="3" t="str">
        <f>VLOOKUP(B1389,LifeList!$E$2:$G$2038,3)</f>
        <v>Trogon tenellus</v>
      </c>
      <c r="G1389" s="3" t="str">
        <f>VLOOKUP(B1389,LifeList!$E$2:$I$2038,4)</f>
        <v>Trogoniformes</v>
      </c>
      <c r="H1389" s="3" t="str">
        <f>VLOOKUP(B1389,LifeList!$E$2:$I$2038,5)</f>
        <v>Trogonidae (Trogons)</v>
      </c>
      <c r="I1389" s="3"/>
    </row>
    <row r="1390" spans="1:9" ht="10.5" customHeight="1">
      <c r="A1390" s="3" t="s">
        <v>2004</v>
      </c>
      <c r="B1390" s="3" t="s">
        <v>2002</v>
      </c>
      <c r="C1390" s="3">
        <f>VLOOKUP(B1390,LifeList!$E$2:$J$2038,6)</f>
        <v>9560</v>
      </c>
      <c r="D1390" s="3" t="str">
        <f>VLOOKUP(B1390,LifeList!$E$2:$G$2038,1)</f>
        <v>Graceful Black-throated Trogon</v>
      </c>
      <c r="E1390" s="3" t="str">
        <f>VLOOKUP(B1390,LifeList!$E$2:$G$2038,2)</f>
        <v>Trogon de Cabanis</v>
      </c>
      <c r="F1390" s="3" t="str">
        <f>VLOOKUP(B1390,LifeList!$E$2:$G$2038,3)</f>
        <v>Trogon tenellus</v>
      </c>
      <c r="G1390" s="3" t="str">
        <f>VLOOKUP(B1390,LifeList!$E$2:$I$2038,4)</f>
        <v>Trogoniformes</v>
      </c>
      <c r="H1390" s="3" t="str">
        <f>VLOOKUP(B1390,LifeList!$E$2:$I$2038,5)</f>
        <v>Trogonidae (Trogons)</v>
      </c>
      <c r="I1390" s="3"/>
    </row>
    <row r="1391" spans="1:9" ht="10.5" customHeight="1">
      <c r="A1391" s="3" t="s">
        <v>2005</v>
      </c>
      <c r="B1391" s="3" t="s">
        <v>2006</v>
      </c>
      <c r="C1391" s="3">
        <f>VLOOKUP(B1391,LifeList!$E$2:$J$2038,6)</f>
        <v>27304</v>
      </c>
      <c r="D1391" s="3" t="str">
        <f>VLOOKUP(B1391,LifeList!$E$2:$G$2038,1)</f>
        <v>Grass Wren</v>
      </c>
      <c r="E1391" s="3" t="str">
        <f>VLOOKUP(B1391,LifeList!$E$2:$G$2038,2)</f>
        <v>Troglodyte de Latham</v>
      </c>
      <c r="F1391" s="3" t="str">
        <f>VLOOKUP(B1391,LifeList!$E$2:$G$2038,3)</f>
        <v>Cistothorus platensis</v>
      </c>
      <c r="G1391" s="3" t="str">
        <f>VLOOKUP(B1391,LifeList!$E$2:$I$2038,4)</f>
        <v>Passeriformes</v>
      </c>
      <c r="H1391" s="3" t="str">
        <f>VLOOKUP(B1391,LifeList!$E$2:$I$2038,5)</f>
        <v>Troglodytidae (Wrens)</v>
      </c>
      <c r="I1391" s="3"/>
    </row>
    <row r="1392" spans="1:9" ht="10.5" customHeight="1">
      <c r="A1392" s="3" t="s">
        <v>2007</v>
      </c>
      <c r="B1392" s="3" t="s">
        <v>2006</v>
      </c>
      <c r="C1392" s="3">
        <f>VLOOKUP(B1392,LifeList!$E$2:$J$2038,6)</f>
        <v>27304</v>
      </c>
      <c r="D1392" s="3" t="str">
        <f>VLOOKUP(B1392,LifeList!$E$2:$G$2038,1)</f>
        <v>Grass Wren</v>
      </c>
      <c r="E1392" s="3" t="str">
        <f>VLOOKUP(B1392,LifeList!$E$2:$G$2038,2)</f>
        <v>Troglodyte de Latham</v>
      </c>
      <c r="F1392" s="3" t="str">
        <f>VLOOKUP(B1392,LifeList!$E$2:$G$2038,3)</f>
        <v>Cistothorus platensis</v>
      </c>
      <c r="G1392" s="3" t="str">
        <f>VLOOKUP(B1392,LifeList!$E$2:$I$2038,4)</f>
        <v>Passeriformes</v>
      </c>
      <c r="H1392" s="3" t="str">
        <f>VLOOKUP(B1392,LifeList!$E$2:$I$2038,5)</f>
        <v>Troglodytidae (Wrens)</v>
      </c>
      <c r="I1392" s="3"/>
    </row>
    <row r="1393" spans="1:9" ht="10.5" customHeight="1">
      <c r="A1393" s="3" t="s">
        <v>2008</v>
      </c>
      <c r="B1393" s="3" t="s">
        <v>2009</v>
      </c>
      <c r="C1393" s="3">
        <f>VLOOKUP(B1393,LifeList!$E$2:$J$2038,6)</f>
        <v>32943</v>
      </c>
      <c r="D1393" s="3" t="str">
        <f>VLOOKUP(B1393,LifeList!$E$2:$G$2038,1)</f>
        <v>Grasshopper Sparrow</v>
      </c>
      <c r="E1393" s="3" t="str">
        <f>VLOOKUP(B1393,LifeList!$E$2:$G$2038,2)</f>
        <v>Bruant sauterelle</v>
      </c>
      <c r="F1393" s="3" t="str">
        <f>VLOOKUP(B1393,LifeList!$E$2:$G$2038,3)</f>
        <v>Ammodramus savannarum</v>
      </c>
      <c r="G1393" s="3" t="str">
        <f>VLOOKUP(B1393,LifeList!$E$2:$I$2038,4)</f>
        <v>Passeriformes</v>
      </c>
      <c r="H1393" s="3" t="str">
        <f>VLOOKUP(B1393,LifeList!$E$2:$I$2038,5)</f>
        <v>Passerellidae (New World Sparrows)</v>
      </c>
      <c r="I1393" s="3"/>
    </row>
    <row r="1394" spans="1:9" ht="10.5" customHeight="1">
      <c r="A1394" s="3" t="s">
        <v>2010</v>
      </c>
      <c r="B1394" s="3" t="s">
        <v>2009</v>
      </c>
      <c r="C1394" s="3">
        <f>VLOOKUP(B1394,LifeList!$E$2:$J$2038,6)</f>
        <v>32943</v>
      </c>
      <c r="D1394" s="3" t="str">
        <f>VLOOKUP(B1394,LifeList!$E$2:$G$2038,1)</f>
        <v>Grasshopper Sparrow</v>
      </c>
      <c r="E1394" s="3" t="str">
        <f>VLOOKUP(B1394,LifeList!$E$2:$G$2038,2)</f>
        <v>Bruant sauterelle</v>
      </c>
      <c r="F1394" s="3" t="str">
        <f>VLOOKUP(B1394,LifeList!$E$2:$G$2038,3)</f>
        <v>Ammodramus savannarum</v>
      </c>
      <c r="G1394" s="3" t="str">
        <f>VLOOKUP(B1394,LifeList!$E$2:$I$2038,4)</f>
        <v>Passeriformes</v>
      </c>
      <c r="H1394" s="3" t="str">
        <f>VLOOKUP(B1394,LifeList!$E$2:$I$2038,5)</f>
        <v>Passerellidae (New World Sparrows)</v>
      </c>
      <c r="I1394" s="3"/>
    </row>
    <row r="1395" spans="1:9" ht="10.5" customHeight="1">
      <c r="A1395" s="5" t="s">
        <v>2011</v>
      </c>
      <c r="B1395" s="3" t="s">
        <v>2012</v>
      </c>
      <c r="C1395" s="3">
        <f>VLOOKUP(B1395,LifeList!$E$2:$J$2038,6)</f>
        <v>1450</v>
      </c>
      <c r="D1395" s="3" t="str">
        <f>VLOOKUP(B1395,LifeList!$E$2:$G$2038,1)</f>
        <v>Gray Partridge</v>
      </c>
      <c r="E1395" s="3" t="str">
        <f>VLOOKUP(B1395,LifeList!$E$2:$G$2038,2)</f>
        <v>Perdrix grise</v>
      </c>
      <c r="F1395" s="3" t="str">
        <f>VLOOKUP(B1395,LifeList!$E$2:$G$2038,3)</f>
        <v>Perdix perdix</v>
      </c>
      <c r="G1395" s="3" t="str">
        <f>VLOOKUP(B1395,LifeList!$E$2:$I$2038,4)</f>
        <v>Galliformes</v>
      </c>
      <c r="H1395" s="3" t="str">
        <f>VLOOKUP(B1395,LifeList!$E$2:$I$2038,5)</f>
        <v>Phasianidae (Pheasants, Grouse, and Allies)</v>
      </c>
      <c r="I1395" s="3"/>
    </row>
    <row r="1396" spans="1:9" ht="10.5" customHeight="1">
      <c r="A1396" s="3" t="s">
        <v>2013</v>
      </c>
      <c r="B1396" s="3" t="s">
        <v>2014</v>
      </c>
      <c r="C1396" s="3">
        <f>VLOOKUP(B1396,LifeList!$E$2:$J$2038,6)</f>
        <v>19773</v>
      </c>
      <c r="D1396" s="3" t="str">
        <f>VLOOKUP(B1396,LifeList!$E$2:$G$2038,1)</f>
        <v>Gray Butcherbird</v>
      </c>
      <c r="E1396" s="3" t="str">
        <f>VLOOKUP(B1396,LifeList!$E$2:$G$2038,2)</f>
        <v>Cassican à collier</v>
      </c>
      <c r="F1396" s="3" t="str">
        <f>VLOOKUP(B1396,LifeList!$E$2:$G$2038,3)</f>
        <v>Cracticus torquatus</v>
      </c>
      <c r="G1396" s="3" t="str">
        <f>VLOOKUP(B1396,LifeList!$E$2:$I$2038,4)</f>
        <v>Passeriformes</v>
      </c>
      <c r="H1396" s="3" t="str">
        <f>VLOOKUP(B1396,LifeList!$E$2:$I$2038,5)</f>
        <v>Artamidae (Woodswallows, Bellmagpies, and Allies)</v>
      </c>
      <c r="I1396" s="3"/>
    </row>
    <row r="1397" spans="1:9" ht="10.5" customHeight="1">
      <c r="A1397" s="3" t="s">
        <v>2015</v>
      </c>
      <c r="B1397" s="3" t="s">
        <v>2016</v>
      </c>
      <c r="C1397" s="3">
        <f>VLOOKUP(B1397,LifeList!$E$2:$J$2038,6)</f>
        <v>28000</v>
      </c>
      <c r="D1397" s="3" t="str">
        <f>VLOOKUP(B1397,LifeList!$E$2:$G$2038,1)</f>
        <v>Gray Catbird</v>
      </c>
      <c r="E1397" s="3" t="str">
        <f>VLOOKUP(B1397,LifeList!$E$2:$G$2038,2)</f>
        <v>Moqueur chat</v>
      </c>
      <c r="F1397" s="3" t="str">
        <f>VLOOKUP(B1397,LifeList!$E$2:$G$2038,3)</f>
        <v>Dumetella carolinensis</v>
      </c>
      <c r="G1397" s="3" t="str">
        <f>VLOOKUP(B1397,LifeList!$E$2:$I$2038,4)</f>
        <v>Passeriformes</v>
      </c>
      <c r="H1397" s="3" t="str">
        <f>VLOOKUP(B1397,LifeList!$E$2:$I$2038,5)</f>
        <v>Mimidae (Mockingbirds and Thrashers)</v>
      </c>
      <c r="I1397" s="3"/>
    </row>
    <row r="1398" spans="1:9" ht="10.5" customHeight="1">
      <c r="A1398" s="3" t="s">
        <v>2017</v>
      </c>
      <c r="B1398" s="3" t="s">
        <v>2016</v>
      </c>
      <c r="C1398" s="3">
        <f>VLOOKUP(B1398,LifeList!$E$2:$J$2038,6)</f>
        <v>28000</v>
      </c>
      <c r="D1398" s="3" t="str">
        <f>VLOOKUP(B1398,LifeList!$E$2:$G$2038,1)</f>
        <v>Gray Catbird</v>
      </c>
      <c r="E1398" s="3" t="str">
        <f>VLOOKUP(B1398,LifeList!$E$2:$G$2038,2)</f>
        <v>Moqueur chat</v>
      </c>
      <c r="F1398" s="3" t="str">
        <f>VLOOKUP(B1398,LifeList!$E$2:$G$2038,3)</f>
        <v>Dumetella carolinensis</v>
      </c>
      <c r="G1398" s="3" t="str">
        <f>VLOOKUP(B1398,LifeList!$E$2:$I$2038,4)</f>
        <v>Passeriformes</v>
      </c>
      <c r="H1398" s="3" t="str">
        <f>VLOOKUP(B1398,LifeList!$E$2:$I$2038,5)</f>
        <v>Mimidae (Mockingbirds and Thrashers)</v>
      </c>
      <c r="I1398" s="3"/>
    </row>
    <row r="1399" spans="1:9" ht="10.5" customHeight="1">
      <c r="A1399" s="3" t="s">
        <v>2018</v>
      </c>
      <c r="B1399" s="3" t="s">
        <v>2016</v>
      </c>
      <c r="C1399" s="3">
        <f>VLOOKUP(B1399,LifeList!$E$2:$J$2038,6)</f>
        <v>28000</v>
      </c>
      <c r="D1399" s="3" t="str">
        <f>VLOOKUP(B1399,LifeList!$E$2:$G$2038,1)</f>
        <v>Gray Catbird</v>
      </c>
      <c r="E1399" s="3" t="str">
        <f>VLOOKUP(B1399,LifeList!$E$2:$G$2038,2)</f>
        <v>Moqueur chat</v>
      </c>
      <c r="F1399" s="3" t="str">
        <f>VLOOKUP(B1399,LifeList!$E$2:$G$2038,3)</f>
        <v>Dumetella carolinensis</v>
      </c>
      <c r="G1399" s="3" t="str">
        <f>VLOOKUP(B1399,LifeList!$E$2:$I$2038,4)</f>
        <v>Passeriformes</v>
      </c>
      <c r="H1399" s="3" t="str">
        <f>VLOOKUP(B1399,LifeList!$E$2:$I$2038,5)</f>
        <v>Mimidae (Mockingbirds and Thrashers)</v>
      </c>
      <c r="I1399" s="3"/>
    </row>
    <row r="1400" spans="1:9" ht="10.5" customHeight="1">
      <c r="A1400" s="3" t="s">
        <v>2019</v>
      </c>
      <c r="B1400" s="3" t="s">
        <v>2016</v>
      </c>
      <c r="C1400" s="3">
        <f>VLOOKUP(B1400,LifeList!$E$2:$J$2038,6)</f>
        <v>28000</v>
      </c>
      <c r="D1400" s="3" t="str">
        <f>VLOOKUP(B1400,LifeList!$E$2:$G$2038,1)</f>
        <v>Gray Catbird</v>
      </c>
      <c r="E1400" s="3" t="str">
        <f>VLOOKUP(B1400,LifeList!$E$2:$G$2038,2)</f>
        <v>Moqueur chat</v>
      </c>
      <c r="F1400" s="3" t="str">
        <f>VLOOKUP(B1400,LifeList!$E$2:$G$2038,3)</f>
        <v>Dumetella carolinensis</v>
      </c>
      <c r="G1400" s="3" t="str">
        <f>VLOOKUP(B1400,LifeList!$E$2:$I$2038,4)</f>
        <v>Passeriformes</v>
      </c>
      <c r="H1400" s="3" t="str">
        <f>VLOOKUP(B1400,LifeList!$E$2:$I$2038,5)</f>
        <v>Mimidae (Mockingbirds and Thrashers)</v>
      </c>
      <c r="I1400" s="3"/>
    </row>
    <row r="1401" spans="1:9" ht="10.5" customHeight="1">
      <c r="A1401" s="3" t="s">
        <v>2020</v>
      </c>
      <c r="B1401" s="3" t="s">
        <v>2016</v>
      </c>
      <c r="C1401" s="3">
        <f>VLOOKUP(B1401,LifeList!$E$2:$J$2038,6)</f>
        <v>28000</v>
      </c>
      <c r="D1401" s="3" t="str">
        <f>VLOOKUP(B1401,LifeList!$E$2:$G$2038,1)</f>
        <v>Gray Catbird</v>
      </c>
      <c r="E1401" s="3" t="str">
        <f>VLOOKUP(B1401,LifeList!$E$2:$G$2038,2)</f>
        <v>Moqueur chat</v>
      </c>
      <c r="F1401" s="3" t="str">
        <f>VLOOKUP(B1401,LifeList!$E$2:$G$2038,3)</f>
        <v>Dumetella carolinensis</v>
      </c>
      <c r="G1401" s="3" t="str">
        <f>VLOOKUP(B1401,LifeList!$E$2:$I$2038,4)</f>
        <v>Passeriformes</v>
      </c>
      <c r="H1401" s="3" t="str">
        <f>VLOOKUP(B1401,LifeList!$E$2:$I$2038,5)</f>
        <v>Mimidae (Mockingbirds and Thrashers)</v>
      </c>
      <c r="I1401" s="3"/>
    </row>
    <row r="1402" spans="1:9" ht="10.5" customHeight="1">
      <c r="A1402" s="3" t="s">
        <v>2021</v>
      </c>
      <c r="B1402" s="3" t="s">
        <v>2016</v>
      </c>
      <c r="C1402" s="3">
        <f>VLOOKUP(B1402,LifeList!$E$2:$J$2038,6)</f>
        <v>28000</v>
      </c>
      <c r="D1402" s="3" t="str">
        <f>VLOOKUP(B1402,LifeList!$E$2:$G$2038,1)</f>
        <v>Gray Catbird</v>
      </c>
      <c r="E1402" s="3" t="str">
        <f>VLOOKUP(B1402,LifeList!$E$2:$G$2038,2)</f>
        <v>Moqueur chat</v>
      </c>
      <c r="F1402" s="3" t="str">
        <f>VLOOKUP(B1402,LifeList!$E$2:$G$2038,3)</f>
        <v>Dumetella carolinensis</v>
      </c>
      <c r="G1402" s="3" t="str">
        <f>VLOOKUP(B1402,LifeList!$E$2:$I$2038,4)</f>
        <v>Passeriformes</v>
      </c>
      <c r="H1402" s="3" t="str">
        <f>VLOOKUP(B1402,LifeList!$E$2:$I$2038,5)</f>
        <v>Mimidae (Mockingbirds and Thrashers)</v>
      </c>
      <c r="I1402" s="3"/>
    </row>
    <row r="1403" spans="1:9" ht="10.5" customHeight="1">
      <c r="A1403" s="3" t="s">
        <v>2022</v>
      </c>
      <c r="B1403" s="3" t="s">
        <v>2016</v>
      </c>
      <c r="C1403" s="3">
        <f>VLOOKUP(B1403,LifeList!$E$2:$J$2038,6)</f>
        <v>28000</v>
      </c>
      <c r="D1403" s="3" t="str">
        <f>VLOOKUP(B1403,LifeList!$E$2:$G$2038,1)</f>
        <v>Gray Catbird</v>
      </c>
      <c r="E1403" s="3" t="str">
        <f>VLOOKUP(B1403,LifeList!$E$2:$G$2038,2)</f>
        <v>Moqueur chat</v>
      </c>
      <c r="F1403" s="3" t="str">
        <f>VLOOKUP(B1403,LifeList!$E$2:$G$2038,3)</f>
        <v>Dumetella carolinensis</v>
      </c>
      <c r="G1403" s="3" t="str">
        <f>VLOOKUP(B1403,LifeList!$E$2:$I$2038,4)</f>
        <v>Passeriformes</v>
      </c>
      <c r="H1403" s="3" t="str">
        <f>VLOOKUP(B1403,LifeList!$E$2:$I$2038,5)</f>
        <v>Mimidae (Mockingbirds and Thrashers)</v>
      </c>
      <c r="I1403" s="3"/>
    </row>
    <row r="1404" spans="1:9" ht="10.5" customHeight="1">
      <c r="A1404" s="3" t="s">
        <v>2023</v>
      </c>
      <c r="B1404" s="3" t="s">
        <v>2016</v>
      </c>
      <c r="C1404" s="3">
        <f>VLOOKUP(B1404,LifeList!$E$2:$J$2038,6)</f>
        <v>28000</v>
      </c>
      <c r="D1404" s="3" t="str">
        <f>VLOOKUP(B1404,LifeList!$E$2:$G$2038,1)</f>
        <v>Gray Catbird</v>
      </c>
      <c r="E1404" s="3" t="str">
        <f>VLOOKUP(B1404,LifeList!$E$2:$G$2038,2)</f>
        <v>Moqueur chat</v>
      </c>
      <c r="F1404" s="3" t="str">
        <f>VLOOKUP(B1404,LifeList!$E$2:$G$2038,3)</f>
        <v>Dumetella carolinensis</v>
      </c>
      <c r="G1404" s="3" t="str">
        <f>VLOOKUP(B1404,LifeList!$E$2:$I$2038,4)</f>
        <v>Passeriformes</v>
      </c>
      <c r="H1404" s="3" t="str">
        <f>VLOOKUP(B1404,LifeList!$E$2:$I$2038,5)</f>
        <v>Mimidae (Mockingbirds and Thrashers)</v>
      </c>
      <c r="I1404" s="3"/>
    </row>
    <row r="1405" spans="1:9" ht="10.5" customHeight="1">
      <c r="A1405" s="3" t="s">
        <v>2024</v>
      </c>
      <c r="B1405" s="3" t="s">
        <v>2016</v>
      </c>
      <c r="C1405" s="3">
        <f>VLOOKUP(B1405,LifeList!$E$2:$J$2038,6)</f>
        <v>28000</v>
      </c>
      <c r="D1405" s="3" t="str">
        <f>VLOOKUP(B1405,LifeList!$E$2:$G$2038,1)</f>
        <v>Gray Catbird</v>
      </c>
      <c r="E1405" s="3" t="str">
        <f>VLOOKUP(B1405,LifeList!$E$2:$G$2038,2)</f>
        <v>Moqueur chat</v>
      </c>
      <c r="F1405" s="3" t="str">
        <f>VLOOKUP(B1405,LifeList!$E$2:$G$2038,3)</f>
        <v>Dumetella carolinensis</v>
      </c>
      <c r="G1405" s="3" t="str">
        <f>VLOOKUP(B1405,LifeList!$E$2:$I$2038,4)</f>
        <v>Passeriformes</v>
      </c>
      <c r="H1405" s="3" t="str">
        <f>VLOOKUP(B1405,LifeList!$E$2:$I$2038,5)</f>
        <v>Mimidae (Mockingbirds and Thrashers)</v>
      </c>
      <c r="I1405" s="3"/>
    </row>
    <row r="1406" spans="1:9" ht="10.5" customHeight="1">
      <c r="A1406" s="3" t="s">
        <v>2025</v>
      </c>
      <c r="B1406" s="3" t="s">
        <v>2016</v>
      </c>
      <c r="C1406" s="3">
        <f>VLOOKUP(B1406,LifeList!$E$2:$J$2038,6)</f>
        <v>28000</v>
      </c>
      <c r="D1406" s="3" t="str">
        <f>VLOOKUP(B1406,LifeList!$E$2:$G$2038,1)</f>
        <v>Gray Catbird</v>
      </c>
      <c r="E1406" s="3" t="str">
        <f>VLOOKUP(B1406,LifeList!$E$2:$G$2038,2)</f>
        <v>Moqueur chat</v>
      </c>
      <c r="F1406" s="3" t="str">
        <f>VLOOKUP(B1406,LifeList!$E$2:$G$2038,3)</f>
        <v>Dumetella carolinensis</v>
      </c>
      <c r="G1406" s="3" t="str">
        <f>VLOOKUP(B1406,LifeList!$E$2:$I$2038,4)</f>
        <v>Passeriformes</v>
      </c>
      <c r="H1406" s="3" t="str">
        <f>VLOOKUP(B1406,LifeList!$E$2:$I$2038,5)</f>
        <v>Mimidae (Mockingbirds and Thrashers)</v>
      </c>
      <c r="I1406" s="3"/>
    </row>
    <row r="1407" spans="1:9" ht="10.5" customHeight="1">
      <c r="A1407" s="3" t="s">
        <v>2026</v>
      </c>
      <c r="B1407" s="3" t="s">
        <v>2016</v>
      </c>
      <c r="C1407" s="3">
        <f>VLOOKUP(B1407,LifeList!$E$2:$J$2038,6)</f>
        <v>28000</v>
      </c>
      <c r="D1407" s="3" t="str">
        <f>VLOOKUP(B1407,LifeList!$E$2:$G$2038,1)</f>
        <v>Gray Catbird</v>
      </c>
      <c r="E1407" s="3" t="str">
        <f>VLOOKUP(B1407,LifeList!$E$2:$G$2038,2)</f>
        <v>Moqueur chat</v>
      </c>
      <c r="F1407" s="3" t="str">
        <f>VLOOKUP(B1407,LifeList!$E$2:$G$2038,3)</f>
        <v>Dumetella carolinensis</v>
      </c>
      <c r="G1407" s="3" t="str">
        <f>VLOOKUP(B1407,LifeList!$E$2:$I$2038,4)</f>
        <v>Passeriformes</v>
      </c>
      <c r="H1407" s="3" t="str">
        <f>VLOOKUP(B1407,LifeList!$E$2:$I$2038,5)</f>
        <v>Mimidae (Mockingbirds and Thrashers)</v>
      </c>
      <c r="I1407" s="3"/>
    </row>
    <row r="1408" spans="1:9" ht="10.5" customHeight="1">
      <c r="A1408" s="3" t="s">
        <v>2027</v>
      </c>
      <c r="B1408" s="3" t="s">
        <v>2016</v>
      </c>
      <c r="C1408" s="3">
        <f>VLOOKUP(B1408,LifeList!$E$2:$J$2038,6)</f>
        <v>28000</v>
      </c>
      <c r="D1408" s="3" t="str">
        <f>VLOOKUP(B1408,LifeList!$E$2:$G$2038,1)</f>
        <v>Gray Catbird</v>
      </c>
      <c r="E1408" s="3" t="str">
        <f>VLOOKUP(B1408,LifeList!$E$2:$G$2038,2)</f>
        <v>Moqueur chat</v>
      </c>
      <c r="F1408" s="3" t="str">
        <f>VLOOKUP(B1408,LifeList!$E$2:$G$2038,3)</f>
        <v>Dumetella carolinensis</v>
      </c>
      <c r="G1408" s="3" t="str">
        <f>VLOOKUP(B1408,LifeList!$E$2:$I$2038,4)</f>
        <v>Passeriformes</v>
      </c>
      <c r="H1408" s="3" t="str">
        <f>VLOOKUP(B1408,LifeList!$E$2:$I$2038,5)</f>
        <v>Mimidae (Mockingbirds and Thrashers)</v>
      </c>
      <c r="I1408" s="3"/>
    </row>
    <row r="1409" spans="1:9" ht="10.5" customHeight="1">
      <c r="A1409" s="3" t="s">
        <v>2028</v>
      </c>
      <c r="B1409" s="3" t="s">
        <v>2016</v>
      </c>
      <c r="C1409" s="3">
        <f>VLOOKUP(B1409,LifeList!$E$2:$J$2038,6)</f>
        <v>28000</v>
      </c>
      <c r="D1409" s="3" t="str">
        <f>VLOOKUP(B1409,LifeList!$E$2:$G$2038,1)</f>
        <v>Gray Catbird</v>
      </c>
      <c r="E1409" s="3" t="str">
        <f>VLOOKUP(B1409,LifeList!$E$2:$G$2038,2)</f>
        <v>Moqueur chat</v>
      </c>
      <c r="F1409" s="3" t="str">
        <f>VLOOKUP(B1409,LifeList!$E$2:$G$2038,3)</f>
        <v>Dumetella carolinensis</v>
      </c>
      <c r="G1409" s="3" t="str">
        <f>VLOOKUP(B1409,LifeList!$E$2:$I$2038,4)</f>
        <v>Passeriformes</v>
      </c>
      <c r="H1409" s="3" t="str">
        <f>VLOOKUP(B1409,LifeList!$E$2:$I$2038,5)</f>
        <v>Mimidae (Mockingbirds and Thrashers)</v>
      </c>
      <c r="I1409" s="3"/>
    </row>
    <row r="1410" spans="1:9" ht="10.5" customHeight="1">
      <c r="A1410" s="3" t="s">
        <v>2029</v>
      </c>
      <c r="B1410" s="3" t="s">
        <v>2016</v>
      </c>
      <c r="C1410" s="3">
        <f>VLOOKUP(B1410,LifeList!$E$2:$J$2038,6)</f>
        <v>28000</v>
      </c>
      <c r="D1410" s="3" t="str">
        <f>VLOOKUP(B1410,LifeList!$E$2:$G$2038,1)</f>
        <v>Gray Catbird</v>
      </c>
      <c r="E1410" s="3" t="str">
        <f>VLOOKUP(B1410,LifeList!$E$2:$G$2038,2)</f>
        <v>Moqueur chat</v>
      </c>
      <c r="F1410" s="3" t="str">
        <f>VLOOKUP(B1410,LifeList!$E$2:$G$2038,3)</f>
        <v>Dumetella carolinensis</v>
      </c>
      <c r="G1410" s="3" t="str">
        <f>VLOOKUP(B1410,LifeList!$E$2:$I$2038,4)</f>
        <v>Passeriformes</v>
      </c>
      <c r="H1410" s="3" t="str">
        <f>VLOOKUP(B1410,LifeList!$E$2:$I$2038,5)</f>
        <v>Mimidae (Mockingbirds and Thrashers)</v>
      </c>
      <c r="I1410" s="3"/>
    </row>
    <row r="1411" spans="1:9" ht="10.5" customHeight="1">
      <c r="A1411" s="3" t="s">
        <v>2030</v>
      </c>
      <c r="B1411" s="3" t="s">
        <v>2016</v>
      </c>
      <c r="C1411" s="3">
        <f>VLOOKUP(B1411,LifeList!$E$2:$J$2038,6)</f>
        <v>28000</v>
      </c>
      <c r="D1411" s="3" t="str">
        <f>VLOOKUP(B1411,LifeList!$E$2:$G$2038,1)</f>
        <v>Gray Catbird</v>
      </c>
      <c r="E1411" s="3" t="str">
        <f>VLOOKUP(B1411,LifeList!$E$2:$G$2038,2)</f>
        <v>Moqueur chat</v>
      </c>
      <c r="F1411" s="3" t="str">
        <f>VLOOKUP(B1411,LifeList!$E$2:$G$2038,3)</f>
        <v>Dumetella carolinensis</v>
      </c>
      <c r="G1411" s="3" t="str">
        <f>VLOOKUP(B1411,LifeList!$E$2:$I$2038,4)</f>
        <v>Passeriformes</v>
      </c>
      <c r="H1411" s="3" t="str">
        <f>VLOOKUP(B1411,LifeList!$E$2:$I$2038,5)</f>
        <v>Mimidae (Mockingbirds and Thrashers)</v>
      </c>
      <c r="I1411" s="3"/>
    </row>
    <row r="1412" spans="1:9" ht="10.5" customHeight="1">
      <c r="A1412" s="3" t="s">
        <v>2031</v>
      </c>
      <c r="B1412" s="3" t="s">
        <v>2016</v>
      </c>
      <c r="C1412" s="3">
        <f>VLOOKUP(B1412,LifeList!$E$2:$J$2038,6)</f>
        <v>28000</v>
      </c>
      <c r="D1412" s="3" t="str">
        <f>VLOOKUP(B1412,LifeList!$E$2:$G$2038,1)</f>
        <v>Gray Catbird</v>
      </c>
      <c r="E1412" s="3" t="str">
        <f>VLOOKUP(B1412,LifeList!$E$2:$G$2038,2)</f>
        <v>Moqueur chat</v>
      </c>
      <c r="F1412" s="3" t="str">
        <f>VLOOKUP(B1412,LifeList!$E$2:$G$2038,3)</f>
        <v>Dumetella carolinensis</v>
      </c>
      <c r="G1412" s="3" t="str">
        <f>VLOOKUP(B1412,LifeList!$E$2:$I$2038,4)</f>
        <v>Passeriformes</v>
      </c>
      <c r="H1412" s="3" t="str">
        <f>VLOOKUP(B1412,LifeList!$E$2:$I$2038,5)</f>
        <v>Mimidae (Mockingbirds and Thrashers)</v>
      </c>
      <c r="I1412" s="3"/>
    </row>
    <row r="1413" spans="1:9" ht="10.5" customHeight="1">
      <c r="A1413" s="3" t="s">
        <v>2032</v>
      </c>
      <c r="B1413" s="3" t="s">
        <v>2033</v>
      </c>
      <c r="C1413" s="3">
        <f>VLOOKUP(B1413,LifeList!$E$2:$J$2038,6)</f>
        <v>5690</v>
      </c>
      <c r="D1413" s="3" t="str">
        <f>VLOOKUP(B1413,LifeList!$E$2:$G$2038,1)</f>
        <v>Gray Crowned-Crane</v>
      </c>
      <c r="E1413" s="3" t="str">
        <f>VLOOKUP(B1413,LifeList!$E$2:$G$2038,2)</f>
        <v>Grue royale</v>
      </c>
      <c r="F1413" s="3" t="str">
        <f>VLOOKUP(B1413,LifeList!$E$2:$G$2038,3)</f>
        <v>Balearica regulorum</v>
      </c>
      <c r="G1413" s="3" t="str">
        <f>VLOOKUP(B1413,LifeList!$E$2:$I$2038,4)</f>
        <v>Gruiformes</v>
      </c>
      <c r="H1413" s="3" t="str">
        <f>VLOOKUP(B1413,LifeList!$E$2:$I$2038,5)</f>
        <v>Gruidae (Cranes)</v>
      </c>
      <c r="I1413" s="3"/>
    </row>
    <row r="1414" spans="1:9" ht="10.5" customHeight="1">
      <c r="A1414" s="3" t="s">
        <v>2034</v>
      </c>
      <c r="B1414" s="3" t="s">
        <v>2033</v>
      </c>
      <c r="C1414" s="3">
        <f>VLOOKUP(B1414,LifeList!$E$2:$J$2038,6)</f>
        <v>5690</v>
      </c>
      <c r="D1414" s="3" t="str">
        <f>VLOOKUP(B1414,LifeList!$E$2:$G$2038,1)</f>
        <v>Gray Crowned-Crane</v>
      </c>
      <c r="E1414" s="3" t="str">
        <f>VLOOKUP(B1414,LifeList!$E$2:$G$2038,2)</f>
        <v>Grue royale</v>
      </c>
      <c r="F1414" s="3" t="str">
        <f>VLOOKUP(B1414,LifeList!$E$2:$G$2038,3)</f>
        <v>Balearica regulorum</v>
      </c>
      <c r="G1414" s="3" t="str">
        <f>VLOOKUP(B1414,LifeList!$E$2:$I$2038,4)</f>
        <v>Gruiformes</v>
      </c>
      <c r="H1414" s="3" t="str">
        <f>VLOOKUP(B1414,LifeList!$E$2:$I$2038,5)</f>
        <v>Gruidae (Cranes)</v>
      </c>
      <c r="I1414" s="3"/>
    </row>
    <row r="1415" spans="1:9" ht="10.5" customHeight="1">
      <c r="A1415" s="7" t="s">
        <v>2035</v>
      </c>
      <c r="B1415" s="9" t="s">
        <v>2036</v>
      </c>
      <c r="C1415" s="3">
        <f>VLOOKUP(B1415,LifeList!$E$2:$J$2038,6)</f>
        <v>19818</v>
      </c>
      <c r="D1415" s="3" t="str">
        <f>VLOOKUP(B1415,LifeList!$E$2:$G$2038,1)</f>
        <v>Gray Currawong</v>
      </c>
      <c r="E1415" s="3" t="str">
        <f>VLOOKUP(B1415,LifeList!$E$2:$G$2038,2)</f>
        <v>Réveilleur cendré</v>
      </c>
      <c r="F1415" s="3" t="str">
        <f>VLOOKUP(B1415,LifeList!$E$2:$G$2038,3)</f>
        <v>Strepera versicolor</v>
      </c>
      <c r="G1415" s="3" t="str">
        <f>VLOOKUP(B1415,LifeList!$E$2:$I$2038,4)</f>
        <v>Passeriformes</v>
      </c>
      <c r="H1415" s="3" t="str">
        <f>VLOOKUP(B1415,LifeList!$E$2:$I$2038,5)</f>
        <v>Artamidae (Woodswallows, Bellmagpies, and Allies)</v>
      </c>
      <c r="I1415" s="3"/>
    </row>
    <row r="1416" spans="1:9" ht="10.5" customHeight="1">
      <c r="A1416" s="3" t="s">
        <v>2037</v>
      </c>
      <c r="B1416" s="3" t="s">
        <v>2038</v>
      </c>
      <c r="C1416" s="3">
        <f>VLOOKUP(B1416,LifeList!$E$2:$J$2038,6)</f>
        <v>20386</v>
      </c>
      <c r="D1416" s="3" t="str">
        <f>VLOOKUP(B1416,LifeList!$E$2:$G$2038,1)</f>
        <v>Gray Fantail</v>
      </c>
      <c r="E1416" s="3" t="str">
        <f>VLOOKUP(B1416,LifeList!$E$2:$G$2038,2)</f>
        <v>Rhipidure gris</v>
      </c>
      <c r="F1416" s="3" t="str">
        <f>VLOOKUP(B1416,LifeList!$E$2:$G$2038,3)</f>
        <v>Rhipidura albiscapa</v>
      </c>
      <c r="G1416" s="3" t="str">
        <f>VLOOKUP(B1416,LifeList!$E$2:$I$2038,4)</f>
        <v>Passeriformes</v>
      </c>
      <c r="H1416" s="3" t="str">
        <f>VLOOKUP(B1416,LifeList!$E$2:$I$2038,5)</f>
        <v>Rhipiduridae (Fantails)</v>
      </c>
      <c r="I1416" s="3"/>
    </row>
    <row r="1417" spans="1:9" ht="10.5" customHeight="1">
      <c r="A1417" s="3" t="s">
        <v>2039</v>
      </c>
      <c r="B1417" s="3" t="s">
        <v>2038</v>
      </c>
      <c r="C1417" s="3">
        <f>VLOOKUP(B1417,LifeList!$E$2:$J$2038,6)</f>
        <v>20386</v>
      </c>
      <c r="D1417" s="3" t="str">
        <f>VLOOKUP(B1417,LifeList!$E$2:$G$2038,1)</f>
        <v>Gray Fantail</v>
      </c>
      <c r="E1417" s="3" t="str">
        <f>VLOOKUP(B1417,LifeList!$E$2:$G$2038,2)</f>
        <v>Rhipidure gris</v>
      </c>
      <c r="F1417" s="3" t="str">
        <f>VLOOKUP(B1417,LifeList!$E$2:$G$2038,3)</f>
        <v>Rhipidura albiscapa</v>
      </c>
      <c r="G1417" s="3" t="str">
        <f>VLOOKUP(B1417,LifeList!$E$2:$I$2038,4)</f>
        <v>Passeriformes</v>
      </c>
      <c r="H1417" s="3" t="str">
        <f>VLOOKUP(B1417,LifeList!$E$2:$I$2038,5)</f>
        <v>Rhipiduridae (Fantails)</v>
      </c>
      <c r="I1417" s="3"/>
    </row>
    <row r="1418" spans="1:9" ht="10.5" customHeight="1">
      <c r="A1418" s="3" t="s">
        <v>2040</v>
      </c>
      <c r="B1418" s="3" t="s">
        <v>2041</v>
      </c>
      <c r="C1418" s="3">
        <f>VLOOKUP(B1418,LifeList!$E$2:$J$2038,6)</f>
        <v>1639</v>
      </c>
      <c r="D1418" s="3" t="str">
        <f>VLOOKUP(B1418,LifeList!$E$2:$G$2038,1)</f>
        <v>Gray Francolin</v>
      </c>
      <c r="E1418" s="3" t="str">
        <f>VLOOKUP(B1418,LifeList!$E$2:$G$2038,2)</f>
        <v>Francolin gris</v>
      </c>
      <c r="F1418" s="3" t="str">
        <f>VLOOKUP(B1418,LifeList!$E$2:$G$2038,3)</f>
        <v>Ortygornis pondicerianus</v>
      </c>
      <c r="G1418" s="3" t="str">
        <f>VLOOKUP(B1418,LifeList!$E$2:$I$2038,4)</f>
        <v>Galliformes</v>
      </c>
      <c r="H1418" s="3" t="str">
        <f>VLOOKUP(B1418,LifeList!$E$2:$I$2038,5)</f>
        <v>Phasianidae (Pheasants, Grouse, and Allies)</v>
      </c>
      <c r="I1418" s="3"/>
    </row>
    <row r="1419" spans="1:9" ht="10.5" customHeight="1">
      <c r="A1419" s="3" t="s">
        <v>2042</v>
      </c>
      <c r="B1419" s="3" t="s">
        <v>2043</v>
      </c>
      <c r="C1419" s="3">
        <f>VLOOKUP(B1419,LifeList!$E$2:$J$2038,6)</f>
        <v>2970</v>
      </c>
      <c r="D1419" s="3" t="str">
        <f>VLOOKUP(B1419,LifeList!$E$2:$G$2038,1)</f>
        <v>Gray Go-away-bird</v>
      </c>
      <c r="E1419" s="3" t="str">
        <f>VLOOKUP(B1419,LifeList!$E$2:$G$2038,2)</f>
        <v>Touraco concolore</v>
      </c>
      <c r="F1419" s="3" t="str">
        <f>VLOOKUP(B1419,LifeList!$E$2:$G$2038,3)</f>
        <v>Crinifer concolor</v>
      </c>
      <c r="G1419" s="3" t="str">
        <f>VLOOKUP(B1419,LifeList!$E$2:$I$2038,4)</f>
        <v>Musophagiformes</v>
      </c>
      <c r="H1419" s="3" t="str">
        <f>VLOOKUP(B1419,LifeList!$E$2:$I$2038,5)</f>
        <v>Musophagidae (Turacos)</v>
      </c>
      <c r="I1419" s="3"/>
    </row>
    <row r="1420" spans="1:9" ht="10.5" customHeight="1">
      <c r="A1420" s="7" t="s">
        <v>2044</v>
      </c>
      <c r="B1420" s="9" t="s">
        <v>2045</v>
      </c>
      <c r="C1420" s="3">
        <f>VLOOKUP(B1420,LifeList!$E$2:$J$2038,6)</f>
        <v>8187</v>
      </c>
      <c r="D1420" s="3" t="str">
        <f>VLOOKUP(B1420,LifeList!$E$2:$G$2038,1)</f>
        <v>Gray Goshawk</v>
      </c>
      <c r="E1420" s="3" t="str">
        <f>VLOOKUP(B1420,LifeList!$E$2:$G$2038,2)</f>
        <v>Autour blanc</v>
      </c>
      <c r="F1420" s="3" t="str">
        <f>VLOOKUP(B1420,LifeList!$E$2:$G$2038,3)</f>
        <v>Tachyspiza novaehollandiae</v>
      </c>
      <c r="G1420" s="3" t="str">
        <f>VLOOKUP(B1420,LifeList!$E$2:$I$2038,4)</f>
        <v>Accipitriformes</v>
      </c>
      <c r="H1420" s="3" t="str">
        <f>VLOOKUP(B1420,LifeList!$E$2:$I$2038,5)</f>
        <v>Accipitridae (Hawks, Eagles, and Kites)</v>
      </c>
      <c r="I1420" s="3"/>
    </row>
    <row r="1421" spans="1:9" ht="10.5" customHeight="1">
      <c r="A1421" s="3" t="s">
        <v>2046</v>
      </c>
      <c r="B1421" s="3" t="s">
        <v>2047</v>
      </c>
      <c r="C1421" s="3">
        <f>VLOOKUP(B1421,LifeList!$E$2:$J$2038,6)</f>
        <v>8473</v>
      </c>
      <c r="D1421" s="3" t="str">
        <f>VLOOKUP(B1421,LifeList!$E$2:$G$2038,1)</f>
        <v>Gray Hawk</v>
      </c>
      <c r="E1421" s="3" t="str">
        <f>VLOOKUP(B1421,LifeList!$E$2:$G$2038,2)</f>
        <v>Buse grise</v>
      </c>
      <c r="F1421" s="3" t="str">
        <f>VLOOKUP(B1421,LifeList!$E$2:$G$2038,3)</f>
        <v>Buteo plagiatus</v>
      </c>
      <c r="G1421" s="3" t="str">
        <f>VLOOKUP(B1421,LifeList!$E$2:$I$2038,4)</f>
        <v>Accipitriformes</v>
      </c>
      <c r="H1421" s="3" t="str">
        <f>VLOOKUP(B1421,LifeList!$E$2:$I$2038,5)</f>
        <v>Accipitridae (Hawks, Eagles, and Kites)</v>
      </c>
      <c r="I1421" s="3"/>
    </row>
    <row r="1422" spans="1:9" ht="10.5" customHeight="1">
      <c r="A1422" s="3" t="s">
        <v>2048</v>
      </c>
      <c r="B1422" s="3" t="s">
        <v>2047</v>
      </c>
      <c r="C1422" s="3">
        <f>VLOOKUP(B1422,LifeList!$E$2:$J$2038,6)</f>
        <v>8473</v>
      </c>
      <c r="D1422" s="3" t="str">
        <f>VLOOKUP(B1422,LifeList!$E$2:$G$2038,1)</f>
        <v>Gray Hawk</v>
      </c>
      <c r="E1422" s="3" t="str">
        <f>VLOOKUP(B1422,LifeList!$E$2:$G$2038,2)</f>
        <v>Buse grise</v>
      </c>
      <c r="F1422" s="3" t="str">
        <f>VLOOKUP(B1422,LifeList!$E$2:$G$2038,3)</f>
        <v>Buteo plagiatus</v>
      </c>
      <c r="G1422" s="3" t="str">
        <f>VLOOKUP(B1422,LifeList!$E$2:$I$2038,4)</f>
        <v>Accipitriformes</v>
      </c>
      <c r="H1422" s="3" t="str">
        <f>VLOOKUP(B1422,LifeList!$E$2:$I$2038,5)</f>
        <v>Accipitridae (Hawks, Eagles, and Kites)</v>
      </c>
      <c r="I1422" s="3"/>
    </row>
    <row r="1423" spans="1:9" ht="10.5" customHeight="1">
      <c r="A1423" s="3" t="s">
        <v>2049</v>
      </c>
      <c r="B1423" s="3" t="s">
        <v>2047</v>
      </c>
      <c r="C1423" s="3">
        <f>VLOOKUP(B1423,LifeList!$E$2:$J$2038,6)</f>
        <v>8473</v>
      </c>
      <c r="D1423" s="3" t="str">
        <f>VLOOKUP(B1423,LifeList!$E$2:$G$2038,1)</f>
        <v>Gray Hawk</v>
      </c>
      <c r="E1423" s="3" t="str">
        <f>VLOOKUP(B1423,LifeList!$E$2:$G$2038,2)</f>
        <v>Buse grise</v>
      </c>
      <c r="F1423" s="3" t="str">
        <f>VLOOKUP(B1423,LifeList!$E$2:$G$2038,3)</f>
        <v>Buteo plagiatus</v>
      </c>
      <c r="G1423" s="3" t="str">
        <f>VLOOKUP(B1423,LifeList!$E$2:$I$2038,4)</f>
        <v>Accipitriformes</v>
      </c>
      <c r="H1423" s="3" t="str">
        <f>VLOOKUP(B1423,LifeList!$E$2:$I$2038,5)</f>
        <v>Accipitridae (Hawks, Eagles, and Kites)</v>
      </c>
      <c r="I1423" s="3"/>
    </row>
    <row r="1424" spans="1:9" ht="10.5" customHeight="1">
      <c r="A1424" s="3" t="s">
        <v>2050</v>
      </c>
      <c r="B1424" s="3" t="s">
        <v>2047</v>
      </c>
      <c r="C1424" s="3">
        <f>VLOOKUP(B1424,LifeList!$E$2:$J$2038,6)</f>
        <v>8473</v>
      </c>
      <c r="D1424" s="3" t="str">
        <f>VLOOKUP(B1424,LifeList!$E$2:$G$2038,1)</f>
        <v>Gray Hawk</v>
      </c>
      <c r="E1424" s="3" t="str">
        <f>VLOOKUP(B1424,LifeList!$E$2:$G$2038,2)</f>
        <v>Buse grise</v>
      </c>
      <c r="F1424" s="3" t="str">
        <f>VLOOKUP(B1424,LifeList!$E$2:$G$2038,3)</f>
        <v>Buteo plagiatus</v>
      </c>
      <c r="G1424" s="3" t="str">
        <f>VLOOKUP(B1424,LifeList!$E$2:$I$2038,4)</f>
        <v>Accipitriformes</v>
      </c>
      <c r="H1424" s="3" t="str">
        <f>VLOOKUP(B1424,LifeList!$E$2:$I$2038,5)</f>
        <v>Accipitridae (Hawks, Eagles, and Kites)</v>
      </c>
      <c r="I1424" s="3"/>
    </row>
    <row r="1425" spans="1:9" ht="10.5" customHeight="1">
      <c r="A1425" s="3" t="s">
        <v>2051</v>
      </c>
      <c r="B1425" s="3" t="s">
        <v>2052</v>
      </c>
      <c r="C1425" s="3">
        <f>VLOOKUP(B1425,LifeList!$E$2:$J$2038,6)</f>
        <v>7745</v>
      </c>
      <c r="D1425" s="3" t="str">
        <f>VLOOKUP(B1425,LifeList!$E$2:$G$2038,1)</f>
        <v>Gray Heron</v>
      </c>
      <c r="E1425" s="3" t="str">
        <f>VLOOKUP(B1425,LifeList!$E$2:$G$2038,2)</f>
        <v>Héron cendré</v>
      </c>
      <c r="F1425" s="3" t="str">
        <f>VLOOKUP(B1425,LifeList!$E$2:$G$2038,3)</f>
        <v>Ardea cinerea</v>
      </c>
      <c r="G1425" s="3" t="str">
        <f>VLOOKUP(B1425,LifeList!$E$2:$I$2038,4)</f>
        <v>Pelecaniformes</v>
      </c>
      <c r="H1425" s="3" t="str">
        <f>VLOOKUP(B1425,LifeList!$E$2:$I$2038,5)</f>
        <v>Ardeidae (Herons, Egrets, and Bitterns)</v>
      </c>
      <c r="I1425" s="3"/>
    </row>
    <row r="1426" spans="1:9" ht="10.5" customHeight="1">
      <c r="A1426" s="3" t="s">
        <v>2053</v>
      </c>
      <c r="B1426" s="3" t="s">
        <v>2052</v>
      </c>
      <c r="C1426" s="3">
        <f>VLOOKUP(B1426,LifeList!$E$2:$J$2038,6)</f>
        <v>7745</v>
      </c>
      <c r="D1426" s="3" t="str">
        <f>VLOOKUP(B1426,LifeList!$E$2:$G$2038,1)</f>
        <v>Gray Heron</v>
      </c>
      <c r="E1426" s="3" t="str">
        <f>VLOOKUP(B1426,LifeList!$E$2:$G$2038,2)</f>
        <v>Héron cendré</v>
      </c>
      <c r="F1426" s="3" t="str">
        <f>VLOOKUP(B1426,LifeList!$E$2:$G$2038,3)</f>
        <v>Ardea cinerea</v>
      </c>
      <c r="G1426" s="3" t="str">
        <f>VLOOKUP(B1426,LifeList!$E$2:$I$2038,4)</f>
        <v>Pelecaniformes</v>
      </c>
      <c r="H1426" s="3" t="str">
        <f>VLOOKUP(B1426,LifeList!$E$2:$I$2038,5)</f>
        <v>Ardeidae (Herons, Egrets, and Bitterns)</v>
      </c>
      <c r="I1426" s="3"/>
    </row>
    <row r="1427" spans="1:9" ht="10.5" customHeight="1">
      <c r="A1427" s="3" t="s">
        <v>2054</v>
      </c>
      <c r="B1427" s="3" t="s">
        <v>2055</v>
      </c>
      <c r="C1427" s="3">
        <f>VLOOKUP(B1427,LifeList!$E$2:$J$2038,6)</f>
        <v>17474</v>
      </c>
      <c r="D1427" s="3" t="str">
        <f>VLOOKUP(B1427,LifeList!$E$2:$G$2038,1)</f>
        <v>Gray Kingbird</v>
      </c>
      <c r="E1427" s="3" t="str">
        <f>VLOOKUP(B1427,LifeList!$E$2:$G$2038,2)</f>
        <v>Tyran gris</v>
      </c>
      <c r="F1427" s="3" t="str">
        <f>VLOOKUP(B1427,LifeList!$E$2:$G$2038,3)</f>
        <v>Tyrannus dominicensis</v>
      </c>
      <c r="G1427" s="3" t="str">
        <f>VLOOKUP(B1427,LifeList!$E$2:$I$2038,4)</f>
        <v>Passeriformes</v>
      </c>
      <c r="H1427" s="3" t="str">
        <f>VLOOKUP(B1427,LifeList!$E$2:$I$2038,5)</f>
        <v>Tyrannidae (Tyrant Flycatchers)</v>
      </c>
      <c r="I1427" s="3"/>
    </row>
    <row r="1428" spans="1:9" ht="10.5" customHeight="1">
      <c r="A1428" s="3" t="s">
        <v>2056</v>
      </c>
      <c r="B1428" s="3" t="s">
        <v>2055</v>
      </c>
      <c r="C1428" s="3">
        <f>VLOOKUP(B1428,LifeList!$E$2:$J$2038,6)</f>
        <v>17474</v>
      </c>
      <c r="D1428" s="3" t="str">
        <f>VLOOKUP(B1428,LifeList!$E$2:$G$2038,1)</f>
        <v>Gray Kingbird</v>
      </c>
      <c r="E1428" s="3" t="str">
        <f>VLOOKUP(B1428,LifeList!$E$2:$G$2038,2)</f>
        <v>Tyran gris</v>
      </c>
      <c r="F1428" s="3" t="str">
        <f>VLOOKUP(B1428,LifeList!$E$2:$G$2038,3)</f>
        <v>Tyrannus dominicensis</v>
      </c>
      <c r="G1428" s="3" t="str">
        <f>VLOOKUP(B1428,LifeList!$E$2:$I$2038,4)</f>
        <v>Passeriformes</v>
      </c>
      <c r="H1428" s="3" t="str">
        <f>VLOOKUP(B1428,LifeList!$E$2:$I$2038,5)</f>
        <v>Tyrannidae (Tyrant Flycatchers)</v>
      </c>
      <c r="I1428" s="3"/>
    </row>
    <row r="1429" spans="1:9" ht="10.5" customHeight="1">
      <c r="A1429" s="3" t="s">
        <v>2057</v>
      </c>
      <c r="B1429" s="3" t="s">
        <v>2055</v>
      </c>
      <c r="C1429" s="3">
        <f>VLOOKUP(B1429,LifeList!$E$2:$J$2038,6)</f>
        <v>17474</v>
      </c>
      <c r="D1429" s="3" t="str">
        <f>VLOOKUP(B1429,LifeList!$E$2:$G$2038,1)</f>
        <v>Gray Kingbird</v>
      </c>
      <c r="E1429" s="3" t="str">
        <f>VLOOKUP(B1429,LifeList!$E$2:$G$2038,2)</f>
        <v>Tyran gris</v>
      </c>
      <c r="F1429" s="3" t="str">
        <f>VLOOKUP(B1429,LifeList!$E$2:$G$2038,3)</f>
        <v>Tyrannus dominicensis</v>
      </c>
      <c r="G1429" s="3" t="str">
        <f>VLOOKUP(B1429,LifeList!$E$2:$I$2038,4)</f>
        <v>Passeriformes</v>
      </c>
      <c r="H1429" s="3" t="str">
        <f>VLOOKUP(B1429,LifeList!$E$2:$I$2038,5)</f>
        <v>Tyrannidae (Tyrant Flycatchers)</v>
      </c>
      <c r="I1429" s="3"/>
    </row>
    <row r="1430" spans="1:9" ht="10.5" customHeight="1">
      <c r="A1430" s="3" t="s">
        <v>2058</v>
      </c>
      <c r="B1430" s="3" t="s">
        <v>2055</v>
      </c>
      <c r="C1430" s="3">
        <f>VLOOKUP(B1430,LifeList!$E$2:$J$2038,6)</f>
        <v>17474</v>
      </c>
      <c r="D1430" s="3" t="str">
        <f>VLOOKUP(B1430,LifeList!$E$2:$G$2038,1)</f>
        <v>Gray Kingbird</v>
      </c>
      <c r="E1430" s="3" t="str">
        <f>VLOOKUP(B1430,LifeList!$E$2:$G$2038,2)</f>
        <v>Tyran gris</v>
      </c>
      <c r="F1430" s="3" t="str">
        <f>VLOOKUP(B1430,LifeList!$E$2:$G$2038,3)</f>
        <v>Tyrannus dominicensis</v>
      </c>
      <c r="G1430" s="3" t="str">
        <f>VLOOKUP(B1430,LifeList!$E$2:$I$2038,4)</f>
        <v>Passeriformes</v>
      </c>
      <c r="H1430" s="3" t="str">
        <f>VLOOKUP(B1430,LifeList!$E$2:$I$2038,5)</f>
        <v>Tyrannidae (Tyrant Flycatchers)</v>
      </c>
      <c r="I1430" s="3"/>
    </row>
    <row r="1431" spans="1:9" ht="10.5" customHeight="1">
      <c r="A1431" s="3" t="s">
        <v>2059</v>
      </c>
      <c r="B1431" s="3" t="s">
        <v>2055</v>
      </c>
      <c r="C1431" s="3">
        <f>VLOOKUP(B1431,LifeList!$E$2:$J$2038,6)</f>
        <v>17474</v>
      </c>
      <c r="D1431" s="3" t="str">
        <f>VLOOKUP(B1431,LifeList!$E$2:$G$2038,1)</f>
        <v>Gray Kingbird</v>
      </c>
      <c r="E1431" s="3" t="str">
        <f>VLOOKUP(B1431,LifeList!$E$2:$G$2038,2)</f>
        <v>Tyran gris</v>
      </c>
      <c r="F1431" s="3" t="str">
        <f>VLOOKUP(B1431,LifeList!$E$2:$G$2038,3)</f>
        <v>Tyrannus dominicensis</v>
      </c>
      <c r="G1431" s="3" t="str">
        <f>VLOOKUP(B1431,LifeList!$E$2:$I$2038,4)</f>
        <v>Passeriformes</v>
      </c>
      <c r="H1431" s="3" t="str">
        <f>VLOOKUP(B1431,LifeList!$E$2:$I$2038,5)</f>
        <v>Tyrannidae (Tyrant Flycatchers)</v>
      </c>
      <c r="I1431" s="3"/>
    </row>
    <row r="1432" spans="1:9" ht="10.5" customHeight="1">
      <c r="A1432" s="3" t="s">
        <v>2060</v>
      </c>
      <c r="B1432" s="3" t="s">
        <v>2061</v>
      </c>
      <c r="C1432" s="3">
        <f>VLOOKUP(B1432,LifeList!$E$2:$J$2038,6)</f>
        <v>19318</v>
      </c>
      <c r="D1432" s="3" t="str">
        <f>VLOOKUP(B1432,LifeList!$E$2:$G$2038,1)</f>
        <v>Gray Shrikethrush</v>
      </c>
      <c r="E1432" s="3" t="str">
        <f>VLOOKUP(B1432,LifeList!$E$2:$G$2038,2)</f>
        <v>Siffleur gris</v>
      </c>
      <c r="F1432" s="3" t="str">
        <f>VLOOKUP(B1432,LifeList!$E$2:$G$2038,3)</f>
        <v>Colluricincla harmonica</v>
      </c>
      <c r="G1432" s="3" t="str">
        <f>VLOOKUP(B1432,LifeList!$E$2:$I$2038,4)</f>
        <v>Passeriformes</v>
      </c>
      <c r="H1432" s="3" t="str">
        <f>VLOOKUP(B1432,LifeList!$E$2:$I$2038,5)</f>
        <v>Pachycephalidae (Whistlers and Allies)</v>
      </c>
      <c r="I1432" s="3"/>
    </row>
    <row r="1433" spans="1:9" ht="10.5" customHeight="1">
      <c r="A1433" s="7" t="s">
        <v>2062</v>
      </c>
      <c r="B1433" s="9" t="s">
        <v>2063</v>
      </c>
      <c r="C1433" s="3">
        <f>VLOOKUP(B1433,LifeList!$E$2:$J$2038,6)</f>
        <v>637</v>
      </c>
      <c r="D1433" s="3" t="str">
        <f>VLOOKUP(B1433,LifeList!$E$2:$G$2038,1)</f>
        <v>Gray Teal</v>
      </c>
      <c r="E1433" s="3" t="str">
        <f>VLOOKUP(B1433,LifeList!$E$2:$G$2038,2)</f>
        <v>Sarcelle australasienne</v>
      </c>
      <c r="F1433" s="3" t="str">
        <f>VLOOKUP(B1433,LifeList!$E$2:$G$2038,3)</f>
        <v>Anas gracilis</v>
      </c>
      <c r="G1433" s="3" t="str">
        <f>VLOOKUP(B1433,LifeList!$E$2:$I$2038,4)</f>
        <v>Anseriformes</v>
      </c>
      <c r="H1433" s="3" t="str">
        <f>VLOOKUP(B1433,LifeList!$E$2:$I$2038,5)</f>
        <v>Anatidae (Ducks, Geese, and Waterfowl)</v>
      </c>
      <c r="I1433" s="3"/>
    </row>
    <row r="1434" spans="1:9" ht="10.5" customHeight="1">
      <c r="A1434" s="7" t="s">
        <v>2064</v>
      </c>
      <c r="B1434" s="9" t="s">
        <v>2063</v>
      </c>
      <c r="C1434" s="3">
        <f>VLOOKUP(B1434,LifeList!$E$2:$J$2038,6)</f>
        <v>637</v>
      </c>
      <c r="D1434" s="3" t="str">
        <f>VLOOKUP(B1434,LifeList!$E$2:$G$2038,1)</f>
        <v>Gray Teal</v>
      </c>
      <c r="E1434" s="3" t="str">
        <f>VLOOKUP(B1434,LifeList!$E$2:$G$2038,2)</f>
        <v>Sarcelle australasienne</v>
      </c>
      <c r="F1434" s="3" t="str">
        <f>VLOOKUP(B1434,LifeList!$E$2:$G$2038,3)</f>
        <v>Anas gracilis</v>
      </c>
      <c r="G1434" s="3" t="str">
        <f>VLOOKUP(B1434,LifeList!$E$2:$I$2038,4)</f>
        <v>Anseriformes</v>
      </c>
      <c r="H1434" s="3" t="str">
        <f>VLOOKUP(B1434,LifeList!$E$2:$I$2038,5)</f>
        <v>Anatidae (Ducks, Geese, and Waterfowl)</v>
      </c>
      <c r="I1434" s="3"/>
    </row>
    <row r="1435" spans="1:9" ht="10.5" customHeight="1">
      <c r="A1435" s="7" t="s">
        <v>2065</v>
      </c>
      <c r="B1435" s="9" t="s">
        <v>2063</v>
      </c>
      <c r="C1435" s="3">
        <f>VLOOKUP(B1435,LifeList!$E$2:$J$2038,6)</f>
        <v>637</v>
      </c>
      <c r="D1435" s="3" t="str">
        <f>VLOOKUP(B1435,LifeList!$E$2:$G$2038,1)</f>
        <v>Gray Teal</v>
      </c>
      <c r="E1435" s="3" t="str">
        <f>VLOOKUP(B1435,LifeList!$E$2:$G$2038,2)</f>
        <v>Sarcelle australasienne</v>
      </c>
      <c r="F1435" s="3" t="str">
        <f>VLOOKUP(B1435,LifeList!$E$2:$G$2038,3)</f>
        <v>Anas gracilis</v>
      </c>
      <c r="G1435" s="3" t="str">
        <f>VLOOKUP(B1435,LifeList!$E$2:$I$2038,4)</f>
        <v>Anseriformes</v>
      </c>
      <c r="H1435" s="3" t="str">
        <f>VLOOKUP(B1435,LifeList!$E$2:$I$2038,5)</f>
        <v>Anatidae (Ducks, Geese, and Waterfowl)</v>
      </c>
      <c r="I1435" s="3"/>
    </row>
    <row r="1436" spans="1:9" ht="10.5" customHeight="1">
      <c r="A1436" s="3" t="s">
        <v>2066</v>
      </c>
      <c r="B1436" s="3" t="s">
        <v>2067</v>
      </c>
      <c r="C1436" s="3">
        <f>VLOOKUP(B1436,LifeList!$E$2:$J$2038,6)</f>
        <v>21134</v>
      </c>
      <c r="D1436" s="3" t="str">
        <f>VLOOKUP(B1436,LifeList!$E$2:$G$2038,1)</f>
        <v>Gray-backed Fiscal</v>
      </c>
      <c r="E1436" s="3" t="str">
        <f>VLOOKUP(B1436,LifeList!$E$2:$G$2038,2)</f>
        <v>Pie-grièche à dos gris</v>
      </c>
      <c r="F1436" s="3" t="str">
        <f>VLOOKUP(B1436,LifeList!$E$2:$G$2038,3)</f>
        <v>Lanius excubitoroides</v>
      </c>
      <c r="G1436" s="3" t="str">
        <f>VLOOKUP(B1436,LifeList!$E$2:$I$2038,4)</f>
        <v>Passeriformes</v>
      </c>
      <c r="H1436" s="3" t="str">
        <f>VLOOKUP(B1436,LifeList!$E$2:$I$2038,5)</f>
        <v>Laniidae (Shrikes)</v>
      </c>
      <c r="I1436" s="3"/>
    </row>
    <row r="1437" spans="1:9" ht="10.5" customHeight="1">
      <c r="A1437" s="3" t="s">
        <v>2068</v>
      </c>
      <c r="B1437" s="3" t="s">
        <v>2069</v>
      </c>
      <c r="C1437" s="3">
        <f>VLOOKUP(B1437,LifeList!$E$2:$J$2038,6)</f>
        <v>22423</v>
      </c>
      <c r="D1437" s="3" t="str">
        <f>VLOOKUP(B1437,LifeList!$E$2:$G$2038,1)</f>
        <v>Gray-backed Sparrow-Lark</v>
      </c>
      <c r="E1437" s="3" t="str">
        <f>VLOOKUP(B1437,LifeList!$E$2:$G$2038,2)</f>
        <v>Moinelette à dos gris</v>
      </c>
      <c r="F1437" s="3" t="str">
        <f>VLOOKUP(B1437,LifeList!$E$2:$G$2038,3)</f>
        <v>Eremopterix verticalis</v>
      </c>
      <c r="G1437" s="3" t="str">
        <f>VLOOKUP(B1437,LifeList!$E$2:$I$2038,4)</f>
        <v>Passeriformes</v>
      </c>
      <c r="H1437" s="3" t="str">
        <f>VLOOKUP(B1437,LifeList!$E$2:$I$2038,5)</f>
        <v>Alaudidae (Larks)</v>
      </c>
      <c r="I1437" s="3"/>
    </row>
    <row r="1438" spans="1:9" ht="10.5" customHeight="1">
      <c r="A1438" s="3" t="s">
        <v>2070</v>
      </c>
      <c r="B1438" s="3" t="s">
        <v>2071</v>
      </c>
      <c r="C1438" s="3">
        <f>VLOOKUP(B1438,LifeList!$E$2:$J$2038,6)</f>
        <v>27612</v>
      </c>
      <c r="D1438" s="3" t="str">
        <f>VLOOKUP(B1438,LifeList!$E$2:$G$2038,1)</f>
        <v>Gray-breasted Wood-Wren</v>
      </c>
      <c r="E1438" s="3" t="str">
        <f>VLOOKUP(B1438,LifeList!$E$2:$G$2038,2)</f>
        <v>Troglodyte à poitrine grise</v>
      </c>
      <c r="F1438" s="3" t="str">
        <f>VLOOKUP(B1438,LifeList!$E$2:$G$2038,3)</f>
        <v>Henicorhina leucophrys</v>
      </c>
      <c r="G1438" s="3" t="str">
        <f>VLOOKUP(B1438,LifeList!$E$2:$I$2038,4)</f>
        <v>Passeriformes</v>
      </c>
      <c r="H1438" s="3" t="str">
        <f>VLOOKUP(B1438,LifeList!$E$2:$I$2038,5)</f>
        <v>Troglodytidae (Wrens)</v>
      </c>
      <c r="I1438" s="3"/>
    </row>
    <row r="1439" spans="1:9" ht="10.5" customHeight="1">
      <c r="A1439" s="3" t="s">
        <v>2072</v>
      </c>
      <c r="B1439" s="3" t="s">
        <v>2071</v>
      </c>
      <c r="C1439" s="3">
        <f>VLOOKUP(B1439,LifeList!$E$2:$J$2038,6)</f>
        <v>27612</v>
      </c>
      <c r="D1439" s="3" t="str">
        <f>VLOOKUP(B1439,LifeList!$E$2:$G$2038,1)</f>
        <v>Gray-breasted Wood-Wren</v>
      </c>
      <c r="E1439" s="3" t="str">
        <f>VLOOKUP(B1439,LifeList!$E$2:$G$2038,2)</f>
        <v>Troglodyte à poitrine grise</v>
      </c>
      <c r="F1439" s="3" t="str">
        <f>VLOOKUP(B1439,LifeList!$E$2:$G$2038,3)</f>
        <v>Henicorhina leucophrys</v>
      </c>
      <c r="G1439" s="3" t="str">
        <f>VLOOKUP(B1439,LifeList!$E$2:$I$2038,4)</f>
        <v>Passeriformes</v>
      </c>
      <c r="H1439" s="3" t="str">
        <f>VLOOKUP(B1439,LifeList!$E$2:$I$2038,5)</f>
        <v>Troglodytidae (Wrens)</v>
      </c>
      <c r="I1439" s="3"/>
    </row>
    <row r="1440" spans="1:9" ht="10.5" customHeight="1">
      <c r="A1440" s="7" t="s">
        <v>2073</v>
      </c>
      <c r="B1440" s="8" t="s">
        <v>2074</v>
      </c>
      <c r="C1440" s="3">
        <f>VLOOKUP(B1440,LifeList!$E$2:$J$2038,6)</f>
        <v>27612</v>
      </c>
      <c r="D1440" s="3" t="str">
        <f>VLOOKUP(B1440,LifeList!$E$2:$G$2038,1)</f>
        <v>Gray-breasted Wood-Wren</v>
      </c>
      <c r="E1440" s="3" t="str">
        <f>VLOOKUP(B1440,LifeList!$E$2:$G$2038,2)</f>
        <v>Troglodyte à poitrine grise</v>
      </c>
      <c r="F1440" s="3" t="str">
        <f>VLOOKUP(B1440,LifeList!$E$2:$G$2038,3)</f>
        <v>Henicorhina leucophrys</v>
      </c>
      <c r="G1440" s="3" t="str">
        <f>VLOOKUP(B1440,LifeList!$E$2:$I$2038,4)</f>
        <v>Passeriformes</v>
      </c>
      <c r="H1440" s="3" t="str">
        <f>VLOOKUP(B1440,LifeList!$E$2:$I$2038,5)</f>
        <v>Troglodytidae (Wrens)</v>
      </c>
      <c r="I1440" s="3"/>
    </row>
    <row r="1441" spans="1:9" ht="10.5" customHeight="1">
      <c r="A1441" s="3" t="s">
        <v>2075</v>
      </c>
      <c r="B1441" s="3" t="s">
        <v>2076</v>
      </c>
      <c r="C1441" s="3">
        <f>VLOOKUP(B1441,LifeList!$E$2:$J$2038,6)</f>
        <v>33041</v>
      </c>
      <c r="D1441" s="3" t="str">
        <f>VLOOKUP(B1441,LifeList!$E$2:$G$2038,1)</f>
        <v>Gray-browed Brushfinch</v>
      </c>
      <c r="E1441" s="3" t="str">
        <f>VLOOKUP(B1441,LifeList!$E$2:$G$2038,2)</f>
        <v>Tohi à raies grises</v>
      </c>
      <c r="F1441" s="3" t="str">
        <f>VLOOKUP(B1441,LifeList!$E$2:$G$2038,3)</f>
        <v>Arremon assimilis</v>
      </c>
      <c r="G1441" s="3" t="str">
        <f>VLOOKUP(B1441,LifeList!$E$2:$I$2038,4)</f>
        <v>Passeriformes</v>
      </c>
      <c r="H1441" s="3" t="str">
        <f>VLOOKUP(B1441,LifeList!$E$2:$I$2038,5)</f>
        <v>Passerellidae (New World Sparrows)</v>
      </c>
      <c r="I1441" s="3"/>
    </row>
    <row r="1442" spans="1:9" ht="10.5" customHeight="1">
      <c r="A1442" s="3" t="s">
        <v>2077</v>
      </c>
      <c r="B1442" s="3" t="s">
        <v>2076</v>
      </c>
      <c r="C1442" s="3">
        <f>VLOOKUP(B1442,LifeList!$E$2:$J$2038,6)</f>
        <v>33041</v>
      </c>
      <c r="D1442" s="3" t="str">
        <f>VLOOKUP(B1442,LifeList!$E$2:$G$2038,1)</f>
        <v>Gray-browed Brushfinch</v>
      </c>
      <c r="E1442" s="3" t="str">
        <f>VLOOKUP(B1442,LifeList!$E$2:$G$2038,2)</f>
        <v>Tohi à raies grises</v>
      </c>
      <c r="F1442" s="3" t="str">
        <f>VLOOKUP(B1442,LifeList!$E$2:$G$2038,3)</f>
        <v>Arremon assimilis</v>
      </c>
      <c r="G1442" s="3" t="str">
        <f>VLOOKUP(B1442,LifeList!$E$2:$I$2038,4)</f>
        <v>Passeriformes</v>
      </c>
      <c r="H1442" s="3" t="str">
        <f>VLOOKUP(B1442,LifeList!$E$2:$I$2038,5)</f>
        <v>Passerellidae (New World Sparrows)</v>
      </c>
      <c r="I1442" s="3"/>
    </row>
    <row r="1443" spans="1:9" ht="10.5" customHeight="1">
      <c r="A1443" s="3" t="s">
        <v>2078</v>
      </c>
      <c r="B1443" s="3" t="s">
        <v>2079</v>
      </c>
      <c r="C1443" s="3">
        <f>VLOOKUP(B1443,LifeList!$E$2:$J$2038,6)</f>
        <v>17403</v>
      </c>
      <c r="D1443" s="3" t="str">
        <f>VLOOKUP(B1443,LifeList!$E$2:$G$2038,1)</f>
        <v>Gray-capped Flycatcher</v>
      </c>
      <c r="E1443" s="3" t="str">
        <f>VLOOKUP(B1443,LifeList!$E$2:$G$2038,2)</f>
        <v>Tyran à tête grise</v>
      </c>
      <c r="F1443" s="3" t="str">
        <f>VLOOKUP(B1443,LifeList!$E$2:$G$2038,3)</f>
        <v>Myiozetetes granadensis</v>
      </c>
      <c r="G1443" s="3" t="str">
        <f>VLOOKUP(B1443,LifeList!$E$2:$I$2038,4)</f>
        <v>Passeriformes</v>
      </c>
      <c r="H1443" s="3" t="str">
        <f>VLOOKUP(B1443,LifeList!$E$2:$I$2038,5)</f>
        <v>Tyrannidae (Tyrant Flycatchers)</v>
      </c>
      <c r="I1443" s="3"/>
    </row>
    <row r="1444" spans="1:9" ht="10.5" customHeight="1">
      <c r="A1444" s="3" t="s">
        <v>2080</v>
      </c>
      <c r="B1444" s="3" t="s">
        <v>2081</v>
      </c>
      <c r="C1444" s="3">
        <f>VLOOKUP(B1444,LifeList!$E$2:$J$2038,6)</f>
        <v>10445</v>
      </c>
      <c r="D1444" s="3" t="str">
        <f>VLOOKUP(B1444,LifeList!$E$2:$G$2038,1)</f>
        <v>Gray-cheeked Nunlet</v>
      </c>
      <c r="E1444" s="3" t="str">
        <f>VLOOKUP(B1444,LifeList!$E$2:$G$2038,2)</f>
        <v>Barbacou à joues grises</v>
      </c>
      <c r="F1444" s="3" t="str">
        <f>VLOOKUP(B1444,LifeList!$E$2:$G$2038,3)</f>
        <v>Nonnula frontalis</v>
      </c>
      <c r="G1444" s="3" t="str">
        <f>VLOOKUP(B1444,LifeList!$E$2:$I$2038,4)</f>
        <v>Piciformes</v>
      </c>
      <c r="H1444" s="3" t="str">
        <f>VLOOKUP(B1444,LifeList!$E$2:$I$2038,5)</f>
        <v>Bucconidae (Puffbirds)</v>
      </c>
      <c r="I1444" s="3"/>
    </row>
    <row r="1445" spans="1:9" ht="10.5" customHeight="1">
      <c r="A1445" s="3" t="s">
        <v>2082</v>
      </c>
      <c r="B1445" s="3" t="s">
        <v>2083</v>
      </c>
      <c r="C1445" s="3">
        <f>VLOOKUP(B1445,LifeList!$E$2:$J$2038,6)</f>
        <v>5441</v>
      </c>
      <c r="D1445" s="3" t="str">
        <f>VLOOKUP(B1445,LifeList!$E$2:$G$2038,1)</f>
        <v>Gray-cowled Wood-Rail</v>
      </c>
      <c r="E1445" s="3" t="str">
        <f>VLOOKUP(B1445,LifeList!$E$2:$G$2038,2)</f>
        <v>Râle de Cayenne</v>
      </c>
      <c r="F1445" s="3" t="str">
        <f>VLOOKUP(B1445,LifeList!$E$2:$G$2038,3)</f>
        <v>Aramides cajaneus</v>
      </c>
      <c r="G1445" s="3" t="str">
        <f>VLOOKUP(B1445,LifeList!$E$2:$I$2038,4)</f>
        <v>Gruiformes</v>
      </c>
      <c r="H1445" s="3" t="str">
        <f>VLOOKUP(B1445,LifeList!$E$2:$I$2038,5)</f>
        <v>Rallidae (Rails, Gallinules, and Coots)</v>
      </c>
      <c r="I1445" s="3"/>
    </row>
    <row r="1446" spans="1:9" ht="10.5" customHeight="1">
      <c r="A1446" s="7" t="s">
        <v>2084</v>
      </c>
      <c r="B1446" s="9" t="s">
        <v>2085</v>
      </c>
      <c r="C1446" s="3">
        <f>VLOOKUP(B1446,LifeList!$E$2:$J$2038,6)</f>
        <v>18504</v>
      </c>
      <c r="D1446" s="3" t="str">
        <f>VLOOKUP(B1446,LifeList!$E$2:$G$2038,1)</f>
        <v>Gray-crowned Babbler</v>
      </c>
      <c r="E1446" s="3" t="str">
        <f>VLOOKUP(B1446,LifeList!$E$2:$G$2038,2)</f>
        <v>Pomatostome à calotte grise</v>
      </c>
      <c r="F1446" s="3" t="str">
        <f>VLOOKUP(B1446,LifeList!$E$2:$G$2038,3)</f>
        <v>Pomatostomus temporalis</v>
      </c>
      <c r="G1446" s="3" t="str">
        <f>VLOOKUP(B1446,LifeList!$E$2:$I$2038,4)</f>
        <v>Passeriformes</v>
      </c>
      <c r="H1446" s="3" t="str">
        <f>VLOOKUP(B1446,LifeList!$E$2:$I$2038,5)</f>
        <v>Pomatostomidae (Pseudo-Babblers)</v>
      </c>
      <c r="I1446" s="3"/>
    </row>
    <row r="1447" spans="1:9" ht="10.5" customHeight="1">
      <c r="A1447" s="7" t="s">
        <v>2086</v>
      </c>
      <c r="B1447" s="9" t="s">
        <v>2085</v>
      </c>
      <c r="C1447" s="3">
        <f>VLOOKUP(B1447,LifeList!$E$2:$J$2038,6)</f>
        <v>18504</v>
      </c>
      <c r="D1447" s="3" t="str">
        <f>VLOOKUP(B1447,LifeList!$E$2:$G$2038,1)</f>
        <v>Gray-crowned Babbler</v>
      </c>
      <c r="E1447" s="3" t="str">
        <f>VLOOKUP(B1447,LifeList!$E$2:$G$2038,2)</f>
        <v>Pomatostome à calotte grise</v>
      </c>
      <c r="F1447" s="3" t="str">
        <f>VLOOKUP(B1447,LifeList!$E$2:$G$2038,3)</f>
        <v>Pomatostomus temporalis</v>
      </c>
      <c r="G1447" s="3" t="str">
        <f>VLOOKUP(B1447,LifeList!$E$2:$I$2038,4)</f>
        <v>Passeriformes</v>
      </c>
      <c r="H1447" s="3" t="str">
        <f>VLOOKUP(B1447,LifeList!$E$2:$I$2038,5)</f>
        <v>Pomatostomidae (Pseudo-Babblers)</v>
      </c>
      <c r="I1447" s="3"/>
    </row>
    <row r="1448" spans="1:9" ht="10.5" customHeight="1">
      <c r="A1448" s="7" t="s">
        <v>2087</v>
      </c>
      <c r="B1448" s="9" t="s">
        <v>2088</v>
      </c>
      <c r="C1448" s="3">
        <f>VLOOKUP(B1448,LifeList!$E$2:$J$2038,6)</f>
        <v>33992</v>
      </c>
      <c r="D1448" s="3" t="str">
        <f>VLOOKUP(B1448,LifeList!$E$2:$G$2038,1)</f>
        <v>Gray-crowned Yellowthroat</v>
      </c>
      <c r="E1448" s="3" t="str">
        <f>VLOOKUP(B1448,LifeList!$E$2:$G$2038,2)</f>
        <v>Paruline à calotte grise</v>
      </c>
      <c r="F1448" s="3" t="str">
        <f>VLOOKUP(B1448,LifeList!$E$2:$G$2038,3)</f>
        <v>Geothlypis poliocephala</v>
      </c>
      <c r="G1448" s="3" t="str">
        <f>VLOOKUP(B1448,LifeList!$E$2:$I$2038,4)</f>
        <v>Passeriformes</v>
      </c>
      <c r="H1448" s="3" t="str">
        <f>VLOOKUP(B1448,LifeList!$E$2:$I$2038,5)</f>
        <v>Parulidae (New World Warblers)</v>
      </c>
      <c r="I1448" s="3"/>
    </row>
    <row r="1449" spans="1:9" ht="10.5" customHeight="1">
      <c r="A1449" s="5" t="s">
        <v>2089</v>
      </c>
      <c r="B1449" s="3" t="s">
        <v>2090</v>
      </c>
      <c r="C1449" s="3">
        <f>VLOOKUP(B1449,LifeList!$E$2:$J$2038,6)</f>
        <v>17896</v>
      </c>
      <c r="D1449" s="3" t="str">
        <f>VLOOKUP(B1449,LifeList!$E$2:$G$2038,1)</f>
        <v>Gray-fronted Honeyeater</v>
      </c>
      <c r="E1449" s="3" t="str">
        <f>VLOOKUP(B1449,LifeList!$E$2:$G$2038,2)</f>
        <v>Méliphage à plumet noir</v>
      </c>
      <c r="F1449" s="3" t="str">
        <f>VLOOKUP(B1449,LifeList!$E$2:$G$2038,3)</f>
        <v>Ptilotula plumula</v>
      </c>
      <c r="G1449" s="3" t="str">
        <f>VLOOKUP(B1449,LifeList!$E$2:$I$2038,4)</f>
        <v>Passeriformes</v>
      </c>
      <c r="H1449" s="3" t="str">
        <f>VLOOKUP(B1449,LifeList!$E$2:$I$2038,5)</f>
        <v>Meliphagidae (Honeyeaters)</v>
      </c>
      <c r="I1449" s="3"/>
    </row>
    <row r="1450" spans="1:9" ht="10.5" customHeight="1">
      <c r="A1450" s="5" t="s">
        <v>2091</v>
      </c>
      <c r="B1450" s="3" t="s">
        <v>2092</v>
      </c>
      <c r="C1450" s="3">
        <f>VLOOKUP(B1450,LifeList!$E$2:$J$2038,6)</f>
        <v>20192</v>
      </c>
      <c r="D1450" s="3" t="str">
        <f>VLOOKUP(B1450,LifeList!$E$2:$G$2038,1)</f>
        <v>Gray-headed Bushshrike</v>
      </c>
      <c r="E1450" s="3" t="str">
        <f>VLOOKUP(B1450,LifeList!$E$2:$G$2038,2)</f>
        <v>Gladiateur de Blanchot</v>
      </c>
      <c r="F1450" s="3" t="str">
        <f>VLOOKUP(B1450,LifeList!$E$2:$G$2038,3)</f>
        <v>Malaconotus blanchoti</v>
      </c>
      <c r="G1450" s="3" t="str">
        <f>VLOOKUP(B1450,LifeList!$E$2:$I$2038,4)</f>
        <v>Passeriformes</v>
      </c>
      <c r="H1450" s="3" t="str">
        <f>VLOOKUP(B1450,LifeList!$E$2:$I$2038,5)</f>
        <v>Malaconotidae (Bushshrikes and Allies)</v>
      </c>
      <c r="I1450" s="3"/>
    </row>
    <row r="1451" spans="1:9" ht="10.5" customHeight="1">
      <c r="A1451" s="3" t="s">
        <v>2093</v>
      </c>
      <c r="B1451" s="3" t="s">
        <v>2094</v>
      </c>
      <c r="C1451" s="3">
        <f>VLOOKUP(B1451,LifeList!$E$2:$J$2038,6)</f>
        <v>954</v>
      </c>
      <c r="D1451" s="3" t="str">
        <f>VLOOKUP(B1451,LifeList!$E$2:$G$2038,1)</f>
        <v>Gray-headed Chachalaca</v>
      </c>
      <c r="E1451" s="3" t="str">
        <f>VLOOKUP(B1451,LifeList!$E$2:$G$2038,2)</f>
        <v>Ortalide à tête grise</v>
      </c>
      <c r="F1451" s="3" t="str">
        <f>VLOOKUP(B1451,LifeList!$E$2:$G$2038,3)</f>
        <v>Ortalis cinereiceps</v>
      </c>
      <c r="G1451" s="3" t="str">
        <f>VLOOKUP(B1451,LifeList!$E$2:$I$2038,4)</f>
        <v>Galliformes</v>
      </c>
      <c r="H1451" s="3" t="str">
        <f>VLOOKUP(B1451,LifeList!$E$2:$I$2038,5)</f>
        <v>Cracidae (Guans, Chachalacas, and Curassows)</v>
      </c>
      <c r="I1451" s="3"/>
    </row>
    <row r="1452" spans="1:9" ht="10.5" customHeight="1">
      <c r="A1452" s="3" t="s">
        <v>2095</v>
      </c>
      <c r="B1452" s="3" t="s">
        <v>2094</v>
      </c>
      <c r="C1452" s="3">
        <f>VLOOKUP(B1452,LifeList!$E$2:$J$2038,6)</f>
        <v>954</v>
      </c>
      <c r="D1452" s="3" t="str">
        <f>VLOOKUP(B1452,LifeList!$E$2:$G$2038,1)</f>
        <v>Gray-headed Chachalaca</v>
      </c>
      <c r="E1452" s="3" t="str">
        <f>VLOOKUP(B1452,LifeList!$E$2:$G$2038,2)</f>
        <v>Ortalide à tête grise</v>
      </c>
      <c r="F1452" s="3" t="str">
        <f>VLOOKUP(B1452,LifeList!$E$2:$G$2038,3)</f>
        <v>Ortalis cinereiceps</v>
      </c>
      <c r="G1452" s="3" t="str">
        <f>VLOOKUP(B1452,LifeList!$E$2:$I$2038,4)</f>
        <v>Galliformes</v>
      </c>
      <c r="H1452" s="3" t="str">
        <f>VLOOKUP(B1452,LifeList!$E$2:$I$2038,5)</f>
        <v>Cracidae (Guans, Chachalacas, and Curassows)</v>
      </c>
      <c r="I1452" s="3"/>
    </row>
    <row r="1453" spans="1:9" ht="10.5" customHeight="1">
      <c r="A1453" s="3" t="s">
        <v>2096</v>
      </c>
      <c r="B1453" s="3" t="s">
        <v>2094</v>
      </c>
      <c r="C1453" s="3">
        <f>VLOOKUP(B1453,LifeList!$E$2:$J$2038,6)</f>
        <v>954</v>
      </c>
      <c r="D1453" s="3" t="str">
        <f>VLOOKUP(B1453,LifeList!$E$2:$G$2038,1)</f>
        <v>Gray-headed Chachalaca</v>
      </c>
      <c r="E1453" s="3" t="str">
        <f>VLOOKUP(B1453,LifeList!$E$2:$G$2038,2)</f>
        <v>Ortalide à tête grise</v>
      </c>
      <c r="F1453" s="3" t="str">
        <f>VLOOKUP(B1453,LifeList!$E$2:$G$2038,3)</f>
        <v>Ortalis cinereiceps</v>
      </c>
      <c r="G1453" s="3" t="str">
        <f>VLOOKUP(B1453,LifeList!$E$2:$I$2038,4)</f>
        <v>Galliformes</v>
      </c>
      <c r="H1453" s="3" t="str">
        <f>VLOOKUP(B1453,LifeList!$E$2:$I$2038,5)</f>
        <v>Cracidae (Guans, Chachalacas, and Curassows)</v>
      </c>
      <c r="I1453" s="3"/>
    </row>
    <row r="1454" spans="1:9" ht="10.5" customHeight="1">
      <c r="A1454" s="3" t="s">
        <v>2097</v>
      </c>
      <c r="B1454" s="3" t="s">
        <v>2094</v>
      </c>
      <c r="C1454" s="3">
        <f>VLOOKUP(B1454,LifeList!$E$2:$J$2038,6)</f>
        <v>954</v>
      </c>
      <c r="D1454" s="3" t="str">
        <f>VLOOKUP(B1454,LifeList!$E$2:$G$2038,1)</f>
        <v>Gray-headed Chachalaca</v>
      </c>
      <c r="E1454" s="3" t="str">
        <f>VLOOKUP(B1454,LifeList!$E$2:$G$2038,2)</f>
        <v>Ortalide à tête grise</v>
      </c>
      <c r="F1454" s="3" t="str">
        <f>VLOOKUP(B1454,LifeList!$E$2:$G$2038,3)</f>
        <v>Ortalis cinereiceps</v>
      </c>
      <c r="G1454" s="3" t="str">
        <f>VLOOKUP(B1454,LifeList!$E$2:$I$2038,4)</f>
        <v>Galliformes</v>
      </c>
      <c r="H1454" s="3" t="str">
        <f>VLOOKUP(B1454,LifeList!$E$2:$I$2038,5)</f>
        <v>Cracidae (Guans, Chachalacas, and Curassows)</v>
      </c>
      <c r="I1454" s="3"/>
    </row>
    <row r="1455" spans="1:9" ht="10.5" customHeight="1">
      <c r="A1455" s="3" t="s">
        <v>2098</v>
      </c>
      <c r="B1455" s="3" t="s">
        <v>2099</v>
      </c>
      <c r="C1455" s="3">
        <f>VLOOKUP(B1455,LifeList!$E$2:$J$2038,6)</f>
        <v>10083</v>
      </c>
      <c r="D1455" s="3" t="str">
        <f>VLOOKUP(B1455,LifeList!$E$2:$G$2038,1)</f>
        <v>Gray-headed Kingfisher</v>
      </c>
      <c r="E1455" s="3" t="str">
        <f>VLOOKUP(B1455,LifeList!$E$2:$G$2038,2)</f>
        <v>Martin-chasseur à tête grise</v>
      </c>
      <c r="F1455" s="3" t="str">
        <f>VLOOKUP(B1455,LifeList!$E$2:$G$2038,3)</f>
        <v>Halcyon leucocephala</v>
      </c>
      <c r="G1455" s="3" t="str">
        <f>VLOOKUP(B1455,LifeList!$E$2:$I$2038,4)</f>
        <v>Coraciiformes</v>
      </c>
      <c r="H1455" s="3" t="str">
        <f>VLOOKUP(B1455,LifeList!$E$2:$I$2038,5)</f>
        <v>Alcedinidae (Kingfishers)</v>
      </c>
      <c r="I1455" s="3"/>
    </row>
    <row r="1456" spans="1:9" ht="10.5" customHeight="1">
      <c r="A1456" s="3" t="s">
        <v>2100</v>
      </c>
      <c r="B1456" s="3" t="s">
        <v>2101</v>
      </c>
      <c r="C1456" s="3">
        <f>VLOOKUP(B1456,LifeList!$E$2:$J$2038,6)</f>
        <v>12737</v>
      </c>
      <c r="D1456" s="3" t="str">
        <f>VLOOKUP(B1456,LifeList!$E$2:$G$2038,1)</f>
        <v>Gray-headed Lovebird</v>
      </c>
      <c r="E1456" s="3" t="str">
        <f>VLOOKUP(B1456,LifeList!$E$2:$G$2038,2)</f>
        <v>Inséparable à tête grise</v>
      </c>
      <c r="F1456" s="3" t="str">
        <f>VLOOKUP(B1456,LifeList!$E$2:$G$2038,3)</f>
        <v>Agapornis canus</v>
      </c>
      <c r="G1456" s="3" t="str">
        <f>VLOOKUP(B1456,LifeList!$E$2:$I$2038,4)</f>
        <v>Psittaciformes</v>
      </c>
      <c r="H1456" s="3" t="str">
        <f>VLOOKUP(B1456,LifeList!$E$2:$I$2038,5)</f>
        <v>Psittaculidae (Old World Parrots)</v>
      </c>
      <c r="I1456" s="3"/>
    </row>
    <row r="1457" spans="1:9" ht="10.5" customHeight="1">
      <c r="A1457" s="3" t="s">
        <v>2102</v>
      </c>
      <c r="B1457" s="3" t="s">
        <v>2101</v>
      </c>
      <c r="C1457" s="3">
        <f>VLOOKUP(B1457,LifeList!$E$2:$J$2038,6)</f>
        <v>12737</v>
      </c>
      <c r="D1457" s="3" t="str">
        <f>VLOOKUP(B1457,LifeList!$E$2:$G$2038,1)</f>
        <v>Gray-headed Lovebird</v>
      </c>
      <c r="E1457" s="3" t="str">
        <f>VLOOKUP(B1457,LifeList!$E$2:$G$2038,2)</f>
        <v>Inséparable à tête grise</v>
      </c>
      <c r="F1457" s="3" t="str">
        <f>VLOOKUP(B1457,LifeList!$E$2:$G$2038,3)</f>
        <v>Agapornis canus</v>
      </c>
      <c r="G1457" s="3" t="str">
        <f>VLOOKUP(B1457,LifeList!$E$2:$I$2038,4)</f>
        <v>Psittaciformes</v>
      </c>
      <c r="H1457" s="3" t="str">
        <f>VLOOKUP(B1457,LifeList!$E$2:$I$2038,5)</f>
        <v>Psittaculidae (Old World Parrots)</v>
      </c>
      <c r="I1457" s="3"/>
    </row>
    <row r="1458" spans="1:9" ht="10.5" customHeight="1">
      <c r="A1458" s="3" t="s">
        <v>2103</v>
      </c>
      <c r="B1458" s="3" t="s">
        <v>2104</v>
      </c>
      <c r="C1458" s="3">
        <f>VLOOKUP(B1458,LifeList!$E$2:$J$2038,6)</f>
        <v>5533</v>
      </c>
      <c r="D1458" s="3" t="str">
        <f>VLOOKUP(B1458,LifeList!$E$2:$G$2038,1)</f>
        <v>Gray-headed Swamphen</v>
      </c>
      <c r="E1458" s="3" t="str">
        <f>VLOOKUP(B1458,LifeList!$E$2:$G$2038,2)</f>
        <v>Talève à tête grise</v>
      </c>
      <c r="F1458" s="3" t="str">
        <f>VLOOKUP(B1458,LifeList!$E$2:$G$2038,3)</f>
        <v>Porphyrio poliocephalus</v>
      </c>
      <c r="G1458" s="3" t="str">
        <f>VLOOKUP(B1458,LifeList!$E$2:$I$2038,4)</f>
        <v>Gruiformes</v>
      </c>
      <c r="H1458" s="3" t="str">
        <f>VLOOKUP(B1458,LifeList!$E$2:$I$2038,5)</f>
        <v>Rallidae (Rails, Gallinules, and Coots)</v>
      </c>
      <c r="I1458" s="3"/>
    </row>
    <row r="1459" spans="1:9" ht="10.5" customHeight="1">
      <c r="A1459" s="3" t="s">
        <v>2105</v>
      </c>
      <c r="B1459" s="3" t="s">
        <v>2104</v>
      </c>
      <c r="C1459" s="3">
        <f>VLOOKUP(B1459,LifeList!$E$2:$J$2038,6)</f>
        <v>5533</v>
      </c>
      <c r="D1459" s="3" t="str">
        <f>VLOOKUP(B1459,LifeList!$E$2:$G$2038,1)</f>
        <v>Gray-headed Swamphen</v>
      </c>
      <c r="E1459" s="3" t="str">
        <f>VLOOKUP(B1459,LifeList!$E$2:$G$2038,2)</f>
        <v>Talève à tête grise</v>
      </c>
      <c r="F1459" s="3" t="str">
        <f>VLOOKUP(B1459,LifeList!$E$2:$G$2038,3)</f>
        <v>Porphyrio poliocephalus</v>
      </c>
      <c r="G1459" s="3" t="str">
        <f>VLOOKUP(B1459,LifeList!$E$2:$I$2038,4)</f>
        <v>Gruiformes</v>
      </c>
      <c r="H1459" s="3" t="str">
        <f>VLOOKUP(B1459,LifeList!$E$2:$I$2038,5)</f>
        <v>Rallidae (Rails, Gallinules, and Coots)</v>
      </c>
      <c r="I1459" s="3"/>
    </row>
    <row r="1460" spans="1:9" ht="10.5" customHeight="1">
      <c r="A1460" s="3" t="s">
        <v>2106</v>
      </c>
      <c r="B1460" s="3" t="s">
        <v>2104</v>
      </c>
      <c r="C1460" s="3">
        <f>VLOOKUP(B1460,LifeList!$E$2:$J$2038,6)</f>
        <v>5533</v>
      </c>
      <c r="D1460" s="3" t="str">
        <f>VLOOKUP(B1460,LifeList!$E$2:$G$2038,1)</f>
        <v>Gray-headed Swamphen</v>
      </c>
      <c r="E1460" s="3" t="str">
        <f>VLOOKUP(B1460,LifeList!$E$2:$G$2038,2)</f>
        <v>Talève à tête grise</v>
      </c>
      <c r="F1460" s="3" t="str">
        <f>VLOOKUP(B1460,LifeList!$E$2:$G$2038,3)</f>
        <v>Porphyrio poliocephalus</v>
      </c>
      <c r="G1460" s="3" t="str">
        <f>VLOOKUP(B1460,LifeList!$E$2:$I$2038,4)</f>
        <v>Gruiformes</v>
      </c>
      <c r="H1460" s="3" t="str">
        <f>VLOOKUP(B1460,LifeList!$E$2:$I$2038,5)</f>
        <v>Rallidae (Rails, Gallinules, and Coots)</v>
      </c>
      <c r="I1460" s="3"/>
    </row>
    <row r="1461" spans="1:9" ht="10.5" customHeight="1">
      <c r="A1461" s="3" t="s">
        <v>2107</v>
      </c>
      <c r="B1461" s="3" t="s">
        <v>2104</v>
      </c>
      <c r="C1461" s="3">
        <f>VLOOKUP(B1461,LifeList!$E$2:$J$2038,6)</f>
        <v>5533</v>
      </c>
      <c r="D1461" s="3" t="str">
        <f>VLOOKUP(B1461,LifeList!$E$2:$G$2038,1)</f>
        <v>Gray-headed Swamphen</v>
      </c>
      <c r="E1461" s="3" t="str">
        <f>VLOOKUP(B1461,LifeList!$E$2:$G$2038,2)</f>
        <v>Talève à tête grise</v>
      </c>
      <c r="F1461" s="3" t="str">
        <f>VLOOKUP(B1461,LifeList!$E$2:$G$2038,3)</f>
        <v>Porphyrio poliocephalus</v>
      </c>
      <c r="G1461" s="3" t="str">
        <f>VLOOKUP(B1461,LifeList!$E$2:$I$2038,4)</f>
        <v>Gruiformes</v>
      </c>
      <c r="H1461" s="3" t="str">
        <f>VLOOKUP(B1461,LifeList!$E$2:$I$2038,5)</f>
        <v>Rallidae (Rails, Gallinules, and Coots)</v>
      </c>
      <c r="I1461" s="3"/>
    </row>
    <row r="1462" spans="1:9" ht="10.5" customHeight="1">
      <c r="A1462" s="3" t="s">
        <v>2108</v>
      </c>
      <c r="B1462" s="3" t="s">
        <v>2104</v>
      </c>
      <c r="C1462" s="3">
        <f>VLOOKUP(B1462,LifeList!$E$2:$J$2038,6)</f>
        <v>5533</v>
      </c>
      <c r="D1462" s="3" t="str">
        <f>VLOOKUP(B1462,LifeList!$E$2:$G$2038,1)</f>
        <v>Gray-headed Swamphen</v>
      </c>
      <c r="E1462" s="3" t="str">
        <f>VLOOKUP(B1462,LifeList!$E$2:$G$2038,2)</f>
        <v>Talève à tête grise</v>
      </c>
      <c r="F1462" s="3" t="str">
        <f>VLOOKUP(B1462,LifeList!$E$2:$G$2038,3)</f>
        <v>Porphyrio poliocephalus</v>
      </c>
      <c r="G1462" s="3" t="str">
        <f>VLOOKUP(B1462,LifeList!$E$2:$I$2038,4)</f>
        <v>Gruiformes</v>
      </c>
      <c r="H1462" s="3" t="str">
        <f>VLOOKUP(B1462,LifeList!$E$2:$I$2038,5)</f>
        <v>Rallidae (Rails, Gallinules, and Coots)</v>
      </c>
      <c r="I1462" s="3"/>
    </row>
    <row r="1463" spans="1:9" ht="10.5" customHeight="1">
      <c r="A1463" s="3" t="s">
        <v>2109</v>
      </c>
      <c r="B1463" s="3" t="s">
        <v>2104</v>
      </c>
      <c r="C1463" s="3">
        <f>VLOOKUP(B1463,LifeList!$E$2:$J$2038,6)</f>
        <v>5533</v>
      </c>
      <c r="D1463" s="3" t="str">
        <f>VLOOKUP(B1463,LifeList!$E$2:$G$2038,1)</f>
        <v>Gray-headed Swamphen</v>
      </c>
      <c r="E1463" s="3" t="str">
        <f>VLOOKUP(B1463,LifeList!$E$2:$G$2038,2)</f>
        <v>Talève à tête grise</v>
      </c>
      <c r="F1463" s="3" t="str">
        <f>VLOOKUP(B1463,LifeList!$E$2:$G$2038,3)</f>
        <v>Porphyrio poliocephalus</v>
      </c>
      <c r="G1463" s="3" t="str">
        <f>VLOOKUP(B1463,LifeList!$E$2:$I$2038,4)</f>
        <v>Gruiformes</v>
      </c>
      <c r="H1463" s="3" t="str">
        <f>VLOOKUP(B1463,LifeList!$E$2:$I$2038,5)</f>
        <v>Rallidae (Rails, Gallinules, and Coots)</v>
      </c>
      <c r="I1463" s="3"/>
    </row>
    <row r="1464" spans="1:9" ht="10.5" customHeight="1">
      <c r="A1464" s="3" t="s">
        <v>2110</v>
      </c>
      <c r="B1464" s="3" t="s">
        <v>2111</v>
      </c>
      <c r="C1464" s="3">
        <f>VLOOKUP(B1464,LifeList!$E$2:$J$2038,6)</f>
        <v>34740</v>
      </c>
      <c r="D1464" s="3" t="str">
        <f>VLOOKUP(B1464,LifeList!$E$2:$G$2038,1)</f>
        <v>Gray-headed Tanager</v>
      </c>
      <c r="E1464" s="3" t="str">
        <f>VLOOKUP(B1464,LifeList!$E$2:$G$2038,2)</f>
        <v>Tangara à tête grise</v>
      </c>
      <c r="F1464" s="3" t="str">
        <f>VLOOKUP(B1464,LifeList!$E$2:$G$2038,3)</f>
        <v>Eucometis penicillata</v>
      </c>
      <c r="G1464" s="3" t="str">
        <f>VLOOKUP(B1464,LifeList!$E$2:$I$2038,4)</f>
        <v>Passeriformes</v>
      </c>
      <c r="H1464" s="3" t="str">
        <f>VLOOKUP(B1464,LifeList!$E$2:$I$2038,5)</f>
        <v>Thraupidae (Tanagers and Allies)</v>
      </c>
      <c r="I1464" s="3"/>
    </row>
    <row r="1465" spans="1:9" ht="10.5" customHeight="1">
      <c r="A1465" s="3" t="s">
        <v>2112</v>
      </c>
      <c r="B1465" s="3" t="s">
        <v>2111</v>
      </c>
      <c r="C1465" s="3">
        <f>VLOOKUP(B1465,LifeList!$E$2:$J$2038,6)</f>
        <v>34740</v>
      </c>
      <c r="D1465" s="3" t="str">
        <f>VLOOKUP(B1465,LifeList!$E$2:$G$2038,1)</f>
        <v>Gray-headed Tanager</v>
      </c>
      <c r="E1465" s="3" t="str">
        <f>VLOOKUP(B1465,LifeList!$E$2:$G$2038,2)</f>
        <v>Tangara à tête grise</v>
      </c>
      <c r="F1465" s="3" t="str">
        <f>VLOOKUP(B1465,LifeList!$E$2:$G$2038,3)</f>
        <v>Eucometis penicillata</v>
      </c>
      <c r="G1465" s="3" t="str">
        <f>VLOOKUP(B1465,LifeList!$E$2:$I$2038,4)</f>
        <v>Passeriformes</v>
      </c>
      <c r="H1465" s="3" t="str">
        <f>VLOOKUP(B1465,LifeList!$E$2:$I$2038,5)</f>
        <v>Thraupidae (Tanagers and Allies)</v>
      </c>
      <c r="I1465" s="3"/>
    </row>
    <row r="1466" spans="1:9" ht="10.5" customHeight="1">
      <c r="A1466" s="3" t="s">
        <v>2113</v>
      </c>
      <c r="B1466" s="3" t="s">
        <v>2111</v>
      </c>
      <c r="C1466" s="3">
        <f>VLOOKUP(B1466,LifeList!$E$2:$J$2038,6)</f>
        <v>34740</v>
      </c>
      <c r="D1466" s="3" t="str">
        <f>VLOOKUP(B1466,LifeList!$E$2:$G$2038,1)</f>
        <v>Gray-headed Tanager</v>
      </c>
      <c r="E1466" s="3" t="str">
        <f>VLOOKUP(B1466,LifeList!$E$2:$G$2038,2)</f>
        <v>Tangara à tête grise</v>
      </c>
      <c r="F1466" s="3" t="str">
        <f>VLOOKUP(B1466,LifeList!$E$2:$G$2038,3)</f>
        <v>Eucometis penicillata</v>
      </c>
      <c r="G1466" s="3" t="str">
        <f>VLOOKUP(B1466,LifeList!$E$2:$I$2038,4)</f>
        <v>Passeriformes</v>
      </c>
      <c r="H1466" s="3" t="str">
        <f>VLOOKUP(B1466,LifeList!$E$2:$I$2038,5)</f>
        <v>Thraupidae (Tanagers and Allies)</v>
      </c>
      <c r="I1466" s="3"/>
    </row>
    <row r="1467" spans="1:9" ht="10.5" customHeight="1">
      <c r="A1467" s="3" t="s">
        <v>2114</v>
      </c>
      <c r="B1467" s="3" t="s">
        <v>2111</v>
      </c>
      <c r="C1467" s="3">
        <f>VLOOKUP(B1467,LifeList!$E$2:$J$2038,6)</f>
        <v>34740</v>
      </c>
      <c r="D1467" s="3" t="str">
        <f>VLOOKUP(B1467,LifeList!$E$2:$G$2038,1)</f>
        <v>Gray-headed Tanager</v>
      </c>
      <c r="E1467" s="3" t="str">
        <f>VLOOKUP(B1467,LifeList!$E$2:$G$2038,2)</f>
        <v>Tangara à tête grise</v>
      </c>
      <c r="F1467" s="3" t="str">
        <f>VLOOKUP(B1467,LifeList!$E$2:$G$2038,3)</f>
        <v>Eucometis penicillata</v>
      </c>
      <c r="G1467" s="3" t="str">
        <f>VLOOKUP(B1467,LifeList!$E$2:$I$2038,4)</f>
        <v>Passeriformes</v>
      </c>
      <c r="H1467" s="3" t="str">
        <f>VLOOKUP(B1467,LifeList!$E$2:$I$2038,5)</f>
        <v>Thraupidae (Tanagers and Allies)</v>
      </c>
      <c r="I1467" s="3"/>
    </row>
    <row r="1468" spans="1:9" ht="10.5" customHeight="1">
      <c r="A1468" s="5" t="s">
        <v>2115</v>
      </c>
      <c r="B1468" s="3" t="s">
        <v>2116</v>
      </c>
      <c r="C1468" s="6">
        <f>VLOOKUP(B1468,LifeList!$E$2:$J$2038,6)</f>
        <v>6480</v>
      </c>
      <c r="D1468" s="3" t="str">
        <f>VLOOKUP(B1468,LifeList!$E$2:$G$2038,1)</f>
        <v>Gray-hooded Gull</v>
      </c>
      <c r="E1468" s="3" t="str">
        <f>VLOOKUP(B1468,LifeList!$E$2:$G$2038,2)</f>
        <v>Mouette à tête grise</v>
      </c>
      <c r="F1468" s="3" t="str">
        <f>VLOOKUP(B1468,LifeList!$E$2:$G$2038,3)</f>
        <v>Chroicocephalus cirrocephalus</v>
      </c>
      <c r="G1468" s="3" t="str">
        <f>VLOOKUP(B1468,LifeList!$E$2:$I$2038,4)</f>
        <v>Charadriiformes</v>
      </c>
      <c r="H1468" s="3" t="str">
        <f>VLOOKUP(B1468,LifeList!$E$2:$I$2038,5)</f>
        <v>Laridae (Gulls, Terns, and Skimmers)</v>
      </c>
      <c r="I1468" s="3"/>
    </row>
    <row r="1469" spans="1:9" ht="10.5" customHeight="1">
      <c r="A1469" s="3" t="s">
        <v>2117</v>
      </c>
      <c r="B1469" s="3" t="s">
        <v>2118</v>
      </c>
      <c r="C1469" s="3">
        <f>VLOOKUP(B1469,LifeList!$E$2:$J$2038,6)</f>
        <v>8474</v>
      </c>
      <c r="D1469" s="3" t="str">
        <f>VLOOKUP(B1469,LifeList!$E$2:$G$2038,1)</f>
        <v>Gray-lined Hawk</v>
      </c>
      <c r="E1469" s="3" t="str">
        <f>VLOOKUP(B1469,LifeList!$E$2:$G$2038,2)</f>
        <v>Buse cendrée</v>
      </c>
      <c r="F1469" s="3" t="str">
        <f>VLOOKUP(B1469,LifeList!$E$2:$G$2038,3)</f>
        <v>Buteo nitidus</v>
      </c>
      <c r="G1469" s="3" t="str">
        <f>VLOOKUP(B1469,LifeList!$E$2:$I$2038,4)</f>
        <v>Accipitriformes</v>
      </c>
      <c r="H1469" s="3" t="str">
        <f>VLOOKUP(B1469,LifeList!$E$2:$I$2038,5)</f>
        <v>Accipitridae (Hawks, Eagles, and Kites)</v>
      </c>
      <c r="I1469" s="3"/>
    </row>
    <row r="1470" spans="1:9" ht="10.5" customHeight="1">
      <c r="A1470" s="3" t="s">
        <v>2119</v>
      </c>
      <c r="B1470" s="3" t="s">
        <v>2118</v>
      </c>
      <c r="C1470" s="3">
        <f>VLOOKUP(B1470,LifeList!$E$2:$J$2038,6)</f>
        <v>8474</v>
      </c>
      <c r="D1470" s="3" t="str">
        <f>VLOOKUP(B1470,LifeList!$E$2:$G$2038,1)</f>
        <v>Gray-lined Hawk</v>
      </c>
      <c r="E1470" s="3" t="str">
        <f>VLOOKUP(B1470,LifeList!$E$2:$G$2038,2)</f>
        <v>Buse cendrée</v>
      </c>
      <c r="F1470" s="3" t="str">
        <f>VLOOKUP(B1470,LifeList!$E$2:$G$2038,3)</f>
        <v>Buteo nitidus</v>
      </c>
      <c r="G1470" s="3" t="str">
        <f>VLOOKUP(B1470,LifeList!$E$2:$I$2038,4)</f>
        <v>Accipitriformes</v>
      </c>
      <c r="H1470" s="3" t="str">
        <f>VLOOKUP(B1470,LifeList!$E$2:$I$2038,5)</f>
        <v>Accipitridae (Hawks, Eagles, and Kites)</v>
      </c>
      <c r="I1470" s="3"/>
    </row>
    <row r="1471" spans="1:9" ht="10.5" customHeight="1">
      <c r="A1471" s="3" t="s">
        <v>2120</v>
      </c>
      <c r="B1471" s="3" t="s">
        <v>2118</v>
      </c>
      <c r="C1471" s="3">
        <f>VLOOKUP(B1471,LifeList!$E$2:$J$2038,6)</f>
        <v>8474</v>
      </c>
      <c r="D1471" s="3" t="str">
        <f>VLOOKUP(B1471,LifeList!$E$2:$G$2038,1)</f>
        <v>Gray-lined Hawk</v>
      </c>
      <c r="E1471" s="3" t="str">
        <f>VLOOKUP(B1471,LifeList!$E$2:$G$2038,2)</f>
        <v>Buse cendrée</v>
      </c>
      <c r="F1471" s="3" t="str">
        <f>VLOOKUP(B1471,LifeList!$E$2:$G$2038,3)</f>
        <v>Buteo nitidus</v>
      </c>
      <c r="G1471" s="3" t="str">
        <f>VLOOKUP(B1471,LifeList!$E$2:$I$2038,4)</f>
        <v>Accipitriformes</v>
      </c>
      <c r="H1471" s="3" t="str">
        <f>VLOOKUP(B1471,LifeList!$E$2:$I$2038,5)</f>
        <v>Accipitridae (Hawks, Eagles, and Kites)</v>
      </c>
      <c r="I1471" s="3"/>
    </row>
    <row r="1472" spans="1:9" ht="10.5" customHeight="1">
      <c r="A1472" s="3" t="s">
        <v>2121</v>
      </c>
      <c r="B1472" s="3" t="s">
        <v>2122</v>
      </c>
      <c r="C1472" s="3">
        <f>VLOOKUP(B1472,LifeList!$E$2:$J$2038,6)</f>
        <v>11097</v>
      </c>
      <c r="D1472" s="3" t="str">
        <f>VLOOKUP(B1472,LifeList!$E$2:$G$2038,1)</f>
        <v>Grayish Piculet</v>
      </c>
      <c r="E1472" s="3" t="str">
        <f>VLOOKUP(B1472,LifeList!$E$2:$G$2038,2)</f>
        <v>Picumne gris</v>
      </c>
      <c r="F1472" s="3" t="str">
        <f>VLOOKUP(B1472,LifeList!$E$2:$G$2038,3)</f>
        <v>Picumnus granadensis</v>
      </c>
      <c r="G1472" s="3" t="str">
        <f>VLOOKUP(B1472,LifeList!$E$2:$I$2038,4)</f>
        <v>Piciformes</v>
      </c>
      <c r="H1472" s="3" t="str">
        <f>VLOOKUP(B1472,LifeList!$E$2:$I$2038,5)</f>
        <v>Picidae (Woodpeckers)</v>
      </c>
      <c r="I1472" s="3"/>
    </row>
    <row r="1473" spans="1:9" ht="10.5" customHeight="1">
      <c r="A1473" s="7" t="s">
        <v>2123</v>
      </c>
      <c r="B1473" s="9" t="s">
        <v>2124</v>
      </c>
      <c r="C1473" s="3">
        <f>VLOOKUP(B1473,LifeList!$E$2:$J$2038,6)</f>
        <v>7729</v>
      </c>
      <c r="D1473" s="3" t="str">
        <f>VLOOKUP(B1473,LifeList!$E$2:$G$2038,1)</f>
        <v>Great Egret</v>
      </c>
      <c r="E1473" s="3" t="str">
        <f>VLOOKUP(B1473,LifeList!$E$2:$G$2038,2)</f>
        <v>Grande Aigrette</v>
      </c>
      <c r="F1473" s="3" t="str">
        <f>VLOOKUP(B1473,LifeList!$E$2:$G$2038,3)</f>
        <v>Ardea alba</v>
      </c>
      <c r="G1473" s="3" t="str">
        <f>VLOOKUP(B1473,LifeList!$E$2:$I$2038,4)</f>
        <v>Pelecaniformes</v>
      </c>
      <c r="H1473" s="3" t="str">
        <f>VLOOKUP(B1473,LifeList!$E$2:$I$2038,5)</f>
        <v>Ardeidae (Herons, Egrets, and Bitterns)</v>
      </c>
      <c r="I1473" s="3"/>
    </row>
    <row r="1474" spans="1:9" ht="10.5" customHeight="1">
      <c r="A1474" s="5" t="s">
        <v>2125</v>
      </c>
      <c r="B1474" s="3" t="s">
        <v>2126</v>
      </c>
      <c r="C1474" s="3">
        <f>VLOOKUP(B1474,LifeList!$E$2:$J$2038,6)</f>
        <v>8910</v>
      </c>
      <c r="D1474" s="3" t="str">
        <f>VLOOKUP(B1474,LifeList!$E$2:$G$2038,1)</f>
        <v>Great Horned Owl</v>
      </c>
      <c r="E1474" s="3" t="str">
        <f>VLOOKUP(B1474,LifeList!$E$2:$G$2038,2)</f>
        <v>Grand-duc d'Amérique</v>
      </c>
      <c r="F1474" s="3" t="str">
        <f>VLOOKUP(B1474,LifeList!$E$2:$G$2038,3)</f>
        <v>Bubo virginianus</v>
      </c>
      <c r="G1474" s="3" t="str">
        <f>VLOOKUP(B1474,LifeList!$E$2:$I$2038,4)</f>
        <v>Strigiformes</v>
      </c>
      <c r="H1474" s="3" t="str">
        <f>VLOOKUP(B1474,LifeList!$E$2:$I$2038,5)</f>
        <v>Strigidae (Owls)</v>
      </c>
      <c r="I1474" s="3"/>
    </row>
    <row r="1475" spans="1:9" ht="10.5" customHeight="1">
      <c r="A1475" s="5" t="s">
        <v>2127</v>
      </c>
      <c r="B1475" s="3" t="s">
        <v>2128</v>
      </c>
      <c r="C1475" s="3">
        <f>VLOOKUP(B1475,LifeList!$E$2:$J$2038,6)</f>
        <v>10522</v>
      </c>
      <c r="D1475" s="3" t="str">
        <f>VLOOKUP(B1475,LifeList!$E$2:$G$2038,1)</f>
        <v>Great Jacamar</v>
      </c>
      <c r="E1475" s="3" t="str">
        <f>VLOOKUP(B1475,LifeList!$E$2:$G$2038,2)</f>
        <v>Grand Jacamar</v>
      </c>
      <c r="F1475" s="3" t="str">
        <f>VLOOKUP(B1475,LifeList!$E$2:$G$2038,3)</f>
        <v>Jacamerops aureus</v>
      </c>
      <c r="G1475" s="3" t="str">
        <f>VLOOKUP(B1475,LifeList!$E$2:$I$2038,4)</f>
        <v>Piciformes</v>
      </c>
      <c r="H1475" s="3" t="str">
        <f>VLOOKUP(B1475,LifeList!$E$2:$I$2038,5)</f>
        <v>Galbulidae (Jacamars)</v>
      </c>
      <c r="I1475" s="3"/>
    </row>
    <row r="1476" spans="1:9" ht="10.5" customHeight="1">
      <c r="A1476" s="3" t="s">
        <v>2129</v>
      </c>
      <c r="B1476" s="3" t="s">
        <v>2130</v>
      </c>
      <c r="C1476" s="3">
        <f>VLOOKUP(B1476,LifeList!$E$2:$J$2038,6)</f>
        <v>13464</v>
      </c>
      <c r="D1476" s="3" t="str">
        <f>VLOOKUP(B1476,LifeList!$E$2:$G$2038,1)</f>
        <v>Great Antshrike</v>
      </c>
      <c r="E1476" s="3" t="str">
        <f>VLOOKUP(B1476,LifeList!$E$2:$G$2038,2)</f>
        <v>Grand Batara</v>
      </c>
      <c r="F1476" s="3" t="str">
        <f>VLOOKUP(B1476,LifeList!$E$2:$G$2038,3)</f>
        <v>Taraba major</v>
      </c>
      <c r="G1476" s="3" t="str">
        <f>VLOOKUP(B1476,LifeList!$E$2:$I$2038,4)</f>
        <v>Passeriformes</v>
      </c>
      <c r="H1476" s="3" t="str">
        <f>VLOOKUP(B1476,LifeList!$E$2:$I$2038,5)</f>
        <v>Thamnophilidae (Typical Antbirds)</v>
      </c>
      <c r="I1476" s="3"/>
    </row>
    <row r="1477" spans="1:9" ht="10.5" customHeight="1">
      <c r="A1477" s="3" t="s">
        <v>2131</v>
      </c>
      <c r="B1477" s="3" t="s">
        <v>2132</v>
      </c>
      <c r="C1477" s="3">
        <f>VLOOKUP(B1477,LifeList!$E$2:$J$2038,6)</f>
        <v>8421</v>
      </c>
      <c r="D1477" s="3" t="str">
        <f>VLOOKUP(B1477,LifeList!$E$2:$G$2038,1)</f>
        <v>Great Black Hawk</v>
      </c>
      <c r="E1477" s="3" t="str">
        <f>VLOOKUP(B1477,LifeList!$E$2:$G$2038,2)</f>
        <v>Buse urubu</v>
      </c>
      <c r="F1477" s="3" t="str">
        <f>VLOOKUP(B1477,LifeList!$E$2:$G$2038,3)</f>
        <v>Buteogallus urubitinga</v>
      </c>
      <c r="G1477" s="3" t="str">
        <f>VLOOKUP(B1477,LifeList!$E$2:$I$2038,4)</f>
        <v>Accipitriformes</v>
      </c>
      <c r="H1477" s="3" t="str">
        <f>VLOOKUP(B1477,LifeList!$E$2:$I$2038,5)</f>
        <v>Accipitridae (Hawks, Eagles, and Kites)</v>
      </c>
      <c r="I1477" s="3"/>
    </row>
    <row r="1478" spans="1:9" ht="10.5" customHeight="1">
      <c r="A1478" s="3" t="s">
        <v>2133</v>
      </c>
      <c r="B1478" s="3" t="s">
        <v>2132</v>
      </c>
      <c r="C1478" s="3">
        <f>VLOOKUP(B1478,LifeList!$E$2:$J$2038,6)</f>
        <v>8421</v>
      </c>
      <c r="D1478" s="3" t="str">
        <f>VLOOKUP(B1478,LifeList!$E$2:$G$2038,1)</f>
        <v>Great Black Hawk</v>
      </c>
      <c r="E1478" s="3" t="str">
        <f>VLOOKUP(B1478,LifeList!$E$2:$G$2038,2)</f>
        <v>Buse urubu</v>
      </c>
      <c r="F1478" s="3" t="str">
        <f>VLOOKUP(B1478,LifeList!$E$2:$G$2038,3)</f>
        <v>Buteogallus urubitinga</v>
      </c>
      <c r="G1478" s="3" t="str">
        <f>VLOOKUP(B1478,LifeList!$E$2:$I$2038,4)</f>
        <v>Accipitriformes</v>
      </c>
      <c r="H1478" s="3" t="str">
        <f>VLOOKUP(B1478,LifeList!$E$2:$I$2038,5)</f>
        <v>Accipitridae (Hawks, Eagles, and Kites)</v>
      </c>
      <c r="I1478" s="3"/>
    </row>
    <row r="1479" spans="1:9" ht="10.5" customHeight="1">
      <c r="A1479" s="3" t="s">
        <v>2134</v>
      </c>
      <c r="B1479" s="3" t="s">
        <v>2135</v>
      </c>
      <c r="C1479" s="3">
        <f>VLOOKUP(B1479,LifeList!$E$2:$J$2038,6)</f>
        <v>6562</v>
      </c>
      <c r="D1479" s="3" t="str">
        <f>VLOOKUP(B1479,LifeList!$E$2:$G$2038,1)</f>
        <v>Great Black-backed Gull</v>
      </c>
      <c r="E1479" s="3" t="str">
        <f>VLOOKUP(B1479,LifeList!$E$2:$G$2038,2)</f>
        <v>Goéland marin</v>
      </c>
      <c r="F1479" s="3" t="str">
        <f>VLOOKUP(B1479,LifeList!$E$2:$G$2038,3)</f>
        <v>Larus marinus</v>
      </c>
      <c r="G1479" s="3" t="str">
        <f>VLOOKUP(B1479,LifeList!$E$2:$I$2038,4)</f>
        <v>Charadriiformes</v>
      </c>
      <c r="H1479" s="3" t="str">
        <f>VLOOKUP(B1479,LifeList!$E$2:$I$2038,5)</f>
        <v>Laridae (Gulls, Terns, and Skimmers)</v>
      </c>
      <c r="I1479" s="3"/>
    </row>
    <row r="1480" spans="1:9" ht="10.5" customHeight="1">
      <c r="A1480" s="3" t="s">
        <v>2136</v>
      </c>
      <c r="B1480" s="3" t="s">
        <v>2135</v>
      </c>
      <c r="C1480" s="3">
        <f>VLOOKUP(B1480,LifeList!$E$2:$J$2038,6)</f>
        <v>6562</v>
      </c>
      <c r="D1480" s="3" t="str">
        <f>VLOOKUP(B1480,LifeList!$E$2:$G$2038,1)</f>
        <v>Great Black-backed Gull</v>
      </c>
      <c r="E1480" s="3" t="str">
        <f>VLOOKUP(B1480,LifeList!$E$2:$G$2038,2)</f>
        <v>Goéland marin</v>
      </c>
      <c r="F1480" s="3" t="str">
        <f>VLOOKUP(B1480,LifeList!$E$2:$G$2038,3)</f>
        <v>Larus marinus</v>
      </c>
      <c r="G1480" s="3" t="str">
        <f>VLOOKUP(B1480,LifeList!$E$2:$I$2038,4)</f>
        <v>Charadriiformes</v>
      </c>
      <c r="H1480" s="3" t="str">
        <f>VLOOKUP(B1480,LifeList!$E$2:$I$2038,5)</f>
        <v>Laridae (Gulls, Terns, and Skimmers)</v>
      </c>
      <c r="I1480" s="3"/>
    </row>
    <row r="1481" spans="1:9" ht="10.5" customHeight="1">
      <c r="A1481" s="3" t="s">
        <v>2137</v>
      </c>
      <c r="B1481" s="3" t="s">
        <v>2138</v>
      </c>
      <c r="C1481" s="3">
        <f>VLOOKUP(B1481,LifeList!$E$2:$J$2038,6)</f>
        <v>7753</v>
      </c>
      <c r="D1481" s="3" t="str">
        <f>VLOOKUP(B1481,LifeList!$E$2:$G$2038,1)</f>
        <v>Great Blue Heron</v>
      </c>
      <c r="E1481" s="3" t="str">
        <f>VLOOKUP(B1481,LifeList!$E$2:$G$2038,2)</f>
        <v>Grand Héron</v>
      </c>
      <c r="F1481" s="3" t="str">
        <f>VLOOKUP(B1481,LifeList!$E$2:$G$2038,3)</f>
        <v>Ardea herodias</v>
      </c>
      <c r="G1481" s="3" t="str">
        <f>VLOOKUP(B1481,LifeList!$E$2:$I$2038,4)</f>
        <v>Pelecaniformes</v>
      </c>
      <c r="H1481" s="3" t="str">
        <f>VLOOKUP(B1481,LifeList!$E$2:$I$2038,5)</f>
        <v>Ardeidae (Herons, Egrets, and Bitterns)</v>
      </c>
      <c r="I1481" s="3"/>
    </row>
    <row r="1482" spans="1:9" ht="10.5" customHeight="1">
      <c r="A1482" s="3" t="s">
        <v>2139</v>
      </c>
      <c r="B1482" s="3" t="s">
        <v>2138</v>
      </c>
      <c r="C1482" s="3">
        <f>VLOOKUP(B1482,LifeList!$E$2:$J$2038,6)</f>
        <v>7753</v>
      </c>
      <c r="D1482" s="3" t="str">
        <f>VLOOKUP(B1482,LifeList!$E$2:$G$2038,1)</f>
        <v>Great Blue Heron</v>
      </c>
      <c r="E1482" s="3" t="str">
        <f>VLOOKUP(B1482,LifeList!$E$2:$G$2038,2)</f>
        <v>Grand Héron</v>
      </c>
      <c r="F1482" s="3" t="str">
        <f>VLOOKUP(B1482,LifeList!$E$2:$G$2038,3)</f>
        <v>Ardea herodias</v>
      </c>
      <c r="G1482" s="3" t="str">
        <f>VLOOKUP(B1482,LifeList!$E$2:$I$2038,4)</f>
        <v>Pelecaniformes</v>
      </c>
      <c r="H1482" s="3" t="str">
        <f>VLOOKUP(B1482,LifeList!$E$2:$I$2038,5)</f>
        <v>Ardeidae (Herons, Egrets, and Bitterns)</v>
      </c>
      <c r="I1482" s="3"/>
    </row>
    <row r="1483" spans="1:9" ht="10.5" customHeight="1">
      <c r="A1483" s="3" t="s">
        <v>2140</v>
      </c>
      <c r="B1483" s="3" t="s">
        <v>2138</v>
      </c>
      <c r="C1483" s="3">
        <f>VLOOKUP(B1483,LifeList!$E$2:$J$2038,6)</f>
        <v>7753</v>
      </c>
      <c r="D1483" s="3" t="str">
        <f>VLOOKUP(B1483,LifeList!$E$2:$G$2038,1)</f>
        <v>Great Blue Heron</v>
      </c>
      <c r="E1483" s="3" t="str">
        <f>VLOOKUP(B1483,LifeList!$E$2:$G$2038,2)</f>
        <v>Grand Héron</v>
      </c>
      <c r="F1483" s="3" t="str">
        <f>VLOOKUP(B1483,LifeList!$E$2:$G$2038,3)</f>
        <v>Ardea herodias</v>
      </c>
      <c r="G1483" s="3" t="str">
        <f>VLOOKUP(B1483,LifeList!$E$2:$I$2038,4)</f>
        <v>Pelecaniformes</v>
      </c>
      <c r="H1483" s="3" t="str">
        <f>VLOOKUP(B1483,LifeList!$E$2:$I$2038,5)</f>
        <v>Ardeidae (Herons, Egrets, and Bitterns)</v>
      </c>
      <c r="I1483" s="3"/>
    </row>
    <row r="1484" spans="1:9" ht="10.5" customHeight="1">
      <c r="A1484" s="3" t="s">
        <v>2141</v>
      </c>
      <c r="B1484" s="3" t="s">
        <v>2138</v>
      </c>
      <c r="C1484" s="3">
        <f>VLOOKUP(B1484,LifeList!$E$2:$J$2038,6)</f>
        <v>7753</v>
      </c>
      <c r="D1484" s="3" t="str">
        <f>VLOOKUP(B1484,LifeList!$E$2:$G$2038,1)</f>
        <v>Great Blue Heron</v>
      </c>
      <c r="E1484" s="3" t="str">
        <f>VLOOKUP(B1484,LifeList!$E$2:$G$2038,2)</f>
        <v>Grand Héron</v>
      </c>
      <c r="F1484" s="3" t="str">
        <f>VLOOKUP(B1484,LifeList!$E$2:$G$2038,3)</f>
        <v>Ardea herodias</v>
      </c>
      <c r="G1484" s="3" t="str">
        <f>VLOOKUP(B1484,LifeList!$E$2:$I$2038,4)</f>
        <v>Pelecaniformes</v>
      </c>
      <c r="H1484" s="3" t="str">
        <f>VLOOKUP(B1484,LifeList!$E$2:$I$2038,5)</f>
        <v>Ardeidae (Herons, Egrets, and Bitterns)</v>
      </c>
      <c r="I1484" s="3"/>
    </row>
    <row r="1485" spans="1:9" ht="10.5" customHeight="1">
      <c r="A1485" s="3" t="s">
        <v>2142</v>
      </c>
      <c r="B1485" s="3" t="s">
        <v>2138</v>
      </c>
      <c r="C1485" s="3">
        <f>VLOOKUP(B1485,LifeList!$E$2:$J$2038,6)</f>
        <v>7753</v>
      </c>
      <c r="D1485" s="3" t="str">
        <f>VLOOKUP(B1485,LifeList!$E$2:$G$2038,1)</f>
        <v>Great Blue Heron</v>
      </c>
      <c r="E1485" s="3" t="str">
        <f>VLOOKUP(B1485,LifeList!$E$2:$G$2038,2)</f>
        <v>Grand Héron</v>
      </c>
      <c r="F1485" s="3" t="str">
        <f>VLOOKUP(B1485,LifeList!$E$2:$G$2038,3)</f>
        <v>Ardea herodias</v>
      </c>
      <c r="G1485" s="3" t="str">
        <f>VLOOKUP(B1485,LifeList!$E$2:$I$2038,4)</f>
        <v>Pelecaniformes</v>
      </c>
      <c r="H1485" s="3" t="str">
        <f>VLOOKUP(B1485,LifeList!$E$2:$I$2038,5)</f>
        <v>Ardeidae (Herons, Egrets, and Bitterns)</v>
      </c>
      <c r="I1485" s="3"/>
    </row>
    <row r="1486" spans="1:9" ht="10.5" customHeight="1">
      <c r="A1486" s="3" t="s">
        <v>2143</v>
      </c>
      <c r="B1486" s="3" t="s">
        <v>2138</v>
      </c>
      <c r="C1486" s="3">
        <f>VLOOKUP(B1486,LifeList!$E$2:$J$2038,6)</f>
        <v>7753</v>
      </c>
      <c r="D1486" s="3" t="str">
        <f>VLOOKUP(B1486,LifeList!$E$2:$G$2038,1)</f>
        <v>Great Blue Heron</v>
      </c>
      <c r="E1486" s="3" t="str">
        <f>VLOOKUP(B1486,LifeList!$E$2:$G$2038,2)</f>
        <v>Grand Héron</v>
      </c>
      <c r="F1486" s="3" t="str">
        <f>VLOOKUP(B1486,LifeList!$E$2:$G$2038,3)</f>
        <v>Ardea herodias</v>
      </c>
      <c r="G1486" s="3" t="str">
        <f>VLOOKUP(B1486,LifeList!$E$2:$I$2038,4)</f>
        <v>Pelecaniformes</v>
      </c>
      <c r="H1486" s="3" t="str">
        <f>VLOOKUP(B1486,LifeList!$E$2:$I$2038,5)</f>
        <v>Ardeidae (Herons, Egrets, and Bitterns)</v>
      </c>
      <c r="I1486" s="3"/>
    </row>
    <row r="1487" spans="1:9" ht="10.5" customHeight="1">
      <c r="A1487" s="3" t="s">
        <v>2144</v>
      </c>
      <c r="B1487" s="3" t="s">
        <v>2138</v>
      </c>
      <c r="C1487" s="3">
        <f>VLOOKUP(B1487,LifeList!$E$2:$J$2038,6)</f>
        <v>7753</v>
      </c>
      <c r="D1487" s="3" t="str">
        <f>VLOOKUP(B1487,LifeList!$E$2:$G$2038,1)</f>
        <v>Great Blue Heron</v>
      </c>
      <c r="E1487" s="3" t="str">
        <f>VLOOKUP(B1487,LifeList!$E$2:$G$2038,2)</f>
        <v>Grand Héron</v>
      </c>
      <c r="F1487" s="3" t="str">
        <f>VLOOKUP(B1487,LifeList!$E$2:$G$2038,3)</f>
        <v>Ardea herodias</v>
      </c>
      <c r="G1487" s="3" t="str">
        <f>VLOOKUP(B1487,LifeList!$E$2:$I$2038,4)</f>
        <v>Pelecaniformes</v>
      </c>
      <c r="H1487" s="3" t="str">
        <f>VLOOKUP(B1487,LifeList!$E$2:$I$2038,5)</f>
        <v>Ardeidae (Herons, Egrets, and Bitterns)</v>
      </c>
      <c r="I1487" s="3"/>
    </row>
    <row r="1488" spans="1:9" ht="10.5" customHeight="1">
      <c r="A1488" s="3" t="s">
        <v>2145</v>
      </c>
      <c r="B1488" s="3" t="s">
        <v>2138</v>
      </c>
      <c r="C1488" s="3">
        <f>VLOOKUP(B1488,LifeList!$E$2:$J$2038,6)</f>
        <v>7753</v>
      </c>
      <c r="D1488" s="3" t="str">
        <f>VLOOKUP(B1488,LifeList!$E$2:$G$2038,1)</f>
        <v>Great Blue Heron</v>
      </c>
      <c r="E1488" s="3" t="str">
        <f>VLOOKUP(B1488,LifeList!$E$2:$G$2038,2)</f>
        <v>Grand Héron</v>
      </c>
      <c r="F1488" s="3" t="str">
        <f>VLOOKUP(B1488,LifeList!$E$2:$G$2038,3)</f>
        <v>Ardea herodias</v>
      </c>
      <c r="G1488" s="3" t="str">
        <f>VLOOKUP(B1488,LifeList!$E$2:$I$2038,4)</f>
        <v>Pelecaniformes</v>
      </c>
      <c r="H1488" s="3" t="str">
        <f>VLOOKUP(B1488,LifeList!$E$2:$I$2038,5)</f>
        <v>Ardeidae (Herons, Egrets, and Bitterns)</v>
      </c>
      <c r="I1488" s="3"/>
    </row>
    <row r="1489" spans="1:9" ht="10.5" customHeight="1">
      <c r="A1489" s="3" t="s">
        <v>2146</v>
      </c>
      <c r="B1489" s="3" t="s">
        <v>2138</v>
      </c>
      <c r="C1489" s="3">
        <f>VLOOKUP(B1489,LifeList!$E$2:$J$2038,6)</f>
        <v>7753</v>
      </c>
      <c r="D1489" s="3" t="str">
        <f>VLOOKUP(B1489,LifeList!$E$2:$G$2038,1)</f>
        <v>Great Blue Heron</v>
      </c>
      <c r="E1489" s="3" t="str">
        <f>VLOOKUP(B1489,LifeList!$E$2:$G$2038,2)</f>
        <v>Grand Héron</v>
      </c>
      <c r="F1489" s="3" t="str">
        <f>VLOOKUP(B1489,LifeList!$E$2:$G$2038,3)</f>
        <v>Ardea herodias</v>
      </c>
      <c r="G1489" s="3" t="str">
        <f>VLOOKUP(B1489,LifeList!$E$2:$I$2038,4)</f>
        <v>Pelecaniformes</v>
      </c>
      <c r="H1489" s="3" t="str">
        <f>VLOOKUP(B1489,LifeList!$E$2:$I$2038,5)</f>
        <v>Ardeidae (Herons, Egrets, and Bitterns)</v>
      </c>
      <c r="I1489" s="3"/>
    </row>
    <row r="1490" spans="1:9" ht="10.5" customHeight="1">
      <c r="A1490" s="3" t="s">
        <v>2147</v>
      </c>
      <c r="B1490" s="3" t="s">
        <v>2138</v>
      </c>
      <c r="C1490" s="3">
        <f>VLOOKUP(B1490,LifeList!$E$2:$J$2038,6)</f>
        <v>7753</v>
      </c>
      <c r="D1490" s="3" t="str">
        <f>VLOOKUP(B1490,LifeList!$E$2:$G$2038,1)</f>
        <v>Great Blue Heron</v>
      </c>
      <c r="E1490" s="3" t="str">
        <f>VLOOKUP(B1490,LifeList!$E$2:$G$2038,2)</f>
        <v>Grand Héron</v>
      </c>
      <c r="F1490" s="3" t="str">
        <f>VLOOKUP(B1490,LifeList!$E$2:$G$2038,3)</f>
        <v>Ardea herodias</v>
      </c>
      <c r="G1490" s="3" t="str">
        <f>VLOOKUP(B1490,LifeList!$E$2:$I$2038,4)</f>
        <v>Pelecaniformes</v>
      </c>
      <c r="H1490" s="3" t="str">
        <f>VLOOKUP(B1490,LifeList!$E$2:$I$2038,5)</f>
        <v>Ardeidae (Herons, Egrets, and Bitterns)</v>
      </c>
      <c r="I1490" s="3"/>
    </row>
    <row r="1491" spans="1:9" ht="10.5" customHeight="1">
      <c r="A1491" s="3" t="s">
        <v>2148</v>
      </c>
      <c r="B1491" s="3" t="s">
        <v>2138</v>
      </c>
      <c r="C1491" s="3">
        <f>VLOOKUP(B1491,LifeList!$E$2:$J$2038,6)</f>
        <v>7753</v>
      </c>
      <c r="D1491" s="3" t="str">
        <f>VLOOKUP(B1491,LifeList!$E$2:$G$2038,1)</f>
        <v>Great Blue Heron</v>
      </c>
      <c r="E1491" s="3" t="str">
        <f>VLOOKUP(B1491,LifeList!$E$2:$G$2038,2)</f>
        <v>Grand Héron</v>
      </c>
      <c r="F1491" s="3" t="str">
        <f>VLOOKUP(B1491,LifeList!$E$2:$G$2038,3)</f>
        <v>Ardea herodias</v>
      </c>
      <c r="G1491" s="3" t="str">
        <f>VLOOKUP(B1491,LifeList!$E$2:$I$2038,4)</f>
        <v>Pelecaniformes</v>
      </c>
      <c r="H1491" s="3" t="str">
        <f>VLOOKUP(B1491,LifeList!$E$2:$I$2038,5)</f>
        <v>Ardeidae (Herons, Egrets, and Bitterns)</v>
      </c>
      <c r="I1491" s="3"/>
    </row>
    <row r="1492" spans="1:9" ht="10.5" customHeight="1">
      <c r="A1492" s="3" t="s">
        <v>2149</v>
      </c>
      <c r="B1492" s="3" t="s">
        <v>2138</v>
      </c>
      <c r="C1492" s="3">
        <f>VLOOKUP(B1492,LifeList!$E$2:$J$2038,6)</f>
        <v>7753</v>
      </c>
      <c r="D1492" s="3" t="str">
        <f>VLOOKUP(B1492,LifeList!$E$2:$G$2038,1)</f>
        <v>Great Blue Heron</v>
      </c>
      <c r="E1492" s="3" t="str">
        <f>VLOOKUP(B1492,LifeList!$E$2:$G$2038,2)</f>
        <v>Grand Héron</v>
      </c>
      <c r="F1492" s="3" t="str">
        <f>VLOOKUP(B1492,LifeList!$E$2:$G$2038,3)</f>
        <v>Ardea herodias</v>
      </c>
      <c r="G1492" s="3" t="str">
        <f>VLOOKUP(B1492,LifeList!$E$2:$I$2038,4)</f>
        <v>Pelecaniformes</v>
      </c>
      <c r="H1492" s="3" t="str">
        <f>VLOOKUP(B1492,LifeList!$E$2:$I$2038,5)</f>
        <v>Ardeidae (Herons, Egrets, and Bitterns)</v>
      </c>
      <c r="I1492" s="3"/>
    </row>
    <row r="1493" spans="1:9" ht="10.5" customHeight="1">
      <c r="A1493" s="3" t="s">
        <v>2150</v>
      </c>
      <c r="B1493" s="3" t="s">
        <v>2138</v>
      </c>
      <c r="C1493" s="3">
        <f>VLOOKUP(B1493,LifeList!$E$2:$J$2038,6)</f>
        <v>7753</v>
      </c>
      <c r="D1493" s="3" t="str">
        <f>VLOOKUP(B1493,LifeList!$E$2:$G$2038,1)</f>
        <v>Great Blue Heron</v>
      </c>
      <c r="E1493" s="3" t="str">
        <f>VLOOKUP(B1493,LifeList!$E$2:$G$2038,2)</f>
        <v>Grand Héron</v>
      </c>
      <c r="F1493" s="3" t="str">
        <f>VLOOKUP(B1493,LifeList!$E$2:$G$2038,3)</f>
        <v>Ardea herodias</v>
      </c>
      <c r="G1493" s="3" t="str">
        <f>VLOOKUP(B1493,LifeList!$E$2:$I$2038,4)</f>
        <v>Pelecaniformes</v>
      </c>
      <c r="H1493" s="3" t="str">
        <f>VLOOKUP(B1493,LifeList!$E$2:$I$2038,5)</f>
        <v>Ardeidae (Herons, Egrets, and Bitterns)</v>
      </c>
      <c r="I1493" s="3"/>
    </row>
    <row r="1494" spans="1:9" ht="10.5" customHeight="1">
      <c r="A1494" s="3" t="s">
        <v>2151</v>
      </c>
      <c r="B1494" s="3" t="s">
        <v>2138</v>
      </c>
      <c r="C1494" s="3">
        <f>VLOOKUP(B1494,LifeList!$E$2:$J$2038,6)</f>
        <v>7753</v>
      </c>
      <c r="D1494" s="3" t="str">
        <f>VLOOKUP(B1494,LifeList!$E$2:$G$2038,1)</f>
        <v>Great Blue Heron</v>
      </c>
      <c r="E1494" s="3" t="str">
        <f>VLOOKUP(B1494,LifeList!$E$2:$G$2038,2)</f>
        <v>Grand Héron</v>
      </c>
      <c r="F1494" s="3" t="str">
        <f>VLOOKUP(B1494,LifeList!$E$2:$G$2038,3)</f>
        <v>Ardea herodias</v>
      </c>
      <c r="G1494" s="3" t="str">
        <f>VLOOKUP(B1494,LifeList!$E$2:$I$2038,4)</f>
        <v>Pelecaniformes</v>
      </c>
      <c r="H1494" s="3" t="str">
        <f>VLOOKUP(B1494,LifeList!$E$2:$I$2038,5)</f>
        <v>Ardeidae (Herons, Egrets, and Bitterns)</v>
      </c>
      <c r="I1494" s="3"/>
    </row>
    <row r="1495" spans="1:9" ht="10.5" customHeight="1">
      <c r="A1495" s="3" t="s">
        <v>2152</v>
      </c>
      <c r="B1495" s="3" t="s">
        <v>2153</v>
      </c>
      <c r="C1495" s="3">
        <f>VLOOKUP(B1495,LifeList!$E$2:$J$2038,6)</f>
        <v>7397</v>
      </c>
      <c r="D1495" s="3" t="str">
        <f>VLOOKUP(B1495,LifeList!$E$2:$G$2038,1)</f>
        <v>Great Cormorant</v>
      </c>
      <c r="E1495" s="3" t="str">
        <f>VLOOKUP(B1495,LifeList!$E$2:$G$2038,2)</f>
        <v>Grand Cormoran</v>
      </c>
      <c r="F1495" s="3" t="str">
        <f>VLOOKUP(B1495,LifeList!$E$2:$G$2038,3)</f>
        <v>Phalacrocorax carbo</v>
      </c>
      <c r="G1495" s="3" t="str">
        <f>VLOOKUP(B1495,LifeList!$E$2:$I$2038,4)</f>
        <v>Suliformes</v>
      </c>
      <c r="H1495" s="3" t="str">
        <f>VLOOKUP(B1495,LifeList!$E$2:$I$2038,5)</f>
        <v>Phalacrocoracidae (Cormorants and Shags)</v>
      </c>
      <c r="I1495" s="3"/>
    </row>
    <row r="1496" spans="1:9" ht="10.5" customHeight="1">
      <c r="A1496" s="3" t="s">
        <v>2154</v>
      </c>
      <c r="B1496" s="3" t="s">
        <v>2155</v>
      </c>
      <c r="C1496" s="3">
        <f>VLOOKUP(B1496,LifeList!$E$2:$J$2038,6)</f>
        <v>17334</v>
      </c>
      <c r="D1496" s="3" t="str">
        <f>VLOOKUP(B1496,LifeList!$E$2:$G$2038,1)</f>
        <v>Great Crested Flycatcher</v>
      </c>
      <c r="E1496" s="3" t="str">
        <f>VLOOKUP(B1496,LifeList!$E$2:$G$2038,2)</f>
        <v>Tyran huppé</v>
      </c>
      <c r="F1496" s="3" t="str">
        <f>VLOOKUP(B1496,LifeList!$E$2:$G$2038,3)</f>
        <v>Myiarchus crinitus</v>
      </c>
      <c r="G1496" s="3" t="str">
        <f>VLOOKUP(B1496,LifeList!$E$2:$I$2038,4)</f>
        <v>Passeriformes</v>
      </c>
      <c r="H1496" s="3" t="str">
        <f>VLOOKUP(B1496,LifeList!$E$2:$I$2038,5)</f>
        <v>Tyrannidae (Tyrant Flycatchers)</v>
      </c>
      <c r="I1496" s="3"/>
    </row>
    <row r="1497" spans="1:9" ht="10.5" customHeight="1">
      <c r="A1497" s="3" t="s">
        <v>2156</v>
      </c>
      <c r="B1497" s="3" t="s">
        <v>2155</v>
      </c>
      <c r="C1497" s="3">
        <f>VLOOKUP(B1497,LifeList!$E$2:$J$2038,6)</f>
        <v>17334</v>
      </c>
      <c r="D1497" s="3" t="str">
        <f>VLOOKUP(B1497,LifeList!$E$2:$G$2038,1)</f>
        <v>Great Crested Flycatcher</v>
      </c>
      <c r="E1497" s="3" t="str">
        <f>VLOOKUP(B1497,LifeList!$E$2:$G$2038,2)</f>
        <v>Tyran huppé</v>
      </c>
      <c r="F1497" s="3" t="str">
        <f>VLOOKUP(B1497,LifeList!$E$2:$G$2038,3)</f>
        <v>Myiarchus crinitus</v>
      </c>
      <c r="G1497" s="3" t="str">
        <f>VLOOKUP(B1497,LifeList!$E$2:$I$2038,4)</f>
        <v>Passeriformes</v>
      </c>
      <c r="H1497" s="3" t="str">
        <f>VLOOKUP(B1497,LifeList!$E$2:$I$2038,5)</f>
        <v>Tyrannidae (Tyrant Flycatchers)</v>
      </c>
      <c r="I1497" s="3"/>
    </row>
    <row r="1498" spans="1:9" ht="10.5" customHeight="1">
      <c r="A1498" s="3" t="s">
        <v>2157</v>
      </c>
      <c r="B1498" s="3" t="s">
        <v>2155</v>
      </c>
      <c r="C1498" s="3">
        <f>VLOOKUP(B1498,LifeList!$E$2:$J$2038,6)</f>
        <v>17334</v>
      </c>
      <c r="D1498" s="3" t="str">
        <f>VLOOKUP(B1498,LifeList!$E$2:$G$2038,1)</f>
        <v>Great Crested Flycatcher</v>
      </c>
      <c r="E1498" s="3" t="str">
        <f>VLOOKUP(B1498,LifeList!$E$2:$G$2038,2)</f>
        <v>Tyran huppé</v>
      </c>
      <c r="F1498" s="3" t="str">
        <f>VLOOKUP(B1498,LifeList!$E$2:$G$2038,3)</f>
        <v>Myiarchus crinitus</v>
      </c>
      <c r="G1498" s="3" t="str">
        <f>VLOOKUP(B1498,LifeList!$E$2:$I$2038,4)</f>
        <v>Passeriformes</v>
      </c>
      <c r="H1498" s="3" t="str">
        <f>VLOOKUP(B1498,LifeList!$E$2:$I$2038,5)</f>
        <v>Tyrannidae (Tyrant Flycatchers)</v>
      </c>
      <c r="I1498" s="3"/>
    </row>
    <row r="1499" spans="1:9" ht="10.5" customHeight="1">
      <c r="A1499" s="3" t="s">
        <v>2158</v>
      </c>
      <c r="B1499" s="3" t="s">
        <v>2155</v>
      </c>
      <c r="C1499" s="3">
        <f>VLOOKUP(B1499,LifeList!$E$2:$J$2038,6)</f>
        <v>17334</v>
      </c>
      <c r="D1499" s="3" t="str">
        <f>VLOOKUP(B1499,LifeList!$E$2:$G$2038,1)</f>
        <v>Great Crested Flycatcher</v>
      </c>
      <c r="E1499" s="3" t="str">
        <f>VLOOKUP(B1499,LifeList!$E$2:$G$2038,2)</f>
        <v>Tyran huppé</v>
      </c>
      <c r="F1499" s="3" t="str">
        <f>VLOOKUP(B1499,LifeList!$E$2:$G$2038,3)</f>
        <v>Myiarchus crinitus</v>
      </c>
      <c r="G1499" s="3" t="str">
        <f>VLOOKUP(B1499,LifeList!$E$2:$I$2038,4)</f>
        <v>Passeriformes</v>
      </c>
      <c r="H1499" s="3" t="str">
        <f>VLOOKUP(B1499,LifeList!$E$2:$I$2038,5)</f>
        <v>Tyrannidae (Tyrant Flycatchers)</v>
      </c>
      <c r="I1499" s="3"/>
    </row>
    <row r="1500" spans="1:9" ht="10.5" customHeight="1">
      <c r="A1500" s="3" t="s">
        <v>2159</v>
      </c>
      <c r="B1500" s="3" t="s">
        <v>2155</v>
      </c>
      <c r="C1500" s="3">
        <f>VLOOKUP(B1500,LifeList!$E$2:$J$2038,6)</f>
        <v>17334</v>
      </c>
      <c r="D1500" s="3" t="str">
        <f>VLOOKUP(B1500,LifeList!$E$2:$G$2038,1)</f>
        <v>Great Crested Flycatcher</v>
      </c>
      <c r="E1500" s="3" t="str">
        <f>VLOOKUP(B1500,LifeList!$E$2:$G$2038,2)</f>
        <v>Tyran huppé</v>
      </c>
      <c r="F1500" s="3" t="str">
        <f>VLOOKUP(B1500,LifeList!$E$2:$G$2038,3)</f>
        <v>Myiarchus crinitus</v>
      </c>
      <c r="G1500" s="3" t="str">
        <f>VLOOKUP(B1500,LifeList!$E$2:$I$2038,4)</f>
        <v>Passeriformes</v>
      </c>
      <c r="H1500" s="3" t="str">
        <f>VLOOKUP(B1500,LifeList!$E$2:$I$2038,5)</f>
        <v>Tyrannidae (Tyrant Flycatchers)</v>
      </c>
      <c r="I1500" s="3"/>
    </row>
    <row r="1501" spans="1:9" ht="10.5" customHeight="1">
      <c r="A1501" s="3" t="s">
        <v>2160</v>
      </c>
      <c r="B1501" s="3" t="s">
        <v>2161</v>
      </c>
      <c r="C1501" s="3">
        <f>VLOOKUP(B1501,LifeList!$E$2:$J$2038,6)</f>
        <v>6872</v>
      </c>
      <c r="D1501" s="3" t="str">
        <f>VLOOKUP(B1501,LifeList!$E$2:$G$2038,1)</f>
        <v>Great Crested Grebe</v>
      </c>
      <c r="E1501" s="3" t="str">
        <f>VLOOKUP(B1501,LifeList!$E$2:$G$2038,2)</f>
        <v>Grèbe huppé</v>
      </c>
      <c r="F1501" s="3" t="str">
        <f>VLOOKUP(B1501,LifeList!$E$2:$G$2038,3)</f>
        <v>Podiceps cristatus</v>
      </c>
      <c r="G1501" s="3" t="str">
        <f>VLOOKUP(B1501,LifeList!$E$2:$I$2038,4)</f>
        <v>Podicipediformes</v>
      </c>
      <c r="H1501" s="3" t="str">
        <f>VLOOKUP(B1501,LifeList!$E$2:$I$2038,5)</f>
        <v>Podicipedidae (Grebes)</v>
      </c>
      <c r="I1501" s="3"/>
    </row>
    <row r="1502" spans="1:9" ht="10.5" customHeight="1">
      <c r="A1502" s="3" t="s">
        <v>2162</v>
      </c>
      <c r="B1502" s="3" t="s">
        <v>2163</v>
      </c>
      <c r="C1502" s="3">
        <f>VLOOKUP(B1502,LifeList!$E$2:$J$2038,6)</f>
        <v>6792</v>
      </c>
      <c r="D1502" s="3" t="str">
        <f>VLOOKUP(B1502,LifeList!$E$2:$G$2038,1)</f>
        <v>Great Crested Tern</v>
      </c>
      <c r="E1502" s="3" t="str">
        <f>VLOOKUP(B1502,LifeList!$E$2:$G$2038,2)</f>
        <v>Sterne huppée</v>
      </c>
      <c r="F1502" s="3" t="str">
        <f>VLOOKUP(B1502,LifeList!$E$2:$G$2038,3)</f>
        <v>Thalasseus bergii</v>
      </c>
      <c r="G1502" s="3" t="str">
        <f>VLOOKUP(B1502,LifeList!$E$2:$I$2038,4)</f>
        <v>Charadriiformes</v>
      </c>
      <c r="H1502" s="3" t="str">
        <f>VLOOKUP(B1502,LifeList!$E$2:$I$2038,5)</f>
        <v>Laridae (Gulls, Terns, and Skimmers)</v>
      </c>
      <c r="I1502" s="3"/>
    </row>
    <row r="1503" spans="1:9" ht="10.5" customHeight="1">
      <c r="A1503" s="3" t="s">
        <v>2164</v>
      </c>
      <c r="B1503" s="3" t="s">
        <v>2163</v>
      </c>
      <c r="C1503" s="3">
        <f>VLOOKUP(B1503,LifeList!$E$2:$J$2038,6)</f>
        <v>6792</v>
      </c>
      <c r="D1503" s="3" t="str">
        <f>VLOOKUP(B1503,LifeList!$E$2:$G$2038,1)</f>
        <v>Great Crested Tern</v>
      </c>
      <c r="E1503" s="3" t="str">
        <f>VLOOKUP(B1503,LifeList!$E$2:$G$2038,2)</f>
        <v>Sterne huppée</v>
      </c>
      <c r="F1503" s="3" t="str">
        <f>VLOOKUP(B1503,LifeList!$E$2:$G$2038,3)</f>
        <v>Thalasseus bergii</v>
      </c>
      <c r="G1503" s="3" t="str">
        <f>VLOOKUP(B1503,LifeList!$E$2:$I$2038,4)</f>
        <v>Charadriiformes</v>
      </c>
      <c r="H1503" s="3" t="str">
        <f>VLOOKUP(B1503,LifeList!$E$2:$I$2038,5)</f>
        <v>Laridae (Gulls, Terns, and Skimmers)</v>
      </c>
      <c r="I1503" s="3"/>
    </row>
    <row r="1504" spans="1:9" ht="10.5" customHeight="1">
      <c r="A1504" s="3" t="s">
        <v>2165</v>
      </c>
      <c r="B1504" s="3" t="s">
        <v>2166</v>
      </c>
      <c r="C1504" s="3">
        <f>VLOOKUP(B1504,LifeList!$E$2:$J$2038,6)</f>
        <v>930</v>
      </c>
      <c r="D1504" s="3" t="str">
        <f>VLOOKUP(B1504,LifeList!$E$2:$G$2038,1)</f>
        <v>Great Curassow</v>
      </c>
      <c r="E1504" s="3" t="str">
        <f>VLOOKUP(B1504,LifeList!$E$2:$G$2038,2)</f>
        <v>Grand Hocco</v>
      </c>
      <c r="F1504" s="3" t="str">
        <f>VLOOKUP(B1504,LifeList!$E$2:$G$2038,3)</f>
        <v>Crax rubra</v>
      </c>
      <c r="G1504" s="3" t="str">
        <f>VLOOKUP(B1504,LifeList!$E$2:$I$2038,4)</f>
        <v>Galliformes</v>
      </c>
      <c r="H1504" s="3" t="str">
        <f>VLOOKUP(B1504,LifeList!$E$2:$I$2038,5)</f>
        <v>Cracidae (Guans, Chachalacas, and Curassows)</v>
      </c>
      <c r="I1504" s="3"/>
    </row>
    <row r="1505" spans="1:9" ht="10.5" customHeight="1">
      <c r="A1505" s="3" t="s">
        <v>2167</v>
      </c>
      <c r="B1505" s="3" t="s">
        <v>2166</v>
      </c>
      <c r="C1505" s="3">
        <f>VLOOKUP(B1505,LifeList!$E$2:$J$2038,6)</f>
        <v>930</v>
      </c>
      <c r="D1505" s="3" t="str">
        <f>VLOOKUP(B1505,LifeList!$E$2:$G$2038,1)</f>
        <v>Great Curassow</v>
      </c>
      <c r="E1505" s="3" t="str">
        <f>VLOOKUP(B1505,LifeList!$E$2:$G$2038,2)</f>
        <v>Grand Hocco</v>
      </c>
      <c r="F1505" s="3" t="str">
        <f>VLOOKUP(B1505,LifeList!$E$2:$G$2038,3)</f>
        <v>Crax rubra</v>
      </c>
      <c r="G1505" s="3" t="str">
        <f>VLOOKUP(B1505,LifeList!$E$2:$I$2038,4)</f>
        <v>Galliformes</v>
      </c>
      <c r="H1505" s="3" t="str">
        <f>VLOOKUP(B1505,LifeList!$E$2:$I$2038,5)</f>
        <v>Cracidae (Guans, Chachalacas, and Curassows)</v>
      </c>
      <c r="I1505" s="3"/>
    </row>
    <row r="1506" spans="1:9" ht="10.5" customHeight="1">
      <c r="A1506" s="3" t="s">
        <v>2168</v>
      </c>
      <c r="B1506" s="3" t="s">
        <v>2166</v>
      </c>
      <c r="C1506" s="3">
        <f>VLOOKUP(B1506,LifeList!$E$2:$J$2038,6)</f>
        <v>930</v>
      </c>
      <c r="D1506" s="3" t="str">
        <f>VLOOKUP(B1506,LifeList!$E$2:$G$2038,1)</f>
        <v>Great Curassow</v>
      </c>
      <c r="E1506" s="3" t="str">
        <f>VLOOKUP(B1506,LifeList!$E$2:$G$2038,2)</f>
        <v>Grand Hocco</v>
      </c>
      <c r="F1506" s="3" t="str">
        <f>VLOOKUP(B1506,LifeList!$E$2:$G$2038,3)</f>
        <v>Crax rubra</v>
      </c>
      <c r="G1506" s="3" t="str">
        <f>VLOOKUP(B1506,LifeList!$E$2:$I$2038,4)</f>
        <v>Galliformes</v>
      </c>
      <c r="H1506" s="3" t="str">
        <f>VLOOKUP(B1506,LifeList!$E$2:$I$2038,5)</f>
        <v>Cracidae (Guans, Chachalacas, and Curassows)</v>
      </c>
      <c r="I1506" s="3"/>
    </row>
    <row r="1507" spans="1:9" ht="10.5" customHeight="1">
      <c r="A1507" s="3" t="s">
        <v>2169</v>
      </c>
      <c r="B1507" s="3" t="s">
        <v>2170</v>
      </c>
      <c r="C1507" s="3">
        <f>VLOOKUP(B1507,LifeList!$E$2:$J$2038,6)</f>
        <v>7729</v>
      </c>
      <c r="D1507" s="3" t="str">
        <f>VLOOKUP(B1507,LifeList!$E$2:$G$2038,1)</f>
        <v>Great Egret</v>
      </c>
      <c r="E1507" s="3" t="str">
        <f>VLOOKUP(B1507,LifeList!$E$2:$G$2038,2)</f>
        <v>Grande Aigrette</v>
      </c>
      <c r="F1507" s="3" t="str">
        <f>VLOOKUP(B1507,LifeList!$E$2:$G$2038,3)</f>
        <v>Ardea alba</v>
      </c>
      <c r="G1507" s="3" t="str">
        <f>VLOOKUP(B1507,LifeList!$E$2:$I$2038,4)</f>
        <v>Pelecaniformes</v>
      </c>
      <c r="H1507" s="3" t="str">
        <f>VLOOKUP(B1507,LifeList!$E$2:$I$2038,5)</f>
        <v>Ardeidae (Herons, Egrets, and Bitterns)</v>
      </c>
      <c r="I1507" s="3"/>
    </row>
    <row r="1508" spans="1:9" ht="10.5" customHeight="1">
      <c r="A1508" s="3" t="s">
        <v>2171</v>
      </c>
      <c r="B1508" s="3" t="s">
        <v>2170</v>
      </c>
      <c r="C1508" s="3">
        <f>VLOOKUP(B1508,LifeList!$E$2:$J$2038,6)</f>
        <v>7729</v>
      </c>
      <c r="D1508" s="3" t="str">
        <f>VLOOKUP(B1508,LifeList!$E$2:$G$2038,1)</f>
        <v>Great Egret</v>
      </c>
      <c r="E1508" s="3" t="str">
        <f>VLOOKUP(B1508,LifeList!$E$2:$G$2038,2)</f>
        <v>Grande Aigrette</v>
      </c>
      <c r="F1508" s="3" t="str">
        <f>VLOOKUP(B1508,LifeList!$E$2:$G$2038,3)</f>
        <v>Ardea alba</v>
      </c>
      <c r="G1508" s="3" t="str">
        <f>VLOOKUP(B1508,LifeList!$E$2:$I$2038,4)</f>
        <v>Pelecaniformes</v>
      </c>
      <c r="H1508" s="3" t="str">
        <f>VLOOKUP(B1508,LifeList!$E$2:$I$2038,5)</f>
        <v>Ardeidae (Herons, Egrets, and Bitterns)</v>
      </c>
      <c r="I1508" s="3"/>
    </row>
    <row r="1509" spans="1:9" ht="10.5" customHeight="1">
      <c r="A1509" s="3" t="s">
        <v>2172</v>
      </c>
      <c r="B1509" s="3" t="s">
        <v>2170</v>
      </c>
      <c r="C1509" s="3">
        <f>VLOOKUP(B1509,LifeList!$E$2:$J$2038,6)</f>
        <v>7729</v>
      </c>
      <c r="D1509" s="3" t="str">
        <f>VLOOKUP(B1509,LifeList!$E$2:$G$2038,1)</f>
        <v>Great Egret</v>
      </c>
      <c r="E1509" s="3" t="str">
        <f>VLOOKUP(B1509,LifeList!$E$2:$G$2038,2)</f>
        <v>Grande Aigrette</v>
      </c>
      <c r="F1509" s="3" t="str">
        <f>VLOOKUP(B1509,LifeList!$E$2:$G$2038,3)</f>
        <v>Ardea alba</v>
      </c>
      <c r="G1509" s="3" t="str">
        <f>VLOOKUP(B1509,LifeList!$E$2:$I$2038,4)</f>
        <v>Pelecaniformes</v>
      </c>
      <c r="H1509" s="3" t="str">
        <f>VLOOKUP(B1509,LifeList!$E$2:$I$2038,5)</f>
        <v>Ardeidae (Herons, Egrets, and Bitterns)</v>
      </c>
      <c r="I1509" s="3"/>
    </row>
    <row r="1510" spans="1:9" ht="10.5" customHeight="1">
      <c r="A1510" s="3" t="s">
        <v>2173</v>
      </c>
      <c r="B1510" s="3" t="s">
        <v>2170</v>
      </c>
      <c r="C1510" s="3">
        <f>VLOOKUP(B1510,LifeList!$E$2:$J$2038,6)</f>
        <v>7729</v>
      </c>
      <c r="D1510" s="3" t="str">
        <f>VLOOKUP(B1510,LifeList!$E$2:$G$2038,1)</f>
        <v>Great Egret</v>
      </c>
      <c r="E1510" s="3" t="str">
        <f>VLOOKUP(B1510,LifeList!$E$2:$G$2038,2)</f>
        <v>Grande Aigrette</v>
      </c>
      <c r="F1510" s="3" t="str">
        <f>VLOOKUP(B1510,LifeList!$E$2:$G$2038,3)</f>
        <v>Ardea alba</v>
      </c>
      <c r="G1510" s="3" t="str">
        <f>VLOOKUP(B1510,LifeList!$E$2:$I$2038,4)</f>
        <v>Pelecaniformes</v>
      </c>
      <c r="H1510" s="3" t="str">
        <f>VLOOKUP(B1510,LifeList!$E$2:$I$2038,5)</f>
        <v>Ardeidae (Herons, Egrets, and Bitterns)</v>
      </c>
      <c r="I1510" s="3"/>
    </row>
    <row r="1511" spans="1:9" ht="10.5" customHeight="1">
      <c r="A1511" s="3" t="s">
        <v>2174</v>
      </c>
      <c r="B1511" s="3" t="s">
        <v>2170</v>
      </c>
      <c r="C1511" s="3">
        <f>VLOOKUP(B1511,LifeList!$E$2:$J$2038,6)</f>
        <v>7729</v>
      </c>
      <c r="D1511" s="3" t="str">
        <f>VLOOKUP(B1511,LifeList!$E$2:$G$2038,1)</f>
        <v>Great Egret</v>
      </c>
      <c r="E1511" s="3" t="str">
        <f>VLOOKUP(B1511,LifeList!$E$2:$G$2038,2)</f>
        <v>Grande Aigrette</v>
      </c>
      <c r="F1511" s="3" t="str">
        <f>VLOOKUP(B1511,LifeList!$E$2:$G$2038,3)</f>
        <v>Ardea alba</v>
      </c>
      <c r="G1511" s="3" t="str">
        <f>VLOOKUP(B1511,LifeList!$E$2:$I$2038,4)</f>
        <v>Pelecaniformes</v>
      </c>
      <c r="H1511" s="3" t="str">
        <f>VLOOKUP(B1511,LifeList!$E$2:$I$2038,5)</f>
        <v>Ardeidae (Herons, Egrets, and Bitterns)</v>
      </c>
      <c r="I1511" s="3"/>
    </row>
    <row r="1512" spans="1:9" ht="10.5" customHeight="1">
      <c r="A1512" s="3" t="s">
        <v>2175</v>
      </c>
      <c r="B1512" s="3" t="s">
        <v>2170</v>
      </c>
      <c r="C1512" s="3">
        <f>VLOOKUP(B1512,LifeList!$E$2:$J$2038,6)</f>
        <v>7729</v>
      </c>
      <c r="D1512" s="3" t="str">
        <f>VLOOKUP(B1512,LifeList!$E$2:$G$2038,1)</f>
        <v>Great Egret</v>
      </c>
      <c r="E1512" s="3" t="str">
        <f>VLOOKUP(B1512,LifeList!$E$2:$G$2038,2)</f>
        <v>Grande Aigrette</v>
      </c>
      <c r="F1512" s="3" t="str">
        <f>VLOOKUP(B1512,LifeList!$E$2:$G$2038,3)</f>
        <v>Ardea alba</v>
      </c>
      <c r="G1512" s="3" t="str">
        <f>VLOOKUP(B1512,LifeList!$E$2:$I$2038,4)</f>
        <v>Pelecaniformes</v>
      </c>
      <c r="H1512" s="3" t="str">
        <f>VLOOKUP(B1512,LifeList!$E$2:$I$2038,5)</f>
        <v>Ardeidae (Herons, Egrets, and Bitterns)</v>
      </c>
      <c r="I1512" s="3"/>
    </row>
    <row r="1513" spans="1:9" ht="10.5" customHeight="1">
      <c r="A1513" s="3" t="s">
        <v>2176</v>
      </c>
      <c r="B1513" s="3" t="s">
        <v>2170</v>
      </c>
      <c r="C1513" s="3">
        <f>VLOOKUP(B1513,LifeList!$E$2:$J$2038,6)</f>
        <v>7729</v>
      </c>
      <c r="D1513" s="3" t="str">
        <f>VLOOKUP(B1513,LifeList!$E$2:$G$2038,1)</f>
        <v>Great Egret</v>
      </c>
      <c r="E1513" s="3" t="str">
        <f>VLOOKUP(B1513,LifeList!$E$2:$G$2038,2)</f>
        <v>Grande Aigrette</v>
      </c>
      <c r="F1513" s="3" t="str">
        <f>VLOOKUP(B1513,LifeList!$E$2:$G$2038,3)</f>
        <v>Ardea alba</v>
      </c>
      <c r="G1513" s="3" t="str">
        <f>VLOOKUP(B1513,LifeList!$E$2:$I$2038,4)</f>
        <v>Pelecaniformes</v>
      </c>
      <c r="H1513" s="3" t="str">
        <f>VLOOKUP(B1513,LifeList!$E$2:$I$2038,5)</f>
        <v>Ardeidae (Herons, Egrets, and Bitterns)</v>
      </c>
      <c r="I1513" s="3"/>
    </row>
    <row r="1514" spans="1:9" ht="10.5" customHeight="1">
      <c r="A1514" s="3" t="s">
        <v>2177</v>
      </c>
      <c r="B1514" s="3" t="s">
        <v>2170</v>
      </c>
      <c r="C1514" s="3">
        <f>VLOOKUP(B1514,LifeList!$E$2:$J$2038,6)</f>
        <v>7729</v>
      </c>
      <c r="D1514" s="3" t="str">
        <f>VLOOKUP(B1514,LifeList!$E$2:$G$2038,1)</f>
        <v>Great Egret</v>
      </c>
      <c r="E1514" s="3" t="str">
        <f>VLOOKUP(B1514,LifeList!$E$2:$G$2038,2)</f>
        <v>Grande Aigrette</v>
      </c>
      <c r="F1514" s="3" t="str">
        <f>VLOOKUP(B1514,LifeList!$E$2:$G$2038,3)</f>
        <v>Ardea alba</v>
      </c>
      <c r="G1514" s="3" t="str">
        <f>VLOOKUP(B1514,LifeList!$E$2:$I$2038,4)</f>
        <v>Pelecaniformes</v>
      </c>
      <c r="H1514" s="3" t="str">
        <f>VLOOKUP(B1514,LifeList!$E$2:$I$2038,5)</f>
        <v>Ardeidae (Herons, Egrets, and Bitterns)</v>
      </c>
      <c r="I1514" s="3"/>
    </row>
    <row r="1515" spans="1:9" ht="10.5" customHeight="1">
      <c r="A1515" s="3" t="s">
        <v>2178</v>
      </c>
      <c r="B1515" s="3" t="s">
        <v>2170</v>
      </c>
      <c r="C1515" s="3">
        <f>VLOOKUP(B1515,LifeList!$E$2:$J$2038,6)</f>
        <v>7729</v>
      </c>
      <c r="D1515" s="3" t="str">
        <f>VLOOKUP(B1515,LifeList!$E$2:$G$2038,1)</f>
        <v>Great Egret</v>
      </c>
      <c r="E1515" s="3" t="str">
        <f>VLOOKUP(B1515,LifeList!$E$2:$G$2038,2)</f>
        <v>Grande Aigrette</v>
      </c>
      <c r="F1515" s="3" t="str">
        <f>VLOOKUP(B1515,LifeList!$E$2:$G$2038,3)</f>
        <v>Ardea alba</v>
      </c>
      <c r="G1515" s="3" t="str">
        <f>VLOOKUP(B1515,LifeList!$E$2:$I$2038,4)</f>
        <v>Pelecaniformes</v>
      </c>
      <c r="H1515" s="3" t="str">
        <f>VLOOKUP(B1515,LifeList!$E$2:$I$2038,5)</f>
        <v>Ardeidae (Herons, Egrets, and Bitterns)</v>
      </c>
      <c r="I1515" s="3"/>
    </row>
    <row r="1516" spans="1:9" ht="10.5" customHeight="1">
      <c r="A1516" s="3" t="s">
        <v>2179</v>
      </c>
      <c r="B1516" s="3" t="s">
        <v>2170</v>
      </c>
      <c r="C1516" s="3">
        <f>VLOOKUP(B1516,LifeList!$E$2:$J$2038,6)</f>
        <v>7729</v>
      </c>
      <c r="D1516" s="3" t="str">
        <f>VLOOKUP(B1516,LifeList!$E$2:$G$2038,1)</f>
        <v>Great Egret</v>
      </c>
      <c r="E1516" s="3" t="str">
        <f>VLOOKUP(B1516,LifeList!$E$2:$G$2038,2)</f>
        <v>Grande Aigrette</v>
      </c>
      <c r="F1516" s="3" t="str">
        <f>VLOOKUP(B1516,LifeList!$E$2:$G$2038,3)</f>
        <v>Ardea alba</v>
      </c>
      <c r="G1516" s="3" t="str">
        <f>VLOOKUP(B1516,LifeList!$E$2:$I$2038,4)</f>
        <v>Pelecaniformes</v>
      </c>
      <c r="H1516" s="3" t="str">
        <f>VLOOKUP(B1516,LifeList!$E$2:$I$2038,5)</f>
        <v>Ardeidae (Herons, Egrets, and Bitterns)</v>
      </c>
      <c r="I1516" s="3"/>
    </row>
    <row r="1517" spans="1:9" ht="10.5" customHeight="1">
      <c r="A1517" s="3" t="s">
        <v>2180</v>
      </c>
      <c r="B1517" s="3" t="s">
        <v>2170</v>
      </c>
      <c r="C1517" s="3">
        <f>VLOOKUP(B1517,LifeList!$E$2:$J$2038,6)</f>
        <v>7729</v>
      </c>
      <c r="D1517" s="3" t="str">
        <f>VLOOKUP(B1517,LifeList!$E$2:$G$2038,1)</f>
        <v>Great Egret</v>
      </c>
      <c r="E1517" s="3" t="str">
        <f>VLOOKUP(B1517,LifeList!$E$2:$G$2038,2)</f>
        <v>Grande Aigrette</v>
      </c>
      <c r="F1517" s="3" t="str">
        <f>VLOOKUP(B1517,LifeList!$E$2:$G$2038,3)</f>
        <v>Ardea alba</v>
      </c>
      <c r="G1517" s="3" t="str">
        <f>VLOOKUP(B1517,LifeList!$E$2:$I$2038,4)</f>
        <v>Pelecaniformes</v>
      </c>
      <c r="H1517" s="3" t="str">
        <f>VLOOKUP(B1517,LifeList!$E$2:$I$2038,5)</f>
        <v>Ardeidae (Herons, Egrets, and Bitterns)</v>
      </c>
      <c r="I1517" s="3"/>
    </row>
    <row r="1518" spans="1:9" ht="10.5" customHeight="1">
      <c r="A1518" s="3" t="s">
        <v>2181</v>
      </c>
      <c r="B1518" s="3" t="s">
        <v>2170</v>
      </c>
      <c r="C1518" s="3">
        <f>VLOOKUP(B1518,LifeList!$E$2:$J$2038,6)</f>
        <v>7729</v>
      </c>
      <c r="D1518" s="3" t="str">
        <f>VLOOKUP(B1518,LifeList!$E$2:$G$2038,1)</f>
        <v>Great Egret</v>
      </c>
      <c r="E1518" s="3" t="str">
        <f>VLOOKUP(B1518,LifeList!$E$2:$G$2038,2)</f>
        <v>Grande Aigrette</v>
      </c>
      <c r="F1518" s="3" t="str">
        <f>VLOOKUP(B1518,LifeList!$E$2:$G$2038,3)</f>
        <v>Ardea alba</v>
      </c>
      <c r="G1518" s="3" t="str">
        <f>VLOOKUP(B1518,LifeList!$E$2:$I$2038,4)</f>
        <v>Pelecaniformes</v>
      </c>
      <c r="H1518" s="3" t="str">
        <f>VLOOKUP(B1518,LifeList!$E$2:$I$2038,5)</f>
        <v>Ardeidae (Herons, Egrets, and Bitterns)</v>
      </c>
      <c r="I1518" s="3"/>
    </row>
    <row r="1519" spans="1:9" ht="10.5" customHeight="1">
      <c r="A1519" s="3" t="s">
        <v>2182</v>
      </c>
      <c r="B1519" s="3" t="s">
        <v>2170</v>
      </c>
      <c r="C1519" s="3">
        <f>VLOOKUP(B1519,LifeList!$E$2:$J$2038,6)</f>
        <v>7729</v>
      </c>
      <c r="D1519" s="3" t="str">
        <f>VLOOKUP(B1519,LifeList!$E$2:$G$2038,1)</f>
        <v>Great Egret</v>
      </c>
      <c r="E1519" s="3" t="str">
        <f>VLOOKUP(B1519,LifeList!$E$2:$G$2038,2)</f>
        <v>Grande Aigrette</v>
      </c>
      <c r="F1519" s="3" t="str">
        <f>VLOOKUP(B1519,LifeList!$E$2:$G$2038,3)</f>
        <v>Ardea alba</v>
      </c>
      <c r="G1519" s="3" t="str">
        <f>VLOOKUP(B1519,LifeList!$E$2:$I$2038,4)</f>
        <v>Pelecaniformes</v>
      </c>
      <c r="H1519" s="3" t="str">
        <f>VLOOKUP(B1519,LifeList!$E$2:$I$2038,5)</f>
        <v>Ardeidae (Herons, Egrets, and Bitterns)</v>
      </c>
      <c r="I1519" s="3"/>
    </row>
    <row r="1520" spans="1:9" ht="10.5" customHeight="1">
      <c r="A1520" s="3" t="s">
        <v>2183</v>
      </c>
      <c r="B1520" s="3" t="s">
        <v>2184</v>
      </c>
      <c r="C1520" s="3">
        <f>VLOOKUP(B1520,LifeList!$E$2:$J$2038,6)</f>
        <v>9243</v>
      </c>
      <c r="D1520" s="3" t="str">
        <f>VLOOKUP(B1520,LifeList!$E$2:$G$2038,1)</f>
        <v>Great Gray Owl</v>
      </c>
      <c r="E1520" s="3" t="str">
        <f>VLOOKUP(B1520,LifeList!$E$2:$G$2038,2)</f>
        <v>Chouette lapone</v>
      </c>
      <c r="F1520" s="3" t="str">
        <f>VLOOKUP(B1520,LifeList!$E$2:$G$2038,3)</f>
        <v>Strix nebulosa</v>
      </c>
      <c r="G1520" s="3" t="str">
        <f>VLOOKUP(B1520,LifeList!$E$2:$I$2038,4)</f>
        <v>Strigiformes</v>
      </c>
      <c r="H1520" s="3" t="str">
        <f>VLOOKUP(B1520,LifeList!$E$2:$I$2038,5)</f>
        <v>Strigidae (Owls)</v>
      </c>
      <c r="I1520" s="3"/>
    </row>
    <row r="1521" spans="1:9" ht="10.5" customHeight="1">
      <c r="A1521" s="3" t="s">
        <v>2185</v>
      </c>
      <c r="B1521" s="3" t="s">
        <v>2186</v>
      </c>
      <c r="C1521" s="3">
        <f>VLOOKUP(B1521,LifeList!$E$2:$J$2038,6)</f>
        <v>13149</v>
      </c>
      <c r="D1521" s="3" t="str">
        <f>VLOOKUP(B1521,LifeList!$E$2:$G$2038,1)</f>
        <v>Great Green Macaw</v>
      </c>
      <c r="E1521" s="3" t="str">
        <f>VLOOKUP(B1521,LifeList!$E$2:$G$2038,2)</f>
        <v>Ara de Buffon</v>
      </c>
      <c r="F1521" s="3" t="str">
        <f>VLOOKUP(B1521,LifeList!$E$2:$G$2038,3)</f>
        <v>Ara ambiguus</v>
      </c>
      <c r="G1521" s="3" t="str">
        <f>VLOOKUP(B1521,LifeList!$E$2:$I$2038,4)</f>
        <v>Psittaciformes</v>
      </c>
      <c r="H1521" s="3" t="str">
        <f>VLOOKUP(B1521,LifeList!$E$2:$I$2038,5)</f>
        <v>Psittacidae (New World and African Parrots)</v>
      </c>
      <c r="I1521" s="3"/>
    </row>
    <row r="1522" spans="1:9" ht="10.5" customHeight="1">
      <c r="A1522" s="3" t="s">
        <v>2187</v>
      </c>
      <c r="B1522" s="3" t="s">
        <v>2186</v>
      </c>
      <c r="C1522" s="3">
        <f>VLOOKUP(B1522,LifeList!$E$2:$J$2038,6)</f>
        <v>13149</v>
      </c>
      <c r="D1522" s="3" t="str">
        <f>VLOOKUP(B1522,LifeList!$E$2:$G$2038,1)</f>
        <v>Great Green Macaw</v>
      </c>
      <c r="E1522" s="3" t="str">
        <f>VLOOKUP(B1522,LifeList!$E$2:$G$2038,2)</f>
        <v>Ara de Buffon</v>
      </c>
      <c r="F1522" s="3" t="str">
        <f>VLOOKUP(B1522,LifeList!$E$2:$G$2038,3)</f>
        <v>Ara ambiguus</v>
      </c>
      <c r="G1522" s="3" t="str">
        <f>VLOOKUP(B1522,LifeList!$E$2:$I$2038,4)</f>
        <v>Psittaciformes</v>
      </c>
      <c r="H1522" s="3" t="str">
        <f>VLOOKUP(B1522,LifeList!$E$2:$I$2038,5)</f>
        <v>Psittacidae (New World and African Parrots)</v>
      </c>
      <c r="I1522" s="3"/>
    </row>
    <row r="1523" spans="1:9" ht="10.5" customHeight="1">
      <c r="A1523" s="3" t="s">
        <v>2188</v>
      </c>
      <c r="B1523" s="3" t="s">
        <v>2186</v>
      </c>
      <c r="C1523" s="3">
        <f>VLOOKUP(B1523,LifeList!$E$2:$J$2038,6)</f>
        <v>13149</v>
      </c>
      <c r="D1523" s="3" t="str">
        <f>VLOOKUP(B1523,LifeList!$E$2:$G$2038,1)</f>
        <v>Great Green Macaw</v>
      </c>
      <c r="E1523" s="3" t="str">
        <f>VLOOKUP(B1523,LifeList!$E$2:$G$2038,2)</f>
        <v>Ara de Buffon</v>
      </c>
      <c r="F1523" s="3" t="str">
        <f>VLOOKUP(B1523,LifeList!$E$2:$G$2038,3)</f>
        <v>Ara ambiguus</v>
      </c>
      <c r="G1523" s="3" t="str">
        <f>VLOOKUP(B1523,LifeList!$E$2:$I$2038,4)</f>
        <v>Psittaciformes</v>
      </c>
      <c r="H1523" s="3" t="str">
        <f>VLOOKUP(B1523,LifeList!$E$2:$I$2038,5)</f>
        <v>Psittacidae (New World and African Parrots)</v>
      </c>
      <c r="I1523" s="3"/>
    </row>
    <row r="1524" spans="1:9" ht="10.5" customHeight="1">
      <c r="A1524" s="3" t="s">
        <v>2189</v>
      </c>
      <c r="B1524" s="3" t="s">
        <v>2186</v>
      </c>
      <c r="C1524" s="3">
        <f>VLOOKUP(B1524,LifeList!$E$2:$J$2038,6)</f>
        <v>13149</v>
      </c>
      <c r="D1524" s="3" t="str">
        <f>VLOOKUP(B1524,LifeList!$E$2:$G$2038,1)</f>
        <v>Great Green Macaw</v>
      </c>
      <c r="E1524" s="3" t="str">
        <f>VLOOKUP(B1524,LifeList!$E$2:$G$2038,2)</f>
        <v>Ara de Buffon</v>
      </c>
      <c r="F1524" s="3" t="str">
        <f>VLOOKUP(B1524,LifeList!$E$2:$G$2038,3)</f>
        <v>Ara ambiguus</v>
      </c>
      <c r="G1524" s="3" t="str">
        <f>VLOOKUP(B1524,LifeList!$E$2:$I$2038,4)</f>
        <v>Psittaciformes</v>
      </c>
      <c r="H1524" s="3" t="str">
        <f>VLOOKUP(B1524,LifeList!$E$2:$I$2038,5)</f>
        <v>Psittacidae (New World and African Parrots)</v>
      </c>
      <c r="I1524" s="3"/>
    </row>
    <row r="1525" spans="1:9" ht="10.5" customHeight="1">
      <c r="A1525" s="3" t="s">
        <v>2190</v>
      </c>
      <c r="B1525" s="3" t="s">
        <v>2186</v>
      </c>
      <c r="C1525" s="3">
        <f>VLOOKUP(B1525,LifeList!$E$2:$J$2038,6)</f>
        <v>13149</v>
      </c>
      <c r="D1525" s="3" t="str">
        <f>VLOOKUP(B1525,LifeList!$E$2:$G$2038,1)</f>
        <v>Great Green Macaw</v>
      </c>
      <c r="E1525" s="3" t="str">
        <f>VLOOKUP(B1525,LifeList!$E$2:$G$2038,2)</f>
        <v>Ara de Buffon</v>
      </c>
      <c r="F1525" s="3" t="str">
        <f>VLOOKUP(B1525,LifeList!$E$2:$G$2038,3)</f>
        <v>Ara ambiguus</v>
      </c>
      <c r="G1525" s="3" t="str">
        <f>VLOOKUP(B1525,LifeList!$E$2:$I$2038,4)</f>
        <v>Psittaciformes</v>
      </c>
      <c r="H1525" s="3" t="str">
        <f>VLOOKUP(B1525,LifeList!$E$2:$I$2038,5)</f>
        <v>Psittacidae (New World and African Parrots)</v>
      </c>
      <c r="I1525" s="3"/>
    </row>
    <row r="1526" spans="1:9" ht="10.5" customHeight="1">
      <c r="A1526" s="3" t="s">
        <v>2191</v>
      </c>
      <c r="B1526" s="3" t="s">
        <v>2126</v>
      </c>
      <c r="C1526" s="3">
        <f>VLOOKUP(B1526,LifeList!$E$2:$J$2038,6)</f>
        <v>8910</v>
      </c>
      <c r="D1526" s="3" t="str">
        <f>VLOOKUP(B1526,LifeList!$E$2:$G$2038,1)</f>
        <v>Great Horned Owl</v>
      </c>
      <c r="E1526" s="3" t="str">
        <f>VLOOKUP(B1526,LifeList!$E$2:$G$2038,2)</f>
        <v>Grand-duc d'Amérique</v>
      </c>
      <c r="F1526" s="3" t="str">
        <f>VLOOKUP(B1526,LifeList!$E$2:$G$2038,3)</f>
        <v>Bubo virginianus</v>
      </c>
      <c r="G1526" s="3" t="str">
        <f>VLOOKUP(B1526,LifeList!$E$2:$I$2038,4)</f>
        <v>Strigiformes</v>
      </c>
      <c r="H1526" s="3" t="str">
        <f>VLOOKUP(B1526,LifeList!$E$2:$I$2038,5)</f>
        <v>Strigidae (Owls)</v>
      </c>
      <c r="I1526" s="3"/>
    </row>
    <row r="1527" spans="1:9" ht="10.5" customHeight="1">
      <c r="A1527" s="3" t="s">
        <v>2192</v>
      </c>
      <c r="B1527" s="3" t="s">
        <v>2126</v>
      </c>
      <c r="C1527" s="3">
        <f>VLOOKUP(B1527,LifeList!$E$2:$J$2038,6)</f>
        <v>8910</v>
      </c>
      <c r="D1527" s="3" t="str">
        <f>VLOOKUP(B1527,LifeList!$E$2:$G$2038,1)</f>
        <v>Great Horned Owl</v>
      </c>
      <c r="E1527" s="3" t="str">
        <f>VLOOKUP(B1527,LifeList!$E$2:$G$2038,2)</f>
        <v>Grand-duc d'Amérique</v>
      </c>
      <c r="F1527" s="3" t="str">
        <f>VLOOKUP(B1527,LifeList!$E$2:$G$2038,3)</f>
        <v>Bubo virginianus</v>
      </c>
      <c r="G1527" s="3" t="str">
        <f>VLOOKUP(B1527,LifeList!$E$2:$I$2038,4)</f>
        <v>Strigiformes</v>
      </c>
      <c r="H1527" s="3" t="str">
        <f>VLOOKUP(B1527,LifeList!$E$2:$I$2038,5)</f>
        <v>Strigidae (Owls)</v>
      </c>
      <c r="I1527" s="3"/>
    </row>
    <row r="1528" spans="1:9" ht="10.5" customHeight="1">
      <c r="A1528" s="3" t="s">
        <v>2193</v>
      </c>
      <c r="B1528" s="3" t="s">
        <v>2194</v>
      </c>
      <c r="C1528" s="3">
        <f>VLOOKUP(B1528,LifeList!$E$2:$J$2038,6)</f>
        <v>17368</v>
      </c>
      <c r="D1528" s="3" t="str">
        <f>VLOOKUP(B1528,LifeList!$E$2:$G$2038,1)</f>
        <v>Great Kiskadee</v>
      </c>
      <c r="E1528" s="3" t="str">
        <f>VLOOKUP(B1528,LifeList!$E$2:$G$2038,2)</f>
        <v>Tyran quiquivi</v>
      </c>
      <c r="F1528" s="3" t="str">
        <f>VLOOKUP(B1528,LifeList!$E$2:$G$2038,3)</f>
        <v>Pitangus sulphuratus</v>
      </c>
      <c r="G1528" s="3" t="str">
        <f>VLOOKUP(B1528,LifeList!$E$2:$I$2038,4)</f>
        <v>Passeriformes</v>
      </c>
      <c r="H1528" s="3" t="str">
        <f>VLOOKUP(B1528,LifeList!$E$2:$I$2038,5)</f>
        <v>Tyrannidae (Tyrant Flycatchers)</v>
      </c>
      <c r="I1528" s="3"/>
    </row>
    <row r="1529" spans="1:9" ht="10.5" customHeight="1">
      <c r="A1529" s="3" t="s">
        <v>2195</v>
      </c>
      <c r="B1529" s="3" t="s">
        <v>2194</v>
      </c>
      <c r="C1529" s="3">
        <f>VLOOKUP(B1529,LifeList!$E$2:$J$2038,6)</f>
        <v>17368</v>
      </c>
      <c r="D1529" s="3" t="str">
        <f>VLOOKUP(B1529,LifeList!$E$2:$G$2038,1)</f>
        <v>Great Kiskadee</v>
      </c>
      <c r="E1529" s="3" t="str">
        <f>VLOOKUP(B1529,LifeList!$E$2:$G$2038,2)</f>
        <v>Tyran quiquivi</v>
      </c>
      <c r="F1529" s="3" t="str">
        <f>VLOOKUP(B1529,LifeList!$E$2:$G$2038,3)</f>
        <v>Pitangus sulphuratus</v>
      </c>
      <c r="G1529" s="3" t="str">
        <f>VLOOKUP(B1529,LifeList!$E$2:$I$2038,4)</f>
        <v>Passeriformes</v>
      </c>
      <c r="H1529" s="3" t="str">
        <f>VLOOKUP(B1529,LifeList!$E$2:$I$2038,5)</f>
        <v>Tyrannidae (Tyrant Flycatchers)</v>
      </c>
      <c r="I1529" s="3"/>
    </row>
    <row r="1530" spans="1:9" ht="10.5" customHeight="1">
      <c r="A1530" s="3" t="s">
        <v>2196</v>
      </c>
      <c r="B1530" s="3" t="s">
        <v>2194</v>
      </c>
      <c r="C1530" s="3">
        <f>VLOOKUP(B1530,LifeList!$E$2:$J$2038,6)</f>
        <v>17368</v>
      </c>
      <c r="D1530" s="3" t="str">
        <f>VLOOKUP(B1530,LifeList!$E$2:$G$2038,1)</f>
        <v>Great Kiskadee</v>
      </c>
      <c r="E1530" s="3" t="str">
        <f>VLOOKUP(B1530,LifeList!$E$2:$G$2038,2)</f>
        <v>Tyran quiquivi</v>
      </c>
      <c r="F1530" s="3" t="str">
        <f>VLOOKUP(B1530,LifeList!$E$2:$G$2038,3)</f>
        <v>Pitangus sulphuratus</v>
      </c>
      <c r="G1530" s="3" t="str">
        <f>VLOOKUP(B1530,LifeList!$E$2:$I$2038,4)</f>
        <v>Passeriformes</v>
      </c>
      <c r="H1530" s="3" t="str">
        <f>VLOOKUP(B1530,LifeList!$E$2:$I$2038,5)</f>
        <v>Tyrannidae (Tyrant Flycatchers)</v>
      </c>
      <c r="I1530" s="3"/>
    </row>
    <row r="1531" spans="1:9" ht="10.5" customHeight="1">
      <c r="A1531" s="3" t="s">
        <v>2197</v>
      </c>
      <c r="B1531" s="3" t="s">
        <v>2194</v>
      </c>
      <c r="C1531" s="3">
        <f>VLOOKUP(B1531,LifeList!$E$2:$J$2038,6)</f>
        <v>17368</v>
      </c>
      <c r="D1531" s="3" t="str">
        <f>VLOOKUP(B1531,LifeList!$E$2:$G$2038,1)</f>
        <v>Great Kiskadee</v>
      </c>
      <c r="E1531" s="3" t="str">
        <f>VLOOKUP(B1531,LifeList!$E$2:$G$2038,2)</f>
        <v>Tyran quiquivi</v>
      </c>
      <c r="F1531" s="3" t="str">
        <f>VLOOKUP(B1531,LifeList!$E$2:$G$2038,3)</f>
        <v>Pitangus sulphuratus</v>
      </c>
      <c r="G1531" s="3" t="str">
        <f>VLOOKUP(B1531,LifeList!$E$2:$I$2038,4)</f>
        <v>Passeriformes</v>
      </c>
      <c r="H1531" s="3" t="str">
        <f>VLOOKUP(B1531,LifeList!$E$2:$I$2038,5)</f>
        <v>Tyrannidae (Tyrant Flycatchers)</v>
      </c>
      <c r="I1531" s="3"/>
    </row>
    <row r="1532" spans="1:9" ht="10.5" customHeight="1">
      <c r="A1532" s="3" t="s">
        <v>2198</v>
      </c>
      <c r="B1532" s="3" t="s">
        <v>2199</v>
      </c>
      <c r="C1532" s="3">
        <f>VLOOKUP(B1532,LifeList!$E$2:$J$2038,6)</f>
        <v>3746</v>
      </c>
      <c r="D1532" s="3" t="str">
        <f>VLOOKUP(B1532,LifeList!$E$2:$G$2038,1)</f>
        <v>Great Potoo</v>
      </c>
      <c r="E1532" s="3" t="str">
        <f>VLOOKUP(B1532,LifeList!$E$2:$G$2038,2)</f>
        <v>Grand Ibijau</v>
      </c>
      <c r="F1532" s="3" t="str">
        <f>VLOOKUP(B1532,LifeList!$E$2:$G$2038,3)</f>
        <v>Nyctibius grandis</v>
      </c>
      <c r="G1532" s="3" t="str">
        <f>VLOOKUP(B1532,LifeList!$E$2:$I$2038,4)</f>
        <v>Nyctibiiformes</v>
      </c>
      <c r="H1532" s="3" t="str">
        <f>VLOOKUP(B1532,LifeList!$E$2:$I$2038,5)</f>
        <v>Nyctibiidae (Potoos)</v>
      </c>
      <c r="I1532" s="3"/>
    </row>
    <row r="1533" spans="1:9" ht="10.5" customHeight="1">
      <c r="A1533" s="3" t="s">
        <v>2200</v>
      </c>
      <c r="B1533" s="3" t="s">
        <v>2199</v>
      </c>
      <c r="C1533" s="3">
        <f>VLOOKUP(B1533,LifeList!$E$2:$J$2038,6)</f>
        <v>3746</v>
      </c>
      <c r="D1533" s="3" t="str">
        <f>VLOOKUP(B1533,LifeList!$E$2:$G$2038,1)</f>
        <v>Great Potoo</v>
      </c>
      <c r="E1533" s="3" t="str">
        <f>VLOOKUP(B1533,LifeList!$E$2:$G$2038,2)</f>
        <v>Grand Ibijau</v>
      </c>
      <c r="F1533" s="3" t="str">
        <f>VLOOKUP(B1533,LifeList!$E$2:$G$2038,3)</f>
        <v>Nyctibius grandis</v>
      </c>
      <c r="G1533" s="3" t="str">
        <f>VLOOKUP(B1533,LifeList!$E$2:$I$2038,4)</f>
        <v>Nyctibiiformes</v>
      </c>
      <c r="H1533" s="3" t="str">
        <f>VLOOKUP(B1533,LifeList!$E$2:$I$2038,5)</f>
        <v>Nyctibiidae (Potoos)</v>
      </c>
      <c r="I1533" s="3"/>
    </row>
    <row r="1534" spans="1:9" ht="10.5" customHeight="1">
      <c r="A1534" s="3" t="s">
        <v>2201</v>
      </c>
      <c r="B1534" s="3" t="s">
        <v>2202</v>
      </c>
      <c r="C1534" s="3">
        <f>VLOOKUP(B1534,LifeList!$E$2:$J$2038,6)</f>
        <v>31575</v>
      </c>
      <c r="D1534" s="3" t="str">
        <f>VLOOKUP(B1534,LifeList!$E$2:$G$2038,1)</f>
        <v>Great Rufous Sparrow</v>
      </c>
      <c r="E1534" s="3" t="str">
        <f>VLOOKUP(B1534,LifeList!$E$2:$G$2038,2)</f>
        <v>Grand Moineau</v>
      </c>
      <c r="F1534" s="3" t="str">
        <f>VLOOKUP(B1534,LifeList!$E$2:$G$2038,3)</f>
        <v>Passer motitensis</v>
      </c>
      <c r="G1534" s="3" t="str">
        <f>VLOOKUP(B1534,LifeList!$E$2:$I$2038,4)</f>
        <v>Passeriformes</v>
      </c>
      <c r="H1534" s="3" t="str">
        <f>VLOOKUP(B1534,LifeList!$E$2:$I$2038,5)</f>
        <v>Passeridae (Old World Sparrows)</v>
      </c>
      <c r="I1534" s="3"/>
    </row>
    <row r="1535" spans="1:9" ht="10.5" customHeight="1">
      <c r="A1535" s="3" t="s">
        <v>2203</v>
      </c>
      <c r="B1535" s="3" t="s">
        <v>2204</v>
      </c>
      <c r="C1535" s="3">
        <f>VLOOKUP(B1535,LifeList!$E$2:$J$2038,6)</f>
        <v>4668</v>
      </c>
      <c r="D1535" s="3" t="str">
        <f>VLOOKUP(B1535,LifeList!$E$2:$G$2038,1)</f>
        <v>Great Sapphirewing</v>
      </c>
      <c r="E1535" s="3" t="str">
        <f>VLOOKUP(B1535,LifeList!$E$2:$G$2038,2)</f>
        <v>Colibri à ailes saphir</v>
      </c>
      <c r="F1535" s="3" t="str">
        <f>VLOOKUP(B1535,LifeList!$E$2:$G$2038,3)</f>
        <v>Pterophanes cyanopterus</v>
      </c>
      <c r="G1535" s="3" t="str">
        <f>VLOOKUP(B1535,LifeList!$E$2:$I$2038,4)</f>
        <v>Apodiformes</v>
      </c>
      <c r="H1535" s="3" t="str">
        <f>VLOOKUP(B1535,LifeList!$E$2:$I$2038,5)</f>
        <v>Trochilidae (Hummingbirds)</v>
      </c>
      <c r="I1535" s="3"/>
    </row>
    <row r="1536" spans="1:9" ht="10.5" customHeight="1">
      <c r="A1536" s="3" t="s">
        <v>2205</v>
      </c>
      <c r="B1536" s="3" t="s">
        <v>2204</v>
      </c>
      <c r="C1536" s="3">
        <f>VLOOKUP(B1536,LifeList!$E$2:$J$2038,6)</f>
        <v>4668</v>
      </c>
      <c r="D1536" s="3" t="str">
        <f>VLOOKUP(B1536,LifeList!$E$2:$G$2038,1)</f>
        <v>Great Sapphirewing</v>
      </c>
      <c r="E1536" s="3" t="str">
        <f>VLOOKUP(B1536,LifeList!$E$2:$G$2038,2)</f>
        <v>Colibri à ailes saphir</v>
      </c>
      <c r="F1536" s="3" t="str">
        <f>VLOOKUP(B1536,LifeList!$E$2:$G$2038,3)</f>
        <v>Pterophanes cyanopterus</v>
      </c>
      <c r="G1536" s="3" t="str">
        <f>VLOOKUP(B1536,LifeList!$E$2:$I$2038,4)</f>
        <v>Apodiformes</v>
      </c>
      <c r="H1536" s="3" t="str">
        <f>VLOOKUP(B1536,LifeList!$E$2:$I$2038,5)</f>
        <v>Trochilidae (Hummingbirds)</v>
      </c>
      <c r="I1536" s="3"/>
    </row>
    <row r="1537" spans="1:9" ht="10.5" customHeight="1">
      <c r="A1537" s="3" t="s">
        <v>2206</v>
      </c>
      <c r="B1537" s="3" t="s">
        <v>2204</v>
      </c>
      <c r="C1537" s="3">
        <f>VLOOKUP(B1537,LifeList!$E$2:$J$2038,6)</f>
        <v>4668</v>
      </c>
      <c r="D1537" s="3" t="str">
        <f>VLOOKUP(B1537,LifeList!$E$2:$G$2038,1)</f>
        <v>Great Sapphirewing</v>
      </c>
      <c r="E1537" s="3" t="str">
        <f>VLOOKUP(B1537,LifeList!$E$2:$G$2038,2)</f>
        <v>Colibri à ailes saphir</v>
      </c>
      <c r="F1537" s="3" t="str">
        <f>VLOOKUP(B1537,LifeList!$E$2:$G$2038,3)</f>
        <v>Pterophanes cyanopterus</v>
      </c>
      <c r="G1537" s="3" t="str">
        <f>VLOOKUP(B1537,LifeList!$E$2:$I$2038,4)</f>
        <v>Apodiformes</v>
      </c>
      <c r="H1537" s="3" t="str">
        <f>VLOOKUP(B1537,LifeList!$E$2:$I$2038,5)</f>
        <v>Trochilidae (Hummingbirds)</v>
      </c>
      <c r="I1537" s="3"/>
    </row>
    <row r="1538" spans="1:9" ht="10.5" customHeight="1">
      <c r="A1538" s="3" t="s">
        <v>2207</v>
      </c>
      <c r="B1538" s="3" t="s">
        <v>2208</v>
      </c>
      <c r="C1538" s="3">
        <f>VLOOKUP(B1538,LifeList!$E$2:$J$2038,6)</f>
        <v>28677</v>
      </c>
      <c r="D1538" s="3" t="str">
        <f>VLOOKUP(B1538,LifeList!$E$2:$G$2038,1)</f>
        <v>Great Thrush</v>
      </c>
      <c r="E1538" s="3" t="str">
        <f>VLOOKUP(B1538,LifeList!$E$2:$G$2038,2)</f>
        <v>Merle géant</v>
      </c>
      <c r="F1538" s="3" t="str">
        <f>VLOOKUP(B1538,LifeList!$E$2:$G$2038,3)</f>
        <v>Turdus fuscater</v>
      </c>
      <c r="G1538" s="3" t="str">
        <f>VLOOKUP(B1538,LifeList!$E$2:$I$2038,4)</f>
        <v>Passeriformes</v>
      </c>
      <c r="H1538" s="3" t="str">
        <f>VLOOKUP(B1538,LifeList!$E$2:$I$2038,5)</f>
        <v>Turdidae (Thrushes and Allies)</v>
      </c>
      <c r="I1538" s="3"/>
    </row>
    <row r="1539" spans="1:9" ht="10.5" customHeight="1">
      <c r="A1539" s="3" t="s">
        <v>2209</v>
      </c>
      <c r="B1539" s="3" t="s">
        <v>2208</v>
      </c>
      <c r="C1539" s="3">
        <f>VLOOKUP(B1539,LifeList!$E$2:$J$2038,6)</f>
        <v>28677</v>
      </c>
      <c r="D1539" s="3" t="str">
        <f>VLOOKUP(B1539,LifeList!$E$2:$G$2038,1)</f>
        <v>Great Thrush</v>
      </c>
      <c r="E1539" s="3" t="str">
        <f>VLOOKUP(B1539,LifeList!$E$2:$G$2038,2)</f>
        <v>Merle géant</v>
      </c>
      <c r="F1539" s="3" t="str">
        <f>VLOOKUP(B1539,LifeList!$E$2:$G$2038,3)</f>
        <v>Turdus fuscater</v>
      </c>
      <c r="G1539" s="3" t="str">
        <f>VLOOKUP(B1539,LifeList!$E$2:$I$2038,4)</f>
        <v>Passeriformes</v>
      </c>
      <c r="H1539" s="3" t="str">
        <f>VLOOKUP(B1539,LifeList!$E$2:$I$2038,5)</f>
        <v>Turdidae (Thrushes and Allies)</v>
      </c>
      <c r="I1539" s="3"/>
    </row>
    <row r="1540" spans="1:9" ht="10.5" customHeight="1">
      <c r="A1540" s="3" t="s">
        <v>2210</v>
      </c>
      <c r="B1540" s="3" t="s">
        <v>2208</v>
      </c>
      <c r="C1540" s="3">
        <f>VLOOKUP(B1540,LifeList!$E$2:$J$2038,6)</f>
        <v>28677</v>
      </c>
      <c r="D1540" s="3" t="str">
        <f>VLOOKUP(B1540,LifeList!$E$2:$G$2038,1)</f>
        <v>Great Thrush</v>
      </c>
      <c r="E1540" s="3" t="str">
        <f>VLOOKUP(B1540,LifeList!$E$2:$G$2038,2)</f>
        <v>Merle géant</v>
      </c>
      <c r="F1540" s="3" t="str">
        <f>VLOOKUP(B1540,LifeList!$E$2:$G$2038,3)</f>
        <v>Turdus fuscater</v>
      </c>
      <c r="G1540" s="3" t="str">
        <f>VLOOKUP(B1540,LifeList!$E$2:$I$2038,4)</f>
        <v>Passeriformes</v>
      </c>
      <c r="H1540" s="3" t="str">
        <f>VLOOKUP(B1540,LifeList!$E$2:$I$2038,5)</f>
        <v>Turdidae (Thrushes and Allies)</v>
      </c>
      <c r="I1540" s="3"/>
    </row>
    <row r="1541" spans="1:9" ht="10.5" customHeight="1">
      <c r="A1541" s="3" t="s">
        <v>2211</v>
      </c>
      <c r="B1541" s="3" t="s">
        <v>2212</v>
      </c>
      <c r="C1541" s="3">
        <f>VLOOKUP(B1541,LifeList!$E$2:$J$2038,6)</f>
        <v>7800</v>
      </c>
      <c r="D1541" s="3" t="str">
        <f>VLOOKUP(B1541,LifeList!$E$2:$G$2038,1)</f>
        <v>Great White Pelican</v>
      </c>
      <c r="E1541" s="3" t="str">
        <f>VLOOKUP(B1541,LifeList!$E$2:$G$2038,2)</f>
        <v>Pélican blanc</v>
      </c>
      <c r="F1541" s="3" t="str">
        <f>VLOOKUP(B1541,LifeList!$E$2:$G$2038,3)</f>
        <v>Pelecanus onocrotalus</v>
      </c>
      <c r="G1541" s="3" t="str">
        <f>VLOOKUP(B1541,LifeList!$E$2:$I$2038,4)</f>
        <v>Pelecaniformes</v>
      </c>
      <c r="H1541" s="3" t="str">
        <f>VLOOKUP(B1541,LifeList!$E$2:$I$2038,5)</f>
        <v>Pelecanidae (Pelicans)</v>
      </c>
      <c r="I1541" s="3"/>
    </row>
    <row r="1542" spans="1:9" ht="10.5" customHeight="1">
      <c r="A1542" s="3" t="s">
        <v>2213</v>
      </c>
      <c r="B1542" s="3" t="s">
        <v>2212</v>
      </c>
      <c r="C1542" s="3">
        <f>VLOOKUP(B1542,LifeList!$E$2:$J$2038,6)</f>
        <v>7800</v>
      </c>
      <c r="D1542" s="3" t="str">
        <f>VLOOKUP(B1542,LifeList!$E$2:$G$2038,1)</f>
        <v>Great White Pelican</v>
      </c>
      <c r="E1542" s="3" t="str">
        <f>VLOOKUP(B1542,LifeList!$E$2:$G$2038,2)</f>
        <v>Pélican blanc</v>
      </c>
      <c r="F1542" s="3" t="str">
        <f>VLOOKUP(B1542,LifeList!$E$2:$G$2038,3)</f>
        <v>Pelecanus onocrotalus</v>
      </c>
      <c r="G1542" s="3" t="str">
        <f>VLOOKUP(B1542,LifeList!$E$2:$I$2038,4)</f>
        <v>Pelecaniformes</v>
      </c>
      <c r="H1542" s="3" t="str">
        <f>VLOOKUP(B1542,LifeList!$E$2:$I$2038,5)</f>
        <v>Pelecanidae (Pelicans)</v>
      </c>
      <c r="I1542" s="3"/>
    </row>
    <row r="1543" spans="1:9" ht="10.5" customHeight="1">
      <c r="A1543" s="3" t="s">
        <v>2214</v>
      </c>
      <c r="B1543" s="5" t="s">
        <v>2126</v>
      </c>
      <c r="C1543" s="3">
        <f>VLOOKUP(B1543,LifeList!$E$2:$J$2038,6)</f>
        <v>8910</v>
      </c>
      <c r="D1543" s="3" t="str">
        <f>VLOOKUP(B1543,LifeList!$E$2:$G$2038,1)</f>
        <v>Great Horned Owl</v>
      </c>
      <c r="E1543" s="3" t="str">
        <f>VLOOKUP(B1543,LifeList!$E$2:$G$2038,2)</f>
        <v>Grand-duc d'Amérique</v>
      </c>
      <c r="F1543" s="3" t="str">
        <f>VLOOKUP(B1543,LifeList!$E$2:$G$2038,3)</f>
        <v>Bubo virginianus</v>
      </c>
      <c r="G1543" s="3" t="str">
        <f>VLOOKUP(B1543,LifeList!$E$2:$I$2038,4)</f>
        <v>Strigiformes</v>
      </c>
      <c r="H1543" s="3" t="str">
        <f>VLOOKUP(B1543,LifeList!$E$2:$I$2038,5)</f>
        <v>Strigidae (Owls)</v>
      </c>
      <c r="I1543" s="3"/>
    </row>
    <row r="1544" spans="1:9" ht="10.5" customHeight="1">
      <c r="A1544" s="3" t="s">
        <v>2215</v>
      </c>
      <c r="B1544" s="3" t="s">
        <v>2216</v>
      </c>
      <c r="C1544" s="3">
        <f>VLOOKUP(B1544,LifeList!$E$2:$J$2038,6)</f>
        <v>33864</v>
      </c>
      <c r="D1544" s="3" t="str">
        <f>VLOOKUP(B1544,LifeList!$E$2:$G$2038,1)</f>
        <v>Great-tailed Grackle</v>
      </c>
      <c r="E1544" s="3" t="str">
        <f>VLOOKUP(B1544,LifeList!$E$2:$G$2038,2)</f>
        <v>Quiscale à longue queue</v>
      </c>
      <c r="F1544" s="3" t="str">
        <f>VLOOKUP(B1544,LifeList!$E$2:$G$2038,3)</f>
        <v>Quiscalus mexicanus</v>
      </c>
      <c r="G1544" s="3" t="str">
        <f>VLOOKUP(B1544,LifeList!$E$2:$I$2038,4)</f>
        <v>Passeriformes</v>
      </c>
      <c r="H1544" s="3" t="str">
        <f>VLOOKUP(B1544,LifeList!$E$2:$I$2038,5)</f>
        <v>Icteridae (Troupials and Allies)</v>
      </c>
      <c r="I1544" s="3"/>
    </row>
    <row r="1545" spans="1:9" ht="10.5" customHeight="1">
      <c r="A1545" s="3" t="s">
        <v>2217</v>
      </c>
      <c r="B1545" s="3" t="s">
        <v>2216</v>
      </c>
      <c r="C1545" s="3">
        <f>VLOOKUP(B1545,LifeList!$E$2:$J$2038,6)</f>
        <v>33864</v>
      </c>
      <c r="D1545" s="3" t="str">
        <f>VLOOKUP(B1545,LifeList!$E$2:$G$2038,1)</f>
        <v>Great-tailed Grackle</v>
      </c>
      <c r="E1545" s="3" t="str">
        <f>VLOOKUP(B1545,LifeList!$E$2:$G$2038,2)</f>
        <v>Quiscale à longue queue</v>
      </c>
      <c r="F1545" s="3" t="str">
        <f>VLOOKUP(B1545,LifeList!$E$2:$G$2038,3)</f>
        <v>Quiscalus mexicanus</v>
      </c>
      <c r="G1545" s="3" t="str">
        <f>VLOOKUP(B1545,LifeList!$E$2:$I$2038,4)</f>
        <v>Passeriformes</v>
      </c>
      <c r="H1545" s="3" t="str">
        <f>VLOOKUP(B1545,LifeList!$E$2:$I$2038,5)</f>
        <v>Icteridae (Troupials and Allies)</v>
      </c>
      <c r="I1545" s="3"/>
    </row>
    <row r="1546" spans="1:9" ht="10.5" customHeight="1">
      <c r="A1546" s="3" t="s">
        <v>2218</v>
      </c>
      <c r="B1546" s="3" t="s">
        <v>2216</v>
      </c>
      <c r="C1546" s="3">
        <f>VLOOKUP(B1546,LifeList!$E$2:$J$2038,6)</f>
        <v>33864</v>
      </c>
      <c r="D1546" s="3" t="str">
        <f>VLOOKUP(B1546,LifeList!$E$2:$G$2038,1)</f>
        <v>Great-tailed Grackle</v>
      </c>
      <c r="E1546" s="3" t="str">
        <f>VLOOKUP(B1546,LifeList!$E$2:$G$2038,2)</f>
        <v>Quiscale à longue queue</v>
      </c>
      <c r="F1546" s="3" t="str">
        <f>VLOOKUP(B1546,LifeList!$E$2:$G$2038,3)</f>
        <v>Quiscalus mexicanus</v>
      </c>
      <c r="G1546" s="3" t="str">
        <f>VLOOKUP(B1546,LifeList!$E$2:$I$2038,4)</f>
        <v>Passeriformes</v>
      </c>
      <c r="H1546" s="3" t="str">
        <f>VLOOKUP(B1546,LifeList!$E$2:$I$2038,5)</f>
        <v>Icteridae (Troupials and Allies)</v>
      </c>
      <c r="I1546" s="3"/>
    </row>
    <row r="1547" spans="1:9" ht="10.5" customHeight="1">
      <c r="A1547" s="3" t="s">
        <v>2219</v>
      </c>
      <c r="B1547" s="3" t="s">
        <v>2216</v>
      </c>
      <c r="C1547" s="3">
        <f>VLOOKUP(B1547,LifeList!$E$2:$J$2038,6)</f>
        <v>33864</v>
      </c>
      <c r="D1547" s="3" t="str">
        <f>VLOOKUP(B1547,LifeList!$E$2:$G$2038,1)</f>
        <v>Great-tailed Grackle</v>
      </c>
      <c r="E1547" s="3" t="str">
        <f>VLOOKUP(B1547,LifeList!$E$2:$G$2038,2)</f>
        <v>Quiscale à longue queue</v>
      </c>
      <c r="F1547" s="3" t="str">
        <f>VLOOKUP(B1547,LifeList!$E$2:$G$2038,3)</f>
        <v>Quiscalus mexicanus</v>
      </c>
      <c r="G1547" s="3" t="str">
        <f>VLOOKUP(B1547,LifeList!$E$2:$I$2038,4)</f>
        <v>Passeriformes</v>
      </c>
      <c r="H1547" s="3" t="str">
        <f>VLOOKUP(B1547,LifeList!$E$2:$I$2038,5)</f>
        <v>Icteridae (Troupials and Allies)</v>
      </c>
      <c r="I1547" s="3"/>
    </row>
    <row r="1548" spans="1:9" ht="10.5" customHeight="1">
      <c r="A1548" s="5" t="s">
        <v>2220</v>
      </c>
      <c r="B1548" s="3" t="s">
        <v>2221</v>
      </c>
      <c r="C1548" s="3">
        <f>VLOOKUP(B1548,LifeList!$E$2:$J$2038,6)</f>
        <v>3038</v>
      </c>
      <c r="D1548" s="3" t="str">
        <f>VLOOKUP(B1548,LifeList!$E$2:$G$2038,1)</f>
        <v>Greater Roadrunner</v>
      </c>
      <c r="E1548" s="3" t="str">
        <f>VLOOKUP(B1548,LifeList!$E$2:$G$2038,2)</f>
        <v>Grand Géocoucou</v>
      </c>
      <c r="F1548" s="3" t="str">
        <f>VLOOKUP(B1548,LifeList!$E$2:$G$2038,3)</f>
        <v>Geococcyx californianus</v>
      </c>
      <c r="G1548" s="3" t="str">
        <f>VLOOKUP(B1548,LifeList!$E$2:$I$2038,4)</f>
        <v>Cuculiformes</v>
      </c>
      <c r="H1548" s="3" t="str">
        <f>VLOOKUP(B1548,LifeList!$E$2:$I$2038,5)</f>
        <v>Cuculidae (Cuckoos)</v>
      </c>
      <c r="I1548" s="3"/>
    </row>
    <row r="1549" spans="1:9" ht="10.5" customHeight="1">
      <c r="A1549" s="3" t="s">
        <v>2222</v>
      </c>
      <c r="B1549" s="3" t="s">
        <v>2223</v>
      </c>
      <c r="C1549" s="3">
        <f>VLOOKUP(B1549,LifeList!$E$2:$J$2038,6)</f>
        <v>3025</v>
      </c>
      <c r="D1549" s="3" t="str">
        <f>VLOOKUP(B1549,LifeList!$E$2:$G$2038,1)</f>
        <v>Greater Ani</v>
      </c>
      <c r="E1549" s="3" t="str">
        <f>VLOOKUP(B1549,LifeList!$E$2:$G$2038,2)</f>
        <v>Ani des palétuviers</v>
      </c>
      <c r="F1549" s="3" t="str">
        <f>VLOOKUP(B1549,LifeList!$E$2:$G$2038,3)</f>
        <v>Crotophaga major</v>
      </c>
      <c r="G1549" s="3" t="str">
        <f>VLOOKUP(B1549,LifeList!$E$2:$I$2038,4)</f>
        <v>Cuculiformes</v>
      </c>
      <c r="H1549" s="3" t="str">
        <f>VLOOKUP(B1549,LifeList!$E$2:$I$2038,5)</f>
        <v>Cuculidae (Cuckoos)</v>
      </c>
      <c r="I1549" s="3"/>
    </row>
    <row r="1550" spans="1:9" ht="10.5" customHeight="1">
      <c r="A1550" s="3" t="s">
        <v>2224</v>
      </c>
      <c r="B1550" s="3" t="s">
        <v>2223</v>
      </c>
      <c r="C1550" s="3">
        <f>VLOOKUP(B1550,LifeList!$E$2:$J$2038,6)</f>
        <v>3025</v>
      </c>
      <c r="D1550" s="3" t="str">
        <f>VLOOKUP(B1550,LifeList!$E$2:$G$2038,1)</f>
        <v>Greater Ani</v>
      </c>
      <c r="E1550" s="3" t="str">
        <f>VLOOKUP(B1550,LifeList!$E$2:$G$2038,2)</f>
        <v>Ani des palétuviers</v>
      </c>
      <c r="F1550" s="3" t="str">
        <f>VLOOKUP(B1550,LifeList!$E$2:$G$2038,3)</f>
        <v>Crotophaga major</v>
      </c>
      <c r="G1550" s="3" t="str">
        <f>VLOOKUP(B1550,LifeList!$E$2:$I$2038,4)</f>
        <v>Cuculiformes</v>
      </c>
      <c r="H1550" s="3" t="str">
        <f>VLOOKUP(B1550,LifeList!$E$2:$I$2038,5)</f>
        <v>Cuculidae (Cuckoos)</v>
      </c>
      <c r="I1550" s="3"/>
    </row>
    <row r="1551" spans="1:9" ht="10.5" customHeight="1">
      <c r="A1551" s="3" t="s">
        <v>2225</v>
      </c>
      <c r="B1551" s="3" t="s">
        <v>2223</v>
      </c>
      <c r="C1551" s="3">
        <f>VLOOKUP(B1551,LifeList!$E$2:$J$2038,6)</f>
        <v>3025</v>
      </c>
      <c r="D1551" s="3" t="str">
        <f>VLOOKUP(B1551,LifeList!$E$2:$G$2038,1)</f>
        <v>Greater Ani</v>
      </c>
      <c r="E1551" s="3" t="str">
        <f>VLOOKUP(B1551,LifeList!$E$2:$G$2038,2)</f>
        <v>Ani des palétuviers</v>
      </c>
      <c r="F1551" s="3" t="str">
        <f>VLOOKUP(B1551,LifeList!$E$2:$G$2038,3)</f>
        <v>Crotophaga major</v>
      </c>
      <c r="G1551" s="3" t="str">
        <f>VLOOKUP(B1551,LifeList!$E$2:$I$2038,4)</f>
        <v>Cuculiformes</v>
      </c>
      <c r="H1551" s="3" t="str">
        <f>VLOOKUP(B1551,LifeList!$E$2:$I$2038,5)</f>
        <v>Cuculidae (Cuckoos)</v>
      </c>
      <c r="I1551" s="3"/>
    </row>
    <row r="1552" spans="1:9" ht="10.5" customHeight="1">
      <c r="A1552" s="3" t="s">
        <v>2226</v>
      </c>
      <c r="B1552" s="3" t="s">
        <v>2227</v>
      </c>
      <c r="C1552" s="3">
        <f>VLOOKUP(B1552,LifeList!$E$2:$J$2038,6)</f>
        <v>30376</v>
      </c>
      <c r="D1552" s="3" t="str">
        <f>VLOOKUP(B1552,LifeList!$E$2:$G$2038,1)</f>
        <v>Greater Double-collared Sunbird</v>
      </c>
      <c r="E1552" s="3" t="str">
        <f>VLOOKUP(B1552,LifeList!$E$2:$G$2038,2)</f>
        <v>Souimanga à plastron rouge</v>
      </c>
      <c r="F1552" s="3" t="str">
        <f>VLOOKUP(B1552,LifeList!$E$2:$G$2038,3)</f>
        <v>Cinnyris afer</v>
      </c>
      <c r="G1552" s="3" t="str">
        <f>VLOOKUP(B1552,LifeList!$E$2:$I$2038,4)</f>
        <v>Passeriformes</v>
      </c>
      <c r="H1552" s="3" t="str">
        <f>VLOOKUP(B1552,LifeList!$E$2:$I$2038,5)</f>
        <v>Nectariniidae (Sunbirds and Spiderhunters)</v>
      </c>
      <c r="I1552" s="3"/>
    </row>
    <row r="1553" spans="1:9" ht="10.5" customHeight="1">
      <c r="A1553" s="3" t="s">
        <v>2228</v>
      </c>
      <c r="B1553" s="3" t="s">
        <v>2229</v>
      </c>
      <c r="C1553" s="3">
        <f>VLOOKUP(B1553,LifeList!$E$2:$J$2038,6)</f>
        <v>12024</v>
      </c>
      <c r="D1553" s="3" t="str">
        <f>VLOOKUP(B1553,LifeList!$E$2:$G$2038,1)</f>
        <v>Greater Kestrel</v>
      </c>
      <c r="E1553" s="3" t="str">
        <f>VLOOKUP(B1553,LifeList!$E$2:$G$2038,2)</f>
        <v>Crécerelle aux yeux blancs</v>
      </c>
      <c r="F1553" s="3" t="str">
        <f>VLOOKUP(B1553,LifeList!$E$2:$G$2038,3)</f>
        <v>Falco rupicoloides</v>
      </c>
      <c r="G1553" s="3" t="str">
        <f>VLOOKUP(B1553,LifeList!$E$2:$I$2038,4)</f>
        <v>Falconiformes</v>
      </c>
      <c r="H1553" s="3" t="str">
        <f>VLOOKUP(B1553,LifeList!$E$2:$I$2038,5)</f>
        <v>Falconidae (Falcons and Caracaras)</v>
      </c>
      <c r="I1553" s="3"/>
    </row>
    <row r="1554" spans="1:9" ht="10.5" customHeight="1">
      <c r="A1554" s="3" t="s">
        <v>2230</v>
      </c>
      <c r="B1554" s="3" t="s">
        <v>2231</v>
      </c>
      <c r="C1554" s="3">
        <f>VLOOKUP(B1554,LifeList!$E$2:$J$2038,6)</f>
        <v>5983</v>
      </c>
      <c r="D1554" s="3" t="str">
        <f>VLOOKUP(B1554,LifeList!$E$2:$G$2038,1)</f>
        <v>Greater Painted-Snipe</v>
      </c>
      <c r="E1554" s="3" t="str">
        <f>VLOOKUP(B1554,LifeList!$E$2:$G$2038,2)</f>
        <v>Rhynchée peinte</v>
      </c>
      <c r="F1554" s="3" t="str">
        <f>VLOOKUP(B1554,LifeList!$E$2:$G$2038,3)</f>
        <v>Rostratula benghalensis</v>
      </c>
      <c r="G1554" s="3" t="str">
        <f>VLOOKUP(B1554,LifeList!$E$2:$I$2038,4)</f>
        <v>Charadriiformes</v>
      </c>
      <c r="H1554" s="3" t="str">
        <f>VLOOKUP(B1554,LifeList!$E$2:$I$2038,5)</f>
        <v>Rostratulidae (Painted-Snipes)</v>
      </c>
      <c r="I1554" s="3"/>
    </row>
    <row r="1555" spans="1:9" ht="10.5" customHeight="1">
      <c r="A1555" s="3" t="s">
        <v>2232</v>
      </c>
      <c r="B1555" s="3" t="s">
        <v>2233</v>
      </c>
      <c r="C1555" s="3">
        <f>VLOOKUP(B1555,LifeList!$E$2:$J$2038,6)</f>
        <v>694</v>
      </c>
      <c r="D1555" s="3" t="str">
        <f>VLOOKUP(B1555,LifeList!$E$2:$G$2038,1)</f>
        <v>Greater Scaup</v>
      </c>
      <c r="E1555" s="3" t="str">
        <f>VLOOKUP(B1555,LifeList!$E$2:$G$2038,2)</f>
        <v>Fuligule milouinan</v>
      </c>
      <c r="F1555" s="3" t="str">
        <f>VLOOKUP(B1555,LifeList!$E$2:$G$2038,3)</f>
        <v>Aythya marila</v>
      </c>
      <c r="G1555" s="3" t="str">
        <f>VLOOKUP(B1555,LifeList!$E$2:$I$2038,4)</f>
        <v>Anseriformes</v>
      </c>
      <c r="H1555" s="3" t="str">
        <f>VLOOKUP(B1555,LifeList!$E$2:$I$2038,5)</f>
        <v>Anatidae (Ducks, Geese, and Waterfowl)</v>
      </c>
      <c r="I1555" s="3"/>
    </row>
    <row r="1556" spans="1:9" ht="10.5" customHeight="1">
      <c r="A1556" s="3" t="s">
        <v>2234</v>
      </c>
      <c r="B1556" s="3" t="s">
        <v>2233</v>
      </c>
      <c r="C1556" s="3">
        <f>VLOOKUP(B1556,LifeList!$E$2:$J$2038,6)</f>
        <v>694</v>
      </c>
      <c r="D1556" s="3" t="str">
        <f>VLOOKUP(B1556,LifeList!$E$2:$G$2038,1)</f>
        <v>Greater Scaup</v>
      </c>
      <c r="E1556" s="3" t="str">
        <f>VLOOKUP(B1556,LifeList!$E$2:$G$2038,2)</f>
        <v>Fuligule milouinan</v>
      </c>
      <c r="F1556" s="3" t="str">
        <f>VLOOKUP(B1556,LifeList!$E$2:$G$2038,3)</f>
        <v>Aythya marila</v>
      </c>
      <c r="G1556" s="3" t="str">
        <f>VLOOKUP(B1556,LifeList!$E$2:$I$2038,4)</f>
        <v>Anseriformes</v>
      </c>
      <c r="H1556" s="3" t="str">
        <f>VLOOKUP(B1556,LifeList!$E$2:$I$2038,5)</f>
        <v>Anatidae (Ducks, Geese, and Waterfowl)</v>
      </c>
      <c r="I1556" s="3"/>
    </row>
    <row r="1557" spans="1:9" ht="10.5" customHeight="1">
      <c r="A1557" s="3" t="s">
        <v>2235</v>
      </c>
      <c r="B1557" s="3" t="s">
        <v>2233</v>
      </c>
      <c r="C1557" s="3">
        <f>VLOOKUP(B1557,LifeList!$E$2:$J$2038,6)</f>
        <v>694</v>
      </c>
      <c r="D1557" s="3" t="str">
        <f>VLOOKUP(B1557,LifeList!$E$2:$G$2038,1)</f>
        <v>Greater Scaup</v>
      </c>
      <c r="E1557" s="3" t="str">
        <f>VLOOKUP(B1557,LifeList!$E$2:$G$2038,2)</f>
        <v>Fuligule milouinan</v>
      </c>
      <c r="F1557" s="3" t="str">
        <f>VLOOKUP(B1557,LifeList!$E$2:$G$2038,3)</f>
        <v>Aythya marila</v>
      </c>
      <c r="G1557" s="3" t="str">
        <f>VLOOKUP(B1557,LifeList!$E$2:$I$2038,4)</f>
        <v>Anseriformes</v>
      </c>
      <c r="H1557" s="3" t="str">
        <f>VLOOKUP(B1557,LifeList!$E$2:$I$2038,5)</f>
        <v>Anatidae (Ducks, Geese, and Waterfowl)</v>
      </c>
      <c r="I1557" s="3"/>
    </row>
    <row r="1558" spans="1:9" ht="10.5" customHeight="1">
      <c r="A1558" s="3" t="s">
        <v>2236</v>
      </c>
      <c r="B1558" s="3" t="s">
        <v>2233</v>
      </c>
      <c r="C1558" s="3">
        <f>VLOOKUP(B1558,LifeList!$E$2:$J$2038,6)</f>
        <v>694</v>
      </c>
      <c r="D1558" s="3" t="str">
        <f>VLOOKUP(B1558,LifeList!$E$2:$G$2038,1)</f>
        <v>Greater Scaup</v>
      </c>
      <c r="E1558" s="3" t="str">
        <f>VLOOKUP(B1558,LifeList!$E$2:$G$2038,2)</f>
        <v>Fuligule milouinan</v>
      </c>
      <c r="F1558" s="3" t="str">
        <f>VLOOKUP(B1558,LifeList!$E$2:$G$2038,3)</f>
        <v>Aythya marila</v>
      </c>
      <c r="G1558" s="3" t="str">
        <f>VLOOKUP(B1558,LifeList!$E$2:$I$2038,4)</f>
        <v>Anseriformes</v>
      </c>
      <c r="H1558" s="3" t="str">
        <f>VLOOKUP(B1558,LifeList!$E$2:$I$2038,5)</f>
        <v>Anatidae (Ducks, Geese, and Waterfowl)</v>
      </c>
      <c r="I1558" s="3"/>
    </row>
    <row r="1559" spans="1:9" ht="10.5" customHeight="1">
      <c r="A1559" s="3" t="s">
        <v>2237</v>
      </c>
      <c r="B1559" s="3" t="s">
        <v>2238</v>
      </c>
      <c r="C1559" s="3">
        <f>VLOOKUP(B1559,LifeList!$E$2:$J$2038,6)</f>
        <v>12222</v>
      </c>
      <c r="D1559" s="3" t="str">
        <f>VLOOKUP(B1559,LifeList!$E$2:$G$2038,1)</f>
        <v>Greater Vasa Parrot</v>
      </c>
      <c r="E1559" s="3" t="str">
        <f>VLOOKUP(B1559,LifeList!$E$2:$G$2038,2)</f>
        <v>Grand Vaza</v>
      </c>
      <c r="F1559" s="3" t="str">
        <f>VLOOKUP(B1559,LifeList!$E$2:$G$2038,3)</f>
        <v>Coracopsis vasa</v>
      </c>
      <c r="G1559" s="3" t="str">
        <f>VLOOKUP(B1559,LifeList!$E$2:$I$2038,4)</f>
        <v>Psittaciformes</v>
      </c>
      <c r="H1559" s="3" t="str">
        <f>VLOOKUP(B1559,LifeList!$E$2:$I$2038,5)</f>
        <v>Psittaculidae (Old World Parrots)</v>
      </c>
      <c r="I1559" s="3"/>
    </row>
    <row r="1560" spans="1:9" ht="10.5" customHeight="1">
      <c r="A1560" s="3" t="s">
        <v>2239</v>
      </c>
      <c r="B1560" s="3" t="s">
        <v>2238</v>
      </c>
      <c r="C1560" s="3">
        <f>VLOOKUP(B1560,LifeList!$E$2:$J$2038,6)</f>
        <v>12222</v>
      </c>
      <c r="D1560" s="3" t="str">
        <f>VLOOKUP(B1560,LifeList!$E$2:$G$2038,1)</f>
        <v>Greater Vasa Parrot</v>
      </c>
      <c r="E1560" s="3" t="str">
        <f>VLOOKUP(B1560,LifeList!$E$2:$G$2038,2)</f>
        <v>Grand Vaza</v>
      </c>
      <c r="F1560" s="3" t="str">
        <f>VLOOKUP(B1560,LifeList!$E$2:$G$2038,3)</f>
        <v>Coracopsis vasa</v>
      </c>
      <c r="G1560" s="3" t="str">
        <f>VLOOKUP(B1560,LifeList!$E$2:$I$2038,4)</f>
        <v>Psittaciformes</v>
      </c>
      <c r="H1560" s="3" t="str">
        <f>VLOOKUP(B1560,LifeList!$E$2:$I$2038,5)</f>
        <v>Psittaculidae (Old World Parrots)</v>
      </c>
      <c r="I1560" s="3"/>
    </row>
    <row r="1561" spans="1:9" ht="10.5" customHeight="1">
      <c r="A1561" s="3" t="s">
        <v>2240</v>
      </c>
      <c r="B1561" s="3" t="s">
        <v>2241</v>
      </c>
      <c r="C1561" s="3">
        <f>VLOOKUP(B1561,LifeList!$E$2:$J$2038,6)</f>
        <v>287</v>
      </c>
      <c r="D1561" s="3" t="str">
        <f>VLOOKUP(B1561,LifeList!$E$2:$G$2038,1)</f>
        <v>Greater White-fronted Goose</v>
      </c>
      <c r="E1561" s="3" t="str">
        <f>VLOOKUP(B1561,LifeList!$E$2:$G$2038,2)</f>
        <v>Oie rieuse</v>
      </c>
      <c r="F1561" s="3" t="str">
        <f>VLOOKUP(B1561,LifeList!$E$2:$G$2038,3)</f>
        <v>Anser albifrons</v>
      </c>
      <c r="G1561" s="3" t="str">
        <f>VLOOKUP(B1561,LifeList!$E$2:$I$2038,4)</f>
        <v>Anseriformes</v>
      </c>
      <c r="H1561" s="3" t="str">
        <f>VLOOKUP(B1561,LifeList!$E$2:$I$2038,5)</f>
        <v>Anatidae (Ducks, Geese, and Waterfowl)</v>
      </c>
      <c r="I1561" s="3"/>
    </row>
    <row r="1562" spans="1:9" ht="10.5" customHeight="1">
      <c r="A1562" s="3" t="s">
        <v>2242</v>
      </c>
      <c r="B1562" s="3" t="s">
        <v>2241</v>
      </c>
      <c r="C1562" s="3">
        <f>VLOOKUP(B1562,LifeList!$E$2:$J$2038,6)</f>
        <v>287</v>
      </c>
      <c r="D1562" s="3" t="str">
        <f>VLOOKUP(B1562,LifeList!$E$2:$G$2038,1)</f>
        <v>Greater White-fronted Goose</v>
      </c>
      <c r="E1562" s="3" t="str">
        <f>VLOOKUP(B1562,LifeList!$E$2:$G$2038,2)</f>
        <v>Oie rieuse</v>
      </c>
      <c r="F1562" s="3" t="str">
        <f>VLOOKUP(B1562,LifeList!$E$2:$G$2038,3)</f>
        <v>Anser albifrons</v>
      </c>
      <c r="G1562" s="3" t="str">
        <f>VLOOKUP(B1562,LifeList!$E$2:$I$2038,4)</f>
        <v>Anseriformes</v>
      </c>
      <c r="H1562" s="3" t="str">
        <f>VLOOKUP(B1562,LifeList!$E$2:$I$2038,5)</f>
        <v>Anatidae (Ducks, Geese, and Waterfowl)</v>
      </c>
      <c r="I1562" s="3"/>
    </row>
    <row r="1563" spans="1:9" ht="10.5" customHeight="1">
      <c r="A1563" s="3" t="s">
        <v>2243</v>
      </c>
      <c r="B1563" s="3" t="s">
        <v>2241</v>
      </c>
      <c r="C1563" s="3">
        <f>VLOOKUP(B1563,LifeList!$E$2:$J$2038,6)</f>
        <v>287</v>
      </c>
      <c r="D1563" s="3" t="str">
        <f>VLOOKUP(B1563,LifeList!$E$2:$G$2038,1)</f>
        <v>Greater White-fronted Goose</v>
      </c>
      <c r="E1563" s="3" t="str">
        <f>VLOOKUP(B1563,LifeList!$E$2:$G$2038,2)</f>
        <v>Oie rieuse</v>
      </c>
      <c r="F1563" s="3" t="str">
        <f>VLOOKUP(B1563,LifeList!$E$2:$G$2038,3)</f>
        <v>Anser albifrons</v>
      </c>
      <c r="G1563" s="3" t="str">
        <f>VLOOKUP(B1563,LifeList!$E$2:$I$2038,4)</f>
        <v>Anseriformes</v>
      </c>
      <c r="H1563" s="3" t="str">
        <f>VLOOKUP(B1563,LifeList!$E$2:$I$2038,5)</f>
        <v>Anatidae (Ducks, Geese, and Waterfowl)</v>
      </c>
      <c r="I1563" s="3"/>
    </row>
    <row r="1564" spans="1:9" ht="10.5" customHeight="1">
      <c r="A1564" s="3" t="s">
        <v>2244</v>
      </c>
      <c r="B1564" s="3" t="s">
        <v>2245</v>
      </c>
      <c r="C1564" s="3">
        <f>VLOOKUP(B1564,LifeList!$E$2:$J$2038,6)</f>
        <v>6154</v>
      </c>
      <c r="D1564" s="3" t="str">
        <f>VLOOKUP(B1564,LifeList!$E$2:$G$2038,1)</f>
        <v>Greater Yellowlegs</v>
      </c>
      <c r="E1564" s="3" t="str">
        <f>VLOOKUP(B1564,LifeList!$E$2:$G$2038,2)</f>
        <v>Grand Chevalier</v>
      </c>
      <c r="F1564" s="3" t="str">
        <f>VLOOKUP(B1564,LifeList!$E$2:$G$2038,3)</f>
        <v>Tringa melanoleuca</v>
      </c>
      <c r="G1564" s="3" t="str">
        <f>VLOOKUP(B1564,LifeList!$E$2:$I$2038,4)</f>
        <v>Charadriiformes</v>
      </c>
      <c r="H1564" s="3" t="str">
        <f>VLOOKUP(B1564,LifeList!$E$2:$I$2038,5)</f>
        <v>Scolopacidae (Sandpipers and Allies)</v>
      </c>
      <c r="I1564" s="3"/>
    </row>
    <row r="1565" spans="1:9" ht="10.5" customHeight="1">
      <c r="A1565" s="3" t="s">
        <v>2246</v>
      </c>
      <c r="B1565" s="3" t="s">
        <v>2245</v>
      </c>
      <c r="C1565" s="3">
        <f>VLOOKUP(B1565,LifeList!$E$2:$J$2038,6)</f>
        <v>6154</v>
      </c>
      <c r="D1565" s="3" t="str">
        <f>VLOOKUP(B1565,LifeList!$E$2:$G$2038,1)</f>
        <v>Greater Yellowlegs</v>
      </c>
      <c r="E1565" s="3" t="str">
        <f>VLOOKUP(B1565,LifeList!$E$2:$G$2038,2)</f>
        <v>Grand Chevalier</v>
      </c>
      <c r="F1565" s="3" t="str">
        <f>VLOOKUP(B1565,LifeList!$E$2:$G$2038,3)</f>
        <v>Tringa melanoleuca</v>
      </c>
      <c r="G1565" s="3" t="str">
        <f>VLOOKUP(B1565,LifeList!$E$2:$I$2038,4)</f>
        <v>Charadriiformes</v>
      </c>
      <c r="H1565" s="3" t="str">
        <f>VLOOKUP(B1565,LifeList!$E$2:$I$2038,5)</f>
        <v>Scolopacidae (Sandpipers and Allies)</v>
      </c>
      <c r="I1565" s="3"/>
    </row>
    <row r="1566" spans="1:9" ht="10.5" customHeight="1">
      <c r="A1566" s="3" t="s">
        <v>2247</v>
      </c>
      <c r="B1566" s="3" t="s">
        <v>2245</v>
      </c>
      <c r="C1566" s="3">
        <f>VLOOKUP(B1566,LifeList!$E$2:$J$2038,6)</f>
        <v>6154</v>
      </c>
      <c r="D1566" s="3" t="str">
        <f>VLOOKUP(B1566,LifeList!$E$2:$G$2038,1)</f>
        <v>Greater Yellowlegs</v>
      </c>
      <c r="E1566" s="3" t="str">
        <f>VLOOKUP(B1566,LifeList!$E$2:$G$2038,2)</f>
        <v>Grand Chevalier</v>
      </c>
      <c r="F1566" s="3" t="str">
        <f>VLOOKUP(B1566,LifeList!$E$2:$G$2038,3)</f>
        <v>Tringa melanoleuca</v>
      </c>
      <c r="G1566" s="3" t="str">
        <f>VLOOKUP(B1566,LifeList!$E$2:$I$2038,4)</f>
        <v>Charadriiformes</v>
      </c>
      <c r="H1566" s="3" t="str">
        <f>VLOOKUP(B1566,LifeList!$E$2:$I$2038,5)</f>
        <v>Scolopacidae (Sandpipers and Allies)</v>
      </c>
      <c r="I1566" s="3"/>
    </row>
    <row r="1567" spans="1:9" ht="10.5" customHeight="1">
      <c r="A1567" s="3" t="s">
        <v>2248</v>
      </c>
      <c r="B1567" s="3" t="s">
        <v>2245</v>
      </c>
      <c r="C1567" s="3">
        <f>VLOOKUP(B1567,LifeList!$E$2:$J$2038,6)</f>
        <v>6154</v>
      </c>
      <c r="D1567" s="3" t="str">
        <f>VLOOKUP(B1567,LifeList!$E$2:$G$2038,1)</f>
        <v>Greater Yellowlegs</v>
      </c>
      <c r="E1567" s="3" t="str">
        <f>VLOOKUP(B1567,LifeList!$E$2:$G$2038,2)</f>
        <v>Grand Chevalier</v>
      </c>
      <c r="F1567" s="3" t="str">
        <f>VLOOKUP(B1567,LifeList!$E$2:$G$2038,3)</f>
        <v>Tringa melanoleuca</v>
      </c>
      <c r="G1567" s="3" t="str">
        <f>VLOOKUP(B1567,LifeList!$E$2:$I$2038,4)</f>
        <v>Charadriiformes</v>
      </c>
      <c r="H1567" s="3" t="str">
        <f>VLOOKUP(B1567,LifeList!$E$2:$I$2038,5)</f>
        <v>Scolopacidae (Sandpipers and Allies)</v>
      </c>
      <c r="I1567" s="3"/>
    </row>
    <row r="1568" spans="1:9" ht="10.5" customHeight="1">
      <c r="A1568" s="3" t="s">
        <v>2249</v>
      </c>
      <c r="B1568" s="3" t="s">
        <v>2245</v>
      </c>
      <c r="C1568" s="3">
        <f>VLOOKUP(B1568,LifeList!$E$2:$J$2038,6)</f>
        <v>6154</v>
      </c>
      <c r="D1568" s="3" t="str">
        <f>VLOOKUP(B1568,LifeList!$E$2:$G$2038,1)</f>
        <v>Greater Yellowlegs</v>
      </c>
      <c r="E1568" s="3" t="str">
        <f>VLOOKUP(B1568,LifeList!$E$2:$G$2038,2)</f>
        <v>Grand Chevalier</v>
      </c>
      <c r="F1568" s="3" t="str">
        <f>VLOOKUP(B1568,LifeList!$E$2:$G$2038,3)</f>
        <v>Tringa melanoleuca</v>
      </c>
      <c r="G1568" s="3" t="str">
        <f>VLOOKUP(B1568,LifeList!$E$2:$I$2038,4)</f>
        <v>Charadriiformes</v>
      </c>
      <c r="H1568" s="3" t="str">
        <f>VLOOKUP(B1568,LifeList!$E$2:$I$2038,5)</f>
        <v>Scolopacidae (Sandpipers and Allies)</v>
      </c>
      <c r="I1568" s="3"/>
    </row>
    <row r="1569" spans="1:9" ht="10.5" customHeight="1">
      <c r="A1569" s="3" t="s">
        <v>2250</v>
      </c>
      <c r="B1569" s="3" t="s">
        <v>2245</v>
      </c>
      <c r="C1569" s="3">
        <f>VLOOKUP(B1569,LifeList!$E$2:$J$2038,6)</f>
        <v>6154</v>
      </c>
      <c r="D1569" s="3" t="str">
        <f>VLOOKUP(B1569,LifeList!$E$2:$G$2038,1)</f>
        <v>Greater Yellowlegs</v>
      </c>
      <c r="E1569" s="3" t="str">
        <f>VLOOKUP(B1569,LifeList!$E$2:$G$2038,2)</f>
        <v>Grand Chevalier</v>
      </c>
      <c r="F1569" s="3" t="str">
        <f>VLOOKUP(B1569,LifeList!$E$2:$G$2038,3)</f>
        <v>Tringa melanoleuca</v>
      </c>
      <c r="G1569" s="3" t="str">
        <f>VLOOKUP(B1569,LifeList!$E$2:$I$2038,4)</f>
        <v>Charadriiformes</v>
      </c>
      <c r="H1569" s="3" t="str">
        <f>VLOOKUP(B1569,LifeList!$E$2:$I$2038,5)</f>
        <v>Scolopacidae (Sandpipers and Allies)</v>
      </c>
      <c r="I1569" s="3"/>
    </row>
    <row r="1570" spans="1:9" ht="10.5" customHeight="1">
      <c r="A1570" s="3" t="s">
        <v>2251</v>
      </c>
      <c r="B1570" s="3" t="s">
        <v>2245</v>
      </c>
      <c r="C1570" s="3">
        <f>VLOOKUP(B1570,LifeList!$E$2:$J$2038,6)</f>
        <v>6154</v>
      </c>
      <c r="D1570" s="3" t="str">
        <f>VLOOKUP(B1570,LifeList!$E$2:$G$2038,1)</f>
        <v>Greater Yellowlegs</v>
      </c>
      <c r="E1570" s="3" t="str">
        <f>VLOOKUP(B1570,LifeList!$E$2:$G$2038,2)</f>
        <v>Grand Chevalier</v>
      </c>
      <c r="F1570" s="3" t="str">
        <f>VLOOKUP(B1570,LifeList!$E$2:$G$2038,3)</f>
        <v>Tringa melanoleuca</v>
      </c>
      <c r="G1570" s="3" t="str">
        <f>VLOOKUP(B1570,LifeList!$E$2:$I$2038,4)</f>
        <v>Charadriiformes</v>
      </c>
      <c r="H1570" s="3" t="str">
        <f>VLOOKUP(B1570,LifeList!$E$2:$I$2038,5)</f>
        <v>Scolopacidae (Sandpipers and Allies)</v>
      </c>
      <c r="I1570" s="3"/>
    </row>
    <row r="1571" spans="1:9" ht="10.5" customHeight="1">
      <c r="A1571" s="3" t="s">
        <v>2252</v>
      </c>
      <c r="B1571" s="3" t="s">
        <v>2245</v>
      </c>
      <c r="C1571" s="3">
        <f>VLOOKUP(B1571,LifeList!$E$2:$J$2038,6)</f>
        <v>6154</v>
      </c>
      <c r="D1571" s="3" t="str">
        <f>VLOOKUP(B1571,LifeList!$E$2:$G$2038,1)</f>
        <v>Greater Yellowlegs</v>
      </c>
      <c r="E1571" s="3" t="str">
        <f>VLOOKUP(B1571,LifeList!$E$2:$G$2038,2)</f>
        <v>Grand Chevalier</v>
      </c>
      <c r="F1571" s="3" t="str">
        <f>VLOOKUP(B1571,LifeList!$E$2:$G$2038,3)</f>
        <v>Tringa melanoleuca</v>
      </c>
      <c r="G1571" s="3" t="str">
        <f>VLOOKUP(B1571,LifeList!$E$2:$I$2038,4)</f>
        <v>Charadriiformes</v>
      </c>
      <c r="H1571" s="3" t="str">
        <f>VLOOKUP(B1571,LifeList!$E$2:$I$2038,5)</f>
        <v>Scolopacidae (Sandpipers and Allies)</v>
      </c>
      <c r="I1571" s="3"/>
    </row>
    <row r="1572" spans="1:9" ht="10.5" customHeight="1">
      <c r="A1572" s="3" t="s">
        <v>2253</v>
      </c>
      <c r="B1572" s="3" t="s">
        <v>2245</v>
      </c>
      <c r="C1572" s="3">
        <f>VLOOKUP(B1572,LifeList!$E$2:$J$2038,6)</f>
        <v>6154</v>
      </c>
      <c r="D1572" s="3" t="str">
        <f>VLOOKUP(B1572,LifeList!$E$2:$G$2038,1)</f>
        <v>Greater Yellowlegs</v>
      </c>
      <c r="E1572" s="3" t="str">
        <f>VLOOKUP(B1572,LifeList!$E$2:$G$2038,2)</f>
        <v>Grand Chevalier</v>
      </c>
      <c r="F1572" s="3" t="str">
        <f>VLOOKUP(B1572,LifeList!$E$2:$G$2038,3)</f>
        <v>Tringa melanoleuca</v>
      </c>
      <c r="G1572" s="3" t="str">
        <f>VLOOKUP(B1572,LifeList!$E$2:$I$2038,4)</f>
        <v>Charadriiformes</v>
      </c>
      <c r="H1572" s="3" t="str">
        <f>VLOOKUP(B1572,LifeList!$E$2:$I$2038,5)</f>
        <v>Scolopacidae (Sandpipers and Allies)</v>
      </c>
      <c r="I1572" s="3"/>
    </row>
    <row r="1573" spans="1:9" ht="10.5" customHeight="1">
      <c r="A1573" s="3" t="s">
        <v>2254</v>
      </c>
      <c r="B1573" s="3" t="s">
        <v>2255</v>
      </c>
      <c r="C1573" s="3">
        <f>VLOOKUP(B1573,LifeList!$E$2:$J$2038,6)</f>
        <v>17533</v>
      </c>
      <c r="D1573" s="3" t="str">
        <f>VLOOKUP(B1573,LifeList!$E$2:$G$2038,1)</f>
        <v>Green Catbird</v>
      </c>
      <c r="E1573" s="3" t="str">
        <f>VLOOKUP(B1573,LifeList!$E$2:$G$2038,2)</f>
        <v>Jardinier vert</v>
      </c>
      <c r="F1573" s="3" t="str">
        <f>VLOOKUP(B1573,LifeList!$E$2:$G$2038,3)</f>
        <v>Ailuroedus crassirostris</v>
      </c>
      <c r="G1573" s="3" t="str">
        <f>VLOOKUP(B1573,LifeList!$E$2:$I$2038,4)</f>
        <v>Passeriformes</v>
      </c>
      <c r="H1573" s="3" t="str">
        <f>VLOOKUP(B1573,LifeList!$E$2:$I$2038,5)</f>
        <v>Ptilonorhynchidae (Bowerbirds)</v>
      </c>
      <c r="I1573" s="3"/>
    </row>
    <row r="1574" spans="1:9" ht="10.5" customHeight="1">
      <c r="A1574" s="3" t="s">
        <v>2256</v>
      </c>
      <c r="B1574" s="3" t="s">
        <v>2257</v>
      </c>
      <c r="C1574" s="3">
        <f>VLOOKUP(B1574,LifeList!$E$2:$J$2038,6)</f>
        <v>7704</v>
      </c>
      <c r="D1574" s="3" t="str">
        <f>VLOOKUP(B1574,LifeList!$E$2:$G$2038,1)</f>
        <v>Green Heron</v>
      </c>
      <c r="E1574" s="3" t="str">
        <f>VLOOKUP(B1574,LifeList!$E$2:$G$2038,2)</f>
        <v>Héron vert</v>
      </c>
      <c r="F1574" s="3" t="str">
        <f>VLOOKUP(B1574,LifeList!$E$2:$G$2038,3)</f>
        <v>Butorides virescens</v>
      </c>
      <c r="G1574" s="3" t="str">
        <f>VLOOKUP(B1574,LifeList!$E$2:$I$2038,4)</f>
        <v>Pelecaniformes</v>
      </c>
      <c r="H1574" s="3" t="str">
        <f>VLOOKUP(B1574,LifeList!$E$2:$I$2038,5)</f>
        <v>Ardeidae (Herons, Egrets, and Bitterns)</v>
      </c>
      <c r="I1574" s="3"/>
    </row>
    <row r="1575" spans="1:9" ht="10.5" customHeight="1">
      <c r="A1575" s="3" t="s">
        <v>2258</v>
      </c>
      <c r="B1575" s="3" t="s">
        <v>2257</v>
      </c>
      <c r="C1575" s="3">
        <f>VLOOKUP(B1575,LifeList!$E$2:$J$2038,6)</f>
        <v>7704</v>
      </c>
      <c r="D1575" s="3" t="str">
        <f>VLOOKUP(B1575,LifeList!$E$2:$G$2038,1)</f>
        <v>Green Heron</v>
      </c>
      <c r="E1575" s="3" t="str">
        <f>VLOOKUP(B1575,LifeList!$E$2:$G$2038,2)</f>
        <v>Héron vert</v>
      </c>
      <c r="F1575" s="3" t="str">
        <f>VLOOKUP(B1575,LifeList!$E$2:$G$2038,3)</f>
        <v>Butorides virescens</v>
      </c>
      <c r="G1575" s="3" t="str">
        <f>VLOOKUP(B1575,LifeList!$E$2:$I$2038,4)</f>
        <v>Pelecaniformes</v>
      </c>
      <c r="H1575" s="3" t="str">
        <f>VLOOKUP(B1575,LifeList!$E$2:$I$2038,5)</f>
        <v>Ardeidae (Herons, Egrets, and Bitterns)</v>
      </c>
      <c r="I1575" s="3"/>
    </row>
    <row r="1576" spans="1:9" ht="10.5" customHeight="1">
      <c r="A1576" s="3" t="s">
        <v>2259</v>
      </c>
      <c r="B1576" s="3" t="s">
        <v>2257</v>
      </c>
      <c r="C1576" s="3">
        <f>VLOOKUP(B1576,LifeList!$E$2:$J$2038,6)</f>
        <v>7704</v>
      </c>
      <c r="D1576" s="3" t="str">
        <f>VLOOKUP(B1576,LifeList!$E$2:$G$2038,1)</f>
        <v>Green Heron</v>
      </c>
      <c r="E1576" s="3" t="str">
        <f>VLOOKUP(B1576,LifeList!$E$2:$G$2038,2)</f>
        <v>Héron vert</v>
      </c>
      <c r="F1576" s="3" t="str">
        <f>VLOOKUP(B1576,LifeList!$E$2:$G$2038,3)</f>
        <v>Butorides virescens</v>
      </c>
      <c r="G1576" s="3" t="str">
        <f>VLOOKUP(B1576,LifeList!$E$2:$I$2038,4)</f>
        <v>Pelecaniformes</v>
      </c>
      <c r="H1576" s="3" t="str">
        <f>VLOOKUP(B1576,LifeList!$E$2:$I$2038,5)</f>
        <v>Ardeidae (Herons, Egrets, and Bitterns)</v>
      </c>
      <c r="I1576" s="3"/>
    </row>
    <row r="1577" spans="1:9" ht="10.5" customHeight="1">
      <c r="A1577" s="3" t="s">
        <v>2260</v>
      </c>
      <c r="B1577" s="3" t="s">
        <v>2257</v>
      </c>
      <c r="C1577" s="3">
        <f>VLOOKUP(B1577,LifeList!$E$2:$J$2038,6)</f>
        <v>7704</v>
      </c>
      <c r="D1577" s="3" t="str">
        <f>VLOOKUP(B1577,LifeList!$E$2:$G$2038,1)</f>
        <v>Green Heron</v>
      </c>
      <c r="E1577" s="3" t="str">
        <f>VLOOKUP(B1577,LifeList!$E$2:$G$2038,2)</f>
        <v>Héron vert</v>
      </c>
      <c r="F1577" s="3" t="str">
        <f>VLOOKUP(B1577,LifeList!$E$2:$G$2038,3)</f>
        <v>Butorides virescens</v>
      </c>
      <c r="G1577" s="3" t="str">
        <f>VLOOKUP(B1577,LifeList!$E$2:$I$2038,4)</f>
        <v>Pelecaniformes</v>
      </c>
      <c r="H1577" s="3" t="str">
        <f>VLOOKUP(B1577,LifeList!$E$2:$I$2038,5)</f>
        <v>Ardeidae (Herons, Egrets, and Bitterns)</v>
      </c>
      <c r="I1577" s="3"/>
    </row>
    <row r="1578" spans="1:9" ht="10.5" customHeight="1">
      <c r="A1578" s="3" t="s">
        <v>2261</v>
      </c>
      <c r="B1578" s="3" t="s">
        <v>2257</v>
      </c>
      <c r="C1578" s="3">
        <f>VLOOKUP(B1578,LifeList!$E$2:$J$2038,6)</f>
        <v>7704</v>
      </c>
      <c r="D1578" s="3" t="str">
        <f>VLOOKUP(B1578,LifeList!$E$2:$G$2038,1)</f>
        <v>Green Heron</v>
      </c>
      <c r="E1578" s="3" t="str">
        <f>VLOOKUP(B1578,LifeList!$E$2:$G$2038,2)</f>
        <v>Héron vert</v>
      </c>
      <c r="F1578" s="3" t="str">
        <f>VLOOKUP(B1578,LifeList!$E$2:$G$2038,3)</f>
        <v>Butorides virescens</v>
      </c>
      <c r="G1578" s="3" t="str">
        <f>VLOOKUP(B1578,LifeList!$E$2:$I$2038,4)</f>
        <v>Pelecaniformes</v>
      </c>
      <c r="H1578" s="3" t="str">
        <f>VLOOKUP(B1578,LifeList!$E$2:$I$2038,5)</f>
        <v>Ardeidae (Herons, Egrets, and Bitterns)</v>
      </c>
      <c r="I1578" s="3"/>
    </row>
    <row r="1579" spans="1:9" ht="10.5" customHeight="1">
      <c r="A1579" s="3" t="s">
        <v>2262</v>
      </c>
      <c r="B1579" s="3" t="s">
        <v>2257</v>
      </c>
      <c r="C1579" s="3">
        <f>VLOOKUP(B1579,LifeList!$E$2:$J$2038,6)</f>
        <v>7704</v>
      </c>
      <c r="D1579" s="3" t="str">
        <f>VLOOKUP(B1579,LifeList!$E$2:$G$2038,1)</f>
        <v>Green Heron</v>
      </c>
      <c r="E1579" s="3" t="str">
        <f>VLOOKUP(B1579,LifeList!$E$2:$G$2038,2)</f>
        <v>Héron vert</v>
      </c>
      <c r="F1579" s="3" t="str">
        <f>VLOOKUP(B1579,LifeList!$E$2:$G$2038,3)</f>
        <v>Butorides virescens</v>
      </c>
      <c r="G1579" s="3" t="str">
        <f>VLOOKUP(B1579,LifeList!$E$2:$I$2038,4)</f>
        <v>Pelecaniformes</v>
      </c>
      <c r="H1579" s="3" t="str">
        <f>VLOOKUP(B1579,LifeList!$E$2:$I$2038,5)</f>
        <v>Ardeidae (Herons, Egrets, and Bitterns)</v>
      </c>
      <c r="I1579" s="3"/>
    </row>
    <row r="1580" spans="1:9" ht="10.5" customHeight="1">
      <c r="A1580" s="3" t="s">
        <v>2263</v>
      </c>
      <c r="B1580" s="3" t="s">
        <v>2257</v>
      </c>
      <c r="C1580" s="3">
        <f>VLOOKUP(B1580,LifeList!$E$2:$J$2038,6)</f>
        <v>7704</v>
      </c>
      <c r="D1580" s="3" t="str">
        <f>VLOOKUP(B1580,LifeList!$E$2:$G$2038,1)</f>
        <v>Green Heron</v>
      </c>
      <c r="E1580" s="3" t="str">
        <f>VLOOKUP(B1580,LifeList!$E$2:$G$2038,2)</f>
        <v>Héron vert</v>
      </c>
      <c r="F1580" s="3" t="str">
        <f>VLOOKUP(B1580,LifeList!$E$2:$G$2038,3)</f>
        <v>Butorides virescens</v>
      </c>
      <c r="G1580" s="3" t="str">
        <f>VLOOKUP(B1580,LifeList!$E$2:$I$2038,4)</f>
        <v>Pelecaniformes</v>
      </c>
      <c r="H1580" s="3" t="str">
        <f>VLOOKUP(B1580,LifeList!$E$2:$I$2038,5)</f>
        <v>Ardeidae (Herons, Egrets, and Bitterns)</v>
      </c>
      <c r="I1580" s="3"/>
    </row>
    <row r="1581" spans="1:9" ht="10.5" customHeight="1">
      <c r="A1581" s="3" t="s">
        <v>2264</v>
      </c>
      <c r="B1581" s="3" t="s">
        <v>2257</v>
      </c>
      <c r="C1581" s="3">
        <f>VLOOKUP(B1581,LifeList!$E$2:$J$2038,6)</f>
        <v>7704</v>
      </c>
      <c r="D1581" s="3" t="str">
        <f>VLOOKUP(B1581,LifeList!$E$2:$G$2038,1)</f>
        <v>Green Heron</v>
      </c>
      <c r="E1581" s="3" t="str">
        <f>VLOOKUP(B1581,LifeList!$E$2:$G$2038,2)</f>
        <v>Héron vert</v>
      </c>
      <c r="F1581" s="3" t="str">
        <f>VLOOKUP(B1581,LifeList!$E$2:$G$2038,3)</f>
        <v>Butorides virescens</v>
      </c>
      <c r="G1581" s="3" t="str">
        <f>VLOOKUP(B1581,LifeList!$E$2:$I$2038,4)</f>
        <v>Pelecaniformes</v>
      </c>
      <c r="H1581" s="3" t="str">
        <f>VLOOKUP(B1581,LifeList!$E$2:$I$2038,5)</f>
        <v>Ardeidae (Herons, Egrets, and Bitterns)</v>
      </c>
      <c r="I1581" s="3"/>
    </row>
    <row r="1582" spans="1:9" ht="10.5" customHeight="1">
      <c r="A1582" s="3" t="s">
        <v>2265</v>
      </c>
      <c r="B1582" s="3" t="s">
        <v>2257</v>
      </c>
      <c r="C1582" s="3">
        <f>VLOOKUP(B1582,LifeList!$E$2:$J$2038,6)</f>
        <v>7704</v>
      </c>
      <c r="D1582" s="3" t="str">
        <f>VLOOKUP(B1582,LifeList!$E$2:$G$2038,1)</f>
        <v>Green Heron</v>
      </c>
      <c r="E1582" s="3" t="str">
        <f>VLOOKUP(B1582,LifeList!$E$2:$G$2038,2)</f>
        <v>Héron vert</v>
      </c>
      <c r="F1582" s="3" t="str">
        <f>VLOOKUP(B1582,LifeList!$E$2:$G$2038,3)</f>
        <v>Butorides virescens</v>
      </c>
      <c r="G1582" s="3" t="str">
        <f>VLOOKUP(B1582,LifeList!$E$2:$I$2038,4)</f>
        <v>Pelecaniformes</v>
      </c>
      <c r="H1582" s="3" t="str">
        <f>VLOOKUP(B1582,LifeList!$E$2:$I$2038,5)</f>
        <v>Ardeidae (Herons, Egrets, and Bitterns)</v>
      </c>
      <c r="I1582" s="3"/>
    </row>
    <row r="1583" spans="1:9" ht="10.5" customHeight="1">
      <c r="A1583" s="3" t="s">
        <v>2266</v>
      </c>
      <c r="B1583" s="3" t="s">
        <v>2257</v>
      </c>
      <c r="C1583" s="3">
        <f>VLOOKUP(B1583,LifeList!$E$2:$J$2038,6)</f>
        <v>7704</v>
      </c>
      <c r="D1583" s="3" t="str">
        <f>VLOOKUP(B1583,LifeList!$E$2:$G$2038,1)</f>
        <v>Green Heron</v>
      </c>
      <c r="E1583" s="3" t="str">
        <f>VLOOKUP(B1583,LifeList!$E$2:$G$2038,2)</f>
        <v>Héron vert</v>
      </c>
      <c r="F1583" s="3" t="str">
        <f>VLOOKUP(B1583,LifeList!$E$2:$G$2038,3)</f>
        <v>Butorides virescens</v>
      </c>
      <c r="G1583" s="3" t="str">
        <f>VLOOKUP(B1583,LifeList!$E$2:$I$2038,4)</f>
        <v>Pelecaniformes</v>
      </c>
      <c r="H1583" s="3" t="str">
        <f>VLOOKUP(B1583,LifeList!$E$2:$I$2038,5)</f>
        <v>Ardeidae (Herons, Egrets, and Bitterns)</v>
      </c>
      <c r="I1583" s="3"/>
    </row>
    <row r="1584" spans="1:9" ht="10.5" customHeight="1">
      <c r="A1584" s="3" t="s">
        <v>2267</v>
      </c>
      <c r="B1584" s="3" t="s">
        <v>2257</v>
      </c>
      <c r="C1584" s="3">
        <f>VLOOKUP(B1584,LifeList!$E$2:$J$2038,6)</f>
        <v>7704</v>
      </c>
      <c r="D1584" s="3" t="str">
        <f>VLOOKUP(B1584,LifeList!$E$2:$G$2038,1)</f>
        <v>Green Heron</v>
      </c>
      <c r="E1584" s="3" t="str">
        <f>VLOOKUP(B1584,LifeList!$E$2:$G$2038,2)</f>
        <v>Héron vert</v>
      </c>
      <c r="F1584" s="3" t="str">
        <f>VLOOKUP(B1584,LifeList!$E$2:$G$2038,3)</f>
        <v>Butorides virescens</v>
      </c>
      <c r="G1584" s="3" t="str">
        <f>VLOOKUP(B1584,LifeList!$E$2:$I$2038,4)</f>
        <v>Pelecaniformes</v>
      </c>
      <c r="H1584" s="3" t="str">
        <f>VLOOKUP(B1584,LifeList!$E$2:$I$2038,5)</f>
        <v>Ardeidae (Herons, Egrets, and Bitterns)</v>
      </c>
      <c r="I1584" s="3"/>
    </row>
    <row r="1585" spans="1:9" ht="10.5" customHeight="1">
      <c r="A1585" s="3" t="s">
        <v>2268</v>
      </c>
      <c r="B1585" s="3" t="s">
        <v>2257</v>
      </c>
      <c r="C1585" s="3">
        <f>VLOOKUP(B1585,LifeList!$E$2:$J$2038,6)</f>
        <v>7704</v>
      </c>
      <c r="D1585" s="3" t="str">
        <f>VLOOKUP(B1585,LifeList!$E$2:$G$2038,1)</f>
        <v>Green Heron</v>
      </c>
      <c r="E1585" s="3" t="str">
        <f>VLOOKUP(B1585,LifeList!$E$2:$G$2038,2)</f>
        <v>Héron vert</v>
      </c>
      <c r="F1585" s="3" t="str">
        <f>VLOOKUP(B1585,LifeList!$E$2:$G$2038,3)</f>
        <v>Butorides virescens</v>
      </c>
      <c r="G1585" s="3" t="str">
        <f>VLOOKUP(B1585,LifeList!$E$2:$I$2038,4)</f>
        <v>Pelecaniformes</v>
      </c>
      <c r="H1585" s="3" t="str">
        <f>VLOOKUP(B1585,LifeList!$E$2:$I$2038,5)</f>
        <v>Ardeidae (Herons, Egrets, and Bitterns)</v>
      </c>
      <c r="I1585" s="3"/>
    </row>
    <row r="1586" spans="1:9" ht="10.5" customHeight="1">
      <c r="A1586" s="3" t="s">
        <v>2269</v>
      </c>
      <c r="B1586" s="3" t="s">
        <v>2257</v>
      </c>
      <c r="C1586" s="3">
        <f>VLOOKUP(B1586,LifeList!$E$2:$J$2038,6)</f>
        <v>7704</v>
      </c>
      <c r="D1586" s="3" t="str">
        <f>VLOOKUP(B1586,LifeList!$E$2:$G$2038,1)</f>
        <v>Green Heron</v>
      </c>
      <c r="E1586" s="3" t="str">
        <f>VLOOKUP(B1586,LifeList!$E$2:$G$2038,2)</f>
        <v>Héron vert</v>
      </c>
      <c r="F1586" s="3" t="str">
        <f>VLOOKUP(B1586,LifeList!$E$2:$G$2038,3)</f>
        <v>Butorides virescens</v>
      </c>
      <c r="G1586" s="3" t="str">
        <f>VLOOKUP(B1586,LifeList!$E$2:$I$2038,4)</f>
        <v>Pelecaniformes</v>
      </c>
      <c r="H1586" s="3" t="str">
        <f>VLOOKUP(B1586,LifeList!$E$2:$I$2038,5)</f>
        <v>Ardeidae (Herons, Egrets, and Bitterns)</v>
      </c>
      <c r="I1586" s="3"/>
    </row>
    <row r="1587" spans="1:9" ht="10.5" customHeight="1">
      <c r="A1587" s="3" t="s">
        <v>2270</v>
      </c>
      <c r="B1587" s="3" t="s">
        <v>2257</v>
      </c>
      <c r="C1587" s="3">
        <f>VLOOKUP(B1587,LifeList!$E$2:$J$2038,6)</f>
        <v>7704</v>
      </c>
      <c r="D1587" s="3" t="str">
        <f>VLOOKUP(B1587,LifeList!$E$2:$G$2038,1)</f>
        <v>Green Heron</v>
      </c>
      <c r="E1587" s="3" t="str">
        <f>VLOOKUP(B1587,LifeList!$E$2:$G$2038,2)</f>
        <v>Héron vert</v>
      </c>
      <c r="F1587" s="3" t="str">
        <f>VLOOKUP(B1587,LifeList!$E$2:$G$2038,3)</f>
        <v>Butorides virescens</v>
      </c>
      <c r="G1587" s="3" t="str">
        <f>VLOOKUP(B1587,LifeList!$E$2:$I$2038,4)</f>
        <v>Pelecaniformes</v>
      </c>
      <c r="H1587" s="3" t="str">
        <f>VLOOKUP(B1587,LifeList!$E$2:$I$2038,5)</f>
        <v>Ardeidae (Herons, Egrets, and Bitterns)</v>
      </c>
      <c r="I1587" s="3"/>
    </row>
    <row r="1588" spans="1:9" ht="10.5" customHeight="1">
      <c r="A1588" s="3" t="s">
        <v>2271</v>
      </c>
      <c r="B1588" s="3" t="s">
        <v>2257</v>
      </c>
      <c r="C1588" s="3">
        <f>VLOOKUP(B1588,LifeList!$E$2:$J$2038,6)</f>
        <v>7704</v>
      </c>
      <c r="D1588" s="3" t="str">
        <f>VLOOKUP(B1588,LifeList!$E$2:$G$2038,1)</f>
        <v>Green Heron</v>
      </c>
      <c r="E1588" s="3" t="str">
        <f>VLOOKUP(B1588,LifeList!$E$2:$G$2038,2)</f>
        <v>Héron vert</v>
      </c>
      <c r="F1588" s="3" t="str">
        <f>VLOOKUP(B1588,LifeList!$E$2:$G$2038,3)</f>
        <v>Butorides virescens</v>
      </c>
      <c r="G1588" s="3" t="str">
        <f>VLOOKUP(B1588,LifeList!$E$2:$I$2038,4)</f>
        <v>Pelecaniformes</v>
      </c>
      <c r="H1588" s="3" t="str">
        <f>VLOOKUP(B1588,LifeList!$E$2:$I$2038,5)</f>
        <v>Ardeidae (Herons, Egrets, and Bitterns)</v>
      </c>
      <c r="I1588" s="3"/>
    </row>
    <row r="1589" spans="1:9" ht="10.5" customHeight="1">
      <c r="A1589" s="3" t="s">
        <v>2272</v>
      </c>
      <c r="B1589" s="3" t="s">
        <v>2257</v>
      </c>
      <c r="C1589" s="3">
        <f>VLOOKUP(B1589,LifeList!$E$2:$J$2038,6)</f>
        <v>7704</v>
      </c>
      <c r="D1589" s="3" t="str">
        <f>VLOOKUP(B1589,LifeList!$E$2:$G$2038,1)</f>
        <v>Green Heron</v>
      </c>
      <c r="E1589" s="3" t="str">
        <f>VLOOKUP(B1589,LifeList!$E$2:$G$2038,2)</f>
        <v>Héron vert</v>
      </c>
      <c r="F1589" s="3" t="str">
        <f>VLOOKUP(B1589,LifeList!$E$2:$G$2038,3)</f>
        <v>Butorides virescens</v>
      </c>
      <c r="G1589" s="3" t="str">
        <f>VLOOKUP(B1589,LifeList!$E$2:$I$2038,4)</f>
        <v>Pelecaniformes</v>
      </c>
      <c r="H1589" s="3" t="str">
        <f>VLOOKUP(B1589,LifeList!$E$2:$I$2038,5)</f>
        <v>Ardeidae (Herons, Egrets, and Bitterns)</v>
      </c>
      <c r="I1589" s="3"/>
    </row>
    <row r="1590" spans="1:9" ht="10.5" customHeight="1">
      <c r="A1590" s="3" t="s">
        <v>2273</v>
      </c>
      <c r="B1590" s="3" t="s">
        <v>2257</v>
      </c>
      <c r="C1590" s="3">
        <f>VLOOKUP(B1590,LifeList!$E$2:$J$2038,6)</f>
        <v>7704</v>
      </c>
      <c r="D1590" s="3" t="str">
        <f>VLOOKUP(B1590,LifeList!$E$2:$G$2038,1)</f>
        <v>Green Heron</v>
      </c>
      <c r="E1590" s="3" t="str">
        <f>VLOOKUP(B1590,LifeList!$E$2:$G$2038,2)</f>
        <v>Héron vert</v>
      </c>
      <c r="F1590" s="3" t="str">
        <f>VLOOKUP(B1590,LifeList!$E$2:$G$2038,3)</f>
        <v>Butorides virescens</v>
      </c>
      <c r="G1590" s="3" t="str">
        <f>VLOOKUP(B1590,LifeList!$E$2:$I$2038,4)</f>
        <v>Pelecaniformes</v>
      </c>
      <c r="H1590" s="3" t="str">
        <f>VLOOKUP(B1590,LifeList!$E$2:$I$2038,5)</f>
        <v>Ardeidae (Herons, Egrets, and Bitterns)</v>
      </c>
      <c r="I1590" s="3"/>
    </row>
    <row r="1591" spans="1:9" ht="10.5" customHeight="1">
      <c r="A1591" s="3" t="s">
        <v>2274</v>
      </c>
      <c r="B1591" s="3" t="s">
        <v>2257</v>
      </c>
      <c r="C1591" s="3">
        <f>VLOOKUP(B1591,LifeList!$E$2:$J$2038,6)</f>
        <v>7704</v>
      </c>
      <c r="D1591" s="3" t="str">
        <f>VLOOKUP(B1591,LifeList!$E$2:$G$2038,1)</f>
        <v>Green Heron</v>
      </c>
      <c r="E1591" s="3" t="str">
        <f>VLOOKUP(B1591,LifeList!$E$2:$G$2038,2)</f>
        <v>Héron vert</v>
      </c>
      <c r="F1591" s="3" t="str">
        <f>VLOOKUP(B1591,LifeList!$E$2:$G$2038,3)</f>
        <v>Butorides virescens</v>
      </c>
      <c r="G1591" s="3" t="str">
        <f>VLOOKUP(B1591,LifeList!$E$2:$I$2038,4)</f>
        <v>Pelecaniformes</v>
      </c>
      <c r="H1591" s="3" t="str">
        <f>VLOOKUP(B1591,LifeList!$E$2:$I$2038,5)</f>
        <v>Ardeidae (Herons, Egrets, and Bitterns)</v>
      </c>
      <c r="I1591" s="3"/>
    </row>
    <row r="1592" spans="1:9" ht="10.5" customHeight="1">
      <c r="A1592" s="3" t="s">
        <v>2275</v>
      </c>
      <c r="B1592" s="3" t="s">
        <v>2257</v>
      </c>
      <c r="C1592" s="3">
        <f>VLOOKUP(B1592,LifeList!$E$2:$J$2038,6)</f>
        <v>7704</v>
      </c>
      <c r="D1592" s="3" t="str">
        <f>VLOOKUP(B1592,LifeList!$E$2:$G$2038,1)</f>
        <v>Green Heron</v>
      </c>
      <c r="E1592" s="3" t="str">
        <f>VLOOKUP(B1592,LifeList!$E$2:$G$2038,2)</f>
        <v>Héron vert</v>
      </c>
      <c r="F1592" s="3" t="str">
        <f>VLOOKUP(B1592,LifeList!$E$2:$G$2038,3)</f>
        <v>Butorides virescens</v>
      </c>
      <c r="G1592" s="3" t="str">
        <f>VLOOKUP(B1592,LifeList!$E$2:$I$2038,4)</f>
        <v>Pelecaniformes</v>
      </c>
      <c r="H1592" s="3" t="str">
        <f>VLOOKUP(B1592,LifeList!$E$2:$I$2038,5)</f>
        <v>Ardeidae (Herons, Egrets, and Bitterns)</v>
      </c>
      <c r="I1592" s="3"/>
    </row>
    <row r="1593" spans="1:9" ht="10.5" customHeight="1">
      <c r="A1593" s="3" t="s">
        <v>2276</v>
      </c>
      <c r="B1593" s="3" t="s">
        <v>2257</v>
      </c>
      <c r="C1593" s="3">
        <f>VLOOKUP(B1593,LifeList!$E$2:$J$2038,6)</f>
        <v>7704</v>
      </c>
      <c r="D1593" s="3" t="str">
        <f>VLOOKUP(B1593,LifeList!$E$2:$G$2038,1)</f>
        <v>Green Heron</v>
      </c>
      <c r="E1593" s="3" t="str">
        <f>VLOOKUP(B1593,LifeList!$E$2:$G$2038,2)</f>
        <v>Héron vert</v>
      </c>
      <c r="F1593" s="3" t="str">
        <f>VLOOKUP(B1593,LifeList!$E$2:$G$2038,3)</f>
        <v>Butorides virescens</v>
      </c>
      <c r="G1593" s="3" t="str">
        <f>VLOOKUP(B1593,LifeList!$E$2:$I$2038,4)</f>
        <v>Pelecaniformes</v>
      </c>
      <c r="H1593" s="3" t="str">
        <f>VLOOKUP(B1593,LifeList!$E$2:$I$2038,5)</f>
        <v>Ardeidae (Herons, Egrets, and Bitterns)</v>
      </c>
      <c r="I1593" s="3"/>
    </row>
    <row r="1594" spans="1:9" ht="10.5" customHeight="1">
      <c r="A1594" s="3" t="s">
        <v>2277</v>
      </c>
      <c r="B1594" s="3" t="s">
        <v>2257</v>
      </c>
      <c r="C1594" s="3">
        <f>VLOOKUP(B1594,LifeList!$E$2:$J$2038,6)</f>
        <v>7704</v>
      </c>
      <c r="D1594" s="3" t="str">
        <f>VLOOKUP(B1594,LifeList!$E$2:$G$2038,1)</f>
        <v>Green Heron</v>
      </c>
      <c r="E1594" s="3" t="str">
        <f>VLOOKUP(B1594,LifeList!$E$2:$G$2038,2)</f>
        <v>Héron vert</v>
      </c>
      <c r="F1594" s="3" t="str">
        <f>VLOOKUP(B1594,LifeList!$E$2:$G$2038,3)</f>
        <v>Butorides virescens</v>
      </c>
      <c r="G1594" s="3" t="str">
        <f>VLOOKUP(B1594,LifeList!$E$2:$I$2038,4)</f>
        <v>Pelecaniformes</v>
      </c>
      <c r="H1594" s="3" t="str">
        <f>VLOOKUP(B1594,LifeList!$E$2:$I$2038,5)</f>
        <v>Ardeidae (Herons, Egrets, and Bitterns)</v>
      </c>
      <c r="I1594" s="3"/>
    </row>
    <row r="1595" spans="1:9" ht="10.5" customHeight="1">
      <c r="A1595" s="3" t="s">
        <v>2278</v>
      </c>
      <c r="B1595" s="3" t="s">
        <v>2279</v>
      </c>
      <c r="C1595" s="3">
        <f>VLOOKUP(B1595,LifeList!$E$2:$J$2038,6)</f>
        <v>35188</v>
      </c>
      <c r="D1595" s="3" t="str">
        <f>VLOOKUP(B1595,LifeList!$E$2:$G$2038,1)</f>
        <v>Green Honeycreeper</v>
      </c>
      <c r="E1595" s="3" t="str">
        <f>VLOOKUP(B1595,LifeList!$E$2:$G$2038,2)</f>
        <v>Tangara émeraude</v>
      </c>
      <c r="F1595" s="3" t="str">
        <f>VLOOKUP(B1595,LifeList!$E$2:$G$2038,3)</f>
        <v>Chlorophanes spiza</v>
      </c>
      <c r="G1595" s="3" t="str">
        <f>VLOOKUP(B1595,LifeList!$E$2:$I$2038,4)</f>
        <v>Passeriformes</v>
      </c>
      <c r="H1595" s="3" t="str">
        <f>VLOOKUP(B1595,LifeList!$E$2:$I$2038,5)</f>
        <v>Thraupidae (Tanagers and Allies)</v>
      </c>
      <c r="I1595" s="3"/>
    </row>
    <row r="1596" spans="1:9" ht="10.5" customHeight="1">
      <c r="A1596" s="3" t="s">
        <v>2280</v>
      </c>
      <c r="B1596" s="3" t="s">
        <v>2279</v>
      </c>
      <c r="C1596" s="3">
        <f>VLOOKUP(B1596,LifeList!$E$2:$J$2038,6)</f>
        <v>35188</v>
      </c>
      <c r="D1596" s="3" t="str">
        <f>VLOOKUP(B1596,LifeList!$E$2:$G$2038,1)</f>
        <v>Green Honeycreeper</v>
      </c>
      <c r="E1596" s="3" t="str">
        <f>VLOOKUP(B1596,LifeList!$E$2:$G$2038,2)</f>
        <v>Tangara émeraude</v>
      </c>
      <c r="F1596" s="3" t="str">
        <f>VLOOKUP(B1596,LifeList!$E$2:$G$2038,3)</f>
        <v>Chlorophanes spiza</v>
      </c>
      <c r="G1596" s="3" t="str">
        <f>VLOOKUP(B1596,LifeList!$E$2:$I$2038,4)</f>
        <v>Passeriformes</v>
      </c>
      <c r="H1596" s="3" t="str">
        <f>VLOOKUP(B1596,LifeList!$E$2:$I$2038,5)</f>
        <v>Thraupidae (Tanagers and Allies)</v>
      </c>
      <c r="I1596" s="3"/>
    </row>
    <row r="1597" spans="1:9" ht="10.5" customHeight="1">
      <c r="A1597" s="3" t="s">
        <v>2281</v>
      </c>
      <c r="B1597" s="3" t="s">
        <v>2279</v>
      </c>
      <c r="C1597" s="3">
        <f>VLOOKUP(B1597,LifeList!$E$2:$J$2038,6)</f>
        <v>35188</v>
      </c>
      <c r="D1597" s="3" t="str">
        <f>VLOOKUP(B1597,LifeList!$E$2:$G$2038,1)</f>
        <v>Green Honeycreeper</v>
      </c>
      <c r="E1597" s="3" t="str">
        <f>VLOOKUP(B1597,LifeList!$E$2:$G$2038,2)</f>
        <v>Tangara émeraude</v>
      </c>
      <c r="F1597" s="3" t="str">
        <f>VLOOKUP(B1597,LifeList!$E$2:$G$2038,3)</f>
        <v>Chlorophanes spiza</v>
      </c>
      <c r="G1597" s="3" t="str">
        <f>VLOOKUP(B1597,LifeList!$E$2:$I$2038,4)</f>
        <v>Passeriformes</v>
      </c>
      <c r="H1597" s="3" t="str">
        <f>VLOOKUP(B1597,LifeList!$E$2:$I$2038,5)</f>
        <v>Thraupidae (Tanagers and Allies)</v>
      </c>
      <c r="I1597" s="3"/>
    </row>
    <row r="1598" spans="1:9" ht="10.5" customHeight="1">
      <c r="A1598" s="3" t="s">
        <v>2282</v>
      </c>
      <c r="B1598" s="3" t="s">
        <v>2279</v>
      </c>
      <c r="C1598" s="3">
        <f>VLOOKUP(B1598,LifeList!$E$2:$J$2038,6)</f>
        <v>35188</v>
      </c>
      <c r="D1598" s="3" t="str">
        <f>VLOOKUP(B1598,LifeList!$E$2:$G$2038,1)</f>
        <v>Green Honeycreeper</v>
      </c>
      <c r="E1598" s="3" t="str">
        <f>VLOOKUP(B1598,LifeList!$E$2:$G$2038,2)</f>
        <v>Tangara émeraude</v>
      </c>
      <c r="F1598" s="3" t="str">
        <f>VLOOKUP(B1598,LifeList!$E$2:$G$2038,3)</f>
        <v>Chlorophanes spiza</v>
      </c>
      <c r="G1598" s="3" t="str">
        <f>VLOOKUP(B1598,LifeList!$E$2:$I$2038,4)</f>
        <v>Passeriformes</v>
      </c>
      <c r="H1598" s="3" t="str">
        <f>VLOOKUP(B1598,LifeList!$E$2:$I$2038,5)</f>
        <v>Thraupidae (Tanagers and Allies)</v>
      </c>
      <c r="I1598" s="3"/>
    </row>
    <row r="1599" spans="1:9" ht="10.5" customHeight="1">
      <c r="A1599" s="3" t="s">
        <v>2283</v>
      </c>
      <c r="B1599" s="3" t="s">
        <v>2284</v>
      </c>
      <c r="C1599" s="3">
        <f>VLOOKUP(B1599,LifeList!$E$2:$J$2038,6)</f>
        <v>7477</v>
      </c>
      <c r="D1599" s="3" t="str">
        <f>VLOOKUP(B1599,LifeList!$E$2:$G$2038,1)</f>
        <v>Green Ibis</v>
      </c>
      <c r="E1599" s="3" t="str">
        <f>VLOOKUP(B1599,LifeList!$E$2:$G$2038,2)</f>
        <v>Ibis vert</v>
      </c>
      <c r="F1599" s="3" t="str">
        <f>VLOOKUP(B1599,LifeList!$E$2:$G$2038,3)</f>
        <v>Mesembrinibis cayennensis</v>
      </c>
      <c r="G1599" s="3" t="str">
        <f>VLOOKUP(B1599,LifeList!$E$2:$I$2038,4)</f>
        <v>Pelecaniformes</v>
      </c>
      <c r="H1599" s="3" t="str">
        <f>VLOOKUP(B1599,LifeList!$E$2:$I$2038,5)</f>
        <v>Threskiornithidae (Ibises and Spoonbills)</v>
      </c>
      <c r="I1599" s="3"/>
    </row>
    <row r="1600" spans="1:9" ht="10.5" customHeight="1">
      <c r="A1600" s="3" t="s">
        <v>2285</v>
      </c>
      <c r="B1600" s="3" t="s">
        <v>2284</v>
      </c>
      <c r="C1600" s="3">
        <f>VLOOKUP(B1600,LifeList!$E$2:$J$2038,6)</f>
        <v>7477</v>
      </c>
      <c r="D1600" s="3" t="str">
        <f>VLOOKUP(B1600,LifeList!$E$2:$G$2038,1)</f>
        <v>Green Ibis</v>
      </c>
      <c r="E1600" s="3" t="str">
        <f>VLOOKUP(B1600,LifeList!$E$2:$G$2038,2)</f>
        <v>Ibis vert</v>
      </c>
      <c r="F1600" s="3" t="str">
        <f>VLOOKUP(B1600,LifeList!$E$2:$G$2038,3)</f>
        <v>Mesembrinibis cayennensis</v>
      </c>
      <c r="G1600" s="3" t="str">
        <f>VLOOKUP(B1600,LifeList!$E$2:$I$2038,4)</f>
        <v>Pelecaniformes</v>
      </c>
      <c r="H1600" s="3" t="str">
        <f>VLOOKUP(B1600,LifeList!$E$2:$I$2038,5)</f>
        <v>Threskiornithidae (Ibises and Spoonbills)</v>
      </c>
      <c r="I1600" s="3"/>
    </row>
    <row r="1601" spans="1:9" ht="10.5" customHeight="1">
      <c r="A1601" s="3" t="s">
        <v>2286</v>
      </c>
      <c r="B1601" s="3" t="s">
        <v>2287</v>
      </c>
      <c r="C1601" s="3">
        <f>VLOOKUP(B1601,LifeList!$E$2:$J$2038,6)</f>
        <v>10316</v>
      </c>
      <c r="D1601" s="3" t="str">
        <f>VLOOKUP(B1601,LifeList!$E$2:$G$2038,1)</f>
        <v>Green Kingfisher</v>
      </c>
      <c r="E1601" s="3" t="str">
        <f>VLOOKUP(B1601,LifeList!$E$2:$G$2038,2)</f>
        <v>Martin-pêcheur vert</v>
      </c>
      <c r="F1601" s="3" t="str">
        <f>VLOOKUP(B1601,LifeList!$E$2:$G$2038,3)</f>
        <v>Chloroceryle americana</v>
      </c>
      <c r="G1601" s="3" t="str">
        <f>VLOOKUP(B1601,LifeList!$E$2:$I$2038,4)</f>
        <v>Coraciiformes</v>
      </c>
      <c r="H1601" s="3" t="str">
        <f>VLOOKUP(B1601,LifeList!$E$2:$I$2038,5)</f>
        <v>Alcedinidae (Kingfishers)</v>
      </c>
      <c r="I1601" s="3"/>
    </row>
    <row r="1602" spans="1:9" ht="10.5" customHeight="1">
      <c r="A1602" s="3" t="s">
        <v>2288</v>
      </c>
      <c r="B1602" s="3" t="s">
        <v>2287</v>
      </c>
      <c r="C1602" s="3">
        <f>VLOOKUP(B1602,LifeList!$E$2:$J$2038,6)</f>
        <v>10316</v>
      </c>
      <c r="D1602" s="3" t="str">
        <f>VLOOKUP(B1602,LifeList!$E$2:$G$2038,1)</f>
        <v>Green Kingfisher</v>
      </c>
      <c r="E1602" s="3" t="str">
        <f>VLOOKUP(B1602,LifeList!$E$2:$G$2038,2)</f>
        <v>Martin-pêcheur vert</v>
      </c>
      <c r="F1602" s="3" t="str">
        <f>VLOOKUP(B1602,LifeList!$E$2:$G$2038,3)</f>
        <v>Chloroceryle americana</v>
      </c>
      <c r="G1602" s="3" t="str">
        <f>VLOOKUP(B1602,LifeList!$E$2:$I$2038,4)</f>
        <v>Coraciiformes</v>
      </c>
      <c r="H1602" s="3" t="str">
        <f>VLOOKUP(B1602,LifeList!$E$2:$I$2038,5)</f>
        <v>Alcedinidae (Kingfishers)</v>
      </c>
      <c r="I1602" s="3"/>
    </row>
    <row r="1603" spans="1:9" ht="10.5" customHeight="1">
      <c r="A1603" s="3" t="s">
        <v>2289</v>
      </c>
      <c r="B1603" s="3" t="s">
        <v>2287</v>
      </c>
      <c r="C1603" s="3">
        <f>VLOOKUP(B1603,LifeList!$E$2:$J$2038,6)</f>
        <v>10316</v>
      </c>
      <c r="D1603" s="3" t="str">
        <f>VLOOKUP(B1603,LifeList!$E$2:$G$2038,1)</f>
        <v>Green Kingfisher</v>
      </c>
      <c r="E1603" s="3" t="str">
        <f>VLOOKUP(B1603,LifeList!$E$2:$G$2038,2)</f>
        <v>Martin-pêcheur vert</v>
      </c>
      <c r="F1603" s="3" t="str">
        <f>VLOOKUP(B1603,LifeList!$E$2:$G$2038,3)</f>
        <v>Chloroceryle americana</v>
      </c>
      <c r="G1603" s="3" t="str">
        <f>VLOOKUP(B1603,LifeList!$E$2:$I$2038,4)</f>
        <v>Coraciiformes</v>
      </c>
      <c r="H1603" s="3" t="str">
        <f>VLOOKUP(B1603,LifeList!$E$2:$I$2038,5)</f>
        <v>Alcedinidae (Kingfishers)</v>
      </c>
      <c r="I1603" s="3"/>
    </row>
    <row r="1604" spans="1:9" ht="10.5" customHeight="1">
      <c r="A1604" s="3" t="s">
        <v>2290</v>
      </c>
      <c r="B1604" s="3" t="s">
        <v>2287</v>
      </c>
      <c r="C1604" s="3">
        <f>VLOOKUP(B1604,LifeList!$E$2:$J$2038,6)</f>
        <v>10316</v>
      </c>
      <c r="D1604" s="3" t="str">
        <f>VLOOKUP(B1604,LifeList!$E$2:$G$2038,1)</f>
        <v>Green Kingfisher</v>
      </c>
      <c r="E1604" s="3" t="str">
        <f>VLOOKUP(B1604,LifeList!$E$2:$G$2038,2)</f>
        <v>Martin-pêcheur vert</v>
      </c>
      <c r="F1604" s="3" t="str">
        <f>VLOOKUP(B1604,LifeList!$E$2:$G$2038,3)</f>
        <v>Chloroceryle americana</v>
      </c>
      <c r="G1604" s="3" t="str">
        <f>VLOOKUP(B1604,LifeList!$E$2:$I$2038,4)</f>
        <v>Coraciiformes</v>
      </c>
      <c r="H1604" s="3" t="str">
        <f>VLOOKUP(B1604,LifeList!$E$2:$I$2038,5)</f>
        <v>Alcedinidae (Kingfishers)</v>
      </c>
      <c r="I1604" s="3"/>
    </row>
    <row r="1605" spans="1:9" ht="10.5" customHeight="1">
      <c r="A1605" s="3" t="s">
        <v>2291</v>
      </c>
      <c r="B1605" s="3" t="s">
        <v>2292</v>
      </c>
      <c r="C1605" s="3">
        <f>VLOOKUP(B1605,LifeList!$E$2:$J$2038,6)</f>
        <v>12479</v>
      </c>
      <c r="D1605" s="3" t="str">
        <f>VLOOKUP(B1605,LifeList!$E$2:$G$2038,1)</f>
        <v>Green Rosella</v>
      </c>
      <c r="E1605" s="3" t="str">
        <f>VLOOKUP(B1605,LifeList!$E$2:$G$2038,2)</f>
        <v>Perruche à ventre jaune</v>
      </c>
      <c r="F1605" s="3" t="str">
        <f>VLOOKUP(B1605,LifeList!$E$2:$G$2038,3)</f>
        <v>Platycercus caledonicus</v>
      </c>
      <c r="G1605" s="3" t="str">
        <f>VLOOKUP(B1605,LifeList!$E$2:$I$2038,4)</f>
        <v>Psittaciformes</v>
      </c>
      <c r="H1605" s="3" t="str">
        <f>VLOOKUP(B1605,LifeList!$E$2:$I$2038,5)</f>
        <v>Psittaculidae (Old World Parrots)</v>
      </c>
      <c r="I1605" s="3"/>
    </row>
    <row r="1606" spans="1:9" ht="10.5" customHeight="1">
      <c r="A1606" s="3" t="s">
        <v>2293</v>
      </c>
      <c r="B1606" s="3" t="s">
        <v>2294</v>
      </c>
      <c r="C1606" s="3">
        <f>VLOOKUP(B1606,LifeList!$E$2:$J$2038,6)</f>
        <v>19108</v>
      </c>
      <c r="D1606" s="3" t="str">
        <f>VLOOKUP(B1606,LifeList!$E$2:$G$2038,1)</f>
        <v>Green Shrike-Vireo</v>
      </c>
      <c r="E1606" s="3" t="str">
        <f>VLOOKUP(B1606,LifeList!$E$2:$G$2038,2)</f>
        <v>Smaragdan émeraude</v>
      </c>
      <c r="F1606" s="3" t="str">
        <f>VLOOKUP(B1606,LifeList!$E$2:$G$2038,3)</f>
        <v>Vireolanius pulchellus</v>
      </c>
      <c r="G1606" s="3" t="str">
        <f>VLOOKUP(B1606,LifeList!$E$2:$I$2038,4)</f>
        <v>Passeriformes</v>
      </c>
      <c r="H1606" s="3" t="str">
        <f>VLOOKUP(B1606,LifeList!$E$2:$I$2038,5)</f>
        <v>Vireonidae (Vireos, Shrike-Babblers, and Erpornis)</v>
      </c>
      <c r="I1606" s="3"/>
    </row>
    <row r="1607" spans="1:9" ht="10.5" customHeight="1">
      <c r="A1607" s="3" t="s">
        <v>2295</v>
      </c>
      <c r="B1607" s="3" t="s">
        <v>2296</v>
      </c>
      <c r="C1607" s="3">
        <f>VLOOKUP(B1607,LifeList!$E$2:$J$2038,6)</f>
        <v>4438</v>
      </c>
      <c r="D1607" s="3" t="str">
        <f>VLOOKUP(B1607,LifeList!$E$2:$G$2038,1)</f>
        <v>Green Thorntail</v>
      </c>
      <c r="E1607" s="3" t="str">
        <f>VLOOKUP(B1607,LifeList!$E$2:$G$2038,2)</f>
        <v>Coquette à queue fine</v>
      </c>
      <c r="F1607" s="3" t="str">
        <f>VLOOKUP(B1607,LifeList!$E$2:$G$2038,3)</f>
        <v>Discosura conversii</v>
      </c>
      <c r="G1607" s="3" t="str">
        <f>VLOOKUP(B1607,LifeList!$E$2:$I$2038,4)</f>
        <v>Apodiformes</v>
      </c>
      <c r="H1607" s="3" t="str">
        <f>VLOOKUP(B1607,LifeList!$E$2:$I$2038,5)</f>
        <v>Trochilidae (Hummingbirds)</v>
      </c>
      <c r="I1607" s="3"/>
    </row>
    <row r="1608" spans="1:9" ht="10.5" customHeight="1">
      <c r="A1608" s="3" t="s">
        <v>2297</v>
      </c>
      <c r="B1608" s="3" t="s">
        <v>2296</v>
      </c>
      <c r="C1608" s="3">
        <f>VLOOKUP(B1608,LifeList!$E$2:$J$2038,6)</f>
        <v>4438</v>
      </c>
      <c r="D1608" s="3" t="str">
        <f>VLOOKUP(B1608,LifeList!$E$2:$G$2038,1)</f>
        <v>Green Thorntail</v>
      </c>
      <c r="E1608" s="3" t="str">
        <f>VLOOKUP(B1608,LifeList!$E$2:$G$2038,2)</f>
        <v>Coquette à queue fine</v>
      </c>
      <c r="F1608" s="3" t="str">
        <f>VLOOKUP(B1608,LifeList!$E$2:$G$2038,3)</f>
        <v>Discosura conversii</v>
      </c>
      <c r="G1608" s="3" t="str">
        <f>VLOOKUP(B1608,LifeList!$E$2:$I$2038,4)</f>
        <v>Apodiformes</v>
      </c>
      <c r="H1608" s="3" t="str">
        <f>VLOOKUP(B1608,LifeList!$E$2:$I$2038,5)</f>
        <v>Trochilidae (Hummingbirds)</v>
      </c>
      <c r="I1608" s="3"/>
    </row>
    <row r="1609" spans="1:9" ht="10.5" customHeight="1">
      <c r="A1609" s="3" t="s">
        <v>2298</v>
      </c>
      <c r="B1609" s="3" t="s">
        <v>2296</v>
      </c>
      <c r="C1609" s="3">
        <f>VLOOKUP(B1609,LifeList!$E$2:$J$2038,6)</f>
        <v>4438</v>
      </c>
      <c r="D1609" s="3" t="str">
        <f>VLOOKUP(B1609,LifeList!$E$2:$G$2038,1)</f>
        <v>Green Thorntail</v>
      </c>
      <c r="E1609" s="3" t="str">
        <f>VLOOKUP(B1609,LifeList!$E$2:$G$2038,2)</f>
        <v>Coquette à queue fine</v>
      </c>
      <c r="F1609" s="3" t="str">
        <f>VLOOKUP(B1609,LifeList!$E$2:$G$2038,3)</f>
        <v>Discosura conversii</v>
      </c>
      <c r="G1609" s="3" t="str">
        <f>VLOOKUP(B1609,LifeList!$E$2:$I$2038,4)</f>
        <v>Apodiformes</v>
      </c>
      <c r="H1609" s="3" t="str">
        <f>VLOOKUP(B1609,LifeList!$E$2:$I$2038,5)</f>
        <v>Trochilidae (Hummingbirds)</v>
      </c>
      <c r="I1609" s="3"/>
    </row>
    <row r="1610" spans="1:9" ht="10.5" customHeight="1">
      <c r="A1610" s="3" t="s">
        <v>2299</v>
      </c>
      <c r="B1610" s="3" t="s">
        <v>2296</v>
      </c>
      <c r="C1610" s="3">
        <f>VLOOKUP(B1610,LifeList!$E$2:$J$2038,6)</f>
        <v>4438</v>
      </c>
      <c r="D1610" s="3" t="str">
        <f>VLOOKUP(B1610,LifeList!$E$2:$G$2038,1)</f>
        <v>Green Thorntail</v>
      </c>
      <c r="E1610" s="3" t="str">
        <f>VLOOKUP(B1610,LifeList!$E$2:$G$2038,2)</f>
        <v>Coquette à queue fine</v>
      </c>
      <c r="F1610" s="3" t="str">
        <f>VLOOKUP(B1610,LifeList!$E$2:$G$2038,3)</f>
        <v>Discosura conversii</v>
      </c>
      <c r="G1610" s="3" t="str">
        <f>VLOOKUP(B1610,LifeList!$E$2:$I$2038,4)</f>
        <v>Apodiformes</v>
      </c>
      <c r="H1610" s="3" t="str">
        <f>VLOOKUP(B1610,LifeList!$E$2:$I$2038,5)</f>
        <v>Trochilidae (Hummingbirds)</v>
      </c>
      <c r="I1610" s="3"/>
    </row>
    <row r="1611" spans="1:9" ht="10.5" customHeight="1">
      <c r="A1611" s="3" t="s">
        <v>2300</v>
      </c>
      <c r="B1611" s="3" t="s">
        <v>2296</v>
      </c>
      <c r="C1611" s="3">
        <f>VLOOKUP(B1611,LifeList!$E$2:$J$2038,6)</f>
        <v>4438</v>
      </c>
      <c r="D1611" s="3" t="str">
        <f>VLOOKUP(B1611,LifeList!$E$2:$G$2038,1)</f>
        <v>Green Thorntail</v>
      </c>
      <c r="E1611" s="3" t="str">
        <f>VLOOKUP(B1611,LifeList!$E$2:$G$2038,2)</f>
        <v>Coquette à queue fine</v>
      </c>
      <c r="F1611" s="3" t="str">
        <f>VLOOKUP(B1611,LifeList!$E$2:$G$2038,3)</f>
        <v>Discosura conversii</v>
      </c>
      <c r="G1611" s="3" t="str">
        <f>VLOOKUP(B1611,LifeList!$E$2:$I$2038,4)</f>
        <v>Apodiformes</v>
      </c>
      <c r="H1611" s="3" t="str">
        <f>VLOOKUP(B1611,LifeList!$E$2:$I$2038,5)</f>
        <v>Trochilidae (Hummingbirds)</v>
      </c>
      <c r="I1611" s="3"/>
    </row>
    <row r="1612" spans="1:9" ht="10.5" customHeight="1">
      <c r="A1612" s="3" t="s">
        <v>2301</v>
      </c>
      <c r="B1612" s="3" t="s">
        <v>2302</v>
      </c>
      <c r="C1612" s="3">
        <f>VLOOKUP(B1612,LifeList!$E$2:$J$2038,6)</f>
        <v>9618</v>
      </c>
      <c r="D1612" s="3" t="str">
        <f>VLOOKUP(B1612,LifeList!$E$2:$G$2038,1)</f>
        <v>Green Woodhoopoe</v>
      </c>
      <c r="E1612" s="3" t="str">
        <f>VLOOKUP(B1612,LifeList!$E$2:$G$2038,2)</f>
        <v>Irrisor moqueur</v>
      </c>
      <c r="F1612" s="3" t="str">
        <f>VLOOKUP(B1612,LifeList!$E$2:$G$2038,3)</f>
        <v>Phoeniculus purpureus</v>
      </c>
      <c r="G1612" s="3" t="str">
        <f>VLOOKUP(B1612,LifeList!$E$2:$I$2038,4)</f>
        <v>Bucerotiformes</v>
      </c>
      <c r="H1612" s="3" t="str">
        <f>VLOOKUP(B1612,LifeList!$E$2:$I$2038,5)</f>
        <v>Phoeniculidae (Woodhoopoes and Scimitarbills)</v>
      </c>
      <c r="I1612" s="3"/>
    </row>
    <row r="1613" spans="1:9" ht="10.5" customHeight="1">
      <c r="A1613" s="3" t="s">
        <v>2303</v>
      </c>
      <c r="B1613" s="3" t="s">
        <v>2304</v>
      </c>
      <c r="C1613" s="3">
        <f>VLOOKUP(B1613,LifeList!$E$2:$J$2038,6)</f>
        <v>15849</v>
      </c>
      <c r="D1613" s="3" t="str">
        <f>VLOOKUP(B1613,LifeList!$E$2:$G$2038,1)</f>
        <v>Green-and-black Fruiteater</v>
      </c>
      <c r="E1613" s="3" t="str">
        <f>VLOOKUP(B1613,LifeList!$E$2:$G$2038,2)</f>
        <v>Cotinga vert et noir</v>
      </c>
      <c r="F1613" s="3" t="str">
        <f>VLOOKUP(B1613,LifeList!$E$2:$G$2038,3)</f>
        <v>Pipreola riefferii</v>
      </c>
      <c r="G1613" s="3" t="str">
        <f>VLOOKUP(B1613,LifeList!$E$2:$I$2038,4)</f>
        <v>Passeriformes</v>
      </c>
      <c r="H1613" s="3" t="str">
        <f>VLOOKUP(B1613,LifeList!$E$2:$I$2038,5)</f>
        <v>Cotingidae (Cotingas)</v>
      </c>
      <c r="I1613" s="3"/>
    </row>
    <row r="1614" spans="1:9" ht="10.5" customHeight="1">
      <c r="A1614" s="3" t="s">
        <v>2305</v>
      </c>
      <c r="B1614" s="3" t="s">
        <v>2304</v>
      </c>
      <c r="C1614" s="3">
        <f>VLOOKUP(B1614,LifeList!$E$2:$J$2038,6)</f>
        <v>15849</v>
      </c>
      <c r="D1614" s="3" t="str">
        <f>VLOOKUP(B1614,LifeList!$E$2:$G$2038,1)</f>
        <v>Green-and-black Fruiteater</v>
      </c>
      <c r="E1614" s="3" t="str">
        <f>VLOOKUP(B1614,LifeList!$E$2:$G$2038,2)</f>
        <v>Cotinga vert et noir</v>
      </c>
      <c r="F1614" s="3" t="str">
        <f>VLOOKUP(B1614,LifeList!$E$2:$G$2038,3)</f>
        <v>Pipreola riefferii</v>
      </c>
      <c r="G1614" s="3" t="str">
        <f>VLOOKUP(B1614,LifeList!$E$2:$I$2038,4)</f>
        <v>Passeriformes</v>
      </c>
      <c r="H1614" s="3" t="str">
        <f>VLOOKUP(B1614,LifeList!$E$2:$I$2038,5)</f>
        <v>Cotingidae (Cotingas)</v>
      </c>
      <c r="I1614" s="3"/>
    </row>
    <row r="1615" spans="1:9" ht="10.5" customHeight="1">
      <c r="A1615" s="3" t="s">
        <v>2306</v>
      </c>
      <c r="B1615" s="3" t="s">
        <v>2307</v>
      </c>
      <c r="C1615" s="3">
        <f>VLOOKUP(B1615,LifeList!$E$2:$J$2038,6)</f>
        <v>10322</v>
      </c>
      <c r="D1615" s="3" t="str">
        <f>VLOOKUP(B1615,LifeList!$E$2:$G$2038,1)</f>
        <v>Green-and-rufous Kingfisher</v>
      </c>
      <c r="E1615" s="3" t="str">
        <f>VLOOKUP(B1615,LifeList!$E$2:$G$2038,2)</f>
        <v>Martin-pêcheur bicolore</v>
      </c>
      <c r="F1615" s="3" t="str">
        <f>VLOOKUP(B1615,LifeList!$E$2:$G$2038,3)</f>
        <v>Chloroceryle inda</v>
      </c>
      <c r="G1615" s="3" t="str">
        <f>VLOOKUP(B1615,LifeList!$E$2:$I$2038,4)</f>
        <v>Coraciiformes</v>
      </c>
      <c r="H1615" s="3" t="str">
        <f>VLOOKUP(B1615,LifeList!$E$2:$I$2038,5)</f>
        <v>Alcedinidae (Kingfishers)</v>
      </c>
      <c r="I1615" s="3"/>
    </row>
    <row r="1616" spans="1:9" ht="10.5" customHeight="1">
      <c r="A1616" s="3" t="s">
        <v>2308</v>
      </c>
      <c r="B1616" s="3" t="s">
        <v>2309</v>
      </c>
      <c r="C1616" s="3">
        <f>VLOOKUP(B1616,LifeList!$E$2:$J$2038,6)</f>
        <v>23017</v>
      </c>
      <c r="D1616" s="3" t="str">
        <f>VLOOKUP(B1616,LifeList!$E$2:$G$2038,1)</f>
        <v>Green-backed Camaroptera</v>
      </c>
      <c r="E1616" s="3" t="str">
        <f>VLOOKUP(B1616,LifeList!$E$2:$G$2038,2)</f>
        <v>Camaroptère à tête grise</v>
      </c>
      <c r="F1616" s="3" t="str">
        <f>VLOOKUP(B1616,LifeList!$E$2:$G$2038,3)</f>
        <v>Camaroptera brachyura</v>
      </c>
      <c r="G1616" s="3" t="str">
        <f>VLOOKUP(B1616,LifeList!$E$2:$I$2038,4)</f>
        <v>Passeriformes</v>
      </c>
      <c r="H1616" s="3" t="str">
        <f>VLOOKUP(B1616,LifeList!$E$2:$I$2038,5)</f>
        <v>Cisticolidae (Cisticolas and Allies)</v>
      </c>
      <c r="I1616" s="3"/>
    </row>
    <row r="1617" spans="1:9" ht="10.5" customHeight="1">
      <c r="A1617" s="3" t="s">
        <v>2310</v>
      </c>
      <c r="B1617" s="3" t="s">
        <v>2309</v>
      </c>
      <c r="C1617" s="3">
        <f>VLOOKUP(B1617,LifeList!$E$2:$J$2038,6)</f>
        <v>23017</v>
      </c>
      <c r="D1617" s="3" t="str">
        <f>VLOOKUP(B1617,LifeList!$E$2:$G$2038,1)</f>
        <v>Green-backed Camaroptera</v>
      </c>
      <c r="E1617" s="3" t="str">
        <f>VLOOKUP(B1617,LifeList!$E$2:$G$2038,2)</f>
        <v>Camaroptère à tête grise</v>
      </c>
      <c r="F1617" s="3" t="str">
        <f>VLOOKUP(B1617,LifeList!$E$2:$G$2038,3)</f>
        <v>Camaroptera brachyura</v>
      </c>
      <c r="G1617" s="3" t="str">
        <f>VLOOKUP(B1617,LifeList!$E$2:$I$2038,4)</f>
        <v>Passeriformes</v>
      </c>
      <c r="H1617" s="3" t="str">
        <f>VLOOKUP(B1617,LifeList!$E$2:$I$2038,5)</f>
        <v>Cisticolidae (Cisticolas and Allies)</v>
      </c>
      <c r="I1617" s="3"/>
    </row>
    <row r="1618" spans="1:9" ht="10.5" customHeight="1">
      <c r="A1618" s="3" t="s">
        <v>2311</v>
      </c>
      <c r="B1618" s="3" t="s">
        <v>2312</v>
      </c>
      <c r="C1618" s="3">
        <f>VLOOKUP(B1618,LifeList!$E$2:$J$2038,6)</f>
        <v>4388</v>
      </c>
      <c r="D1618" s="3" t="str">
        <f>VLOOKUP(B1618,LifeList!$E$2:$G$2038,1)</f>
        <v>Green-breasted Mango</v>
      </c>
      <c r="E1618" s="3" t="str">
        <f>VLOOKUP(B1618,LifeList!$E$2:$G$2038,2)</f>
        <v>Mango de Prévost</v>
      </c>
      <c r="F1618" s="3" t="str">
        <f>VLOOKUP(B1618,LifeList!$E$2:$G$2038,3)</f>
        <v>Anthracothorax prevostii</v>
      </c>
      <c r="G1618" s="3" t="str">
        <f>VLOOKUP(B1618,LifeList!$E$2:$I$2038,4)</f>
        <v>Apodiformes</v>
      </c>
      <c r="H1618" s="3" t="str">
        <f>VLOOKUP(B1618,LifeList!$E$2:$I$2038,5)</f>
        <v>Trochilidae (Hummingbirds)</v>
      </c>
      <c r="I1618" s="3"/>
    </row>
    <row r="1619" spans="1:9" ht="10.5" customHeight="1">
      <c r="A1619" s="3" t="s">
        <v>2313</v>
      </c>
      <c r="B1619" s="3" t="s">
        <v>2314</v>
      </c>
      <c r="C1619" s="3">
        <f>VLOOKUP(B1619,LifeList!$E$2:$J$2038,6)</f>
        <v>4706</v>
      </c>
      <c r="D1619" s="3" t="str">
        <f>VLOOKUP(B1619,LifeList!$E$2:$G$2038,1)</f>
        <v>Green-crowned Brilliant</v>
      </c>
      <c r="E1619" s="3" t="str">
        <f>VLOOKUP(B1619,LifeList!$E$2:$G$2038,2)</f>
        <v>Brillant fer-de-lance</v>
      </c>
      <c r="F1619" s="3" t="str">
        <f>VLOOKUP(B1619,LifeList!$E$2:$G$2038,3)</f>
        <v>Heliodoxa jacula</v>
      </c>
      <c r="G1619" s="3" t="str">
        <f>VLOOKUP(B1619,LifeList!$E$2:$I$2038,4)</f>
        <v>Apodiformes</v>
      </c>
      <c r="H1619" s="3" t="str">
        <f>VLOOKUP(B1619,LifeList!$E$2:$I$2038,5)</f>
        <v>Trochilidae (Hummingbirds)</v>
      </c>
      <c r="I1619" s="3"/>
    </row>
    <row r="1620" spans="1:9" ht="10.5" customHeight="1">
      <c r="A1620" s="3" t="s">
        <v>2315</v>
      </c>
      <c r="B1620" s="3" t="s">
        <v>2314</v>
      </c>
      <c r="C1620" s="3">
        <f>VLOOKUP(B1620,LifeList!$E$2:$J$2038,6)</f>
        <v>4706</v>
      </c>
      <c r="D1620" s="3" t="str">
        <f>VLOOKUP(B1620,LifeList!$E$2:$G$2038,1)</f>
        <v>Green-crowned Brilliant</v>
      </c>
      <c r="E1620" s="3" t="str">
        <f>VLOOKUP(B1620,LifeList!$E$2:$G$2038,2)</f>
        <v>Brillant fer-de-lance</v>
      </c>
      <c r="F1620" s="3" t="str">
        <f>VLOOKUP(B1620,LifeList!$E$2:$G$2038,3)</f>
        <v>Heliodoxa jacula</v>
      </c>
      <c r="G1620" s="3" t="str">
        <f>VLOOKUP(B1620,LifeList!$E$2:$I$2038,4)</f>
        <v>Apodiformes</v>
      </c>
      <c r="H1620" s="3" t="str">
        <f>VLOOKUP(B1620,LifeList!$E$2:$I$2038,5)</f>
        <v>Trochilidae (Hummingbirds)</v>
      </c>
      <c r="I1620" s="3"/>
    </row>
    <row r="1621" spans="1:9" ht="10.5" customHeight="1">
      <c r="A1621" s="3" t="s">
        <v>2316</v>
      </c>
      <c r="B1621" s="3" t="s">
        <v>2314</v>
      </c>
      <c r="C1621" s="3">
        <f>VLOOKUP(B1621,LifeList!$E$2:$J$2038,6)</f>
        <v>4706</v>
      </c>
      <c r="D1621" s="3" t="str">
        <f>VLOOKUP(B1621,LifeList!$E$2:$G$2038,1)</f>
        <v>Green-crowned Brilliant</v>
      </c>
      <c r="E1621" s="3" t="str">
        <f>VLOOKUP(B1621,LifeList!$E$2:$G$2038,2)</f>
        <v>Brillant fer-de-lance</v>
      </c>
      <c r="F1621" s="3" t="str">
        <f>VLOOKUP(B1621,LifeList!$E$2:$G$2038,3)</f>
        <v>Heliodoxa jacula</v>
      </c>
      <c r="G1621" s="3" t="str">
        <f>VLOOKUP(B1621,LifeList!$E$2:$I$2038,4)</f>
        <v>Apodiformes</v>
      </c>
      <c r="H1621" s="3" t="str">
        <f>VLOOKUP(B1621,LifeList!$E$2:$I$2038,5)</f>
        <v>Trochilidae (Hummingbirds)</v>
      </c>
      <c r="I1621" s="3"/>
    </row>
    <row r="1622" spans="1:9" ht="10.5" customHeight="1">
      <c r="A1622" s="3" t="s">
        <v>2317</v>
      </c>
      <c r="B1622" s="3" t="s">
        <v>2314</v>
      </c>
      <c r="C1622" s="3">
        <f>VLOOKUP(B1622,LifeList!$E$2:$J$2038,6)</f>
        <v>4706</v>
      </c>
      <c r="D1622" s="3" t="str">
        <f>VLOOKUP(B1622,LifeList!$E$2:$G$2038,1)</f>
        <v>Green-crowned Brilliant</v>
      </c>
      <c r="E1622" s="3" t="str">
        <f>VLOOKUP(B1622,LifeList!$E$2:$G$2038,2)</f>
        <v>Brillant fer-de-lance</v>
      </c>
      <c r="F1622" s="3" t="str">
        <f>VLOOKUP(B1622,LifeList!$E$2:$G$2038,3)</f>
        <v>Heliodoxa jacula</v>
      </c>
      <c r="G1622" s="3" t="str">
        <f>VLOOKUP(B1622,LifeList!$E$2:$I$2038,4)</f>
        <v>Apodiformes</v>
      </c>
      <c r="H1622" s="3" t="str">
        <f>VLOOKUP(B1622,LifeList!$E$2:$I$2038,5)</f>
        <v>Trochilidae (Hummingbirds)</v>
      </c>
      <c r="I1622" s="3"/>
    </row>
    <row r="1623" spans="1:9" ht="10.5" customHeight="1">
      <c r="A1623" s="3" t="s">
        <v>2318</v>
      </c>
      <c r="B1623" s="3" t="s">
        <v>2314</v>
      </c>
      <c r="C1623" s="3">
        <f>VLOOKUP(B1623,LifeList!$E$2:$J$2038,6)</f>
        <v>4706</v>
      </c>
      <c r="D1623" s="3" t="str">
        <f>VLOOKUP(B1623,LifeList!$E$2:$G$2038,1)</f>
        <v>Green-crowned Brilliant</v>
      </c>
      <c r="E1623" s="3" t="str">
        <f>VLOOKUP(B1623,LifeList!$E$2:$G$2038,2)</f>
        <v>Brillant fer-de-lance</v>
      </c>
      <c r="F1623" s="3" t="str">
        <f>VLOOKUP(B1623,LifeList!$E$2:$G$2038,3)</f>
        <v>Heliodoxa jacula</v>
      </c>
      <c r="G1623" s="3" t="str">
        <f>VLOOKUP(B1623,LifeList!$E$2:$I$2038,4)</f>
        <v>Apodiformes</v>
      </c>
      <c r="H1623" s="3" t="str">
        <f>VLOOKUP(B1623,LifeList!$E$2:$I$2038,5)</f>
        <v>Trochilidae (Hummingbirds)</v>
      </c>
      <c r="I1623" s="3"/>
    </row>
    <row r="1624" spans="1:9" ht="10.5" customHeight="1">
      <c r="A1624" s="3" t="s">
        <v>2319</v>
      </c>
      <c r="B1624" s="3" t="s">
        <v>2314</v>
      </c>
      <c r="C1624" s="3">
        <f>VLOOKUP(B1624,LifeList!$E$2:$J$2038,6)</f>
        <v>4706</v>
      </c>
      <c r="D1624" s="3" t="str">
        <f>VLOOKUP(B1624,LifeList!$E$2:$G$2038,1)</f>
        <v>Green-crowned Brilliant</v>
      </c>
      <c r="E1624" s="3" t="str">
        <f>VLOOKUP(B1624,LifeList!$E$2:$G$2038,2)</f>
        <v>Brillant fer-de-lance</v>
      </c>
      <c r="F1624" s="3" t="str">
        <f>VLOOKUP(B1624,LifeList!$E$2:$G$2038,3)</f>
        <v>Heliodoxa jacula</v>
      </c>
      <c r="G1624" s="3" t="str">
        <f>VLOOKUP(B1624,LifeList!$E$2:$I$2038,4)</f>
        <v>Apodiformes</v>
      </c>
      <c r="H1624" s="3" t="str">
        <f>VLOOKUP(B1624,LifeList!$E$2:$I$2038,5)</f>
        <v>Trochilidae (Hummingbirds)</v>
      </c>
      <c r="I1624" s="3"/>
    </row>
    <row r="1625" spans="1:9" ht="10.5" customHeight="1">
      <c r="A1625" s="3" t="s">
        <v>2320</v>
      </c>
      <c r="B1625" s="3" t="s">
        <v>2314</v>
      </c>
      <c r="C1625" s="3">
        <f>VLOOKUP(B1625,LifeList!$E$2:$J$2038,6)</f>
        <v>4706</v>
      </c>
      <c r="D1625" s="3" t="str">
        <f>VLOOKUP(B1625,LifeList!$E$2:$G$2038,1)</f>
        <v>Green-crowned Brilliant</v>
      </c>
      <c r="E1625" s="3" t="str">
        <f>VLOOKUP(B1625,LifeList!$E$2:$G$2038,2)</f>
        <v>Brillant fer-de-lance</v>
      </c>
      <c r="F1625" s="3" t="str">
        <f>VLOOKUP(B1625,LifeList!$E$2:$G$2038,3)</f>
        <v>Heliodoxa jacula</v>
      </c>
      <c r="G1625" s="3" t="str">
        <f>VLOOKUP(B1625,LifeList!$E$2:$I$2038,4)</f>
        <v>Apodiformes</v>
      </c>
      <c r="H1625" s="3" t="str">
        <f>VLOOKUP(B1625,LifeList!$E$2:$I$2038,5)</f>
        <v>Trochilidae (Hummingbirds)</v>
      </c>
      <c r="I1625" s="3"/>
    </row>
    <row r="1626" spans="1:9" ht="10.5" customHeight="1">
      <c r="A1626" s="3" t="s">
        <v>2321</v>
      </c>
      <c r="B1626" s="3" t="s">
        <v>2314</v>
      </c>
      <c r="C1626" s="3">
        <f>VLOOKUP(B1626,LifeList!$E$2:$J$2038,6)</f>
        <v>4706</v>
      </c>
      <c r="D1626" s="3" t="str">
        <f>VLOOKUP(B1626,LifeList!$E$2:$G$2038,1)</f>
        <v>Green-crowned Brilliant</v>
      </c>
      <c r="E1626" s="3" t="str">
        <f>VLOOKUP(B1626,LifeList!$E$2:$G$2038,2)</f>
        <v>Brillant fer-de-lance</v>
      </c>
      <c r="F1626" s="3" t="str">
        <f>VLOOKUP(B1626,LifeList!$E$2:$G$2038,3)</f>
        <v>Heliodoxa jacula</v>
      </c>
      <c r="G1626" s="3" t="str">
        <f>VLOOKUP(B1626,LifeList!$E$2:$I$2038,4)</f>
        <v>Apodiformes</v>
      </c>
      <c r="H1626" s="3" t="str">
        <f>VLOOKUP(B1626,LifeList!$E$2:$I$2038,5)</f>
        <v>Trochilidae (Hummingbirds)</v>
      </c>
      <c r="I1626" s="3"/>
    </row>
    <row r="1627" spans="1:9" ht="10.5" customHeight="1">
      <c r="A1627" s="3" t="s">
        <v>2322</v>
      </c>
      <c r="B1627" s="3" t="s">
        <v>2314</v>
      </c>
      <c r="C1627" s="3">
        <f>VLOOKUP(B1627,LifeList!$E$2:$J$2038,6)</f>
        <v>4706</v>
      </c>
      <c r="D1627" s="3" t="str">
        <f>VLOOKUP(B1627,LifeList!$E$2:$G$2038,1)</f>
        <v>Green-crowned Brilliant</v>
      </c>
      <c r="E1627" s="3" t="str">
        <f>VLOOKUP(B1627,LifeList!$E$2:$G$2038,2)</f>
        <v>Brillant fer-de-lance</v>
      </c>
      <c r="F1627" s="3" t="str">
        <f>VLOOKUP(B1627,LifeList!$E$2:$G$2038,3)</f>
        <v>Heliodoxa jacula</v>
      </c>
      <c r="G1627" s="3" t="str">
        <f>VLOOKUP(B1627,LifeList!$E$2:$I$2038,4)</f>
        <v>Apodiformes</v>
      </c>
      <c r="H1627" s="3" t="str">
        <f>VLOOKUP(B1627,LifeList!$E$2:$I$2038,5)</f>
        <v>Trochilidae (Hummingbirds)</v>
      </c>
      <c r="I1627" s="3"/>
    </row>
    <row r="1628" spans="1:9" ht="10.5" customHeight="1">
      <c r="A1628" s="3" t="s">
        <v>2323</v>
      </c>
      <c r="B1628" s="3" t="s">
        <v>2314</v>
      </c>
      <c r="C1628" s="3">
        <f>VLOOKUP(B1628,LifeList!$E$2:$J$2038,6)</f>
        <v>4706</v>
      </c>
      <c r="D1628" s="3" t="str">
        <f>VLOOKUP(B1628,LifeList!$E$2:$G$2038,1)</f>
        <v>Green-crowned Brilliant</v>
      </c>
      <c r="E1628" s="3" t="str">
        <f>VLOOKUP(B1628,LifeList!$E$2:$G$2038,2)</f>
        <v>Brillant fer-de-lance</v>
      </c>
      <c r="F1628" s="3" t="str">
        <f>VLOOKUP(B1628,LifeList!$E$2:$G$2038,3)</f>
        <v>Heliodoxa jacula</v>
      </c>
      <c r="G1628" s="3" t="str">
        <f>VLOOKUP(B1628,LifeList!$E$2:$I$2038,4)</f>
        <v>Apodiformes</v>
      </c>
      <c r="H1628" s="3" t="str">
        <f>VLOOKUP(B1628,LifeList!$E$2:$I$2038,5)</f>
        <v>Trochilidae (Hummingbirds)</v>
      </c>
      <c r="I1628" s="3"/>
    </row>
    <row r="1629" spans="1:9" ht="10.5" customHeight="1">
      <c r="A1629" s="3" t="s">
        <v>2324</v>
      </c>
      <c r="B1629" s="3" t="s">
        <v>2325</v>
      </c>
      <c r="C1629" s="3">
        <f>VLOOKUP(B1629,LifeList!$E$2:$J$2038,6)</f>
        <v>4337</v>
      </c>
      <c r="D1629" s="3" t="str">
        <f>VLOOKUP(B1629,LifeList!$E$2:$G$2038,1)</f>
        <v>Green-fronted Lancebill</v>
      </c>
      <c r="E1629" s="3" t="str">
        <f>VLOOKUP(B1629,LifeList!$E$2:$G$2038,2)</f>
        <v>Porte-lance de Louise</v>
      </c>
      <c r="F1629" s="3" t="str">
        <f>VLOOKUP(B1629,LifeList!$E$2:$G$2038,3)</f>
        <v>Doryfera ludovicae</v>
      </c>
      <c r="G1629" s="3" t="str">
        <f>VLOOKUP(B1629,LifeList!$E$2:$I$2038,4)</f>
        <v>Apodiformes</v>
      </c>
      <c r="H1629" s="3" t="str">
        <f>VLOOKUP(B1629,LifeList!$E$2:$I$2038,5)</f>
        <v>Trochilidae (Hummingbirds)</v>
      </c>
      <c r="I1629" s="3"/>
    </row>
    <row r="1630" spans="1:9" ht="10.5" customHeight="1">
      <c r="A1630" s="3" t="s">
        <v>2326</v>
      </c>
      <c r="B1630" s="3" t="s">
        <v>2327</v>
      </c>
      <c r="C1630" s="3">
        <f>VLOOKUP(B1630,LifeList!$E$2:$J$2038,6)</f>
        <v>12990</v>
      </c>
      <c r="D1630" s="3" t="str">
        <f>VLOOKUP(B1630,LifeList!$E$2:$G$2038,1)</f>
        <v>Green-rumped Parrotlet</v>
      </c>
      <c r="E1630" s="3" t="str">
        <f>VLOOKUP(B1630,LifeList!$E$2:$G$2038,2)</f>
        <v>Toui été</v>
      </c>
      <c r="F1630" s="3" t="str">
        <f>VLOOKUP(B1630,LifeList!$E$2:$G$2038,3)</f>
        <v>Forpus passerinus</v>
      </c>
      <c r="G1630" s="3" t="str">
        <f>VLOOKUP(B1630,LifeList!$E$2:$I$2038,4)</f>
        <v>Psittaciformes</v>
      </c>
      <c r="H1630" s="3" t="str">
        <f>VLOOKUP(B1630,LifeList!$E$2:$I$2038,5)</f>
        <v>Psittacidae (New World and African Parrots)</v>
      </c>
      <c r="I1630" s="3"/>
    </row>
    <row r="1631" spans="1:9" ht="10.5" customHeight="1">
      <c r="A1631" s="3" t="s">
        <v>2328</v>
      </c>
      <c r="B1631" s="3" t="s">
        <v>2327</v>
      </c>
      <c r="C1631" s="3">
        <f>VLOOKUP(B1631,LifeList!$E$2:$J$2038,6)</f>
        <v>12990</v>
      </c>
      <c r="D1631" s="3" t="str">
        <f>VLOOKUP(B1631,LifeList!$E$2:$G$2038,1)</f>
        <v>Green-rumped Parrotlet</v>
      </c>
      <c r="E1631" s="3" t="str">
        <f>VLOOKUP(B1631,LifeList!$E$2:$G$2038,2)</f>
        <v>Toui été</v>
      </c>
      <c r="F1631" s="3" t="str">
        <f>VLOOKUP(B1631,LifeList!$E$2:$G$2038,3)</f>
        <v>Forpus passerinus</v>
      </c>
      <c r="G1631" s="3" t="str">
        <f>VLOOKUP(B1631,LifeList!$E$2:$I$2038,4)</f>
        <v>Psittaciformes</v>
      </c>
      <c r="H1631" s="3" t="str">
        <f>VLOOKUP(B1631,LifeList!$E$2:$I$2038,5)</f>
        <v>Psittacidae (New World and African Parrots)</v>
      </c>
      <c r="I1631" s="3"/>
    </row>
    <row r="1632" spans="1:9" ht="10.5" customHeight="1">
      <c r="A1632" s="3" t="s">
        <v>2329</v>
      </c>
      <c r="B1632" s="3" t="s">
        <v>2327</v>
      </c>
      <c r="C1632" s="3">
        <f>VLOOKUP(B1632,LifeList!$E$2:$J$2038,6)</f>
        <v>12990</v>
      </c>
      <c r="D1632" s="3" t="str">
        <f>VLOOKUP(B1632,LifeList!$E$2:$G$2038,1)</f>
        <v>Green-rumped Parrotlet</v>
      </c>
      <c r="E1632" s="3" t="str">
        <f>VLOOKUP(B1632,LifeList!$E$2:$G$2038,2)</f>
        <v>Toui été</v>
      </c>
      <c r="F1632" s="3" t="str">
        <f>VLOOKUP(B1632,LifeList!$E$2:$G$2038,3)</f>
        <v>Forpus passerinus</v>
      </c>
      <c r="G1632" s="3" t="str">
        <f>VLOOKUP(B1632,LifeList!$E$2:$I$2038,4)</f>
        <v>Psittaciformes</v>
      </c>
      <c r="H1632" s="3" t="str">
        <f>VLOOKUP(B1632,LifeList!$E$2:$I$2038,5)</f>
        <v>Psittacidae (New World and African Parrots)</v>
      </c>
      <c r="I1632" s="3"/>
    </row>
    <row r="1633" spans="1:9" ht="10.5" customHeight="1">
      <c r="A1633" s="3" t="s">
        <v>2330</v>
      </c>
      <c r="B1633" s="3" t="s">
        <v>2331</v>
      </c>
      <c r="C1633" s="3">
        <f>VLOOKUP(B1633,LifeList!$E$2:$J$2038,6)</f>
        <v>31383</v>
      </c>
      <c r="D1633" s="3" t="str">
        <f>VLOOKUP(B1633,LifeList!$E$2:$G$2038,1)</f>
        <v>Green-winged Pytilia</v>
      </c>
      <c r="E1633" s="3" t="str">
        <f>VLOOKUP(B1633,LifeList!$E$2:$G$2038,2)</f>
        <v>Beaumarquet melba</v>
      </c>
      <c r="F1633" s="3" t="str">
        <f>VLOOKUP(B1633,LifeList!$E$2:$G$2038,3)</f>
        <v>Pytilia melba</v>
      </c>
      <c r="G1633" s="3" t="str">
        <f>VLOOKUP(B1633,LifeList!$E$2:$I$2038,4)</f>
        <v>Passeriformes</v>
      </c>
      <c r="H1633" s="3" t="str">
        <f>VLOOKUP(B1633,LifeList!$E$2:$I$2038,5)</f>
        <v>Estrildidae (Waxbills and Allies)</v>
      </c>
      <c r="I1633" s="3"/>
    </row>
    <row r="1634" spans="1:9" ht="10.5" customHeight="1">
      <c r="A1634" s="3" t="s">
        <v>2332</v>
      </c>
      <c r="B1634" s="3" t="s">
        <v>2331</v>
      </c>
      <c r="C1634" s="3">
        <f>VLOOKUP(B1634,LifeList!$E$2:$J$2038,6)</f>
        <v>31383</v>
      </c>
      <c r="D1634" s="3" t="str">
        <f>VLOOKUP(B1634,LifeList!$E$2:$G$2038,1)</f>
        <v>Green-winged Pytilia</v>
      </c>
      <c r="E1634" s="3" t="str">
        <f>VLOOKUP(B1634,LifeList!$E$2:$G$2038,2)</f>
        <v>Beaumarquet melba</v>
      </c>
      <c r="F1634" s="3" t="str">
        <f>VLOOKUP(B1634,LifeList!$E$2:$G$2038,3)</f>
        <v>Pytilia melba</v>
      </c>
      <c r="G1634" s="3" t="str">
        <f>VLOOKUP(B1634,LifeList!$E$2:$I$2038,4)</f>
        <v>Passeriformes</v>
      </c>
      <c r="H1634" s="3" t="str">
        <f>VLOOKUP(B1634,LifeList!$E$2:$I$2038,5)</f>
        <v>Estrildidae (Waxbills and Allies)</v>
      </c>
      <c r="I1634" s="3"/>
    </row>
    <row r="1635" spans="1:9" ht="10.5" customHeight="1">
      <c r="A1635" s="3" t="s">
        <v>2333</v>
      </c>
      <c r="B1635" s="3" t="s">
        <v>2334</v>
      </c>
      <c r="C1635" s="3">
        <f>VLOOKUP(B1635,LifeList!$E$2:$J$2038,6)</f>
        <v>612</v>
      </c>
      <c r="D1635" s="3" t="str">
        <f>VLOOKUP(B1635,LifeList!$E$2:$G$2038,1)</f>
        <v>Green-winged Teal</v>
      </c>
      <c r="E1635" s="3" t="str">
        <f>VLOOKUP(B1635,LifeList!$E$2:$G$2038,2)</f>
        <v>Sarcelle d'hiver</v>
      </c>
      <c r="F1635" s="3" t="str">
        <f>VLOOKUP(B1635,LifeList!$E$2:$G$2038,3)</f>
        <v>Anas crecca</v>
      </c>
      <c r="G1635" s="3" t="str">
        <f>VLOOKUP(B1635,LifeList!$E$2:$I$2038,4)</f>
        <v>Anseriformes</v>
      </c>
      <c r="H1635" s="3" t="str">
        <f>VLOOKUP(B1635,LifeList!$E$2:$I$2038,5)</f>
        <v>Anatidae (Ducks, Geese, and Waterfowl)</v>
      </c>
      <c r="I1635" s="3"/>
    </row>
    <row r="1636" spans="1:9" ht="10.5" customHeight="1">
      <c r="A1636" s="3" t="s">
        <v>2335</v>
      </c>
      <c r="B1636" s="3" t="s">
        <v>2334</v>
      </c>
      <c r="C1636" s="3">
        <f>VLOOKUP(B1636,LifeList!$E$2:$J$2038,6)</f>
        <v>612</v>
      </c>
      <c r="D1636" s="3" t="str">
        <f>VLOOKUP(B1636,LifeList!$E$2:$G$2038,1)</f>
        <v>Green-winged Teal</v>
      </c>
      <c r="E1636" s="3" t="str">
        <f>VLOOKUP(B1636,LifeList!$E$2:$G$2038,2)</f>
        <v>Sarcelle d'hiver</v>
      </c>
      <c r="F1636" s="3" t="str">
        <f>VLOOKUP(B1636,LifeList!$E$2:$G$2038,3)</f>
        <v>Anas crecca</v>
      </c>
      <c r="G1636" s="3" t="str">
        <f>VLOOKUP(B1636,LifeList!$E$2:$I$2038,4)</f>
        <v>Anseriformes</v>
      </c>
      <c r="H1636" s="3" t="str">
        <f>VLOOKUP(B1636,LifeList!$E$2:$I$2038,5)</f>
        <v>Anatidae (Ducks, Geese, and Waterfowl)</v>
      </c>
      <c r="I1636" s="3"/>
    </row>
    <row r="1637" spans="1:9" ht="10.5" customHeight="1">
      <c r="A1637" s="3" t="s">
        <v>2336</v>
      </c>
      <c r="B1637" s="3" t="s">
        <v>2334</v>
      </c>
      <c r="C1637" s="3">
        <f>VLOOKUP(B1637,LifeList!$E$2:$J$2038,6)</f>
        <v>612</v>
      </c>
      <c r="D1637" s="3" t="str">
        <f>VLOOKUP(B1637,LifeList!$E$2:$G$2038,1)</f>
        <v>Green-winged Teal</v>
      </c>
      <c r="E1637" s="3" t="str">
        <f>VLOOKUP(B1637,LifeList!$E$2:$G$2038,2)</f>
        <v>Sarcelle d'hiver</v>
      </c>
      <c r="F1637" s="3" t="str">
        <f>VLOOKUP(B1637,LifeList!$E$2:$G$2038,3)</f>
        <v>Anas crecca</v>
      </c>
      <c r="G1637" s="3" t="str">
        <f>VLOOKUP(B1637,LifeList!$E$2:$I$2038,4)</f>
        <v>Anseriformes</v>
      </c>
      <c r="H1637" s="3" t="str">
        <f>VLOOKUP(B1637,LifeList!$E$2:$I$2038,5)</f>
        <v>Anatidae (Ducks, Geese, and Waterfowl)</v>
      </c>
      <c r="I1637" s="3"/>
    </row>
    <row r="1638" spans="1:9" ht="10.5" customHeight="1">
      <c r="A1638" s="3" t="s">
        <v>2337</v>
      </c>
      <c r="B1638" s="3" t="s">
        <v>2334</v>
      </c>
      <c r="C1638" s="3">
        <f>VLOOKUP(B1638,LifeList!$E$2:$J$2038,6)</f>
        <v>612</v>
      </c>
      <c r="D1638" s="3" t="str">
        <f>VLOOKUP(B1638,LifeList!$E$2:$G$2038,1)</f>
        <v>Green-winged Teal</v>
      </c>
      <c r="E1638" s="3" t="str">
        <f>VLOOKUP(B1638,LifeList!$E$2:$G$2038,2)</f>
        <v>Sarcelle d'hiver</v>
      </c>
      <c r="F1638" s="3" t="str">
        <f>VLOOKUP(B1638,LifeList!$E$2:$G$2038,3)</f>
        <v>Anas crecca</v>
      </c>
      <c r="G1638" s="3" t="str">
        <f>VLOOKUP(B1638,LifeList!$E$2:$I$2038,4)</f>
        <v>Anseriformes</v>
      </c>
      <c r="H1638" s="3" t="str">
        <f>VLOOKUP(B1638,LifeList!$E$2:$I$2038,5)</f>
        <v>Anatidae (Ducks, Geese, and Waterfowl)</v>
      </c>
      <c r="I1638" s="3"/>
    </row>
    <row r="1639" spans="1:9" ht="10.5" customHeight="1">
      <c r="A1639" s="3" t="s">
        <v>2338</v>
      </c>
      <c r="B1639" s="3" t="s">
        <v>2339</v>
      </c>
      <c r="C1639" s="3">
        <f>VLOOKUP(B1639,LifeList!$E$2:$J$2038,6)</f>
        <v>3027</v>
      </c>
      <c r="D1639" s="3" t="str">
        <f>VLOOKUP(B1639,LifeList!$E$2:$G$2038,1)</f>
        <v>Groove-billed Ani</v>
      </c>
      <c r="E1639" s="3" t="str">
        <f>VLOOKUP(B1639,LifeList!$E$2:$G$2038,2)</f>
        <v>Ani à bec cannelé</v>
      </c>
      <c r="F1639" s="3" t="str">
        <f>VLOOKUP(B1639,LifeList!$E$2:$G$2038,3)</f>
        <v>Crotophaga sulcirostris</v>
      </c>
      <c r="G1639" s="3" t="str">
        <f>VLOOKUP(B1639,LifeList!$E$2:$I$2038,4)</f>
        <v>Cuculiformes</v>
      </c>
      <c r="H1639" s="3" t="str">
        <f>VLOOKUP(B1639,LifeList!$E$2:$I$2038,5)</f>
        <v>Cuculidae (Cuckoos)</v>
      </c>
      <c r="I1639" s="3"/>
    </row>
    <row r="1640" spans="1:9" ht="10.5" customHeight="1">
      <c r="A1640" s="3" t="s">
        <v>2340</v>
      </c>
      <c r="B1640" s="3" t="s">
        <v>2341</v>
      </c>
      <c r="C1640" s="3">
        <f>VLOOKUP(B1640,LifeList!$E$2:$J$2038,6)</f>
        <v>10855</v>
      </c>
      <c r="D1640" s="3" t="str">
        <f>VLOOKUP(B1640,LifeList!$E$2:$G$2038,1)</f>
        <v>Groove-billed Toucanet</v>
      </c>
      <c r="E1640" s="3" t="str">
        <f>VLOOKUP(B1640,LifeList!$E$2:$G$2038,2)</f>
        <v>Toucanet à bec sillonné</v>
      </c>
      <c r="F1640" s="3" t="str">
        <f>VLOOKUP(B1640,LifeList!$E$2:$G$2038,3)</f>
        <v>Aulacorhynchus sulcatus</v>
      </c>
      <c r="G1640" s="3" t="str">
        <f>VLOOKUP(B1640,LifeList!$E$2:$I$2038,4)</f>
        <v>Piciformes</v>
      </c>
      <c r="H1640" s="3" t="str">
        <f>VLOOKUP(B1640,LifeList!$E$2:$I$2038,5)</f>
        <v>Ramphastidae (Toucans)</v>
      </c>
      <c r="I1640" s="3"/>
    </row>
    <row r="1641" spans="1:9" ht="10.5" customHeight="1">
      <c r="A1641" s="5" t="s">
        <v>2342</v>
      </c>
      <c r="B1641" s="3" t="s">
        <v>2343</v>
      </c>
      <c r="C1641" s="6">
        <f>VLOOKUP(B1641,LifeList!$E$2:$J$2038,6)</f>
        <v>30997</v>
      </c>
      <c r="D1641" s="3" t="str">
        <f>VLOOKUP(B1641,LifeList!$E$2:$G$2038,1)</f>
        <v>Grosbeak Weaver</v>
      </c>
      <c r="E1641" s="3" t="str">
        <f>VLOOKUP(B1641,LifeList!$E$2:$G$2038,2)</f>
        <v>Amblyospize à front blanc</v>
      </c>
      <c r="F1641" s="3" t="str">
        <f>VLOOKUP(B1641,LifeList!$E$2:$G$2038,3)</f>
        <v>Amblyospiza albifrons</v>
      </c>
      <c r="G1641" s="3" t="str">
        <f>VLOOKUP(B1641,LifeList!$E$2:$I$2038,4)</f>
        <v>Passeriformes</v>
      </c>
      <c r="H1641" s="3" t="str">
        <f>VLOOKUP(B1641,LifeList!$E$2:$I$2038,5)</f>
        <v>Ploceidae (Weavers and Allies)</v>
      </c>
      <c r="I1641" s="3"/>
    </row>
    <row r="1642" spans="1:9" ht="10.5" customHeight="1">
      <c r="A1642" s="5" t="s">
        <v>2344</v>
      </c>
      <c r="B1642" s="3" t="s">
        <v>2343</v>
      </c>
      <c r="C1642" s="6">
        <f>VLOOKUP(B1642,LifeList!$E$2:$J$2038,6)</f>
        <v>30997</v>
      </c>
      <c r="D1642" s="3" t="str">
        <f>VLOOKUP(B1642,LifeList!$E$2:$G$2038,1)</f>
        <v>Grosbeak Weaver</v>
      </c>
      <c r="E1642" s="3" t="str">
        <f>VLOOKUP(B1642,LifeList!$E$2:$G$2038,2)</f>
        <v>Amblyospize à front blanc</v>
      </c>
      <c r="F1642" s="3" t="str">
        <f>VLOOKUP(B1642,LifeList!$E$2:$G$2038,3)</f>
        <v>Amblyospiza albifrons</v>
      </c>
      <c r="G1642" s="3" t="str">
        <f>VLOOKUP(B1642,LifeList!$E$2:$I$2038,4)</f>
        <v>Passeriformes</v>
      </c>
      <c r="H1642" s="3" t="str">
        <f>VLOOKUP(B1642,LifeList!$E$2:$I$2038,5)</f>
        <v>Ploceidae (Weavers and Allies)</v>
      </c>
      <c r="I1642" s="3"/>
    </row>
    <row r="1643" spans="1:9" ht="10.5" customHeight="1">
      <c r="A1643" s="3" t="s">
        <v>2345</v>
      </c>
      <c r="B1643" s="3" t="s">
        <v>2346</v>
      </c>
      <c r="C1643" s="3">
        <f>VLOOKUP(B1643,LifeList!$E$2:$J$2038,6)</f>
        <v>28425</v>
      </c>
      <c r="D1643" s="3" t="str">
        <f>VLOOKUP(B1643,LifeList!$E$2:$G$2038,1)</f>
        <v>Groundscraper Thrush</v>
      </c>
      <c r="E1643" s="3" t="str">
        <f>VLOOKUP(B1643,LifeList!$E$2:$G$2038,2)</f>
        <v>Grive litsitsirupa</v>
      </c>
      <c r="F1643" s="3" t="str">
        <f>VLOOKUP(B1643,LifeList!$E$2:$G$2038,3)</f>
        <v>Turdus litsitsirupa</v>
      </c>
      <c r="G1643" s="3" t="str">
        <f>VLOOKUP(B1643,LifeList!$E$2:$I$2038,4)</f>
        <v>Passeriformes</v>
      </c>
      <c r="H1643" s="3" t="str">
        <f>VLOOKUP(B1643,LifeList!$E$2:$I$2038,5)</f>
        <v>Turdidae (Thrushes and Allies)</v>
      </c>
      <c r="I1643" s="3"/>
    </row>
    <row r="1644" spans="1:9" ht="10.5" customHeight="1">
      <c r="A1644" s="5" t="s">
        <v>2347</v>
      </c>
      <c r="B1644" s="5" t="s">
        <v>2348</v>
      </c>
      <c r="C1644" s="3">
        <f>VLOOKUP(B1644,LifeList!$E$2:$J$2038,6)</f>
        <v>7516</v>
      </c>
      <c r="D1644" s="3" t="str">
        <f>VLOOKUP(B1644,LifeList!$E$2:$G$2038,1)</f>
        <v>Hadada Ibis</v>
      </c>
      <c r="E1644" s="3" t="str">
        <f>VLOOKUP(B1644,LifeList!$E$2:$G$2038,2)</f>
        <v>Ibis hagedash</v>
      </c>
      <c r="F1644" s="3" t="str">
        <f>VLOOKUP(B1644,LifeList!$E$2:$G$2038,3)</f>
        <v>Bostrychia hagedash</v>
      </c>
      <c r="G1644" s="3" t="str">
        <f>VLOOKUP(B1644,LifeList!$E$2:$I$2038,4)</f>
        <v>Pelecaniformes</v>
      </c>
      <c r="H1644" s="3" t="str">
        <f>VLOOKUP(B1644,LifeList!$E$2:$I$2038,5)</f>
        <v>Threskiornithidae (Ibises and Spoonbills)</v>
      </c>
      <c r="I1644" s="3"/>
    </row>
    <row r="1645" spans="1:9" ht="10.5" customHeight="1">
      <c r="A1645" s="3" t="s">
        <v>2349</v>
      </c>
      <c r="B1645" s="3" t="s">
        <v>2350</v>
      </c>
      <c r="C1645" s="3">
        <f>VLOOKUP(B1645,LifeList!$E$2:$J$2038,6)</f>
        <v>11427</v>
      </c>
      <c r="D1645" s="3" t="str">
        <f>VLOOKUP(B1645,LifeList!$E$2:$G$2038,1)</f>
        <v>Hairy Woodpecker</v>
      </c>
      <c r="E1645" s="3" t="str">
        <f>VLOOKUP(B1645,LifeList!$E$2:$G$2038,2)</f>
        <v>Pic chevelu</v>
      </c>
      <c r="F1645" s="3" t="str">
        <f>VLOOKUP(B1645,LifeList!$E$2:$G$2038,3)</f>
        <v>Leuconotopicus villosus</v>
      </c>
      <c r="G1645" s="3" t="str">
        <f>VLOOKUP(B1645,LifeList!$E$2:$I$2038,4)</f>
        <v>Piciformes</v>
      </c>
      <c r="H1645" s="3" t="str">
        <f>VLOOKUP(B1645,LifeList!$E$2:$I$2038,5)</f>
        <v>Picidae (Woodpeckers)</v>
      </c>
      <c r="I1645" s="3"/>
    </row>
    <row r="1646" spans="1:9" ht="10.5" customHeight="1">
      <c r="A1646" s="3" t="s">
        <v>2351</v>
      </c>
      <c r="B1646" s="3" t="s">
        <v>2350</v>
      </c>
      <c r="C1646" s="3">
        <f>VLOOKUP(B1646,LifeList!$E$2:$J$2038,6)</f>
        <v>11427</v>
      </c>
      <c r="D1646" s="3" t="str">
        <f>VLOOKUP(B1646,LifeList!$E$2:$G$2038,1)</f>
        <v>Hairy Woodpecker</v>
      </c>
      <c r="E1646" s="3" t="str">
        <f>VLOOKUP(B1646,LifeList!$E$2:$G$2038,2)</f>
        <v>Pic chevelu</v>
      </c>
      <c r="F1646" s="3" t="str">
        <f>VLOOKUP(B1646,LifeList!$E$2:$G$2038,3)</f>
        <v>Leuconotopicus villosus</v>
      </c>
      <c r="G1646" s="3" t="str">
        <f>VLOOKUP(B1646,LifeList!$E$2:$I$2038,4)</f>
        <v>Piciformes</v>
      </c>
      <c r="H1646" s="3" t="str">
        <f>VLOOKUP(B1646,LifeList!$E$2:$I$2038,5)</f>
        <v>Picidae (Woodpeckers)</v>
      </c>
      <c r="I1646" s="3"/>
    </row>
    <row r="1647" spans="1:9" ht="10.5" customHeight="1">
      <c r="A1647" s="3" t="s">
        <v>2352</v>
      </c>
      <c r="B1647" s="3" t="s">
        <v>2353</v>
      </c>
      <c r="C1647" s="3">
        <f>VLOOKUP(B1647,LifeList!$E$2:$J$2038,6)</f>
        <v>7785</v>
      </c>
      <c r="D1647" s="3" t="str">
        <f>VLOOKUP(B1647,LifeList!$E$2:$G$2038,1)</f>
        <v>Hamerkop</v>
      </c>
      <c r="E1647" s="3" t="str">
        <f>VLOOKUP(B1647,LifeList!$E$2:$G$2038,2)</f>
        <v>Ombrette africaine</v>
      </c>
      <c r="F1647" s="3" t="str">
        <f>VLOOKUP(B1647,LifeList!$E$2:$G$2038,3)</f>
        <v>Scopus umbretta</v>
      </c>
      <c r="G1647" s="3" t="str">
        <f>VLOOKUP(B1647,LifeList!$E$2:$I$2038,4)</f>
        <v>Pelecaniformes</v>
      </c>
      <c r="H1647" s="3" t="str">
        <f>VLOOKUP(B1647,LifeList!$E$2:$I$2038,5)</f>
        <v>Scopidae (Hamerkop)</v>
      </c>
      <c r="I1647" s="3"/>
    </row>
    <row r="1648" spans="1:9" ht="10.5" customHeight="1">
      <c r="A1648" s="3" t="s">
        <v>2354</v>
      </c>
      <c r="B1648" s="3" t="s">
        <v>2353</v>
      </c>
      <c r="C1648" s="3">
        <f>VLOOKUP(B1648,LifeList!$E$2:$J$2038,6)</f>
        <v>7785</v>
      </c>
      <c r="D1648" s="3" t="str">
        <f>VLOOKUP(B1648,LifeList!$E$2:$G$2038,1)</f>
        <v>Hamerkop</v>
      </c>
      <c r="E1648" s="3" t="str">
        <f>VLOOKUP(B1648,LifeList!$E$2:$G$2038,2)</f>
        <v>Ombrette africaine</v>
      </c>
      <c r="F1648" s="3" t="str">
        <f>VLOOKUP(B1648,LifeList!$E$2:$G$2038,3)</f>
        <v>Scopus umbretta</v>
      </c>
      <c r="G1648" s="3" t="str">
        <f>VLOOKUP(B1648,LifeList!$E$2:$I$2038,4)</f>
        <v>Pelecaniformes</v>
      </c>
      <c r="H1648" s="3" t="str">
        <f>VLOOKUP(B1648,LifeList!$E$2:$I$2038,5)</f>
        <v>Scopidae (Hamerkop)</v>
      </c>
      <c r="I1648" s="3"/>
    </row>
    <row r="1649" spans="1:9" ht="12" customHeight="1">
      <c r="A1649" s="3" t="s">
        <v>2355</v>
      </c>
      <c r="B1649" s="3" t="s">
        <v>2353</v>
      </c>
      <c r="C1649" s="3">
        <f>VLOOKUP(B1649,LifeList!$E$2:$J$2038,6)</f>
        <v>7785</v>
      </c>
      <c r="D1649" s="3" t="str">
        <f>VLOOKUP(B1649,LifeList!$E$2:$G$2038,1)</f>
        <v>Hamerkop</v>
      </c>
      <c r="E1649" s="3" t="str">
        <f>VLOOKUP(B1649,LifeList!$E$2:$G$2038,2)</f>
        <v>Ombrette africaine</v>
      </c>
      <c r="F1649" s="3" t="str">
        <f>VLOOKUP(B1649,LifeList!$E$2:$G$2038,3)</f>
        <v>Scopus umbretta</v>
      </c>
      <c r="G1649" s="3" t="str">
        <f>VLOOKUP(B1649,LifeList!$E$2:$I$2038,4)</f>
        <v>Pelecaniformes</v>
      </c>
      <c r="H1649" s="3" t="str">
        <f>VLOOKUP(B1649,LifeList!$E$2:$I$2038,5)</f>
        <v>Scopidae (Hamerkop)</v>
      </c>
      <c r="I1649" s="3"/>
    </row>
    <row r="1650" spans="1:9" ht="10.5" customHeight="1">
      <c r="A1650" s="3" t="s">
        <v>2356</v>
      </c>
      <c r="B1650" s="3" t="s">
        <v>2353</v>
      </c>
      <c r="C1650" s="3">
        <f>VLOOKUP(B1650,LifeList!$E$2:$J$2038,6)</f>
        <v>7785</v>
      </c>
      <c r="D1650" s="3" t="str">
        <f>VLOOKUP(B1650,LifeList!$E$2:$G$2038,1)</f>
        <v>Hamerkop</v>
      </c>
      <c r="E1650" s="3" t="str">
        <f>VLOOKUP(B1650,LifeList!$E$2:$G$2038,2)</f>
        <v>Ombrette africaine</v>
      </c>
      <c r="F1650" s="3" t="str">
        <f>VLOOKUP(B1650,LifeList!$E$2:$G$2038,3)</f>
        <v>Scopus umbretta</v>
      </c>
      <c r="G1650" s="3" t="str">
        <f>VLOOKUP(B1650,LifeList!$E$2:$I$2038,4)</f>
        <v>Pelecaniformes</v>
      </c>
      <c r="H1650" s="3" t="str">
        <f>VLOOKUP(B1650,LifeList!$E$2:$I$2038,5)</f>
        <v>Scopidae (Hamerkop)</v>
      </c>
      <c r="I1650" s="3"/>
    </row>
    <row r="1651" spans="1:9" ht="10.5" customHeight="1">
      <c r="A1651" s="3" t="s">
        <v>2357</v>
      </c>
      <c r="B1651" s="3" t="s">
        <v>2353</v>
      </c>
      <c r="C1651" s="3">
        <f>VLOOKUP(B1651,LifeList!$E$2:$J$2038,6)</f>
        <v>7785</v>
      </c>
      <c r="D1651" s="3" t="str">
        <f>VLOOKUP(B1651,LifeList!$E$2:$G$2038,1)</f>
        <v>Hamerkop</v>
      </c>
      <c r="E1651" s="3" t="str">
        <f>VLOOKUP(B1651,LifeList!$E$2:$G$2038,2)</f>
        <v>Ombrette africaine</v>
      </c>
      <c r="F1651" s="3" t="str">
        <f>VLOOKUP(B1651,LifeList!$E$2:$G$2038,3)</f>
        <v>Scopus umbretta</v>
      </c>
      <c r="G1651" s="3" t="str">
        <f>VLOOKUP(B1651,LifeList!$E$2:$I$2038,4)</f>
        <v>Pelecaniformes</v>
      </c>
      <c r="H1651" s="3" t="str">
        <f>VLOOKUP(B1651,LifeList!$E$2:$I$2038,5)</f>
        <v>Scopidae (Hamerkop)</v>
      </c>
      <c r="I1651" s="3"/>
    </row>
    <row r="1652" spans="1:9" ht="10.5" customHeight="1">
      <c r="A1652" s="3" t="s">
        <v>2358</v>
      </c>
      <c r="B1652" s="3" t="s">
        <v>2359</v>
      </c>
      <c r="C1652" s="3">
        <f>VLOOKUP(B1652,LifeList!$E$2:$J$2038,6)</f>
        <v>727</v>
      </c>
      <c r="D1652" s="3" t="str">
        <f>VLOOKUP(B1652,LifeList!$E$2:$G$2038,1)</f>
        <v>Harlequin Duck</v>
      </c>
      <c r="E1652" s="3" t="str">
        <f>VLOOKUP(B1652,LifeList!$E$2:$G$2038,2)</f>
        <v>Arlequin plongeur</v>
      </c>
      <c r="F1652" s="3" t="str">
        <f>VLOOKUP(B1652,LifeList!$E$2:$G$2038,3)</f>
        <v>Histrionicus histrionicus</v>
      </c>
      <c r="G1652" s="3" t="str">
        <f>VLOOKUP(B1652,LifeList!$E$2:$I$2038,4)</f>
        <v>Anseriformes</v>
      </c>
      <c r="H1652" s="3" t="str">
        <f>VLOOKUP(B1652,LifeList!$E$2:$I$2038,5)</f>
        <v>Anatidae (Ducks, Geese, and Waterfowl)</v>
      </c>
      <c r="I1652" s="3"/>
    </row>
    <row r="1653" spans="1:9" ht="10.5" customHeight="1">
      <c r="A1653" s="5" t="s">
        <v>2360</v>
      </c>
      <c r="B1653" s="3" t="s">
        <v>2361</v>
      </c>
      <c r="C1653" s="3">
        <f>VLOOKUP(B1653,LifeList!$E$2:$J$2038,6)</f>
        <v>33198</v>
      </c>
      <c r="D1653" s="3" t="str">
        <f>VLOOKUP(B1653,LifeList!$E$2:$G$2038,1)</f>
        <v>Harris's Sparrow</v>
      </c>
      <c r="E1653" s="3" t="str">
        <f>VLOOKUP(B1653,LifeList!$E$2:$G$2038,2)</f>
        <v>Bruant à face noire</v>
      </c>
      <c r="F1653" s="3" t="str">
        <f>VLOOKUP(B1653,LifeList!$E$2:$G$2038,3)</f>
        <v>Zonotrichia querula</v>
      </c>
      <c r="G1653" s="3" t="str">
        <f>VLOOKUP(B1653,LifeList!$E$2:$I$2038,4)</f>
        <v>Passeriformes</v>
      </c>
      <c r="H1653" s="3" t="str">
        <f>VLOOKUP(B1653,LifeList!$E$2:$I$2038,5)</f>
        <v>Passerellidae (New World Sparrows)</v>
      </c>
      <c r="I1653" s="3"/>
    </row>
    <row r="1654" spans="1:9" ht="10.5" customHeight="1">
      <c r="A1654" s="3" t="s">
        <v>2362</v>
      </c>
      <c r="B1654" s="3" t="s">
        <v>2363</v>
      </c>
      <c r="C1654" s="3">
        <f>VLOOKUP(B1654,LifeList!$E$2:$J$2038,6)</f>
        <v>8445</v>
      </c>
      <c r="D1654" s="3" t="str">
        <f>VLOOKUP(B1654,LifeList!$E$2:$G$2038,1)</f>
        <v>Harris's Hawk</v>
      </c>
      <c r="E1654" s="3" t="str">
        <f>VLOOKUP(B1654,LifeList!$E$2:$G$2038,2)</f>
        <v>Buse de Harris</v>
      </c>
      <c r="F1654" s="3" t="str">
        <f>VLOOKUP(B1654,LifeList!$E$2:$G$2038,3)</f>
        <v>Parabuteo unicinctus</v>
      </c>
      <c r="G1654" s="3" t="str">
        <f>VLOOKUP(B1654,LifeList!$E$2:$I$2038,4)</f>
        <v>Accipitriformes</v>
      </c>
      <c r="H1654" s="3" t="str">
        <f>VLOOKUP(B1654,LifeList!$E$2:$I$2038,5)</f>
        <v>Accipitridae (Hawks, Eagles, and Kites)</v>
      </c>
      <c r="I1654" s="3"/>
    </row>
    <row r="1655" spans="1:9" ht="10.5" customHeight="1">
      <c r="A1655" s="3" t="s">
        <v>2364</v>
      </c>
      <c r="B1655" s="3" t="s">
        <v>2363</v>
      </c>
      <c r="C1655" s="3">
        <f>VLOOKUP(B1655,LifeList!$E$2:$J$2038,6)</f>
        <v>8445</v>
      </c>
      <c r="D1655" s="3" t="str">
        <f>VLOOKUP(B1655,LifeList!$E$2:$G$2038,1)</f>
        <v>Harris's Hawk</v>
      </c>
      <c r="E1655" s="3" t="str">
        <f>VLOOKUP(B1655,LifeList!$E$2:$G$2038,2)</f>
        <v>Buse de Harris</v>
      </c>
      <c r="F1655" s="3" t="str">
        <f>VLOOKUP(B1655,LifeList!$E$2:$G$2038,3)</f>
        <v>Parabuteo unicinctus</v>
      </c>
      <c r="G1655" s="3" t="str">
        <f>VLOOKUP(B1655,LifeList!$E$2:$I$2038,4)</f>
        <v>Accipitriformes</v>
      </c>
      <c r="H1655" s="3" t="str">
        <f>VLOOKUP(B1655,LifeList!$E$2:$I$2038,5)</f>
        <v>Accipitridae (Hawks, Eagles, and Kites)</v>
      </c>
      <c r="I1655" s="3"/>
    </row>
    <row r="1656" spans="1:9" ht="10.5" customHeight="1">
      <c r="A1656" s="3" t="s">
        <v>2365</v>
      </c>
      <c r="B1656" s="3" t="s">
        <v>2366</v>
      </c>
      <c r="C1656" s="3">
        <f>VLOOKUP(B1656,LifeList!$E$2:$J$2038,6)</f>
        <v>26696</v>
      </c>
      <c r="D1656" s="3" t="str">
        <f>VLOOKUP(B1656,LifeList!$E$2:$G$2038,1)</f>
        <v>Hartlaub's Babbler</v>
      </c>
      <c r="E1656" s="3" t="str">
        <f>VLOOKUP(B1656,LifeList!$E$2:$G$2038,2)</f>
        <v>Cratérope de Hartlaub</v>
      </c>
      <c r="F1656" s="3" t="str">
        <f>VLOOKUP(B1656,LifeList!$E$2:$G$2038,3)</f>
        <v>Turdoides hartlaubii</v>
      </c>
      <c r="G1656" s="3" t="str">
        <f>VLOOKUP(B1656,LifeList!$E$2:$I$2038,4)</f>
        <v>Passeriformes</v>
      </c>
      <c r="H1656" s="3" t="str">
        <f>VLOOKUP(B1656,LifeList!$E$2:$I$2038,5)</f>
        <v>Leiothrichidae (Laughingthrushes and Allies)</v>
      </c>
      <c r="I1656" s="3"/>
    </row>
    <row r="1657" spans="1:9" ht="10.5" customHeight="1">
      <c r="A1657" s="3" t="s">
        <v>2367</v>
      </c>
      <c r="B1657" s="3" t="s">
        <v>2368</v>
      </c>
      <c r="C1657" s="3">
        <f>VLOOKUP(B1657,LifeList!$E$2:$J$2038,6)</f>
        <v>32135</v>
      </c>
      <c r="D1657" s="3" t="str">
        <f>VLOOKUP(B1657,LifeList!$E$2:$G$2038,1)</f>
        <v>Hawaii Amakihi</v>
      </c>
      <c r="E1657" s="3" t="str">
        <f>VLOOKUP(B1657,LifeList!$E$2:$G$2038,2)</f>
        <v>Amakihi familier</v>
      </c>
      <c r="F1657" s="3" t="str">
        <f>VLOOKUP(B1657,LifeList!$E$2:$G$2038,3)</f>
        <v>Chlorodrepanis virens</v>
      </c>
      <c r="G1657" s="3" t="str">
        <f>VLOOKUP(B1657,LifeList!$E$2:$I$2038,4)</f>
        <v>Passeriformes</v>
      </c>
      <c r="H1657" s="3" t="str">
        <f>VLOOKUP(B1657,LifeList!$E$2:$I$2038,5)</f>
        <v>Fringillidae (Finches, Euphonias, and Allies)</v>
      </c>
      <c r="I1657" s="3"/>
    </row>
    <row r="1658" spans="1:9" ht="10.5" customHeight="1">
      <c r="A1658" s="3" t="s">
        <v>2369</v>
      </c>
      <c r="B1658" s="3" t="s">
        <v>2370</v>
      </c>
      <c r="C1658" s="3">
        <f>VLOOKUP(B1658,LifeList!$E$2:$J$2038,6)</f>
        <v>5497</v>
      </c>
      <c r="D1658" s="3" t="str">
        <f>VLOOKUP(B1658,LifeList!$E$2:$G$2038,1)</f>
        <v>Hawaiian Coot</v>
      </c>
      <c r="E1658" s="3" t="str">
        <f>VLOOKUP(B1658,LifeList!$E$2:$G$2038,2)</f>
        <v>Foulque des Hawaï</v>
      </c>
      <c r="F1658" s="3" t="str">
        <f>VLOOKUP(B1658,LifeList!$E$2:$G$2038,3)</f>
        <v>Fulica alai</v>
      </c>
      <c r="G1658" s="3" t="str">
        <f>VLOOKUP(B1658,LifeList!$E$2:$I$2038,4)</f>
        <v>Gruiformes</v>
      </c>
      <c r="H1658" s="3" t="str">
        <f>VLOOKUP(B1658,LifeList!$E$2:$I$2038,5)</f>
        <v>Rallidae (Rails, Gallinules, and Coots)</v>
      </c>
      <c r="I1658" s="3"/>
    </row>
    <row r="1659" spans="1:9" ht="10.5" customHeight="1">
      <c r="A1659" s="3" t="s">
        <v>2371</v>
      </c>
      <c r="B1659" s="3" t="s">
        <v>2372</v>
      </c>
      <c r="C1659" s="3">
        <f>VLOOKUP(B1659,LifeList!$E$2:$J$2038,6)</f>
        <v>365</v>
      </c>
      <c r="D1659" s="3" t="str">
        <f>VLOOKUP(B1659,LifeList!$E$2:$G$2038,1)</f>
        <v>Hawaiian Goose</v>
      </c>
      <c r="E1659" s="3" t="str">
        <f>VLOOKUP(B1659,LifeList!$E$2:$G$2038,2)</f>
        <v>Bernache néné</v>
      </c>
      <c r="F1659" s="3" t="str">
        <f>VLOOKUP(B1659,LifeList!$E$2:$G$2038,3)</f>
        <v>Branta sandvicensis</v>
      </c>
      <c r="G1659" s="3" t="str">
        <f>VLOOKUP(B1659,LifeList!$E$2:$I$2038,4)</f>
        <v>Anseriformes</v>
      </c>
      <c r="H1659" s="3" t="str">
        <f>VLOOKUP(B1659,LifeList!$E$2:$I$2038,5)</f>
        <v>Anatidae (Ducks, Geese, and Waterfowl)</v>
      </c>
      <c r="I1659" s="3"/>
    </row>
    <row r="1660" spans="1:9" ht="10.5" customHeight="1">
      <c r="A1660" s="5" t="s">
        <v>2373</v>
      </c>
      <c r="B1660" s="3" t="s">
        <v>2374</v>
      </c>
      <c r="C1660" s="6">
        <f>VLOOKUP(B1660,LifeList!$E$2:$J$2038,6)</f>
        <v>6512</v>
      </c>
      <c r="D1660" s="3" t="str">
        <f>VLOOKUP(B1660,LifeList!$E$2:$G$2038,1)</f>
        <v>Heermann's Gull</v>
      </c>
      <c r="E1660" s="3" t="str">
        <f>VLOOKUP(B1660,LifeList!$E$2:$G$2038,2)</f>
        <v>Goéland de Heermann</v>
      </c>
      <c r="F1660" s="3" t="str">
        <f>VLOOKUP(B1660,LifeList!$E$2:$G$2038,3)</f>
        <v>Larus heermanni</v>
      </c>
      <c r="G1660" s="3" t="str">
        <f>VLOOKUP(B1660,LifeList!$E$2:$I$2038,4)</f>
        <v>Charadriiformes</v>
      </c>
      <c r="H1660" s="3" t="str">
        <f>VLOOKUP(B1660,LifeList!$E$2:$I$2038,5)</f>
        <v>Laridae (Gulls, Terns, and Skimmers)</v>
      </c>
      <c r="I1660" s="3"/>
    </row>
    <row r="1661" spans="1:9" ht="10.5" customHeight="1">
      <c r="A1661" s="7" t="s">
        <v>2375</v>
      </c>
      <c r="B1661" s="9" t="s">
        <v>2374</v>
      </c>
      <c r="C1661" s="3">
        <f>VLOOKUP(B1661,LifeList!$E$2:$J$2038,6)</f>
        <v>6512</v>
      </c>
      <c r="D1661" s="3" t="str">
        <f>VLOOKUP(B1661,LifeList!$E$2:$G$2038,1)</f>
        <v>Heermann's Gull</v>
      </c>
      <c r="E1661" s="3" t="str">
        <f>VLOOKUP(B1661,LifeList!$E$2:$G$2038,2)</f>
        <v>Goéland de Heermann</v>
      </c>
      <c r="F1661" s="3" t="str">
        <f>VLOOKUP(B1661,LifeList!$E$2:$G$2038,3)</f>
        <v>Larus heermanni</v>
      </c>
      <c r="G1661" s="3" t="str">
        <f>VLOOKUP(B1661,LifeList!$E$2:$I$2038,4)</f>
        <v>Charadriiformes</v>
      </c>
      <c r="H1661" s="3" t="str">
        <f>VLOOKUP(B1661,LifeList!$E$2:$I$2038,5)</f>
        <v>Laridae (Gulls, Terns, and Skimmers)</v>
      </c>
      <c r="I1661" s="3"/>
    </row>
    <row r="1662" spans="1:9" ht="10.5" customHeight="1">
      <c r="A1662" s="3" t="s">
        <v>2376</v>
      </c>
      <c r="B1662" s="3" t="s">
        <v>2377</v>
      </c>
      <c r="C1662" s="3">
        <f>VLOOKUP(B1662,LifeList!$E$2:$J$2038,6)</f>
        <v>977</v>
      </c>
      <c r="D1662" s="3" t="str">
        <f>VLOOKUP(B1662,LifeList!$E$2:$G$2038,1)</f>
        <v>Helmeted Guineafowl</v>
      </c>
      <c r="E1662" s="3" t="str">
        <f>VLOOKUP(B1662,LifeList!$E$2:$G$2038,2)</f>
        <v>Pintade de Numidie</v>
      </c>
      <c r="F1662" s="3" t="str">
        <f>VLOOKUP(B1662,LifeList!$E$2:$G$2038,3)</f>
        <v>Numida meleagris</v>
      </c>
      <c r="G1662" s="3" t="str">
        <f>VLOOKUP(B1662,LifeList!$E$2:$I$2038,4)</f>
        <v>Galliformes</v>
      </c>
      <c r="H1662" s="3" t="str">
        <f>VLOOKUP(B1662,LifeList!$E$2:$I$2038,5)</f>
        <v>Numididae (Guineafowl)</v>
      </c>
      <c r="I1662" s="3"/>
    </row>
    <row r="1663" spans="1:9" ht="10.5" customHeight="1">
      <c r="A1663" s="3" t="s">
        <v>2378</v>
      </c>
      <c r="B1663" s="3" t="s">
        <v>2377</v>
      </c>
      <c r="C1663" s="3">
        <f>VLOOKUP(B1663,LifeList!$E$2:$J$2038,6)</f>
        <v>977</v>
      </c>
      <c r="D1663" s="3" t="str">
        <f>VLOOKUP(B1663,LifeList!$E$2:$G$2038,1)</f>
        <v>Helmeted Guineafowl</v>
      </c>
      <c r="E1663" s="3" t="str">
        <f>VLOOKUP(B1663,LifeList!$E$2:$G$2038,2)</f>
        <v>Pintade de Numidie</v>
      </c>
      <c r="F1663" s="3" t="str">
        <f>VLOOKUP(B1663,LifeList!$E$2:$G$2038,3)</f>
        <v>Numida meleagris</v>
      </c>
      <c r="G1663" s="3" t="str">
        <f>VLOOKUP(B1663,LifeList!$E$2:$I$2038,4)</f>
        <v>Galliformes</v>
      </c>
      <c r="H1663" s="3" t="str">
        <f>VLOOKUP(B1663,LifeList!$E$2:$I$2038,5)</f>
        <v>Numididae (Guineafowl)</v>
      </c>
      <c r="I1663" s="3"/>
    </row>
    <row r="1664" spans="1:9" ht="10.5" customHeight="1">
      <c r="A1664" s="3" t="s">
        <v>2379</v>
      </c>
      <c r="B1664" s="3" t="s">
        <v>2377</v>
      </c>
      <c r="C1664" s="3">
        <f>VLOOKUP(B1664,LifeList!$E$2:$J$2038,6)</f>
        <v>977</v>
      </c>
      <c r="D1664" s="3" t="str">
        <f>VLOOKUP(B1664,LifeList!$E$2:$G$2038,1)</f>
        <v>Helmeted Guineafowl</v>
      </c>
      <c r="E1664" s="3" t="str">
        <f>VLOOKUP(B1664,LifeList!$E$2:$G$2038,2)</f>
        <v>Pintade de Numidie</v>
      </c>
      <c r="F1664" s="3" t="str">
        <f>VLOOKUP(B1664,LifeList!$E$2:$G$2038,3)</f>
        <v>Numida meleagris</v>
      </c>
      <c r="G1664" s="3" t="str">
        <f>VLOOKUP(B1664,LifeList!$E$2:$I$2038,4)</f>
        <v>Galliformes</v>
      </c>
      <c r="H1664" s="3" t="str">
        <f>VLOOKUP(B1664,LifeList!$E$2:$I$2038,5)</f>
        <v>Numididae (Guineafowl)</v>
      </c>
      <c r="I1664" s="3"/>
    </row>
    <row r="1665" spans="1:9" ht="10.5" customHeight="1">
      <c r="A1665" s="3" t="s">
        <v>2380</v>
      </c>
      <c r="B1665" s="3" t="s">
        <v>2377</v>
      </c>
      <c r="C1665" s="3">
        <f>VLOOKUP(B1665,LifeList!$E$2:$J$2038,6)</f>
        <v>977</v>
      </c>
      <c r="D1665" s="3" t="str">
        <f>VLOOKUP(B1665,LifeList!$E$2:$G$2038,1)</f>
        <v>Helmeted Guineafowl</v>
      </c>
      <c r="E1665" s="3" t="str">
        <f>VLOOKUP(B1665,LifeList!$E$2:$G$2038,2)</f>
        <v>Pintade de Numidie</v>
      </c>
      <c r="F1665" s="3" t="str">
        <f>VLOOKUP(B1665,LifeList!$E$2:$G$2038,3)</f>
        <v>Numida meleagris</v>
      </c>
      <c r="G1665" s="3" t="str">
        <f>VLOOKUP(B1665,LifeList!$E$2:$I$2038,4)</f>
        <v>Galliformes</v>
      </c>
      <c r="H1665" s="3" t="str">
        <f>VLOOKUP(B1665,LifeList!$E$2:$I$2038,5)</f>
        <v>Numididae (Guineafowl)</v>
      </c>
      <c r="I1665" s="3"/>
    </row>
    <row r="1666" spans="1:9" ht="10.5" customHeight="1">
      <c r="A1666" s="5" t="s">
        <v>2381</v>
      </c>
      <c r="B1666" s="3" t="s">
        <v>2382</v>
      </c>
      <c r="C1666" s="3">
        <f>VLOOKUP(B1666,LifeList!$E$2:$J$2038,6)</f>
        <v>33272</v>
      </c>
      <c r="D1666" s="3" t="str">
        <f>VLOOKUP(B1666,LifeList!$E$2:$G$2038,1)</f>
        <v>Henslow's Sparrow</v>
      </c>
      <c r="E1666" s="3" t="str">
        <f>VLOOKUP(B1666,LifeList!$E$2:$G$2038,2)</f>
        <v>Bruant de Henslow</v>
      </c>
      <c r="F1666" s="3" t="str">
        <f>VLOOKUP(B1666,LifeList!$E$2:$G$2038,3)</f>
        <v>Centronyx henslowii</v>
      </c>
      <c r="G1666" s="3" t="str">
        <f>VLOOKUP(B1666,LifeList!$E$2:$I$2038,4)</f>
        <v>Passeriformes</v>
      </c>
      <c r="H1666" s="3" t="str">
        <f>VLOOKUP(B1666,LifeList!$E$2:$I$2038,5)</f>
        <v>Passerellidae (New World Sparrows)</v>
      </c>
      <c r="I1666" s="3"/>
    </row>
    <row r="1667" spans="1:9" ht="10.5" customHeight="1">
      <c r="A1667" s="3" t="s">
        <v>2383</v>
      </c>
      <c r="B1667" s="3" t="s">
        <v>2384</v>
      </c>
      <c r="C1667" s="3">
        <f>VLOOKUP(B1667,LifeList!$E$2:$J$2038,6)</f>
        <v>34413</v>
      </c>
      <c r="D1667" s="3" t="str">
        <f>VLOOKUP(B1667,LifeList!$E$2:$G$2038,1)</f>
        <v>Hepatic Tanager</v>
      </c>
      <c r="E1667" s="3" t="str">
        <f>VLOOKUP(B1667,LifeList!$E$2:$G$2038,2)</f>
        <v>Piranga orangé</v>
      </c>
      <c r="F1667" s="3" t="str">
        <f>VLOOKUP(B1667,LifeList!$E$2:$G$2038,3)</f>
        <v>Piranga flava</v>
      </c>
      <c r="G1667" s="3" t="str">
        <f>VLOOKUP(B1667,LifeList!$E$2:$I$2038,4)</f>
        <v>Passeriformes</v>
      </c>
      <c r="H1667" s="3" t="str">
        <f>VLOOKUP(B1667,LifeList!$E$2:$I$2038,5)</f>
        <v>Cardinalidae (Cardinals and Allies)</v>
      </c>
      <c r="I1667" s="3"/>
    </row>
    <row r="1668" spans="1:9" ht="10.5" customHeight="1">
      <c r="A1668" s="3" t="s">
        <v>2385</v>
      </c>
      <c r="B1668" s="3" t="s">
        <v>2384</v>
      </c>
      <c r="C1668" s="3">
        <f>VLOOKUP(B1668,LifeList!$E$2:$J$2038,6)</f>
        <v>34413</v>
      </c>
      <c r="D1668" s="3" t="str">
        <f>VLOOKUP(B1668,LifeList!$E$2:$G$2038,1)</f>
        <v>Hepatic Tanager</v>
      </c>
      <c r="E1668" s="3" t="str">
        <f>VLOOKUP(B1668,LifeList!$E$2:$G$2038,2)</f>
        <v>Piranga orangé</v>
      </c>
      <c r="F1668" s="3" t="str">
        <f>VLOOKUP(B1668,LifeList!$E$2:$G$2038,3)</f>
        <v>Piranga flava</v>
      </c>
      <c r="G1668" s="3" t="str">
        <f>VLOOKUP(B1668,LifeList!$E$2:$I$2038,4)</f>
        <v>Passeriformes</v>
      </c>
      <c r="H1668" s="3" t="str">
        <f>VLOOKUP(B1668,LifeList!$E$2:$I$2038,5)</f>
        <v>Cardinalidae (Cardinals and Allies)</v>
      </c>
      <c r="I1668" s="3"/>
    </row>
    <row r="1669" spans="1:9" ht="10.5" customHeight="1">
      <c r="A1669" s="3" t="s">
        <v>2386</v>
      </c>
      <c r="B1669" s="3" t="s">
        <v>2384</v>
      </c>
      <c r="C1669" s="3">
        <f>VLOOKUP(B1669,LifeList!$E$2:$J$2038,6)</f>
        <v>34413</v>
      </c>
      <c r="D1669" s="3" t="str">
        <f>VLOOKUP(B1669,LifeList!$E$2:$G$2038,1)</f>
        <v>Hepatic Tanager</v>
      </c>
      <c r="E1669" s="3" t="str">
        <f>VLOOKUP(B1669,LifeList!$E$2:$G$2038,2)</f>
        <v>Piranga orangé</v>
      </c>
      <c r="F1669" s="3" t="str">
        <f>VLOOKUP(B1669,LifeList!$E$2:$G$2038,3)</f>
        <v>Piranga flava</v>
      </c>
      <c r="G1669" s="3" t="str">
        <f>VLOOKUP(B1669,LifeList!$E$2:$I$2038,4)</f>
        <v>Passeriformes</v>
      </c>
      <c r="H1669" s="3" t="str">
        <f>VLOOKUP(B1669,LifeList!$E$2:$I$2038,5)</f>
        <v>Cardinalidae (Cardinals and Allies)</v>
      </c>
      <c r="I1669" s="3"/>
    </row>
    <row r="1670" spans="1:9" ht="10.5" customHeight="1">
      <c r="A1670" s="3" t="s">
        <v>2387</v>
      </c>
      <c r="B1670" s="3" t="s">
        <v>2384</v>
      </c>
      <c r="C1670" s="3">
        <f>VLOOKUP(B1670,LifeList!$E$2:$J$2038,6)</f>
        <v>34413</v>
      </c>
      <c r="D1670" s="3" t="str">
        <f>VLOOKUP(B1670,LifeList!$E$2:$G$2038,1)</f>
        <v>Hepatic Tanager</v>
      </c>
      <c r="E1670" s="3" t="str">
        <f>VLOOKUP(B1670,LifeList!$E$2:$G$2038,2)</f>
        <v>Piranga orangé</v>
      </c>
      <c r="F1670" s="3" t="str">
        <f>VLOOKUP(B1670,LifeList!$E$2:$G$2038,3)</f>
        <v>Piranga flava</v>
      </c>
      <c r="G1670" s="3" t="str">
        <f>VLOOKUP(B1670,LifeList!$E$2:$I$2038,4)</f>
        <v>Passeriformes</v>
      </c>
      <c r="H1670" s="3" t="str">
        <f>VLOOKUP(B1670,LifeList!$E$2:$I$2038,5)</f>
        <v>Cardinalidae (Cardinals and Allies)</v>
      </c>
      <c r="I1670" s="3"/>
    </row>
    <row r="1671" spans="1:9" ht="10.5" customHeight="1">
      <c r="A1671" s="3" t="s">
        <v>2388</v>
      </c>
      <c r="B1671" s="3" t="s">
        <v>2389</v>
      </c>
      <c r="C1671" s="3">
        <f>VLOOKUP(B1671,LifeList!$E$2:$J$2038,6)</f>
        <v>28333</v>
      </c>
      <c r="D1671" s="3" t="str">
        <f>VLOOKUP(B1671,LifeList!$E$2:$G$2038,1)</f>
        <v>Hermit Thrush</v>
      </c>
      <c r="E1671" s="3" t="str">
        <f>VLOOKUP(B1671,LifeList!$E$2:$G$2038,2)</f>
        <v>Grive solitaire</v>
      </c>
      <c r="F1671" s="3" t="str">
        <f>VLOOKUP(B1671,LifeList!$E$2:$G$2038,3)</f>
        <v>Catharus guttatus</v>
      </c>
      <c r="G1671" s="3" t="str">
        <f>VLOOKUP(B1671,LifeList!$E$2:$I$2038,4)</f>
        <v>Passeriformes</v>
      </c>
      <c r="H1671" s="3" t="str">
        <f>VLOOKUP(B1671,LifeList!$E$2:$I$2038,5)</f>
        <v>Turdidae (Thrushes and Allies)</v>
      </c>
      <c r="I1671" s="3"/>
    </row>
    <row r="1672" spans="1:9" ht="10.5" customHeight="1">
      <c r="A1672" s="3" t="s">
        <v>2390</v>
      </c>
      <c r="B1672" s="3" t="s">
        <v>2389</v>
      </c>
      <c r="C1672" s="3">
        <f>VLOOKUP(B1672,LifeList!$E$2:$J$2038,6)</f>
        <v>28333</v>
      </c>
      <c r="D1672" s="3" t="str">
        <f>VLOOKUP(B1672,LifeList!$E$2:$G$2038,1)</f>
        <v>Hermit Thrush</v>
      </c>
      <c r="E1672" s="3" t="str">
        <f>VLOOKUP(B1672,LifeList!$E$2:$G$2038,2)</f>
        <v>Grive solitaire</v>
      </c>
      <c r="F1672" s="3" t="str">
        <f>VLOOKUP(B1672,LifeList!$E$2:$G$2038,3)</f>
        <v>Catharus guttatus</v>
      </c>
      <c r="G1672" s="3" t="str">
        <f>VLOOKUP(B1672,LifeList!$E$2:$I$2038,4)</f>
        <v>Passeriformes</v>
      </c>
      <c r="H1672" s="3" t="str">
        <f>VLOOKUP(B1672,LifeList!$E$2:$I$2038,5)</f>
        <v>Turdidae (Thrushes and Allies)</v>
      </c>
      <c r="I1672" s="3"/>
    </row>
    <row r="1673" spans="1:9" ht="10.5" customHeight="1">
      <c r="A1673" s="3" t="s">
        <v>2391</v>
      </c>
      <c r="B1673" s="3" t="s">
        <v>2389</v>
      </c>
      <c r="C1673" s="3">
        <f>VLOOKUP(B1673,LifeList!$E$2:$J$2038,6)</f>
        <v>28333</v>
      </c>
      <c r="D1673" s="3" t="str">
        <f>VLOOKUP(B1673,LifeList!$E$2:$G$2038,1)</f>
        <v>Hermit Thrush</v>
      </c>
      <c r="E1673" s="3" t="str">
        <f>VLOOKUP(B1673,LifeList!$E$2:$G$2038,2)</f>
        <v>Grive solitaire</v>
      </c>
      <c r="F1673" s="3" t="str">
        <f>VLOOKUP(B1673,LifeList!$E$2:$G$2038,3)</f>
        <v>Catharus guttatus</v>
      </c>
      <c r="G1673" s="3" t="str">
        <f>VLOOKUP(B1673,LifeList!$E$2:$I$2038,4)</f>
        <v>Passeriformes</v>
      </c>
      <c r="H1673" s="3" t="str">
        <f>VLOOKUP(B1673,LifeList!$E$2:$I$2038,5)</f>
        <v>Turdidae (Thrushes and Allies)</v>
      </c>
      <c r="I1673" s="3"/>
    </row>
    <row r="1674" spans="1:9" ht="10.5" customHeight="1">
      <c r="A1674" s="3" t="s">
        <v>2392</v>
      </c>
      <c r="B1674" s="3" t="s">
        <v>2389</v>
      </c>
      <c r="C1674" s="3">
        <f>VLOOKUP(B1674,LifeList!$E$2:$J$2038,6)</f>
        <v>28333</v>
      </c>
      <c r="D1674" s="3" t="str">
        <f>VLOOKUP(B1674,LifeList!$E$2:$G$2038,1)</f>
        <v>Hermit Thrush</v>
      </c>
      <c r="E1674" s="3" t="str">
        <f>VLOOKUP(B1674,LifeList!$E$2:$G$2038,2)</f>
        <v>Grive solitaire</v>
      </c>
      <c r="F1674" s="3" t="str">
        <f>VLOOKUP(B1674,LifeList!$E$2:$G$2038,3)</f>
        <v>Catharus guttatus</v>
      </c>
      <c r="G1674" s="3" t="str">
        <f>VLOOKUP(B1674,LifeList!$E$2:$I$2038,4)</f>
        <v>Passeriformes</v>
      </c>
      <c r="H1674" s="3" t="str">
        <f>VLOOKUP(B1674,LifeList!$E$2:$I$2038,5)</f>
        <v>Turdidae (Thrushes and Allies)</v>
      </c>
      <c r="I1674" s="3"/>
    </row>
    <row r="1675" spans="1:9" ht="10.5" customHeight="1">
      <c r="A1675" s="3" t="s">
        <v>2393</v>
      </c>
      <c r="B1675" s="3" t="s">
        <v>2389</v>
      </c>
      <c r="C1675" s="3">
        <f>VLOOKUP(B1675,LifeList!$E$2:$J$2038,6)</f>
        <v>28333</v>
      </c>
      <c r="D1675" s="3" t="str">
        <f>VLOOKUP(B1675,LifeList!$E$2:$G$2038,1)</f>
        <v>Hermit Thrush</v>
      </c>
      <c r="E1675" s="3" t="str">
        <f>VLOOKUP(B1675,LifeList!$E$2:$G$2038,2)</f>
        <v>Grive solitaire</v>
      </c>
      <c r="F1675" s="3" t="str">
        <f>VLOOKUP(B1675,LifeList!$E$2:$G$2038,3)</f>
        <v>Catharus guttatus</v>
      </c>
      <c r="G1675" s="3" t="str">
        <f>VLOOKUP(B1675,LifeList!$E$2:$I$2038,4)</f>
        <v>Passeriformes</v>
      </c>
      <c r="H1675" s="3" t="str">
        <f>VLOOKUP(B1675,LifeList!$E$2:$I$2038,5)</f>
        <v>Turdidae (Thrushes and Allies)</v>
      </c>
      <c r="I1675" s="3"/>
    </row>
    <row r="1676" spans="1:9" ht="10.5" customHeight="1">
      <c r="A1676" s="3" t="s">
        <v>2394</v>
      </c>
      <c r="B1676" s="3" t="s">
        <v>2395</v>
      </c>
      <c r="C1676" s="3">
        <f>VLOOKUP(B1676,LifeList!$E$2:$J$2038,6)</f>
        <v>27628</v>
      </c>
      <c r="D1676" s="3" t="str">
        <f>VLOOKUP(B1676,LifeList!$E$2:$G$2038,1)</f>
        <v>Hermit Wood-Wren</v>
      </c>
      <c r="E1676" s="3" t="str">
        <f>VLOOKUP(B1676,LifeList!$E$2:$G$2038,2)</f>
        <v>Troglodyte ermite</v>
      </c>
      <c r="F1676" s="3" t="str">
        <f>VLOOKUP(B1676,LifeList!$E$2:$G$2038,3)</f>
        <v>Henicorhina anachoreta</v>
      </c>
      <c r="G1676" s="3" t="str">
        <f>VLOOKUP(B1676,LifeList!$E$2:$I$2038,4)</f>
        <v>Passeriformes</v>
      </c>
      <c r="H1676" s="3" t="str">
        <f>VLOOKUP(B1676,LifeList!$E$2:$I$2038,5)</f>
        <v>Troglodytidae (Wrens)</v>
      </c>
      <c r="I1676" s="3"/>
    </row>
    <row r="1677" spans="1:9" ht="10.5" customHeight="1">
      <c r="A1677" s="3" t="s">
        <v>2396</v>
      </c>
      <c r="B1677" s="3" t="s">
        <v>2397</v>
      </c>
      <c r="C1677" s="3">
        <f>VLOOKUP(B1677,LifeList!$E$2:$J$2038,6)</f>
        <v>1825</v>
      </c>
      <c r="D1677" s="3" t="str">
        <f>VLOOKUP(B1677,LifeList!$E$2:$G$2038,1)</f>
        <v>Hildebrandt's Spurfowl</v>
      </c>
      <c r="E1677" s="3" t="str">
        <f>VLOOKUP(B1677,LifeList!$E$2:$G$2038,2)</f>
        <v>Francolin de Hildebrandt</v>
      </c>
      <c r="F1677" s="3" t="str">
        <f>VLOOKUP(B1677,LifeList!$E$2:$G$2038,3)</f>
        <v>Pternistis hildebrandti</v>
      </c>
      <c r="G1677" s="3" t="str">
        <f>VLOOKUP(B1677,LifeList!$E$2:$I$2038,4)</f>
        <v>Galliformes</v>
      </c>
      <c r="H1677" s="3" t="str">
        <f>VLOOKUP(B1677,LifeList!$E$2:$I$2038,5)</f>
        <v>Phasianidae (Pheasants, Grouse, and Allies)</v>
      </c>
      <c r="I1677" s="3"/>
    </row>
    <row r="1678" spans="1:9" ht="10.5" customHeight="1">
      <c r="A1678" s="3" t="s">
        <v>2398</v>
      </c>
      <c r="B1678" s="5" t="s">
        <v>2399</v>
      </c>
      <c r="C1678" s="3">
        <f>VLOOKUP(B1678,LifeList!$E$2:$J$2038,6)</f>
        <v>27946</v>
      </c>
      <c r="D1678" s="3" t="str">
        <f>VLOOKUP(B1678,LifeList!$E$2:$G$2038,1)</f>
        <v>Hildebrandt's Starling</v>
      </c>
      <c r="E1678" s="3" t="str">
        <f>VLOOKUP(B1678,LifeList!$E$2:$G$2038,2)</f>
        <v>Choucador de Hildebrandt</v>
      </c>
      <c r="F1678" s="3" t="str">
        <f>VLOOKUP(B1678,LifeList!$E$2:$G$2038,3)</f>
        <v>Lamprotornis hildebrandti</v>
      </c>
      <c r="G1678" s="3" t="str">
        <f>VLOOKUP(B1678,LifeList!$E$2:$I$2038,4)</f>
        <v>Passeriformes</v>
      </c>
      <c r="H1678" s="3" t="str">
        <f>VLOOKUP(B1678,LifeList!$E$2:$I$2038,5)</f>
        <v>Sturnidae (Starlings)</v>
      </c>
      <c r="I1678" s="3"/>
    </row>
    <row r="1679" spans="1:9" ht="10.5" customHeight="1">
      <c r="A1679" s="3" t="s">
        <v>2400</v>
      </c>
      <c r="B1679" s="3" t="s">
        <v>2401</v>
      </c>
      <c r="C1679" s="3">
        <f>VLOOKUP(B1679,LifeList!$E$2:$J$2038,6)</f>
        <v>6860</v>
      </c>
      <c r="D1679" s="3" t="str">
        <f>VLOOKUP(B1679,LifeList!$E$2:$G$2038,1)</f>
        <v>Hoary-headed Grebe</v>
      </c>
      <c r="E1679" s="3" t="str">
        <f>VLOOKUP(B1679,LifeList!$E$2:$G$2038,2)</f>
        <v>Grèbe argenté</v>
      </c>
      <c r="F1679" s="3" t="str">
        <f>VLOOKUP(B1679,LifeList!$E$2:$G$2038,3)</f>
        <v>Poliocephalus poliocephalus</v>
      </c>
      <c r="G1679" s="3" t="str">
        <f>VLOOKUP(B1679,LifeList!$E$2:$I$2038,4)</f>
        <v>Podicipediformes</v>
      </c>
      <c r="H1679" s="3" t="str">
        <f>VLOOKUP(B1679,LifeList!$E$2:$I$2038,5)</f>
        <v>Podicipedidae (Grebes)</v>
      </c>
      <c r="I1679" s="3"/>
    </row>
    <row r="1680" spans="1:9" ht="10.5" customHeight="1">
      <c r="A1680" s="3" t="s">
        <v>2402</v>
      </c>
      <c r="B1680" s="3" t="s">
        <v>2401</v>
      </c>
      <c r="C1680" s="3">
        <f>VLOOKUP(B1680,LifeList!$E$2:$J$2038,6)</f>
        <v>6860</v>
      </c>
      <c r="D1680" s="3" t="str">
        <f>VLOOKUP(B1680,LifeList!$E$2:$G$2038,1)</f>
        <v>Hoary-headed Grebe</v>
      </c>
      <c r="E1680" s="3" t="str">
        <f>VLOOKUP(B1680,LifeList!$E$2:$G$2038,2)</f>
        <v>Grèbe argenté</v>
      </c>
      <c r="F1680" s="3" t="str">
        <f>VLOOKUP(B1680,LifeList!$E$2:$G$2038,3)</f>
        <v>Poliocephalus poliocephalus</v>
      </c>
      <c r="G1680" s="3" t="str">
        <f>VLOOKUP(B1680,LifeList!$E$2:$I$2038,4)</f>
        <v>Podicipediformes</v>
      </c>
      <c r="H1680" s="3" t="str">
        <f>VLOOKUP(B1680,LifeList!$E$2:$I$2038,5)</f>
        <v>Podicipedidae (Grebes)</v>
      </c>
      <c r="I1680" s="3"/>
    </row>
    <row r="1681" spans="1:9" ht="10.5" customHeight="1">
      <c r="A1681" s="3" t="s">
        <v>2403</v>
      </c>
      <c r="B1681" s="3" t="s">
        <v>2404</v>
      </c>
      <c r="C1681" s="3">
        <f>VLOOKUP(B1681,LifeList!$E$2:$J$2038,6)</f>
        <v>11180</v>
      </c>
      <c r="D1681" s="3" t="str">
        <f>VLOOKUP(B1681,LifeList!$E$2:$G$2038,1)</f>
        <v>Hoffmann's Woodpecker</v>
      </c>
      <c r="E1681" s="3" t="str">
        <f>VLOOKUP(B1681,LifeList!$E$2:$G$2038,2)</f>
        <v>Pic de Hoffmann</v>
      </c>
      <c r="F1681" s="3" t="str">
        <f>VLOOKUP(B1681,LifeList!$E$2:$G$2038,3)</f>
        <v>Melanerpes hoffmannii</v>
      </c>
      <c r="G1681" s="3" t="str">
        <f>VLOOKUP(B1681,LifeList!$E$2:$I$2038,4)</f>
        <v>Piciformes</v>
      </c>
      <c r="H1681" s="3" t="str">
        <f>VLOOKUP(B1681,LifeList!$E$2:$I$2038,5)</f>
        <v>Picidae (Woodpeckers)</v>
      </c>
      <c r="I1681" s="3"/>
    </row>
    <row r="1682" spans="1:9" ht="10.5" customHeight="1">
      <c r="A1682" s="3" t="s">
        <v>2405</v>
      </c>
      <c r="B1682" s="3" t="s">
        <v>2404</v>
      </c>
      <c r="C1682" s="3">
        <f>VLOOKUP(B1682,LifeList!$E$2:$J$2038,6)</f>
        <v>11180</v>
      </c>
      <c r="D1682" s="3" t="str">
        <f>VLOOKUP(B1682,LifeList!$E$2:$G$2038,1)</f>
        <v>Hoffmann's Woodpecker</v>
      </c>
      <c r="E1682" s="3" t="str">
        <f>VLOOKUP(B1682,LifeList!$E$2:$G$2038,2)</f>
        <v>Pic de Hoffmann</v>
      </c>
      <c r="F1682" s="3" t="str">
        <f>VLOOKUP(B1682,LifeList!$E$2:$G$2038,3)</f>
        <v>Melanerpes hoffmannii</v>
      </c>
      <c r="G1682" s="3" t="str">
        <f>VLOOKUP(B1682,LifeList!$E$2:$I$2038,4)</f>
        <v>Piciformes</v>
      </c>
      <c r="H1682" s="3" t="str">
        <f>VLOOKUP(B1682,LifeList!$E$2:$I$2038,5)</f>
        <v>Picidae (Woodpeckers)</v>
      </c>
      <c r="I1682" s="3"/>
    </row>
    <row r="1683" spans="1:9" ht="10.5" customHeight="1">
      <c r="A1683" s="3" t="s">
        <v>2406</v>
      </c>
      <c r="B1683" s="3" t="s">
        <v>2404</v>
      </c>
      <c r="C1683" s="3">
        <f>VLOOKUP(B1683,LifeList!$E$2:$J$2038,6)</f>
        <v>11180</v>
      </c>
      <c r="D1683" s="3" t="str">
        <f>VLOOKUP(B1683,LifeList!$E$2:$G$2038,1)</f>
        <v>Hoffmann's Woodpecker</v>
      </c>
      <c r="E1683" s="3" t="str">
        <f>VLOOKUP(B1683,LifeList!$E$2:$G$2038,2)</f>
        <v>Pic de Hoffmann</v>
      </c>
      <c r="F1683" s="3" t="str">
        <f>VLOOKUP(B1683,LifeList!$E$2:$G$2038,3)</f>
        <v>Melanerpes hoffmannii</v>
      </c>
      <c r="G1683" s="3" t="str">
        <f>VLOOKUP(B1683,LifeList!$E$2:$I$2038,4)</f>
        <v>Piciformes</v>
      </c>
      <c r="H1683" s="3" t="str">
        <f>VLOOKUP(B1683,LifeList!$E$2:$I$2038,5)</f>
        <v>Picidae (Woodpeckers)</v>
      </c>
      <c r="I1683" s="3"/>
    </row>
    <row r="1684" spans="1:9" ht="10.5" customHeight="1">
      <c r="A1684" s="3" t="s">
        <v>2407</v>
      </c>
      <c r="B1684" s="3" t="s">
        <v>2404</v>
      </c>
      <c r="C1684" s="3">
        <f>VLOOKUP(B1684,LifeList!$E$2:$J$2038,6)</f>
        <v>11180</v>
      </c>
      <c r="D1684" s="3" t="str">
        <f>VLOOKUP(B1684,LifeList!$E$2:$G$2038,1)</f>
        <v>Hoffmann's Woodpecker</v>
      </c>
      <c r="E1684" s="3" t="str">
        <f>VLOOKUP(B1684,LifeList!$E$2:$G$2038,2)</f>
        <v>Pic de Hoffmann</v>
      </c>
      <c r="F1684" s="3" t="str">
        <f>VLOOKUP(B1684,LifeList!$E$2:$G$2038,3)</f>
        <v>Melanerpes hoffmannii</v>
      </c>
      <c r="G1684" s="3" t="str">
        <f>VLOOKUP(B1684,LifeList!$E$2:$I$2038,4)</f>
        <v>Piciformes</v>
      </c>
      <c r="H1684" s="3" t="str">
        <f>VLOOKUP(B1684,LifeList!$E$2:$I$2038,5)</f>
        <v>Picidae (Woodpeckers)</v>
      </c>
      <c r="I1684" s="3"/>
    </row>
    <row r="1685" spans="1:9" ht="10.5" customHeight="1">
      <c r="A1685" s="3" t="s">
        <v>2408</v>
      </c>
      <c r="B1685" s="3" t="s">
        <v>2404</v>
      </c>
      <c r="C1685" s="3">
        <f>VLOOKUP(B1685,LifeList!$E$2:$J$2038,6)</f>
        <v>11180</v>
      </c>
      <c r="D1685" s="3" t="str">
        <f>VLOOKUP(B1685,LifeList!$E$2:$G$2038,1)</f>
        <v>Hoffmann's Woodpecker</v>
      </c>
      <c r="E1685" s="3" t="str">
        <f>VLOOKUP(B1685,LifeList!$E$2:$G$2038,2)</f>
        <v>Pic de Hoffmann</v>
      </c>
      <c r="F1685" s="3" t="str">
        <f>VLOOKUP(B1685,LifeList!$E$2:$G$2038,3)</f>
        <v>Melanerpes hoffmannii</v>
      </c>
      <c r="G1685" s="3" t="str">
        <f>VLOOKUP(B1685,LifeList!$E$2:$I$2038,4)</f>
        <v>Piciformes</v>
      </c>
      <c r="H1685" s="3" t="str">
        <f>VLOOKUP(B1685,LifeList!$E$2:$I$2038,5)</f>
        <v>Picidae (Woodpeckers)</v>
      </c>
      <c r="I1685" s="3"/>
    </row>
    <row r="1686" spans="1:9" ht="10.5" customHeight="1">
      <c r="A1686" s="3" t="s">
        <v>2409</v>
      </c>
      <c r="B1686" s="3" t="s">
        <v>2404</v>
      </c>
      <c r="C1686" s="3">
        <f>VLOOKUP(B1686,LifeList!$E$2:$J$2038,6)</f>
        <v>11180</v>
      </c>
      <c r="D1686" s="3" t="str">
        <f>VLOOKUP(B1686,LifeList!$E$2:$G$2038,1)</f>
        <v>Hoffmann's Woodpecker</v>
      </c>
      <c r="E1686" s="3" t="str">
        <f>VLOOKUP(B1686,LifeList!$E$2:$G$2038,2)</f>
        <v>Pic de Hoffmann</v>
      </c>
      <c r="F1686" s="3" t="str">
        <f>VLOOKUP(B1686,LifeList!$E$2:$G$2038,3)</f>
        <v>Melanerpes hoffmannii</v>
      </c>
      <c r="G1686" s="3" t="str">
        <f>VLOOKUP(B1686,LifeList!$E$2:$I$2038,4)</f>
        <v>Piciformes</v>
      </c>
      <c r="H1686" s="3" t="str">
        <f>VLOOKUP(B1686,LifeList!$E$2:$I$2038,5)</f>
        <v>Picidae (Woodpeckers)</v>
      </c>
      <c r="I1686" s="3"/>
    </row>
    <row r="1687" spans="1:9" ht="10.5" customHeight="1">
      <c r="A1687" s="5" t="s">
        <v>2410</v>
      </c>
      <c r="B1687" s="3" t="s">
        <v>2411</v>
      </c>
      <c r="C1687" s="6">
        <f>VLOOKUP(B1687,LifeList!$E$2:$J$2038,6)</f>
        <v>30801</v>
      </c>
      <c r="D1687" s="3" t="str">
        <f>VLOOKUP(B1687,LifeList!$E$2:$G$2038,1)</f>
        <v>Holub's Golden-Weaver</v>
      </c>
      <c r="E1687" s="3" t="str">
        <f>VLOOKUP(B1687,LifeList!$E$2:$G$2038,2)</f>
        <v>Tisserin safran</v>
      </c>
      <c r="F1687" s="3" t="str">
        <f>VLOOKUP(B1687,LifeList!$E$2:$G$2038,3)</f>
        <v>Ploceus xanthops</v>
      </c>
      <c r="G1687" s="3" t="str">
        <f>VLOOKUP(B1687,LifeList!$E$2:$I$2038,4)</f>
        <v>Passeriformes</v>
      </c>
      <c r="H1687" s="3" t="str">
        <f>VLOOKUP(B1687,LifeList!$E$2:$I$2038,5)</f>
        <v>Ploceidae (Weavers and Allies)</v>
      </c>
      <c r="I1687" s="3"/>
    </row>
    <row r="1688" spans="1:9" ht="10.5" customHeight="1">
      <c r="A1688" s="3" t="s">
        <v>2412</v>
      </c>
      <c r="B1688" s="3" t="s">
        <v>2411</v>
      </c>
      <c r="C1688" s="3">
        <f>VLOOKUP(B1688,LifeList!$E$2:$J$2038,6)</f>
        <v>30801</v>
      </c>
      <c r="D1688" s="3" t="str">
        <f>VLOOKUP(B1688,LifeList!$E$2:$G$2038,1)</f>
        <v>Holub's Golden-Weaver</v>
      </c>
      <c r="E1688" s="3" t="str">
        <f>VLOOKUP(B1688,LifeList!$E$2:$G$2038,2)</f>
        <v>Tisserin safran</v>
      </c>
      <c r="F1688" s="3" t="str">
        <f>VLOOKUP(B1688,LifeList!$E$2:$G$2038,3)</f>
        <v>Ploceus xanthops</v>
      </c>
      <c r="G1688" s="3" t="str">
        <f>VLOOKUP(B1688,LifeList!$E$2:$I$2038,4)</f>
        <v>Passeriformes</v>
      </c>
      <c r="H1688" s="3" t="str">
        <f>VLOOKUP(B1688,LifeList!$E$2:$I$2038,5)</f>
        <v>Ploceidae (Weavers and Allies)</v>
      </c>
      <c r="I1688" s="3"/>
    </row>
    <row r="1689" spans="1:9" ht="10.5" customHeight="1">
      <c r="A1689" s="3" t="s">
        <v>2413</v>
      </c>
      <c r="B1689" s="3" t="s">
        <v>2414</v>
      </c>
      <c r="C1689" s="3">
        <f>VLOOKUP(B1689,LifeList!$E$2:$J$2038,6)</f>
        <v>754</v>
      </c>
      <c r="D1689" s="3" t="str">
        <f>VLOOKUP(B1689,LifeList!$E$2:$G$2038,1)</f>
        <v>Hooded Merganser</v>
      </c>
      <c r="E1689" s="3" t="str">
        <f>VLOOKUP(B1689,LifeList!$E$2:$G$2038,2)</f>
        <v>Harle couronné</v>
      </c>
      <c r="F1689" s="3" t="str">
        <f>VLOOKUP(B1689,LifeList!$E$2:$G$2038,3)</f>
        <v>Lophodytes cucullatus</v>
      </c>
      <c r="G1689" s="3" t="str">
        <f>VLOOKUP(B1689,LifeList!$E$2:$I$2038,4)</f>
        <v>Anseriformes</v>
      </c>
      <c r="H1689" s="3" t="str">
        <f>VLOOKUP(B1689,LifeList!$E$2:$I$2038,5)</f>
        <v>Anatidae (Ducks, Geese, and Waterfowl)</v>
      </c>
      <c r="I1689" s="3"/>
    </row>
    <row r="1690" spans="1:9" ht="10.5" customHeight="1">
      <c r="A1690" s="3" t="s">
        <v>2415</v>
      </c>
      <c r="B1690" s="3" t="s">
        <v>2414</v>
      </c>
      <c r="C1690" s="3">
        <f>VLOOKUP(B1690,LifeList!$E$2:$J$2038,6)</f>
        <v>754</v>
      </c>
      <c r="D1690" s="3" t="str">
        <f>VLOOKUP(B1690,LifeList!$E$2:$G$2038,1)</f>
        <v>Hooded Merganser</v>
      </c>
      <c r="E1690" s="3" t="str">
        <f>VLOOKUP(B1690,LifeList!$E$2:$G$2038,2)</f>
        <v>Harle couronné</v>
      </c>
      <c r="F1690" s="3" t="str">
        <f>VLOOKUP(B1690,LifeList!$E$2:$G$2038,3)</f>
        <v>Lophodytes cucullatus</v>
      </c>
      <c r="G1690" s="3" t="str">
        <f>VLOOKUP(B1690,LifeList!$E$2:$I$2038,4)</f>
        <v>Anseriformes</v>
      </c>
      <c r="H1690" s="3" t="str">
        <f>VLOOKUP(B1690,LifeList!$E$2:$I$2038,5)</f>
        <v>Anatidae (Ducks, Geese, and Waterfowl)</v>
      </c>
      <c r="I1690" s="3"/>
    </row>
    <row r="1691" spans="1:9" ht="10.5" customHeight="1">
      <c r="A1691" s="3" t="s">
        <v>2416</v>
      </c>
      <c r="B1691" s="3" t="s">
        <v>2417</v>
      </c>
      <c r="C1691" s="3">
        <f>VLOOKUP(B1691,LifeList!$E$2:$J$2038,6)</f>
        <v>34839</v>
      </c>
      <c r="D1691" s="3" t="str">
        <f>VLOOKUP(B1691,LifeList!$E$2:$G$2038,1)</f>
        <v>Hooded Mountain Tanager</v>
      </c>
      <c r="E1691" s="3" t="str">
        <f>VLOOKUP(B1691,LifeList!$E$2:$G$2038,2)</f>
        <v>Tangara montagnard</v>
      </c>
      <c r="F1691" s="3" t="str">
        <f>VLOOKUP(B1691,LifeList!$E$2:$G$2038,3)</f>
        <v>Buthraupis montana</v>
      </c>
      <c r="G1691" s="3" t="str">
        <f>VLOOKUP(B1691,LifeList!$E$2:$I$2038,4)</f>
        <v>Passeriformes</v>
      </c>
      <c r="H1691" s="3" t="str">
        <f>VLOOKUP(B1691,LifeList!$E$2:$I$2038,5)</f>
        <v>Thraupidae (Tanagers and Allies)</v>
      </c>
      <c r="I1691" s="3"/>
    </row>
    <row r="1692" spans="1:9" ht="10.5" customHeight="1">
      <c r="A1692" s="3" t="s">
        <v>2418</v>
      </c>
      <c r="B1692" s="3" t="s">
        <v>2417</v>
      </c>
      <c r="C1692" s="3">
        <f>VLOOKUP(B1692,LifeList!$E$2:$J$2038,6)</f>
        <v>34839</v>
      </c>
      <c r="D1692" s="3" t="str">
        <f>VLOOKUP(B1692,LifeList!$E$2:$G$2038,1)</f>
        <v>Hooded Mountain Tanager</v>
      </c>
      <c r="E1692" s="3" t="str">
        <f>VLOOKUP(B1692,LifeList!$E$2:$G$2038,2)</f>
        <v>Tangara montagnard</v>
      </c>
      <c r="F1692" s="3" t="str">
        <f>VLOOKUP(B1692,LifeList!$E$2:$G$2038,3)</f>
        <v>Buthraupis montana</v>
      </c>
      <c r="G1692" s="3" t="str">
        <f>VLOOKUP(B1692,LifeList!$E$2:$I$2038,4)</f>
        <v>Passeriformes</v>
      </c>
      <c r="H1692" s="3" t="str">
        <f>VLOOKUP(B1692,LifeList!$E$2:$I$2038,5)</f>
        <v>Thraupidae (Tanagers and Allies)</v>
      </c>
      <c r="I1692" s="3"/>
    </row>
    <row r="1693" spans="1:9" ht="10.5" customHeight="1">
      <c r="A1693" s="3" t="s">
        <v>2419</v>
      </c>
      <c r="B1693" s="3" t="s">
        <v>2420</v>
      </c>
      <c r="C1693" s="3">
        <f>VLOOKUP(B1693,LifeList!$E$2:$J$2038,6)</f>
        <v>5837</v>
      </c>
      <c r="D1693" s="3" t="str">
        <f>VLOOKUP(B1693,LifeList!$E$2:$G$2038,1)</f>
        <v>Hooded Plover</v>
      </c>
      <c r="E1693" s="3" t="str">
        <f>VLOOKUP(B1693,LifeList!$E$2:$G$2038,2)</f>
        <v>Pluvier à camail</v>
      </c>
      <c r="F1693" s="3" t="str">
        <f>VLOOKUP(B1693,LifeList!$E$2:$G$2038,3)</f>
        <v>Thinornis cucullatus</v>
      </c>
      <c r="G1693" s="3" t="str">
        <f>VLOOKUP(B1693,LifeList!$E$2:$I$2038,4)</f>
        <v>Charadriiformes</v>
      </c>
      <c r="H1693" s="3" t="str">
        <f>VLOOKUP(B1693,LifeList!$E$2:$I$2038,5)</f>
        <v>Charadriidae (Plovers and Lapwings)</v>
      </c>
      <c r="I1693" s="3"/>
    </row>
    <row r="1694" spans="1:9" ht="10.5" customHeight="1">
      <c r="A1694" s="7" t="s">
        <v>2421</v>
      </c>
      <c r="B1694" s="9" t="s">
        <v>2422</v>
      </c>
      <c r="C1694" s="3">
        <f>VLOOKUP(B1694,LifeList!$E$2:$J$2038,6)</f>
        <v>21834</v>
      </c>
      <c r="D1694" s="3" t="str">
        <f>VLOOKUP(B1694,LifeList!$E$2:$G$2038,1)</f>
        <v>Hooded Robin</v>
      </c>
      <c r="E1694" s="3" t="str">
        <f>VLOOKUP(B1694,LifeList!$E$2:$G$2038,2)</f>
        <v>Miro à capuchon</v>
      </c>
      <c r="F1694" s="3" t="str">
        <f>VLOOKUP(B1694,LifeList!$E$2:$G$2038,3)</f>
        <v>Melanodryas cucullata</v>
      </c>
      <c r="G1694" s="3" t="str">
        <f>VLOOKUP(B1694,LifeList!$E$2:$I$2038,4)</f>
        <v>Passeriformes</v>
      </c>
      <c r="H1694" s="3" t="str">
        <f>VLOOKUP(B1694,LifeList!$E$2:$I$2038,5)</f>
        <v>Petroicidae (Australasian Robins)</v>
      </c>
      <c r="I1694" s="3"/>
    </row>
    <row r="1695" spans="1:9" ht="10.5" customHeight="1">
      <c r="A1695" s="7" t="s">
        <v>2423</v>
      </c>
      <c r="B1695" s="9" t="s">
        <v>2422</v>
      </c>
      <c r="C1695" s="3">
        <f>VLOOKUP(B1695,LifeList!$E$2:$J$2038,6)</f>
        <v>21834</v>
      </c>
      <c r="D1695" s="3" t="str">
        <f>VLOOKUP(B1695,LifeList!$E$2:$G$2038,1)</f>
        <v>Hooded Robin</v>
      </c>
      <c r="E1695" s="3" t="str">
        <f>VLOOKUP(B1695,LifeList!$E$2:$G$2038,2)</f>
        <v>Miro à capuchon</v>
      </c>
      <c r="F1695" s="3" t="str">
        <f>VLOOKUP(B1695,LifeList!$E$2:$G$2038,3)</f>
        <v>Melanodryas cucullata</v>
      </c>
      <c r="G1695" s="3" t="str">
        <f>VLOOKUP(B1695,LifeList!$E$2:$I$2038,4)</f>
        <v>Passeriformes</v>
      </c>
      <c r="H1695" s="3" t="str">
        <f>VLOOKUP(B1695,LifeList!$E$2:$I$2038,5)</f>
        <v>Petroicidae (Australasian Robins)</v>
      </c>
      <c r="I1695" s="3"/>
    </row>
    <row r="1696" spans="1:9" ht="10.5" customHeight="1">
      <c r="A1696" s="3" t="s">
        <v>2424</v>
      </c>
      <c r="B1696" s="3" t="s">
        <v>2425</v>
      </c>
      <c r="C1696" s="3">
        <f>VLOOKUP(B1696,LifeList!$E$2:$J$2038,6)</f>
        <v>7935</v>
      </c>
      <c r="D1696" s="3" t="str">
        <f>VLOOKUP(B1696,LifeList!$E$2:$G$2038,1)</f>
        <v>Hooded Vulture</v>
      </c>
      <c r="E1696" s="3" t="str">
        <f>VLOOKUP(B1696,LifeList!$E$2:$G$2038,2)</f>
        <v>Vautour charognard</v>
      </c>
      <c r="F1696" s="3" t="str">
        <f>VLOOKUP(B1696,LifeList!$E$2:$G$2038,3)</f>
        <v>Necrosyrtes monachus</v>
      </c>
      <c r="G1696" s="3" t="str">
        <f>VLOOKUP(B1696,LifeList!$E$2:$I$2038,4)</f>
        <v>Accipitriformes</v>
      </c>
      <c r="H1696" s="3" t="str">
        <f>VLOOKUP(B1696,LifeList!$E$2:$I$2038,5)</f>
        <v>Accipitridae (Hawks, Eagles, and Kites)</v>
      </c>
      <c r="I1696" s="3"/>
    </row>
    <row r="1697" spans="1:9" ht="10.5" customHeight="1">
      <c r="A1697" s="3" t="s">
        <v>2426</v>
      </c>
      <c r="B1697" s="3" t="s">
        <v>2425</v>
      </c>
      <c r="C1697" s="3">
        <f>VLOOKUP(B1697,LifeList!$E$2:$J$2038,6)</f>
        <v>7935</v>
      </c>
      <c r="D1697" s="3" t="str">
        <f>VLOOKUP(B1697,LifeList!$E$2:$G$2038,1)</f>
        <v>Hooded Vulture</v>
      </c>
      <c r="E1697" s="3" t="str">
        <f>VLOOKUP(B1697,LifeList!$E$2:$G$2038,2)</f>
        <v>Vautour charognard</v>
      </c>
      <c r="F1697" s="3" t="str">
        <f>VLOOKUP(B1697,LifeList!$E$2:$G$2038,3)</f>
        <v>Necrosyrtes monachus</v>
      </c>
      <c r="G1697" s="3" t="str">
        <f>VLOOKUP(B1697,LifeList!$E$2:$I$2038,4)</f>
        <v>Accipitriformes</v>
      </c>
      <c r="H1697" s="3" t="str">
        <f>VLOOKUP(B1697,LifeList!$E$2:$I$2038,5)</f>
        <v>Accipitridae (Hawks, Eagles, and Kites)</v>
      </c>
      <c r="I1697" s="3"/>
    </row>
    <row r="1698" spans="1:9" ht="10.5" customHeight="1">
      <c r="A1698" s="3" t="s">
        <v>2427</v>
      </c>
      <c r="B1698" s="3" t="s">
        <v>2425</v>
      </c>
      <c r="C1698" s="3">
        <f>VLOOKUP(B1698,LifeList!$E$2:$J$2038,6)</f>
        <v>7935</v>
      </c>
      <c r="D1698" s="3" t="str">
        <f>VLOOKUP(B1698,LifeList!$E$2:$G$2038,1)</f>
        <v>Hooded Vulture</v>
      </c>
      <c r="E1698" s="3" t="str">
        <f>VLOOKUP(B1698,LifeList!$E$2:$G$2038,2)</f>
        <v>Vautour charognard</v>
      </c>
      <c r="F1698" s="3" t="str">
        <f>VLOOKUP(B1698,LifeList!$E$2:$G$2038,3)</f>
        <v>Necrosyrtes monachus</v>
      </c>
      <c r="G1698" s="3" t="str">
        <f>VLOOKUP(B1698,LifeList!$E$2:$I$2038,4)</f>
        <v>Accipitriformes</v>
      </c>
      <c r="H1698" s="3" t="str">
        <f>VLOOKUP(B1698,LifeList!$E$2:$I$2038,5)</f>
        <v>Accipitridae (Hawks, Eagles, and Kites)</v>
      </c>
      <c r="I1698" s="3"/>
    </row>
    <row r="1699" spans="1:9" ht="10.5" customHeight="1">
      <c r="A1699" s="3" t="s">
        <v>2428</v>
      </c>
      <c r="B1699" s="3" t="s">
        <v>2429</v>
      </c>
      <c r="C1699" s="3">
        <f>VLOOKUP(B1699,LifeList!$E$2:$J$2038,6)</f>
        <v>34057</v>
      </c>
      <c r="D1699" s="3" t="str">
        <f>VLOOKUP(B1699,LifeList!$E$2:$G$2038,1)</f>
        <v>Hooded Warbler</v>
      </c>
      <c r="E1699" s="3" t="str">
        <f>VLOOKUP(B1699,LifeList!$E$2:$G$2038,2)</f>
        <v>Paruline à capuchon</v>
      </c>
      <c r="F1699" s="3" t="str">
        <f>VLOOKUP(B1699,LifeList!$E$2:$G$2038,3)</f>
        <v>Setophaga citrina</v>
      </c>
      <c r="G1699" s="3" t="str">
        <f>VLOOKUP(B1699,LifeList!$E$2:$I$2038,4)</f>
        <v>Passeriformes</v>
      </c>
      <c r="H1699" s="3" t="str">
        <f>VLOOKUP(B1699,LifeList!$E$2:$I$2038,5)</f>
        <v>Parulidae (New World Warblers)</v>
      </c>
      <c r="I1699" s="3"/>
    </row>
    <row r="1700" spans="1:9" ht="10.5" customHeight="1">
      <c r="A1700" s="3" t="s">
        <v>2430</v>
      </c>
      <c r="B1700" s="3" t="s">
        <v>2429</v>
      </c>
      <c r="C1700" s="3">
        <f>VLOOKUP(B1700,LifeList!$E$2:$J$2038,6)</f>
        <v>34057</v>
      </c>
      <c r="D1700" s="3" t="str">
        <f>VLOOKUP(B1700,LifeList!$E$2:$G$2038,1)</f>
        <v>Hooded Warbler</v>
      </c>
      <c r="E1700" s="3" t="str">
        <f>VLOOKUP(B1700,LifeList!$E$2:$G$2038,2)</f>
        <v>Paruline à capuchon</v>
      </c>
      <c r="F1700" s="3" t="str">
        <f>VLOOKUP(B1700,LifeList!$E$2:$G$2038,3)</f>
        <v>Setophaga citrina</v>
      </c>
      <c r="G1700" s="3" t="str">
        <f>VLOOKUP(B1700,LifeList!$E$2:$I$2038,4)</f>
        <v>Passeriformes</v>
      </c>
      <c r="H1700" s="3" t="str">
        <f>VLOOKUP(B1700,LifeList!$E$2:$I$2038,5)</f>
        <v>Parulidae (New World Warblers)</v>
      </c>
      <c r="I1700" s="3"/>
    </row>
    <row r="1701" spans="1:9" ht="10.5" customHeight="1">
      <c r="A1701" s="3" t="s">
        <v>2431</v>
      </c>
      <c r="B1701" s="3" t="s">
        <v>2429</v>
      </c>
      <c r="C1701" s="3">
        <f>VLOOKUP(B1701,LifeList!$E$2:$J$2038,6)</f>
        <v>34057</v>
      </c>
      <c r="D1701" s="3" t="str">
        <f>VLOOKUP(B1701,LifeList!$E$2:$G$2038,1)</f>
        <v>Hooded Warbler</v>
      </c>
      <c r="E1701" s="3" t="str">
        <f>VLOOKUP(B1701,LifeList!$E$2:$G$2038,2)</f>
        <v>Paruline à capuchon</v>
      </c>
      <c r="F1701" s="3" t="str">
        <f>VLOOKUP(B1701,LifeList!$E$2:$G$2038,3)</f>
        <v>Setophaga citrina</v>
      </c>
      <c r="G1701" s="3" t="str">
        <f>VLOOKUP(B1701,LifeList!$E$2:$I$2038,4)</f>
        <v>Passeriformes</v>
      </c>
      <c r="H1701" s="3" t="str">
        <f>VLOOKUP(B1701,LifeList!$E$2:$I$2038,5)</f>
        <v>Parulidae (New World Warblers)</v>
      </c>
      <c r="I1701" s="3"/>
    </row>
    <row r="1702" spans="1:9" ht="10.5" customHeight="1">
      <c r="A1702" s="3" t="s">
        <v>2432</v>
      </c>
      <c r="B1702" s="3" t="s">
        <v>2429</v>
      </c>
      <c r="C1702" s="3">
        <f>VLOOKUP(B1702,LifeList!$E$2:$J$2038,6)</f>
        <v>34057</v>
      </c>
      <c r="D1702" s="3" t="str">
        <f>VLOOKUP(B1702,LifeList!$E$2:$G$2038,1)</f>
        <v>Hooded Warbler</v>
      </c>
      <c r="E1702" s="3" t="str">
        <f>VLOOKUP(B1702,LifeList!$E$2:$G$2038,2)</f>
        <v>Paruline à capuchon</v>
      </c>
      <c r="F1702" s="3" t="str">
        <f>VLOOKUP(B1702,LifeList!$E$2:$G$2038,3)</f>
        <v>Setophaga citrina</v>
      </c>
      <c r="G1702" s="3" t="str">
        <f>VLOOKUP(B1702,LifeList!$E$2:$I$2038,4)</f>
        <v>Passeriformes</v>
      </c>
      <c r="H1702" s="3" t="str">
        <f>VLOOKUP(B1702,LifeList!$E$2:$I$2038,5)</f>
        <v>Parulidae (New World Warblers)</v>
      </c>
      <c r="I1702" s="3"/>
    </row>
    <row r="1703" spans="1:9" ht="10.5" customHeight="1">
      <c r="A1703" s="3" t="s">
        <v>2433</v>
      </c>
      <c r="B1703" s="3" t="s">
        <v>2429</v>
      </c>
      <c r="C1703" s="3">
        <f>VLOOKUP(B1703,LifeList!$E$2:$J$2038,6)</f>
        <v>34057</v>
      </c>
      <c r="D1703" s="3" t="str">
        <f>VLOOKUP(B1703,LifeList!$E$2:$G$2038,1)</f>
        <v>Hooded Warbler</v>
      </c>
      <c r="E1703" s="3" t="str">
        <f>VLOOKUP(B1703,LifeList!$E$2:$G$2038,2)</f>
        <v>Paruline à capuchon</v>
      </c>
      <c r="F1703" s="3" t="str">
        <f>VLOOKUP(B1703,LifeList!$E$2:$G$2038,3)</f>
        <v>Setophaga citrina</v>
      </c>
      <c r="G1703" s="3" t="str">
        <f>VLOOKUP(B1703,LifeList!$E$2:$I$2038,4)</f>
        <v>Passeriformes</v>
      </c>
      <c r="H1703" s="3" t="str">
        <f>VLOOKUP(B1703,LifeList!$E$2:$I$2038,5)</f>
        <v>Parulidae (New World Warblers)</v>
      </c>
      <c r="I1703" s="3"/>
    </row>
    <row r="1704" spans="1:9" ht="10.5" customHeight="1">
      <c r="A1704" s="3" t="s">
        <v>2434</v>
      </c>
      <c r="B1704" s="3" t="s">
        <v>2429</v>
      </c>
      <c r="C1704" s="3">
        <f>VLOOKUP(B1704,LifeList!$E$2:$J$2038,6)</f>
        <v>34057</v>
      </c>
      <c r="D1704" s="3" t="str">
        <f>VLOOKUP(B1704,LifeList!$E$2:$G$2038,1)</f>
        <v>Hooded Warbler</v>
      </c>
      <c r="E1704" s="3" t="str">
        <f>VLOOKUP(B1704,LifeList!$E$2:$G$2038,2)</f>
        <v>Paruline à capuchon</v>
      </c>
      <c r="F1704" s="3" t="str">
        <f>VLOOKUP(B1704,LifeList!$E$2:$G$2038,3)</f>
        <v>Setophaga citrina</v>
      </c>
      <c r="G1704" s="3" t="str">
        <f>VLOOKUP(B1704,LifeList!$E$2:$I$2038,4)</f>
        <v>Passeriformes</v>
      </c>
      <c r="H1704" s="3" t="str">
        <f>VLOOKUP(B1704,LifeList!$E$2:$I$2038,5)</f>
        <v>Parulidae (New World Warblers)</v>
      </c>
      <c r="I1704" s="3"/>
    </row>
    <row r="1705" spans="1:9" ht="10.5" customHeight="1">
      <c r="A1705" s="3" t="s">
        <v>2435</v>
      </c>
      <c r="B1705" s="3" t="s">
        <v>2429</v>
      </c>
      <c r="C1705" s="3">
        <f>VLOOKUP(B1705,LifeList!$E$2:$J$2038,6)</f>
        <v>34057</v>
      </c>
      <c r="D1705" s="3" t="str">
        <f>VLOOKUP(B1705,LifeList!$E$2:$G$2038,1)</f>
        <v>Hooded Warbler</v>
      </c>
      <c r="E1705" s="3" t="str">
        <f>VLOOKUP(B1705,LifeList!$E$2:$G$2038,2)</f>
        <v>Paruline à capuchon</v>
      </c>
      <c r="F1705" s="3" t="str">
        <f>VLOOKUP(B1705,LifeList!$E$2:$G$2038,3)</f>
        <v>Setophaga citrina</v>
      </c>
      <c r="G1705" s="3" t="str">
        <f>VLOOKUP(B1705,LifeList!$E$2:$I$2038,4)</f>
        <v>Passeriformes</v>
      </c>
      <c r="H1705" s="3" t="str">
        <f>VLOOKUP(B1705,LifeList!$E$2:$I$2038,5)</f>
        <v>Parulidae (New World Warblers)</v>
      </c>
      <c r="I1705" s="3"/>
    </row>
    <row r="1706" spans="1:9" ht="10.5" customHeight="1">
      <c r="A1706" s="3" t="s">
        <v>2436</v>
      </c>
      <c r="B1706" s="3" t="s">
        <v>2429</v>
      </c>
      <c r="C1706" s="3">
        <f>VLOOKUP(B1706,LifeList!$E$2:$J$2038,6)</f>
        <v>34057</v>
      </c>
      <c r="D1706" s="3" t="str">
        <f>VLOOKUP(B1706,LifeList!$E$2:$G$2038,1)</f>
        <v>Hooded Warbler</v>
      </c>
      <c r="E1706" s="3" t="str">
        <f>VLOOKUP(B1706,LifeList!$E$2:$G$2038,2)</f>
        <v>Paruline à capuchon</v>
      </c>
      <c r="F1706" s="3" t="str">
        <f>VLOOKUP(B1706,LifeList!$E$2:$G$2038,3)</f>
        <v>Setophaga citrina</v>
      </c>
      <c r="G1706" s="3" t="str">
        <f>VLOOKUP(B1706,LifeList!$E$2:$I$2038,4)</f>
        <v>Passeriformes</v>
      </c>
      <c r="H1706" s="3" t="str">
        <f>VLOOKUP(B1706,LifeList!$E$2:$I$2038,5)</f>
        <v>Parulidae (New World Warblers)</v>
      </c>
      <c r="I1706" s="3"/>
    </row>
    <row r="1707" spans="1:9" ht="10.5" customHeight="1">
      <c r="A1707" s="3" t="s">
        <v>2437</v>
      </c>
      <c r="B1707" s="3" t="s">
        <v>2429</v>
      </c>
      <c r="C1707" s="3">
        <f>VLOOKUP(B1707,LifeList!$E$2:$J$2038,6)</f>
        <v>34057</v>
      </c>
      <c r="D1707" s="3" t="str">
        <f>VLOOKUP(B1707,LifeList!$E$2:$G$2038,1)</f>
        <v>Hooded Warbler</v>
      </c>
      <c r="E1707" s="3" t="str">
        <f>VLOOKUP(B1707,LifeList!$E$2:$G$2038,2)</f>
        <v>Paruline à capuchon</v>
      </c>
      <c r="F1707" s="3" t="str">
        <f>VLOOKUP(B1707,LifeList!$E$2:$G$2038,3)</f>
        <v>Setophaga citrina</v>
      </c>
      <c r="G1707" s="3" t="str">
        <f>VLOOKUP(B1707,LifeList!$E$2:$I$2038,4)</f>
        <v>Passeriformes</v>
      </c>
      <c r="H1707" s="3" t="str">
        <f>VLOOKUP(B1707,LifeList!$E$2:$I$2038,5)</f>
        <v>Parulidae (New World Warblers)</v>
      </c>
      <c r="I1707" s="3"/>
    </row>
    <row r="1708" spans="1:9" ht="10.5" customHeight="1">
      <c r="A1708" s="3" t="s">
        <v>2438</v>
      </c>
      <c r="B1708" s="3" t="s">
        <v>2439</v>
      </c>
      <c r="C1708" s="3">
        <f>VLOOKUP(B1708,LifeList!$E$2:$J$2038,6)</f>
        <v>7867</v>
      </c>
      <c r="D1708" s="3" t="str">
        <f>VLOOKUP(B1708,LifeList!$E$2:$G$2038,1)</f>
        <v>Hook-billed Kite</v>
      </c>
      <c r="E1708" s="3" t="str">
        <f>VLOOKUP(B1708,LifeList!$E$2:$G$2038,2)</f>
        <v>Bec-en-croc de Temminck</v>
      </c>
      <c r="F1708" s="3" t="str">
        <f>VLOOKUP(B1708,LifeList!$E$2:$G$2038,3)</f>
        <v>Chondrohierax uncinatus</v>
      </c>
      <c r="G1708" s="3" t="str">
        <f>VLOOKUP(B1708,LifeList!$E$2:$I$2038,4)</f>
        <v>Accipitriformes</v>
      </c>
      <c r="H1708" s="3" t="str">
        <f>VLOOKUP(B1708,LifeList!$E$2:$I$2038,5)</f>
        <v>Accipitridae (Hawks, Eagles, and Kites)</v>
      </c>
      <c r="I1708" s="3"/>
    </row>
    <row r="1709" spans="1:9" ht="10.5" customHeight="1">
      <c r="A1709" s="3" t="s">
        <v>2440</v>
      </c>
      <c r="B1709" s="3" t="s">
        <v>2439</v>
      </c>
      <c r="C1709" s="3">
        <f>VLOOKUP(B1709,LifeList!$E$2:$J$2038,6)</f>
        <v>7867</v>
      </c>
      <c r="D1709" s="3" t="str">
        <f>VLOOKUP(B1709,LifeList!$E$2:$G$2038,1)</f>
        <v>Hook-billed Kite</v>
      </c>
      <c r="E1709" s="3" t="str">
        <f>VLOOKUP(B1709,LifeList!$E$2:$G$2038,2)</f>
        <v>Bec-en-croc de Temminck</v>
      </c>
      <c r="F1709" s="3" t="str">
        <f>VLOOKUP(B1709,LifeList!$E$2:$G$2038,3)</f>
        <v>Chondrohierax uncinatus</v>
      </c>
      <c r="G1709" s="3" t="str">
        <f>VLOOKUP(B1709,LifeList!$E$2:$I$2038,4)</f>
        <v>Accipitriformes</v>
      </c>
      <c r="H1709" s="3" t="str">
        <f>VLOOKUP(B1709,LifeList!$E$2:$I$2038,5)</f>
        <v>Accipitridae (Hawks, Eagles, and Kites)</v>
      </c>
      <c r="I1709" s="3"/>
    </row>
    <row r="1710" spans="1:9" ht="10.5" customHeight="1">
      <c r="A1710" s="3" t="s">
        <v>2441</v>
      </c>
      <c r="B1710" s="3" t="s">
        <v>2442</v>
      </c>
      <c r="C1710" s="3">
        <f>VLOOKUP(B1710,LifeList!$E$2:$J$2038,6)</f>
        <v>19991</v>
      </c>
      <c r="D1710" s="3" t="str">
        <f>VLOOKUP(B1710,LifeList!$E$2:$G$2038,1)</f>
        <v>Hook-billed Vanga</v>
      </c>
      <c r="E1710" s="3" t="str">
        <f>VLOOKUP(B1710,LifeList!$E$2:$G$2038,2)</f>
        <v>Vanga écorcheur</v>
      </c>
      <c r="F1710" s="3" t="str">
        <f>VLOOKUP(B1710,LifeList!$E$2:$G$2038,3)</f>
        <v>Vanga curvirostris</v>
      </c>
      <c r="G1710" s="3" t="str">
        <f>VLOOKUP(B1710,LifeList!$E$2:$I$2038,4)</f>
        <v>Passeriformes</v>
      </c>
      <c r="H1710" s="3" t="str">
        <f>VLOOKUP(B1710,LifeList!$E$2:$I$2038,5)</f>
        <v>Vangidae (Vangas, Helmetshrikes, and Allies)</v>
      </c>
      <c r="I1710" s="3"/>
    </row>
    <row r="1711" spans="1:9" ht="10.5" customHeight="1">
      <c r="A1711" s="3" t="s">
        <v>2443</v>
      </c>
      <c r="B1711" s="3" t="s">
        <v>2442</v>
      </c>
      <c r="C1711" s="3">
        <f>VLOOKUP(B1711,LifeList!$E$2:$J$2038,6)</f>
        <v>19991</v>
      </c>
      <c r="D1711" s="3" t="str">
        <f>VLOOKUP(B1711,LifeList!$E$2:$G$2038,1)</f>
        <v>Hook-billed Vanga</v>
      </c>
      <c r="E1711" s="3" t="str">
        <f>VLOOKUP(B1711,LifeList!$E$2:$G$2038,2)</f>
        <v>Vanga écorcheur</v>
      </c>
      <c r="F1711" s="3" t="str">
        <f>VLOOKUP(B1711,LifeList!$E$2:$G$2038,3)</f>
        <v>Vanga curvirostris</v>
      </c>
      <c r="G1711" s="3" t="str">
        <f>VLOOKUP(B1711,LifeList!$E$2:$I$2038,4)</f>
        <v>Passeriformes</v>
      </c>
      <c r="H1711" s="3" t="str">
        <f>VLOOKUP(B1711,LifeList!$E$2:$I$2038,5)</f>
        <v>Vangidae (Vangas, Helmetshrikes, and Allies)</v>
      </c>
      <c r="I1711" s="3"/>
    </row>
    <row r="1712" spans="1:9" ht="10.5" customHeight="1">
      <c r="A1712" s="3" t="s">
        <v>2444</v>
      </c>
      <c r="B1712" s="3" t="s">
        <v>2442</v>
      </c>
      <c r="C1712" s="3">
        <f>VLOOKUP(B1712,LifeList!$E$2:$J$2038,6)</f>
        <v>19991</v>
      </c>
      <c r="D1712" s="3" t="str">
        <f>VLOOKUP(B1712,LifeList!$E$2:$G$2038,1)</f>
        <v>Hook-billed Vanga</v>
      </c>
      <c r="E1712" s="3" t="str">
        <f>VLOOKUP(B1712,LifeList!$E$2:$G$2038,2)</f>
        <v>Vanga écorcheur</v>
      </c>
      <c r="F1712" s="3" t="str">
        <f>VLOOKUP(B1712,LifeList!$E$2:$G$2038,3)</f>
        <v>Vanga curvirostris</v>
      </c>
      <c r="G1712" s="3" t="str">
        <f>VLOOKUP(B1712,LifeList!$E$2:$I$2038,4)</f>
        <v>Passeriformes</v>
      </c>
      <c r="H1712" s="3" t="str">
        <f>VLOOKUP(B1712,LifeList!$E$2:$I$2038,5)</f>
        <v>Vangidae (Vangas, Helmetshrikes, and Allies)</v>
      </c>
      <c r="I1712" s="3"/>
    </row>
    <row r="1713" spans="1:9" ht="10.5" customHeight="1">
      <c r="A1713" s="3" t="s">
        <v>2445</v>
      </c>
      <c r="B1713" s="3" t="s">
        <v>2446</v>
      </c>
      <c r="C1713" s="3">
        <f>VLOOKUP(B1713,LifeList!$E$2:$J$2038,6)</f>
        <v>6866</v>
      </c>
      <c r="D1713" s="3" t="str">
        <f>VLOOKUP(B1713,LifeList!$E$2:$G$2038,1)</f>
        <v>Horned Grebe</v>
      </c>
      <c r="E1713" s="3" t="str">
        <f>VLOOKUP(B1713,LifeList!$E$2:$G$2038,2)</f>
        <v>Grèbe esclavon</v>
      </c>
      <c r="F1713" s="3" t="str">
        <f>VLOOKUP(B1713,LifeList!$E$2:$G$2038,3)</f>
        <v>Podiceps auritus</v>
      </c>
      <c r="G1713" s="3" t="str">
        <f>VLOOKUP(B1713,LifeList!$E$2:$I$2038,4)</f>
        <v>Podicipediformes</v>
      </c>
      <c r="H1713" s="3" t="str">
        <f>VLOOKUP(B1713,LifeList!$E$2:$I$2038,5)</f>
        <v>Podicipedidae (Grebes)</v>
      </c>
      <c r="I1713" s="3"/>
    </row>
    <row r="1714" spans="1:9" ht="10.5" customHeight="1">
      <c r="A1714" s="3" t="s">
        <v>2447</v>
      </c>
      <c r="B1714" s="3" t="s">
        <v>2446</v>
      </c>
      <c r="C1714" s="3">
        <f>VLOOKUP(B1714,LifeList!$E$2:$J$2038,6)</f>
        <v>6866</v>
      </c>
      <c r="D1714" s="3" t="str">
        <f>VLOOKUP(B1714,LifeList!$E$2:$G$2038,1)</f>
        <v>Horned Grebe</v>
      </c>
      <c r="E1714" s="3" t="str">
        <f>VLOOKUP(B1714,LifeList!$E$2:$G$2038,2)</f>
        <v>Grèbe esclavon</v>
      </c>
      <c r="F1714" s="3" t="str">
        <f>VLOOKUP(B1714,LifeList!$E$2:$G$2038,3)</f>
        <v>Podiceps auritus</v>
      </c>
      <c r="G1714" s="3" t="str">
        <f>VLOOKUP(B1714,LifeList!$E$2:$I$2038,4)</f>
        <v>Podicipediformes</v>
      </c>
      <c r="H1714" s="3" t="str">
        <f>VLOOKUP(B1714,LifeList!$E$2:$I$2038,5)</f>
        <v>Podicipedidae (Grebes)</v>
      </c>
      <c r="I1714" s="3"/>
    </row>
    <row r="1715" spans="1:9" ht="10.5" customHeight="1">
      <c r="A1715" s="3" t="s">
        <v>2448</v>
      </c>
      <c r="B1715" s="3" t="s">
        <v>2446</v>
      </c>
      <c r="C1715" s="3">
        <f>VLOOKUP(B1715,LifeList!$E$2:$J$2038,6)</f>
        <v>6866</v>
      </c>
      <c r="D1715" s="3" t="str">
        <f>VLOOKUP(B1715,LifeList!$E$2:$G$2038,1)</f>
        <v>Horned Grebe</v>
      </c>
      <c r="E1715" s="3" t="str">
        <f>VLOOKUP(B1715,LifeList!$E$2:$G$2038,2)</f>
        <v>Grèbe esclavon</v>
      </c>
      <c r="F1715" s="3" t="str">
        <f>VLOOKUP(B1715,LifeList!$E$2:$G$2038,3)</f>
        <v>Podiceps auritus</v>
      </c>
      <c r="G1715" s="3" t="str">
        <f>VLOOKUP(B1715,LifeList!$E$2:$I$2038,4)</f>
        <v>Podicipediformes</v>
      </c>
      <c r="H1715" s="3" t="str">
        <f>VLOOKUP(B1715,LifeList!$E$2:$I$2038,5)</f>
        <v>Podicipedidae (Grebes)</v>
      </c>
      <c r="I1715" s="3"/>
    </row>
    <row r="1716" spans="1:9" ht="10.5" customHeight="1">
      <c r="A1716" s="3" t="s">
        <v>2449</v>
      </c>
      <c r="B1716" s="3" t="s">
        <v>2450</v>
      </c>
      <c r="C1716" s="3">
        <f>VLOOKUP(B1716,LifeList!$E$2:$J$2038,6)</f>
        <v>22710</v>
      </c>
      <c r="D1716" s="3" t="str">
        <f>VLOOKUP(B1716,LifeList!$E$2:$G$2038,1)</f>
        <v>Horned Lark</v>
      </c>
      <c r="E1716" s="3" t="str">
        <f>VLOOKUP(B1716,LifeList!$E$2:$G$2038,2)</f>
        <v>Alouette hausse-col</v>
      </c>
      <c r="F1716" s="3" t="str">
        <f>VLOOKUP(B1716,LifeList!$E$2:$G$2038,3)</f>
        <v>Eremophila alpestris</v>
      </c>
      <c r="G1716" s="3" t="str">
        <f>VLOOKUP(B1716,LifeList!$E$2:$I$2038,4)</f>
        <v>Passeriformes</v>
      </c>
      <c r="H1716" s="3" t="str">
        <f>VLOOKUP(B1716,LifeList!$E$2:$I$2038,5)</f>
        <v>Alaudidae (Larks)</v>
      </c>
      <c r="I1716" s="3"/>
    </row>
    <row r="1717" spans="1:9" ht="10.5" customHeight="1">
      <c r="A1717" s="3" t="s">
        <v>2451</v>
      </c>
      <c r="B1717" s="3" t="s">
        <v>2450</v>
      </c>
      <c r="C1717" s="3">
        <f>VLOOKUP(B1717,LifeList!$E$2:$J$2038,6)</f>
        <v>22710</v>
      </c>
      <c r="D1717" s="3" t="str">
        <f>VLOOKUP(B1717,LifeList!$E$2:$G$2038,1)</f>
        <v>Horned Lark</v>
      </c>
      <c r="E1717" s="3" t="str">
        <f>VLOOKUP(B1717,LifeList!$E$2:$G$2038,2)</f>
        <v>Alouette hausse-col</v>
      </c>
      <c r="F1717" s="3" t="str">
        <f>VLOOKUP(B1717,LifeList!$E$2:$G$2038,3)</f>
        <v>Eremophila alpestris</v>
      </c>
      <c r="G1717" s="3" t="str">
        <f>VLOOKUP(B1717,LifeList!$E$2:$I$2038,4)</f>
        <v>Passeriformes</v>
      </c>
      <c r="H1717" s="3" t="str">
        <f>VLOOKUP(B1717,LifeList!$E$2:$I$2038,5)</f>
        <v>Alaudidae (Larks)</v>
      </c>
      <c r="I1717" s="3"/>
    </row>
    <row r="1718" spans="1:9" ht="10.5" customHeight="1">
      <c r="A1718" s="3" t="s">
        <v>2452</v>
      </c>
      <c r="B1718" s="3" t="s">
        <v>2450</v>
      </c>
      <c r="C1718" s="3">
        <f>VLOOKUP(B1718,LifeList!$E$2:$J$2038,6)</f>
        <v>22710</v>
      </c>
      <c r="D1718" s="3" t="str">
        <f>VLOOKUP(B1718,LifeList!$E$2:$G$2038,1)</f>
        <v>Horned Lark</v>
      </c>
      <c r="E1718" s="3" t="str">
        <f>VLOOKUP(B1718,LifeList!$E$2:$G$2038,2)</f>
        <v>Alouette hausse-col</v>
      </c>
      <c r="F1718" s="3" t="str">
        <f>VLOOKUP(B1718,LifeList!$E$2:$G$2038,3)</f>
        <v>Eremophila alpestris</v>
      </c>
      <c r="G1718" s="3" t="str">
        <f>VLOOKUP(B1718,LifeList!$E$2:$I$2038,4)</f>
        <v>Passeriformes</v>
      </c>
      <c r="H1718" s="3" t="str">
        <f>VLOOKUP(B1718,LifeList!$E$2:$I$2038,5)</f>
        <v>Alaudidae (Larks)</v>
      </c>
      <c r="I1718" s="3"/>
    </row>
    <row r="1719" spans="1:9" ht="10.5" customHeight="1">
      <c r="A1719" s="7" t="s">
        <v>2453</v>
      </c>
      <c r="B1719" s="8" t="s">
        <v>2454</v>
      </c>
      <c r="C1719" s="3">
        <f>VLOOKUP(B1719,LifeList!$E$2:$J$2038,6)</f>
        <v>3315</v>
      </c>
      <c r="D1719" s="3" t="str">
        <f>VLOOKUP(B1719,LifeList!$E$2:$G$2038,1)</f>
        <v>Horsfield's Bronze-Cuckoo</v>
      </c>
      <c r="E1719" s="3" t="str">
        <f>VLOOKUP(B1719,LifeList!$E$2:$G$2038,2)</f>
        <v>Coucou de Horsfield</v>
      </c>
      <c r="F1719" s="3" t="str">
        <f>VLOOKUP(B1719,LifeList!$E$2:$G$2038,3)</f>
        <v>Chalcites basalis</v>
      </c>
      <c r="G1719" s="3" t="str">
        <f>VLOOKUP(B1719,LifeList!$E$2:$I$2038,4)</f>
        <v>Cuculiformes</v>
      </c>
      <c r="H1719" s="3" t="str">
        <f>VLOOKUP(B1719,LifeList!$E$2:$I$2038,5)</f>
        <v>Cuculidae (Cuckoos)</v>
      </c>
      <c r="I1719" s="3"/>
    </row>
    <row r="1720" spans="1:9" ht="10.5" customHeight="1">
      <c r="A1720" s="3" t="s">
        <v>2455</v>
      </c>
      <c r="B1720" s="3" t="s">
        <v>2456</v>
      </c>
      <c r="C1720" s="3">
        <f>VLOOKUP(B1720,LifeList!$E$2:$J$2038,6)</f>
        <v>32310</v>
      </c>
      <c r="D1720" s="3" t="str">
        <f>VLOOKUP(B1720,LifeList!$E$2:$G$2038,1)</f>
        <v>House Finch</v>
      </c>
      <c r="E1720" s="3" t="str">
        <f>VLOOKUP(B1720,LifeList!$E$2:$G$2038,2)</f>
        <v>Roselin familier</v>
      </c>
      <c r="F1720" s="3" t="str">
        <f>VLOOKUP(B1720,LifeList!$E$2:$G$2038,3)</f>
        <v>Haemorhous mexicanus</v>
      </c>
      <c r="G1720" s="3" t="str">
        <f>VLOOKUP(B1720,LifeList!$E$2:$I$2038,4)</f>
        <v>Passeriformes</v>
      </c>
      <c r="H1720" s="3" t="str">
        <f>VLOOKUP(B1720,LifeList!$E$2:$I$2038,5)</f>
        <v>Fringillidae (Finches, Euphonias, and Allies)</v>
      </c>
      <c r="I1720" s="3"/>
    </row>
    <row r="1721" spans="1:9" ht="10.5" customHeight="1">
      <c r="A1721" s="3" t="s">
        <v>2457</v>
      </c>
      <c r="B1721" s="3" t="s">
        <v>2456</v>
      </c>
      <c r="C1721" s="3">
        <f>VLOOKUP(B1721,LifeList!$E$2:$J$2038,6)</f>
        <v>32310</v>
      </c>
      <c r="D1721" s="3" t="str">
        <f>VLOOKUP(B1721,LifeList!$E$2:$G$2038,1)</f>
        <v>House Finch</v>
      </c>
      <c r="E1721" s="3" t="str">
        <f>VLOOKUP(B1721,LifeList!$E$2:$G$2038,2)</f>
        <v>Roselin familier</v>
      </c>
      <c r="F1721" s="3" t="str">
        <f>VLOOKUP(B1721,LifeList!$E$2:$G$2038,3)</f>
        <v>Haemorhous mexicanus</v>
      </c>
      <c r="G1721" s="3" t="str">
        <f>VLOOKUP(B1721,LifeList!$E$2:$I$2038,4)</f>
        <v>Passeriformes</v>
      </c>
      <c r="H1721" s="3" t="str">
        <f>VLOOKUP(B1721,LifeList!$E$2:$I$2038,5)</f>
        <v>Fringillidae (Finches, Euphonias, and Allies)</v>
      </c>
      <c r="I1721" s="3"/>
    </row>
    <row r="1722" spans="1:9" ht="10.5" customHeight="1">
      <c r="A1722" s="3" t="s">
        <v>2458</v>
      </c>
      <c r="B1722" s="3" t="s">
        <v>2456</v>
      </c>
      <c r="C1722" s="3">
        <f>VLOOKUP(B1722,LifeList!$E$2:$J$2038,6)</f>
        <v>32310</v>
      </c>
      <c r="D1722" s="3" t="str">
        <f>VLOOKUP(B1722,LifeList!$E$2:$G$2038,1)</f>
        <v>House Finch</v>
      </c>
      <c r="E1722" s="3" t="str">
        <f>VLOOKUP(B1722,LifeList!$E$2:$G$2038,2)</f>
        <v>Roselin familier</v>
      </c>
      <c r="F1722" s="3" t="str">
        <f>VLOOKUP(B1722,LifeList!$E$2:$G$2038,3)</f>
        <v>Haemorhous mexicanus</v>
      </c>
      <c r="G1722" s="3" t="str">
        <f>VLOOKUP(B1722,LifeList!$E$2:$I$2038,4)</f>
        <v>Passeriformes</v>
      </c>
      <c r="H1722" s="3" t="str">
        <f>VLOOKUP(B1722,LifeList!$E$2:$I$2038,5)</f>
        <v>Fringillidae (Finches, Euphonias, and Allies)</v>
      </c>
      <c r="I1722" s="3"/>
    </row>
    <row r="1723" spans="1:9" ht="10.5" customHeight="1">
      <c r="A1723" s="3" t="s">
        <v>2459</v>
      </c>
      <c r="B1723" s="3" t="s">
        <v>2456</v>
      </c>
      <c r="C1723" s="3">
        <f>VLOOKUP(B1723,LifeList!$E$2:$J$2038,6)</f>
        <v>32310</v>
      </c>
      <c r="D1723" s="3" t="str">
        <f>VLOOKUP(B1723,LifeList!$E$2:$G$2038,1)</f>
        <v>House Finch</v>
      </c>
      <c r="E1723" s="3" t="str">
        <f>VLOOKUP(B1723,LifeList!$E$2:$G$2038,2)</f>
        <v>Roselin familier</v>
      </c>
      <c r="F1723" s="3" t="str">
        <f>VLOOKUP(B1723,LifeList!$E$2:$G$2038,3)</f>
        <v>Haemorhous mexicanus</v>
      </c>
      <c r="G1723" s="3" t="str">
        <f>VLOOKUP(B1723,LifeList!$E$2:$I$2038,4)</f>
        <v>Passeriformes</v>
      </c>
      <c r="H1723" s="3" t="str">
        <f>VLOOKUP(B1723,LifeList!$E$2:$I$2038,5)</f>
        <v>Fringillidae (Finches, Euphonias, and Allies)</v>
      </c>
      <c r="I1723" s="3"/>
    </row>
    <row r="1724" spans="1:9" ht="10.5" customHeight="1">
      <c r="A1724" s="3" t="s">
        <v>2460</v>
      </c>
      <c r="B1724" s="3" t="s">
        <v>2456</v>
      </c>
      <c r="C1724" s="3">
        <f>VLOOKUP(B1724,LifeList!$E$2:$J$2038,6)</f>
        <v>32310</v>
      </c>
      <c r="D1724" s="3" t="str">
        <f>VLOOKUP(B1724,LifeList!$E$2:$G$2038,1)</f>
        <v>House Finch</v>
      </c>
      <c r="E1724" s="3" t="str">
        <f>VLOOKUP(B1724,LifeList!$E$2:$G$2038,2)</f>
        <v>Roselin familier</v>
      </c>
      <c r="F1724" s="3" t="str">
        <f>VLOOKUP(B1724,LifeList!$E$2:$G$2038,3)</f>
        <v>Haemorhous mexicanus</v>
      </c>
      <c r="G1724" s="3" t="str">
        <f>VLOOKUP(B1724,LifeList!$E$2:$I$2038,4)</f>
        <v>Passeriformes</v>
      </c>
      <c r="H1724" s="3" t="str">
        <f>VLOOKUP(B1724,LifeList!$E$2:$I$2038,5)</f>
        <v>Fringillidae (Finches, Euphonias, and Allies)</v>
      </c>
      <c r="I1724" s="3"/>
    </row>
    <row r="1725" spans="1:9" ht="10.5" customHeight="1">
      <c r="A1725" s="3" t="s">
        <v>2461</v>
      </c>
      <c r="B1725" s="3" t="s">
        <v>2462</v>
      </c>
      <c r="C1725" s="3">
        <f>VLOOKUP(B1725,LifeList!$E$2:$J$2038,6)</f>
        <v>31534</v>
      </c>
      <c r="D1725" s="3" t="str">
        <f>VLOOKUP(B1725,LifeList!$E$2:$G$2038,1)</f>
        <v>House Sparrow</v>
      </c>
      <c r="E1725" s="3" t="str">
        <f>VLOOKUP(B1725,LifeList!$E$2:$G$2038,2)</f>
        <v>Moineau domestique</v>
      </c>
      <c r="F1725" s="3" t="str">
        <f>VLOOKUP(B1725,LifeList!$E$2:$G$2038,3)</f>
        <v>Passer domesticus</v>
      </c>
      <c r="G1725" s="3" t="str">
        <f>VLOOKUP(B1725,LifeList!$E$2:$I$2038,4)</f>
        <v>Passeriformes</v>
      </c>
      <c r="H1725" s="3" t="str">
        <f>VLOOKUP(B1725,LifeList!$E$2:$I$2038,5)</f>
        <v>Passeridae (Old World Sparrows)</v>
      </c>
      <c r="I1725" s="3"/>
    </row>
    <row r="1726" spans="1:9" ht="10.5" customHeight="1">
      <c r="A1726" s="3" t="s">
        <v>2463</v>
      </c>
      <c r="B1726" s="3" t="s">
        <v>2462</v>
      </c>
      <c r="C1726" s="3">
        <f>VLOOKUP(B1726,LifeList!$E$2:$J$2038,6)</f>
        <v>31534</v>
      </c>
      <c r="D1726" s="3" t="str">
        <f>VLOOKUP(B1726,LifeList!$E$2:$G$2038,1)</f>
        <v>House Sparrow</v>
      </c>
      <c r="E1726" s="3" t="str">
        <f>VLOOKUP(B1726,LifeList!$E$2:$G$2038,2)</f>
        <v>Moineau domestique</v>
      </c>
      <c r="F1726" s="3" t="str">
        <f>VLOOKUP(B1726,LifeList!$E$2:$G$2038,3)</f>
        <v>Passer domesticus</v>
      </c>
      <c r="G1726" s="3" t="str">
        <f>VLOOKUP(B1726,LifeList!$E$2:$I$2038,4)</f>
        <v>Passeriformes</v>
      </c>
      <c r="H1726" s="3" t="str">
        <f>VLOOKUP(B1726,LifeList!$E$2:$I$2038,5)</f>
        <v>Passeridae (Old World Sparrows)</v>
      </c>
      <c r="I1726" s="3"/>
    </row>
    <row r="1727" spans="1:9" ht="10.5" customHeight="1">
      <c r="A1727" s="3" t="s">
        <v>2464</v>
      </c>
      <c r="B1727" s="3" t="s">
        <v>2462</v>
      </c>
      <c r="C1727" s="3">
        <f>VLOOKUP(B1727,LifeList!$E$2:$J$2038,6)</f>
        <v>31534</v>
      </c>
      <c r="D1727" s="3" t="str">
        <f>VLOOKUP(B1727,LifeList!$E$2:$G$2038,1)</f>
        <v>House Sparrow</v>
      </c>
      <c r="E1727" s="3" t="str">
        <f>VLOOKUP(B1727,LifeList!$E$2:$G$2038,2)</f>
        <v>Moineau domestique</v>
      </c>
      <c r="F1727" s="3" t="str">
        <f>VLOOKUP(B1727,LifeList!$E$2:$G$2038,3)</f>
        <v>Passer domesticus</v>
      </c>
      <c r="G1727" s="3" t="str">
        <f>VLOOKUP(B1727,LifeList!$E$2:$I$2038,4)</f>
        <v>Passeriformes</v>
      </c>
      <c r="H1727" s="3" t="str">
        <f>VLOOKUP(B1727,LifeList!$E$2:$I$2038,5)</f>
        <v>Passeridae (Old World Sparrows)</v>
      </c>
      <c r="I1727" s="3"/>
    </row>
    <row r="1728" spans="1:9" ht="10.5" customHeight="1">
      <c r="A1728" s="5" t="s">
        <v>2465</v>
      </c>
      <c r="B1728" s="3" t="s">
        <v>2466</v>
      </c>
      <c r="C1728" s="3">
        <f>VLOOKUP(B1728,LifeList!$E$2:$J$2038,6)</f>
        <v>6048</v>
      </c>
      <c r="D1728" s="3" t="str">
        <f>VLOOKUP(B1728,LifeList!$E$2:$G$2038,1)</f>
        <v>Hudsonian Godwit</v>
      </c>
      <c r="E1728" s="3" t="str">
        <f>VLOOKUP(B1728,LifeList!$E$2:$G$2038,2)</f>
        <v>Barge hudsonienne</v>
      </c>
      <c r="F1728" s="3" t="str">
        <f>VLOOKUP(B1728,LifeList!$E$2:$G$2038,3)</f>
        <v>Limosa haemastica</v>
      </c>
      <c r="G1728" s="3" t="str">
        <f>VLOOKUP(B1728,LifeList!$E$2:$I$2038,4)</f>
        <v>Charadriiformes</v>
      </c>
      <c r="H1728" s="3" t="str">
        <f>VLOOKUP(B1728,LifeList!$E$2:$I$2038,5)</f>
        <v>Scolopacidae (Sandpipers and Allies)</v>
      </c>
      <c r="I1728" s="3"/>
    </row>
    <row r="1729" spans="1:9" ht="10.5" customHeight="1">
      <c r="A1729" s="3" t="s">
        <v>2467</v>
      </c>
      <c r="B1729" s="3" t="s">
        <v>2468</v>
      </c>
      <c r="C1729" s="3">
        <f>VLOOKUP(B1729,LifeList!$E$2:$J$2038,6)</f>
        <v>6048</v>
      </c>
      <c r="D1729" s="3" t="str">
        <f>VLOOKUP(B1729,LifeList!$E$2:$G$2038,1)</f>
        <v>Hudsonian Godwit</v>
      </c>
      <c r="E1729" s="3" t="str">
        <f>VLOOKUP(B1729,LifeList!$E$2:$G$2038,2)</f>
        <v>Barge hudsonienne</v>
      </c>
      <c r="F1729" s="3" t="str">
        <f>VLOOKUP(B1729,LifeList!$E$2:$G$2038,3)</f>
        <v>Limosa haemastica</v>
      </c>
      <c r="G1729" s="3" t="str">
        <f>VLOOKUP(B1729,LifeList!$E$2:$I$2038,4)</f>
        <v>Charadriiformes</v>
      </c>
      <c r="H1729" s="3" t="str">
        <f>VLOOKUP(B1729,LifeList!$E$2:$I$2038,5)</f>
        <v>Scolopacidae (Sandpipers and Allies)</v>
      </c>
      <c r="I1729" s="3"/>
    </row>
    <row r="1730" spans="1:9" ht="10.5" customHeight="1">
      <c r="A1730" s="3" t="s">
        <v>2469</v>
      </c>
      <c r="B1730" s="3" t="s">
        <v>2468</v>
      </c>
      <c r="C1730" s="3">
        <f>VLOOKUP(B1730,LifeList!$E$2:$J$2038,6)</f>
        <v>6048</v>
      </c>
      <c r="D1730" s="3" t="str">
        <f>VLOOKUP(B1730,LifeList!$E$2:$G$2038,1)</f>
        <v>Hudsonian Godwit</v>
      </c>
      <c r="E1730" s="3" t="str">
        <f>VLOOKUP(B1730,LifeList!$E$2:$G$2038,2)</f>
        <v>Barge hudsonienne</v>
      </c>
      <c r="F1730" s="3" t="str">
        <f>VLOOKUP(B1730,LifeList!$E$2:$G$2038,3)</f>
        <v>Limosa haemastica</v>
      </c>
      <c r="G1730" s="3" t="str">
        <f>VLOOKUP(B1730,LifeList!$E$2:$I$2038,4)</f>
        <v>Charadriiformes</v>
      </c>
      <c r="H1730" s="3" t="str">
        <f>VLOOKUP(B1730,LifeList!$E$2:$I$2038,5)</f>
        <v>Scolopacidae (Sandpipers and Allies)</v>
      </c>
      <c r="I1730" s="3"/>
    </row>
    <row r="1731" spans="1:9" ht="10.5" customHeight="1">
      <c r="A1731" s="7" t="s">
        <v>2470</v>
      </c>
      <c r="B1731" s="9" t="s">
        <v>2471</v>
      </c>
      <c r="C1731" s="3">
        <f>VLOOKUP(B1731,LifeList!$E$2:$J$2038,6)</f>
        <v>6011</v>
      </c>
      <c r="D1731" s="3" t="str">
        <f>VLOOKUP(B1731,LifeList!$E$2:$G$2038,1)</f>
        <v>Hudsonian Whimbrel</v>
      </c>
      <c r="E1731" s="3" t="str">
        <f>VLOOKUP(B1731,LifeList!$E$2:$G$2038,2)</f>
        <v>Courlis hudsonien</v>
      </c>
      <c r="F1731" s="3" t="str">
        <f>VLOOKUP(B1731,LifeList!$E$2:$G$2038,3)</f>
        <v>Numenius hudsonicus</v>
      </c>
      <c r="G1731" s="3" t="str">
        <f>VLOOKUP(B1731,LifeList!$E$2:$I$2038,4)</f>
        <v>Charadriiformes</v>
      </c>
      <c r="H1731" s="3" t="str">
        <f>VLOOKUP(B1731,LifeList!$E$2:$I$2038,5)</f>
        <v>Scolopacidae (Sandpipers and Allies)</v>
      </c>
      <c r="I1731" s="3"/>
    </row>
    <row r="1732" spans="1:9" ht="10.5" customHeight="1">
      <c r="A1732" s="7" t="s">
        <v>2472</v>
      </c>
      <c r="B1732" s="9" t="s">
        <v>2471</v>
      </c>
      <c r="C1732" s="3">
        <f>VLOOKUP(B1732,LifeList!$E$2:$J$2038,6)</f>
        <v>6011</v>
      </c>
      <c r="D1732" s="3" t="str">
        <f>VLOOKUP(B1732,LifeList!$E$2:$G$2038,1)</f>
        <v>Hudsonian Whimbrel</v>
      </c>
      <c r="E1732" s="3" t="str">
        <f>VLOOKUP(B1732,LifeList!$E$2:$G$2038,2)</f>
        <v>Courlis hudsonien</v>
      </c>
      <c r="F1732" s="3" t="str">
        <f>VLOOKUP(B1732,LifeList!$E$2:$G$2038,3)</f>
        <v>Numenius hudsonicus</v>
      </c>
      <c r="G1732" s="3" t="str">
        <f>VLOOKUP(B1732,LifeList!$E$2:$I$2038,4)</f>
        <v>Charadriiformes</v>
      </c>
      <c r="H1732" s="3" t="str">
        <f>VLOOKUP(B1732,LifeList!$E$2:$I$2038,5)</f>
        <v>Scolopacidae (Sandpipers and Allies)</v>
      </c>
      <c r="I1732" s="3"/>
    </row>
    <row r="1733" spans="1:9" ht="10.5" customHeight="1">
      <c r="A1733" s="7" t="s">
        <v>2473</v>
      </c>
      <c r="B1733" s="9" t="s">
        <v>2471</v>
      </c>
      <c r="C1733" s="3">
        <f>VLOOKUP(B1733,LifeList!$E$2:$J$2038,6)</f>
        <v>6011</v>
      </c>
      <c r="D1733" s="3" t="str">
        <f>VLOOKUP(B1733,LifeList!$E$2:$G$2038,1)</f>
        <v>Hudsonian Whimbrel</v>
      </c>
      <c r="E1733" s="3" t="str">
        <f>VLOOKUP(B1733,LifeList!$E$2:$G$2038,2)</f>
        <v>Courlis hudsonien</v>
      </c>
      <c r="F1733" s="3" t="str">
        <f>VLOOKUP(B1733,LifeList!$E$2:$G$2038,3)</f>
        <v>Numenius hudsonicus</v>
      </c>
      <c r="G1733" s="3" t="str">
        <f>VLOOKUP(B1733,LifeList!$E$2:$I$2038,4)</f>
        <v>Charadriiformes</v>
      </c>
      <c r="H1733" s="3" t="str">
        <f>VLOOKUP(B1733,LifeList!$E$2:$I$2038,5)</f>
        <v>Scolopacidae (Sandpipers and Allies)</v>
      </c>
      <c r="I1733" s="3"/>
    </row>
    <row r="1734" spans="1:9" ht="10.5" customHeight="1">
      <c r="A1734" s="7" t="s">
        <v>2474</v>
      </c>
      <c r="B1734" s="9" t="s">
        <v>2471</v>
      </c>
      <c r="C1734" s="3">
        <f>VLOOKUP(B1734,LifeList!$E$2:$J$2038,6)</f>
        <v>6011</v>
      </c>
      <c r="D1734" s="3" t="str">
        <f>VLOOKUP(B1734,LifeList!$E$2:$G$2038,1)</f>
        <v>Hudsonian Whimbrel</v>
      </c>
      <c r="E1734" s="3" t="str">
        <f>VLOOKUP(B1734,LifeList!$E$2:$G$2038,2)</f>
        <v>Courlis hudsonien</v>
      </c>
      <c r="F1734" s="3" t="str">
        <f>VLOOKUP(B1734,LifeList!$E$2:$G$2038,3)</f>
        <v>Numenius hudsonicus</v>
      </c>
      <c r="G1734" s="3" t="str">
        <f>VLOOKUP(B1734,LifeList!$E$2:$I$2038,4)</f>
        <v>Charadriiformes</v>
      </c>
      <c r="H1734" s="3" t="str">
        <f>VLOOKUP(B1734,LifeList!$E$2:$I$2038,5)</f>
        <v>Scolopacidae (Sandpipers and Allies)</v>
      </c>
      <c r="I1734" s="3"/>
    </row>
    <row r="1735" spans="1:9" ht="10.5" customHeight="1">
      <c r="A1735" s="3" t="s">
        <v>2475</v>
      </c>
      <c r="B1735" s="3" t="s">
        <v>2476</v>
      </c>
      <c r="C1735" s="3">
        <f>VLOOKUP(B1735,LifeList!$E$2:$J$2038,6)</f>
        <v>7774</v>
      </c>
      <c r="D1735" s="3" t="str">
        <f>VLOOKUP(B1735,LifeList!$E$2:$G$2038,1)</f>
        <v>Humblot's Heron</v>
      </c>
      <c r="E1735" s="3" t="str">
        <f>VLOOKUP(B1735,LifeList!$E$2:$G$2038,2)</f>
        <v>Héron de Humblot</v>
      </c>
      <c r="F1735" s="3" t="str">
        <f>VLOOKUP(B1735,LifeList!$E$2:$G$2038,3)</f>
        <v>Ardea humbloti</v>
      </c>
      <c r="G1735" s="3" t="str">
        <f>VLOOKUP(B1735,LifeList!$E$2:$I$2038,4)</f>
        <v>Pelecaniformes</v>
      </c>
      <c r="H1735" s="3" t="str">
        <f>VLOOKUP(B1735,LifeList!$E$2:$I$2038,5)</f>
        <v>Ardeidae (Herons, Egrets, and Bitterns)</v>
      </c>
      <c r="I1735" s="3"/>
    </row>
    <row r="1736" spans="1:9" ht="10.5" customHeight="1">
      <c r="A1736" s="7" t="s">
        <v>2477</v>
      </c>
      <c r="B1736" s="9" t="s">
        <v>2478</v>
      </c>
      <c r="C1736" s="3">
        <f>VLOOKUP(B1736,LifeList!$E$2:$J$2038,6)</f>
        <v>19204</v>
      </c>
      <c r="D1736" s="3" t="str">
        <f>VLOOKUP(B1736,LifeList!$E$2:$G$2038,1)</f>
        <v>Hutton's Vireo</v>
      </c>
      <c r="E1736" s="3" t="str">
        <f>VLOOKUP(B1736,LifeList!$E$2:$G$2038,2)</f>
        <v>Viréo de Hutton</v>
      </c>
      <c r="F1736" s="3" t="str">
        <f>VLOOKUP(B1736,LifeList!$E$2:$G$2038,3)</f>
        <v>Vireo huttoni</v>
      </c>
      <c r="G1736" s="3" t="str">
        <f>VLOOKUP(B1736,LifeList!$E$2:$I$2038,4)</f>
        <v>Passeriformes</v>
      </c>
      <c r="H1736" s="3" t="str">
        <f>VLOOKUP(B1736,LifeList!$E$2:$I$2038,5)</f>
        <v>Vireonidae (Vireos, Shrike-Babblers, and Erpornis)</v>
      </c>
      <c r="I1736" s="3"/>
    </row>
    <row r="1737" spans="1:9" ht="10.5" customHeight="1">
      <c r="A1737" s="7" t="s">
        <v>2479</v>
      </c>
      <c r="B1737" s="9" t="s">
        <v>2480</v>
      </c>
      <c r="C1737" s="3">
        <f>VLOOKUP(B1737,LifeList!$E$2:$J$2038,6)</f>
        <v>6606</v>
      </c>
      <c r="D1737" s="3" t="str">
        <f>VLOOKUP(B1737,LifeList!$E$2:$G$2038,1)</f>
        <v>Iceland Gull</v>
      </c>
      <c r="E1737" s="3" t="str">
        <f>VLOOKUP(B1737,LifeList!$E$2:$G$2038,2)</f>
        <v>Goéland arctique</v>
      </c>
      <c r="F1737" s="3" t="str">
        <f>VLOOKUP(B1737,LifeList!$E$2:$G$2038,3)</f>
        <v>Larus glaucoides</v>
      </c>
      <c r="G1737" s="3" t="str">
        <f>VLOOKUP(B1737,LifeList!$E$2:$I$2038,4)</f>
        <v>Charadriiformes</v>
      </c>
      <c r="H1737" s="3" t="str">
        <f>VLOOKUP(B1737,LifeList!$E$2:$I$2038,5)</f>
        <v>Laridae (Gulls, Terns, and Skimmers)</v>
      </c>
      <c r="I1737" s="3"/>
    </row>
    <row r="1738" spans="1:9" ht="10.5" customHeight="1">
      <c r="A1738" s="3" t="s">
        <v>2481</v>
      </c>
      <c r="B1738" s="3" t="s">
        <v>2482</v>
      </c>
      <c r="C1738" s="3">
        <f>VLOOKUP(B1738,LifeList!$E$2:$J$2038,6)</f>
        <v>32118</v>
      </c>
      <c r="D1738" s="3" t="str">
        <f>VLOOKUP(B1738,LifeList!$E$2:$G$2038,1)</f>
        <v>Iiwi</v>
      </c>
      <c r="E1738" s="3" t="str">
        <f>VLOOKUP(B1738,LifeList!$E$2:$G$2038,2)</f>
        <v>Iiwi rouge</v>
      </c>
      <c r="F1738" s="3" t="str">
        <f>VLOOKUP(B1738,LifeList!$E$2:$G$2038,3)</f>
        <v>Drepanis coccinea</v>
      </c>
      <c r="G1738" s="3" t="str">
        <f>VLOOKUP(B1738,LifeList!$E$2:$I$2038,4)</f>
        <v>Passeriformes</v>
      </c>
      <c r="H1738" s="3" t="str">
        <f>VLOOKUP(B1738,LifeList!$E$2:$I$2038,5)</f>
        <v>Fringillidae (Finches, Euphonias, and Allies)</v>
      </c>
      <c r="I1738" s="3"/>
    </row>
    <row r="1739" spans="1:9" ht="10.5" customHeight="1">
      <c r="A1739" s="3" t="s">
        <v>2483</v>
      </c>
      <c r="B1739" s="3" t="s">
        <v>2484</v>
      </c>
      <c r="C1739" s="3">
        <f>VLOOKUP(B1739,LifeList!$E$2:$J$2038,6)</f>
        <v>2242</v>
      </c>
      <c r="D1739" s="3" t="str">
        <f>VLOOKUP(B1739,LifeList!$E$2:$G$2038,1)</f>
        <v>Inca Dove</v>
      </c>
      <c r="E1739" s="3" t="str">
        <f>VLOOKUP(B1739,LifeList!$E$2:$G$2038,2)</f>
        <v>Colombe inca</v>
      </c>
      <c r="F1739" s="3" t="str">
        <f>VLOOKUP(B1739,LifeList!$E$2:$G$2038,3)</f>
        <v>Columbina inca</v>
      </c>
      <c r="G1739" s="3" t="str">
        <f>VLOOKUP(B1739,LifeList!$E$2:$I$2038,4)</f>
        <v>Columbiformes</v>
      </c>
      <c r="H1739" s="3" t="str">
        <f>VLOOKUP(B1739,LifeList!$E$2:$I$2038,5)</f>
        <v>Columbidae (Pigeons and Doves)</v>
      </c>
      <c r="I1739" s="3"/>
    </row>
    <row r="1740" spans="1:9" ht="10.5" customHeight="1">
      <c r="A1740" s="3" t="s">
        <v>2485</v>
      </c>
      <c r="B1740" s="3" t="s">
        <v>2486</v>
      </c>
      <c r="C1740" s="3">
        <f>VLOOKUP(B1740,LifeList!$E$2:$J$2038,6)</f>
        <v>34607</v>
      </c>
      <c r="D1740" s="3" t="str">
        <f>VLOOKUP(B1740,LifeList!$E$2:$G$2038,1)</f>
        <v>Indigo Bunting</v>
      </c>
      <c r="E1740" s="3" t="str">
        <f>VLOOKUP(B1740,LifeList!$E$2:$G$2038,2)</f>
        <v>Passerin indigo</v>
      </c>
      <c r="F1740" s="3" t="str">
        <f>VLOOKUP(B1740,LifeList!$E$2:$G$2038,3)</f>
        <v>Passerina cyanea</v>
      </c>
      <c r="G1740" s="3" t="str">
        <f>VLOOKUP(B1740,LifeList!$E$2:$I$2038,4)</f>
        <v>Passeriformes</v>
      </c>
      <c r="H1740" s="3" t="str">
        <f>VLOOKUP(B1740,LifeList!$E$2:$I$2038,5)</f>
        <v>Cardinalidae (Cardinals and Allies)</v>
      </c>
      <c r="I1740" s="3"/>
    </row>
    <row r="1741" spans="1:9" ht="10.5" customHeight="1">
      <c r="A1741" s="3" t="s">
        <v>2487</v>
      </c>
      <c r="B1741" s="3" t="s">
        <v>2486</v>
      </c>
      <c r="C1741" s="3">
        <f>VLOOKUP(B1741,LifeList!$E$2:$J$2038,6)</f>
        <v>34607</v>
      </c>
      <c r="D1741" s="3" t="str">
        <f>VLOOKUP(B1741,LifeList!$E$2:$G$2038,1)</f>
        <v>Indigo Bunting</v>
      </c>
      <c r="E1741" s="3" t="str">
        <f>VLOOKUP(B1741,LifeList!$E$2:$G$2038,2)</f>
        <v>Passerin indigo</v>
      </c>
      <c r="F1741" s="3" t="str">
        <f>VLOOKUP(B1741,LifeList!$E$2:$G$2038,3)</f>
        <v>Passerina cyanea</v>
      </c>
      <c r="G1741" s="3" t="str">
        <f>VLOOKUP(B1741,LifeList!$E$2:$I$2038,4)</f>
        <v>Passeriformes</v>
      </c>
      <c r="H1741" s="3" t="str">
        <f>VLOOKUP(B1741,LifeList!$E$2:$I$2038,5)</f>
        <v>Cardinalidae (Cardinals and Allies)</v>
      </c>
      <c r="I1741" s="3"/>
    </row>
    <row r="1742" spans="1:9" ht="10.5" customHeight="1">
      <c r="A1742" s="3" t="s">
        <v>2488</v>
      </c>
      <c r="B1742" s="3" t="s">
        <v>2486</v>
      </c>
      <c r="C1742" s="3">
        <f>VLOOKUP(B1742,LifeList!$E$2:$J$2038,6)</f>
        <v>34607</v>
      </c>
      <c r="D1742" s="3" t="str">
        <f>VLOOKUP(B1742,LifeList!$E$2:$G$2038,1)</f>
        <v>Indigo Bunting</v>
      </c>
      <c r="E1742" s="3" t="str">
        <f>VLOOKUP(B1742,LifeList!$E$2:$G$2038,2)</f>
        <v>Passerin indigo</v>
      </c>
      <c r="F1742" s="3" t="str">
        <f>VLOOKUP(B1742,LifeList!$E$2:$G$2038,3)</f>
        <v>Passerina cyanea</v>
      </c>
      <c r="G1742" s="3" t="str">
        <f>VLOOKUP(B1742,LifeList!$E$2:$I$2038,4)</f>
        <v>Passeriformes</v>
      </c>
      <c r="H1742" s="3" t="str">
        <f>VLOOKUP(B1742,LifeList!$E$2:$I$2038,5)</f>
        <v>Cardinalidae (Cardinals and Allies)</v>
      </c>
      <c r="I1742" s="3"/>
    </row>
    <row r="1743" spans="1:9" ht="10.5" customHeight="1">
      <c r="A1743" s="3" t="s">
        <v>2489</v>
      </c>
      <c r="B1743" s="3" t="s">
        <v>2486</v>
      </c>
      <c r="C1743" s="3">
        <f>VLOOKUP(B1743,LifeList!$E$2:$J$2038,6)</f>
        <v>34607</v>
      </c>
      <c r="D1743" s="3" t="str">
        <f>VLOOKUP(B1743,LifeList!$E$2:$G$2038,1)</f>
        <v>Indigo Bunting</v>
      </c>
      <c r="E1743" s="3" t="str">
        <f>VLOOKUP(B1743,LifeList!$E$2:$G$2038,2)</f>
        <v>Passerin indigo</v>
      </c>
      <c r="F1743" s="3" t="str">
        <f>VLOOKUP(B1743,LifeList!$E$2:$G$2038,3)</f>
        <v>Passerina cyanea</v>
      </c>
      <c r="G1743" s="3" t="str">
        <f>VLOOKUP(B1743,LifeList!$E$2:$I$2038,4)</f>
        <v>Passeriformes</v>
      </c>
      <c r="H1743" s="3" t="str">
        <f>VLOOKUP(B1743,LifeList!$E$2:$I$2038,5)</f>
        <v>Cardinalidae (Cardinals and Allies)</v>
      </c>
      <c r="I1743" s="3"/>
    </row>
    <row r="1744" spans="1:9" ht="10.5" customHeight="1">
      <c r="A1744" s="3" t="s">
        <v>2490</v>
      </c>
      <c r="B1744" s="3" t="s">
        <v>2491</v>
      </c>
      <c r="C1744" s="3">
        <f>VLOOKUP(B1744,LifeList!$E$2:$J$2038,6)</f>
        <v>5081</v>
      </c>
      <c r="D1744" s="3" t="str">
        <f>VLOOKUP(B1744,LifeList!$E$2:$G$2038,1)</f>
        <v>Indigo-capped Hummingbird</v>
      </c>
      <c r="E1744" s="3" t="str">
        <f>VLOOKUP(B1744,LifeList!$E$2:$G$2038,2)</f>
        <v>Ariane à front bleu</v>
      </c>
      <c r="F1744" s="3" t="str">
        <f>VLOOKUP(B1744,LifeList!$E$2:$G$2038,3)</f>
        <v>Saucerottia cyanifrons</v>
      </c>
      <c r="G1744" s="3" t="str">
        <f>VLOOKUP(B1744,LifeList!$E$2:$I$2038,4)</f>
        <v>Apodiformes</v>
      </c>
      <c r="H1744" s="3" t="str">
        <f>VLOOKUP(B1744,LifeList!$E$2:$I$2038,5)</f>
        <v>Trochilidae (Hummingbirds)</v>
      </c>
      <c r="I1744" s="3"/>
    </row>
    <row r="1745" spans="1:9" ht="10.5" customHeight="1">
      <c r="A1745" s="3" t="s">
        <v>2492</v>
      </c>
      <c r="B1745" s="3" t="s">
        <v>2493</v>
      </c>
      <c r="C1745" s="3">
        <f>VLOOKUP(B1745,LifeList!$E$2:$J$2038,6)</f>
        <v>27538</v>
      </c>
      <c r="D1745" s="3" t="str">
        <f>VLOOKUP(B1745,LifeList!$E$2:$G$2038,1)</f>
        <v>Isthmian Wren</v>
      </c>
      <c r="E1745" s="3" t="str">
        <f>VLOOKUP(B1745,LifeList!$E$2:$G$2038,2)</f>
        <v>Troglodyte du Panama</v>
      </c>
      <c r="F1745" s="3" t="str">
        <f>VLOOKUP(B1745,LifeList!$E$2:$G$2038,3)</f>
        <v>Cantorchilus elutus</v>
      </c>
      <c r="G1745" s="3" t="str">
        <f>VLOOKUP(B1745,LifeList!$E$2:$I$2038,4)</f>
        <v>Passeriformes</v>
      </c>
      <c r="H1745" s="3" t="str">
        <f>VLOOKUP(B1745,LifeList!$E$2:$I$2038,5)</f>
        <v>Troglodytidae (Wrens)</v>
      </c>
      <c r="I1745" s="3"/>
    </row>
    <row r="1746" spans="1:9" ht="10.5" customHeight="1">
      <c r="A1746" s="3" t="s">
        <v>2494</v>
      </c>
      <c r="B1746" s="3" t="s">
        <v>2495</v>
      </c>
      <c r="C1746" s="3">
        <f>VLOOKUP(B1746,LifeList!$E$2:$J$2038,6)</f>
        <v>14844</v>
      </c>
      <c r="D1746" s="3" t="str">
        <f>VLOOKUP(B1746,LifeList!$E$2:$G$2038,1)</f>
        <v>Ivory-billed Woodcreeper</v>
      </c>
      <c r="E1746" s="3" t="str">
        <f>VLOOKUP(B1746,LifeList!$E$2:$G$2038,2)</f>
        <v>Grimpar à bec ivoire</v>
      </c>
      <c r="F1746" s="3" t="str">
        <f>VLOOKUP(B1746,LifeList!$E$2:$G$2038,3)</f>
        <v>Xiphorhynchus flavigaster</v>
      </c>
      <c r="G1746" s="3" t="str">
        <f>VLOOKUP(B1746,LifeList!$E$2:$I$2038,4)</f>
        <v>Passeriformes</v>
      </c>
      <c r="H1746" s="3" t="str">
        <f>VLOOKUP(B1746,LifeList!$E$2:$I$2038,5)</f>
        <v>Furnariidae (Ovenbirds and Woodcreepers)</v>
      </c>
      <c r="I1746" s="3"/>
    </row>
    <row r="1747" spans="1:9" ht="10.5" customHeight="1">
      <c r="A1747" s="3" t="s">
        <v>2496</v>
      </c>
      <c r="B1747" s="3" t="s">
        <v>2497</v>
      </c>
      <c r="C1747" s="3">
        <f>VLOOKUP(B1747,LifeList!$E$2:$J$2038,6)</f>
        <v>7301</v>
      </c>
      <c r="D1747" s="3" t="str">
        <f>VLOOKUP(B1747,LifeList!$E$2:$G$2038,1)</f>
        <v>Jabiru</v>
      </c>
      <c r="E1747" s="3" t="str">
        <f>VLOOKUP(B1747,LifeList!$E$2:$G$2038,2)</f>
        <v>Jabiru d'Amérique</v>
      </c>
      <c r="F1747" s="3" t="str">
        <f>VLOOKUP(B1747,LifeList!$E$2:$G$2038,3)</f>
        <v>Jabiru mycteria</v>
      </c>
      <c r="G1747" s="3" t="str">
        <f>VLOOKUP(B1747,LifeList!$E$2:$I$2038,4)</f>
        <v>Ciconiiformes</v>
      </c>
      <c r="H1747" s="3" t="str">
        <f>VLOOKUP(B1747,LifeList!$E$2:$I$2038,5)</f>
        <v>Ciconiidae (Storks)</v>
      </c>
      <c r="I1747" s="3"/>
    </row>
    <row r="1748" spans="1:9" ht="10.5" customHeight="1">
      <c r="A1748" s="3" t="s">
        <v>2498</v>
      </c>
      <c r="B1748" s="3" t="s">
        <v>2499</v>
      </c>
      <c r="C1748" s="3">
        <f>VLOOKUP(B1748,LifeList!$E$2:$J$2038,6)</f>
        <v>8541</v>
      </c>
      <c r="D1748" s="3" t="str">
        <f>VLOOKUP(B1748,LifeList!$E$2:$G$2038,1)</f>
        <v>Jackal Buzzard</v>
      </c>
      <c r="E1748" s="3" t="str">
        <f>VLOOKUP(B1748,LifeList!$E$2:$G$2038,2)</f>
        <v>Buse rounoir</v>
      </c>
      <c r="F1748" s="3" t="str">
        <f>VLOOKUP(B1748,LifeList!$E$2:$G$2038,3)</f>
        <v>Buteo rufofuscus</v>
      </c>
      <c r="G1748" s="3" t="str">
        <f>VLOOKUP(B1748,LifeList!$E$2:$I$2038,4)</f>
        <v>Accipitriformes</v>
      </c>
      <c r="H1748" s="3" t="str">
        <f>VLOOKUP(B1748,LifeList!$E$2:$I$2038,5)</f>
        <v>Accipitridae (Hawks, Eagles, and Kites)</v>
      </c>
      <c r="I1748" s="3"/>
    </row>
    <row r="1749" spans="1:9" ht="10.5" customHeight="1">
      <c r="A1749" s="5" t="s">
        <v>2500</v>
      </c>
      <c r="B1749" s="3" t="s">
        <v>2501</v>
      </c>
      <c r="C1749" s="3">
        <f>VLOOKUP(B1749,LifeList!$E$2:$J$2038,6)</f>
        <v>21798</v>
      </c>
      <c r="D1749" s="3" t="str">
        <f>VLOOKUP(B1749,LifeList!$E$2:$G$2038,1)</f>
        <v>Jacky-winter</v>
      </c>
      <c r="E1749" s="3" t="str">
        <f>VLOOKUP(B1749,LifeList!$E$2:$G$2038,2)</f>
        <v>Miro enchanteur</v>
      </c>
      <c r="F1749" s="3" t="str">
        <f>VLOOKUP(B1749,LifeList!$E$2:$G$2038,3)</f>
        <v>Microeca fascinans</v>
      </c>
      <c r="G1749" s="3" t="str">
        <f>VLOOKUP(B1749,LifeList!$E$2:$I$2038,4)</f>
        <v>Passeriformes</v>
      </c>
      <c r="H1749" s="3" t="str">
        <f>VLOOKUP(B1749,LifeList!$E$2:$I$2038,5)</f>
        <v>Petroicidae (Australasian Robins)</v>
      </c>
      <c r="I1749" s="3"/>
    </row>
    <row r="1750" spans="1:9" ht="10.5" customHeight="1">
      <c r="A1750" s="3" t="s">
        <v>2502</v>
      </c>
      <c r="B1750" s="3" t="s">
        <v>2503</v>
      </c>
      <c r="C1750" s="3">
        <f>VLOOKUP(B1750,LifeList!$E$2:$J$2038,6)</f>
        <v>31066</v>
      </c>
      <c r="D1750" s="3" t="str">
        <f>VLOOKUP(B1750,LifeList!$E$2:$G$2038,1)</f>
        <v>Java Sparrow</v>
      </c>
      <c r="E1750" s="3" t="str">
        <f>VLOOKUP(B1750,LifeList!$E$2:$G$2038,2)</f>
        <v>Padda de Java</v>
      </c>
      <c r="F1750" s="3" t="str">
        <f>VLOOKUP(B1750,LifeList!$E$2:$G$2038,3)</f>
        <v>Padda oryzivora</v>
      </c>
      <c r="G1750" s="3" t="str">
        <f>VLOOKUP(B1750,LifeList!$E$2:$I$2038,4)</f>
        <v>Passeriformes</v>
      </c>
      <c r="H1750" s="3" t="str">
        <f>VLOOKUP(B1750,LifeList!$E$2:$I$2038,5)</f>
        <v>Estrildidae (Waxbills and Allies)</v>
      </c>
      <c r="I1750" s="3"/>
    </row>
    <row r="1751" spans="1:9" ht="10.5" customHeight="1">
      <c r="A1751" s="3" t="s">
        <v>2504</v>
      </c>
      <c r="B1751" s="3" t="s">
        <v>2505</v>
      </c>
      <c r="C1751" s="3">
        <f>VLOOKUP(B1751,LifeList!$E$2:$J$2038,6)</f>
        <v>1529</v>
      </c>
      <c r="D1751" s="3" t="str">
        <f>VLOOKUP(B1751,LifeList!$E$2:$G$2038,1)</f>
        <v>Kalij Pheasant</v>
      </c>
      <c r="E1751" s="3" t="str">
        <f>VLOOKUP(B1751,LifeList!$E$2:$G$2038,2)</f>
        <v>Faisan leucomèle</v>
      </c>
      <c r="F1751" s="3" t="str">
        <f>VLOOKUP(B1751,LifeList!$E$2:$G$2038,3)</f>
        <v>Lophura leucomelanos</v>
      </c>
      <c r="G1751" s="3" t="str">
        <f>VLOOKUP(B1751,LifeList!$E$2:$I$2038,4)</f>
        <v>Galliformes</v>
      </c>
      <c r="H1751" s="3" t="str">
        <f>VLOOKUP(B1751,LifeList!$E$2:$I$2038,5)</f>
        <v>Phasianidae (Pheasants, Grouse, and Allies)</v>
      </c>
      <c r="I1751" s="3"/>
    </row>
    <row r="1752" spans="1:9" ht="10.5" customHeight="1">
      <c r="A1752" s="3" t="s">
        <v>2506</v>
      </c>
      <c r="B1752" s="3" t="s">
        <v>2507</v>
      </c>
      <c r="C1752" s="3">
        <f>VLOOKUP(B1752,LifeList!$E$2:$J$2038,6)</f>
        <v>9890</v>
      </c>
      <c r="D1752" s="3" t="str">
        <f>VLOOKUP(B1752,LifeList!$E$2:$G$2038,1)</f>
        <v>Keel-billed Motmot</v>
      </c>
      <c r="E1752" s="3" t="str">
        <f>VLOOKUP(B1752,LifeList!$E$2:$G$2038,2)</f>
        <v>Motmot à bec caréné</v>
      </c>
      <c r="F1752" s="3" t="str">
        <f>VLOOKUP(B1752,LifeList!$E$2:$G$2038,3)</f>
        <v>Electron carinatum</v>
      </c>
      <c r="G1752" s="3" t="str">
        <f>VLOOKUP(B1752,LifeList!$E$2:$I$2038,4)</f>
        <v>Coraciiformes</v>
      </c>
      <c r="H1752" s="3" t="str">
        <f>VLOOKUP(B1752,LifeList!$E$2:$I$2038,5)</f>
        <v>Momotidae (Motmots)</v>
      </c>
      <c r="I1752" s="3"/>
    </row>
    <row r="1753" spans="1:9" ht="10.5" customHeight="1">
      <c r="A1753" s="3" t="s">
        <v>2508</v>
      </c>
      <c r="B1753" s="3" t="s">
        <v>2509</v>
      </c>
      <c r="C1753" s="3">
        <f>VLOOKUP(B1753,LifeList!$E$2:$J$2038,6)</f>
        <v>10936</v>
      </c>
      <c r="D1753" s="3" t="str">
        <f>VLOOKUP(B1753,LifeList!$E$2:$G$2038,1)</f>
        <v>Keel-billed Toucan</v>
      </c>
      <c r="E1753" s="3" t="str">
        <f>VLOOKUP(B1753,LifeList!$E$2:$G$2038,2)</f>
        <v>Toucan à carène</v>
      </c>
      <c r="F1753" s="3" t="str">
        <f>VLOOKUP(B1753,LifeList!$E$2:$G$2038,3)</f>
        <v>Ramphastos sulfuratus</v>
      </c>
      <c r="G1753" s="3" t="str">
        <f>VLOOKUP(B1753,LifeList!$E$2:$I$2038,4)</f>
        <v>Piciformes</v>
      </c>
      <c r="H1753" s="3" t="str">
        <f>VLOOKUP(B1753,LifeList!$E$2:$I$2038,5)</f>
        <v>Ramphastidae (Toucans)</v>
      </c>
      <c r="I1753" s="3"/>
    </row>
    <row r="1754" spans="1:9" ht="10.5" customHeight="1">
      <c r="A1754" s="3" t="s">
        <v>2510</v>
      </c>
      <c r="B1754" s="3" t="s">
        <v>2509</v>
      </c>
      <c r="C1754" s="3">
        <f>VLOOKUP(B1754,LifeList!$E$2:$J$2038,6)</f>
        <v>10936</v>
      </c>
      <c r="D1754" s="3" t="str">
        <f>VLOOKUP(B1754,LifeList!$E$2:$G$2038,1)</f>
        <v>Keel-billed Toucan</v>
      </c>
      <c r="E1754" s="3" t="str">
        <f>VLOOKUP(B1754,LifeList!$E$2:$G$2038,2)</f>
        <v>Toucan à carène</v>
      </c>
      <c r="F1754" s="3" t="str">
        <f>VLOOKUP(B1754,LifeList!$E$2:$G$2038,3)</f>
        <v>Ramphastos sulfuratus</v>
      </c>
      <c r="G1754" s="3" t="str">
        <f>VLOOKUP(B1754,LifeList!$E$2:$I$2038,4)</f>
        <v>Piciformes</v>
      </c>
      <c r="H1754" s="3" t="str">
        <f>VLOOKUP(B1754,LifeList!$E$2:$I$2038,5)</f>
        <v>Ramphastidae (Toucans)</v>
      </c>
      <c r="I1754" s="3"/>
    </row>
    <row r="1755" spans="1:9" ht="10.5" customHeight="1">
      <c r="A1755" s="3" t="s">
        <v>2511</v>
      </c>
      <c r="B1755" s="3" t="s">
        <v>2509</v>
      </c>
      <c r="C1755" s="3">
        <f>VLOOKUP(B1755,LifeList!$E$2:$J$2038,6)</f>
        <v>10936</v>
      </c>
      <c r="D1755" s="3" t="str">
        <f>VLOOKUP(B1755,LifeList!$E$2:$G$2038,1)</f>
        <v>Keel-billed Toucan</v>
      </c>
      <c r="E1755" s="3" t="str">
        <f>VLOOKUP(B1755,LifeList!$E$2:$G$2038,2)</f>
        <v>Toucan à carène</v>
      </c>
      <c r="F1755" s="3" t="str">
        <f>VLOOKUP(B1755,LifeList!$E$2:$G$2038,3)</f>
        <v>Ramphastos sulfuratus</v>
      </c>
      <c r="G1755" s="3" t="str">
        <f>VLOOKUP(B1755,LifeList!$E$2:$I$2038,4)</f>
        <v>Piciformes</v>
      </c>
      <c r="H1755" s="3" t="str">
        <f>VLOOKUP(B1755,LifeList!$E$2:$I$2038,5)</f>
        <v>Ramphastidae (Toucans)</v>
      </c>
      <c r="I1755" s="3"/>
    </row>
    <row r="1756" spans="1:9" ht="10.5" customHeight="1">
      <c r="A1756" s="3" t="s">
        <v>2512</v>
      </c>
      <c r="B1756" s="3" t="s">
        <v>2509</v>
      </c>
      <c r="C1756" s="3">
        <f>VLOOKUP(B1756,LifeList!$E$2:$J$2038,6)</f>
        <v>10936</v>
      </c>
      <c r="D1756" s="3" t="str">
        <f>VLOOKUP(B1756,LifeList!$E$2:$G$2038,1)</f>
        <v>Keel-billed Toucan</v>
      </c>
      <c r="E1756" s="3" t="str">
        <f>VLOOKUP(B1756,LifeList!$E$2:$G$2038,2)</f>
        <v>Toucan à carène</v>
      </c>
      <c r="F1756" s="3" t="str">
        <f>VLOOKUP(B1756,LifeList!$E$2:$G$2038,3)</f>
        <v>Ramphastos sulfuratus</v>
      </c>
      <c r="G1756" s="3" t="str">
        <f>VLOOKUP(B1756,LifeList!$E$2:$I$2038,4)</f>
        <v>Piciformes</v>
      </c>
      <c r="H1756" s="3" t="str">
        <f>VLOOKUP(B1756,LifeList!$E$2:$I$2038,5)</f>
        <v>Ramphastidae (Toucans)</v>
      </c>
      <c r="I1756" s="3"/>
    </row>
    <row r="1757" spans="1:9" ht="10.5" customHeight="1">
      <c r="A1757" s="3" t="s">
        <v>2513</v>
      </c>
      <c r="B1757" s="3" t="s">
        <v>2509</v>
      </c>
      <c r="C1757" s="3">
        <f>VLOOKUP(B1757,LifeList!$E$2:$J$2038,6)</f>
        <v>10936</v>
      </c>
      <c r="D1757" s="3" t="str">
        <f>VLOOKUP(B1757,LifeList!$E$2:$G$2038,1)</f>
        <v>Keel-billed Toucan</v>
      </c>
      <c r="E1757" s="3" t="str">
        <f>VLOOKUP(B1757,LifeList!$E$2:$G$2038,2)</f>
        <v>Toucan à carène</v>
      </c>
      <c r="F1757" s="3" t="str">
        <f>VLOOKUP(B1757,LifeList!$E$2:$G$2038,3)</f>
        <v>Ramphastos sulfuratus</v>
      </c>
      <c r="G1757" s="3" t="str">
        <f>VLOOKUP(B1757,LifeList!$E$2:$I$2038,4)</f>
        <v>Piciformes</v>
      </c>
      <c r="H1757" s="3" t="str">
        <f>VLOOKUP(B1757,LifeList!$E$2:$I$2038,5)</f>
        <v>Ramphastidae (Toucans)</v>
      </c>
      <c r="I1757" s="3"/>
    </row>
    <row r="1758" spans="1:9" ht="10.5" customHeight="1">
      <c r="A1758" s="3" t="s">
        <v>2514</v>
      </c>
      <c r="B1758" s="3" t="s">
        <v>2509</v>
      </c>
      <c r="C1758" s="3">
        <f>VLOOKUP(B1758,LifeList!$E$2:$J$2038,6)</f>
        <v>10936</v>
      </c>
      <c r="D1758" s="3" t="str">
        <f>VLOOKUP(B1758,LifeList!$E$2:$G$2038,1)</f>
        <v>Keel-billed Toucan</v>
      </c>
      <c r="E1758" s="3" t="str">
        <f>VLOOKUP(B1758,LifeList!$E$2:$G$2038,2)</f>
        <v>Toucan à carène</v>
      </c>
      <c r="F1758" s="3" t="str">
        <f>VLOOKUP(B1758,LifeList!$E$2:$G$2038,3)</f>
        <v>Ramphastos sulfuratus</v>
      </c>
      <c r="G1758" s="3" t="str">
        <f>VLOOKUP(B1758,LifeList!$E$2:$I$2038,4)</f>
        <v>Piciformes</v>
      </c>
      <c r="H1758" s="3" t="str">
        <f>VLOOKUP(B1758,LifeList!$E$2:$I$2038,5)</f>
        <v>Ramphastidae (Toucans)</v>
      </c>
      <c r="I1758" s="3"/>
    </row>
    <row r="1759" spans="1:9" ht="10.5" customHeight="1">
      <c r="A1759" s="3" t="s">
        <v>2515</v>
      </c>
      <c r="B1759" s="3" t="s">
        <v>2509</v>
      </c>
      <c r="C1759" s="3">
        <f>VLOOKUP(B1759,LifeList!$E$2:$J$2038,6)</f>
        <v>10936</v>
      </c>
      <c r="D1759" s="3" t="str">
        <f>VLOOKUP(B1759,LifeList!$E$2:$G$2038,1)</f>
        <v>Keel-billed Toucan</v>
      </c>
      <c r="E1759" s="3" t="str">
        <f>VLOOKUP(B1759,LifeList!$E$2:$G$2038,2)</f>
        <v>Toucan à carène</v>
      </c>
      <c r="F1759" s="3" t="str">
        <f>VLOOKUP(B1759,LifeList!$E$2:$G$2038,3)</f>
        <v>Ramphastos sulfuratus</v>
      </c>
      <c r="G1759" s="3" t="str">
        <f>VLOOKUP(B1759,LifeList!$E$2:$I$2038,4)</f>
        <v>Piciformes</v>
      </c>
      <c r="H1759" s="3" t="str">
        <f>VLOOKUP(B1759,LifeList!$E$2:$I$2038,5)</f>
        <v>Ramphastidae (Toucans)</v>
      </c>
      <c r="I1759" s="3"/>
    </row>
    <row r="1760" spans="1:9" ht="10.5" customHeight="1">
      <c r="A1760" s="3" t="s">
        <v>2516</v>
      </c>
      <c r="B1760" s="3" t="s">
        <v>2509</v>
      </c>
      <c r="C1760" s="3">
        <f>VLOOKUP(B1760,LifeList!$E$2:$J$2038,6)</f>
        <v>10936</v>
      </c>
      <c r="D1760" s="3" t="str">
        <f>VLOOKUP(B1760,LifeList!$E$2:$G$2038,1)</f>
        <v>Keel-billed Toucan</v>
      </c>
      <c r="E1760" s="3" t="str">
        <f>VLOOKUP(B1760,LifeList!$E$2:$G$2038,2)</f>
        <v>Toucan à carène</v>
      </c>
      <c r="F1760" s="3" t="str">
        <f>VLOOKUP(B1760,LifeList!$E$2:$G$2038,3)</f>
        <v>Ramphastos sulfuratus</v>
      </c>
      <c r="G1760" s="3" t="str">
        <f>VLOOKUP(B1760,LifeList!$E$2:$I$2038,4)</f>
        <v>Piciformes</v>
      </c>
      <c r="H1760" s="3" t="str">
        <f>VLOOKUP(B1760,LifeList!$E$2:$I$2038,5)</f>
        <v>Ramphastidae (Toucans)</v>
      </c>
      <c r="I1760" s="3"/>
    </row>
    <row r="1761" spans="1:9" ht="10.5" customHeight="1">
      <c r="A1761" s="3" t="s">
        <v>2517</v>
      </c>
      <c r="B1761" s="3" t="s">
        <v>2509</v>
      </c>
      <c r="C1761" s="3">
        <f>VLOOKUP(B1761,LifeList!$E$2:$J$2038,6)</f>
        <v>10936</v>
      </c>
      <c r="D1761" s="3" t="str">
        <f>VLOOKUP(B1761,LifeList!$E$2:$G$2038,1)</f>
        <v>Keel-billed Toucan</v>
      </c>
      <c r="E1761" s="3" t="str">
        <f>VLOOKUP(B1761,LifeList!$E$2:$G$2038,2)</f>
        <v>Toucan à carène</v>
      </c>
      <c r="F1761" s="3" t="str">
        <f>VLOOKUP(B1761,LifeList!$E$2:$G$2038,3)</f>
        <v>Ramphastos sulfuratus</v>
      </c>
      <c r="G1761" s="3" t="str">
        <f>VLOOKUP(B1761,LifeList!$E$2:$I$2038,4)</f>
        <v>Piciformes</v>
      </c>
      <c r="H1761" s="3" t="str">
        <f>VLOOKUP(B1761,LifeList!$E$2:$I$2038,5)</f>
        <v>Ramphastidae (Toucans)</v>
      </c>
      <c r="I1761" s="3"/>
    </row>
    <row r="1762" spans="1:9" ht="10.5" customHeight="1">
      <c r="A1762" s="3" t="s">
        <v>2518</v>
      </c>
      <c r="B1762" s="3" t="s">
        <v>2519</v>
      </c>
      <c r="C1762" s="3">
        <f>VLOOKUP(B1762,LifeList!$E$2:$J$2038,6)</f>
        <v>6533</v>
      </c>
      <c r="D1762" s="3" t="str">
        <f>VLOOKUP(B1762,LifeList!$E$2:$G$2038,1)</f>
        <v>Kelp Gull</v>
      </c>
      <c r="E1762" s="3" t="str">
        <f>VLOOKUP(B1762,LifeList!$E$2:$G$2038,2)</f>
        <v>Goéland dominicain</v>
      </c>
      <c r="F1762" s="3" t="str">
        <f>VLOOKUP(B1762,LifeList!$E$2:$G$2038,3)</f>
        <v>Larus dominicanus</v>
      </c>
      <c r="G1762" s="3" t="str">
        <f>VLOOKUP(B1762,LifeList!$E$2:$I$2038,4)</f>
        <v>Charadriiformes</v>
      </c>
      <c r="H1762" s="3" t="str">
        <f>VLOOKUP(B1762,LifeList!$E$2:$I$2038,5)</f>
        <v>Laridae (Gulls, Terns, and Skimmers)</v>
      </c>
      <c r="I1762" s="3"/>
    </row>
    <row r="1763" spans="1:9" ht="10.5" customHeight="1">
      <c r="A1763" s="3" t="s">
        <v>2520</v>
      </c>
      <c r="B1763" s="3" t="s">
        <v>2519</v>
      </c>
      <c r="C1763" s="3">
        <f>VLOOKUP(B1763,LifeList!$E$2:$J$2038,6)</f>
        <v>6533</v>
      </c>
      <c r="D1763" s="3" t="str">
        <f>VLOOKUP(B1763,LifeList!$E$2:$G$2038,1)</f>
        <v>Kelp Gull</v>
      </c>
      <c r="E1763" s="3" t="str">
        <f>VLOOKUP(B1763,LifeList!$E$2:$G$2038,2)</f>
        <v>Goéland dominicain</v>
      </c>
      <c r="F1763" s="3" t="str">
        <f>VLOOKUP(B1763,LifeList!$E$2:$G$2038,3)</f>
        <v>Larus dominicanus</v>
      </c>
      <c r="G1763" s="3" t="str">
        <f>VLOOKUP(B1763,LifeList!$E$2:$I$2038,4)</f>
        <v>Charadriiformes</v>
      </c>
      <c r="H1763" s="3" t="str">
        <f>VLOOKUP(B1763,LifeList!$E$2:$I$2038,5)</f>
        <v>Laridae (Gulls, Terns, and Skimmers)</v>
      </c>
      <c r="I1763" s="3"/>
    </row>
    <row r="1764" spans="1:9" ht="10.5" customHeight="1">
      <c r="A1764" s="3" t="s">
        <v>2521</v>
      </c>
      <c r="B1764" s="3" t="s">
        <v>2522</v>
      </c>
      <c r="C1764" s="3">
        <f>VLOOKUP(B1764,LifeList!$E$2:$J$2038,6)</f>
        <v>34011</v>
      </c>
      <c r="D1764" s="3" t="str">
        <f>VLOOKUP(B1764,LifeList!$E$2:$G$2038,1)</f>
        <v>Kentucky Warbler</v>
      </c>
      <c r="E1764" s="3" t="str">
        <f>VLOOKUP(B1764,LifeList!$E$2:$G$2038,2)</f>
        <v>Paruline du Kentucky</v>
      </c>
      <c r="F1764" s="3" t="str">
        <f>VLOOKUP(B1764,LifeList!$E$2:$G$2038,3)</f>
        <v>Geothlypis formosa</v>
      </c>
      <c r="G1764" s="3" t="str">
        <f>VLOOKUP(B1764,LifeList!$E$2:$I$2038,4)</f>
        <v>Passeriformes</v>
      </c>
      <c r="H1764" s="3" t="str">
        <f>VLOOKUP(B1764,LifeList!$E$2:$I$2038,5)</f>
        <v>Parulidae (New World Warblers)</v>
      </c>
      <c r="I1764" s="3"/>
    </row>
    <row r="1765" spans="1:9" ht="10.5" customHeight="1">
      <c r="A1765" s="3" t="s">
        <v>2523</v>
      </c>
      <c r="B1765" s="3" t="s">
        <v>2524</v>
      </c>
      <c r="C1765" s="3">
        <f>VLOOKUP(B1765,LifeList!$E$2:$J$2038,6)</f>
        <v>5827</v>
      </c>
      <c r="D1765" s="3" t="str">
        <f>VLOOKUP(B1765,LifeList!$E$2:$G$2038,1)</f>
        <v>Killdeer</v>
      </c>
      <c r="E1765" s="3" t="str">
        <f>VLOOKUP(B1765,LifeList!$E$2:$G$2038,2)</f>
        <v>Pluvier kildir</v>
      </c>
      <c r="F1765" s="3" t="str">
        <f>VLOOKUP(B1765,LifeList!$E$2:$G$2038,3)</f>
        <v>Charadrius vociferus</v>
      </c>
      <c r="G1765" s="3" t="str">
        <f>VLOOKUP(B1765,LifeList!$E$2:$I$2038,4)</f>
        <v>Charadriiformes</v>
      </c>
      <c r="H1765" s="3" t="str">
        <f>VLOOKUP(B1765,LifeList!$E$2:$I$2038,5)</f>
        <v>Charadriidae (Plovers and Lapwings)</v>
      </c>
      <c r="I1765" s="3"/>
    </row>
    <row r="1766" spans="1:9" ht="10.5" customHeight="1">
      <c r="A1766" s="3" t="s">
        <v>2525</v>
      </c>
      <c r="B1766" s="3" t="s">
        <v>2524</v>
      </c>
      <c r="C1766" s="3">
        <f>VLOOKUP(B1766,LifeList!$E$2:$J$2038,6)</f>
        <v>5827</v>
      </c>
      <c r="D1766" s="3" t="str">
        <f>VLOOKUP(B1766,LifeList!$E$2:$G$2038,1)</f>
        <v>Killdeer</v>
      </c>
      <c r="E1766" s="3" t="str">
        <f>VLOOKUP(B1766,LifeList!$E$2:$G$2038,2)</f>
        <v>Pluvier kildir</v>
      </c>
      <c r="F1766" s="3" t="str">
        <f>VLOOKUP(B1766,LifeList!$E$2:$G$2038,3)</f>
        <v>Charadrius vociferus</v>
      </c>
      <c r="G1766" s="3" t="str">
        <f>VLOOKUP(B1766,LifeList!$E$2:$I$2038,4)</f>
        <v>Charadriiformes</v>
      </c>
      <c r="H1766" s="3" t="str">
        <f>VLOOKUP(B1766,LifeList!$E$2:$I$2038,5)</f>
        <v>Charadriidae (Plovers and Lapwings)</v>
      </c>
      <c r="I1766" s="3"/>
    </row>
    <row r="1767" spans="1:9" ht="10.5" customHeight="1">
      <c r="A1767" s="3" t="s">
        <v>2526</v>
      </c>
      <c r="B1767" s="3" t="s">
        <v>2524</v>
      </c>
      <c r="C1767" s="3">
        <f>VLOOKUP(B1767,LifeList!$E$2:$J$2038,6)</f>
        <v>5827</v>
      </c>
      <c r="D1767" s="3" t="str">
        <f>VLOOKUP(B1767,LifeList!$E$2:$G$2038,1)</f>
        <v>Killdeer</v>
      </c>
      <c r="E1767" s="3" t="str">
        <f>VLOOKUP(B1767,LifeList!$E$2:$G$2038,2)</f>
        <v>Pluvier kildir</v>
      </c>
      <c r="F1767" s="3" t="str">
        <f>VLOOKUP(B1767,LifeList!$E$2:$G$2038,3)</f>
        <v>Charadrius vociferus</v>
      </c>
      <c r="G1767" s="3" t="str">
        <f>VLOOKUP(B1767,LifeList!$E$2:$I$2038,4)</f>
        <v>Charadriiformes</v>
      </c>
      <c r="H1767" s="3" t="str">
        <f>VLOOKUP(B1767,LifeList!$E$2:$I$2038,5)</f>
        <v>Charadriidae (Plovers and Lapwings)</v>
      </c>
      <c r="I1767" s="3"/>
    </row>
    <row r="1768" spans="1:9" ht="10.5" customHeight="1">
      <c r="A1768" s="3" t="s">
        <v>2527</v>
      </c>
      <c r="B1768" s="3" t="s">
        <v>2524</v>
      </c>
      <c r="C1768" s="3">
        <f>VLOOKUP(B1768,LifeList!$E$2:$J$2038,6)</f>
        <v>5827</v>
      </c>
      <c r="D1768" s="3" t="str">
        <f>VLOOKUP(B1768,LifeList!$E$2:$G$2038,1)</f>
        <v>Killdeer</v>
      </c>
      <c r="E1768" s="3" t="str">
        <f>VLOOKUP(B1768,LifeList!$E$2:$G$2038,2)</f>
        <v>Pluvier kildir</v>
      </c>
      <c r="F1768" s="3" t="str">
        <f>VLOOKUP(B1768,LifeList!$E$2:$G$2038,3)</f>
        <v>Charadrius vociferus</v>
      </c>
      <c r="G1768" s="3" t="str">
        <f>VLOOKUP(B1768,LifeList!$E$2:$I$2038,4)</f>
        <v>Charadriiformes</v>
      </c>
      <c r="H1768" s="3" t="str">
        <f>VLOOKUP(B1768,LifeList!$E$2:$I$2038,5)</f>
        <v>Charadriidae (Plovers and Lapwings)</v>
      </c>
      <c r="I1768" s="3"/>
    </row>
    <row r="1769" spans="1:9" ht="10.5" customHeight="1">
      <c r="A1769" s="3" t="s">
        <v>2528</v>
      </c>
      <c r="B1769" s="3" t="s">
        <v>2524</v>
      </c>
      <c r="C1769" s="3">
        <f>VLOOKUP(B1769,LifeList!$E$2:$J$2038,6)</f>
        <v>5827</v>
      </c>
      <c r="D1769" s="3" t="str">
        <f>VLOOKUP(B1769,LifeList!$E$2:$G$2038,1)</f>
        <v>Killdeer</v>
      </c>
      <c r="E1769" s="3" t="str">
        <f>VLOOKUP(B1769,LifeList!$E$2:$G$2038,2)</f>
        <v>Pluvier kildir</v>
      </c>
      <c r="F1769" s="3" t="str">
        <f>VLOOKUP(B1769,LifeList!$E$2:$G$2038,3)</f>
        <v>Charadrius vociferus</v>
      </c>
      <c r="G1769" s="3" t="str">
        <f>VLOOKUP(B1769,LifeList!$E$2:$I$2038,4)</f>
        <v>Charadriiformes</v>
      </c>
      <c r="H1769" s="3" t="str">
        <f>VLOOKUP(B1769,LifeList!$E$2:$I$2038,5)</f>
        <v>Charadriidae (Plovers and Lapwings)</v>
      </c>
      <c r="I1769" s="3"/>
    </row>
    <row r="1770" spans="1:9" ht="10.5" customHeight="1">
      <c r="A1770" s="3" t="s">
        <v>2529</v>
      </c>
      <c r="B1770" s="3" t="s">
        <v>2524</v>
      </c>
      <c r="C1770" s="3">
        <f>VLOOKUP(B1770,LifeList!$E$2:$J$2038,6)</f>
        <v>5827</v>
      </c>
      <c r="D1770" s="3" t="str">
        <f>VLOOKUP(B1770,LifeList!$E$2:$G$2038,1)</f>
        <v>Killdeer</v>
      </c>
      <c r="E1770" s="3" t="str">
        <f>VLOOKUP(B1770,LifeList!$E$2:$G$2038,2)</f>
        <v>Pluvier kildir</v>
      </c>
      <c r="F1770" s="3" t="str">
        <f>VLOOKUP(B1770,LifeList!$E$2:$G$2038,3)</f>
        <v>Charadrius vociferus</v>
      </c>
      <c r="G1770" s="3" t="str">
        <f>VLOOKUP(B1770,LifeList!$E$2:$I$2038,4)</f>
        <v>Charadriiformes</v>
      </c>
      <c r="H1770" s="3" t="str">
        <f>VLOOKUP(B1770,LifeList!$E$2:$I$2038,5)</f>
        <v>Charadriidae (Plovers and Lapwings)</v>
      </c>
      <c r="I1770" s="3"/>
    </row>
    <row r="1771" spans="1:9" ht="10.5" customHeight="1">
      <c r="A1771" s="3" t="s">
        <v>2530</v>
      </c>
      <c r="B1771" s="3" t="s">
        <v>2524</v>
      </c>
      <c r="C1771" s="3">
        <f>VLOOKUP(B1771,LifeList!$E$2:$J$2038,6)</f>
        <v>5827</v>
      </c>
      <c r="D1771" s="3" t="str">
        <f>VLOOKUP(B1771,LifeList!$E$2:$G$2038,1)</f>
        <v>Killdeer</v>
      </c>
      <c r="E1771" s="3" t="str">
        <f>VLOOKUP(B1771,LifeList!$E$2:$G$2038,2)</f>
        <v>Pluvier kildir</v>
      </c>
      <c r="F1771" s="3" t="str">
        <f>VLOOKUP(B1771,LifeList!$E$2:$G$2038,3)</f>
        <v>Charadrius vociferus</v>
      </c>
      <c r="G1771" s="3" t="str">
        <f>VLOOKUP(B1771,LifeList!$E$2:$I$2038,4)</f>
        <v>Charadriiformes</v>
      </c>
      <c r="H1771" s="3" t="str">
        <f>VLOOKUP(B1771,LifeList!$E$2:$I$2038,5)</f>
        <v>Charadriidae (Plovers and Lapwings)</v>
      </c>
      <c r="I1771" s="3"/>
    </row>
    <row r="1772" spans="1:9" ht="10.5" customHeight="1">
      <c r="A1772" s="3" t="s">
        <v>2531</v>
      </c>
      <c r="B1772" s="3" t="s">
        <v>2524</v>
      </c>
      <c r="C1772" s="3">
        <f>VLOOKUP(B1772,LifeList!$E$2:$J$2038,6)</f>
        <v>5827</v>
      </c>
      <c r="D1772" s="3" t="str">
        <f>VLOOKUP(B1772,LifeList!$E$2:$G$2038,1)</f>
        <v>Killdeer</v>
      </c>
      <c r="E1772" s="3" t="str">
        <f>VLOOKUP(B1772,LifeList!$E$2:$G$2038,2)</f>
        <v>Pluvier kildir</v>
      </c>
      <c r="F1772" s="3" t="str">
        <f>VLOOKUP(B1772,LifeList!$E$2:$G$2038,3)</f>
        <v>Charadrius vociferus</v>
      </c>
      <c r="G1772" s="3" t="str">
        <f>VLOOKUP(B1772,LifeList!$E$2:$I$2038,4)</f>
        <v>Charadriiformes</v>
      </c>
      <c r="H1772" s="3" t="str">
        <f>VLOOKUP(B1772,LifeList!$E$2:$I$2038,5)</f>
        <v>Charadriidae (Plovers and Lapwings)</v>
      </c>
      <c r="I1772" s="3"/>
    </row>
    <row r="1773" spans="1:9" ht="10.5" customHeight="1">
      <c r="A1773" s="3" t="s">
        <v>2532</v>
      </c>
      <c r="B1773" s="3" t="s">
        <v>2524</v>
      </c>
      <c r="C1773" s="3">
        <f>VLOOKUP(B1773,LifeList!$E$2:$J$2038,6)</f>
        <v>5827</v>
      </c>
      <c r="D1773" s="3" t="str">
        <f>VLOOKUP(B1773,LifeList!$E$2:$G$2038,1)</f>
        <v>Killdeer</v>
      </c>
      <c r="E1773" s="3" t="str">
        <f>VLOOKUP(B1773,LifeList!$E$2:$G$2038,2)</f>
        <v>Pluvier kildir</v>
      </c>
      <c r="F1773" s="3" t="str">
        <f>VLOOKUP(B1773,LifeList!$E$2:$G$2038,3)</f>
        <v>Charadrius vociferus</v>
      </c>
      <c r="G1773" s="3" t="str">
        <f>VLOOKUP(B1773,LifeList!$E$2:$I$2038,4)</f>
        <v>Charadriiformes</v>
      </c>
      <c r="H1773" s="3" t="str">
        <f>VLOOKUP(B1773,LifeList!$E$2:$I$2038,5)</f>
        <v>Charadriidae (Plovers and Lapwings)</v>
      </c>
      <c r="I1773" s="3"/>
    </row>
    <row r="1774" spans="1:9" ht="10.5" customHeight="1">
      <c r="A1774" s="3" t="s">
        <v>2533</v>
      </c>
      <c r="B1774" s="3" t="s">
        <v>2524</v>
      </c>
      <c r="C1774" s="3">
        <f>VLOOKUP(B1774,LifeList!$E$2:$J$2038,6)</f>
        <v>5827</v>
      </c>
      <c r="D1774" s="3" t="str">
        <f>VLOOKUP(B1774,LifeList!$E$2:$G$2038,1)</f>
        <v>Killdeer</v>
      </c>
      <c r="E1774" s="3" t="str">
        <f>VLOOKUP(B1774,LifeList!$E$2:$G$2038,2)</f>
        <v>Pluvier kildir</v>
      </c>
      <c r="F1774" s="3" t="str">
        <f>VLOOKUP(B1774,LifeList!$E$2:$G$2038,3)</f>
        <v>Charadrius vociferus</v>
      </c>
      <c r="G1774" s="3" t="str">
        <f>VLOOKUP(B1774,LifeList!$E$2:$I$2038,4)</f>
        <v>Charadriiformes</v>
      </c>
      <c r="H1774" s="3" t="str">
        <f>VLOOKUP(B1774,LifeList!$E$2:$I$2038,5)</f>
        <v>Charadriidae (Plovers and Lapwings)</v>
      </c>
      <c r="I1774" s="3"/>
    </row>
    <row r="1775" spans="1:9" ht="10.5" customHeight="1">
      <c r="A1775" s="3" t="s">
        <v>2534</v>
      </c>
      <c r="B1775" s="3" t="s">
        <v>2524</v>
      </c>
      <c r="C1775" s="3">
        <f>VLOOKUP(B1775,LifeList!$E$2:$J$2038,6)</f>
        <v>5827</v>
      </c>
      <c r="D1775" s="3" t="str">
        <f>VLOOKUP(B1775,LifeList!$E$2:$G$2038,1)</f>
        <v>Killdeer</v>
      </c>
      <c r="E1775" s="3" t="str">
        <f>VLOOKUP(B1775,LifeList!$E$2:$G$2038,2)</f>
        <v>Pluvier kildir</v>
      </c>
      <c r="F1775" s="3" t="str">
        <f>VLOOKUP(B1775,LifeList!$E$2:$G$2038,3)</f>
        <v>Charadrius vociferus</v>
      </c>
      <c r="G1775" s="3" t="str">
        <f>VLOOKUP(B1775,LifeList!$E$2:$I$2038,4)</f>
        <v>Charadriiformes</v>
      </c>
      <c r="H1775" s="3" t="str">
        <f>VLOOKUP(B1775,LifeList!$E$2:$I$2038,5)</f>
        <v>Charadriidae (Plovers and Lapwings)</v>
      </c>
      <c r="I1775" s="3"/>
    </row>
    <row r="1776" spans="1:9" ht="10.5" customHeight="1">
      <c r="A1776" s="3" t="s">
        <v>2535</v>
      </c>
      <c r="B1776" s="3" t="s">
        <v>2536</v>
      </c>
      <c r="C1776" s="3">
        <f>VLOOKUP(B1776,LifeList!$E$2:$J$2038,6)</f>
        <v>34059</v>
      </c>
      <c r="D1776" s="3" t="str">
        <f>VLOOKUP(B1776,LifeList!$E$2:$G$2038,1)</f>
        <v>Kirtland's Warbler</v>
      </c>
      <c r="E1776" s="3" t="str">
        <f>VLOOKUP(B1776,LifeList!$E$2:$G$2038,2)</f>
        <v>Paruline de Kirtland</v>
      </c>
      <c r="F1776" s="3" t="str">
        <f>VLOOKUP(B1776,LifeList!$E$2:$G$2038,3)</f>
        <v>Setophaga kirtlandii</v>
      </c>
      <c r="G1776" s="3" t="str">
        <f>VLOOKUP(B1776,LifeList!$E$2:$I$2038,4)</f>
        <v>Passeriformes</v>
      </c>
      <c r="H1776" s="3" t="str">
        <f>VLOOKUP(B1776,LifeList!$E$2:$I$2038,5)</f>
        <v>Parulidae (New World Warblers)</v>
      </c>
      <c r="I1776" s="3"/>
    </row>
    <row r="1777" spans="1:9" ht="10.5" customHeight="1">
      <c r="A1777" s="3" t="s">
        <v>2537</v>
      </c>
      <c r="B1777" s="3" t="s">
        <v>2538</v>
      </c>
      <c r="C1777" s="3">
        <f>VLOOKUP(B1777,LifeList!$E$2:$J$2038,6)</f>
        <v>5938</v>
      </c>
      <c r="D1777" s="3" t="str">
        <f>VLOOKUP(B1777,LifeList!$E$2:$G$2038,1)</f>
        <v>Kittlitz's Plover</v>
      </c>
      <c r="E1777" s="3" t="str">
        <f>VLOOKUP(B1777,LifeList!$E$2:$G$2038,2)</f>
        <v>Pluvier pâtre</v>
      </c>
      <c r="F1777" s="3" t="str">
        <f>VLOOKUP(B1777,LifeList!$E$2:$G$2038,3)</f>
        <v>Anarhynchus pecuarius</v>
      </c>
      <c r="G1777" s="3" t="str">
        <f>VLOOKUP(B1777,LifeList!$E$2:$I$2038,4)</f>
        <v>Charadriiformes</v>
      </c>
      <c r="H1777" s="3" t="str">
        <f>VLOOKUP(B1777,LifeList!$E$2:$I$2038,5)</f>
        <v>Charadriidae (Plovers and Lapwings)</v>
      </c>
      <c r="I1777" s="3"/>
    </row>
    <row r="1778" spans="1:9" ht="10.5" customHeight="1">
      <c r="A1778" s="3" t="s">
        <v>2539</v>
      </c>
      <c r="B1778" s="3" t="s">
        <v>2538</v>
      </c>
      <c r="C1778" s="3">
        <f>VLOOKUP(B1778,LifeList!$E$2:$J$2038,6)</f>
        <v>5938</v>
      </c>
      <c r="D1778" s="3" t="str">
        <f>VLOOKUP(B1778,LifeList!$E$2:$G$2038,1)</f>
        <v>Kittlitz's Plover</v>
      </c>
      <c r="E1778" s="3" t="str">
        <f>VLOOKUP(B1778,LifeList!$E$2:$G$2038,2)</f>
        <v>Pluvier pâtre</v>
      </c>
      <c r="F1778" s="3" t="str">
        <f>VLOOKUP(B1778,LifeList!$E$2:$G$2038,3)</f>
        <v>Anarhynchus pecuarius</v>
      </c>
      <c r="G1778" s="3" t="str">
        <f>VLOOKUP(B1778,LifeList!$E$2:$I$2038,4)</f>
        <v>Charadriiformes</v>
      </c>
      <c r="H1778" s="3" t="str">
        <f>VLOOKUP(B1778,LifeList!$E$2:$I$2038,5)</f>
        <v>Charadriidae (Plovers and Lapwings)</v>
      </c>
      <c r="I1778" s="3"/>
    </row>
    <row r="1779" spans="1:9" ht="10.5" customHeight="1">
      <c r="A1779" s="3" t="s">
        <v>2540</v>
      </c>
      <c r="B1779" s="3" t="s">
        <v>2538</v>
      </c>
      <c r="C1779" s="3">
        <f>VLOOKUP(B1779,LifeList!$E$2:$J$2038,6)</f>
        <v>5938</v>
      </c>
      <c r="D1779" s="3" t="str">
        <f>VLOOKUP(B1779,LifeList!$E$2:$G$2038,1)</f>
        <v>Kittlitz's Plover</v>
      </c>
      <c r="E1779" s="3" t="str">
        <f>VLOOKUP(B1779,LifeList!$E$2:$G$2038,2)</f>
        <v>Pluvier pâtre</v>
      </c>
      <c r="F1779" s="3" t="str">
        <f>VLOOKUP(B1779,LifeList!$E$2:$G$2038,3)</f>
        <v>Anarhynchus pecuarius</v>
      </c>
      <c r="G1779" s="3" t="str">
        <f>VLOOKUP(B1779,LifeList!$E$2:$I$2038,4)</f>
        <v>Charadriiformes</v>
      </c>
      <c r="H1779" s="3" t="str">
        <f>VLOOKUP(B1779,LifeList!$E$2:$I$2038,5)</f>
        <v>Charadriidae (Plovers and Lapwings)</v>
      </c>
      <c r="I1779" s="3"/>
    </row>
    <row r="1780" spans="1:9" ht="10.5" customHeight="1">
      <c r="A1780" s="3" t="s">
        <v>2541</v>
      </c>
      <c r="B1780" s="3" t="s">
        <v>2538</v>
      </c>
      <c r="C1780" s="3">
        <f>VLOOKUP(B1780,LifeList!$E$2:$J$2038,6)</f>
        <v>5938</v>
      </c>
      <c r="D1780" s="3" t="str">
        <f>VLOOKUP(B1780,LifeList!$E$2:$G$2038,1)</f>
        <v>Kittlitz's Plover</v>
      </c>
      <c r="E1780" s="3" t="str">
        <f>VLOOKUP(B1780,LifeList!$E$2:$G$2038,2)</f>
        <v>Pluvier pâtre</v>
      </c>
      <c r="F1780" s="3" t="str">
        <f>VLOOKUP(B1780,LifeList!$E$2:$G$2038,3)</f>
        <v>Anarhynchus pecuarius</v>
      </c>
      <c r="G1780" s="3" t="str">
        <f>VLOOKUP(B1780,LifeList!$E$2:$I$2038,4)</f>
        <v>Charadriiformes</v>
      </c>
      <c r="H1780" s="3" t="str">
        <f>VLOOKUP(B1780,LifeList!$E$2:$I$2038,5)</f>
        <v>Charadriidae (Plovers and Lapwings)</v>
      </c>
      <c r="I1780" s="3"/>
    </row>
    <row r="1781" spans="1:9" ht="10.5" customHeight="1">
      <c r="A1781" s="3" t="s">
        <v>2542</v>
      </c>
      <c r="B1781" s="3" t="s">
        <v>2538</v>
      </c>
      <c r="C1781" s="3">
        <f>VLOOKUP(B1781,LifeList!$E$2:$J$2038,6)</f>
        <v>5938</v>
      </c>
      <c r="D1781" s="3" t="str">
        <f>VLOOKUP(B1781,LifeList!$E$2:$G$2038,1)</f>
        <v>Kittlitz's Plover</v>
      </c>
      <c r="E1781" s="3" t="str">
        <f>VLOOKUP(B1781,LifeList!$E$2:$G$2038,2)</f>
        <v>Pluvier pâtre</v>
      </c>
      <c r="F1781" s="3" t="str">
        <f>VLOOKUP(B1781,LifeList!$E$2:$G$2038,3)</f>
        <v>Anarhynchus pecuarius</v>
      </c>
      <c r="G1781" s="3" t="str">
        <f>VLOOKUP(B1781,LifeList!$E$2:$I$2038,4)</f>
        <v>Charadriiformes</v>
      </c>
      <c r="H1781" s="3" t="str">
        <f>VLOOKUP(B1781,LifeList!$E$2:$I$2038,5)</f>
        <v>Charadriidae (Plovers and Lapwings)</v>
      </c>
      <c r="I1781" s="3"/>
    </row>
    <row r="1782" spans="1:9" ht="10.5" customHeight="1">
      <c r="A1782" s="3" t="s">
        <v>2543</v>
      </c>
      <c r="B1782" s="3" t="s">
        <v>2544</v>
      </c>
      <c r="C1782" s="3">
        <f>VLOOKUP(B1782,LifeList!$E$2:$J$2038,6)</f>
        <v>396</v>
      </c>
      <c r="D1782" s="3" t="str">
        <f>VLOOKUP(B1782,LifeList!$E$2:$G$2038,1)</f>
        <v>Knob-billed Duck</v>
      </c>
      <c r="E1782" s="3" t="str">
        <f>VLOOKUP(B1782,LifeList!$E$2:$G$2038,2)</f>
        <v>Canard à bosse</v>
      </c>
      <c r="F1782" s="3" t="str">
        <f>VLOOKUP(B1782,LifeList!$E$2:$G$2038,3)</f>
        <v>Sarkidiornis melanotos</v>
      </c>
      <c r="G1782" s="3" t="str">
        <f>VLOOKUP(B1782,LifeList!$E$2:$I$2038,4)</f>
        <v>Anseriformes</v>
      </c>
      <c r="H1782" s="3" t="str">
        <f>VLOOKUP(B1782,LifeList!$E$2:$I$2038,5)</f>
        <v>Anatidae (Ducks, Geese, and Waterfowl)</v>
      </c>
      <c r="I1782" s="3"/>
    </row>
    <row r="1783" spans="1:9" ht="10.5" customHeight="1">
      <c r="A1783" s="3" t="s">
        <v>2545</v>
      </c>
      <c r="B1783" s="3" t="s">
        <v>2546</v>
      </c>
      <c r="C1783" s="3">
        <f>VLOOKUP(B1783,LifeList!$E$2:$J$2038,6)</f>
        <v>2918</v>
      </c>
      <c r="D1783" s="3" t="str">
        <f>VLOOKUP(B1783,LifeList!$E$2:$G$2038,1)</f>
        <v>Kori Bustard</v>
      </c>
      <c r="E1783" s="3" t="str">
        <f>VLOOKUP(B1783,LifeList!$E$2:$G$2038,2)</f>
        <v>Outarde kori</v>
      </c>
      <c r="F1783" s="3" t="str">
        <f>VLOOKUP(B1783,LifeList!$E$2:$G$2038,3)</f>
        <v>Ardeotis kori</v>
      </c>
      <c r="G1783" s="3" t="str">
        <f>VLOOKUP(B1783,LifeList!$E$2:$I$2038,4)</f>
        <v>Otidiformes</v>
      </c>
      <c r="H1783" s="3" t="str">
        <f>VLOOKUP(B1783,LifeList!$E$2:$I$2038,5)</f>
        <v>Otididae (Bustards)</v>
      </c>
      <c r="I1783" s="3"/>
    </row>
    <row r="1784" spans="1:9" ht="10.5" customHeight="1">
      <c r="A1784" s="3" t="s">
        <v>2547</v>
      </c>
      <c r="B1784" s="3" t="s">
        <v>2546</v>
      </c>
      <c r="C1784" s="3">
        <f>VLOOKUP(B1784,LifeList!$E$2:$J$2038,6)</f>
        <v>2918</v>
      </c>
      <c r="D1784" s="3" t="str">
        <f>VLOOKUP(B1784,LifeList!$E$2:$G$2038,1)</f>
        <v>Kori Bustard</v>
      </c>
      <c r="E1784" s="3" t="str">
        <f>VLOOKUP(B1784,LifeList!$E$2:$G$2038,2)</f>
        <v>Outarde kori</v>
      </c>
      <c r="F1784" s="3" t="str">
        <f>VLOOKUP(B1784,LifeList!$E$2:$G$2038,3)</f>
        <v>Ardeotis kori</v>
      </c>
      <c r="G1784" s="3" t="str">
        <f>VLOOKUP(B1784,LifeList!$E$2:$I$2038,4)</f>
        <v>Otidiformes</v>
      </c>
      <c r="H1784" s="3" t="str">
        <f>VLOOKUP(B1784,LifeList!$E$2:$I$2038,5)</f>
        <v>Otididae (Bustards)</v>
      </c>
      <c r="I1784" s="3"/>
    </row>
    <row r="1785" spans="1:9" ht="10.5" customHeight="1">
      <c r="A1785" s="3" t="s">
        <v>2548</v>
      </c>
      <c r="B1785" s="3" t="s">
        <v>2546</v>
      </c>
      <c r="C1785" s="3">
        <f>VLOOKUP(B1785,LifeList!$E$2:$J$2038,6)</f>
        <v>2918</v>
      </c>
      <c r="D1785" s="3" t="str">
        <f>VLOOKUP(B1785,LifeList!$E$2:$G$2038,1)</f>
        <v>Kori Bustard</v>
      </c>
      <c r="E1785" s="3" t="str">
        <f>VLOOKUP(B1785,LifeList!$E$2:$G$2038,2)</f>
        <v>Outarde kori</v>
      </c>
      <c r="F1785" s="3" t="str">
        <f>VLOOKUP(B1785,LifeList!$E$2:$G$2038,3)</f>
        <v>Ardeotis kori</v>
      </c>
      <c r="G1785" s="3" t="str">
        <f>VLOOKUP(B1785,LifeList!$E$2:$I$2038,4)</f>
        <v>Otidiformes</v>
      </c>
      <c r="H1785" s="3" t="str">
        <f>VLOOKUP(B1785,LifeList!$E$2:$I$2038,5)</f>
        <v>Otididae (Bustards)</v>
      </c>
      <c r="I1785" s="3"/>
    </row>
    <row r="1786" spans="1:9" ht="10.5" customHeight="1">
      <c r="A1786" s="3" t="s">
        <v>2549</v>
      </c>
      <c r="B1786" s="3" t="s">
        <v>2546</v>
      </c>
      <c r="C1786" s="3">
        <f>VLOOKUP(B1786,LifeList!$E$2:$J$2038,6)</f>
        <v>2918</v>
      </c>
      <c r="D1786" s="3" t="str">
        <f>VLOOKUP(B1786,LifeList!$E$2:$G$2038,1)</f>
        <v>Kori Bustard</v>
      </c>
      <c r="E1786" s="3" t="str">
        <f>VLOOKUP(B1786,LifeList!$E$2:$G$2038,2)</f>
        <v>Outarde kori</v>
      </c>
      <c r="F1786" s="3" t="str">
        <f>VLOOKUP(B1786,LifeList!$E$2:$G$2038,3)</f>
        <v>Ardeotis kori</v>
      </c>
      <c r="G1786" s="3" t="str">
        <f>VLOOKUP(B1786,LifeList!$E$2:$I$2038,4)</f>
        <v>Otidiformes</v>
      </c>
      <c r="H1786" s="3" t="str">
        <f>VLOOKUP(B1786,LifeList!$E$2:$I$2038,5)</f>
        <v>Otididae (Bustards)</v>
      </c>
      <c r="I1786" s="3"/>
    </row>
    <row r="1787" spans="1:9" ht="10.5" customHeight="1">
      <c r="A1787" s="5" t="s">
        <v>2550</v>
      </c>
      <c r="B1787" s="3" t="s">
        <v>2551</v>
      </c>
      <c r="C1787" s="3">
        <f>VLOOKUP(B1787,LifeList!$E$2:$J$2038,6)</f>
        <v>28448</v>
      </c>
      <c r="D1787" s="3" t="str">
        <f>VLOOKUP(B1787,LifeList!$E$2:$G$2038,1)</f>
        <v>Kurrichane Thrush</v>
      </c>
      <c r="E1787" s="3" t="str">
        <f>VLOOKUP(B1787,LifeList!$E$2:$G$2038,2)</f>
        <v>Merle kurrichane</v>
      </c>
      <c r="F1787" s="3" t="str">
        <f>VLOOKUP(B1787,LifeList!$E$2:$G$2038,3)</f>
        <v>Turdus libonyana</v>
      </c>
      <c r="G1787" s="3" t="str">
        <f>VLOOKUP(B1787,LifeList!$E$2:$I$2038,4)</f>
        <v>Passeriformes</v>
      </c>
      <c r="H1787" s="3" t="str">
        <f>VLOOKUP(B1787,LifeList!$E$2:$I$2038,5)</f>
        <v>Turdidae (Thrushes and Allies)</v>
      </c>
      <c r="I1787" s="3"/>
    </row>
    <row r="1788" spans="1:9" ht="10.5" customHeight="1">
      <c r="A1788" s="3" t="s">
        <v>2552</v>
      </c>
      <c r="B1788" s="3" t="s">
        <v>2553</v>
      </c>
      <c r="C1788" s="3">
        <f>VLOOKUP(B1788,LifeList!$E$2:$J$2038,6)</f>
        <v>20005</v>
      </c>
      <c r="D1788" s="3" t="str">
        <f>VLOOKUP(B1788,LifeList!$E$2:$G$2038,1)</f>
        <v>Lafresnaye's Vanga</v>
      </c>
      <c r="E1788" s="3" t="str">
        <f>VLOOKUP(B1788,LifeList!$E$2:$G$2038,2)</f>
        <v>Vanga de Lafresnaye</v>
      </c>
      <c r="F1788" s="3" t="str">
        <f>VLOOKUP(B1788,LifeList!$E$2:$G$2038,3)</f>
        <v>Xenopirostris xenopirostris</v>
      </c>
      <c r="G1788" s="3" t="str">
        <f>VLOOKUP(B1788,LifeList!$E$2:$I$2038,4)</f>
        <v>Passeriformes</v>
      </c>
      <c r="H1788" s="3" t="str">
        <f>VLOOKUP(B1788,LifeList!$E$2:$I$2038,5)</f>
        <v>Vangidae (Vangas, Helmetshrikes, and Allies)</v>
      </c>
      <c r="I1788" s="3"/>
    </row>
    <row r="1789" spans="1:9" ht="10.5" customHeight="1">
      <c r="A1789" s="3" t="s">
        <v>2554</v>
      </c>
      <c r="B1789" s="3" t="s">
        <v>2553</v>
      </c>
      <c r="C1789" s="3">
        <f>VLOOKUP(B1789,LifeList!$E$2:$J$2038,6)</f>
        <v>20005</v>
      </c>
      <c r="D1789" s="3" t="str">
        <f>VLOOKUP(B1789,LifeList!$E$2:$G$2038,1)</f>
        <v>Lafresnaye's Vanga</v>
      </c>
      <c r="E1789" s="3" t="str">
        <f>VLOOKUP(B1789,LifeList!$E$2:$G$2038,2)</f>
        <v>Vanga de Lafresnaye</v>
      </c>
      <c r="F1789" s="3" t="str">
        <f>VLOOKUP(B1789,LifeList!$E$2:$G$2038,3)</f>
        <v>Xenopirostris xenopirostris</v>
      </c>
      <c r="G1789" s="3" t="str">
        <f>VLOOKUP(B1789,LifeList!$E$2:$I$2038,4)</f>
        <v>Passeriformes</v>
      </c>
      <c r="H1789" s="3" t="str">
        <f>VLOOKUP(B1789,LifeList!$E$2:$I$2038,5)</f>
        <v>Vangidae (Vangas, Helmetshrikes, and Allies)</v>
      </c>
      <c r="I1789" s="3"/>
    </row>
    <row r="1790" spans="1:9" ht="10.5" customHeight="1">
      <c r="A1790" s="3" t="s">
        <v>2555</v>
      </c>
      <c r="B1790" s="3" t="s">
        <v>2553</v>
      </c>
      <c r="C1790" s="3">
        <f>VLOOKUP(B1790,LifeList!$E$2:$J$2038,6)</f>
        <v>20005</v>
      </c>
      <c r="D1790" s="3" t="str">
        <f>VLOOKUP(B1790,LifeList!$E$2:$G$2038,1)</f>
        <v>Lafresnaye's Vanga</v>
      </c>
      <c r="E1790" s="3" t="str">
        <f>VLOOKUP(B1790,LifeList!$E$2:$G$2038,2)</f>
        <v>Vanga de Lafresnaye</v>
      </c>
      <c r="F1790" s="3" t="str">
        <f>VLOOKUP(B1790,LifeList!$E$2:$G$2038,3)</f>
        <v>Xenopirostris xenopirostris</v>
      </c>
      <c r="G1790" s="3" t="str">
        <f>VLOOKUP(B1790,LifeList!$E$2:$I$2038,4)</f>
        <v>Passeriformes</v>
      </c>
      <c r="H1790" s="3" t="str">
        <f>VLOOKUP(B1790,LifeList!$E$2:$I$2038,5)</f>
        <v>Vangidae (Vangas, Helmetshrikes, and Allies)</v>
      </c>
      <c r="I1790" s="3"/>
    </row>
    <row r="1791" spans="1:9" ht="10.5" customHeight="1">
      <c r="A1791" s="3" t="s">
        <v>2556</v>
      </c>
      <c r="B1791" s="3" t="s">
        <v>2557</v>
      </c>
      <c r="C1791" s="3">
        <f>VLOOKUP(B1791,LifeList!$E$2:$J$2038,6)</f>
        <v>15699</v>
      </c>
      <c r="D1791" s="3" t="str">
        <f>VLOOKUP(B1791,LifeList!$E$2:$G$2038,1)</f>
        <v>Lance-tailed Manakin</v>
      </c>
      <c r="E1791" s="3" t="str">
        <f>VLOOKUP(B1791,LifeList!$E$2:$G$2038,2)</f>
        <v>Manakin lancéolé</v>
      </c>
      <c r="F1791" s="3" t="str">
        <f>VLOOKUP(B1791,LifeList!$E$2:$G$2038,3)</f>
        <v>Chiroxiphia lanceolata</v>
      </c>
      <c r="G1791" s="3" t="str">
        <f>VLOOKUP(B1791,LifeList!$E$2:$I$2038,4)</f>
        <v>Passeriformes</v>
      </c>
      <c r="H1791" s="3" t="str">
        <f>VLOOKUP(B1791,LifeList!$E$2:$I$2038,5)</f>
        <v>Pipridae (Manakins)</v>
      </c>
      <c r="I1791" s="3"/>
    </row>
    <row r="1792" spans="1:9" ht="10.5" customHeight="1">
      <c r="A1792" s="3" t="s">
        <v>2558</v>
      </c>
      <c r="B1792" s="3" t="s">
        <v>2557</v>
      </c>
      <c r="C1792" s="3">
        <f>VLOOKUP(B1792,LifeList!$E$2:$J$2038,6)</f>
        <v>15699</v>
      </c>
      <c r="D1792" s="3" t="str">
        <f>VLOOKUP(B1792,LifeList!$E$2:$G$2038,1)</f>
        <v>Lance-tailed Manakin</v>
      </c>
      <c r="E1792" s="3" t="str">
        <f>VLOOKUP(B1792,LifeList!$E$2:$G$2038,2)</f>
        <v>Manakin lancéolé</v>
      </c>
      <c r="F1792" s="3" t="str">
        <f>VLOOKUP(B1792,LifeList!$E$2:$G$2038,3)</f>
        <v>Chiroxiphia lanceolata</v>
      </c>
      <c r="G1792" s="3" t="str">
        <f>VLOOKUP(B1792,LifeList!$E$2:$I$2038,4)</f>
        <v>Passeriformes</v>
      </c>
      <c r="H1792" s="3" t="str">
        <f>VLOOKUP(B1792,LifeList!$E$2:$I$2038,5)</f>
        <v>Pipridae (Manakins)</v>
      </c>
      <c r="I1792" s="3"/>
    </row>
    <row r="1793" spans="1:9" ht="10.5" customHeight="1">
      <c r="A1793" s="3" t="s">
        <v>2559</v>
      </c>
      <c r="B1793" s="3" t="s">
        <v>2557</v>
      </c>
      <c r="C1793" s="3">
        <f>VLOOKUP(B1793,LifeList!$E$2:$J$2038,6)</f>
        <v>15699</v>
      </c>
      <c r="D1793" s="3" t="str">
        <f>VLOOKUP(B1793,LifeList!$E$2:$G$2038,1)</f>
        <v>Lance-tailed Manakin</v>
      </c>
      <c r="E1793" s="3" t="str">
        <f>VLOOKUP(B1793,LifeList!$E$2:$G$2038,2)</f>
        <v>Manakin lancéolé</v>
      </c>
      <c r="F1793" s="3" t="str">
        <f>VLOOKUP(B1793,LifeList!$E$2:$G$2038,3)</f>
        <v>Chiroxiphia lanceolata</v>
      </c>
      <c r="G1793" s="3" t="str">
        <f>VLOOKUP(B1793,LifeList!$E$2:$I$2038,4)</f>
        <v>Passeriformes</v>
      </c>
      <c r="H1793" s="3" t="str">
        <f>VLOOKUP(B1793,LifeList!$E$2:$I$2038,5)</f>
        <v>Pipridae (Manakins)</v>
      </c>
      <c r="I1793" s="3"/>
    </row>
    <row r="1794" spans="1:9" ht="10.5" customHeight="1">
      <c r="A1794" s="3" t="s">
        <v>2560</v>
      </c>
      <c r="B1794" s="3" t="s">
        <v>2561</v>
      </c>
      <c r="C1794" s="3">
        <f>VLOOKUP(B1794,LifeList!$E$2:$J$2038,6)</f>
        <v>32664</v>
      </c>
      <c r="D1794" s="3" t="str">
        <f>VLOOKUP(B1794,LifeList!$E$2:$G$2038,1)</f>
        <v>Lapland Longspur</v>
      </c>
      <c r="E1794" s="3" t="str">
        <f>VLOOKUP(B1794,LifeList!$E$2:$G$2038,2)</f>
        <v>Plectrophane lapon</v>
      </c>
      <c r="F1794" s="3" t="str">
        <f>VLOOKUP(B1794,LifeList!$E$2:$G$2038,3)</f>
        <v>Calcarius lapponicus</v>
      </c>
      <c r="G1794" s="3" t="str">
        <f>VLOOKUP(B1794,LifeList!$E$2:$I$2038,4)</f>
        <v>Passeriformes</v>
      </c>
      <c r="H1794" s="3" t="str">
        <f>VLOOKUP(B1794,LifeList!$E$2:$I$2038,5)</f>
        <v>Calcariidae (Longspurs and Snow Buntings)</v>
      </c>
      <c r="I1794" s="3"/>
    </row>
    <row r="1795" spans="1:9" ht="10.5" customHeight="1">
      <c r="A1795" s="3" t="s">
        <v>2562</v>
      </c>
      <c r="B1795" s="3" t="s">
        <v>2563</v>
      </c>
      <c r="C1795" s="3">
        <f>VLOOKUP(B1795,LifeList!$E$2:$J$2038,6)</f>
        <v>7931</v>
      </c>
      <c r="D1795" s="3" t="str">
        <f>VLOOKUP(B1795,LifeList!$E$2:$G$2038,1)</f>
        <v>Lappet-faced Vulture</v>
      </c>
      <c r="E1795" s="3" t="str">
        <f>VLOOKUP(B1795,LifeList!$E$2:$G$2038,2)</f>
        <v>Vautour oricou</v>
      </c>
      <c r="F1795" s="3" t="str">
        <f>VLOOKUP(B1795,LifeList!$E$2:$G$2038,3)</f>
        <v>Torgos tracheliotos</v>
      </c>
      <c r="G1795" s="3" t="str">
        <f>VLOOKUP(B1795,LifeList!$E$2:$I$2038,4)</f>
        <v>Accipitriformes</v>
      </c>
      <c r="H1795" s="3" t="str">
        <f>VLOOKUP(B1795,LifeList!$E$2:$I$2038,5)</f>
        <v>Accipitridae (Hawks, Eagles, and Kites)</v>
      </c>
      <c r="I1795" s="3"/>
    </row>
    <row r="1796" spans="1:9" ht="10.5" customHeight="1">
      <c r="A1796" s="3" t="s">
        <v>2564</v>
      </c>
      <c r="B1796" s="3" t="s">
        <v>2563</v>
      </c>
      <c r="C1796" s="3">
        <f>VLOOKUP(B1796,LifeList!$E$2:$J$2038,6)</f>
        <v>7931</v>
      </c>
      <c r="D1796" s="3" t="str">
        <f>VLOOKUP(B1796,LifeList!$E$2:$G$2038,1)</f>
        <v>Lappet-faced Vulture</v>
      </c>
      <c r="E1796" s="3" t="str">
        <f>VLOOKUP(B1796,LifeList!$E$2:$G$2038,2)</f>
        <v>Vautour oricou</v>
      </c>
      <c r="F1796" s="3" t="str">
        <f>VLOOKUP(B1796,LifeList!$E$2:$G$2038,3)</f>
        <v>Torgos tracheliotos</v>
      </c>
      <c r="G1796" s="3" t="str">
        <f>VLOOKUP(B1796,LifeList!$E$2:$I$2038,4)</f>
        <v>Accipitriformes</v>
      </c>
      <c r="H1796" s="3" t="str">
        <f>VLOOKUP(B1796,LifeList!$E$2:$I$2038,5)</f>
        <v>Accipitridae (Hawks, Eagles, and Kites)</v>
      </c>
      <c r="I1796" s="3"/>
    </row>
    <row r="1797" spans="1:9" ht="10.5" customHeight="1">
      <c r="A1797" s="3" t="s">
        <v>2565</v>
      </c>
      <c r="B1797" s="3" t="s">
        <v>2566</v>
      </c>
      <c r="C1797" s="3">
        <f>VLOOKUP(B1797,LifeList!$E$2:$J$2038,6)</f>
        <v>33321</v>
      </c>
      <c r="D1797" s="3" t="str">
        <f>VLOOKUP(B1797,LifeList!$E$2:$G$2038,1)</f>
        <v>Large-footed Finch</v>
      </c>
      <c r="E1797" s="3" t="str">
        <f>VLOOKUP(B1797,LifeList!$E$2:$G$2038,2)</f>
        <v>Tohi à grands pieds</v>
      </c>
      <c r="F1797" s="3" t="str">
        <f>VLOOKUP(B1797,LifeList!$E$2:$G$2038,3)</f>
        <v>Pezopetes capitalis</v>
      </c>
      <c r="G1797" s="3" t="str">
        <f>VLOOKUP(B1797,LifeList!$E$2:$I$2038,4)</f>
        <v>Passeriformes</v>
      </c>
      <c r="H1797" s="3" t="str">
        <f>VLOOKUP(B1797,LifeList!$E$2:$I$2038,5)</f>
        <v>Passerellidae (New World Sparrows)</v>
      </c>
      <c r="I1797" s="3"/>
    </row>
    <row r="1798" spans="1:9" ht="10.5" customHeight="1">
      <c r="A1798" s="3" t="s">
        <v>2567</v>
      </c>
      <c r="B1798" s="3" t="s">
        <v>2566</v>
      </c>
      <c r="C1798" s="3">
        <f>VLOOKUP(B1798,LifeList!$E$2:$J$2038,6)</f>
        <v>33321</v>
      </c>
      <c r="D1798" s="3" t="str">
        <f>VLOOKUP(B1798,LifeList!$E$2:$G$2038,1)</f>
        <v>Large-footed Finch</v>
      </c>
      <c r="E1798" s="3" t="str">
        <f>VLOOKUP(B1798,LifeList!$E$2:$G$2038,2)</f>
        <v>Tohi à grands pieds</v>
      </c>
      <c r="F1798" s="3" t="str">
        <f>VLOOKUP(B1798,LifeList!$E$2:$G$2038,3)</f>
        <v>Pezopetes capitalis</v>
      </c>
      <c r="G1798" s="3" t="str">
        <f>VLOOKUP(B1798,LifeList!$E$2:$I$2038,4)</f>
        <v>Passeriformes</v>
      </c>
      <c r="H1798" s="3" t="str">
        <f>VLOOKUP(B1798,LifeList!$E$2:$I$2038,5)</f>
        <v>Passerellidae (New World Sparrows)</v>
      </c>
      <c r="I1798" s="3"/>
    </row>
    <row r="1799" spans="1:9" ht="10.5" customHeight="1">
      <c r="A1799" s="3" t="s">
        <v>2568</v>
      </c>
      <c r="B1799" s="3" t="s">
        <v>2566</v>
      </c>
      <c r="C1799" s="3">
        <f>VLOOKUP(B1799,LifeList!$E$2:$J$2038,6)</f>
        <v>33321</v>
      </c>
      <c r="D1799" s="3" t="str">
        <f>VLOOKUP(B1799,LifeList!$E$2:$G$2038,1)</f>
        <v>Large-footed Finch</v>
      </c>
      <c r="E1799" s="3" t="str">
        <f>VLOOKUP(B1799,LifeList!$E$2:$G$2038,2)</f>
        <v>Tohi à grands pieds</v>
      </c>
      <c r="F1799" s="3" t="str">
        <f>VLOOKUP(B1799,LifeList!$E$2:$G$2038,3)</f>
        <v>Pezopetes capitalis</v>
      </c>
      <c r="G1799" s="3" t="str">
        <f>VLOOKUP(B1799,LifeList!$E$2:$I$2038,4)</f>
        <v>Passeriformes</v>
      </c>
      <c r="H1799" s="3" t="str">
        <f>VLOOKUP(B1799,LifeList!$E$2:$I$2038,5)</f>
        <v>Passerellidae (New World Sparrows)</v>
      </c>
      <c r="I1799" s="3"/>
    </row>
    <row r="1800" spans="1:9" ht="10.5" customHeight="1">
      <c r="A1800" s="3" t="s">
        <v>2569</v>
      </c>
      <c r="B1800" s="3" t="s">
        <v>2570</v>
      </c>
      <c r="C1800" s="3">
        <f>VLOOKUP(B1800,LifeList!$E$2:$J$2038,6)</f>
        <v>32775</v>
      </c>
      <c r="D1800" s="3" t="str">
        <f>VLOOKUP(B1800,LifeList!$E$2:$G$2038,1)</f>
        <v>Lark-like Bunting</v>
      </c>
      <c r="E1800" s="3" t="str">
        <f>VLOOKUP(B1800,LifeList!$E$2:$G$2038,2)</f>
        <v>Bruant des rochers</v>
      </c>
      <c r="F1800" s="3" t="str">
        <f>VLOOKUP(B1800,LifeList!$E$2:$G$2038,3)</f>
        <v>Emberiza impetuani</v>
      </c>
      <c r="G1800" s="3" t="str">
        <f>VLOOKUP(B1800,LifeList!$E$2:$I$2038,4)</f>
        <v>Passeriformes</v>
      </c>
      <c r="H1800" s="3" t="str">
        <f>VLOOKUP(B1800,LifeList!$E$2:$I$2038,5)</f>
        <v>Emberizidae (Old World Buntings)</v>
      </c>
      <c r="I1800" s="3"/>
    </row>
    <row r="1801" spans="1:9" ht="10.5" customHeight="1">
      <c r="A1801" s="7" t="s">
        <v>2571</v>
      </c>
      <c r="B1801" s="9" t="s">
        <v>2572</v>
      </c>
      <c r="C1801" s="3">
        <f>VLOOKUP(B1801,LifeList!$E$2:$J$2038,6)</f>
        <v>6094</v>
      </c>
      <c r="D1801" s="3" t="str">
        <f>VLOOKUP(B1801,LifeList!$E$2:$G$2038,1)</f>
        <v>Latham's Snipe</v>
      </c>
      <c r="E1801" s="3" t="str">
        <f>VLOOKUP(B1801,LifeList!$E$2:$G$2038,2)</f>
        <v>Bécassine du Japon</v>
      </c>
      <c r="F1801" s="3" t="str">
        <f>VLOOKUP(B1801,LifeList!$E$2:$G$2038,3)</f>
        <v>Gallinago hardwickii</v>
      </c>
      <c r="G1801" s="3" t="str">
        <f>VLOOKUP(B1801,LifeList!$E$2:$I$2038,4)</f>
        <v>Charadriiformes</v>
      </c>
      <c r="H1801" s="3" t="str">
        <f>VLOOKUP(B1801,LifeList!$E$2:$I$2038,5)</f>
        <v>Scolopacidae (Sandpipers and Allies)</v>
      </c>
      <c r="I1801" s="3"/>
    </row>
    <row r="1802" spans="1:9" ht="10.5" customHeight="1">
      <c r="A1802" s="5" t="s">
        <v>2573</v>
      </c>
      <c r="B1802" s="3" t="s">
        <v>2574</v>
      </c>
      <c r="C1802" s="6">
        <f>VLOOKUP(B1802,LifeList!$E$2:$J$2038,6)</f>
        <v>2071</v>
      </c>
      <c r="D1802" s="3" t="str">
        <f>VLOOKUP(B1802,LifeList!$E$2:$G$2038,1)</f>
        <v>Laughing Dove</v>
      </c>
      <c r="E1802" s="3" t="str">
        <f>VLOOKUP(B1802,LifeList!$E$2:$G$2038,2)</f>
        <v>Tourterelle maillée</v>
      </c>
      <c r="F1802" s="3" t="str">
        <f>VLOOKUP(B1802,LifeList!$E$2:$G$2038,3)</f>
        <v>Spilopelia senegalensis</v>
      </c>
      <c r="G1802" s="3" t="str">
        <f>VLOOKUP(B1802,LifeList!$E$2:$I$2038,4)</f>
        <v>Columbiformes</v>
      </c>
      <c r="H1802" s="3" t="str">
        <f>VLOOKUP(B1802,LifeList!$E$2:$I$2038,5)</f>
        <v>Columbidae (Pigeons and Doves)</v>
      </c>
      <c r="I1802" s="3"/>
    </row>
    <row r="1803" spans="1:9" ht="10.5" customHeight="1">
      <c r="A1803" s="3" t="s">
        <v>2575</v>
      </c>
      <c r="B1803" s="3" t="s">
        <v>2576</v>
      </c>
      <c r="C1803" s="3">
        <f>VLOOKUP(B1803,LifeList!$E$2:$J$2038,6)</f>
        <v>11939</v>
      </c>
      <c r="D1803" s="3" t="str">
        <f>VLOOKUP(B1803,LifeList!$E$2:$G$2038,1)</f>
        <v>Laughing Falcon</v>
      </c>
      <c r="E1803" s="3" t="str">
        <f>VLOOKUP(B1803,LifeList!$E$2:$G$2038,2)</f>
        <v>Macagua rieur</v>
      </c>
      <c r="F1803" s="3" t="str">
        <f>VLOOKUP(B1803,LifeList!$E$2:$G$2038,3)</f>
        <v>Herpetotheres cachinnans</v>
      </c>
      <c r="G1803" s="3" t="str">
        <f>VLOOKUP(B1803,LifeList!$E$2:$I$2038,4)</f>
        <v>Falconiformes</v>
      </c>
      <c r="H1803" s="3" t="str">
        <f>VLOOKUP(B1803,LifeList!$E$2:$I$2038,5)</f>
        <v>Falconidae (Falcons and Caracaras)</v>
      </c>
      <c r="I1803" s="3"/>
    </row>
    <row r="1804" spans="1:9" ht="10.5" customHeight="1">
      <c r="A1804" s="3" t="s">
        <v>2577</v>
      </c>
      <c r="B1804" s="3" t="s">
        <v>2576</v>
      </c>
      <c r="C1804" s="3">
        <f>VLOOKUP(B1804,LifeList!$E$2:$J$2038,6)</f>
        <v>11939</v>
      </c>
      <c r="D1804" s="3" t="str">
        <f>VLOOKUP(B1804,LifeList!$E$2:$G$2038,1)</f>
        <v>Laughing Falcon</v>
      </c>
      <c r="E1804" s="3" t="str">
        <f>VLOOKUP(B1804,LifeList!$E$2:$G$2038,2)</f>
        <v>Macagua rieur</v>
      </c>
      <c r="F1804" s="3" t="str">
        <f>VLOOKUP(B1804,LifeList!$E$2:$G$2038,3)</f>
        <v>Herpetotheres cachinnans</v>
      </c>
      <c r="G1804" s="3" t="str">
        <f>VLOOKUP(B1804,LifeList!$E$2:$I$2038,4)</f>
        <v>Falconiformes</v>
      </c>
      <c r="H1804" s="3" t="str">
        <f>VLOOKUP(B1804,LifeList!$E$2:$I$2038,5)</f>
        <v>Falconidae (Falcons and Caracaras)</v>
      </c>
      <c r="I1804" s="3"/>
    </row>
    <row r="1805" spans="1:9" ht="10.5" customHeight="1">
      <c r="A1805" s="3" t="s">
        <v>2578</v>
      </c>
      <c r="B1805" s="3" t="s">
        <v>2579</v>
      </c>
      <c r="C1805" s="3">
        <f>VLOOKUP(B1805,LifeList!$E$2:$J$2038,6)</f>
        <v>6490</v>
      </c>
      <c r="D1805" s="3" t="str">
        <f>VLOOKUP(B1805,LifeList!$E$2:$G$2038,1)</f>
        <v>Laughing Gull</v>
      </c>
      <c r="E1805" s="3" t="str">
        <f>VLOOKUP(B1805,LifeList!$E$2:$G$2038,2)</f>
        <v>Mouette atricille</v>
      </c>
      <c r="F1805" s="3" t="str">
        <f>VLOOKUP(B1805,LifeList!$E$2:$G$2038,3)</f>
        <v>Leucophaeus atricilla</v>
      </c>
      <c r="G1805" s="3" t="str">
        <f>VLOOKUP(B1805,LifeList!$E$2:$I$2038,4)</f>
        <v>Charadriiformes</v>
      </c>
      <c r="H1805" s="3" t="str">
        <f>VLOOKUP(B1805,LifeList!$E$2:$I$2038,5)</f>
        <v>Laridae (Gulls, Terns, and Skimmers)</v>
      </c>
      <c r="I1805" s="3"/>
    </row>
    <row r="1806" spans="1:9" ht="10.5" customHeight="1">
      <c r="A1806" s="3" t="s">
        <v>2580</v>
      </c>
      <c r="B1806" s="3" t="s">
        <v>2579</v>
      </c>
      <c r="C1806" s="3">
        <f>VLOOKUP(B1806,LifeList!$E$2:$J$2038,6)</f>
        <v>6490</v>
      </c>
      <c r="D1806" s="3" t="str">
        <f>VLOOKUP(B1806,LifeList!$E$2:$G$2038,1)</f>
        <v>Laughing Gull</v>
      </c>
      <c r="E1806" s="3" t="str">
        <f>VLOOKUP(B1806,LifeList!$E$2:$G$2038,2)</f>
        <v>Mouette atricille</v>
      </c>
      <c r="F1806" s="3" t="str">
        <f>VLOOKUP(B1806,LifeList!$E$2:$G$2038,3)</f>
        <v>Leucophaeus atricilla</v>
      </c>
      <c r="G1806" s="3" t="str">
        <f>VLOOKUP(B1806,LifeList!$E$2:$I$2038,4)</f>
        <v>Charadriiformes</v>
      </c>
      <c r="H1806" s="3" t="str">
        <f>VLOOKUP(B1806,LifeList!$E$2:$I$2038,5)</f>
        <v>Laridae (Gulls, Terns, and Skimmers)</v>
      </c>
      <c r="I1806" s="3"/>
    </row>
    <row r="1807" spans="1:9" ht="10.5" customHeight="1">
      <c r="A1807" s="3" t="s">
        <v>2581</v>
      </c>
      <c r="B1807" s="3" t="s">
        <v>2579</v>
      </c>
      <c r="C1807" s="3">
        <f>VLOOKUP(B1807,LifeList!$E$2:$J$2038,6)</f>
        <v>6490</v>
      </c>
      <c r="D1807" s="3" t="str">
        <f>VLOOKUP(B1807,LifeList!$E$2:$G$2038,1)</f>
        <v>Laughing Gull</v>
      </c>
      <c r="E1807" s="3" t="str">
        <f>VLOOKUP(B1807,LifeList!$E$2:$G$2038,2)</f>
        <v>Mouette atricille</v>
      </c>
      <c r="F1807" s="3" t="str">
        <f>VLOOKUP(B1807,LifeList!$E$2:$G$2038,3)</f>
        <v>Leucophaeus atricilla</v>
      </c>
      <c r="G1807" s="3" t="str">
        <f>VLOOKUP(B1807,LifeList!$E$2:$I$2038,4)</f>
        <v>Charadriiformes</v>
      </c>
      <c r="H1807" s="3" t="str">
        <f>VLOOKUP(B1807,LifeList!$E$2:$I$2038,5)</f>
        <v>Laridae (Gulls, Terns, and Skimmers)</v>
      </c>
      <c r="I1807" s="3"/>
    </row>
    <row r="1808" spans="1:9" ht="10.5" customHeight="1">
      <c r="A1808" s="3" t="s">
        <v>2582</v>
      </c>
      <c r="B1808" s="3" t="s">
        <v>2579</v>
      </c>
      <c r="C1808" s="3">
        <f>VLOOKUP(B1808,LifeList!$E$2:$J$2038,6)</f>
        <v>6490</v>
      </c>
      <c r="D1808" s="3" t="str">
        <f>VLOOKUP(B1808,LifeList!$E$2:$G$2038,1)</f>
        <v>Laughing Gull</v>
      </c>
      <c r="E1808" s="3" t="str">
        <f>VLOOKUP(B1808,LifeList!$E$2:$G$2038,2)</f>
        <v>Mouette atricille</v>
      </c>
      <c r="F1808" s="3" t="str">
        <f>VLOOKUP(B1808,LifeList!$E$2:$G$2038,3)</f>
        <v>Leucophaeus atricilla</v>
      </c>
      <c r="G1808" s="3" t="str">
        <f>VLOOKUP(B1808,LifeList!$E$2:$I$2038,4)</f>
        <v>Charadriiformes</v>
      </c>
      <c r="H1808" s="3" t="str">
        <f>VLOOKUP(B1808,LifeList!$E$2:$I$2038,5)</f>
        <v>Laridae (Gulls, Terns, and Skimmers)</v>
      </c>
      <c r="I1808" s="3"/>
    </row>
    <row r="1809" spans="1:9" ht="10.5" customHeight="1">
      <c r="A1809" s="3" t="s">
        <v>2583</v>
      </c>
      <c r="B1809" s="3" t="s">
        <v>2579</v>
      </c>
      <c r="C1809" s="3">
        <f>VLOOKUP(B1809,LifeList!$E$2:$J$2038,6)</f>
        <v>6490</v>
      </c>
      <c r="D1809" s="3" t="str">
        <f>VLOOKUP(B1809,LifeList!$E$2:$G$2038,1)</f>
        <v>Laughing Gull</v>
      </c>
      <c r="E1809" s="3" t="str">
        <f>VLOOKUP(B1809,LifeList!$E$2:$G$2038,2)</f>
        <v>Mouette atricille</v>
      </c>
      <c r="F1809" s="3" t="str">
        <f>VLOOKUP(B1809,LifeList!$E$2:$G$2038,3)</f>
        <v>Leucophaeus atricilla</v>
      </c>
      <c r="G1809" s="3" t="str">
        <f>VLOOKUP(B1809,LifeList!$E$2:$I$2038,4)</f>
        <v>Charadriiformes</v>
      </c>
      <c r="H1809" s="3" t="str">
        <f>VLOOKUP(B1809,LifeList!$E$2:$I$2038,5)</f>
        <v>Laridae (Gulls, Terns, and Skimmers)</v>
      </c>
      <c r="I1809" s="3"/>
    </row>
    <row r="1810" spans="1:9" ht="10.5" customHeight="1">
      <c r="A1810" s="3" t="s">
        <v>2584</v>
      </c>
      <c r="B1810" s="3" t="s">
        <v>2579</v>
      </c>
      <c r="C1810" s="3">
        <f>VLOOKUP(B1810,LifeList!$E$2:$J$2038,6)</f>
        <v>6490</v>
      </c>
      <c r="D1810" s="3" t="str">
        <f>VLOOKUP(B1810,LifeList!$E$2:$G$2038,1)</f>
        <v>Laughing Gull</v>
      </c>
      <c r="E1810" s="3" t="str">
        <f>VLOOKUP(B1810,LifeList!$E$2:$G$2038,2)</f>
        <v>Mouette atricille</v>
      </c>
      <c r="F1810" s="3" t="str">
        <f>VLOOKUP(B1810,LifeList!$E$2:$G$2038,3)</f>
        <v>Leucophaeus atricilla</v>
      </c>
      <c r="G1810" s="3" t="str">
        <f>VLOOKUP(B1810,LifeList!$E$2:$I$2038,4)</f>
        <v>Charadriiformes</v>
      </c>
      <c r="H1810" s="3" t="str">
        <f>VLOOKUP(B1810,LifeList!$E$2:$I$2038,5)</f>
        <v>Laridae (Gulls, Terns, and Skimmers)</v>
      </c>
      <c r="I1810" s="3"/>
    </row>
    <row r="1811" spans="1:9" ht="10.5" customHeight="1">
      <c r="A1811" s="3" t="s">
        <v>2585</v>
      </c>
      <c r="B1811" s="3" t="s">
        <v>2586</v>
      </c>
      <c r="C1811" s="3">
        <f>VLOOKUP(B1811,LifeList!$E$2:$J$2038,6)</f>
        <v>10028</v>
      </c>
      <c r="D1811" s="3" t="str">
        <f>VLOOKUP(B1811,LifeList!$E$2:$G$2038,1)</f>
        <v>Laughing Kookaburra</v>
      </c>
      <c r="E1811" s="3" t="str">
        <f>VLOOKUP(B1811,LifeList!$E$2:$G$2038,2)</f>
        <v>Martin-chasseur géant</v>
      </c>
      <c r="F1811" s="3" t="str">
        <f>VLOOKUP(B1811,LifeList!$E$2:$G$2038,3)</f>
        <v>Dacelo novaeguineae</v>
      </c>
      <c r="G1811" s="3" t="str">
        <f>VLOOKUP(B1811,LifeList!$E$2:$I$2038,4)</f>
        <v>Coraciiformes</v>
      </c>
      <c r="H1811" s="3" t="str">
        <f>VLOOKUP(B1811,LifeList!$E$2:$I$2038,5)</f>
        <v>Alcedinidae (Kingfishers)</v>
      </c>
      <c r="I1811" s="3"/>
    </row>
    <row r="1812" spans="1:9" ht="10.5" customHeight="1">
      <c r="A1812" s="3" t="s">
        <v>2587</v>
      </c>
      <c r="B1812" s="3" t="s">
        <v>2586</v>
      </c>
      <c r="C1812" s="3">
        <f>VLOOKUP(B1812,LifeList!$E$2:$J$2038,6)</f>
        <v>10028</v>
      </c>
      <c r="D1812" s="3" t="str">
        <f>VLOOKUP(B1812,LifeList!$E$2:$G$2038,1)</f>
        <v>Laughing Kookaburra</v>
      </c>
      <c r="E1812" s="3" t="str">
        <f>VLOOKUP(B1812,LifeList!$E$2:$G$2038,2)</f>
        <v>Martin-chasseur géant</v>
      </c>
      <c r="F1812" s="3" t="str">
        <f>VLOOKUP(B1812,LifeList!$E$2:$G$2038,3)</f>
        <v>Dacelo novaeguineae</v>
      </c>
      <c r="G1812" s="3" t="str">
        <f>VLOOKUP(B1812,LifeList!$E$2:$I$2038,4)</f>
        <v>Coraciiformes</v>
      </c>
      <c r="H1812" s="3" t="str">
        <f>VLOOKUP(B1812,LifeList!$E$2:$I$2038,5)</f>
        <v>Alcedinidae (Kingfishers)</v>
      </c>
      <c r="I1812" s="3"/>
    </row>
    <row r="1813" spans="1:9" ht="10.5" customHeight="1">
      <c r="A1813" s="3" t="s">
        <v>2588</v>
      </c>
      <c r="B1813" s="3" t="s">
        <v>2586</v>
      </c>
      <c r="C1813" s="3">
        <f>VLOOKUP(B1813,LifeList!$E$2:$J$2038,6)</f>
        <v>10028</v>
      </c>
      <c r="D1813" s="3" t="str">
        <f>VLOOKUP(B1813,LifeList!$E$2:$G$2038,1)</f>
        <v>Laughing Kookaburra</v>
      </c>
      <c r="E1813" s="3" t="str">
        <f>VLOOKUP(B1813,LifeList!$E$2:$G$2038,2)</f>
        <v>Martin-chasseur géant</v>
      </c>
      <c r="F1813" s="3" t="str">
        <f>VLOOKUP(B1813,LifeList!$E$2:$G$2038,3)</f>
        <v>Dacelo novaeguineae</v>
      </c>
      <c r="G1813" s="3" t="str">
        <f>VLOOKUP(B1813,LifeList!$E$2:$I$2038,4)</f>
        <v>Coraciiformes</v>
      </c>
      <c r="H1813" s="3" t="str">
        <f>VLOOKUP(B1813,LifeList!$E$2:$I$2038,5)</f>
        <v>Alcedinidae (Kingfishers)</v>
      </c>
      <c r="I1813" s="3"/>
    </row>
    <row r="1814" spans="1:9" ht="10.5" customHeight="1">
      <c r="A1814" s="3" t="s">
        <v>2589</v>
      </c>
      <c r="B1814" s="3" t="s">
        <v>2586</v>
      </c>
      <c r="C1814" s="3">
        <f>VLOOKUP(B1814,LifeList!$E$2:$J$2038,6)</f>
        <v>10028</v>
      </c>
      <c r="D1814" s="3" t="str">
        <f>VLOOKUP(B1814,LifeList!$E$2:$G$2038,1)</f>
        <v>Laughing Kookaburra</v>
      </c>
      <c r="E1814" s="3" t="str">
        <f>VLOOKUP(B1814,LifeList!$E$2:$G$2038,2)</f>
        <v>Martin-chasseur géant</v>
      </c>
      <c r="F1814" s="3" t="str">
        <f>VLOOKUP(B1814,LifeList!$E$2:$G$2038,3)</f>
        <v>Dacelo novaeguineae</v>
      </c>
      <c r="G1814" s="3" t="str">
        <f>VLOOKUP(B1814,LifeList!$E$2:$I$2038,4)</f>
        <v>Coraciiformes</v>
      </c>
      <c r="H1814" s="3" t="str">
        <f>VLOOKUP(B1814,LifeList!$E$2:$I$2038,5)</f>
        <v>Alcedinidae (Kingfishers)</v>
      </c>
      <c r="I1814" s="3"/>
    </row>
    <row r="1815" spans="1:9" ht="10.5" customHeight="1">
      <c r="A1815" s="3" t="s">
        <v>2590</v>
      </c>
      <c r="B1815" s="3" t="s">
        <v>2586</v>
      </c>
      <c r="C1815" s="3">
        <f>VLOOKUP(B1815,LifeList!$E$2:$J$2038,6)</f>
        <v>10028</v>
      </c>
      <c r="D1815" s="3" t="str">
        <f>VLOOKUP(B1815,LifeList!$E$2:$G$2038,1)</f>
        <v>Laughing Kookaburra</v>
      </c>
      <c r="E1815" s="3" t="str">
        <f>VLOOKUP(B1815,LifeList!$E$2:$G$2038,2)</f>
        <v>Martin-chasseur géant</v>
      </c>
      <c r="F1815" s="3" t="str">
        <f>VLOOKUP(B1815,LifeList!$E$2:$G$2038,3)</f>
        <v>Dacelo novaeguineae</v>
      </c>
      <c r="G1815" s="3" t="str">
        <f>VLOOKUP(B1815,LifeList!$E$2:$I$2038,4)</f>
        <v>Coraciiformes</v>
      </c>
      <c r="H1815" s="3" t="str">
        <f>VLOOKUP(B1815,LifeList!$E$2:$I$2038,5)</f>
        <v>Alcedinidae (Kingfishers)</v>
      </c>
      <c r="I1815" s="3"/>
    </row>
    <row r="1816" spans="1:9" ht="10.5" customHeight="1">
      <c r="A1816" s="3" t="s">
        <v>2591</v>
      </c>
      <c r="B1816" s="3" t="s">
        <v>2592</v>
      </c>
      <c r="C1816" s="3">
        <f>VLOOKUP(B1816,LifeList!$E$2:$J$2038,6)</f>
        <v>7670</v>
      </c>
      <c r="D1816" s="3" t="str">
        <f>VLOOKUP(B1816,LifeList!$E$2:$G$2038,1)</f>
        <v>Lava Heron</v>
      </c>
      <c r="E1816" s="3" t="str">
        <f>VLOOKUP(B1816,LifeList!$E$2:$G$2038,2)</f>
        <v>Héron des Galapagos</v>
      </c>
      <c r="F1816" s="3" t="str">
        <f>VLOOKUP(B1816,LifeList!$E$2:$G$2038,3)</f>
        <v>Butorides sundevalli</v>
      </c>
      <c r="G1816" s="3" t="str">
        <f>VLOOKUP(B1816,LifeList!$E$2:$I$2038,4)</f>
        <v>Pelecaniformes</v>
      </c>
      <c r="H1816" s="3" t="str">
        <f>VLOOKUP(B1816,LifeList!$E$2:$I$2038,5)</f>
        <v>Ardeidae (Herons, Egrets, and Bitterns)</v>
      </c>
      <c r="I1816" s="3"/>
    </row>
    <row r="1817" spans="1:9" ht="10.5" customHeight="1">
      <c r="A1817" s="3" t="s">
        <v>2593</v>
      </c>
      <c r="B1817" s="3" t="s">
        <v>2594</v>
      </c>
      <c r="C1817" s="3">
        <f>VLOOKUP(B1817,LifeList!$E$2:$J$2038,6)</f>
        <v>4960</v>
      </c>
      <c r="D1817" s="3" t="str">
        <f>VLOOKUP(B1817,LifeList!$E$2:$G$2038,1)</f>
        <v>Lazuline Sabrewing</v>
      </c>
      <c r="E1817" s="3" t="str">
        <f>VLOOKUP(B1817,LifeList!$E$2:$G$2038,2)</f>
        <v>Campyloptère lazulite</v>
      </c>
      <c r="F1817" s="3" t="str">
        <f>VLOOKUP(B1817,LifeList!$E$2:$G$2038,3)</f>
        <v>Campylopterus falcatus</v>
      </c>
      <c r="G1817" s="3" t="str">
        <f>VLOOKUP(B1817,LifeList!$E$2:$I$2038,4)</f>
        <v>Apodiformes</v>
      </c>
      <c r="H1817" s="3" t="str">
        <f>VLOOKUP(B1817,LifeList!$E$2:$I$2038,5)</f>
        <v>Trochilidae (Hummingbirds)</v>
      </c>
      <c r="I1817" s="3"/>
    </row>
    <row r="1818" spans="1:9" ht="10.5" customHeight="1">
      <c r="A1818" s="3" t="s">
        <v>2595</v>
      </c>
      <c r="B1818" s="3" t="s">
        <v>2596</v>
      </c>
      <c r="C1818" s="3">
        <f>VLOOKUP(B1818,LifeList!$E$2:$J$2038,6)</f>
        <v>7565</v>
      </c>
      <c r="D1818" s="3" t="str">
        <f>VLOOKUP(B1818,LifeList!$E$2:$G$2038,1)</f>
        <v>Least Bittern</v>
      </c>
      <c r="E1818" s="3" t="str">
        <f>VLOOKUP(B1818,LifeList!$E$2:$G$2038,2)</f>
        <v>Petit Blongios</v>
      </c>
      <c r="F1818" s="3" t="str">
        <f>VLOOKUP(B1818,LifeList!$E$2:$G$2038,3)</f>
        <v>Botaurus exilis</v>
      </c>
      <c r="G1818" s="3" t="str">
        <f>VLOOKUP(B1818,LifeList!$E$2:$I$2038,4)</f>
        <v>Pelecaniformes</v>
      </c>
      <c r="H1818" s="3" t="str">
        <f>VLOOKUP(B1818,LifeList!$E$2:$I$2038,5)</f>
        <v>Ardeidae (Herons, Egrets, and Bitterns)</v>
      </c>
      <c r="I1818" s="3"/>
    </row>
    <row r="1819" spans="1:9" ht="10.5" customHeight="1">
      <c r="A1819" s="3" t="s">
        <v>2597</v>
      </c>
      <c r="B1819" s="3" t="s">
        <v>2596</v>
      </c>
      <c r="C1819" s="3">
        <f>VLOOKUP(B1819,LifeList!$E$2:$J$2038,6)</f>
        <v>7565</v>
      </c>
      <c r="D1819" s="3" t="str">
        <f>VLOOKUP(B1819,LifeList!$E$2:$G$2038,1)</f>
        <v>Least Bittern</v>
      </c>
      <c r="E1819" s="3" t="str">
        <f>VLOOKUP(B1819,LifeList!$E$2:$G$2038,2)</f>
        <v>Petit Blongios</v>
      </c>
      <c r="F1819" s="3" t="str">
        <f>VLOOKUP(B1819,LifeList!$E$2:$G$2038,3)</f>
        <v>Botaurus exilis</v>
      </c>
      <c r="G1819" s="3" t="str">
        <f>VLOOKUP(B1819,LifeList!$E$2:$I$2038,4)</f>
        <v>Pelecaniformes</v>
      </c>
      <c r="H1819" s="3" t="str">
        <f>VLOOKUP(B1819,LifeList!$E$2:$I$2038,5)</f>
        <v>Ardeidae (Herons, Egrets, and Bitterns)</v>
      </c>
      <c r="I1819" s="3"/>
    </row>
    <row r="1820" spans="1:9" ht="10.5" customHeight="1">
      <c r="A1820" s="3" t="s">
        <v>2598</v>
      </c>
      <c r="B1820" s="3" t="s">
        <v>2596</v>
      </c>
      <c r="C1820" s="3">
        <f>VLOOKUP(B1820,LifeList!$E$2:$J$2038,6)</f>
        <v>7565</v>
      </c>
      <c r="D1820" s="3" t="str">
        <f>VLOOKUP(B1820,LifeList!$E$2:$G$2038,1)</f>
        <v>Least Bittern</v>
      </c>
      <c r="E1820" s="3" t="str">
        <f>VLOOKUP(B1820,LifeList!$E$2:$G$2038,2)</f>
        <v>Petit Blongios</v>
      </c>
      <c r="F1820" s="3" t="str">
        <f>VLOOKUP(B1820,LifeList!$E$2:$G$2038,3)</f>
        <v>Botaurus exilis</v>
      </c>
      <c r="G1820" s="3" t="str">
        <f>VLOOKUP(B1820,LifeList!$E$2:$I$2038,4)</f>
        <v>Pelecaniformes</v>
      </c>
      <c r="H1820" s="3" t="str">
        <f>VLOOKUP(B1820,LifeList!$E$2:$I$2038,5)</f>
        <v>Ardeidae (Herons, Egrets, and Bitterns)</v>
      </c>
      <c r="I1820" s="3"/>
    </row>
    <row r="1821" spans="1:9" ht="10.5" customHeight="1">
      <c r="A1821" s="3" t="s">
        <v>2599</v>
      </c>
      <c r="B1821" s="3" t="s">
        <v>2596</v>
      </c>
      <c r="C1821" s="3">
        <f>VLOOKUP(B1821,LifeList!$E$2:$J$2038,6)</f>
        <v>7565</v>
      </c>
      <c r="D1821" s="3" t="str">
        <f>VLOOKUP(B1821,LifeList!$E$2:$G$2038,1)</f>
        <v>Least Bittern</v>
      </c>
      <c r="E1821" s="3" t="str">
        <f>VLOOKUP(B1821,LifeList!$E$2:$G$2038,2)</f>
        <v>Petit Blongios</v>
      </c>
      <c r="F1821" s="3" t="str">
        <f>VLOOKUP(B1821,LifeList!$E$2:$G$2038,3)</f>
        <v>Botaurus exilis</v>
      </c>
      <c r="G1821" s="3" t="str">
        <f>VLOOKUP(B1821,LifeList!$E$2:$I$2038,4)</f>
        <v>Pelecaniformes</v>
      </c>
      <c r="H1821" s="3" t="str">
        <f>VLOOKUP(B1821,LifeList!$E$2:$I$2038,5)</f>
        <v>Ardeidae (Herons, Egrets, and Bitterns)</v>
      </c>
      <c r="I1821" s="3"/>
    </row>
    <row r="1822" spans="1:9" ht="10.5" customHeight="1">
      <c r="A1822" s="3" t="s">
        <v>2600</v>
      </c>
      <c r="B1822" s="3" t="s">
        <v>2596</v>
      </c>
      <c r="C1822" s="3">
        <f>VLOOKUP(B1822,LifeList!$E$2:$J$2038,6)</f>
        <v>7565</v>
      </c>
      <c r="D1822" s="3" t="str">
        <f>VLOOKUP(B1822,LifeList!$E$2:$G$2038,1)</f>
        <v>Least Bittern</v>
      </c>
      <c r="E1822" s="3" t="str">
        <f>VLOOKUP(B1822,LifeList!$E$2:$G$2038,2)</f>
        <v>Petit Blongios</v>
      </c>
      <c r="F1822" s="3" t="str">
        <f>VLOOKUP(B1822,LifeList!$E$2:$G$2038,3)</f>
        <v>Botaurus exilis</v>
      </c>
      <c r="G1822" s="3" t="str">
        <f>VLOOKUP(B1822,LifeList!$E$2:$I$2038,4)</f>
        <v>Pelecaniformes</v>
      </c>
      <c r="H1822" s="3" t="str">
        <f>VLOOKUP(B1822,LifeList!$E$2:$I$2038,5)</f>
        <v>Ardeidae (Herons, Egrets, and Bitterns)</v>
      </c>
      <c r="I1822" s="3"/>
    </row>
    <row r="1823" spans="1:9" ht="10.5" customHeight="1">
      <c r="A1823" s="3" t="s">
        <v>2601</v>
      </c>
      <c r="B1823" s="3" t="s">
        <v>2602</v>
      </c>
      <c r="C1823" s="3">
        <f>VLOOKUP(B1823,LifeList!$E$2:$J$2038,6)</f>
        <v>16963</v>
      </c>
      <c r="D1823" s="3" t="str">
        <f>VLOOKUP(B1823,LifeList!$E$2:$G$2038,1)</f>
        <v>Least Flycatcher</v>
      </c>
      <c r="E1823" s="3" t="str">
        <f>VLOOKUP(B1823,LifeList!$E$2:$G$2038,2)</f>
        <v>Moucherolle tchébec</v>
      </c>
      <c r="F1823" s="3" t="str">
        <f>VLOOKUP(B1823,LifeList!$E$2:$G$2038,3)</f>
        <v>Empidonax minimus</v>
      </c>
      <c r="G1823" s="3" t="str">
        <f>VLOOKUP(B1823,LifeList!$E$2:$I$2038,4)</f>
        <v>Passeriformes</v>
      </c>
      <c r="H1823" s="3" t="str">
        <f>VLOOKUP(B1823,LifeList!$E$2:$I$2038,5)</f>
        <v>Tyrannidae (Tyrant Flycatchers)</v>
      </c>
      <c r="I1823" s="3"/>
    </row>
    <row r="1824" spans="1:9" ht="10.5" customHeight="1">
      <c r="A1824" s="3" t="s">
        <v>2603</v>
      </c>
      <c r="B1824" s="3" t="s">
        <v>2602</v>
      </c>
      <c r="C1824" s="3">
        <f>VLOOKUP(B1824,LifeList!$E$2:$J$2038,6)</f>
        <v>16963</v>
      </c>
      <c r="D1824" s="3" t="str">
        <f>VLOOKUP(B1824,LifeList!$E$2:$G$2038,1)</f>
        <v>Least Flycatcher</v>
      </c>
      <c r="E1824" s="3" t="str">
        <f>VLOOKUP(B1824,LifeList!$E$2:$G$2038,2)</f>
        <v>Moucherolle tchébec</v>
      </c>
      <c r="F1824" s="3" t="str">
        <f>VLOOKUP(B1824,LifeList!$E$2:$G$2038,3)</f>
        <v>Empidonax minimus</v>
      </c>
      <c r="G1824" s="3" t="str">
        <f>VLOOKUP(B1824,LifeList!$E$2:$I$2038,4)</f>
        <v>Passeriformes</v>
      </c>
      <c r="H1824" s="3" t="str">
        <f>VLOOKUP(B1824,LifeList!$E$2:$I$2038,5)</f>
        <v>Tyrannidae (Tyrant Flycatchers)</v>
      </c>
      <c r="I1824" s="3"/>
    </row>
    <row r="1825" spans="1:9" ht="10.5" customHeight="1">
      <c r="A1825" s="3" t="s">
        <v>2604</v>
      </c>
      <c r="B1825" s="3" t="s">
        <v>2602</v>
      </c>
      <c r="C1825" s="3">
        <f>VLOOKUP(B1825,LifeList!$E$2:$J$2038,6)</f>
        <v>16963</v>
      </c>
      <c r="D1825" s="3" t="str">
        <f>VLOOKUP(B1825,LifeList!$E$2:$G$2038,1)</f>
        <v>Least Flycatcher</v>
      </c>
      <c r="E1825" s="3" t="str">
        <f>VLOOKUP(B1825,LifeList!$E$2:$G$2038,2)</f>
        <v>Moucherolle tchébec</v>
      </c>
      <c r="F1825" s="3" t="str">
        <f>VLOOKUP(B1825,LifeList!$E$2:$G$2038,3)</f>
        <v>Empidonax minimus</v>
      </c>
      <c r="G1825" s="3" t="str">
        <f>VLOOKUP(B1825,LifeList!$E$2:$I$2038,4)</f>
        <v>Passeriformes</v>
      </c>
      <c r="H1825" s="3" t="str">
        <f>VLOOKUP(B1825,LifeList!$E$2:$I$2038,5)</f>
        <v>Tyrannidae (Tyrant Flycatchers)</v>
      </c>
      <c r="I1825" s="3"/>
    </row>
    <row r="1826" spans="1:9" ht="10.5" customHeight="1">
      <c r="A1826" s="3" t="s">
        <v>2605</v>
      </c>
      <c r="B1826" s="3" t="s">
        <v>2602</v>
      </c>
      <c r="C1826" s="3">
        <f>VLOOKUP(B1826,LifeList!$E$2:$J$2038,6)</f>
        <v>16963</v>
      </c>
      <c r="D1826" s="3" t="str">
        <f>VLOOKUP(B1826,LifeList!$E$2:$G$2038,1)</f>
        <v>Least Flycatcher</v>
      </c>
      <c r="E1826" s="3" t="str">
        <f>VLOOKUP(B1826,LifeList!$E$2:$G$2038,2)</f>
        <v>Moucherolle tchébec</v>
      </c>
      <c r="F1826" s="3" t="str">
        <f>VLOOKUP(B1826,LifeList!$E$2:$G$2038,3)</f>
        <v>Empidonax minimus</v>
      </c>
      <c r="G1826" s="3" t="str">
        <f>VLOOKUP(B1826,LifeList!$E$2:$I$2038,4)</f>
        <v>Passeriformes</v>
      </c>
      <c r="H1826" s="3" t="str">
        <f>VLOOKUP(B1826,LifeList!$E$2:$I$2038,5)</f>
        <v>Tyrannidae (Tyrant Flycatchers)</v>
      </c>
      <c r="I1826" s="3"/>
    </row>
    <row r="1827" spans="1:9" ht="10.5" customHeight="1">
      <c r="A1827" s="3" t="s">
        <v>2606</v>
      </c>
      <c r="B1827" s="3" t="s">
        <v>2602</v>
      </c>
      <c r="C1827" s="3">
        <f>VLOOKUP(B1827,LifeList!$E$2:$J$2038,6)</f>
        <v>16963</v>
      </c>
      <c r="D1827" s="3" t="str">
        <f>VLOOKUP(B1827,LifeList!$E$2:$G$2038,1)</f>
        <v>Least Flycatcher</v>
      </c>
      <c r="E1827" s="3" t="str">
        <f>VLOOKUP(B1827,LifeList!$E$2:$G$2038,2)</f>
        <v>Moucherolle tchébec</v>
      </c>
      <c r="F1827" s="3" t="str">
        <f>VLOOKUP(B1827,LifeList!$E$2:$G$2038,3)</f>
        <v>Empidonax minimus</v>
      </c>
      <c r="G1827" s="3" t="str">
        <f>VLOOKUP(B1827,LifeList!$E$2:$I$2038,4)</f>
        <v>Passeriformes</v>
      </c>
      <c r="H1827" s="3" t="str">
        <f>VLOOKUP(B1827,LifeList!$E$2:$I$2038,5)</f>
        <v>Tyrannidae (Tyrant Flycatchers)</v>
      </c>
      <c r="I1827" s="3"/>
    </row>
    <row r="1828" spans="1:9" ht="10.5" customHeight="1">
      <c r="A1828" s="3" t="s">
        <v>2607</v>
      </c>
      <c r="B1828" s="3" t="s">
        <v>2602</v>
      </c>
      <c r="C1828" s="3">
        <f>VLOOKUP(B1828,LifeList!$E$2:$J$2038,6)</f>
        <v>16963</v>
      </c>
      <c r="D1828" s="3" t="str">
        <f>VLOOKUP(B1828,LifeList!$E$2:$G$2038,1)</f>
        <v>Least Flycatcher</v>
      </c>
      <c r="E1828" s="3" t="str">
        <f>VLOOKUP(B1828,LifeList!$E$2:$G$2038,2)</f>
        <v>Moucherolle tchébec</v>
      </c>
      <c r="F1828" s="3" t="str">
        <f>VLOOKUP(B1828,LifeList!$E$2:$G$2038,3)</f>
        <v>Empidonax minimus</v>
      </c>
      <c r="G1828" s="3" t="str">
        <f>VLOOKUP(B1828,LifeList!$E$2:$I$2038,4)</f>
        <v>Passeriformes</v>
      </c>
      <c r="H1828" s="3" t="str">
        <f>VLOOKUP(B1828,LifeList!$E$2:$I$2038,5)</f>
        <v>Tyrannidae (Tyrant Flycatchers)</v>
      </c>
      <c r="I1828" s="3"/>
    </row>
    <row r="1829" spans="1:9" ht="10.5" customHeight="1">
      <c r="A1829" s="3" t="s">
        <v>2608</v>
      </c>
      <c r="B1829" s="3" t="s">
        <v>2602</v>
      </c>
      <c r="C1829" s="3">
        <f>VLOOKUP(B1829,LifeList!$E$2:$J$2038,6)</f>
        <v>16963</v>
      </c>
      <c r="D1829" s="3" t="str">
        <f>VLOOKUP(B1829,LifeList!$E$2:$G$2038,1)</f>
        <v>Least Flycatcher</v>
      </c>
      <c r="E1829" s="3" t="str">
        <f>VLOOKUP(B1829,LifeList!$E$2:$G$2038,2)</f>
        <v>Moucherolle tchébec</v>
      </c>
      <c r="F1829" s="3" t="str">
        <f>VLOOKUP(B1829,LifeList!$E$2:$G$2038,3)</f>
        <v>Empidonax minimus</v>
      </c>
      <c r="G1829" s="3" t="str">
        <f>VLOOKUP(B1829,LifeList!$E$2:$I$2038,4)</f>
        <v>Passeriformes</v>
      </c>
      <c r="H1829" s="3" t="str">
        <f>VLOOKUP(B1829,LifeList!$E$2:$I$2038,5)</f>
        <v>Tyrannidae (Tyrant Flycatchers)</v>
      </c>
      <c r="I1829" s="3"/>
    </row>
    <row r="1830" spans="1:9" ht="10.5" customHeight="1">
      <c r="A1830" s="3" t="s">
        <v>2609</v>
      </c>
      <c r="B1830" s="3" t="s">
        <v>2602</v>
      </c>
      <c r="C1830" s="3">
        <f>VLOOKUP(B1830,LifeList!$E$2:$J$2038,6)</f>
        <v>16963</v>
      </c>
      <c r="D1830" s="3" t="str">
        <f>VLOOKUP(B1830,LifeList!$E$2:$G$2038,1)</f>
        <v>Least Flycatcher</v>
      </c>
      <c r="E1830" s="3" t="str">
        <f>VLOOKUP(B1830,LifeList!$E$2:$G$2038,2)</f>
        <v>Moucherolle tchébec</v>
      </c>
      <c r="F1830" s="3" t="str">
        <f>VLOOKUP(B1830,LifeList!$E$2:$G$2038,3)</f>
        <v>Empidonax minimus</v>
      </c>
      <c r="G1830" s="3" t="str">
        <f>VLOOKUP(B1830,LifeList!$E$2:$I$2038,4)</f>
        <v>Passeriformes</v>
      </c>
      <c r="H1830" s="3" t="str">
        <f>VLOOKUP(B1830,LifeList!$E$2:$I$2038,5)</f>
        <v>Tyrannidae (Tyrant Flycatchers)</v>
      </c>
      <c r="I1830" s="3"/>
    </row>
    <row r="1831" spans="1:9" ht="10.5" customHeight="1">
      <c r="A1831" s="3" t="s">
        <v>2610</v>
      </c>
      <c r="B1831" s="3" t="s">
        <v>2602</v>
      </c>
      <c r="C1831" s="3">
        <f>VLOOKUP(B1831,LifeList!$E$2:$J$2038,6)</f>
        <v>16963</v>
      </c>
      <c r="D1831" s="3" t="str">
        <f>VLOOKUP(B1831,LifeList!$E$2:$G$2038,1)</f>
        <v>Least Flycatcher</v>
      </c>
      <c r="E1831" s="3" t="str">
        <f>VLOOKUP(B1831,LifeList!$E$2:$G$2038,2)</f>
        <v>Moucherolle tchébec</v>
      </c>
      <c r="F1831" s="3" t="str">
        <f>VLOOKUP(B1831,LifeList!$E$2:$G$2038,3)</f>
        <v>Empidonax minimus</v>
      </c>
      <c r="G1831" s="3" t="str">
        <f>VLOOKUP(B1831,LifeList!$E$2:$I$2038,4)</f>
        <v>Passeriformes</v>
      </c>
      <c r="H1831" s="3" t="str">
        <f>VLOOKUP(B1831,LifeList!$E$2:$I$2038,5)</f>
        <v>Tyrannidae (Tyrant Flycatchers)</v>
      </c>
      <c r="I1831" s="3"/>
    </row>
    <row r="1832" spans="1:9" ht="10.5" customHeight="1">
      <c r="A1832" s="3" t="s">
        <v>2611</v>
      </c>
      <c r="B1832" s="3" t="s">
        <v>2602</v>
      </c>
      <c r="C1832" s="3">
        <f>VLOOKUP(B1832,LifeList!$E$2:$J$2038,6)</f>
        <v>16963</v>
      </c>
      <c r="D1832" s="3" t="str">
        <f>VLOOKUP(B1832,LifeList!$E$2:$G$2038,1)</f>
        <v>Least Flycatcher</v>
      </c>
      <c r="E1832" s="3" t="str">
        <f>VLOOKUP(B1832,LifeList!$E$2:$G$2038,2)</f>
        <v>Moucherolle tchébec</v>
      </c>
      <c r="F1832" s="3" t="str">
        <f>VLOOKUP(B1832,LifeList!$E$2:$G$2038,3)</f>
        <v>Empidonax minimus</v>
      </c>
      <c r="G1832" s="3" t="str">
        <f>VLOOKUP(B1832,LifeList!$E$2:$I$2038,4)</f>
        <v>Passeriformes</v>
      </c>
      <c r="H1832" s="3" t="str">
        <f>VLOOKUP(B1832,LifeList!$E$2:$I$2038,5)</f>
        <v>Tyrannidae (Tyrant Flycatchers)</v>
      </c>
      <c r="I1832" s="3"/>
    </row>
    <row r="1833" spans="1:9" ht="10.5" customHeight="1">
      <c r="A1833" s="3" t="s">
        <v>2612</v>
      </c>
      <c r="B1833" s="3" t="s">
        <v>2602</v>
      </c>
      <c r="C1833" s="3">
        <f>VLOOKUP(B1833,LifeList!$E$2:$J$2038,6)</f>
        <v>16963</v>
      </c>
      <c r="D1833" s="3" t="str">
        <f>VLOOKUP(B1833,LifeList!$E$2:$G$2038,1)</f>
        <v>Least Flycatcher</v>
      </c>
      <c r="E1833" s="3" t="str">
        <f>VLOOKUP(B1833,LifeList!$E$2:$G$2038,2)</f>
        <v>Moucherolle tchébec</v>
      </c>
      <c r="F1833" s="3" t="str">
        <f>VLOOKUP(B1833,LifeList!$E$2:$G$2038,3)</f>
        <v>Empidonax minimus</v>
      </c>
      <c r="G1833" s="3" t="str">
        <f>VLOOKUP(B1833,LifeList!$E$2:$I$2038,4)</f>
        <v>Passeriformes</v>
      </c>
      <c r="H1833" s="3" t="str">
        <f>VLOOKUP(B1833,LifeList!$E$2:$I$2038,5)</f>
        <v>Tyrannidae (Tyrant Flycatchers)</v>
      </c>
      <c r="I1833" s="3"/>
    </row>
    <row r="1834" spans="1:9" ht="10.5" customHeight="1">
      <c r="A1834" s="3" t="s">
        <v>2613</v>
      </c>
      <c r="B1834" s="3" t="s">
        <v>2602</v>
      </c>
      <c r="C1834" s="3">
        <f>VLOOKUP(B1834,LifeList!$E$2:$J$2038,6)</f>
        <v>16963</v>
      </c>
      <c r="D1834" s="3" t="str">
        <f>VLOOKUP(B1834,LifeList!$E$2:$G$2038,1)</f>
        <v>Least Flycatcher</v>
      </c>
      <c r="E1834" s="3" t="str">
        <f>VLOOKUP(B1834,LifeList!$E$2:$G$2038,2)</f>
        <v>Moucherolle tchébec</v>
      </c>
      <c r="F1834" s="3" t="str">
        <f>VLOOKUP(B1834,LifeList!$E$2:$G$2038,3)</f>
        <v>Empidonax minimus</v>
      </c>
      <c r="G1834" s="3" t="str">
        <f>VLOOKUP(B1834,LifeList!$E$2:$I$2038,4)</f>
        <v>Passeriformes</v>
      </c>
      <c r="H1834" s="3" t="str">
        <f>VLOOKUP(B1834,LifeList!$E$2:$I$2038,5)</f>
        <v>Tyrannidae (Tyrant Flycatchers)</v>
      </c>
      <c r="I1834" s="3"/>
    </row>
    <row r="1835" spans="1:9" ht="10.5" customHeight="1">
      <c r="A1835" s="3" t="s">
        <v>2614</v>
      </c>
      <c r="B1835" s="3" t="s">
        <v>2615</v>
      </c>
      <c r="C1835" s="3">
        <f>VLOOKUP(B1835,LifeList!$E$2:$J$2038,6)</f>
        <v>6849</v>
      </c>
      <c r="D1835" s="3" t="str">
        <f>VLOOKUP(B1835,LifeList!$E$2:$G$2038,1)</f>
        <v>Least Grebe</v>
      </c>
      <c r="E1835" s="3" t="str">
        <f>VLOOKUP(B1835,LifeList!$E$2:$G$2038,2)</f>
        <v>Grèbe minime</v>
      </c>
      <c r="F1835" s="3" t="str">
        <f>VLOOKUP(B1835,LifeList!$E$2:$G$2038,3)</f>
        <v>Tachybaptus dominicus</v>
      </c>
      <c r="G1835" s="3" t="str">
        <f>VLOOKUP(B1835,LifeList!$E$2:$I$2038,4)</f>
        <v>Podicipediformes</v>
      </c>
      <c r="H1835" s="3" t="str">
        <f>VLOOKUP(B1835,LifeList!$E$2:$I$2038,5)</f>
        <v>Podicipedidae (Grebes)</v>
      </c>
      <c r="I1835" s="3"/>
    </row>
    <row r="1836" spans="1:9" ht="10.5" customHeight="1">
      <c r="A1836" s="3" t="s">
        <v>2616</v>
      </c>
      <c r="B1836" s="3" t="s">
        <v>2615</v>
      </c>
      <c r="C1836" s="3">
        <f>VLOOKUP(B1836,LifeList!$E$2:$J$2038,6)</f>
        <v>6849</v>
      </c>
      <c r="D1836" s="3" t="str">
        <f>VLOOKUP(B1836,LifeList!$E$2:$G$2038,1)</f>
        <v>Least Grebe</v>
      </c>
      <c r="E1836" s="3" t="str">
        <f>VLOOKUP(B1836,LifeList!$E$2:$G$2038,2)</f>
        <v>Grèbe minime</v>
      </c>
      <c r="F1836" s="3" t="str">
        <f>VLOOKUP(B1836,LifeList!$E$2:$G$2038,3)</f>
        <v>Tachybaptus dominicus</v>
      </c>
      <c r="G1836" s="3" t="str">
        <f>VLOOKUP(B1836,LifeList!$E$2:$I$2038,4)</f>
        <v>Podicipediformes</v>
      </c>
      <c r="H1836" s="3" t="str">
        <f>VLOOKUP(B1836,LifeList!$E$2:$I$2038,5)</f>
        <v>Podicipedidae (Grebes)</v>
      </c>
      <c r="I1836" s="3"/>
    </row>
    <row r="1837" spans="1:9" ht="10.5" customHeight="1">
      <c r="A1837" s="3" t="s">
        <v>2617</v>
      </c>
      <c r="B1837" s="3" t="s">
        <v>2618</v>
      </c>
      <c r="C1837" s="3">
        <f>VLOOKUP(B1837,LifeList!$E$2:$J$2038,6)</f>
        <v>6226</v>
      </c>
      <c r="D1837" s="3" t="str">
        <f>VLOOKUP(B1837,LifeList!$E$2:$G$2038,1)</f>
        <v>Least Sandpiper</v>
      </c>
      <c r="E1837" s="3" t="str">
        <f>VLOOKUP(B1837,LifeList!$E$2:$G$2038,2)</f>
        <v>Bécasseau minuscule</v>
      </c>
      <c r="F1837" s="3" t="str">
        <f>VLOOKUP(B1837,LifeList!$E$2:$G$2038,3)</f>
        <v>Calidris minutilla</v>
      </c>
      <c r="G1837" s="3" t="str">
        <f>VLOOKUP(B1837,LifeList!$E$2:$I$2038,4)</f>
        <v>Charadriiformes</v>
      </c>
      <c r="H1837" s="3" t="str">
        <f>VLOOKUP(B1837,LifeList!$E$2:$I$2038,5)</f>
        <v>Scolopacidae (Sandpipers and Allies)</v>
      </c>
      <c r="I1837" s="3"/>
    </row>
    <row r="1838" spans="1:9" ht="10.5" customHeight="1">
      <c r="A1838" s="3" t="s">
        <v>2619</v>
      </c>
      <c r="B1838" s="3" t="s">
        <v>2618</v>
      </c>
      <c r="C1838" s="3">
        <f>VLOOKUP(B1838,LifeList!$E$2:$J$2038,6)</f>
        <v>6226</v>
      </c>
      <c r="D1838" s="3" t="str">
        <f>VLOOKUP(B1838,LifeList!$E$2:$G$2038,1)</f>
        <v>Least Sandpiper</v>
      </c>
      <c r="E1838" s="3" t="str">
        <f>VLOOKUP(B1838,LifeList!$E$2:$G$2038,2)</f>
        <v>Bécasseau minuscule</v>
      </c>
      <c r="F1838" s="3" t="str">
        <f>VLOOKUP(B1838,LifeList!$E$2:$G$2038,3)</f>
        <v>Calidris minutilla</v>
      </c>
      <c r="G1838" s="3" t="str">
        <f>VLOOKUP(B1838,LifeList!$E$2:$I$2038,4)</f>
        <v>Charadriiformes</v>
      </c>
      <c r="H1838" s="3" t="str">
        <f>VLOOKUP(B1838,LifeList!$E$2:$I$2038,5)</f>
        <v>Scolopacidae (Sandpipers and Allies)</v>
      </c>
      <c r="I1838" s="3"/>
    </row>
    <row r="1839" spans="1:9" ht="10.5" customHeight="1">
      <c r="A1839" s="3" t="s">
        <v>2620</v>
      </c>
      <c r="B1839" s="3" t="s">
        <v>2618</v>
      </c>
      <c r="C1839" s="3">
        <f>VLOOKUP(B1839,LifeList!$E$2:$J$2038,6)</f>
        <v>6226</v>
      </c>
      <c r="D1839" s="3" t="str">
        <f>VLOOKUP(B1839,LifeList!$E$2:$G$2038,1)</f>
        <v>Least Sandpiper</v>
      </c>
      <c r="E1839" s="3" t="str">
        <f>VLOOKUP(B1839,LifeList!$E$2:$G$2038,2)</f>
        <v>Bécasseau minuscule</v>
      </c>
      <c r="F1839" s="3" t="str">
        <f>VLOOKUP(B1839,LifeList!$E$2:$G$2038,3)</f>
        <v>Calidris minutilla</v>
      </c>
      <c r="G1839" s="3" t="str">
        <f>VLOOKUP(B1839,LifeList!$E$2:$I$2038,4)</f>
        <v>Charadriiformes</v>
      </c>
      <c r="H1839" s="3" t="str">
        <f>VLOOKUP(B1839,LifeList!$E$2:$I$2038,5)</f>
        <v>Scolopacidae (Sandpipers and Allies)</v>
      </c>
      <c r="I1839" s="3"/>
    </row>
    <row r="1840" spans="1:9" ht="10.5" customHeight="1">
      <c r="A1840" s="3" t="s">
        <v>2621</v>
      </c>
      <c r="B1840" s="3" t="s">
        <v>2618</v>
      </c>
      <c r="C1840" s="3">
        <f>VLOOKUP(B1840,LifeList!$E$2:$J$2038,6)</f>
        <v>6226</v>
      </c>
      <c r="D1840" s="3" t="str">
        <f>VLOOKUP(B1840,LifeList!$E$2:$G$2038,1)</f>
        <v>Least Sandpiper</v>
      </c>
      <c r="E1840" s="3" t="str">
        <f>VLOOKUP(B1840,LifeList!$E$2:$G$2038,2)</f>
        <v>Bécasseau minuscule</v>
      </c>
      <c r="F1840" s="3" t="str">
        <f>VLOOKUP(B1840,LifeList!$E$2:$G$2038,3)</f>
        <v>Calidris minutilla</v>
      </c>
      <c r="G1840" s="3" t="str">
        <f>VLOOKUP(B1840,LifeList!$E$2:$I$2038,4)</f>
        <v>Charadriiformes</v>
      </c>
      <c r="H1840" s="3" t="str">
        <f>VLOOKUP(B1840,LifeList!$E$2:$I$2038,5)</f>
        <v>Scolopacidae (Sandpipers and Allies)</v>
      </c>
      <c r="I1840" s="3"/>
    </row>
    <row r="1841" spans="1:9" ht="10.5" customHeight="1">
      <c r="A1841" s="3" t="s">
        <v>2622</v>
      </c>
      <c r="B1841" s="3" t="s">
        <v>2618</v>
      </c>
      <c r="C1841" s="3">
        <f>VLOOKUP(B1841,LifeList!$E$2:$J$2038,6)</f>
        <v>6226</v>
      </c>
      <c r="D1841" s="3" t="str">
        <f>VLOOKUP(B1841,LifeList!$E$2:$G$2038,1)</f>
        <v>Least Sandpiper</v>
      </c>
      <c r="E1841" s="3" t="str">
        <f>VLOOKUP(B1841,LifeList!$E$2:$G$2038,2)</f>
        <v>Bécasseau minuscule</v>
      </c>
      <c r="F1841" s="3" t="str">
        <f>VLOOKUP(B1841,LifeList!$E$2:$G$2038,3)</f>
        <v>Calidris minutilla</v>
      </c>
      <c r="G1841" s="3" t="str">
        <f>VLOOKUP(B1841,LifeList!$E$2:$I$2038,4)</f>
        <v>Charadriiformes</v>
      </c>
      <c r="H1841" s="3" t="str">
        <f>VLOOKUP(B1841,LifeList!$E$2:$I$2038,5)</f>
        <v>Scolopacidae (Sandpipers and Allies)</v>
      </c>
      <c r="I1841" s="3"/>
    </row>
    <row r="1842" spans="1:9" ht="10.5" customHeight="1">
      <c r="A1842" s="3" t="s">
        <v>2623</v>
      </c>
      <c r="B1842" s="3" t="s">
        <v>2618</v>
      </c>
      <c r="C1842" s="3">
        <f>VLOOKUP(B1842,LifeList!$E$2:$J$2038,6)</f>
        <v>6226</v>
      </c>
      <c r="D1842" s="3" t="str">
        <f>VLOOKUP(B1842,LifeList!$E$2:$G$2038,1)</f>
        <v>Least Sandpiper</v>
      </c>
      <c r="E1842" s="3" t="str">
        <f>VLOOKUP(B1842,LifeList!$E$2:$G$2038,2)</f>
        <v>Bécasseau minuscule</v>
      </c>
      <c r="F1842" s="3" t="str">
        <f>VLOOKUP(B1842,LifeList!$E$2:$G$2038,3)</f>
        <v>Calidris minutilla</v>
      </c>
      <c r="G1842" s="3" t="str">
        <f>VLOOKUP(B1842,LifeList!$E$2:$I$2038,4)</f>
        <v>Charadriiformes</v>
      </c>
      <c r="H1842" s="3" t="str">
        <f>VLOOKUP(B1842,LifeList!$E$2:$I$2038,5)</f>
        <v>Scolopacidae (Sandpipers and Allies)</v>
      </c>
      <c r="I1842" s="3"/>
    </row>
    <row r="1843" spans="1:9" ht="10.5" customHeight="1">
      <c r="A1843" s="3" t="s">
        <v>2624</v>
      </c>
      <c r="B1843" s="3" t="s">
        <v>2618</v>
      </c>
      <c r="C1843" s="3">
        <f>VLOOKUP(B1843,LifeList!$E$2:$J$2038,6)</f>
        <v>6226</v>
      </c>
      <c r="D1843" s="3" t="str">
        <f>VLOOKUP(B1843,LifeList!$E$2:$G$2038,1)</f>
        <v>Least Sandpiper</v>
      </c>
      <c r="E1843" s="3" t="str">
        <f>VLOOKUP(B1843,LifeList!$E$2:$G$2038,2)</f>
        <v>Bécasseau minuscule</v>
      </c>
      <c r="F1843" s="3" t="str">
        <f>VLOOKUP(B1843,LifeList!$E$2:$G$2038,3)</f>
        <v>Calidris minutilla</v>
      </c>
      <c r="G1843" s="3" t="str">
        <f>VLOOKUP(B1843,LifeList!$E$2:$I$2038,4)</f>
        <v>Charadriiformes</v>
      </c>
      <c r="H1843" s="3" t="str">
        <f>VLOOKUP(B1843,LifeList!$E$2:$I$2038,5)</f>
        <v>Scolopacidae (Sandpipers and Allies)</v>
      </c>
      <c r="I1843" s="3"/>
    </row>
    <row r="1844" spans="1:9" ht="10.5" customHeight="1">
      <c r="A1844" s="3" t="s">
        <v>2625</v>
      </c>
      <c r="B1844" s="3" t="s">
        <v>2618</v>
      </c>
      <c r="C1844" s="3">
        <f>VLOOKUP(B1844,LifeList!$E$2:$J$2038,6)</f>
        <v>6226</v>
      </c>
      <c r="D1844" s="3" t="str">
        <f>VLOOKUP(B1844,LifeList!$E$2:$G$2038,1)</f>
        <v>Least Sandpiper</v>
      </c>
      <c r="E1844" s="3" t="str">
        <f>VLOOKUP(B1844,LifeList!$E$2:$G$2038,2)</f>
        <v>Bécasseau minuscule</v>
      </c>
      <c r="F1844" s="3" t="str">
        <f>VLOOKUP(B1844,LifeList!$E$2:$G$2038,3)</f>
        <v>Calidris minutilla</v>
      </c>
      <c r="G1844" s="3" t="str">
        <f>VLOOKUP(B1844,LifeList!$E$2:$I$2038,4)</f>
        <v>Charadriiformes</v>
      </c>
      <c r="H1844" s="3" t="str">
        <f>VLOOKUP(B1844,LifeList!$E$2:$I$2038,5)</f>
        <v>Scolopacidae (Sandpipers and Allies)</v>
      </c>
      <c r="I1844" s="3"/>
    </row>
    <row r="1845" spans="1:9" ht="10.5" customHeight="1">
      <c r="A1845" s="3" t="s">
        <v>2626</v>
      </c>
      <c r="B1845" s="3" t="s">
        <v>2618</v>
      </c>
      <c r="C1845" s="3">
        <f>VLOOKUP(B1845,LifeList!$E$2:$J$2038,6)</f>
        <v>6226</v>
      </c>
      <c r="D1845" s="3" t="str">
        <f>VLOOKUP(B1845,LifeList!$E$2:$G$2038,1)</f>
        <v>Least Sandpiper</v>
      </c>
      <c r="E1845" s="3" t="str">
        <f>VLOOKUP(B1845,LifeList!$E$2:$G$2038,2)</f>
        <v>Bécasseau minuscule</v>
      </c>
      <c r="F1845" s="3" t="str">
        <f>VLOOKUP(B1845,LifeList!$E$2:$G$2038,3)</f>
        <v>Calidris minutilla</v>
      </c>
      <c r="G1845" s="3" t="str">
        <f>VLOOKUP(B1845,LifeList!$E$2:$I$2038,4)</f>
        <v>Charadriiformes</v>
      </c>
      <c r="H1845" s="3" t="str">
        <f>VLOOKUP(B1845,LifeList!$E$2:$I$2038,5)</f>
        <v>Scolopacidae (Sandpipers and Allies)</v>
      </c>
      <c r="I1845" s="3"/>
    </row>
    <row r="1846" spans="1:9" ht="10.5" customHeight="1">
      <c r="A1846" s="3" t="s">
        <v>2627</v>
      </c>
      <c r="B1846" s="3" t="s">
        <v>2618</v>
      </c>
      <c r="C1846" s="3">
        <f>VLOOKUP(B1846,LifeList!$E$2:$J$2038,6)</f>
        <v>6226</v>
      </c>
      <c r="D1846" s="3" t="str">
        <f>VLOOKUP(B1846,LifeList!$E$2:$G$2038,1)</f>
        <v>Least Sandpiper</v>
      </c>
      <c r="E1846" s="3" t="str">
        <f>VLOOKUP(B1846,LifeList!$E$2:$G$2038,2)</f>
        <v>Bécasseau minuscule</v>
      </c>
      <c r="F1846" s="3" t="str">
        <f>VLOOKUP(B1846,LifeList!$E$2:$G$2038,3)</f>
        <v>Calidris minutilla</v>
      </c>
      <c r="G1846" s="3" t="str">
        <f>VLOOKUP(B1846,LifeList!$E$2:$I$2038,4)</f>
        <v>Charadriiformes</v>
      </c>
      <c r="H1846" s="3" t="str">
        <f>VLOOKUP(B1846,LifeList!$E$2:$I$2038,5)</f>
        <v>Scolopacidae (Sandpipers and Allies)</v>
      </c>
      <c r="I1846" s="3"/>
    </row>
    <row r="1847" spans="1:9" ht="10.5" customHeight="1">
      <c r="A1847" s="3" t="s">
        <v>2628</v>
      </c>
      <c r="B1847" s="3" t="s">
        <v>2618</v>
      </c>
      <c r="C1847" s="3">
        <f>VLOOKUP(B1847,LifeList!$E$2:$J$2038,6)</f>
        <v>6226</v>
      </c>
      <c r="D1847" s="3" t="str">
        <f>VLOOKUP(B1847,LifeList!$E$2:$G$2038,1)</f>
        <v>Least Sandpiper</v>
      </c>
      <c r="E1847" s="3" t="str">
        <f>VLOOKUP(B1847,LifeList!$E$2:$G$2038,2)</f>
        <v>Bécasseau minuscule</v>
      </c>
      <c r="F1847" s="3" t="str">
        <f>VLOOKUP(B1847,LifeList!$E$2:$G$2038,3)</f>
        <v>Calidris minutilla</v>
      </c>
      <c r="G1847" s="3" t="str">
        <f>VLOOKUP(B1847,LifeList!$E$2:$I$2038,4)</f>
        <v>Charadriiformes</v>
      </c>
      <c r="H1847" s="3" t="str">
        <f>VLOOKUP(B1847,LifeList!$E$2:$I$2038,5)</f>
        <v>Scolopacidae (Sandpipers and Allies)</v>
      </c>
      <c r="I1847" s="3"/>
    </row>
    <row r="1848" spans="1:9" ht="10.5" customHeight="1">
      <c r="A1848" s="3" t="s">
        <v>2629</v>
      </c>
      <c r="B1848" s="3" t="s">
        <v>2618</v>
      </c>
      <c r="C1848" s="3">
        <f>VLOOKUP(B1848,LifeList!$E$2:$J$2038,6)</f>
        <v>6226</v>
      </c>
      <c r="D1848" s="3" t="str">
        <f>VLOOKUP(B1848,LifeList!$E$2:$G$2038,1)</f>
        <v>Least Sandpiper</v>
      </c>
      <c r="E1848" s="3" t="str">
        <f>VLOOKUP(B1848,LifeList!$E$2:$G$2038,2)</f>
        <v>Bécasseau minuscule</v>
      </c>
      <c r="F1848" s="3" t="str">
        <f>VLOOKUP(B1848,LifeList!$E$2:$G$2038,3)</f>
        <v>Calidris minutilla</v>
      </c>
      <c r="G1848" s="3" t="str">
        <f>VLOOKUP(B1848,LifeList!$E$2:$I$2038,4)</f>
        <v>Charadriiformes</v>
      </c>
      <c r="H1848" s="3" t="str">
        <f>VLOOKUP(B1848,LifeList!$E$2:$I$2038,5)</f>
        <v>Scolopacidae (Sandpipers and Allies)</v>
      </c>
      <c r="I1848" s="3"/>
    </row>
    <row r="1849" spans="1:9" ht="10.5" customHeight="1">
      <c r="A1849" s="3" t="s">
        <v>2630</v>
      </c>
      <c r="B1849" s="3" t="s">
        <v>2618</v>
      </c>
      <c r="C1849" s="3">
        <f>VLOOKUP(B1849,LifeList!$E$2:$J$2038,6)</f>
        <v>6226</v>
      </c>
      <c r="D1849" s="3" t="str">
        <f>VLOOKUP(B1849,LifeList!$E$2:$G$2038,1)</f>
        <v>Least Sandpiper</v>
      </c>
      <c r="E1849" s="3" t="str">
        <f>VLOOKUP(B1849,LifeList!$E$2:$G$2038,2)</f>
        <v>Bécasseau minuscule</v>
      </c>
      <c r="F1849" s="3" t="str">
        <f>VLOOKUP(B1849,LifeList!$E$2:$G$2038,3)</f>
        <v>Calidris minutilla</v>
      </c>
      <c r="G1849" s="3" t="str">
        <f>VLOOKUP(B1849,LifeList!$E$2:$I$2038,4)</f>
        <v>Charadriiformes</v>
      </c>
      <c r="H1849" s="3" t="str">
        <f>VLOOKUP(B1849,LifeList!$E$2:$I$2038,5)</f>
        <v>Scolopacidae (Sandpipers and Allies)</v>
      </c>
      <c r="I1849" s="3"/>
    </row>
    <row r="1850" spans="1:9" ht="10.5" customHeight="1">
      <c r="A1850" s="3" t="s">
        <v>2631</v>
      </c>
      <c r="B1850" s="3" t="s">
        <v>2618</v>
      </c>
      <c r="C1850" s="3">
        <f>VLOOKUP(B1850,LifeList!$E$2:$J$2038,6)</f>
        <v>6226</v>
      </c>
      <c r="D1850" s="3" t="str">
        <f>VLOOKUP(B1850,LifeList!$E$2:$G$2038,1)</f>
        <v>Least Sandpiper</v>
      </c>
      <c r="E1850" s="3" t="str">
        <f>VLOOKUP(B1850,LifeList!$E$2:$G$2038,2)</f>
        <v>Bécasseau minuscule</v>
      </c>
      <c r="F1850" s="3" t="str">
        <f>VLOOKUP(B1850,LifeList!$E$2:$G$2038,3)</f>
        <v>Calidris minutilla</v>
      </c>
      <c r="G1850" s="3" t="str">
        <f>VLOOKUP(B1850,LifeList!$E$2:$I$2038,4)</f>
        <v>Charadriiformes</v>
      </c>
      <c r="H1850" s="3" t="str">
        <f>VLOOKUP(B1850,LifeList!$E$2:$I$2038,5)</f>
        <v>Scolopacidae (Sandpipers and Allies)</v>
      </c>
      <c r="I1850" s="3"/>
    </row>
    <row r="1851" spans="1:9" ht="10.5" customHeight="1">
      <c r="A1851" s="3" t="s">
        <v>2632</v>
      </c>
      <c r="B1851" s="3" t="s">
        <v>2618</v>
      </c>
      <c r="C1851" s="3">
        <f>VLOOKUP(B1851,LifeList!$E$2:$J$2038,6)</f>
        <v>6226</v>
      </c>
      <c r="D1851" s="3" t="str">
        <f>VLOOKUP(B1851,LifeList!$E$2:$G$2038,1)</f>
        <v>Least Sandpiper</v>
      </c>
      <c r="E1851" s="3" t="str">
        <f>VLOOKUP(B1851,LifeList!$E$2:$G$2038,2)</f>
        <v>Bécasseau minuscule</v>
      </c>
      <c r="F1851" s="3" t="str">
        <f>VLOOKUP(B1851,LifeList!$E$2:$G$2038,3)</f>
        <v>Calidris minutilla</v>
      </c>
      <c r="G1851" s="3" t="str">
        <f>VLOOKUP(B1851,LifeList!$E$2:$I$2038,4)</f>
        <v>Charadriiformes</v>
      </c>
      <c r="H1851" s="3" t="str">
        <f>VLOOKUP(B1851,LifeList!$E$2:$I$2038,5)</f>
        <v>Scolopacidae (Sandpipers and Allies)</v>
      </c>
      <c r="I1851" s="3"/>
    </row>
    <row r="1852" spans="1:9" ht="10.5" customHeight="1">
      <c r="A1852" s="3" t="s">
        <v>2633</v>
      </c>
      <c r="B1852" s="3" t="s">
        <v>2618</v>
      </c>
      <c r="C1852" s="3">
        <f>VLOOKUP(B1852,LifeList!$E$2:$J$2038,6)</f>
        <v>6226</v>
      </c>
      <c r="D1852" s="3" t="str">
        <f>VLOOKUP(B1852,LifeList!$E$2:$G$2038,1)</f>
        <v>Least Sandpiper</v>
      </c>
      <c r="E1852" s="3" t="str">
        <f>VLOOKUP(B1852,LifeList!$E$2:$G$2038,2)</f>
        <v>Bécasseau minuscule</v>
      </c>
      <c r="F1852" s="3" t="str">
        <f>VLOOKUP(B1852,LifeList!$E$2:$G$2038,3)</f>
        <v>Calidris minutilla</v>
      </c>
      <c r="G1852" s="3" t="str">
        <f>VLOOKUP(B1852,LifeList!$E$2:$I$2038,4)</f>
        <v>Charadriiformes</v>
      </c>
      <c r="H1852" s="3" t="str">
        <f>VLOOKUP(B1852,LifeList!$E$2:$I$2038,5)</f>
        <v>Scolopacidae (Sandpipers and Allies)</v>
      </c>
      <c r="I1852" s="3"/>
    </row>
    <row r="1853" spans="1:9" ht="10.5" customHeight="1">
      <c r="A1853" s="3" t="s">
        <v>2634</v>
      </c>
      <c r="B1853" s="3" t="s">
        <v>2618</v>
      </c>
      <c r="C1853" s="3">
        <f>VLOOKUP(B1853,LifeList!$E$2:$J$2038,6)</f>
        <v>6226</v>
      </c>
      <c r="D1853" s="3" t="str">
        <f>VLOOKUP(B1853,LifeList!$E$2:$G$2038,1)</f>
        <v>Least Sandpiper</v>
      </c>
      <c r="E1853" s="3" t="str">
        <f>VLOOKUP(B1853,LifeList!$E$2:$G$2038,2)</f>
        <v>Bécasseau minuscule</v>
      </c>
      <c r="F1853" s="3" t="str">
        <f>VLOOKUP(B1853,LifeList!$E$2:$G$2038,3)</f>
        <v>Calidris minutilla</v>
      </c>
      <c r="G1853" s="3" t="str">
        <f>VLOOKUP(B1853,LifeList!$E$2:$I$2038,4)</f>
        <v>Charadriiformes</v>
      </c>
      <c r="H1853" s="3" t="str">
        <f>VLOOKUP(B1853,LifeList!$E$2:$I$2038,5)</f>
        <v>Scolopacidae (Sandpipers and Allies)</v>
      </c>
      <c r="I1853" s="3"/>
    </row>
    <row r="1854" spans="1:9" ht="10.5" customHeight="1">
      <c r="A1854" s="3" t="s">
        <v>2635</v>
      </c>
      <c r="B1854" s="3" t="s">
        <v>2618</v>
      </c>
      <c r="C1854" s="3">
        <f>VLOOKUP(B1854,LifeList!$E$2:$J$2038,6)</f>
        <v>6226</v>
      </c>
      <c r="D1854" s="3" t="str">
        <f>VLOOKUP(B1854,LifeList!$E$2:$G$2038,1)</f>
        <v>Least Sandpiper</v>
      </c>
      <c r="E1854" s="3" t="str">
        <f>VLOOKUP(B1854,LifeList!$E$2:$G$2038,2)</f>
        <v>Bécasseau minuscule</v>
      </c>
      <c r="F1854" s="3" t="str">
        <f>VLOOKUP(B1854,LifeList!$E$2:$G$2038,3)</f>
        <v>Calidris minutilla</v>
      </c>
      <c r="G1854" s="3" t="str">
        <f>VLOOKUP(B1854,LifeList!$E$2:$I$2038,4)</f>
        <v>Charadriiformes</v>
      </c>
      <c r="H1854" s="3" t="str">
        <f>VLOOKUP(B1854,LifeList!$E$2:$I$2038,5)</f>
        <v>Scolopacidae (Sandpipers and Allies)</v>
      </c>
      <c r="I1854" s="3"/>
    </row>
    <row r="1855" spans="1:9" ht="10.5" customHeight="1">
      <c r="A1855" s="3" t="s">
        <v>2636</v>
      </c>
      <c r="B1855" s="3" t="s">
        <v>2618</v>
      </c>
      <c r="C1855" s="3">
        <f>VLOOKUP(B1855,LifeList!$E$2:$J$2038,6)</f>
        <v>6226</v>
      </c>
      <c r="D1855" s="3" t="str">
        <f>VLOOKUP(B1855,LifeList!$E$2:$G$2038,1)</f>
        <v>Least Sandpiper</v>
      </c>
      <c r="E1855" s="3" t="str">
        <f>VLOOKUP(B1855,LifeList!$E$2:$G$2038,2)</f>
        <v>Bécasseau minuscule</v>
      </c>
      <c r="F1855" s="3" t="str">
        <f>VLOOKUP(B1855,LifeList!$E$2:$G$2038,3)</f>
        <v>Calidris minutilla</v>
      </c>
      <c r="G1855" s="3" t="str">
        <f>VLOOKUP(B1855,LifeList!$E$2:$I$2038,4)</f>
        <v>Charadriiformes</v>
      </c>
      <c r="H1855" s="3" t="str">
        <f>VLOOKUP(B1855,LifeList!$E$2:$I$2038,5)</f>
        <v>Scolopacidae (Sandpipers and Allies)</v>
      </c>
      <c r="I1855" s="3"/>
    </row>
    <row r="1856" spans="1:9" ht="10.5" customHeight="1">
      <c r="A1856" s="5" t="s">
        <v>2637</v>
      </c>
      <c r="B1856" s="3" t="s">
        <v>2638</v>
      </c>
      <c r="C1856" s="3">
        <f>VLOOKUP(B1856,LifeList!$E$2:$J$2038,6)</f>
        <v>32609</v>
      </c>
      <c r="D1856" s="3" t="str">
        <f>VLOOKUP(B1856,LifeList!$E$2:$G$2038,1)</f>
        <v>Lesser Goldfinch</v>
      </c>
      <c r="E1856" s="3" t="str">
        <f>VLOOKUP(B1856,LifeList!$E$2:$G$2038,2)</f>
        <v>Chardonneret mineur</v>
      </c>
      <c r="F1856" s="3" t="str">
        <f>VLOOKUP(B1856,LifeList!$E$2:$G$2038,3)</f>
        <v>Spinus psaltria</v>
      </c>
      <c r="G1856" s="3" t="str">
        <f>VLOOKUP(B1856,LifeList!$E$2:$I$2038,4)</f>
        <v>Passeriformes</v>
      </c>
      <c r="H1856" s="3" t="str">
        <f>VLOOKUP(B1856,LifeList!$E$2:$I$2038,5)</f>
        <v>Fringillidae (Finches, Euphonias, and Allies)</v>
      </c>
      <c r="I1856" s="3"/>
    </row>
    <row r="1857" spans="1:9" ht="10.5" customHeight="1">
      <c r="A1857" s="5" t="s">
        <v>2639</v>
      </c>
      <c r="B1857" s="3" t="s">
        <v>2640</v>
      </c>
      <c r="C1857" s="6">
        <f>VLOOKUP(B1857,LifeList!$E$2:$J$2038,6)</f>
        <v>30817</v>
      </c>
      <c r="D1857" s="3" t="str">
        <f>VLOOKUP(B1857,LifeList!$E$2:$G$2038,1)</f>
        <v>Lesser Masked-Weaver</v>
      </c>
      <c r="E1857" s="3" t="str">
        <f>VLOOKUP(B1857,LifeList!$E$2:$G$2038,2)</f>
        <v>Tisserin intermédiaire</v>
      </c>
      <c r="F1857" s="3" t="str">
        <f>VLOOKUP(B1857,LifeList!$E$2:$G$2038,3)</f>
        <v>Ploceus intermedius</v>
      </c>
      <c r="G1857" s="3" t="str">
        <f>VLOOKUP(B1857,LifeList!$E$2:$I$2038,4)</f>
        <v>Passeriformes</v>
      </c>
      <c r="H1857" s="3" t="str">
        <f>VLOOKUP(B1857,LifeList!$E$2:$I$2038,5)</f>
        <v>Ploceidae (Weavers and Allies)</v>
      </c>
      <c r="I1857" s="3"/>
    </row>
    <row r="1858" spans="1:9" ht="10.5" customHeight="1">
      <c r="A1858" s="3" t="s">
        <v>2641</v>
      </c>
      <c r="B1858" s="3" t="s">
        <v>2642</v>
      </c>
      <c r="C1858" s="3">
        <f>VLOOKUP(B1858,LifeList!$E$2:$J$2038,6)</f>
        <v>6576</v>
      </c>
      <c r="D1858" s="3" t="str">
        <f>VLOOKUP(B1858,LifeList!$E$2:$G$2038,1)</f>
        <v>Lesser Black-backed Gull</v>
      </c>
      <c r="E1858" s="3" t="str">
        <f>VLOOKUP(B1858,LifeList!$E$2:$G$2038,2)</f>
        <v>Goéland brun</v>
      </c>
      <c r="F1858" s="3" t="str">
        <f>VLOOKUP(B1858,LifeList!$E$2:$G$2038,3)</f>
        <v>Larus fuscus</v>
      </c>
      <c r="G1858" s="3" t="str">
        <f>VLOOKUP(B1858,LifeList!$E$2:$I$2038,4)</f>
        <v>Charadriiformes</v>
      </c>
      <c r="H1858" s="3" t="str">
        <f>VLOOKUP(B1858,LifeList!$E$2:$I$2038,5)</f>
        <v>Laridae (Gulls, Terns, and Skimmers)</v>
      </c>
      <c r="I1858" s="3"/>
    </row>
    <row r="1859" spans="1:9" ht="10.5" customHeight="1">
      <c r="A1859" s="3" t="s">
        <v>2643</v>
      </c>
      <c r="B1859" s="3" t="s">
        <v>2644</v>
      </c>
      <c r="C1859" s="3">
        <f>VLOOKUP(B1859,LifeList!$E$2:$J$2038,6)</f>
        <v>6783</v>
      </c>
      <c r="D1859" s="3" t="str">
        <f>VLOOKUP(B1859,LifeList!$E$2:$G$2038,1)</f>
        <v>Lesser Crested Tern</v>
      </c>
      <c r="E1859" s="3" t="str">
        <f>VLOOKUP(B1859,LifeList!$E$2:$G$2038,2)</f>
        <v>Sterne voyageuse</v>
      </c>
      <c r="F1859" s="3" t="str">
        <f>VLOOKUP(B1859,LifeList!$E$2:$G$2038,3)</f>
        <v>Thalasseus bengalensis</v>
      </c>
      <c r="G1859" s="3" t="str">
        <f>VLOOKUP(B1859,LifeList!$E$2:$I$2038,4)</f>
        <v>Charadriiformes</v>
      </c>
      <c r="H1859" s="3" t="str">
        <f>VLOOKUP(B1859,LifeList!$E$2:$I$2038,5)</f>
        <v>Laridae (Gulls, Terns, and Skimmers)</v>
      </c>
      <c r="I1859" s="3"/>
    </row>
    <row r="1860" spans="1:9" ht="10.5" customHeight="1">
      <c r="A1860" s="3" t="s">
        <v>2645</v>
      </c>
      <c r="B1860" s="3" t="s">
        <v>2644</v>
      </c>
      <c r="C1860" s="3">
        <f>VLOOKUP(B1860,LifeList!$E$2:$J$2038,6)</f>
        <v>6783</v>
      </c>
      <c r="D1860" s="3" t="str">
        <f>VLOOKUP(B1860,LifeList!$E$2:$G$2038,1)</f>
        <v>Lesser Crested Tern</v>
      </c>
      <c r="E1860" s="3" t="str">
        <f>VLOOKUP(B1860,LifeList!$E$2:$G$2038,2)</f>
        <v>Sterne voyageuse</v>
      </c>
      <c r="F1860" s="3" t="str">
        <f>VLOOKUP(B1860,LifeList!$E$2:$G$2038,3)</f>
        <v>Thalasseus bengalensis</v>
      </c>
      <c r="G1860" s="3" t="str">
        <f>VLOOKUP(B1860,LifeList!$E$2:$I$2038,4)</f>
        <v>Charadriiformes</v>
      </c>
      <c r="H1860" s="3" t="str">
        <f>VLOOKUP(B1860,LifeList!$E$2:$I$2038,5)</f>
        <v>Laridae (Gulls, Terns, and Skimmers)</v>
      </c>
      <c r="I1860" s="3"/>
    </row>
    <row r="1861" spans="1:9" ht="10.5" customHeight="1">
      <c r="A1861" s="3" t="s">
        <v>2646</v>
      </c>
      <c r="B1861" s="3" t="s">
        <v>2647</v>
      </c>
      <c r="C1861" s="3">
        <f>VLOOKUP(B1861,LifeList!$E$2:$J$2038,6)</f>
        <v>3034</v>
      </c>
      <c r="D1861" s="3" t="str">
        <f>VLOOKUP(B1861,LifeList!$E$2:$G$2038,1)</f>
        <v>Lesser Ground-Cuckoo</v>
      </c>
      <c r="E1861" s="3" t="str">
        <f>VLOOKUP(B1861,LifeList!$E$2:$G$2038,2)</f>
        <v>Géocoucou de Lesson</v>
      </c>
      <c r="F1861" s="3" t="str">
        <f>VLOOKUP(B1861,LifeList!$E$2:$G$2038,3)</f>
        <v>Morococcyx erythropygus</v>
      </c>
      <c r="G1861" s="3" t="str">
        <f>VLOOKUP(B1861,LifeList!$E$2:$I$2038,4)</f>
        <v>Cuculiformes</v>
      </c>
      <c r="H1861" s="3" t="str">
        <f>VLOOKUP(B1861,LifeList!$E$2:$I$2038,5)</f>
        <v>Cuculidae (Cuckoos)</v>
      </c>
      <c r="I1861" s="3"/>
    </row>
    <row r="1862" spans="1:9" ht="10.5" customHeight="1">
      <c r="A1862" s="3" t="s">
        <v>2648</v>
      </c>
      <c r="B1862" s="3" t="s">
        <v>2649</v>
      </c>
      <c r="C1862" s="3">
        <f>VLOOKUP(B1862,LifeList!$E$2:$J$2038,6)</f>
        <v>17365</v>
      </c>
      <c r="D1862" s="3" t="str">
        <f>VLOOKUP(B1862,LifeList!$E$2:$G$2038,1)</f>
        <v>Lesser Kiskadee</v>
      </c>
      <c r="E1862" s="3" t="str">
        <f>VLOOKUP(B1862,LifeList!$E$2:$G$2038,2)</f>
        <v>Tyran licteur</v>
      </c>
      <c r="F1862" s="3" t="str">
        <f>VLOOKUP(B1862,LifeList!$E$2:$G$2038,3)</f>
        <v>Philohydor lictor</v>
      </c>
      <c r="G1862" s="3" t="str">
        <f>VLOOKUP(B1862,LifeList!$E$2:$I$2038,4)</f>
        <v>Passeriformes</v>
      </c>
      <c r="H1862" s="3" t="str">
        <f>VLOOKUP(B1862,LifeList!$E$2:$I$2038,5)</f>
        <v>Tyrannidae (Tyrant Flycatchers)</v>
      </c>
      <c r="I1862" s="3"/>
    </row>
    <row r="1863" spans="1:9" ht="10.5" customHeight="1">
      <c r="A1863" s="3" t="s">
        <v>2650</v>
      </c>
      <c r="B1863" s="3" t="s">
        <v>2649</v>
      </c>
      <c r="C1863" s="3">
        <f>VLOOKUP(B1863,LifeList!$E$2:$J$2038,6)</f>
        <v>17365</v>
      </c>
      <c r="D1863" s="3" t="str">
        <f>VLOOKUP(B1863,LifeList!$E$2:$G$2038,1)</f>
        <v>Lesser Kiskadee</v>
      </c>
      <c r="E1863" s="3" t="str">
        <f>VLOOKUP(B1863,LifeList!$E$2:$G$2038,2)</f>
        <v>Tyran licteur</v>
      </c>
      <c r="F1863" s="3" t="str">
        <f>VLOOKUP(B1863,LifeList!$E$2:$G$2038,3)</f>
        <v>Philohydor lictor</v>
      </c>
      <c r="G1863" s="3" t="str">
        <f>VLOOKUP(B1863,LifeList!$E$2:$I$2038,4)</f>
        <v>Passeriformes</v>
      </c>
      <c r="H1863" s="3" t="str">
        <f>VLOOKUP(B1863,LifeList!$E$2:$I$2038,5)</f>
        <v>Tyrannidae (Tyrant Flycatchers)</v>
      </c>
      <c r="I1863" s="3"/>
    </row>
    <row r="1864" spans="1:9" ht="10.5" customHeight="1">
      <c r="A1864" s="3" t="s">
        <v>2651</v>
      </c>
      <c r="B1864" s="3" t="s">
        <v>2649</v>
      </c>
      <c r="C1864" s="3">
        <f>VLOOKUP(B1864,LifeList!$E$2:$J$2038,6)</f>
        <v>17365</v>
      </c>
      <c r="D1864" s="3" t="str">
        <f>VLOOKUP(B1864,LifeList!$E$2:$G$2038,1)</f>
        <v>Lesser Kiskadee</v>
      </c>
      <c r="E1864" s="3" t="str">
        <f>VLOOKUP(B1864,LifeList!$E$2:$G$2038,2)</f>
        <v>Tyran licteur</v>
      </c>
      <c r="F1864" s="3" t="str">
        <f>VLOOKUP(B1864,LifeList!$E$2:$G$2038,3)</f>
        <v>Philohydor lictor</v>
      </c>
      <c r="G1864" s="3" t="str">
        <f>VLOOKUP(B1864,LifeList!$E$2:$I$2038,4)</f>
        <v>Passeriformes</v>
      </c>
      <c r="H1864" s="3" t="str">
        <f>VLOOKUP(B1864,LifeList!$E$2:$I$2038,5)</f>
        <v>Tyrannidae (Tyrant Flycatchers)</v>
      </c>
      <c r="I1864" s="3"/>
    </row>
    <row r="1865" spans="1:9" ht="10.5" customHeight="1">
      <c r="A1865" s="3" t="s">
        <v>2652</v>
      </c>
      <c r="B1865" s="3" t="s">
        <v>2649</v>
      </c>
      <c r="C1865" s="3">
        <f>VLOOKUP(B1865,LifeList!$E$2:$J$2038,6)</f>
        <v>17365</v>
      </c>
      <c r="D1865" s="3" t="str">
        <f>VLOOKUP(B1865,LifeList!$E$2:$G$2038,1)</f>
        <v>Lesser Kiskadee</v>
      </c>
      <c r="E1865" s="3" t="str">
        <f>VLOOKUP(B1865,LifeList!$E$2:$G$2038,2)</f>
        <v>Tyran licteur</v>
      </c>
      <c r="F1865" s="3" t="str">
        <f>VLOOKUP(B1865,LifeList!$E$2:$G$2038,3)</f>
        <v>Philohydor lictor</v>
      </c>
      <c r="G1865" s="3" t="str">
        <f>VLOOKUP(B1865,LifeList!$E$2:$I$2038,4)</f>
        <v>Passeriformes</v>
      </c>
      <c r="H1865" s="3" t="str">
        <f>VLOOKUP(B1865,LifeList!$E$2:$I$2038,5)</f>
        <v>Tyrannidae (Tyrant Flycatchers)</v>
      </c>
      <c r="I1865" s="3"/>
    </row>
    <row r="1866" spans="1:9" ht="10.5" customHeight="1">
      <c r="A1866" s="3" t="s">
        <v>2653</v>
      </c>
      <c r="B1866" s="3" t="s">
        <v>2649</v>
      </c>
      <c r="C1866" s="3">
        <f>VLOOKUP(B1866,LifeList!$E$2:$J$2038,6)</f>
        <v>17365</v>
      </c>
      <c r="D1866" s="3" t="str">
        <f>VLOOKUP(B1866,LifeList!$E$2:$G$2038,1)</f>
        <v>Lesser Kiskadee</v>
      </c>
      <c r="E1866" s="3" t="str">
        <f>VLOOKUP(B1866,LifeList!$E$2:$G$2038,2)</f>
        <v>Tyran licteur</v>
      </c>
      <c r="F1866" s="3" t="str">
        <f>VLOOKUP(B1866,LifeList!$E$2:$G$2038,3)</f>
        <v>Philohydor lictor</v>
      </c>
      <c r="G1866" s="3" t="str">
        <f>VLOOKUP(B1866,LifeList!$E$2:$I$2038,4)</f>
        <v>Passeriformes</v>
      </c>
      <c r="H1866" s="3" t="str">
        <f>VLOOKUP(B1866,LifeList!$E$2:$I$2038,5)</f>
        <v>Tyrannidae (Tyrant Flycatchers)</v>
      </c>
      <c r="I1866" s="3"/>
    </row>
    <row r="1867" spans="1:9" ht="10.5" customHeight="1">
      <c r="A1867" s="3" t="s">
        <v>2654</v>
      </c>
      <c r="B1867" s="3" t="s">
        <v>2655</v>
      </c>
      <c r="C1867" s="3">
        <f>VLOOKUP(B1867,LifeList!$E$2:$J$2038,6)</f>
        <v>700</v>
      </c>
      <c r="D1867" s="3" t="str">
        <f>VLOOKUP(B1867,LifeList!$E$2:$G$2038,1)</f>
        <v>Lesser Scaup</v>
      </c>
      <c r="E1867" s="3" t="str">
        <f>VLOOKUP(B1867,LifeList!$E$2:$G$2038,2)</f>
        <v>Petit Fuligule</v>
      </c>
      <c r="F1867" s="3" t="str">
        <f>VLOOKUP(B1867,LifeList!$E$2:$G$2038,3)</f>
        <v>Aythya affinis</v>
      </c>
      <c r="G1867" s="3" t="str">
        <f>VLOOKUP(B1867,LifeList!$E$2:$I$2038,4)</f>
        <v>Anseriformes</v>
      </c>
      <c r="H1867" s="3" t="str">
        <f>VLOOKUP(B1867,LifeList!$E$2:$I$2038,5)</f>
        <v>Anatidae (Ducks, Geese, and Waterfowl)</v>
      </c>
      <c r="I1867" s="3"/>
    </row>
    <row r="1868" spans="1:9" ht="10.5" customHeight="1">
      <c r="A1868" s="3" t="s">
        <v>2656</v>
      </c>
      <c r="B1868" s="3" t="s">
        <v>2655</v>
      </c>
      <c r="C1868" s="3">
        <f>VLOOKUP(B1868,LifeList!$E$2:$J$2038,6)</f>
        <v>700</v>
      </c>
      <c r="D1868" s="3" t="str">
        <f>VLOOKUP(B1868,LifeList!$E$2:$G$2038,1)</f>
        <v>Lesser Scaup</v>
      </c>
      <c r="E1868" s="3" t="str">
        <f>VLOOKUP(B1868,LifeList!$E$2:$G$2038,2)</f>
        <v>Petit Fuligule</v>
      </c>
      <c r="F1868" s="3" t="str">
        <f>VLOOKUP(B1868,LifeList!$E$2:$G$2038,3)</f>
        <v>Aythya affinis</v>
      </c>
      <c r="G1868" s="3" t="str">
        <f>VLOOKUP(B1868,LifeList!$E$2:$I$2038,4)</f>
        <v>Anseriformes</v>
      </c>
      <c r="H1868" s="3" t="str">
        <f>VLOOKUP(B1868,LifeList!$E$2:$I$2038,5)</f>
        <v>Anatidae (Ducks, Geese, and Waterfowl)</v>
      </c>
      <c r="I1868" s="3"/>
    </row>
    <row r="1869" spans="1:9" ht="10.5" customHeight="1">
      <c r="A1869" s="3" t="s">
        <v>2657</v>
      </c>
      <c r="B1869" s="3" t="s">
        <v>2655</v>
      </c>
      <c r="C1869" s="3">
        <f>VLOOKUP(B1869,LifeList!$E$2:$J$2038,6)</f>
        <v>700</v>
      </c>
      <c r="D1869" s="3" t="str">
        <f>VLOOKUP(B1869,LifeList!$E$2:$G$2038,1)</f>
        <v>Lesser Scaup</v>
      </c>
      <c r="E1869" s="3" t="str">
        <f>VLOOKUP(B1869,LifeList!$E$2:$G$2038,2)</f>
        <v>Petit Fuligule</v>
      </c>
      <c r="F1869" s="3" t="str">
        <f>VLOOKUP(B1869,LifeList!$E$2:$G$2038,3)</f>
        <v>Aythya affinis</v>
      </c>
      <c r="G1869" s="3" t="str">
        <f>VLOOKUP(B1869,LifeList!$E$2:$I$2038,4)</f>
        <v>Anseriformes</v>
      </c>
      <c r="H1869" s="3" t="str">
        <f>VLOOKUP(B1869,LifeList!$E$2:$I$2038,5)</f>
        <v>Anatidae (Ducks, Geese, and Waterfowl)</v>
      </c>
      <c r="I1869" s="3"/>
    </row>
    <row r="1870" spans="1:9" ht="10.5" customHeight="1">
      <c r="A1870" s="3" t="s">
        <v>2658</v>
      </c>
      <c r="B1870" s="3" t="s">
        <v>2655</v>
      </c>
      <c r="C1870" s="3">
        <f>VLOOKUP(B1870,LifeList!$E$2:$J$2038,6)</f>
        <v>700</v>
      </c>
      <c r="D1870" s="3" t="str">
        <f>VLOOKUP(B1870,LifeList!$E$2:$G$2038,1)</f>
        <v>Lesser Scaup</v>
      </c>
      <c r="E1870" s="3" t="str">
        <f>VLOOKUP(B1870,LifeList!$E$2:$G$2038,2)</f>
        <v>Petit Fuligule</v>
      </c>
      <c r="F1870" s="3" t="str">
        <f>VLOOKUP(B1870,LifeList!$E$2:$G$2038,3)</f>
        <v>Aythya affinis</v>
      </c>
      <c r="G1870" s="3" t="str">
        <f>VLOOKUP(B1870,LifeList!$E$2:$I$2038,4)</f>
        <v>Anseriformes</v>
      </c>
      <c r="H1870" s="3" t="str">
        <f>VLOOKUP(B1870,LifeList!$E$2:$I$2038,5)</f>
        <v>Anatidae (Ducks, Geese, and Waterfowl)</v>
      </c>
      <c r="I1870" s="3"/>
    </row>
    <row r="1871" spans="1:9" ht="10.5" customHeight="1">
      <c r="A1871" s="3" t="s">
        <v>2659</v>
      </c>
      <c r="B1871" s="3" t="s">
        <v>2655</v>
      </c>
      <c r="C1871" s="3">
        <f>VLOOKUP(B1871,LifeList!$E$2:$J$2038,6)</f>
        <v>700</v>
      </c>
      <c r="D1871" s="3" t="str">
        <f>VLOOKUP(B1871,LifeList!$E$2:$G$2038,1)</f>
        <v>Lesser Scaup</v>
      </c>
      <c r="E1871" s="3" t="str">
        <f>VLOOKUP(B1871,LifeList!$E$2:$G$2038,2)</f>
        <v>Petit Fuligule</v>
      </c>
      <c r="F1871" s="3" t="str">
        <f>VLOOKUP(B1871,LifeList!$E$2:$G$2038,3)</f>
        <v>Aythya affinis</v>
      </c>
      <c r="G1871" s="3" t="str">
        <f>VLOOKUP(B1871,LifeList!$E$2:$I$2038,4)</f>
        <v>Anseriformes</v>
      </c>
      <c r="H1871" s="3" t="str">
        <f>VLOOKUP(B1871,LifeList!$E$2:$I$2038,5)</f>
        <v>Anatidae (Ducks, Geese, and Waterfowl)</v>
      </c>
      <c r="I1871" s="3"/>
    </row>
    <row r="1872" spans="1:9" ht="10.5" customHeight="1">
      <c r="A1872" s="3" t="s">
        <v>2660</v>
      </c>
      <c r="B1872" s="3" t="s">
        <v>2655</v>
      </c>
      <c r="C1872" s="3">
        <f>VLOOKUP(B1872,LifeList!$E$2:$J$2038,6)</f>
        <v>700</v>
      </c>
      <c r="D1872" s="3" t="str">
        <f>VLOOKUP(B1872,LifeList!$E$2:$G$2038,1)</f>
        <v>Lesser Scaup</v>
      </c>
      <c r="E1872" s="3" t="str">
        <f>VLOOKUP(B1872,LifeList!$E$2:$G$2038,2)</f>
        <v>Petit Fuligule</v>
      </c>
      <c r="F1872" s="3" t="str">
        <f>VLOOKUP(B1872,LifeList!$E$2:$G$2038,3)</f>
        <v>Aythya affinis</v>
      </c>
      <c r="G1872" s="3" t="str">
        <f>VLOOKUP(B1872,LifeList!$E$2:$I$2038,4)</f>
        <v>Anseriformes</v>
      </c>
      <c r="H1872" s="3" t="str">
        <f>VLOOKUP(B1872,LifeList!$E$2:$I$2038,5)</f>
        <v>Anatidae (Ducks, Geese, and Waterfowl)</v>
      </c>
      <c r="I1872" s="3"/>
    </row>
    <row r="1873" spans="1:9" ht="10.5" customHeight="1">
      <c r="A1873" s="3" t="s">
        <v>2661</v>
      </c>
      <c r="B1873" s="3" t="s">
        <v>2655</v>
      </c>
      <c r="C1873" s="3">
        <f>VLOOKUP(B1873,LifeList!$E$2:$J$2038,6)</f>
        <v>700</v>
      </c>
      <c r="D1873" s="3" t="str">
        <f>VLOOKUP(B1873,LifeList!$E$2:$G$2038,1)</f>
        <v>Lesser Scaup</v>
      </c>
      <c r="E1873" s="3" t="str">
        <f>VLOOKUP(B1873,LifeList!$E$2:$G$2038,2)</f>
        <v>Petit Fuligule</v>
      </c>
      <c r="F1873" s="3" t="str">
        <f>VLOOKUP(B1873,LifeList!$E$2:$G$2038,3)</f>
        <v>Aythya affinis</v>
      </c>
      <c r="G1873" s="3" t="str">
        <f>VLOOKUP(B1873,LifeList!$E$2:$I$2038,4)</f>
        <v>Anseriformes</v>
      </c>
      <c r="H1873" s="3" t="str">
        <f>VLOOKUP(B1873,LifeList!$E$2:$I$2038,5)</f>
        <v>Anatidae (Ducks, Geese, and Waterfowl)</v>
      </c>
      <c r="I1873" s="3"/>
    </row>
    <row r="1874" spans="1:9" ht="10.5" customHeight="1">
      <c r="A1874" s="3" t="s">
        <v>2662</v>
      </c>
      <c r="B1874" s="3" t="s">
        <v>2655</v>
      </c>
      <c r="C1874" s="3">
        <f>VLOOKUP(B1874,LifeList!$E$2:$J$2038,6)</f>
        <v>700</v>
      </c>
      <c r="D1874" s="3" t="str">
        <f>VLOOKUP(B1874,LifeList!$E$2:$G$2038,1)</f>
        <v>Lesser Scaup</v>
      </c>
      <c r="E1874" s="3" t="str">
        <f>VLOOKUP(B1874,LifeList!$E$2:$G$2038,2)</f>
        <v>Petit Fuligule</v>
      </c>
      <c r="F1874" s="3" t="str">
        <f>VLOOKUP(B1874,LifeList!$E$2:$G$2038,3)</f>
        <v>Aythya affinis</v>
      </c>
      <c r="G1874" s="3" t="str">
        <f>VLOOKUP(B1874,LifeList!$E$2:$I$2038,4)</f>
        <v>Anseriformes</v>
      </c>
      <c r="H1874" s="3" t="str">
        <f>VLOOKUP(B1874,LifeList!$E$2:$I$2038,5)</f>
        <v>Anatidae (Ducks, Geese, and Waterfowl)</v>
      </c>
      <c r="I1874" s="3"/>
    </row>
    <row r="1875" spans="1:9" ht="10.5" customHeight="1">
      <c r="A1875" s="7" t="s">
        <v>2663</v>
      </c>
      <c r="B1875" s="9" t="s">
        <v>2664</v>
      </c>
      <c r="C1875" s="3">
        <f>VLOOKUP(B1875,LifeList!$E$2:$J$2038,6)</f>
        <v>24254</v>
      </c>
      <c r="D1875" s="3" t="str">
        <f>VLOOKUP(B1875,LifeList!$E$2:$G$2038,1)</f>
        <v>Lesser Striped Swallow</v>
      </c>
      <c r="E1875" s="3" t="str">
        <f>VLOOKUP(B1875,LifeList!$E$2:$G$2038,2)</f>
        <v>Hirondelle striée</v>
      </c>
      <c r="F1875" s="3" t="str">
        <f>VLOOKUP(B1875,LifeList!$E$2:$G$2038,3)</f>
        <v>Cecropis abyssinica</v>
      </c>
      <c r="G1875" s="3" t="str">
        <f>VLOOKUP(B1875,LifeList!$E$2:$I$2038,4)</f>
        <v>Passeriformes</v>
      </c>
      <c r="H1875" s="3" t="str">
        <f>VLOOKUP(B1875,LifeList!$E$2:$I$2038,5)</f>
        <v>Hirundinidae (Swallows)</v>
      </c>
      <c r="I1875" s="3"/>
    </row>
    <row r="1876" spans="1:9" ht="10.5" customHeight="1">
      <c r="A1876" s="3" t="s">
        <v>2665</v>
      </c>
      <c r="B1876" s="3" t="s">
        <v>2666</v>
      </c>
      <c r="C1876" s="3">
        <f>VLOOKUP(B1876,LifeList!$E$2:$J$2038,6)</f>
        <v>4359</v>
      </c>
      <c r="D1876" s="3" t="str">
        <f>VLOOKUP(B1876,LifeList!$E$2:$G$2038,1)</f>
        <v>Lesser Violetear</v>
      </c>
      <c r="E1876" s="3" t="str">
        <f>VLOOKUP(B1876,LifeList!$E$2:$G$2038,2)</f>
        <v>Colibri cyanote</v>
      </c>
      <c r="F1876" s="3" t="str">
        <f>VLOOKUP(B1876,LifeList!$E$2:$G$2038,3)</f>
        <v>Colibri cyanotus</v>
      </c>
      <c r="G1876" s="3" t="str">
        <f>VLOOKUP(B1876,LifeList!$E$2:$I$2038,4)</f>
        <v>Apodiformes</v>
      </c>
      <c r="H1876" s="3" t="str">
        <f>VLOOKUP(B1876,LifeList!$E$2:$I$2038,5)</f>
        <v>Trochilidae (Hummingbirds)</v>
      </c>
      <c r="I1876" s="3"/>
    </row>
    <row r="1877" spans="1:9" ht="10.5" customHeight="1">
      <c r="A1877" s="3" t="s">
        <v>2667</v>
      </c>
      <c r="B1877" s="3" t="s">
        <v>2666</v>
      </c>
      <c r="C1877" s="3">
        <f>VLOOKUP(B1877,LifeList!$E$2:$J$2038,6)</f>
        <v>4359</v>
      </c>
      <c r="D1877" s="3" t="str">
        <f>VLOOKUP(B1877,LifeList!$E$2:$G$2038,1)</f>
        <v>Lesser Violetear</v>
      </c>
      <c r="E1877" s="3" t="str">
        <f>VLOOKUP(B1877,LifeList!$E$2:$G$2038,2)</f>
        <v>Colibri cyanote</v>
      </c>
      <c r="F1877" s="3" t="str">
        <f>VLOOKUP(B1877,LifeList!$E$2:$G$2038,3)</f>
        <v>Colibri cyanotus</v>
      </c>
      <c r="G1877" s="3" t="str">
        <f>VLOOKUP(B1877,LifeList!$E$2:$I$2038,4)</f>
        <v>Apodiformes</v>
      </c>
      <c r="H1877" s="3" t="str">
        <f>VLOOKUP(B1877,LifeList!$E$2:$I$2038,5)</f>
        <v>Trochilidae (Hummingbirds)</v>
      </c>
      <c r="I1877" s="3"/>
    </row>
    <row r="1878" spans="1:9" ht="10.5" customHeight="1">
      <c r="A1878" s="3" t="s">
        <v>2668</v>
      </c>
      <c r="B1878" s="3" t="s">
        <v>2666</v>
      </c>
      <c r="C1878" s="3">
        <f>VLOOKUP(B1878,LifeList!$E$2:$J$2038,6)</f>
        <v>4359</v>
      </c>
      <c r="D1878" s="3" t="str">
        <f>VLOOKUP(B1878,LifeList!$E$2:$G$2038,1)</f>
        <v>Lesser Violetear</v>
      </c>
      <c r="E1878" s="3" t="str">
        <f>VLOOKUP(B1878,LifeList!$E$2:$G$2038,2)</f>
        <v>Colibri cyanote</v>
      </c>
      <c r="F1878" s="3" t="str">
        <f>VLOOKUP(B1878,LifeList!$E$2:$G$2038,3)</f>
        <v>Colibri cyanotus</v>
      </c>
      <c r="G1878" s="3" t="str">
        <f>VLOOKUP(B1878,LifeList!$E$2:$I$2038,4)</f>
        <v>Apodiformes</v>
      </c>
      <c r="H1878" s="3" t="str">
        <f>VLOOKUP(B1878,LifeList!$E$2:$I$2038,5)</f>
        <v>Trochilidae (Hummingbirds)</v>
      </c>
      <c r="I1878" s="3"/>
    </row>
    <row r="1879" spans="1:9" ht="10.5" customHeight="1">
      <c r="A1879" s="3" t="s">
        <v>2669</v>
      </c>
      <c r="B1879" s="3" t="s">
        <v>2666</v>
      </c>
      <c r="C1879" s="3">
        <f>VLOOKUP(B1879,LifeList!$E$2:$J$2038,6)</f>
        <v>4359</v>
      </c>
      <c r="D1879" s="3" t="str">
        <f>VLOOKUP(B1879,LifeList!$E$2:$G$2038,1)</f>
        <v>Lesser Violetear</v>
      </c>
      <c r="E1879" s="3" t="str">
        <f>VLOOKUP(B1879,LifeList!$E$2:$G$2038,2)</f>
        <v>Colibri cyanote</v>
      </c>
      <c r="F1879" s="3" t="str">
        <f>VLOOKUP(B1879,LifeList!$E$2:$G$2038,3)</f>
        <v>Colibri cyanotus</v>
      </c>
      <c r="G1879" s="3" t="str">
        <f>VLOOKUP(B1879,LifeList!$E$2:$I$2038,4)</f>
        <v>Apodiformes</v>
      </c>
      <c r="H1879" s="3" t="str">
        <f>VLOOKUP(B1879,LifeList!$E$2:$I$2038,5)</f>
        <v>Trochilidae (Hummingbirds)</v>
      </c>
      <c r="I1879" s="3"/>
    </row>
    <row r="1880" spans="1:9" ht="10.5" customHeight="1">
      <c r="A1880" s="3" t="s">
        <v>2670</v>
      </c>
      <c r="B1880" s="3" t="s">
        <v>2671</v>
      </c>
      <c r="C1880" s="3">
        <f>VLOOKUP(B1880,LifeList!$E$2:$J$2038,6)</f>
        <v>7823</v>
      </c>
      <c r="D1880" s="3" t="str">
        <f>VLOOKUP(B1880,LifeList!$E$2:$G$2038,1)</f>
        <v>Lesser Yellow-headed Vulture</v>
      </c>
      <c r="E1880" s="3" t="str">
        <f>VLOOKUP(B1880,LifeList!$E$2:$G$2038,2)</f>
        <v>Urubu à tête jaune</v>
      </c>
      <c r="F1880" s="3" t="str">
        <f>VLOOKUP(B1880,LifeList!$E$2:$G$2038,3)</f>
        <v>Cathartes burrovianus</v>
      </c>
      <c r="G1880" s="3" t="str">
        <f>VLOOKUP(B1880,LifeList!$E$2:$I$2038,4)</f>
        <v>Cathartiformes</v>
      </c>
      <c r="H1880" s="3" t="str">
        <f>VLOOKUP(B1880,LifeList!$E$2:$I$2038,5)</f>
        <v>Cathartidae (New World Vultures)</v>
      </c>
      <c r="I1880" s="3"/>
    </row>
    <row r="1881" spans="1:9" ht="10.5" customHeight="1">
      <c r="A1881" s="3" t="s">
        <v>2672</v>
      </c>
      <c r="B1881" s="3" t="s">
        <v>2671</v>
      </c>
      <c r="C1881" s="3">
        <f>VLOOKUP(B1881,LifeList!$E$2:$J$2038,6)</f>
        <v>7823</v>
      </c>
      <c r="D1881" s="3" t="str">
        <f>VLOOKUP(B1881,LifeList!$E$2:$G$2038,1)</f>
        <v>Lesser Yellow-headed Vulture</v>
      </c>
      <c r="E1881" s="3" t="str">
        <f>VLOOKUP(B1881,LifeList!$E$2:$G$2038,2)</f>
        <v>Urubu à tête jaune</v>
      </c>
      <c r="F1881" s="3" t="str">
        <f>VLOOKUP(B1881,LifeList!$E$2:$G$2038,3)</f>
        <v>Cathartes burrovianus</v>
      </c>
      <c r="G1881" s="3" t="str">
        <f>VLOOKUP(B1881,LifeList!$E$2:$I$2038,4)</f>
        <v>Cathartiformes</v>
      </c>
      <c r="H1881" s="3" t="str">
        <f>VLOOKUP(B1881,LifeList!$E$2:$I$2038,5)</f>
        <v>Cathartidae (New World Vultures)</v>
      </c>
      <c r="I1881" s="3"/>
    </row>
    <row r="1882" spans="1:9" ht="10.5" customHeight="1">
      <c r="A1882" s="3" t="s">
        <v>2673</v>
      </c>
      <c r="B1882" s="3" t="s">
        <v>2674</v>
      </c>
      <c r="C1882" s="3">
        <f>VLOOKUP(B1882,LifeList!$E$2:$J$2038,6)</f>
        <v>6145</v>
      </c>
      <c r="D1882" s="3" t="str">
        <f>VLOOKUP(B1882,LifeList!$E$2:$G$2038,1)</f>
        <v>Lesser Yellowlegs</v>
      </c>
      <c r="E1882" s="3" t="str">
        <f>VLOOKUP(B1882,LifeList!$E$2:$G$2038,2)</f>
        <v>Petit Chevalier</v>
      </c>
      <c r="F1882" s="3" t="str">
        <f>VLOOKUP(B1882,LifeList!$E$2:$G$2038,3)</f>
        <v>Tringa flavipes</v>
      </c>
      <c r="G1882" s="3" t="str">
        <f>VLOOKUP(B1882,LifeList!$E$2:$I$2038,4)</f>
        <v>Charadriiformes</v>
      </c>
      <c r="H1882" s="3" t="str">
        <f>VLOOKUP(B1882,LifeList!$E$2:$I$2038,5)</f>
        <v>Scolopacidae (Sandpipers and Allies)</v>
      </c>
      <c r="I1882" s="3"/>
    </row>
    <row r="1883" spans="1:9" ht="10.5" customHeight="1">
      <c r="A1883" s="3" t="s">
        <v>2675</v>
      </c>
      <c r="B1883" s="3" t="s">
        <v>2674</v>
      </c>
      <c r="C1883" s="3">
        <f>VLOOKUP(B1883,LifeList!$E$2:$J$2038,6)</f>
        <v>6145</v>
      </c>
      <c r="D1883" s="3" t="str">
        <f>VLOOKUP(B1883,LifeList!$E$2:$G$2038,1)</f>
        <v>Lesser Yellowlegs</v>
      </c>
      <c r="E1883" s="3" t="str">
        <f>VLOOKUP(B1883,LifeList!$E$2:$G$2038,2)</f>
        <v>Petit Chevalier</v>
      </c>
      <c r="F1883" s="3" t="str">
        <f>VLOOKUP(B1883,LifeList!$E$2:$G$2038,3)</f>
        <v>Tringa flavipes</v>
      </c>
      <c r="G1883" s="3" t="str">
        <f>VLOOKUP(B1883,LifeList!$E$2:$I$2038,4)</f>
        <v>Charadriiformes</v>
      </c>
      <c r="H1883" s="3" t="str">
        <f>VLOOKUP(B1883,LifeList!$E$2:$I$2038,5)</f>
        <v>Scolopacidae (Sandpipers and Allies)</v>
      </c>
      <c r="I1883" s="3"/>
    </row>
    <row r="1884" spans="1:9" ht="10.5" customHeight="1">
      <c r="A1884" s="3" t="s">
        <v>2676</v>
      </c>
      <c r="B1884" s="3" t="s">
        <v>2674</v>
      </c>
      <c r="C1884" s="3">
        <f>VLOOKUP(B1884,LifeList!$E$2:$J$2038,6)</f>
        <v>6145</v>
      </c>
      <c r="D1884" s="3" t="str">
        <f>VLOOKUP(B1884,LifeList!$E$2:$G$2038,1)</f>
        <v>Lesser Yellowlegs</v>
      </c>
      <c r="E1884" s="3" t="str">
        <f>VLOOKUP(B1884,LifeList!$E$2:$G$2038,2)</f>
        <v>Petit Chevalier</v>
      </c>
      <c r="F1884" s="3" t="str">
        <f>VLOOKUP(B1884,LifeList!$E$2:$G$2038,3)</f>
        <v>Tringa flavipes</v>
      </c>
      <c r="G1884" s="3" t="str">
        <f>VLOOKUP(B1884,LifeList!$E$2:$I$2038,4)</f>
        <v>Charadriiformes</v>
      </c>
      <c r="H1884" s="3" t="str">
        <f>VLOOKUP(B1884,LifeList!$E$2:$I$2038,5)</f>
        <v>Scolopacidae (Sandpipers and Allies)</v>
      </c>
      <c r="I1884" s="3"/>
    </row>
    <row r="1885" spans="1:9" ht="10.5" customHeight="1">
      <c r="A1885" s="3" t="s">
        <v>2677</v>
      </c>
      <c r="B1885" s="3" t="s">
        <v>2674</v>
      </c>
      <c r="C1885" s="3">
        <f>VLOOKUP(B1885,LifeList!$E$2:$J$2038,6)</f>
        <v>6145</v>
      </c>
      <c r="D1885" s="3" t="str">
        <f>VLOOKUP(B1885,LifeList!$E$2:$G$2038,1)</f>
        <v>Lesser Yellowlegs</v>
      </c>
      <c r="E1885" s="3" t="str">
        <f>VLOOKUP(B1885,LifeList!$E$2:$G$2038,2)</f>
        <v>Petit Chevalier</v>
      </c>
      <c r="F1885" s="3" t="str">
        <f>VLOOKUP(B1885,LifeList!$E$2:$G$2038,3)</f>
        <v>Tringa flavipes</v>
      </c>
      <c r="G1885" s="3" t="str">
        <f>VLOOKUP(B1885,LifeList!$E$2:$I$2038,4)</f>
        <v>Charadriiformes</v>
      </c>
      <c r="H1885" s="3" t="str">
        <f>VLOOKUP(B1885,LifeList!$E$2:$I$2038,5)</f>
        <v>Scolopacidae (Sandpipers and Allies)</v>
      </c>
      <c r="I1885" s="3"/>
    </row>
    <row r="1886" spans="1:9" ht="10.5" customHeight="1">
      <c r="A1886" s="3" t="s">
        <v>2678</v>
      </c>
      <c r="B1886" s="3" t="s">
        <v>2674</v>
      </c>
      <c r="C1886" s="3">
        <f>VLOOKUP(B1886,LifeList!$E$2:$J$2038,6)</f>
        <v>6145</v>
      </c>
      <c r="D1886" s="3" t="str">
        <f>VLOOKUP(B1886,LifeList!$E$2:$G$2038,1)</f>
        <v>Lesser Yellowlegs</v>
      </c>
      <c r="E1886" s="3" t="str">
        <f>VLOOKUP(B1886,LifeList!$E$2:$G$2038,2)</f>
        <v>Petit Chevalier</v>
      </c>
      <c r="F1886" s="3" t="str">
        <f>VLOOKUP(B1886,LifeList!$E$2:$G$2038,3)</f>
        <v>Tringa flavipes</v>
      </c>
      <c r="G1886" s="3" t="str">
        <f>VLOOKUP(B1886,LifeList!$E$2:$I$2038,4)</f>
        <v>Charadriiformes</v>
      </c>
      <c r="H1886" s="3" t="str">
        <f>VLOOKUP(B1886,LifeList!$E$2:$I$2038,5)</f>
        <v>Scolopacidae (Sandpipers and Allies)</v>
      </c>
      <c r="I1886" s="3"/>
    </row>
    <row r="1887" spans="1:9" ht="10.5" customHeight="1">
      <c r="A1887" s="3" t="s">
        <v>2679</v>
      </c>
      <c r="B1887" s="3" t="s">
        <v>2674</v>
      </c>
      <c r="C1887" s="3">
        <f>VLOOKUP(B1887,LifeList!$E$2:$J$2038,6)</f>
        <v>6145</v>
      </c>
      <c r="D1887" s="3" t="str">
        <f>VLOOKUP(B1887,LifeList!$E$2:$G$2038,1)</f>
        <v>Lesser Yellowlegs</v>
      </c>
      <c r="E1887" s="3" t="str">
        <f>VLOOKUP(B1887,LifeList!$E$2:$G$2038,2)</f>
        <v>Petit Chevalier</v>
      </c>
      <c r="F1887" s="3" t="str">
        <f>VLOOKUP(B1887,LifeList!$E$2:$G$2038,3)</f>
        <v>Tringa flavipes</v>
      </c>
      <c r="G1887" s="3" t="str">
        <f>VLOOKUP(B1887,LifeList!$E$2:$I$2038,4)</f>
        <v>Charadriiformes</v>
      </c>
      <c r="H1887" s="3" t="str">
        <f>VLOOKUP(B1887,LifeList!$E$2:$I$2038,5)</f>
        <v>Scolopacidae (Sandpipers and Allies)</v>
      </c>
      <c r="I1887" s="3"/>
    </row>
    <row r="1888" spans="1:9" ht="10.5" customHeight="1">
      <c r="A1888" s="3" t="s">
        <v>2680</v>
      </c>
      <c r="B1888" s="3" t="s">
        <v>2674</v>
      </c>
      <c r="C1888" s="3">
        <f>VLOOKUP(B1888,LifeList!$E$2:$J$2038,6)</f>
        <v>6145</v>
      </c>
      <c r="D1888" s="3" t="str">
        <f>VLOOKUP(B1888,LifeList!$E$2:$G$2038,1)</f>
        <v>Lesser Yellowlegs</v>
      </c>
      <c r="E1888" s="3" t="str">
        <f>VLOOKUP(B1888,LifeList!$E$2:$G$2038,2)</f>
        <v>Petit Chevalier</v>
      </c>
      <c r="F1888" s="3" t="str">
        <f>VLOOKUP(B1888,LifeList!$E$2:$G$2038,3)</f>
        <v>Tringa flavipes</v>
      </c>
      <c r="G1888" s="3" t="str">
        <f>VLOOKUP(B1888,LifeList!$E$2:$I$2038,4)</f>
        <v>Charadriiformes</v>
      </c>
      <c r="H1888" s="3" t="str">
        <f>VLOOKUP(B1888,LifeList!$E$2:$I$2038,5)</f>
        <v>Scolopacidae (Sandpipers and Allies)</v>
      </c>
      <c r="I1888" s="3"/>
    </row>
    <row r="1889" spans="1:9" ht="10.5" customHeight="1">
      <c r="A1889" s="3" t="s">
        <v>2681</v>
      </c>
      <c r="B1889" s="3" t="s">
        <v>2674</v>
      </c>
      <c r="C1889" s="3">
        <f>VLOOKUP(B1889,LifeList!$E$2:$J$2038,6)</f>
        <v>6145</v>
      </c>
      <c r="D1889" s="3" t="str">
        <f>VLOOKUP(B1889,LifeList!$E$2:$G$2038,1)</f>
        <v>Lesser Yellowlegs</v>
      </c>
      <c r="E1889" s="3" t="str">
        <f>VLOOKUP(B1889,LifeList!$E$2:$G$2038,2)</f>
        <v>Petit Chevalier</v>
      </c>
      <c r="F1889" s="3" t="str">
        <f>VLOOKUP(B1889,LifeList!$E$2:$G$2038,3)</f>
        <v>Tringa flavipes</v>
      </c>
      <c r="G1889" s="3" t="str">
        <f>VLOOKUP(B1889,LifeList!$E$2:$I$2038,4)</f>
        <v>Charadriiformes</v>
      </c>
      <c r="H1889" s="3" t="str">
        <f>VLOOKUP(B1889,LifeList!$E$2:$I$2038,5)</f>
        <v>Scolopacidae (Sandpipers and Allies)</v>
      </c>
      <c r="I1889" s="3"/>
    </row>
    <row r="1890" spans="1:9" ht="10.5" customHeight="1">
      <c r="A1890" s="3" t="s">
        <v>2682</v>
      </c>
      <c r="B1890" s="3" t="s">
        <v>2683</v>
      </c>
      <c r="C1890" s="3">
        <f>VLOOKUP(B1890,LifeList!$E$2:$J$2038,6)</f>
        <v>9857</v>
      </c>
      <c r="D1890" s="3" t="str">
        <f>VLOOKUP(B1890,LifeList!$E$2:$G$2038,1)</f>
        <v>Lesson's Motmot</v>
      </c>
      <c r="E1890" s="3" t="str">
        <f>VLOOKUP(B1890,LifeList!$E$2:$G$2038,2)</f>
        <v>Motmot de Lesson</v>
      </c>
      <c r="F1890" s="3" t="str">
        <f>VLOOKUP(B1890,LifeList!$E$2:$G$2038,3)</f>
        <v>Momotus lessonii</v>
      </c>
      <c r="G1890" s="3" t="str">
        <f>VLOOKUP(B1890,LifeList!$E$2:$I$2038,4)</f>
        <v>Coraciiformes</v>
      </c>
      <c r="H1890" s="3" t="str">
        <f>VLOOKUP(B1890,LifeList!$E$2:$I$2038,5)</f>
        <v>Momotidae (Motmots)</v>
      </c>
      <c r="I1890" s="3"/>
    </row>
    <row r="1891" spans="1:9" ht="10.5" customHeight="1">
      <c r="A1891" s="3" t="s">
        <v>2684</v>
      </c>
      <c r="B1891" s="3" t="s">
        <v>2683</v>
      </c>
      <c r="C1891" s="3">
        <f>VLOOKUP(B1891,LifeList!$E$2:$J$2038,6)</f>
        <v>9857</v>
      </c>
      <c r="D1891" s="3" t="str">
        <f>VLOOKUP(B1891,LifeList!$E$2:$G$2038,1)</f>
        <v>Lesson's Motmot</v>
      </c>
      <c r="E1891" s="3" t="str">
        <f>VLOOKUP(B1891,LifeList!$E$2:$G$2038,2)</f>
        <v>Motmot de Lesson</v>
      </c>
      <c r="F1891" s="3" t="str">
        <f>VLOOKUP(B1891,LifeList!$E$2:$G$2038,3)</f>
        <v>Momotus lessonii</v>
      </c>
      <c r="G1891" s="3" t="str">
        <f>VLOOKUP(B1891,LifeList!$E$2:$I$2038,4)</f>
        <v>Coraciiformes</v>
      </c>
      <c r="H1891" s="3" t="str">
        <f>VLOOKUP(B1891,LifeList!$E$2:$I$2038,5)</f>
        <v>Momotidae (Motmots)</v>
      </c>
      <c r="I1891" s="3"/>
    </row>
    <row r="1892" spans="1:9" ht="10.5" customHeight="1">
      <c r="A1892" s="3" t="s">
        <v>2685</v>
      </c>
      <c r="B1892" s="3" t="s">
        <v>2683</v>
      </c>
      <c r="C1892" s="3">
        <f>VLOOKUP(B1892,LifeList!$E$2:$J$2038,6)</f>
        <v>9857</v>
      </c>
      <c r="D1892" s="3" t="str">
        <f>VLOOKUP(B1892,LifeList!$E$2:$G$2038,1)</f>
        <v>Lesson's Motmot</v>
      </c>
      <c r="E1892" s="3" t="str">
        <f>VLOOKUP(B1892,LifeList!$E$2:$G$2038,2)</f>
        <v>Motmot de Lesson</v>
      </c>
      <c r="F1892" s="3" t="str">
        <f>VLOOKUP(B1892,LifeList!$E$2:$G$2038,3)</f>
        <v>Momotus lessonii</v>
      </c>
      <c r="G1892" s="3" t="str">
        <f>VLOOKUP(B1892,LifeList!$E$2:$I$2038,4)</f>
        <v>Coraciiformes</v>
      </c>
      <c r="H1892" s="3" t="str">
        <f>VLOOKUP(B1892,LifeList!$E$2:$I$2038,5)</f>
        <v>Momotidae (Motmots)</v>
      </c>
      <c r="I1892" s="3"/>
    </row>
    <row r="1893" spans="1:9" ht="10.5" customHeight="1">
      <c r="A1893" s="7" t="s">
        <v>2686</v>
      </c>
      <c r="B1893" s="9" t="s">
        <v>2687</v>
      </c>
      <c r="C1893" s="3">
        <f>VLOOKUP(B1893,LifeList!$E$2:$J$2038,6)</f>
        <v>5339</v>
      </c>
      <c r="D1893" s="3" t="str">
        <f>VLOOKUP(B1893,LifeList!$E$2:$G$2038,1)</f>
        <v>Lewin's Rail</v>
      </c>
      <c r="E1893" s="3" t="str">
        <f>VLOOKUP(B1893,LifeList!$E$2:$G$2038,2)</f>
        <v>Râle à poitrine grise</v>
      </c>
      <c r="F1893" s="3" t="str">
        <f>VLOOKUP(B1893,LifeList!$E$2:$G$2038,3)</f>
        <v>Lewinia pectoralis</v>
      </c>
      <c r="G1893" s="3" t="str">
        <f>VLOOKUP(B1893,LifeList!$E$2:$I$2038,4)</f>
        <v>Gruiformes</v>
      </c>
      <c r="H1893" s="3" t="str">
        <f>VLOOKUP(B1893,LifeList!$E$2:$I$2038,5)</f>
        <v>Rallidae (Rails, Gallinules, and Coots)</v>
      </c>
      <c r="I1893" s="3"/>
    </row>
    <row r="1894" spans="1:9" ht="10.5" customHeight="1">
      <c r="A1894" s="3" t="s">
        <v>2688</v>
      </c>
      <c r="B1894" s="3" t="s">
        <v>2689</v>
      </c>
      <c r="C1894" s="3">
        <f>VLOOKUP(B1894,LifeList!$E$2:$J$2038,6)</f>
        <v>10332</v>
      </c>
      <c r="D1894" s="3" t="str">
        <f>VLOOKUP(B1894,LifeList!$E$2:$G$2038,1)</f>
        <v>Lilac-breasted Roller</v>
      </c>
      <c r="E1894" s="3" t="str">
        <f>VLOOKUP(B1894,LifeList!$E$2:$G$2038,2)</f>
        <v>Rollier à longs brins</v>
      </c>
      <c r="F1894" s="3" t="str">
        <f>VLOOKUP(B1894,LifeList!$E$2:$G$2038,3)</f>
        <v>Coracias caudatus</v>
      </c>
      <c r="G1894" s="3" t="str">
        <f>VLOOKUP(B1894,LifeList!$E$2:$I$2038,4)</f>
        <v>Coraciiformes</v>
      </c>
      <c r="H1894" s="3" t="str">
        <f>VLOOKUP(B1894,LifeList!$E$2:$I$2038,5)</f>
        <v>Coraciidae (Rollers)</v>
      </c>
      <c r="I1894" s="3"/>
    </row>
    <row r="1895" spans="1:9" ht="10.5" customHeight="1">
      <c r="A1895" s="3" t="s">
        <v>2690</v>
      </c>
      <c r="B1895" s="3" t="s">
        <v>2689</v>
      </c>
      <c r="C1895" s="3">
        <f>VLOOKUP(B1895,LifeList!$E$2:$J$2038,6)</f>
        <v>10332</v>
      </c>
      <c r="D1895" s="3" t="str">
        <f>VLOOKUP(B1895,LifeList!$E$2:$G$2038,1)</f>
        <v>Lilac-breasted Roller</v>
      </c>
      <c r="E1895" s="3" t="str">
        <f>VLOOKUP(B1895,LifeList!$E$2:$G$2038,2)</f>
        <v>Rollier à longs brins</v>
      </c>
      <c r="F1895" s="3" t="str">
        <f>VLOOKUP(B1895,LifeList!$E$2:$G$2038,3)</f>
        <v>Coracias caudatus</v>
      </c>
      <c r="G1895" s="3" t="str">
        <f>VLOOKUP(B1895,LifeList!$E$2:$I$2038,4)</f>
        <v>Coraciiformes</v>
      </c>
      <c r="H1895" s="3" t="str">
        <f>VLOOKUP(B1895,LifeList!$E$2:$I$2038,5)</f>
        <v>Coraciidae (Rollers)</v>
      </c>
      <c r="I1895" s="3"/>
    </row>
    <row r="1896" spans="1:9" ht="10.5" customHeight="1">
      <c r="A1896" s="3" t="s">
        <v>2691</v>
      </c>
      <c r="B1896" s="3" t="s">
        <v>2689</v>
      </c>
      <c r="C1896" s="3">
        <f>VLOOKUP(B1896,LifeList!$E$2:$J$2038,6)</f>
        <v>10332</v>
      </c>
      <c r="D1896" s="3" t="str">
        <f>VLOOKUP(B1896,LifeList!$E$2:$G$2038,1)</f>
        <v>Lilac-breasted Roller</v>
      </c>
      <c r="E1896" s="3" t="str">
        <f>VLOOKUP(B1896,LifeList!$E$2:$G$2038,2)</f>
        <v>Rollier à longs brins</v>
      </c>
      <c r="F1896" s="3" t="str">
        <f>VLOOKUP(B1896,LifeList!$E$2:$G$2038,3)</f>
        <v>Coracias caudatus</v>
      </c>
      <c r="G1896" s="3" t="str">
        <f>VLOOKUP(B1896,LifeList!$E$2:$I$2038,4)</f>
        <v>Coraciiformes</v>
      </c>
      <c r="H1896" s="3" t="str">
        <f>VLOOKUP(B1896,LifeList!$E$2:$I$2038,5)</f>
        <v>Coraciidae (Rollers)</v>
      </c>
      <c r="I1896" s="3"/>
    </row>
    <row r="1897" spans="1:9" ht="10.5" customHeight="1">
      <c r="A1897" s="3" t="s">
        <v>2692</v>
      </c>
      <c r="B1897" s="3" t="s">
        <v>2689</v>
      </c>
      <c r="C1897" s="3">
        <f>VLOOKUP(B1897,LifeList!$E$2:$J$2038,6)</f>
        <v>10332</v>
      </c>
      <c r="D1897" s="3" t="str">
        <f>VLOOKUP(B1897,LifeList!$E$2:$G$2038,1)</f>
        <v>Lilac-breasted Roller</v>
      </c>
      <c r="E1897" s="3" t="str">
        <f>VLOOKUP(B1897,LifeList!$E$2:$G$2038,2)</f>
        <v>Rollier à longs brins</v>
      </c>
      <c r="F1897" s="3" t="str">
        <f>VLOOKUP(B1897,LifeList!$E$2:$G$2038,3)</f>
        <v>Coracias caudatus</v>
      </c>
      <c r="G1897" s="3" t="str">
        <f>VLOOKUP(B1897,LifeList!$E$2:$I$2038,4)</f>
        <v>Coraciiformes</v>
      </c>
      <c r="H1897" s="3" t="str">
        <f>VLOOKUP(B1897,LifeList!$E$2:$I$2038,5)</f>
        <v>Coraciidae (Rollers)</v>
      </c>
      <c r="I1897" s="3"/>
    </row>
    <row r="1898" spans="1:9" ht="10.5" customHeight="1">
      <c r="A1898" s="3" t="s">
        <v>2693</v>
      </c>
      <c r="B1898" s="3" t="s">
        <v>2694</v>
      </c>
      <c r="C1898" s="3">
        <f>VLOOKUP(B1898,LifeList!$E$2:$J$2038,6)</f>
        <v>5671</v>
      </c>
      <c r="D1898" s="3" t="str">
        <f>VLOOKUP(B1898,LifeList!$E$2:$G$2038,1)</f>
        <v>Limpkin</v>
      </c>
      <c r="E1898" s="3" t="str">
        <f>VLOOKUP(B1898,LifeList!$E$2:$G$2038,2)</f>
        <v>Courlan brun</v>
      </c>
      <c r="F1898" s="3" t="str">
        <f>VLOOKUP(B1898,LifeList!$E$2:$G$2038,3)</f>
        <v>Aramus guarauna</v>
      </c>
      <c r="G1898" s="3" t="str">
        <f>VLOOKUP(B1898,LifeList!$E$2:$I$2038,4)</f>
        <v>Gruiformes</v>
      </c>
      <c r="H1898" s="3" t="str">
        <f>VLOOKUP(B1898,LifeList!$E$2:$I$2038,5)</f>
        <v>Aramidae (Limpkin)</v>
      </c>
      <c r="I1898" s="3"/>
    </row>
    <row r="1899" spans="1:9" ht="10.5" customHeight="1">
      <c r="A1899" s="3" t="s">
        <v>2695</v>
      </c>
      <c r="B1899" s="3" t="s">
        <v>2694</v>
      </c>
      <c r="C1899" s="3">
        <f>VLOOKUP(B1899,LifeList!$E$2:$J$2038,6)</f>
        <v>5671</v>
      </c>
      <c r="D1899" s="3" t="str">
        <f>VLOOKUP(B1899,LifeList!$E$2:$G$2038,1)</f>
        <v>Limpkin</v>
      </c>
      <c r="E1899" s="3" t="str">
        <f>VLOOKUP(B1899,LifeList!$E$2:$G$2038,2)</f>
        <v>Courlan brun</v>
      </c>
      <c r="F1899" s="3" t="str">
        <f>VLOOKUP(B1899,LifeList!$E$2:$G$2038,3)</f>
        <v>Aramus guarauna</v>
      </c>
      <c r="G1899" s="3" t="str">
        <f>VLOOKUP(B1899,LifeList!$E$2:$I$2038,4)</f>
        <v>Gruiformes</v>
      </c>
      <c r="H1899" s="3" t="str">
        <f>VLOOKUP(B1899,LifeList!$E$2:$I$2038,5)</f>
        <v>Aramidae (Limpkin)</v>
      </c>
      <c r="I1899" s="3"/>
    </row>
    <row r="1900" spans="1:9" ht="10.5" customHeight="1">
      <c r="A1900" s="3" t="s">
        <v>2696</v>
      </c>
      <c r="B1900" s="3" t="s">
        <v>2694</v>
      </c>
      <c r="C1900" s="3">
        <f>VLOOKUP(B1900,LifeList!$E$2:$J$2038,6)</f>
        <v>5671</v>
      </c>
      <c r="D1900" s="3" t="str">
        <f>VLOOKUP(B1900,LifeList!$E$2:$G$2038,1)</f>
        <v>Limpkin</v>
      </c>
      <c r="E1900" s="3" t="str">
        <f>VLOOKUP(B1900,LifeList!$E$2:$G$2038,2)</f>
        <v>Courlan brun</v>
      </c>
      <c r="F1900" s="3" t="str">
        <f>VLOOKUP(B1900,LifeList!$E$2:$G$2038,3)</f>
        <v>Aramus guarauna</v>
      </c>
      <c r="G1900" s="3" t="str">
        <f>VLOOKUP(B1900,LifeList!$E$2:$I$2038,4)</f>
        <v>Gruiformes</v>
      </c>
      <c r="H1900" s="3" t="str">
        <f>VLOOKUP(B1900,LifeList!$E$2:$I$2038,5)</f>
        <v>Aramidae (Limpkin)</v>
      </c>
      <c r="I1900" s="3"/>
    </row>
    <row r="1901" spans="1:9" ht="10.5" customHeight="1">
      <c r="A1901" s="3" t="s">
        <v>2697</v>
      </c>
      <c r="B1901" s="3" t="s">
        <v>2694</v>
      </c>
      <c r="C1901" s="3">
        <f>VLOOKUP(B1901,LifeList!$E$2:$J$2038,6)</f>
        <v>5671</v>
      </c>
      <c r="D1901" s="3" t="str">
        <f>VLOOKUP(B1901,LifeList!$E$2:$G$2038,1)</f>
        <v>Limpkin</v>
      </c>
      <c r="E1901" s="3" t="str">
        <f>VLOOKUP(B1901,LifeList!$E$2:$G$2038,2)</f>
        <v>Courlan brun</v>
      </c>
      <c r="F1901" s="3" t="str">
        <f>VLOOKUP(B1901,LifeList!$E$2:$G$2038,3)</f>
        <v>Aramus guarauna</v>
      </c>
      <c r="G1901" s="3" t="str">
        <f>VLOOKUP(B1901,LifeList!$E$2:$I$2038,4)</f>
        <v>Gruiformes</v>
      </c>
      <c r="H1901" s="3" t="str">
        <f>VLOOKUP(B1901,LifeList!$E$2:$I$2038,5)</f>
        <v>Aramidae (Limpkin)</v>
      </c>
      <c r="I1901" s="3"/>
    </row>
    <row r="1902" spans="1:9" ht="10.5" customHeight="1">
      <c r="A1902" s="3" t="s">
        <v>2698</v>
      </c>
      <c r="B1902" s="3" t="s">
        <v>2694</v>
      </c>
      <c r="C1902" s="3">
        <f>VLOOKUP(B1902,LifeList!$E$2:$J$2038,6)</f>
        <v>5671</v>
      </c>
      <c r="D1902" s="3" t="str">
        <f>VLOOKUP(B1902,LifeList!$E$2:$G$2038,1)</f>
        <v>Limpkin</v>
      </c>
      <c r="E1902" s="3" t="str">
        <f>VLOOKUP(B1902,LifeList!$E$2:$G$2038,2)</f>
        <v>Courlan brun</v>
      </c>
      <c r="F1902" s="3" t="str">
        <f>VLOOKUP(B1902,LifeList!$E$2:$G$2038,3)</f>
        <v>Aramus guarauna</v>
      </c>
      <c r="G1902" s="3" t="str">
        <f>VLOOKUP(B1902,LifeList!$E$2:$I$2038,4)</f>
        <v>Gruiformes</v>
      </c>
      <c r="H1902" s="3" t="str">
        <f>VLOOKUP(B1902,LifeList!$E$2:$I$2038,5)</f>
        <v>Aramidae (Limpkin)</v>
      </c>
      <c r="I1902" s="3"/>
    </row>
    <row r="1903" spans="1:9" ht="10.5" customHeight="1">
      <c r="A1903" s="3" t="s">
        <v>2699</v>
      </c>
      <c r="B1903" s="3" t="s">
        <v>2694</v>
      </c>
      <c r="C1903" s="3">
        <f>VLOOKUP(B1903,LifeList!$E$2:$J$2038,6)</f>
        <v>5671</v>
      </c>
      <c r="D1903" s="3" t="str">
        <f>VLOOKUP(B1903,LifeList!$E$2:$G$2038,1)</f>
        <v>Limpkin</v>
      </c>
      <c r="E1903" s="3" t="str">
        <f>VLOOKUP(B1903,LifeList!$E$2:$G$2038,2)</f>
        <v>Courlan brun</v>
      </c>
      <c r="F1903" s="3" t="str">
        <f>VLOOKUP(B1903,LifeList!$E$2:$G$2038,3)</f>
        <v>Aramus guarauna</v>
      </c>
      <c r="G1903" s="3" t="str">
        <f>VLOOKUP(B1903,LifeList!$E$2:$I$2038,4)</f>
        <v>Gruiformes</v>
      </c>
      <c r="H1903" s="3" t="str">
        <f>VLOOKUP(B1903,LifeList!$E$2:$I$2038,5)</f>
        <v>Aramidae (Limpkin)</v>
      </c>
      <c r="I1903" s="3"/>
    </row>
    <row r="1904" spans="1:9" ht="10.5" customHeight="1">
      <c r="A1904" s="3" t="s">
        <v>2700</v>
      </c>
      <c r="B1904" s="3" t="s">
        <v>2694</v>
      </c>
      <c r="C1904" s="3">
        <f>VLOOKUP(B1904,LifeList!$E$2:$J$2038,6)</f>
        <v>5671</v>
      </c>
      <c r="D1904" s="3" t="str">
        <f>VLOOKUP(B1904,LifeList!$E$2:$G$2038,1)</f>
        <v>Limpkin</v>
      </c>
      <c r="E1904" s="3" t="str">
        <f>VLOOKUP(B1904,LifeList!$E$2:$G$2038,2)</f>
        <v>Courlan brun</v>
      </c>
      <c r="F1904" s="3" t="str">
        <f>VLOOKUP(B1904,LifeList!$E$2:$G$2038,3)</f>
        <v>Aramus guarauna</v>
      </c>
      <c r="G1904" s="3" t="str">
        <f>VLOOKUP(B1904,LifeList!$E$2:$I$2038,4)</f>
        <v>Gruiformes</v>
      </c>
      <c r="H1904" s="3" t="str">
        <f>VLOOKUP(B1904,LifeList!$E$2:$I$2038,5)</f>
        <v>Aramidae (Limpkin)</v>
      </c>
      <c r="I1904" s="3"/>
    </row>
    <row r="1905" spans="1:9" ht="10.5" customHeight="1">
      <c r="A1905" s="3" t="s">
        <v>2701</v>
      </c>
      <c r="B1905" s="3" t="s">
        <v>2694</v>
      </c>
      <c r="C1905" s="3">
        <f>VLOOKUP(B1905,LifeList!$E$2:$J$2038,6)</f>
        <v>5671</v>
      </c>
      <c r="D1905" s="3" t="str">
        <f>VLOOKUP(B1905,LifeList!$E$2:$G$2038,1)</f>
        <v>Limpkin</v>
      </c>
      <c r="E1905" s="3" t="str">
        <f>VLOOKUP(B1905,LifeList!$E$2:$G$2038,2)</f>
        <v>Courlan brun</v>
      </c>
      <c r="F1905" s="3" t="str">
        <f>VLOOKUP(B1905,LifeList!$E$2:$G$2038,3)</f>
        <v>Aramus guarauna</v>
      </c>
      <c r="G1905" s="3" t="str">
        <f>VLOOKUP(B1905,LifeList!$E$2:$I$2038,4)</f>
        <v>Gruiformes</v>
      </c>
      <c r="H1905" s="3" t="str">
        <f>VLOOKUP(B1905,LifeList!$E$2:$I$2038,5)</f>
        <v>Aramidae (Limpkin)</v>
      </c>
      <c r="I1905" s="3"/>
    </row>
    <row r="1906" spans="1:9" ht="10.5" customHeight="1">
      <c r="A1906" s="3" t="s">
        <v>2702</v>
      </c>
      <c r="B1906" s="3" t="s">
        <v>2694</v>
      </c>
      <c r="C1906" s="3">
        <f>VLOOKUP(B1906,LifeList!$E$2:$J$2038,6)</f>
        <v>5671</v>
      </c>
      <c r="D1906" s="3" t="str">
        <f>VLOOKUP(B1906,LifeList!$E$2:$G$2038,1)</f>
        <v>Limpkin</v>
      </c>
      <c r="E1906" s="3" t="str">
        <f>VLOOKUP(B1906,LifeList!$E$2:$G$2038,2)</f>
        <v>Courlan brun</v>
      </c>
      <c r="F1906" s="3" t="str">
        <f>VLOOKUP(B1906,LifeList!$E$2:$G$2038,3)</f>
        <v>Aramus guarauna</v>
      </c>
      <c r="G1906" s="3" t="str">
        <f>VLOOKUP(B1906,LifeList!$E$2:$I$2038,4)</f>
        <v>Gruiformes</v>
      </c>
      <c r="H1906" s="3" t="str">
        <f>VLOOKUP(B1906,LifeList!$E$2:$I$2038,5)</f>
        <v>Aramidae (Limpkin)</v>
      </c>
      <c r="I1906" s="3"/>
    </row>
    <row r="1907" spans="1:9" ht="10.5" customHeight="1">
      <c r="A1907" s="3" t="s">
        <v>2703</v>
      </c>
      <c r="B1907" s="3" t="s">
        <v>2694</v>
      </c>
      <c r="C1907" s="3">
        <f>VLOOKUP(B1907,LifeList!$E$2:$J$2038,6)</f>
        <v>5671</v>
      </c>
      <c r="D1907" s="3" t="str">
        <f>VLOOKUP(B1907,LifeList!$E$2:$G$2038,1)</f>
        <v>Limpkin</v>
      </c>
      <c r="E1907" s="3" t="str">
        <f>VLOOKUP(B1907,LifeList!$E$2:$G$2038,2)</f>
        <v>Courlan brun</v>
      </c>
      <c r="F1907" s="3" t="str">
        <f>VLOOKUP(B1907,LifeList!$E$2:$G$2038,3)</f>
        <v>Aramus guarauna</v>
      </c>
      <c r="G1907" s="3" t="str">
        <f>VLOOKUP(B1907,LifeList!$E$2:$I$2038,4)</f>
        <v>Gruiformes</v>
      </c>
      <c r="H1907" s="3" t="str">
        <f>VLOOKUP(B1907,LifeList!$E$2:$I$2038,5)</f>
        <v>Aramidae (Limpkin)</v>
      </c>
      <c r="I1907" s="3"/>
    </row>
    <row r="1908" spans="1:9" ht="10.5" customHeight="1">
      <c r="A1908" s="3" t="s">
        <v>2704</v>
      </c>
      <c r="B1908" s="3" t="s">
        <v>2694</v>
      </c>
      <c r="C1908" s="3">
        <f>VLOOKUP(B1908,LifeList!$E$2:$J$2038,6)</f>
        <v>5671</v>
      </c>
      <c r="D1908" s="3" t="str">
        <f>VLOOKUP(B1908,LifeList!$E$2:$G$2038,1)</f>
        <v>Limpkin</v>
      </c>
      <c r="E1908" s="3" t="str">
        <f>VLOOKUP(B1908,LifeList!$E$2:$G$2038,2)</f>
        <v>Courlan brun</v>
      </c>
      <c r="F1908" s="3" t="str">
        <f>VLOOKUP(B1908,LifeList!$E$2:$G$2038,3)</f>
        <v>Aramus guarauna</v>
      </c>
      <c r="G1908" s="3" t="str">
        <f>VLOOKUP(B1908,LifeList!$E$2:$I$2038,4)</f>
        <v>Gruiformes</v>
      </c>
      <c r="H1908" s="3" t="str">
        <f>VLOOKUP(B1908,LifeList!$E$2:$I$2038,5)</f>
        <v>Aramidae (Limpkin)</v>
      </c>
      <c r="I1908" s="3"/>
    </row>
    <row r="1909" spans="1:9" ht="10.5" customHeight="1">
      <c r="A1909" s="3" t="s">
        <v>2705</v>
      </c>
      <c r="B1909" s="3" t="s">
        <v>2694</v>
      </c>
      <c r="C1909" s="3">
        <f>VLOOKUP(B1909,LifeList!$E$2:$J$2038,6)</f>
        <v>5671</v>
      </c>
      <c r="D1909" s="3" t="str">
        <f>VLOOKUP(B1909,LifeList!$E$2:$G$2038,1)</f>
        <v>Limpkin</v>
      </c>
      <c r="E1909" s="3" t="str">
        <f>VLOOKUP(B1909,LifeList!$E$2:$G$2038,2)</f>
        <v>Courlan brun</v>
      </c>
      <c r="F1909" s="3" t="str">
        <f>VLOOKUP(B1909,LifeList!$E$2:$G$2038,3)</f>
        <v>Aramus guarauna</v>
      </c>
      <c r="G1909" s="3" t="str">
        <f>VLOOKUP(B1909,LifeList!$E$2:$I$2038,4)</f>
        <v>Gruiformes</v>
      </c>
      <c r="H1909" s="3" t="str">
        <f>VLOOKUP(B1909,LifeList!$E$2:$I$2038,5)</f>
        <v>Aramidae (Limpkin)</v>
      </c>
      <c r="I1909" s="3"/>
    </row>
    <row r="1910" spans="1:9" ht="10.5" customHeight="1">
      <c r="A1910" s="3" t="s">
        <v>2706</v>
      </c>
      <c r="B1910" s="3" t="s">
        <v>2694</v>
      </c>
      <c r="C1910" s="3">
        <f>VLOOKUP(B1910,LifeList!$E$2:$J$2038,6)</f>
        <v>5671</v>
      </c>
      <c r="D1910" s="3" t="str">
        <f>VLOOKUP(B1910,LifeList!$E$2:$G$2038,1)</f>
        <v>Limpkin</v>
      </c>
      <c r="E1910" s="3" t="str">
        <f>VLOOKUP(B1910,LifeList!$E$2:$G$2038,2)</f>
        <v>Courlan brun</v>
      </c>
      <c r="F1910" s="3" t="str">
        <f>VLOOKUP(B1910,LifeList!$E$2:$G$2038,3)</f>
        <v>Aramus guarauna</v>
      </c>
      <c r="G1910" s="3" t="str">
        <f>VLOOKUP(B1910,LifeList!$E$2:$I$2038,4)</f>
        <v>Gruiformes</v>
      </c>
      <c r="H1910" s="3" t="str">
        <f>VLOOKUP(B1910,LifeList!$E$2:$I$2038,5)</f>
        <v>Aramidae (Limpkin)</v>
      </c>
      <c r="I1910" s="3"/>
    </row>
    <row r="1911" spans="1:9" ht="10.5" customHeight="1">
      <c r="A1911" s="3" t="s">
        <v>2707</v>
      </c>
      <c r="B1911" s="3" t="s">
        <v>2708</v>
      </c>
      <c r="C1911" s="3">
        <f>VLOOKUP(B1911,LifeList!$E$2:$J$2038,6)</f>
        <v>33310</v>
      </c>
      <c r="D1911" s="3" t="str">
        <f>VLOOKUP(B1911,LifeList!$E$2:$G$2038,1)</f>
        <v>Lincoln's Sparrow</v>
      </c>
      <c r="E1911" s="3" t="str">
        <f>VLOOKUP(B1911,LifeList!$E$2:$G$2038,2)</f>
        <v>Bruant de Lincoln</v>
      </c>
      <c r="F1911" s="3" t="str">
        <f>VLOOKUP(B1911,LifeList!$E$2:$G$2038,3)</f>
        <v>Melospiza lincolnii</v>
      </c>
      <c r="G1911" s="3" t="str">
        <f>VLOOKUP(B1911,LifeList!$E$2:$I$2038,4)</f>
        <v>Passeriformes</v>
      </c>
      <c r="H1911" s="3" t="str">
        <f>VLOOKUP(B1911,LifeList!$E$2:$I$2038,5)</f>
        <v>Passerellidae (New World Sparrows)</v>
      </c>
      <c r="I1911" s="3"/>
    </row>
    <row r="1912" spans="1:9" ht="10.5" customHeight="1">
      <c r="A1912" s="3" t="s">
        <v>2709</v>
      </c>
      <c r="B1912" s="3" t="s">
        <v>2708</v>
      </c>
      <c r="C1912" s="3">
        <f>VLOOKUP(B1912,LifeList!$E$2:$J$2038,6)</f>
        <v>33310</v>
      </c>
      <c r="D1912" s="3" t="str">
        <f>VLOOKUP(B1912,LifeList!$E$2:$G$2038,1)</f>
        <v>Lincoln's Sparrow</v>
      </c>
      <c r="E1912" s="3" t="str">
        <f>VLOOKUP(B1912,LifeList!$E$2:$G$2038,2)</f>
        <v>Bruant de Lincoln</v>
      </c>
      <c r="F1912" s="3" t="str">
        <f>VLOOKUP(B1912,LifeList!$E$2:$G$2038,3)</f>
        <v>Melospiza lincolnii</v>
      </c>
      <c r="G1912" s="3" t="str">
        <f>VLOOKUP(B1912,LifeList!$E$2:$I$2038,4)</f>
        <v>Passeriformes</v>
      </c>
      <c r="H1912" s="3" t="str">
        <f>VLOOKUP(B1912,LifeList!$E$2:$I$2038,5)</f>
        <v>Passerellidae (New World Sparrows)</v>
      </c>
      <c r="I1912" s="3"/>
    </row>
    <row r="1913" spans="1:9" ht="10.5" customHeight="1">
      <c r="A1913" s="3" t="s">
        <v>2710</v>
      </c>
      <c r="B1913" s="3" t="s">
        <v>2708</v>
      </c>
      <c r="C1913" s="3">
        <f>VLOOKUP(B1913,LifeList!$E$2:$J$2038,6)</f>
        <v>33310</v>
      </c>
      <c r="D1913" s="3" t="str">
        <f>VLOOKUP(B1913,LifeList!$E$2:$G$2038,1)</f>
        <v>Lincoln's Sparrow</v>
      </c>
      <c r="E1913" s="3" t="str">
        <f>VLOOKUP(B1913,LifeList!$E$2:$G$2038,2)</f>
        <v>Bruant de Lincoln</v>
      </c>
      <c r="F1913" s="3" t="str">
        <f>VLOOKUP(B1913,LifeList!$E$2:$G$2038,3)</f>
        <v>Melospiza lincolnii</v>
      </c>
      <c r="G1913" s="3" t="str">
        <f>VLOOKUP(B1913,LifeList!$E$2:$I$2038,4)</f>
        <v>Passeriformes</v>
      </c>
      <c r="H1913" s="3" t="str">
        <f>VLOOKUP(B1913,LifeList!$E$2:$I$2038,5)</f>
        <v>Passerellidae (New World Sparrows)</v>
      </c>
      <c r="I1913" s="3"/>
    </row>
    <row r="1914" spans="1:9" ht="10.5" customHeight="1">
      <c r="A1914" s="3" t="s">
        <v>2711</v>
      </c>
      <c r="B1914" s="3" t="s">
        <v>2708</v>
      </c>
      <c r="C1914" s="3">
        <f>VLOOKUP(B1914,LifeList!$E$2:$J$2038,6)</f>
        <v>33310</v>
      </c>
      <c r="D1914" s="3" t="str">
        <f>VLOOKUP(B1914,LifeList!$E$2:$G$2038,1)</f>
        <v>Lincoln's Sparrow</v>
      </c>
      <c r="E1914" s="3" t="str">
        <f>VLOOKUP(B1914,LifeList!$E$2:$G$2038,2)</f>
        <v>Bruant de Lincoln</v>
      </c>
      <c r="F1914" s="3" t="str">
        <f>VLOOKUP(B1914,LifeList!$E$2:$G$2038,3)</f>
        <v>Melospiza lincolnii</v>
      </c>
      <c r="G1914" s="3" t="str">
        <f>VLOOKUP(B1914,LifeList!$E$2:$I$2038,4)</f>
        <v>Passeriformes</v>
      </c>
      <c r="H1914" s="3" t="str">
        <f>VLOOKUP(B1914,LifeList!$E$2:$I$2038,5)</f>
        <v>Passerellidae (New World Sparrows)</v>
      </c>
      <c r="I1914" s="3"/>
    </row>
    <row r="1915" spans="1:9" ht="10.5" customHeight="1">
      <c r="A1915" s="3" t="s">
        <v>2712</v>
      </c>
      <c r="B1915" s="3" t="s">
        <v>2708</v>
      </c>
      <c r="C1915" s="3">
        <f>VLOOKUP(B1915,LifeList!$E$2:$J$2038,6)</f>
        <v>33310</v>
      </c>
      <c r="D1915" s="3" t="str">
        <f>VLOOKUP(B1915,LifeList!$E$2:$G$2038,1)</f>
        <v>Lincoln's Sparrow</v>
      </c>
      <c r="E1915" s="3" t="str">
        <f>VLOOKUP(B1915,LifeList!$E$2:$G$2038,2)</f>
        <v>Bruant de Lincoln</v>
      </c>
      <c r="F1915" s="3" t="str">
        <f>VLOOKUP(B1915,LifeList!$E$2:$G$2038,3)</f>
        <v>Melospiza lincolnii</v>
      </c>
      <c r="G1915" s="3" t="str">
        <f>VLOOKUP(B1915,LifeList!$E$2:$I$2038,4)</f>
        <v>Passeriformes</v>
      </c>
      <c r="H1915" s="3" t="str">
        <f>VLOOKUP(B1915,LifeList!$E$2:$I$2038,5)</f>
        <v>Passerellidae (New World Sparrows)</v>
      </c>
      <c r="I1915" s="3"/>
    </row>
    <row r="1916" spans="1:9" ht="10.5" customHeight="1">
      <c r="A1916" s="3" t="s">
        <v>2713</v>
      </c>
      <c r="B1916" s="3" t="s">
        <v>2714</v>
      </c>
      <c r="C1916" s="3">
        <f>VLOOKUP(B1916,LifeList!$E$2:$J$2038,6)</f>
        <v>11754</v>
      </c>
      <c r="D1916" s="3" t="str">
        <f>VLOOKUP(B1916,LifeList!$E$2:$G$2038,1)</f>
        <v>Lineated Woodpecker</v>
      </c>
      <c r="E1916" s="3" t="str">
        <f>VLOOKUP(B1916,LifeList!$E$2:$G$2038,2)</f>
        <v>Pic ouentou</v>
      </c>
      <c r="F1916" s="3" t="str">
        <f>VLOOKUP(B1916,LifeList!$E$2:$G$2038,3)</f>
        <v>Dryocopus lineatus</v>
      </c>
      <c r="G1916" s="3" t="str">
        <f>VLOOKUP(B1916,LifeList!$E$2:$I$2038,4)</f>
        <v>Piciformes</v>
      </c>
      <c r="H1916" s="3" t="str">
        <f>VLOOKUP(B1916,LifeList!$E$2:$I$2038,5)</f>
        <v>Picidae (Woodpeckers)</v>
      </c>
      <c r="I1916" s="3"/>
    </row>
    <row r="1917" spans="1:9" ht="10.5" customHeight="1">
      <c r="A1917" s="3" t="s">
        <v>2715</v>
      </c>
      <c r="B1917" s="3" t="s">
        <v>2714</v>
      </c>
      <c r="C1917" s="3">
        <f>VLOOKUP(B1917,LifeList!$E$2:$J$2038,6)</f>
        <v>11754</v>
      </c>
      <c r="D1917" s="3" t="str">
        <f>VLOOKUP(B1917,LifeList!$E$2:$G$2038,1)</f>
        <v>Lineated Woodpecker</v>
      </c>
      <c r="E1917" s="3" t="str">
        <f>VLOOKUP(B1917,LifeList!$E$2:$G$2038,2)</f>
        <v>Pic ouentou</v>
      </c>
      <c r="F1917" s="3" t="str">
        <f>VLOOKUP(B1917,LifeList!$E$2:$G$2038,3)</f>
        <v>Dryocopus lineatus</v>
      </c>
      <c r="G1917" s="3" t="str">
        <f>VLOOKUP(B1917,LifeList!$E$2:$I$2038,4)</f>
        <v>Piciformes</v>
      </c>
      <c r="H1917" s="3" t="str">
        <f>VLOOKUP(B1917,LifeList!$E$2:$I$2038,5)</f>
        <v>Picidae (Woodpeckers)</v>
      </c>
      <c r="I1917" s="3"/>
    </row>
    <row r="1918" spans="1:9" ht="10.5" customHeight="1">
      <c r="A1918" s="3" t="s">
        <v>2716</v>
      </c>
      <c r="B1918" s="3" t="s">
        <v>2714</v>
      </c>
      <c r="C1918" s="3">
        <f>VLOOKUP(B1918,LifeList!$E$2:$J$2038,6)</f>
        <v>11754</v>
      </c>
      <c r="D1918" s="3" t="str">
        <f>VLOOKUP(B1918,LifeList!$E$2:$G$2038,1)</f>
        <v>Lineated Woodpecker</v>
      </c>
      <c r="E1918" s="3" t="str">
        <f>VLOOKUP(B1918,LifeList!$E$2:$G$2038,2)</f>
        <v>Pic ouentou</v>
      </c>
      <c r="F1918" s="3" t="str">
        <f>VLOOKUP(B1918,LifeList!$E$2:$G$2038,3)</f>
        <v>Dryocopus lineatus</v>
      </c>
      <c r="G1918" s="3" t="str">
        <f>VLOOKUP(B1918,LifeList!$E$2:$I$2038,4)</f>
        <v>Piciformes</v>
      </c>
      <c r="H1918" s="3" t="str">
        <f>VLOOKUP(B1918,LifeList!$E$2:$I$2038,5)</f>
        <v>Picidae (Woodpeckers)</v>
      </c>
      <c r="I1918" s="3"/>
    </row>
    <row r="1919" spans="1:9" ht="10.5" customHeight="1">
      <c r="A1919" s="3" t="s">
        <v>2717</v>
      </c>
      <c r="B1919" s="3" t="s">
        <v>2714</v>
      </c>
      <c r="C1919" s="3">
        <f>VLOOKUP(B1919,LifeList!$E$2:$J$2038,6)</f>
        <v>11754</v>
      </c>
      <c r="D1919" s="3" t="str">
        <f>VLOOKUP(B1919,LifeList!$E$2:$G$2038,1)</f>
        <v>Lineated Woodpecker</v>
      </c>
      <c r="E1919" s="3" t="str">
        <f>VLOOKUP(B1919,LifeList!$E$2:$G$2038,2)</f>
        <v>Pic ouentou</v>
      </c>
      <c r="F1919" s="3" t="str">
        <f>VLOOKUP(B1919,LifeList!$E$2:$G$2038,3)</f>
        <v>Dryocopus lineatus</v>
      </c>
      <c r="G1919" s="3" t="str">
        <f>VLOOKUP(B1919,LifeList!$E$2:$I$2038,4)</f>
        <v>Piciformes</v>
      </c>
      <c r="H1919" s="3" t="str">
        <f>VLOOKUP(B1919,LifeList!$E$2:$I$2038,5)</f>
        <v>Picidae (Woodpeckers)</v>
      </c>
      <c r="I1919" s="3"/>
    </row>
    <row r="1920" spans="1:9" ht="10.5" customHeight="1">
      <c r="A1920" s="5" t="s">
        <v>2718</v>
      </c>
      <c r="B1920" s="3" t="s">
        <v>2719</v>
      </c>
      <c r="C1920" s="6">
        <f>VLOOKUP(B1920,LifeList!$E$2:$J$2038,6)</f>
        <v>6827</v>
      </c>
      <c r="D1920" s="3" t="str">
        <f>VLOOKUP(B1920,LifeList!$E$2:$G$2038,1)</f>
        <v>Little Grebe</v>
      </c>
      <c r="E1920" s="3" t="str">
        <f>VLOOKUP(B1920,LifeList!$E$2:$G$2038,2)</f>
        <v>Grèbe castagneux</v>
      </c>
      <c r="F1920" s="3" t="str">
        <f>VLOOKUP(B1920,LifeList!$E$2:$G$2038,3)</f>
        <v>Tachybaptus ruficollis</v>
      </c>
      <c r="G1920" s="3" t="str">
        <f>VLOOKUP(B1920,LifeList!$E$2:$I$2038,4)</f>
        <v>Podicipediformes</v>
      </c>
      <c r="H1920" s="3" t="str">
        <f>VLOOKUP(B1920,LifeList!$E$2:$I$2038,5)</f>
        <v>Podicipedidae (Grebes)</v>
      </c>
      <c r="I1920" s="3"/>
    </row>
    <row r="1921" spans="1:9" ht="10.5" customHeight="1">
      <c r="A1921" s="5" t="s">
        <v>2720</v>
      </c>
      <c r="B1921" s="3" t="s">
        <v>2721</v>
      </c>
      <c r="C1921" s="3">
        <f>VLOOKUP(B1921,LifeList!$E$2:$J$2038,6)</f>
        <v>6219</v>
      </c>
      <c r="D1921" s="3" t="str">
        <f>VLOOKUP(B1921,LifeList!$E$2:$G$2038,1)</f>
        <v>Little Stint</v>
      </c>
      <c r="E1921" s="3" t="str">
        <f>VLOOKUP(B1921,LifeList!$E$2:$G$2038,2)</f>
        <v>Bécasseau minute</v>
      </c>
      <c r="F1921" s="3" t="str">
        <f>VLOOKUP(B1921,LifeList!$E$2:$G$2038,3)</f>
        <v>Calidris minuta</v>
      </c>
      <c r="G1921" s="3" t="str">
        <f>VLOOKUP(B1921,LifeList!$E$2:$I$2038,4)</f>
        <v>Charadriiformes</v>
      </c>
      <c r="H1921" s="3" t="str">
        <f>VLOOKUP(B1921,LifeList!$E$2:$I$2038,5)</f>
        <v>Scolopacidae (Sandpipers and Allies)</v>
      </c>
      <c r="I1921" s="3"/>
    </row>
    <row r="1922" spans="1:9" ht="10.5" customHeight="1">
      <c r="A1922" s="3" t="s">
        <v>2722</v>
      </c>
      <c r="B1922" s="3" t="s">
        <v>2723</v>
      </c>
      <c r="C1922" s="3">
        <f>VLOOKUP(B1922,LifeList!$E$2:$J$2038,6)</f>
        <v>9783</v>
      </c>
      <c r="D1922" s="3" t="str">
        <f>VLOOKUP(B1922,LifeList!$E$2:$G$2038,1)</f>
        <v>Little Bee-eater</v>
      </c>
      <c r="E1922" s="3" t="str">
        <f>VLOOKUP(B1922,LifeList!$E$2:$G$2038,2)</f>
        <v>Guêpier nain</v>
      </c>
      <c r="F1922" s="3" t="str">
        <f>VLOOKUP(B1922,LifeList!$E$2:$G$2038,3)</f>
        <v>Merops pusillus</v>
      </c>
      <c r="G1922" s="3" t="str">
        <f>VLOOKUP(B1922,LifeList!$E$2:$I$2038,4)</f>
        <v>Coraciiformes</v>
      </c>
      <c r="H1922" s="3" t="str">
        <f>VLOOKUP(B1922,LifeList!$E$2:$I$2038,5)</f>
        <v>Meropidae (Bee-eaters)</v>
      </c>
      <c r="I1922" s="3"/>
    </row>
    <row r="1923" spans="1:9" ht="10.5" customHeight="1">
      <c r="A1923" s="3" t="s">
        <v>2724</v>
      </c>
      <c r="B1923" s="3" t="s">
        <v>2725</v>
      </c>
      <c r="C1923" s="3">
        <f>VLOOKUP(B1923,LifeList!$E$2:$J$2038,6)</f>
        <v>7413</v>
      </c>
      <c r="D1923" s="3" t="str">
        <f>VLOOKUP(B1923,LifeList!$E$2:$G$2038,1)</f>
        <v>Little Black Cormorant</v>
      </c>
      <c r="E1923" s="3" t="str">
        <f>VLOOKUP(B1923,LifeList!$E$2:$G$2038,2)</f>
        <v>Cormoran noir</v>
      </c>
      <c r="F1923" s="3" t="str">
        <f>VLOOKUP(B1923,LifeList!$E$2:$G$2038,3)</f>
        <v>Phalacrocorax sulcirostris</v>
      </c>
      <c r="G1923" s="3" t="str">
        <f>VLOOKUP(B1923,LifeList!$E$2:$I$2038,4)</f>
        <v>Suliformes</v>
      </c>
      <c r="H1923" s="3" t="str">
        <f>VLOOKUP(B1923,LifeList!$E$2:$I$2038,5)</f>
        <v>Phalacrocoracidae (Cormorants and Shags)</v>
      </c>
      <c r="I1923" s="3"/>
    </row>
    <row r="1924" spans="1:9" ht="10.5" customHeight="1">
      <c r="A1924" s="3" t="s">
        <v>2726</v>
      </c>
      <c r="B1924" s="3" t="s">
        <v>2725</v>
      </c>
      <c r="C1924" s="3">
        <f>VLOOKUP(B1924,LifeList!$E$2:$J$2038,6)</f>
        <v>7413</v>
      </c>
      <c r="D1924" s="3" t="str">
        <f>VLOOKUP(B1924,LifeList!$E$2:$G$2038,1)</f>
        <v>Little Black Cormorant</v>
      </c>
      <c r="E1924" s="3" t="str">
        <f>VLOOKUP(B1924,LifeList!$E$2:$G$2038,2)</f>
        <v>Cormoran noir</v>
      </c>
      <c r="F1924" s="3" t="str">
        <f>VLOOKUP(B1924,LifeList!$E$2:$G$2038,3)</f>
        <v>Phalacrocorax sulcirostris</v>
      </c>
      <c r="G1924" s="3" t="str">
        <f>VLOOKUP(B1924,LifeList!$E$2:$I$2038,4)</f>
        <v>Suliformes</v>
      </c>
      <c r="H1924" s="3" t="str">
        <f>VLOOKUP(B1924,LifeList!$E$2:$I$2038,5)</f>
        <v>Phalacrocoracidae (Cormorants and Shags)</v>
      </c>
      <c r="I1924" s="3"/>
    </row>
    <row r="1925" spans="1:9" ht="10.5" customHeight="1">
      <c r="A1925" s="3" t="s">
        <v>2727</v>
      </c>
      <c r="B1925" s="3" t="s">
        <v>2725</v>
      </c>
      <c r="C1925" s="3">
        <f>VLOOKUP(B1925,LifeList!$E$2:$J$2038,6)</f>
        <v>7413</v>
      </c>
      <c r="D1925" s="3" t="str">
        <f>VLOOKUP(B1925,LifeList!$E$2:$G$2038,1)</f>
        <v>Little Black Cormorant</v>
      </c>
      <c r="E1925" s="3" t="str">
        <f>VLOOKUP(B1925,LifeList!$E$2:$G$2038,2)</f>
        <v>Cormoran noir</v>
      </c>
      <c r="F1925" s="3" t="str">
        <f>VLOOKUP(B1925,LifeList!$E$2:$G$2038,3)</f>
        <v>Phalacrocorax sulcirostris</v>
      </c>
      <c r="G1925" s="3" t="str">
        <f>VLOOKUP(B1925,LifeList!$E$2:$I$2038,4)</f>
        <v>Suliformes</v>
      </c>
      <c r="H1925" s="3" t="str">
        <f>VLOOKUP(B1925,LifeList!$E$2:$I$2038,5)</f>
        <v>Phalacrocoracidae (Cormorants and Shags)</v>
      </c>
      <c r="I1925" s="3"/>
    </row>
    <row r="1926" spans="1:9" ht="10.5" customHeight="1">
      <c r="A1926" s="3" t="s">
        <v>2728</v>
      </c>
      <c r="B1926" s="3" t="s">
        <v>2729</v>
      </c>
      <c r="C1926" s="3">
        <f>VLOOKUP(B1926,LifeList!$E$2:$J$2038,6)</f>
        <v>7629</v>
      </c>
      <c r="D1926" s="3" t="str">
        <f>VLOOKUP(B1926,LifeList!$E$2:$G$2038,1)</f>
        <v>Little Blue Heron</v>
      </c>
      <c r="E1926" s="3" t="str">
        <f>VLOOKUP(B1926,LifeList!$E$2:$G$2038,2)</f>
        <v>Aigrette bleue</v>
      </c>
      <c r="F1926" s="3" t="str">
        <f>VLOOKUP(B1926,LifeList!$E$2:$G$2038,3)</f>
        <v>Egretta caerulea</v>
      </c>
      <c r="G1926" s="3" t="str">
        <f>VLOOKUP(B1926,LifeList!$E$2:$I$2038,4)</f>
        <v>Pelecaniformes</v>
      </c>
      <c r="H1926" s="3" t="str">
        <f>VLOOKUP(B1926,LifeList!$E$2:$I$2038,5)</f>
        <v>Ardeidae (Herons, Egrets, and Bitterns)</v>
      </c>
      <c r="I1926" s="3"/>
    </row>
    <row r="1927" spans="1:9" ht="10.5" customHeight="1">
      <c r="A1927" s="3" t="s">
        <v>2730</v>
      </c>
      <c r="B1927" s="3" t="s">
        <v>2729</v>
      </c>
      <c r="C1927" s="3">
        <f>VLOOKUP(B1927,LifeList!$E$2:$J$2038,6)</f>
        <v>7629</v>
      </c>
      <c r="D1927" s="3" t="str">
        <f>VLOOKUP(B1927,LifeList!$E$2:$G$2038,1)</f>
        <v>Little Blue Heron</v>
      </c>
      <c r="E1927" s="3" t="str">
        <f>VLOOKUP(B1927,LifeList!$E$2:$G$2038,2)</f>
        <v>Aigrette bleue</v>
      </c>
      <c r="F1927" s="3" t="str">
        <f>VLOOKUP(B1927,LifeList!$E$2:$G$2038,3)</f>
        <v>Egretta caerulea</v>
      </c>
      <c r="G1927" s="3" t="str">
        <f>VLOOKUP(B1927,LifeList!$E$2:$I$2038,4)</f>
        <v>Pelecaniformes</v>
      </c>
      <c r="H1927" s="3" t="str">
        <f>VLOOKUP(B1927,LifeList!$E$2:$I$2038,5)</f>
        <v>Ardeidae (Herons, Egrets, and Bitterns)</v>
      </c>
      <c r="I1927" s="3"/>
    </row>
    <row r="1928" spans="1:9" ht="10.5" customHeight="1">
      <c r="A1928" s="3" t="s">
        <v>2731</v>
      </c>
      <c r="B1928" s="3" t="s">
        <v>2729</v>
      </c>
      <c r="C1928" s="3">
        <f>VLOOKUP(B1928,LifeList!$E$2:$J$2038,6)</f>
        <v>7629</v>
      </c>
      <c r="D1928" s="3" t="str">
        <f>VLOOKUP(B1928,LifeList!$E$2:$G$2038,1)</f>
        <v>Little Blue Heron</v>
      </c>
      <c r="E1928" s="3" t="str">
        <f>VLOOKUP(B1928,LifeList!$E$2:$G$2038,2)</f>
        <v>Aigrette bleue</v>
      </c>
      <c r="F1928" s="3" t="str">
        <f>VLOOKUP(B1928,LifeList!$E$2:$G$2038,3)</f>
        <v>Egretta caerulea</v>
      </c>
      <c r="G1928" s="3" t="str">
        <f>VLOOKUP(B1928,LifeList!$E$2:$I$2038,4)</f>
        <v>Pelecaniformes</v>
      </c>
      <c r="H1928" s="3" t="str">
        <f>VLOOKUP(B1928,LifeList!$E$2:$I$2038,5)</f>
        <v>Ardeidae (Herons, Egrets, and Bitterns)</v>
      </c>
      <c r="I1928" s="3"/>
    </row>
    <row r="1929" spans="1:9" ht="10.5" customHeight="1">
      <c r="A1929" s="3" t="s">
        <v>2732</v>
      </c>
      <c r="B1929" s="3" t="s">
        <v>2729</v>
      </c>
      <c r="C1929" s="3">
        <f>VLOOKUP(B1929,LifeList!$E$2:$J$2038,6)</f>
        <v>7629</v>
      </c>
      <c r="D1929" s="3" t="str">
        <f>VLOOKUP(B1929,LifeList!$E$2:$G$2038,1)</f>
        <v>Little Blue Heron</v>
      </c>
      <c r="E1929" s="3" t="str">
        <f>VLOOKUP(B1929,LifeList!$E$2:$G$2038,2)</f>
        <v>Aigrette bleue</v>
      </c>
      <c r="F1929" s="3" t="str">
        <f>VLOOKUP(B1929,LifeList!$E$2:$G$2038,3)</f>
        <v>Egretta caerulea</v>
      </c>
      <c r="G1929" s="3" t="str">
        <f>VLOOKUP(B1929,LifeList!$E$2:$I$2038,4)</f>
        <v>Pelecaniformes</v>
      </c>
      <c r="H1929" s="3" t="str">
        <f>VLOOKUP(B1929,LifeList!$E$2:$I$2038,5)</f>
        <v>Ardeidae (Herons, Egrets, and Bitterns)</v>
      </c>
      <c r="I1929" s="3"/>
    </row>
    <row r="1930" spans="1:9" ht="10.5" customHeight="1">
      <c r="A1930" s="3" t="s">
        <v>2733</v>
      </c>
      <c r="B1930" s="3" t="s">
        <v>2729</v>
      </c>
      <c r="C1930" s="3">
        <f>VLOOKUP(B1930,LifeList!$E$2:$J$2038,6)</f>
        <v>7629</v>
      </c>
      <c r="D1930" s="3" t="str">
        <f>VLOOKUP(B1930,LifeList!$E$2:$G$2038,1)</f>
        <v>Little Blue Heron</v>
      </c>
      <c r="E1930" s="3" t="str">
        <f>VLOOKUP(B1930,LifeList!$E$2:$G$2038,2)</f>
        <v>Aigrette bleue</v>
      </c>
      <c r="F1930" s="3" t="str">
        <f>VLOOKUP(B1930,LifeList!$E$2:$G$2038,3)</f>
        <v>Egretta caerulea</v>
      </c>
      <c r="G1930" s="3" t="str">
        <f>VLOOKUP(B1930,LifeList!$E$2:$I$2038,4)</f>
        <v>Pelecaniformes</v>
      </c>
      <c r="H1930" s="3" t="str">
        <f>VLOOKUP(B1930,LifeList!$E$2:$I$2038,5)</f>
        <v>Ardeidae (Herons, Egrets, and Bitterns)</v>
      </c>
      <c r="I1930" s="3"/>
    </row>
    <row r="1931" spans="1:9" ht="10.5" customHeight="1">
      <c r="A1931" s="3" t="s">
        <v>2734</v>
      </c>
      <c r="B1931" s="3" t="s">
        <v>2729</v>
      </c>
      <c r="C1931" s="3">
        <f>VLOOKUP(B1931,LifeList!$E$2:$J$2038,6)</f>
        <v>7629</v>
      </c>
      <c r="D1931" s="3" t="str">
        <f>VLOOKUP(B1931,LifeList!$E$2:$G$2038,1)</f>
        <v>Little Blue Heron</v>
      </c>
      <c r="E1931" s="3" t="str">
        <f>VLOOKUP(B1931,LifeList!$E$2:$G$2038,2)</f>
        <v>Aigrette bleue</v>
      </c>
      <c r="F1931" s="3" t="str">
        <f>VLOOKUP(B1931,LifeList!$E$2:$G$2038,3)</f>
        <v>Egretta caerulea</v>
      </c>
      <c r="G1931" s="3" t="str">
        <f>VLOOKUP(B1931,LifeList!$E$2:$I$2038,4)</f>
        <v>Pelecaniformes</v>
      </c>
      <c r="H1931" s="3" t="str">
        <f>VLOOKUP(B1931,LifeList!$E$2:$I$2038,5)</f>
        <v>Ardeidae (Herons, Egrets, and Bitterns)</v>
      </c>
      <c r="I1931" s="3"/>
    </row>
    <row r="1932" spans="1:9" ht="10.5" customHeight="1">
      <c r="A1932" s="3" t="s">
        <v>2735</v>
      </c>
      <c r="B1932" s="3" t="s">
        <v>2729</v>
      </c>
      <c r="C1932" s="3">
        <f>VLOOKUP(B1932,LifeList!$E$2:$J$2038,6)</f>
        <v>7629</v>
      </c>
      <c r="D1932" s="3" t="str">
        <f>VLOOKUP(B1932,LifeList!$E$2:$G$2038,1)</f>
        <v>Little Blue Heron</v>
      </c>
      <c r="E1932" s="3" t="str">
        <f>VLOOKUP(B1932,LifeList!$E$2:$G$2038,2)</f>
        <v>Aigrette bleue</v>
      </c>
      <c r="F1932" s="3" t="str">
        <f>VLOOKUP(B1932,LifeList!$E$2:$G$2038,3)</f>
        <v>Egretta caerulea</v>
      </c>
      <c r="G1932" s="3" t="str">
        <f>VLOOKUP(B1932,LifeList!$E$2:$I$2038,4)</f>
        <v>Pelecaniformes</v>
      </c>
      <c r="H1932" s="3" t="str">
        <f>VLOOKUP(B1932,LifeList!$E$2:$I$2038,5)</f>
        <v>Ardeidae (Herons, Egrets, and Bitterns)</v>
      </c>
      <c r="I1932" s="3"/>
    </row>
    <row r="1933" spans="1:9" ht="10.5" customHeight="1">
      <c r="A1933" s="3" t="s">
        <v>2736</v>
      </c>
      <c r="B1933" s="3" t="s">
        <v>2729</v>
      </c>
      <c r="C1933" s="3">
        <f>VLOOKUP(B1933,LifeList!$E$2:$J$2038,6)</f>
        <v>7629</v>
      </c>
      <c r="D1933" s="3" t="str">
        <f>VLOOKUP(B1933,LifeList!$E$2:$G$2038,1)</f>
        <v>Little Blue Heron</v>
      </c>
      <c r="E1933" s="3" t="str">
        <f>VLOOKUP(B1933,LifeList!$E$2:$G$2038,2)</f>
        <v>Aigrette bleue</v>
      </c>
      <c r="F1933" s="3" t="str">
        <f>VLOOKUP(B1933,LifeList!$E$2:$G$2038,3)</f>
        <v>Egretta caerulea</v>
      </c>
      <c r="G1933" s="3" t="str">
        <f>VLOOKUP(B1933,LifeList!$E$2:$I$2038,4)</f>
        <v>Pelecaniformes</v>
      </c>
      <c r="H1933" s="3" t="str">
        <f>VLOOKUP(B1933,LifeList!$E$2:$I$2038,5)</f>
        <v>Ardeidae (Herons, Egrets, and Bitterns)</v>
      </c>
      <c r="I1933" s="3"/>
    </row>
    <row r="1934" spans="1:9" ht="10.5" customHeight="1">
      <c r="A1934" s="3" t="s">
        <v>2737</v>
      </c>
      <c r="B1934" s="3" t="s">
        <v>2729</v>
      </c>
      <c r="C1934" s="3">
        <f>VLOOKUP(B1934,LifeList!$E$2:$J$2038,6)</f>
        <v>7629</v>
      </c>
      <c r="D1934" s="3" t="str">
        <f>VLOOKUP(B1934,LifeList!$E$2:$G$2038,1)</f>
        <v>Little Blue Heron</v>
      </c>
      <c r="E1934" s="3" t="str">
        <f>VLOOKUP(B1934,LifeList!$E$2:$G$2038,2)</f>
        <v>Aigrette bleue</v>
      </c>
      <c r="F1934" s="3" t="str">
        <f>VLOOKUP(B1934,LifeList!$E$2:$G$2038,3)</f>
        <v>Egretta caerulea</v>
      </c>
      <c r="G1934" s="3" t="str">
        <f>VLOOKUP(B1934,LifeList!$E$2:$I$2038,4)</f>
        <v>Pelecaniformes</v>
      </c>
      <c r="H1934" s="3" t="str">
        <f>VLOOKUP(B1934,LifeList!$E$2:$I$2038,5)</f>
        <v>Ardeidae (Herons, Egrets, and Bitterns)</v>
      </c>
      <c r="I1934" s="3"/>
    </row>
    <row r="1935" spans="1:9" ht="10.5" customHeight="1">
      <c r="A1935" s="3" t="s">
        <v>2738</v>
      </c>
      <c r="B1935" s="3" t="s">
        <v>2729</v>
      </c>
      <c r="C1935" s="3">
        <f>VLOOKUP(B1935,LifeList!$E$2:$J$2038,6)</f>
        <v>7629</v>
      </c>
      <c r="D1935" s="3" t="str">
        <f>VLOOKUP(B1935,LifeList!$E$2:$G$2038,1)</f>
        <v>Little Blue Heron</v>
      </c>
      <c r="E1935" s="3" t="str">
        <f>VLOOKUP(B1935,LifeList!$E$2:$G$2038,2)</f>
        <v>Aigrette bleue</v>
      </c>
      <c r="F1935" s="3" t="str">
        <f>VLOOKUP(B1935,LifeList!$E$2:$G$2038,3)</f>
        <v>Egretta caerulea</v>
      </c>
      <c r="G1935" s="3" t="str">
        <f>VLOOKUP(B1935,LifeList!$E$2:$I$2038,4)</f>
        <v>Pelecaniformes</v>
      </c>
      <c r="H1935" s="3" t="str">
        <f>VLOOKUP(B1935,LifeList!$E$2:$I$2038,5)</f>
        <v>Ardeidae (Herons, Egrets, and Bitterns)</v>
      </c>
      <c r="I1935" s="3"/>
    </row>
    <row r="1936" spans="1:9" ht="10.5" customHeight="1">
      <c r="A1936" s="3" t="s">
        <v>2739</v>
      </c>
      <c r="B1936" s="3" t="s">
        <v>2729</v>
      </c>
      <c r="C1936" s="3">
        <f>VLOOKUP(B1936,LifeList!$E$2:$J$2038,6)</f>
        <v>7629</v>
      </c>
      <c r="D1936" s="3" t="str">
        <f>VLOOKUP(B1936,LifeList!$E$2:$G$2038,1)</f>
        <v>Little Blue Heron</v>
      </c>
      <c r="E1936" s="3" t="str">
        <f>VLOOKUP(B1936,LifeList!$E$2:$G$2038,2)</f>
        <v>Aigrette bleue</v>
      </c>
      <c r="F1936" s="3" t="str">
        <f>VLOOKUP(B1936,LifeList!$E$2:$G$2038,3)</f>
        <v>Egretta caerulea</v>
      </c>
      <c r="G1936" s="3" t="str">
        <f>VLOOKUP(B1936,LifeList!$E$2:$I$2038,4)</f>
        <v>Pelecaniformes</v>
      </c>
      <c r="H1936" s="3" t="str">
        <f>VLOOKUP(B1936,LifeList!$E$2:$I$2038,5)</f>
        <v>Ardeidae (Herons, Egrets, and Bitterns)</v>
      </c>
      <c r="I1936" s="3"/>
    </row>
    <row r="1937" spans="1:9" ht="10.5" customHeight="1">
      <c r="A1937" s="3" t="s">
        <v>2740</v>
      </c>
      <c r="B1937" s="3" t="s">
        <v>2729</v>
      </c>
      <c r="C1937" s="3">
        <f>VLOOKUP(B1937,LifeList!$E$2:$J$2038,6)</f>
        <v>7629</v>
      </c>
      <c r="D1937" s="3" t="str">
        <f>VLOOKUP(B1937,LifeList!$E$2:$G$2038,1)</f>
        <v>Little Blue Heron</v>
      </c>
      <c r="E1937" s="3" t="str">
        <f>VLOOKUP(B1937,LifeList!$E$2:$G$2038,2)</f>
        <v>Aigrette bleue</v>
      </c>
      <c r="F1937" s="3" t="str">
        <f>VLOOKUP(B1937,LifeList!$E$2:$G$2038,3)</f>
        <v>Egretta caerulea</v>
      </c>
      <c r="G1937" s="3" t="str">
        <f>VLOOKUP(B1937,LifeList!$E$2:$I$2038,4)</f>
        <v>Pelecaniformes</v>
      </c>
      <c r="H1937" s="3" t="str">
        <f>VLOOKUP(B1937,LifeList!$E$2:$I$2038,5)</f>
        <v>Ardeidae (Herons, Egrets, and Bitterns)</v>
      </c>
      <c r="I1937" s="3"/>
    </row>
    <row r="1938" spans="1:9" ht="10.5" customHeight="1">
      <c r="A1938" s="3" t="s">
        <v>2741</v>
      </c>
      <c r="B1938" s="3" t="s">
        <v>2729</v>
      </c>
      <c r="C1938" s="3">
        <f>VLOOKUP(B1938,LifeList!$E$2:$J$2038,6)</f>
        <v>7629</v>
      </c>
      <c r="D1938" s="3" t="str">
        <f>VLOOKUP(B1938,LifeList!$E$2:$G$2038,1)</f>
        <v>Little Blue Heron</v>
      </c>
      <c r="E1938" s="3" t="str">
        <f>VLOOKUP(B1938,LifeList!$E$2:$G$2038,2)</f>
        <v>Aigrette bleue</v>
      </c>
      <c r="F1938" s="3" t="str">
        <f>VLOOKUP(B1938,LifeList!$E$2:$G$2038,3)</f>
        <v>Egretta caerulea</v>
      </c>
      <c r="G1938" s="3" t="str">
        <f>VLOOKUP(B1938,LifeList!$E$2:$I$2038,4)</f>
        <v>Pelecaniformes</v>
      </c>
      <c r="H1938" s="3" t="str">
        <f>VLOOKUP(B1938,LifeList!$E$2:$I$2038,5)</f>
        <v>Ardeidae (Herons, Egrets, and Bitterns)</v>
      </c>
      <c r="I1938" s="3"/>
    </row>
    <row r="1939" spans="1:9" ht="10.5" customHeight="1">
      <c r="A1939" s="3" t="s">
        <v>2742</v>
      </c>
      <c r="B1939" s="3" t="s">
        <v>2729</v>
      </c>
      <c r="C1939" s="3">
        <f>VLOOKUP(B1939,LifeList!$E$2:$J$2038,6)</f>
        <v>7629</v>
      </c>
      <c r="D1939" s="3" t="str">
        <f>VLOOKUP(B1939,LifeList!$E$2:$G$2038,1)</f>
        <v>Little Blue Heron</v>
      </c>
      <c r="E1939" s="3" t="str">
        <f>VLOOKUP(B1939,LifeList!$E$2:$G$2038,2)</f>
        <v>Aigrette bleue</v>
      </c>
      <c r="F1939" s="3" t="str">
        <f>VLOOKUP(B1939,LifeList!$E$2:$G$2038,3)</f>
        <v>Egretta caerulea</v>
      </c>
      <c r="G1939" s="3" t="str">
        <f>VLOOKUP(B1939,LifeList!$E$2:$I$2038,4)</f>
        <v>Pelecaniformes</v>
      </c>
      <c r="H1939" s="3" t="str">
        <f>VLOOKUP(B1939,LifeList!$E$2:$I$2038,5)</f>
        <v>Ardeidae (Herons, Egrets, and Bitterns)</v>
      </c>
      <c r="I1939" s="3"/>
    </row>
    <row r="1940" spans="1:9" ht="10.5" customHeight="1">
      <c r="A1940" s="3" t="s">
        <v>2743</v>
      </c>
      <c r="B1940" s="3" t="s">
        <v>2744</v>
      </c>
      <c r="C1940" s="3">
        <f>VLOOKUP(B1940,LifeList!$E$2:$J$2038,6)</f>
        <v>12189</v>
      </c>
      <c r="D1940" s="3" t="str">
        <f>VLOOKUP(B1940,LifeList!$E$2:$G$2038,1)</f>
        <v>Little Corella</v>
      </c>
      <c r="E1940" s="3" t="str">
        <f>VLOOKUP(B1940,LifeList!$E$2:$G$2038,2)</f>
        <v>Cacatoès corella</v>
      </c>
      <c r="F1940" s="3" t="str">
        <f>VLOOKUP(B1940,LifeList!$E$2:$G$2038,3)</f>
        <v>Cacatua sanguinea</v>
      </c>
      <c r="G1940" s="3" t="str">
        <f>VLOOKUP(B1940,LifeList!$E$2:$I$2038,4)</f>
        <v>Psittaciformes</v>
      </c>
      <c r="H1940" s="3" t="str">
        <f>VLOOKUP(B1940,LifeList!$E$2:$I$2038,5)</f>
        <v>Cacatuidae (Cockatoos)</v>
      </c>
      <c r="I1940" s="3"/>
    </row>
    <row r="1941" spans="1:9" ht="10.5" customHeight="1">
      <c r="A1941" s="7" t="s">
        <v>2745</v>
      </c>
      <c r="B1941" s="9" t="s">
        <v>2746</v>
      </c>
      <c r="C1941" s="3">
        <f>VLOOKUP(B1941,LifeList!$E$2:$J$2038,6)</f>
        <v>8048</v>
      </c>
      <c r="D1941" s="3" t="str">
        <f>VLOOKUP(B1941,LifeList!$E$2:$G$2038,1)</f>
        <v>Little Eagle</v>
      </c>
      <c r="E1941" s="3" t="str">
        <f>VLOOKUP(B1941,LifeList!$E$2:$G$2038,2)</f>
        <v>Aigle nain</v>
      </c>
      <c r="F1941" s="3" t="str">
        <f>VLOOKUP(B1941,LifeList!$E$2:$G$2038,3)</f>
        <v>Hieraaetus morphnoides</v>
      </c>
      <c r="G1941" s="3" t="str">
        <f>VLOOKUP(B1941,LifeList!$E$2:$I$2038,4)</f>
        <v>Accipitriformes</v>
      </c>
      <c r="H1941" s="3" t="str">
        <f>VLOOKUP(B1941,LifeList!$E$2:$I$2038,5)</f>
        <v>Accipitridae (Hawks, Eagles, and Kites)</v>
      </c>
      <c r="I1941" s="3"/>
    </row>
    <row r="1942" spans="1:9" ht="10.5" customHeight="1">
      <c r="A1942" s="3" t="s">
        <v>2747</v>
      </c>
      <c r="B1942" s="3" t="s">
        <v>2748</v>
      </c>
      <c r="C1942" s="3">
        <f>VLOOKUP(B1942,LifeList!$E$2:$J$2038,6)</f>
        <v>7650</v>
      </c>
      <c r="D1942" s="3" t="str">
        <f>VLOOKUP(B1942,LifeList!$E$2:$G$2038,1)</f>
        <v>Little Egret</v>
      </c>
      <c r="E1942" s="3" t="str">
        <f>VLOOKUP(B1942,LifeList!$E$2:$G$2038,2)</f>
        <v>Aigrette garzette</v>
      </c>
      <c r="F1942" s="3" t="str">
        <f>VLOOKUP(B1942,LifeList!$E$2:$G$2038,3)</f>
        <v>Egretta garzetta</v>
      </c>
      <c r="G1942" s="3" t="str">
        <f>VLOOKUP(B1942,LifeList!$E$2:$I$2038,4)</f>
        <v>Pelecaniformes</v>
      </c>
      <c r="H1942" s="3" t="str">
        <f>VLOOKUP(B1942,LifeList!$E$2:$I$2038,5)</f>
        <v>Ardeidae (Herons, Egrets, and Bitterns)</v>
      </c>
      <c r="I1942" s="3"/>
    </row>
    <row r="1943" spans="1:9" ht="10.5" customHeight="1">
      <c r="A1943" s="3" t="s">
        <v>2749</v>
      </c>
      <c r="B1943" s="3" t="s">
        <v>2748</v>
      </c>
      <c r="C1943" s="3">
        <f>VLOOKUP(B1943,LifeList!$E$2:$J$2038,6)</f>
        <v>7650</v>
      </c>
      <c r="D1943" s="3" t="str">
        <f>VLOOKUP(B1943,LifeList!$E$2:$G$2038,1)</f>
        <v>Little Egret</v>
      </c>
      <c r="E1943" s="3" t="str">
        <f>VLOOKUP(B1943,LifeList!$E$2:$G$2038,2)</f>
        <v>Aigrette garzette</v>
      </c>
      <c r="F1943" s="3" t="str">
        <f>VLOOKUP(B1943,LifeList!$E$2:$G$2038,3)</f>
        <v>Egretta garzetta</v>
      </c>
      <c r="G1943" s="3" t="str">
        <f>VLOOKUP(B1943,LifeList!$E$2:$I$2038,4)</f>
        <v>Pelecaniformes</v>
      </c>
      <c r="H1943" s="3" t="str">
        <f>VLOOKUP(B1943,LifeList!$E$2:$I$2038,5)</f>
        <v>Ardeidae (Herons, Egrets, and Bitterns)</v>
      </c>
      <c r="I1943" s="3"/>
    </row>
    <row r="1944" spans="1:9" ht="10.5" customHeight="1">
      <c r="A1944" s="7" t="s">
        <v>2750</v>
      </c>
      <c r="B1944" s="9" t="s">
        <v>2751</v>
      </c>
      <c r="C1944" s="3">
        <f>VLOOKUP(B1944,LifeList!$E$2:$J$2038,6)</f>
        <v>18181</v>
      </c>
      <c r="D1944" s="3" t="str">
        <f>VLOOKUP(B1944,LifeList!$E$2:$G$2038,1)</f>
        <v>Little Friarbird</v>
      </c>
      <c r="E1944" s="3" t="str">
        <f>VLOOKUP(B1944,LifeList!$E$2:$G$2038,2)</f>
        <v>Polochion à menton jaune</v>
      </c>
      <c r="F1944" s="3" t="str">
        <f>VLOOKUP(B1944,LifeList!$E$2:$G$2038,3)</f>
        <v>Philemon citreogularis</v>
      </c>
      <c r="G1944" s="3" t="str">
        <f>VLOOKUP(B1944,LifeList!$E$2:$I$2038,4)</f>
        <v>Passeriformes</v>
      </c>
      <c r="H1944" s="3" t="str">
        <f>VLOOKUP(B1944,LifeList!$E$2:$I$2038,5)</f>
        <v>Meliphagidae (Honeyeaters)</v>
      </c>
      <c r="I1944" s="3"/>
    </row>
    <row r="1945" spans="1:9" ht="10.5" customHeight="1">
      <c r="A1945" s="3" t="s">
        <v>2752</v>
      </c>
      <c r="B1945" s="3" t="s">
        <v>2753</v>
      </c>
      <c r="C1945" s="3">
        <f>VLOOKUP(B1945,LifeList!$E$2:$J$2038,6)</f>
        <v>6447</v>
      </c>
      <c r="D1945" s="3" t="str">
        <f>VLOOKUP(B1945,LifeList!$E$2:$G$2038,1)</f>
        <v>Little Gull</v>
      </c>
      <c r="E1945" s="3" t="str">
        <f>VLOOKUP(B1945,LifeList!$E$2:$G$2038,2)</f>
        <v>Mouette pygmée</v>
      </c>
      <c r="F1945" s="3" t="str">
        <f>VLOOKUP(B1945,LifeList!$E$2:$G$2038,3)</f>
        <v>Hydrocoloeus minutus</v>
      </c>
      <c r="G1945" s="3" t="str">
        <f>VLOOKUP(B1945,LifeList!$E$2:$I$2038,4)</f>
        <v>Charadriiformes</v>
      </c>
      <c r="H1945" s="3" t="str">
        <f>VLOOKUP(B1945,LifeList!$E$2:$I$2038,5)</f>
        <v>Laridae (Gulls, Terns, and Skimmers)</v>
      </c>
      <c r="I1945" s="3"/>
    </row>
    <row r="1946" spans="1:9" ht="10.5" customHeight="1">
      <c r="A1946" s="3" t="s">
        <v>2754</v>
      </c>
      <c r="B1946" s="3" t="s">
        <v>2753</v>
      </c>
      <c r="C1946" s="3">
        <f>VLOOKUP(B1946,LifeList!$E$2:$J$2038,6)</f>
        <v>6447</v>
      </c>
      <c r="D1946" s="3" t="str">
        <f>VLOOKUP(B1946,LifeList!$E$2:$G$2038,1)</f>
        <v>Little Gull</v>
      </c>
      <c r="E1946" s="3" t="str">
        <f>VLOOKUP(B1946,LifeList!$E$2:$G$2038,2)</f>
        <v>Mouette pygmée</v>
      </c>
      <c r="F1946" s="3" t="str">
        <f>VLOOKUP(B1946,LifeList!$E$2:$G$2038,3)</f>
        <v>Hydrocoloeus minutus</v>
      </c>
      <c r="G1946" s="3" t="str">
        <f>VLOOKUP(B1946,LifeList!$E$2:$I$2038,4)</f>
        <v>Charadriiformes</v>
      </c>
      <c r="H1946" s="3" t="str">
        <f>VLOOKUP(B1946,LifeList!$E$2:$I$2038,5)</f>
        <v>Laridae (Gulls, Terns, and Skimmers)</v>
      </c>
      <c r="I1946" s="3"/>
    </row>
    <row r="1947" spans="1:9" ht="10.5" customHeight="1">
      <c r="A1947" s="3" t="s">
        <v>2755</v>
      </c>
      <c r="B1947" s="3" t="s">
        <v>2753</v>
      </c>
      <c r="C1947" s="3">
        <f>VLOOKUP(B1947,LifeList!$E$2:$J$2038,6)</f>
        <v>6447</v>
      </c>
      <c r="D1947" s="3" t="str">
        <f>VLOOKUP(B1947,LifeList!$E$2:$G$2038,1)</f>
        <v>Little Gull</v>
      </c>
      <c r="E1947" s="3" t="str">
        <f>VLOOKUP(B1947,LifeList!$E$2:$G$2038,2)</f>
        <v>Mouette pygmée</v>
      </c>
      <c r="F1947" s="3" t="str">
        <f>VLOOKUP(B1947,LifeList!$E$2:$G$2038,3)</f>
        <v>Hydrocoloeus minutus</v>
      </c>
      <c r="G1947" s="3" t="str">
        <f>VLOOKUP(B1947,LifeList!$E$2:$I$2038,4)</f>
        <v>Charadriiformes</v>
      </c>
      <c r="H1947" s="3" t="str">
        <f>VLOOKUP(B1947,LifeList!$E$2:$I$2038,5)</f>
        <v>Laridae (Gulls, Terns, and Skimmers)</v>
      </c>
      <c r="I1947" s="3"/>
    </row>
    <row r="1948" spans="1:9" ht="10.5" customHeight="1">
      <c r="A1948" s="3" t="s">
        <v>2756</v>
      </c>
      <c r="B1948" s="3" t="s">
        <v>2753</v>
      </c>
      <c r="C1948" s="3">
        <f>VLOOKUP(B1948,LifeList!$E$2:$J$2038,6)</f>
        <v>6447</v>
      </c>
      <c r="D1948" s="3" t="str">
        <f>VLOOKUP(B1948,LifeList!$E$2:$G$2038,1)</f>
        <v>Little Gull</v>
      </c>
      <c r="E1948" s="3" t="str">
        <f>VLOOKUP(B1948,LifeList!$E$2:$G$2038,2)</f>
        <v>Mouette pygmée</v>
      </c>
      <c r="F1948" s="3" t="str">
        <f>VLOOKUP(B1948,LifeList!$E$2:$G$2038,3)</f>
        <v>Hydrocoloeus minutus</v>
      </c>
      <c r="G1948" s="3" t="str">
        <f>VLOOKUP(B1948,LifeList!$E$2:$I$2038,4)</f>
        <v>Charadriiformes</v>
      </c>
      <c r="H1948" s="3" t="str">
        <f>VLOOKUP(B1948,LifeList!$E$2:$I$2038,5)</f>
        <v>Laridae (Gulls, Terns, and Skimmers)</v>
      </c>
      <c r="I1948" s="3"/>
    </row>
    <row r="1949" spans="1:9" ht="10.5" customHeight="1">
      <c r="A1949" s="7" t="s">
        <v>2757</v>
      </c>
      <c r="B1949" s="9" t="s">
        <v>2758</v>
      </c>
      <c r="C1949" s="3">
        <f>VLOOKUP(B1949,LifeList!$E$2:$J$2038,6)</f>
        <v>7673</v>
      </c>
      <c r="D1949" s="3" t="str">
        <f>VLOOKUP(B1949,LifeList!$E$2:$G$2038,1)</f>
        <v>Little Heron</v>
      </c>
      <c r="E1949" s="3" t="str">
        <f>VLOOKUP(B1949,LifeList!$E$2:$G$2038,2)</f>
        <v>Héron des mangroves</v>
      </c>
      <c r="F1949" s="3" t="str">
        <f>VLOOKUP(B1949,LifeList!$E$2:$G$2038,3)</f>
        <v>Butorides atricapilla</v>
      </c>
      <c r="G1949" s="3" t="str">
        <f>VLOOKUP(B1949,LifeList!$E$2:$I$2038,4)</f>
        <v>Pelecaniformes</v>
      </c>
      <c r="H1949" s="3" t="str">
        <f>VLOOKUP(B1949,LifeList!$E$2:$I$2038,5)</f>
        <v>Ardeidae (Herons, Egrets, and Bitterns)</v>
      </c>
      <c r="I1949" s="3"/>
    </row>
    <row r="1950" spans="1:9" ht="10.5" customHeight="1">
      <c r="A1950" s="7" t="s">
        <v>2759</v>
      </c>
      <c r="B1950" s="9" t="s">
        <v>2758</v>
      </c>
      <c r="C1950" s="3">
        <f>VLOOKUP(B1950,LifeList!$E$2:$J$2038,6)</f>
        <v>7673</v>
      </c>
      <c r="D1950" s="3" t="str">
        <f>VLOOKUP(B1950,LifeList!$E$2:$G$2038,1)</f>
        <v>Little Heron</v>
      </c>
      <c r="E1950" s="3" t="str">
        <f>VLOOKUP(B1950,LifeList!$E$2:$G$2038,2)</f>
        <v>Héron des mangroves</v>
      </c>
      <c r="F1950" s="3" t="str">
        <f>VLOOKUP(B1950,LifeList!$E$2:$G$2038,3)</f>
        <v>Butorides atricapilla</v>
      </c>
      <c r="G1950" s="3" t="str">
        <f>VLOOKUP(B1950,LifeList!$E$2:$I$2038,4)</f>
        <v>Pelecaniformes</v>
      </c>
      <c r="H1950" s="3" t="str">
        <f>VLOOKUP(B1950,LifeList!$E$2:$I$2038,5)</f>
        <v>Ardeidae (Herons, Egrets, and Bitterns)</v>
      </c>
      <c r="I1950" s="3"/>
    </row>
    <row r="1951" spans="1:9" ht="10.5" customHeight="1">
      <c r="A1951" s="3" t="s">
        <v>2760</v>
      </c>
      <c r="B1951" s="3" t="s">
        <v>2761</v>
      </c>
      <c r="C1951" s="3">
        <f>VLOOKUP(B1951,LifeList!$E$2:$J$2038,6)</f>
        <v>6949</v>
      </c>
      <c r="D1951" s="3" t="str">
        <f>VLOOKUP(B1951,LifeList!$E$2:$G$2038,1)</f>
        <v>Little Penguin</v>
      </c>
      <c r="E1951" s="3" t="str">
        <f>VLOOKUP(B1951,LifeList!$E$2:$G$2038,2)</f>
        <v>Manchot pygmée</v>
      </c>
      <c r="F1951" s="3" t="str">
        <f>VLOOKUP(B1951,LifeList!$E$2:$G$2038,3)</f>
        <v>Eudyptula minor</v>
      </c>
      <c r="G1951" s="3" t="str">
        <f>VLOOKUP(B1951,LifeList!$E$2:$I$2038,4)</f>
        <v>Sphenisciformes</v>
      </c>
      <c r="H1951" s="3" t="str">
        <f>VLOOKUP(B1951,LifeList!$E$2:$I$2038,5)</f>
        <v>Spheniscidae (Penguins)</v>
      </c>
      <c r="I1951" s="3"/>
    </row>
    <row r="1952" spans="1:9" ht="10.5" customHeight="1">
      <c r="A1952" s="3" t="s">
        <v>2762</v>
      </c>
      <c r="B1952" s="3" t="s">
        <v>2763</v>
      </c>
      <c r="C1952" s="3">
        <f>VLOOKUP(B1952,LifeList!$E$2:$J$2038,6)</f>
        <v>7377</v>
      </c>
      <c r="D1952" s="3" t="str">
        <f>VLOOKUP(B1952,LifeList!$E$2:$G$2038,1)</f>
        <v>Little Pied Cormorant</v>
      </c>
      <c r="E1952" s="3" t="str">
        <f>VLOOKUP(B1952,LifeList!$E$2:$G$2038,2)</f>
        <v>Cormoran pie</v>
      </c>
      <c r="F1952" s="3" t="str">
        <f>VLOOKUP(B1952,LifeList!$E$2:$G$2038,3)</f>
        <v>Microcarbo melanoleucos</v>
      </c>
      <c r="G1952" s="3" t="str">
        <f>VLOOKUP(B1952,LifeList!$E$2:$I$2038,4)</f>
        <v>Suliformes</v>
      </c>
      <c r="H1952" s="3" t="str">
        <f>VLOOKUP(B1952,LifeList!$E$2:$I$2038,5)</f>
        <v>Phalacrocoracidae (Cormorants and Shags)</v>
      </c>
      <c r="I1952" s="3"/>
    </row>
    <row r="1953" spans="1:9" ht="10.5" customHeight="1">
      <c r="A1953" s="3" t="s">
        <v>2764</v>
      </c>
      <c r="B1953" s="3" t="s">
        <v>2765</v>
      </c>
      <c r="C1953" s="3">
        <f>VLOOKUP(B1953,LifeList!$E$2:$J$2038,6)</f>
        <v>21611</v>
      </c>
      <c r="D1953" s="3" t="str">
        <f>VLOOKUP(B1953,LifeList!$E$2:$G$2038,1)</f>
        <v>Little Raven</v>
      </c>
      <c r="E1953" s="3" t="str">
        <f>VLOOKUP(B1953,LifeList!$E$2:$G$2038,2)</f>
        <v>Petit Corbeau</v>
      </c>
      <c r="F1953" s="3" t="str">
        <f>VLOOKUP(B1953,LifeList!$E$2:$G$2038,3)</f>
        <v>Corvus mellori</v>
      </c>
      <c r="G1953" s="3" t="str">
        <f>VLOOKUP(B1953,LifeList!$E$2:$I$2038,4)</f>
        <v>Passeriformes</v>
      </c>
      <c r="H1953" s="3" t="str">
        <f>VLOOKUP(B1953,LifeList!$E$2:$I$2038,5)</f>
        <v>Corvidae (Crows, Jays, and Magpies)</v>
      </c>
      <c r="I1953" s="3"/>
    </row>
    <row r="1954" spans="1:9" ht="10.5" customHeight="1">
      <c r="A1954" s="3" t="s">
        <v>2766</v>
      </c>
      <c r="B1954" s="3" t="s">
        <v>2767</v>
      </c>
      <c r="C1954" s="3">
        <f>VLOOKUP(B1954,LifeList!$E$2:$J$2038,6)</f>
        <v>8134</v>
      </c>
      <c r="D1954" s="3" t="str">
        <f>VLOOKUP(B1954,LifeList!$E$2:$G$2038,1)</f>
        <v>Little Sparrowhawk</v>
      </c>
      <c r="E1954" s="3" t="str">
        <f>VLOOKUP(B1954,LifeList!$E$2:$G$2038,2)</f>
        <v>Épervier minule</v>
      </c>
      <c r="F1954" s="3" t="str">
        <f>VLOOKUP(B1954,LifeList!$E$2:$G$2038,3)</f>
        <v>Tachyspiza minulla</v>
      </c>
      <c r="G1954" s="3" t="str">
        <f>VLOOKUP(B1954,LifeList!$E$2:$I$2038,4)</f>
        <v>Accipitriformes</v>
      </c>
      <c r="H1954" s="3" t="str">
        <f>VLOOKUP(B1954,LifeList!$E$2:$I$2038,5)</f>
        <v>Accipitridae (Hawks, Eagles, and Kites)</v>
      </c>
      <c r="I1954" s="3"/>
    </row>
    <row r="1955" spans="1:9" ht="10.5" customHeight="1">
      <c r="A1955" s="3" t="s">
        <v>2768</v>
      </c>
      <c r="B1955" s="3" t="s">
        <v>2769</v>
      </c>
      <c r="C1955" s="3">
        <f>VLOOKUP(B1955,LifeList!$E$2:$J$2038,6)</f>
        <v>174</v>
      </c>
      <c r="D1955" s="3" t="str">
        <f>VLOOKUP(B1955,LifeList!$E$2:$G$2038,1)</f>
        <v>Little Tinamou</v>
      </c>
      <c r="E1955" s="3" t="str">
        <f>VLOOKUP(B1955,LifeList!$E$2:$G$2038,2)</f>
        <v>Tinamou soui</v>
      </c>
      <c r="F1955" s="3" t="str">
        <f>VLOOKUP(B1955,LifeList!$E$2:$G$2038,3)</f>
        <v>Crypturellus soui</v>
      </c>
      <c r="G1955" s="3" t="str">
        <f>VLOOKUP(B1955,LifeList!$E$2:$I$2038,4)</f>
        <v>Tinamiformes</v>
      </c>
      <c r="H1955" s="3" t="str">
        <f>VLOOKUP(B1955,LifeList!$E$2:$I$2038,5)</f>
        <v>Tinamidae (Tinamous)</v>
      </c>
      <c r="I1955" s="3"/>
    </row>
    <row r="1956" spans="1:9" ht="10.5" customHeight="1">
      <c r="A1956" s="3" t="s">
        <v>2770</v>
      </c>
      <c r="B1956" s="3" t="s">
        <v>2771</v>
      </c>
      <c r="C1956" s="3">
        <f>VLOOKUP(B1956,LifeList!$E$2:$J$2038,6)</f>
        <v>17859</v>
      </c>
      <c r="D1956" s="3" t="str">
        <f>VLOOKUP(B1956,LifeList!$E$2:$G$2038,1)</f>
        <v>Little Wattlebird</v>
      </c>
      <c r="E1956" s="3" t="str">
        <f>VLOOKUP(B1956,LifeList!$E$2:$G$2038,2)</f>
        <v>Méliphage à gouttelettes</v>
      </c>
      <c r="F1956" s="3" t="str">
        <f>VLOOKUP(B1956,LifeList!$E$2:$G$2038,3)</f>
        <v>Anthochaera chrysoptera</v>
      </c>
      <c r="G1956" s="3" t="str">
        <f>VLOOKUP(B1956,LifeList!$E$2:$I$2038,4)</f>
        <v>Passeriformes</v>
      </c>
      <c r="H1956" s="3" t="str">
        <f>VLOOKUP(B1956,LifeList!$E$2:$I$2038,5)</f>
        <v>Meliphagidae (Honeyeaters)</v>
      </c>
      <c r="I1956" s="3"/>
    </row>
    <row r="1957" spans="1:9" ht="10.5" customHeight="1">
      <c r="A1957" s="3" t="s">
        <v>2772</v>
      </c>
      <c r="B1957" s="3" t="s">
        <v>2771</v>
      </c>
      <c r="C1957" s="3">
        <f>VLOOKUP(B1957,LifeList!$E$2:$J$2038,6)</f>
        <v>17859</v>
      </c>
      <c r="D1957" s="3" t="str">
        <f>VLOOKUP(B1957,LifeList!$E$2:$G$2038,1)</f>
        <v>Little Wattlebird</v>
      </c>
      <c r="E1957" s="3" t="str">
        <f>VLOOKUP(B1957,LifeList!$E$2:$G$2038,2)</f>
        <v>Méliphage à gouttelettes</v>
      </c>
      <c r="F1957" s="3" t="str">
        <f>VLOOKUP(B1957,LifeList!$E$2:$G$2038,3)</f>
        <v>Anthochaera chrysoptera</v>
      </c>
      <c r="G1957" s="3" t="str">
        <f>VLOOKUP(B1957,LifeList!$E$2:$I$2038,4)</f>
        <v>Passeriformes</v>
      </c>
      <c r="H1957" s="3" t="str">
        <f>VLOOKUP(B1957,LifeList!$E$2:$I$2038,5)</f>
        <v>Meliphagidae (Honeyeaters)</v>
      </c>
      <c r="I1957" s="3"/>
    </row>
    <row r="1958" spans="1:9" ht="10.5" customHeight="1">
      <c r="A1958" s="3" t="s">
        <v>2773</v>
      </c>
      <c r="B1958" s="3" t="s">
        <v>2771</v>
      </c>
      <c r="C1958" s="3">
        <f>VLOOKUP(B1958,LifeList!$E$2:$J$2038,6)</f>
        <v>17859</v>
      </c>
      <c r="D1958" s="3" t="str">
        <f>VLOOKUP(B1958,LifeList!$E$2:$G$2038,1)</f>
        <v>Little Wattlebird</v>
      </c>
      <c r="E1958" s="3" t="str">
        <f>VLOOKUP(B1958,LifeList!$E$2:$G$2038,2)</f>
        <v>Méliphage à gouttelettes</v>
      </c>
      <c r="F1958" s="3" t="str">
        <f>VLOOKUP(B1958,LifeList!$E$2:$G$2038,3)</f>
        <v>Anthochaera chrysoptera</v>
      </c>
      <c r="G1958" s="3" t="str">
        <f>VLOOKUP(B1958,LifeList!$E$2:$I$2038,4)</f>
        <v>Passeriformes</v>
      </c>
      <c r="H1958" s="3" t="str">
        <f>VLOOKUP(B1958,LifeList!$E$2:$I$2038,5)</f>
        <v>Meliphagidae (Honeyeaters)</v>
      </c>
      <c r="I1958" s="3"/>
    </row>
    <row r="1959" spans="1:9" ht="10.5" customHeight="1">
      <c r="A1959" s="3" t="s">
        <v>2774</v>
      </c>
      <c r="B1959" s="3" t="s">
        <v>2771</v>
      </c>
      <c r="C1959" s="3">
        <f>VLOOKUP(B1959,LifeList!$E$2:$J$2038,6)</f>
        <v>17859</v>
      </c>
      <c r="D1959" s="3" t="str">
        <f>VLOOKUP(B1959,LifeList!$E$2:$G$2038,1)</f>
        <v>Little Wattlebird</v>
      </c>
      <c r="E1959" s="3" t="str">
        <f>VLOOKUP(B1959,LifeList!$E$2:$G$2038,2)</f>
        <v>Méliphage à gouttelettes</v>
      </c>
      <c r="F1959" s="3" t="str">
        <f>VLOOKUP(B1959,LifeList!$E$2:$G$2038,3)</f>
        <v>Anthochaera chrysoptera</v>
      </c>
      <c r="G1959" s="3" t="str">
        <f>VLOOKUP(B1959,LifeList!$E$2:$I$2038,4)</f>
        <v>Passeriformes</v>
      </c>
      <c r="H1959" s="3" t="str">
        <f>VLOOKUP(B1959,LifeList!$E$2:$I$2038,5)</f>
        <v>Meliphagidae (Honeyeaters)</v>
      </c>
      <c r="I1959" s="3"/>
    </row>
    <row r="1960" spans="1:9" ht="10.5" customHeight="1">
      <c r="A1960" s="3" t="s">
        <v>2775</v>
      </c>
      <c r="B1960" s="3" t="s">
        <v>2771</v>
      </c>
      <c r="C1960" s="3">
        <f>VLOOKUP(B1960,LifeList!$E$2:$J$2038,6)</f>
        <v>17859</v>
      </c>
      <c r="D1960" s="3" t="str">
        <f>VLOOKUP(B1960,LifeList!$E$2:$G$2038,1)</f>
        <v>Little Wattlebird</v>
      </c>
      <c r="E1960" s="3" t="str">
        <f>VLOOKUP(B1960,LifeList!$E$2:$G$2038,2)</f>
        <v>Méliphage à gouttelettes</v>
      </c>
      <c r="F1960" s="3" t="str">
        <f>VLOOKUP(B1960,LifeList!$E$2:$G$2038,3)</f>
        <v>Anthochaera chrysoptera</v>
      </c>
      <c r="G1960" s="3" t="str">
        <f>VLOOKUP(B1960,LifeList!$E$2:$I$2038,4)</f>
        <v>Passeriformes</v>
      </c>
      <c r="H1960" s="3" t="str">
        <f>VLOOKUP(B1960,LifeList!$E$2:$I$2038,5)</f>
        <v>Meliphagidae (Honeyeaters)</v>
      </c>
      <c r="I1960" s="3"/>
    </row>
    <row r="1961" spans="1:9" ht="10.5" customHeight="1">
      <c r="A1961" s="5" t="s">
        <v>2776</v>
      </c>
      <c r="B1961" s="3" t="s">
        <v>2777</v>
      </c>
      <c r="C1961" s="3">
        <f>VLOOKUP(B1961,LifeList!$E$2:$J$2038,6)</f>
        <v>29646</v>
      </c>
      <c r="D1961" s="3" t="str">
        <f>VLOOKUP(B1961,LifeList!$E$2:$G$2038,1)</f>
        <v>Littoral Rock-Thrush</v>
      </c>
      <c r="E1961" s="3" t="str">
        <f>VLOOKUP(B1961,LifeList!$E$2:$G$2038,2)</f>
        <v>Monticole du littoral</v>
      </c>
      <c r="F1961" s="3" t="str">
        <f>VLOOKUP(B1961,LifeList!$E$2:$G$2038,3)</f>
        <v>Monticola imerina</v>
      </c>
      <c r="G1961" s="3" t="str">
        <f>VLOOKUP(B1961,LifeList!$E$2:$I$2038,4)</f>
        <v>Passeriformes</v>
      </c>
      <c r="H1961" s="3" t="str">
        <f>VLOOKUP(B1961,LifeList!$E$2:$I$2038,5)</f>
        <v>Muscicapidae (Old World Flycatchers)</v>
      </c>
      <c r="I1961" s="3"/>
    </row>
    <row r="1962" spans="1:9" ht="10.5" customHeight="1">
      <c r="A1962" s="3" t="s">
        <v>2778</v>
      </c>
      <c r="B1962" s="3" t="s">
        <v>2779</v>
      </c>
      <c r="C1962" s="3">
        <f>VLOOKUP(B1962,LifeList!$E$2:$J$2038,6)</f>
        <v>29646</v>
      </c>
      <c r="D1962" s="3" t="str">
        <f>VLOOKUP(B1962,LifeList!$E$2:$G$2038,1)</f>
        <v>Littoral Rock-Thrush</v>
      </c>
      <c r="E1962" s="3" t="str">
        <f>VLOOKUP(B1962,LifeList!$E$2:$G$2038,2)</f>
        <v>Monticole du littoral</v>
      </c>
      <c r="F1962" s="3" t="str">
        <f>VLOOKUP(B1962,LifeList!$E$2:$G$2038,3)</f>
        <v>Monticola imerina</v>
      </c>
      <c r="G1962" s="3" t="str">
        <f>VLOOKUP(B1962,LifeList!$E$2:$I$2038,4)</f>
        <v>Passeriformes</v>
      </c>
      <c r="H1962" s="3" t="str">
        <f>VLOOKUP(B1962,LifeList!$E$2:$I$2038,5)</f>
        <v>Muscicapidae (Old World Flycatchers)</v>
      </c>
      <c r="I1962" s="3"/>
    </row>
    <row r="1963" spans="1:9" ht="10.5" customHeight="1">
      <c r="A1963" s="3" t="s">
        <v>2780</v>
      </c>
      <c r="B1963" s="3" t="s">
        <v>2779</v>
      </c>
      <c r="C1963" s="3">
        <f>VLOOKUP(B1963,LifeList!$E$2:$J$2038,6)</f>
        <v>29646</v>
      </c>
      <c r="D1963" s="3" t="str">
        <f>VLOOKUP(B1963,LifeList!$E$2:$G$2038,1)</f>
        <v>Littoral Rock-Thrush</v>
      </c>
      <c r="E1963" s="3" t="str">
        <f>VLOOKUP(B1963,LifeList!$E$2:$G$2038,2)</f>
        <v>Monticole du littoral</v>
      </c>
      <c r="F1963" s="3" t="str">
        <f>VLOOKUP(B1963,LifeList!$E$2:$G$2038,3)</f>
        <v>Monticola imerina</v>
      </c>
      <c r="G1963" s="3" t="str">
        <f>VLOOKUP(B1963,LifeList!$E$2:$I$2038,4)</f>
        <v>Passeriformes</v>
      </c>
      <c r="H1963" s="3" t="str">
        <f>VLOOKUP(B1963,LifeList!$E$2:$I$2038,5)</f>
        <v>Muscicapidae (Old World Flycatchers)</v>
      </c>
      <c r="I1963" s="3"/>
    </row>
    <row r="1964" spans="1:9" ht="10.5" customHeight="1">
      <c r="A1964" s="3" t="s">
        <v>2781</v>
      </c>
      <c r="B1964" s="3" t="s">
        <v>2779</v>
      </c>
      <c r="C1964" s="3">
        <f>VLOOKUP(B1964,LifeList!$E$2:$J$2038,6)</f>
        <v>29646</v>
      </c>
      <c r="D1964" s="3" t="str">
        <f>VLOOKUP(B1964,LifeList!$E$2:$G$2038,1)</f>
        <v>Littoral Rock-Thrush</v>
      </c>
      <c r="E1964" s="3" t="str">
        <f>VLOOKUP(B1964,LifeList!$E$2:$G$2038,2)</f>
        <v>Monticole du littoral</v>
      </c>
      <c r="F1964" s="3" t="str">
        <f>VLOOKUP(B1964,LifeList!$E$2:$G$2038,3)</f>
        <v>Monticola imerina</v>
      </c>
      <c r="G1964" s="3" t="str">
        <f>VLOOKUP(B1964,LifeList!$E$2:$I$2038,4)</f>
        <v>Passeriformes</v>
      </c>
      <c r="H1964" s="3" t="str">
        <f>VLOOKUP(B1964,LifeList!$E$2:$I$2038,5)</f>
        <v>Muscicapidae (Old World Flycatchers)</v>
      </c>
      <c r="I1964" s="3"/>
    </row>
    <row r="1965" spans="1:9" ht="10.5" customHeight="1">
      <c r="A1965" s="3" t="s">
        <v>2782</v>
      </c>
      <c r="B1965" s="3" t="s">
        <v>2783</v>
      </c>
      <c r="C1965" s="3">
        <f>VLOOKUP(B1965,LifeList!$E$2:$J$2038,6)</f>
        <v>21091</v>
      </c>
      <c r="D1965" s="3" t="str">
        <f>VLOOKUP(B1965,LifeList!$E$2:$G$2038,1)</f>
        <v>Loggerhead Shrike</v>
      </c>
      <c r="E1965" s="3" t="str">
        <f>VLOOKUP(B1965,LifeList!$E$2:$G$2038,2)</f>
        <v>Pie-grièche migratrice</v>
      </c>
      <c r="F1965" s="3" t="str">
        <f>VLOOKUP(B1965,LifeList!$E$2:$G$2038,3)</f>
        <v>Lanius ludovicianus</v>
      </c>
      <c r="G1965" s="3" t="str">
        <f>VLOOKUP(B1965,LifeList!$E$2:$I$2038,4)</f>
        <v>Passeriformes</v>
      </c>
      <c r="H1965" s="3" t="str">
        <f>VLOOKUP(B1965,LifeList!$E$2:$I$2038,5)</f>
        <v>Laniidae (Shrikes)</v>
      </c>
      <c r="I1965" s="3"/>
    </row>
    <row r="1966" spans="1:9" ht="10.5" customHeight="1">
      <c r="A1966" s="3" t="s">
        <v>2784</v>
      </c>
      <c r="B1966" s="3" t="s">
        <v>2783</v>
      </c>
      <c r="C1966" s="3">
        <f>VLOOKUP(B1966,LifeList!$E$2:$J$2038,6)</f>
        <v>21091</v>
      </c>
      <c r="D1966" s="3" t="str">
        <f>VLOOKUP(B1966,LifeList!$E$2:$G$2038,1)</f>
        <v>Loggerhead Shrike</v>
      </c>
      <c r="E1966" s="3" t="str">
        <f>VLOOKUP(B1966,LifeList!$E$2:$G$2038,2)</f>
        <v>Pie-grièche migratrice</v>
      </c>
      <c r="F1966" s="3" t="str">
        <f>VLOOKUP(B1966,LifeList!$E$2:$G$2038,3)</f>
        <v>Lanius ludovicianus</v>
      </c>
      <c r="G1966" s="3" t="str">
        <f>VLOOKUP(B1966,LifeList!$E$2:$I$2038,4)</f>
        <v>Passeriformes</v>
      </c>
      <c r="H1966" s="3" t="str">
        <f>VLOOKUP(B1966,LifeList!$E$2:$I$2038,5)</f>
        <v>Laniidae (Shrikes)</v>
      </c>
      <c r="I1966" s="3"/>
    </row>
    <row r="1967" spans="1:9" ht="10.5" customHeight="1">
      <c r="A1967" s="3" t="s">
        <v>2785</v>
      </c>
      <c r="B1967" s="3" t="s">
        <v>2783</v>
      </c>
      <c r="C1967" s="3">
        <f>VLOOKUP(B1967,LifeList!$E$2:$J$2038,6)</f>
        <v>21091</v>
      </c>
      <c r="D1967" s="3" t="str">
        <f>VLOOKUP(B1967,LifeList!$E$2:$G$2038,1)</f>
        <v>Loggerhead Shrike</v>
      </c>
      <c r="E1967" s="3" t="str">
        <f>VLOOKUP(B1967,LifeList!$E$2:$G$2038,2)</f>
        <v>Pie-grièche migratrice</v>
      </c>
      <c r="F1967" s="3" t="str">
        <f>VLOOKUP(B1967,LifeList!$E$2:$G$2038,3)</f>
        <v>Lanius ludovicianus</v>
      </c>
      <c r="G1967" s="3" t="str">
        <f>VLOOKUP(B1967,LifeList!$E$2:$I$2038,4)</f>
        <v>Passeriformes</v>
      </c>
      <c r="H1967" s="3" t="str">
        <f>VLOOKUP(B1967,LifeList!$E$2:$I$2038,5)</f>
        <v>Laniidae (Shrikes)</v>
      </c>
      <c r="I1967" s="3"/>
    </row>
    <row r="1968" spans="1:9" ht="10.5" customHeight="1">
      <c r="A1968" s="3" t="s">
        <v>2786</v>
      </c>
      <c r="B1968" s="3" t="s">
        <v>2783</v>
      </c>
      <c r="C1968" s="3">
        <f>VLOOKUP(B1968,LifeList!$E$2:$J$2038,6)</f>
        <v>21091</v>
      </c>
      <c r="D1968" s="3" t="str">
        <f>VLOOKUP(B1968,LifeList!$E$2:$G$2038,1)</f>
        <v>Loggerhead Shrike</v>
      </c>
      <c r="E1968" s="3" t="str">
        <f>VLOOKUP(B1968,LifeList!$E$2:$G$2038,2)</f>
        <v>Pie-grièche migratrice</v>
      </c>
      <c r="F1968" s="3" t="str">
        <f>VLOOKUP(B1968,LifeList!$E$2:$G$2038,3)</f>
        <v>Lanius ludovicianus</v>
      </c>
      <c r="G1968" s="3" t="str">
        <f>VLOOKUP(B1968,LifeList!$E$2:$I$2038,4)</f>
        <v>Passeriformes</v>
      </c>
      <c r="H1968" s="3" t="str">
        <f>VLOOKUP(B1968,LifeList!$E$2:$I$2038,5)</f>
        <v>Laniidae (Shrikes)</v>
      </c>
      <c r="I1968" s="3"/>
    </row>
    <row r="1969" spans="1:9" ht="10.5" customHeight="1">
      <c r="A1969" s="3" t="s">
        <v>2787</v>
      </c>
      <c r="B1969" s="3" t="s">
        <v>2783</v>
      </c>
      <c r="C1969" s="3">
        <f>VLOOKUP(B1969,LifeList!$E$2:$J$2038,6)</f>
        <v>21091</v>
      </c>
      <c r="D1969" s="3" t="str">
        <f>VLOOKUP(B1969,LifeList!$E$2:$G$2038,1)</f>
        <v>Loggerhead Shrike</v>
      </c>
      <c r="E1969" s="3" t="str">
        <f>VLOOKUP(B1969,LifeList!$E$2:$G$2038,2)</f>
        <v>Pie-grièche migratrice</v>
      </c>
      <c r="F1969" s="3" t="str">
        <f>VLOOKUP(B1969,LifeList!$E$2:$G$2038,3)</f>
        <v>Lanius ludovicianus</v>
      </c>
      <c r="G1969" s="3" t="str">
        <f>VLOOKUP(B1969,LifeList!$E$2:$I$2038,4)</f>
        <v>Passeriformes</v>
      </c>
      <c r="H1969" s="3" t="str">
        <f>VLOOKUP(B1969,LifeList!$E$2:$I$2038,5)</f>
        <v>Laniidae (Shrikes)</v>
      </c>
      <c r="I1969" s="3"/>
    </row>
    <row r="1970" spans="1:9" ht="10.5" customHeight="1">
      <c r="A1970" s="3" t="s">
        <v>2788</v>
      </c>
      <c r="B1970" s="3" t="s">
        <v>2783</v>
      </c>
      <c r="C1970" s="3">
        <f>VLOOKUP(B1970,LifeList!$E$2:$J$2038,6)</f>
        <v>21091</v>
      </c>
      <c r="D1970" s="3" t="str">
        <f>VLOOKUP(B1970,LifeList!$E$2:$G$2038,1)</f>
        <v>Loggerhead Shrike</v>
      </c>
      <c r="E1970" s="3" t="str">
        <f>VLOOKUP(B1970,LifeList!$E$2:$G$2038,2)</f>
        <v>Pie-grièche migratrice</v>
      </c>
      <c r="F1970" s="3" t="str">
        <f>VLOOKUP(B1970,LifeList!$E$2:$G$2038,3)</f>
        <v>Lanius ludovicianus</v>
      </c>
      <c r="G1970" s="3" t="str">
        <f>VLOOKUP(B1970,LifeList!$E$2:$I$2038,4)</f>
        <v>Passeriformes</v>
      </c>
      <c r="H1970" s="3" t="str">
        <f>VLOOKUP(B1970,LifeList!$E$2:$I$2038,5)</f>
        <v>Laniidae (Shrikes)</v>
      </c>
      <c r="I1970" s="3"/>
    </row>
    <row r="1971" spans="1:9" ht="10.5" customHeight="1">
      <c r="A1971" s="3" t="s">
        <v>2789</v>
      </c>
      <c r="B1971" s="3" t="s">
        <v>2783</v>
      </c>
      <c r="C1971" s="3">
        <f>VLOOKUP(B1971,LifeList!$E$2:$J$2038,6)</f>
        <v>21091</v>
      </c>
      <c r="D1971" s="3" t="str">
        <f>VLOOKUP(B1971,LifeList!$E$2:$G$2038,1)</f>
        <v>Loggerhead Shrike</v>
      </c>
      <c r="E1971" s="3" t="str">
        <f>VLOOKUP(B1971,LifeList!$E$2:$G$2038,2)</f>
        <v>Pie-grièche migratrice</v>
      </c>
      <c r="F1971" s="3" t="str">
        <f>VLOOKUP(B1971,LifeList!$E$2:$G$2038,3)</f>
        <v>Lanius ludovicianus</v>
      </c>
      <c r="G1971" s="3" t="str">
        <f>VLOOKUP(B1971,LifeList!$E$2:$I$2038,4)</f>
        <v>Passeriformes</v>
      </c>
      <c r="H1971" s="3" t="str">
        <f>VLOOKUP(B1971,LifeList!$E$2:$I$2038,5)</f>
        <v>Laniidae (Shrikes)</v>
      </c>
      <c r="I1971" s="3"/>
    </row>
    <row r="1972" spans="1:9" ht="10.5" customHeight="1">
      <c r="A1972" s="3" t="s">
        <v>2790</v>
      </c>
      <c r="B1972" s="3" t="s">
        <v>2783</v>
      </c>
      <c r="C1972" s="3">
        <f>VLOOKUP(B1972,LifeList!$E$2:$J$2038,6)</f>
        <v>21091</v>
      </c>
      <c r="D1972" s="3" t="str">
        <f>VLOOKUP(B1972,LifeList!$E$2:$G$2038,1)</f>
        <v>Loggerhead Shrike</v>
      </c>
      <c r="E1972" s="3" t="str">
        <f>VLOOKUP(B1972,LifeList!$E$2:$G$2038,2)</f>
        <v>Pie-grièche migratrice</v>
      </c>
      <c r="F1972" s="3" t="str">
        <f>VLOOKUP(B1972,LifeList!$E$2:$G$2038,3)</f>
        <v>Lanius ludovicianus</v>
      </c>
      <c r="G1972" s="3" t="str">
        <f>VLOOKUP(B1972,LifeList!$E$2:$I$2038,4)</f>
        <v>Passeriformes</v>
      </c>
      <c r="H1972" s="3" t="str">
        <f>VLOOKUP(B1972,LifeList!$E$2:$I$2038,5)</f>
        <v>Laniidae (Shrikes)</v>
      </c>
      <c r="I1972" s="3"/>
    </row>
    <row r="1973" spans="1:9" ht="10.5" customHeight="1">
      <c r="A1973" s="3" t="s">
        <v>2791</v>
      </c>
      <c r="B1973" s="3" t="s">
        <v>2783</v>
      </c>
      <c r="C1973" s="3">
        <f>VLOOKUP(B1973,LifeList!$E$2:$J$2038,6)</f>
        <v>21091</v>
      </c>
      <c r="D1973" s="3" t="str">
        <f>VLOOKUP(B1973,LifeList!$E$2:$G$2038,1)</f>
        <v>Loggerhead Shrike</v>
      </c>
      <c r="E1973" s="3" t="str">
        <f>VLOOKUP(B1973,LifeList!$E$2:$G$2038,2)</f>
        <v>Pie-grièche migratrice</v>
      </c>
      <c r="F1973" s="3" t="str">
        <f>VLOOKUP(B1973,LifeList!$E$2:$G$2038,3)</f>
        <v>Lanius ludovicianus</v>
      </c>
      <c r="G1973" s="3" t="str">
        <f>VLOOKUP(B1973,LifeList!$E$2:$I$2038,4)</f>
        <v>Passeriformes</v>
      </c>
      <c r="H1973" s="3" t="str">
        <f>VLOOKUP(B1973,LifeList!$E$2:$I$2038,5)</f>
        <v>Laniidae (Shrikes)</v>
      </c>
      <c r="I1973" s="3"/>
    </row>
    <row r="1974" spans="1:9" ht="10.5" customHeight="1">
      <c r="A1974" s="3" t="s">
        <v>2792</v>
      </c>
      <c r="B1974" s="3" t="s">
        <v>2793</v>
      </c>
      <c r="C1974" s="3">
        <f>VLOOKUP(B1974,LifeList!$E$2:$J$2038,6)</f>
        <v>12196</v>
      </c>
      <c r="D1974" s="3" t="str">
        <f>VLOOKUP(B1974,LifeList!$E$2:$G$2038,1)</f>
        <v>Long-billed Corella</v>
      </c>
      <c r="E1974" s="3" t="str">
        <f>VLOOKUP(B1974,LifeList!$E$2:$G$2038,2)</f>
        <v>Cacatoès nasique</v>
      </c>
      <c r="F1974" s="3" t="str">
        <f>VLOOKUP(B1974,LifeList!$E$2:$G$2038,3)</f>
        <v>Cacatua tenuirostris</v>
      </c>
      <c r="G1974" s="3" t="str">
        <f>VLOOKUP(B1974,LifeList!$E$2:$I$2038,4)</f>
        <v>Psittaciformes</v>
      </c>
      <c r="H1974" s="3" t="str">
        <f>VLOOKUP(B1974,LifeList!$E$2:$I$2038,5)</f>
        <v>Cacatuidae (Cockatoos)</v>
      </c>
      <c r="I1974" s="3"/>
    </row>
    <row r="1975" spans="1:9" ht="10.5" customHeight="1">
      <c r="A1975" s="3" t="s">
        <v>2794</v>
      </c>
      <c r="B1975" s="3" t="s">
        <v>2795</v>
      </c>
      <c r="C1975" s="3">
        <f>VLOOKUP(B1975,LifeList!$E$2:$J$2038,6)</f>
        <v>6021</v>
      </c>
      <c r="D1975" s="3" t="str">
        <f>VLOOKUP(B1975,LifeList!$E$2:$G$2038,1)</f>
        <v>Long-billed Curlew</v>
      </c>
      <c r="E1975" s="3" t="str">
        <f>VLOOKUP(B1975,LifeList!$E$2:$G$2038,2)</f>
        <v>Courlis à long bec</v>
      </c>
      <c r="F1975" s="3" t="str">
        <f>VLOOKUP(B1975,LifeList!$E$2:$G$2038,3)</f>
        <v>Numenius americanus</v>
      </c>
      <c r="G1975" s="3" t="str">
        <f>VLOOKUP(B1975,LifeList!$E$2:$I$2038,4)</f>
        <v>Charadriiformes</v>
      </c>
      <c r="H1975" s="3" t="str">
        <f>VLOOKUP(B1975,LifeList!$E$2:$I$2038,5)</f>
        <v>Scolopacidae (Sandpipers and Allies)</v>
      </c>
      <c r="I1975" s="3"/>
    </row>
    <row r="1976" spans="1:9" ht="10.5" customHeight="1">
      <c r="A1976" s="3" t="s">
        <v>2796</v>
      </c>
      <c r="B1976" s="3" t="s">
        <v>2797</v>
      </c>
      <c r="C1976" s="3">
        <f>VLOOKUP(B1976,LifeList!$E$2:$J$2038,6)</f>
        <v>6061</v>
      </c>
      <c r="D1976" s="3" t="str">
        <f>VLOOKUP(B1976,LifeList!$E$2:$G$2038,1)</f>
        <v>Long-billed Dowitcher</v>
      </c>
      <c r="E1976" s="3" t="str">
        <f>VLOOKUP(B1976,LifeList!$E$2:$G$2038,2)</f>
        <v>Bécassin à long bec</v>
      </c>
      <c r="F1976" s="3" t="str">
        <f>VLOOKUP(B1976,LifeList!$E$2:$G$2038,3)</f>
        <v>Limnodromus scolopaceus</v>
      </c>
      <c r="G1976" s="3" t="str">
        <f>VLOOKUP(B1976,LifeList!$E$2:$I$2038,4)</f>
        <v>Charadriiformes</v>
      </c>
      <c r="H1976" s="3" t="str">
        <f>VLOOKUP(B1976,LifeList!$E$2:$I$2038,5)</f>
        <v>Scolopacidae (Sandpipers and Allies)</v>
      </c>
      <c r="I1976" s="3"/>
    </row>
    <row r="1977" spans="1:9" ht="10.5" customHeight="1">
      <c r="A1977" s="3" t="s">
        <v>2798</v>
      </c>
      <c r="B1977" s="3" t="s">
        <v>2797</v>
      </c>
      <c r="C1977" s="3">
        <f>VLOOKUP(B1977,LifeList!$E$2:$J$2038,6)</f>
        <v>6061</v>
      </c>
      <c r="D1977" s="3" t="str">
        <f>VLOOKUP(B1977,LifeList!$E$2:$G$2038,1)</f>
        <v>Long-billed Dowitcher</v>
      </c>
      <c r="E1977" s="3" t="str">
        <f>VLOOKUP(B1977,LifeList!$E$2:$G$2038,2)</f>
        <v>Bécassin à long bec</v>
      </c>
      <c r="F1977" s="3" t="str">
        <f>VLOOKUP(B1977,LifeList!$E$2:$G$2038,3)</f>
        <v>Limnodromus scolopaceus</v>
      </c>
      <c r="G1977" s="3" t="str">
        <f>VLOOKUP(B1977,LifeList!$E$2:$I$2038,4)</f>
        <v>Charadriiformes</v>
      </c>
      <c r="H1977" s="3" t="str">
        <f>VLOOKUP(B1977,LifeList!$E$2:$I$2038,5)</f>
        <v>Scolopacidae (Sandpipers and Allies)</v>
      </c>
      <c r="I1977" s="3"/>
    </row>
    <row r="1978" spans="1:9" ht="10.5" customHeight="1">
      <c r="A1978" s="3" t="s">
        <v>2799</v>
      </c>
      <c r="B1978" s="3" t="s">
        <v>2800</v>
      </c>
      <c r="C1978" s="3">
        <f>VLOOKUP(B1978,LifeList!$E$2:$J$2038,6)</f>
        <v>4273</v>
      </c>
      <c r="D1978" s="3" t="str">
        <f>VLOOKUP(B1978,LifeList!$E$2:$G$2038,1)</f>
        <v>Long-billed Hermit</v>
      </c>
      <c r="E1978" s="3" t="str">
        <f>VLOOKUP(B1978,LifeList!$E$2:$G$2038,2)</f>
        <v>Ermite à longue queue</v>
      </c>
      <c r="F1978" s="3" t="str">
        <f>VLOOKUP(B1978,LifeList!$E$2:$G$2038,3)</f>
        <v>Phaethornis longirostris</v>
      </c>
      <c r="G1978" s="3" t="str">
        <f>VLOOKUP(B1978,LifeList!$E$2:$I$2038,4)</f>
        <v>Apodiformes</v>
      </c>
      <c r="H1978" s="3" t="str">
        <f>VLOOKUP(B1978,LifeList!$E$2:$I$2038,5)</f>
        <v>Trochilidae (Hummingbirds)</v>
      </c>
      <c r="I1978" s="3"/>
    </row>
    <row r="1979" spans="1:9" ht="10.5" customHeight="1">
      <c r="A1979" s="3" t="s">
        <v>2801</v>
      </c>
      <c r="B1979" s="3" t="s">
        <v>2800</v>
      </c>
      <c r="C1979" s="3">
        <f>VLOOKUP(B1979,LifeList!$E$2:$J$2038,6)</f>
        <v>4273</v>
      </c>
      <c r="D1979" s="3" t="str">
        <f>VLOOKUP(B1979,LifeList!$E$2:$G$2038,1)</f>
        <v>Long-billed Hermit</v>
      </c>
      <c r="E1979" s="3" t="str">
        <f>VLOOKUP(B1979,LifeList!$E$2:$G$2038,2)</f>
        <v>Ermite à longue queue</v>
      </c>
      <c r="F1979" s="3" t="str">
        <f>VLOOKUP(B1979,LifeList!$E$2:$G$2038,3)</f>
        <v>Phaethornis longirostris</v>
      </c>
      <c r="G1979" s="3" t="str">
        <f>VLOOKUP(B1979,LifeList!$E$2:$I$2038,4)</f>
        <v>Apodiformes</v>
      </c>
      <c r="H1979" s="3" t="str">
        <f>VLOOKUP(B1979,LifeList!$E$2:$I$2038,5)</f>
        <v>Trochilidae (Hummingbirds)</v>
      </c>
      <c r="I1979" s="3"/>
    </row>
    <row r="1980" spans="1:9" ht="10.5" customHeight="1">
      <c r="A1980" s="3" t="s">
        <v>2802</v>
      </c>
      <c r="B1980" s="3" t="s">
        <v>2800</v>
      </c>
      <c r="C1980" s="3">
        <f>VLOOKUP(B1980,LifeList!$E$2:$J$2038,6)</f>
        <v>4273</v>
      </c>
      <c r="D1980" s="3" t="str">
        <f>VLOOKUP(B1980,LifeList!$E$2:$G$2038,1)</f>
        <v>Long-billed Hermit</v>
      </c>
      <c r="E1980" s="3" t="str">
        <f>VLOOKUP(B1980,LifeList!$E$2:$G$2038,2)</f>
        <v>Ermite à longue queue</v>
      </c>
      <c r="F1980" s="3" t="str">
        <f>VLOOKUP(B1980,LifeList!$E$2:$G$2038,3)</f>
        <v>Phaethornis longirostris</v>
      </c>
      <c r="G1980" s="3" t="str">
        <f>VLOOKUP(B1980,LifeList!$E$2:$I$2038,4)</f>
        <v>Apodiformes</v>
      </c>
      <c r="H1980" s="3" t="str">
        <f>VLOOKUP(B1980,LifeList!$E$2:$I$2038,5)</f>
        <v>Trochilidae (Hummingbirds)</v>
      </c>
      <c r="I1980" s="3"/>
    </row>
    <row r="1981" spans="1:9" ht="10.5" customHeight="1">
      <c r="A1981" s="3" t="s">
        <v>2803</v>
      </c>
      <c r="B1981" s="3" t="s">
        <v>2800</v>
      </c>
      <c r="C1981" s="3">
        <f>VLOOKUP(B1981,LifeList!$E$2:$J$2038,6)</f>
        <v>4273</v>
      </c>
      <c r="D1981" s="3" t="str">
        <f>VLOOKUP(B1981,LifeList!$E$2:$G$2038,1)</f>
        <v>Long-billed Hermit</v>
      </c>
      <c r="E1981" s="3" t="str">
        <f>VLOOKUP(B1981,LifeList!$E$2:$G$2038,2)</f>
        <v>Ermite à longue queue</v>
      </c>
      <c r="F1981" s="3" t="str">
        <f>VLOOKUP(B1981,LifeList!$E$2:$G$2038,3)</f>
        <v>Phaethornis longirostris</v>
      </c>
      <c r="G1981" s="3" t="str">
        <f>VLOOKUP(B1981,LifeList!$E$2:$I$2038,4)</f>
        <v>Apodiformes</v>
      </c>
      <c r="H1981" s="3" t="str">
        <f>VLOOKUP(B1981,LifeList!$E$2:$I$2038,5)</f>
        <v>Trochilidae (Hummingbirds)</v>
      </c>
      <c r="I1981" s="3"/>
    </row>
    <row r="1982" spans="1:9" ht="10.5" customHeight="1">
      <c r="A1982" s="3" t="s">
        <v>2804</v>
      </c>
      <c r="B1982" s="3" t="s">
        <v>2805</v>
      </c>
      <c r="C1982" s="3">
        <f>VLOOKUP(B1982,LifeList!$E$2:$J$2038,6)</f>
        <v>4725</v>
      </c>
      <c r="D1982" s="3" t="str">
        <f>VLOOKUP(B1982,LifeList!$E$2:$G$2038,1)</f>
        <v>Long-billed Starthroat</v>
      </c>
      <c r="E1982" s="3" t="str">
        <f>VLOOKUP(B1982,LifeList!$E$2:$G$2038,2)</f>
        <v>Colibri corinne</v>
      </c>
      <c r="F1982" s="3" t="str">
        <f>VLOOKUP(B1982,LifeList!$E$2:$G$2038,3)</f>
        <v>Heliomaster longirostris</v>
      </c>
      <c r="G1982" s="3" t="str">
        <f>VLOOKUP(B1982,LifeList!$E$2:$I$2038,4)</f>
        <v>Apodiformes</v>
      </c>
      <c r="H1982" s="3" t="str">
        <f>VLOOKUP(B1982,LifeList!$E$2:$I$2038,5)</f>
        <v>Trochilidae (Hummingbirds)</v>
      </c>
      <c r="I1982" s="3"/>
    </row>
    <row r="1983" spans="1:9" ht="10.5" customHeight="1">
      <c r="A1983" s="3" t="s">
        <v>2806</v>
      </c>
      <c r="B1983" s="3" t="s">
        <v>2805</v>
      </c>
      <c r="C1983" s="3">
        <f>VLOOKUP(B1983,LifeList!$E$2:$J$2038,6)</f>
        <v>4725</v>
      </c>
      <c r="D1983" s="3" t="str">
        <f>VLOOKUP(B1983,LifeList!$E$2:$G$2038,1)</f>
        <v>Long-billed Starthroat</v>
      </c>
      <c r="E1983" s="3" t="str">
        <f>VLOOKUP(B1983,LifeList!$E$2:$G$2038,2)</f>
        <v>Colibri corinne</v>
      </c>
      <c r="F1983" s="3" t="str">
        <f>VLOOKUP(B1983,LifeList!$E$2:$G$2038,3)</f>
        <v>Heliomaster longirostris</v>
      </c>
      <c r="G1983" s="3" t="str">
        <f>VLOOKUP(B1983,LifeList!$E$2:$I$2038,4)</f>
        <v>Apodiformes</v>
      </c>
      <c r="H1983" s="3" t="str">
        <f>VLOOKUP(B1983,LifeList!$E$2:$I$2038,5)</f>
        <v>Trochilidae (Hummingbirds)</v>
      </c>
      <c r="I1983" s="3"/>
    </row>
    <row r="1984" spans="1:9" ht="10.5" customHeight="1">
      <c r="A1984" s="3" t="s">
        <v>2807</v>
      </c>
      <c r="B1984" s="3" t="s">
        <v>2805</v>
      </c>
      <c r="C1984" s="3">
        <f>VLOOKUP(B1984,LifeList!$E$2:$J$2038,6)</f>
        <v>4725</v>
      </c>
      <c r="D1984" s="3" t="str">
        <f>VLOOKUP(B1984,LifeList!$E$2:$G$2038,1)</f>
        <v>Long-billed Starthroat</v>
      </c>
      <c r="E1984" s="3" t="str">
        <f>VLOOKUP(B1984,LifeList!$E$2:$G$2038,2)</f>
        <v>Colibri corinne</v>
      </c>
      <c r="F1984" s="3" t="str">
        <f>VLOOKUP(B1984,LifeList!$E$2:$G$2038,3)</f>
        <v>Heliomaster longirostris</v>
      </c>
      <c r="G1984" s="3" t="str">
        <f>VLOOKUP(B1984,LifeList!$E$2:$I$2038,4)</f>
        <v>Apodiformes</v>
      </c>
      <c r="H1984" s="3" t="str">
        <f>VLOOKUP(B1984,LifeList!$E$2:$I$2038,5)</f>
        <v>Trochilidae (Hummingbirds)</v>
      </c>
      <c r="I1984" s="3"/>
    </row>
    <row r="1985" spans="1:9" ht="10.5" customHeight="1">
      <c r="A1985" s="3" t="s">
        <v>2808</v>
      </c>
      <c r="B1985" s="3" t="s">
        <v>2805</v>
      </c>
      <c r="C1985" s="3">
        <f>VLOOKUP(B1985,LifeList!$E$2:$J$2038,6)</f>
        <v>4725</v>
      </c>
      <c r="D1985" s="3" t="str">
        <f>VLOOKUP(B1985,LifeList!$E$2:$G$2038,1)</f>
        <v>Long-billed Starthroat</v>
      </c>
      <c r="E1985" s="3" t="str">
        <f>VLOOKUP(B1985,LifeList!$E$2:$G$2038,2)</f>
        <v>Colibri corinne</v>
      </c>
      <c r="F1985" s="3" t="str">
        <f>VLOOKUP(B1985,LifeList!$E$2:$G$2038,3)</f>
        <v>Heliomaster longirostris</v>
      </c>
      <c r="G1985" s="3" t="str">
        <f>VLOOKUP(B1985,LifeList!$E$2:$I$2038,4)</f>
        <v>Apodiformes</v>
      </c>
      <c r="H1985" s="3" t="str">
        <f>VLOOKUP(B1985,LifeList!$E$2:$I$2038,5)</f>
        <v>Trochilidae (Hummingbirds)</v>
      </c>
      <c r="I1985" s="3"/>
    </row>
    <row r="1986" spans="1:9" ht="10.5" customHeight="1">
      <c r="A1986" s="3" t="s">
        <v>2809</v>
      </c>
      <c r="B1986" s="3" t="s">
        <v>2810</v>
      </c>
      <c r="C1986" s="3">
        <f>VLOOKUP(B1986,LifeList!$E$2:$J$2038,6)</f>
        <v>9253</v>
      </c>
      <c r="D1986" s="3" t="str">
        <f>VLOOKUP(B1986,LifeList!$E$2:$G$2038,1)</f>
        <v>Long-eared Owl</v>
      </c>
      <c r="E1986" s="3" t="str">
        <f>VLOOKUP(B1986,LifeList!$E$2:$G$2038,2)</f>
        <v>Hibou moyen-duc</v>
      </c>
      <c r="F1986" s="3" t="str">
        <f>VLOOKUP(B1986,LifeList!$E$2:$G$2038,3)</f>
        <v>Asio otus</v>
      </c>
      <c r="G1986" s="3" t="str">
        <f>VLOOKUP(B1986,LifeList!$E$2:$I$2038,4)</f>
        <v>Strigiformes</v>
      </c>
      <c r="H1986" s="3" t="str">
        <f>VLOOKUP(B1986,LifeList!$E$2:$I$2038,5)</f>
        <v>Strigidae (Owls)</v>
      </c>
      <c r="I1986" s="3"/>
    </row>
    <row r="1987" spans="1:9" ht="10.5" customHeight="1">
      <c r="A1987" s="5" t="s">
        <v>2811</v>
      </c>
      <c r="B1987" s="5" t="s">
        <v>2812</v>
      </c>
      <c r="C1987" s="3">
        <f>VLOOKUP(B1987,LifeList!$E$2:$J$2038,6)</f>
        <v>10373</v>
      </c>
      <c r="D1987" s="3" t="str">
        <f>VLOOKUP(B1987,LifeList!$E$2:$G$2038,1)</f>
        <v>Long-tailed Ground-Roller</v>
      </c>
      <c r="E1987" s="3" t="str">
        <f>VLOOKUP(B1987,LifeList!$E$2:$G$2038,2)</f>
        <v>Brachyptérolle à longue queue</v>
      </c>
      <c r="F1987" s="3" t="str">
        <f>VLOOKUP(B1987,LifeList!$E$2:$G$2038,3)</f>
        <v>Uratelornis chimaera</v>
      </c>
      <c r="G1987" s="3" t="str">
        <f>VLOOKUP(B1987,LifeList!$E$2:$I$2038,4)</f>
        <v>Coraciiformes</v>
      </c>
      <c r="H1987" s="3" t="str">
        <f>VLOOKUP(B1987,LifeList!$E$2:$I$2038,5)</f>
        <v>Brachypteraciidae (Ground-Rollers)</v>
      </c>
      <c r="I1987" s="3"/>
    </row>
    <row r="1988" spans="1:9" ht="10.5" customHeight="1">
      <c r="A1988" s="3" t="s">
        <v>2813</v>
      </c>
      <c r="B1988" s="3" t="s">
        <v>2814</v>
      </c>
      <c r="C1988" s="3">
        <f>VLOOKUP(B1988,LifeList!$E$2:$J$2038,6)</f>
        <v>741</v>
      </c>
      <c r="D1988" s="3" t="str">
        <f>VLOOKUP(B1988,LifeList!$E$2:$G$2038,1)</f>
        <v>Long-tailed Duck</v>
      </c>
      <c r="E1988" s="3" t="str">
        <f>VLOOKUP(B1988,LifeList!$E$2:$G$2038,2)</f>
        <v>Harelde kakawi</v>
      </c>
      <c r="F1988" s="3" t="str">
        <f>VLOOKUP(B1988,LifeList!$E$2:$G$2038,3)</f>
        <v>Clangula hyemalis</v>
      </c>
      <c r="G1988" s="3" t="str">
        <f>VLOOKUP(B1988,LifeList!$E$2:$I$2038,4)</f>
        <v>Anseriformes</v>
      </c>
      <c r="H1988" s="3" t="str">
        <f>VLOOKUP(B1988,LifeList!$E$2:$I$2038,5)</f>
        <v>Anatidae (Ducks, Geese, and Waterfowl)</v>
      </c>
      <c r="I1988" s="3"/>
    </row>
    <row r="1989" spans="1:9" ht="10.5" customHeight="1">
      <c r="A1989" s="3" t="s">
        <v>2815</v>
      </c>
      <c r="B1989" s="3" t="s">
        <v>2816</v>
      </c>
      <c r="C1989" s="3">
        <f>VLOOKUP(B1989,LifeList!$E$2:$J$2038,6)</f>
        <v>21138</v>
      </c>
      <c r="D1989" s="3" t="str">
        <f>VLOOKUP(B1989,LifeList!$E$2:$G$2038,1)</f>
        <v>Long-tailed Fiscal</v>
      </c>
      <c r="E1989" s="3" t="str">
        <f>VLOOKUP(B1989,LifeList!$E$2:$G$2038,2)</f>
        <v>Pie-grièche à longue queue</v>
      </c>
      <c r="F1989" s="3" t="str">
        <f>VLOOKUP(B1989,LifeList!$E$2:$G$2038,3)</f>
        <v>Lanius cabanisi</v>
      </c>
      <c r="G1989" s="3" t="str">
        <f>VLOOKUP(B1989,LifeList!$E$2:$I$2038,4)</f>
        <v>Passeriformes</v>
      </c>
      <c r="H1989" s="3" t="str">
        <f>VLOOKUP(B1989,LifeList!$E$2:$I$2038,5)</f>
        <v>Laniidae (Shrikes)</v>
      </c>
      <c r="I1989" s="3"/>
    </row>
    <row r="1990" spans="1:9" ht="10.5" customHeight="1">
      <c r="A1990" s="3" t="s">
        <v>2817</v>
      </c>
      <c r="B1990" s="3" t="s">
        <v>2818</v>
      </c>
      <c r="C1990" s="3">
        <f>VLOOKUP(B1990,LifeList!$E$2:$J$2038,6)</f>
        <v>10373</v>
      </c>
      <c r="D1990" s="3" t="str">
        <f>VLOOKUP(B1990,LifeList!$E$2:$G$2038,1)</f>
        <v>Long-tailed Ground-Roller</v>
      </c>
      <c r="E1990" s="3" t="str">
        <f>VLOOKUP(B1990,LifeList!$E$2:$G$2038,2)</f>
        <v>Brachyptérolle à longue queue</v>
      </c>
      <c r="F1990" s="3" t="str">
        <f>VLOOKUP(B1990,LifeList!$E$2:$G$2038,3)</f>
        <v>Uratelornis chimaera</v>
      </c>
      <c r="G1990" s="3" t="str">
        <f>VLOOKUP(B1990,LifeList!$E$2:$I$2038,4)</f>
        <v>Coraciiformes</v>
      </c>
      <c r="H1990" s="3" t="str">
        <f>VLOOKUP(B1990,LifeList!$E$2:$I$2038,5)</f>
        <v>Brachypteraciidae (Ground-Rollers)</v>
      </c>
      <c r="I1990" s="3"/>
    </row>
    <row r="1991" spans="1:9" ht="10.5" customHeight="1">
      <c r="A1991" s="3" t="s">
        <v>2819</v>
      </c>
      <c r="B1991" s="3" t="s">
        <v>2818</v>
      </c>
      <c r="C1991" s="3">
        <f>VLOOKUP(B1991,LifeList!$E$2:$J$2038,6)</f>
        <v>10373</v>
      </c>
      <c r="D1991" s="3" t="str">
        <f>VLOOKUP(B1991,LifeList!$E$2:$G$2038,1)</f>
        <v>Long-tailed Ground-Roller</v>
      </c>
      <c r="E1991" s="3" t="str">
        <f>VLOOKUP(B1991,LifeList!$E$2:$G$2038,2)</f>
        <v>Brachyptérolle à longue queue</v>
      </c>
      <c r="F1991" s="3" t="str">
        <f>VLOOKUP(B1991,LifeList!$E$2:$G$2038,3)</f>
        <v>Uratelornis chimaera</v>
      </c>
      <c r="G1991" s="3" t="str">
        <f>VLOOKUP(B1991,LifeList!$E$2:$I$2038,4)</f>
        <v>Coraciiformes</v>
      </c>
      <c r="H1991" s="3" t="str">
        <f>VLOOKUP(B1991,LifeList!$E$2:$I$2038,5)</f>
        <v>Brachypteraciidae (Ground-Rollers)</v>
      </c>
      <c r="I1991" s="3"/>
    </row>
    <row r="1992" spans="1:9" ht="10.5" customHeight="1">
      <c r="A1992" s="3" t="s">
        <v>2820</v>
      </c>
      <c r="B1992" s="3" t="s">
        <v>2821</v>
      </c>
      <c r="C1992" s="3">
        <f>VLOOKUP(B1992,LifeList!$E$2:$J$2038,6)</f>
        <v>29908</v>
      </c>
      <c r="D1992" s="3" t="str">
        <f>VLOOKUP(B1992,LifeList!$E$2:$G$2038,1)</f>
        <v>Long-tailed Silky-flycatcher</v>
      </c>
      <c r="E1992" s="3" t="str">
        <f>VLOOKUP(B1992,LifeList!$E$2:$G$2038,2)</f>
        <v>Ptilogon à longue queue</v>
      </c>
      <c r="F1992" s="3" t="str">
        <f>VLOOKUP(B1992,LifeList!$E$2:$G$2038,3)</f>
        <v>Ptiliogonys caudatus</v>
      </c>
      <c r="G1992" s="3" t="str">
        <f>VLOOKUP(B1992,LifeList!$E$2:$I$2038,4)</f>
        <v>Passeriformes</v>
      </c>
      <c r="H1992" s="3" t="str">
        <f>VLOOKUP(B1992,LifeList!$E$2:$I$2038,5)</f>
        <v>Ptiliogonatidae (Silky-flycatchers)</v>
      </c>
      <c r="I1992" s="3"/>
    </row>
    <row r="1993" spans="1:9" ht="10.5" customHeight="1">
      <c r="A1993" s="3" t="s">
        <v>2822</v>
      </c>
      <c r="B1993" s="3" t="s">
        <v>2823</v>
      </c>
      <c r="C1993" s="3">
        <f>VLOOKUP(B1993,LifeList!$E$2:$J$2038,6)</f>
        <v>4471</v>
      </c>
      <c r="D1993" s="3" t="str">
        <f>VLOOKUP(B1993,LifeList!$E$2:$G$2038,1)</f>
        <v>Long-tailed Sylph</v>
      </c>
      <c r="E1993" s="3" t="str">
        <f>VLOOKUP(B1993,LifeList!$E$2:$G$2038,2)</f>
        <v>Sylphe à queue d'azur</v>
      </c>
      <c r="F1993" s="3" t="str">
        <f>VLOOKUP(B1993,LifeList!$E$2:$G$2038,3)</f>
        <v>Aglaiocercus kingii</v>
      </c>
      <c r="G1993" s="3" t="str">
        <f>VLOOKUP(B1993,LifeList!$E$2:$I$2038,4)</f>
        <v>Apodiformes</v>
      </c>
      <c r="H1993" s="3" t="str">
        <f>VLOOKUP(B1993,LifeList!$E$2:$I$2038,5)</f>
        <v>Trochilidae (Hummingbirds)</v>
      </c>
      <c r="I1993" s="3"/>
    </row>
    <row r="1994" spans="1:9" ht="10.5" customHeight="1">
      <c r="A1994" s="3" t="s">
        <v>2824</v>
      </c>
      <c r="B1994" s="3" t="s">
        <v>2823</v>
      </c>
      <c r="C1994" s="3">
        <f>VLOOKUP(B1994,LifeList!$E$2:$J$2038,6)</f>
        <v>4471</v>
      </c>
      <c r="D1994" s="3" t="str">
        <f>VLOOKUP(B1994,LifeList!$E$2:$G$2038,1)</f>
        <v>Long-tailed Sylph</v>
      </c>
      <c r="E1994" s="3" t="str">
        <f>VLOOKUP(B1994,LifeList!$E$2:$G$2038,2)</f>
        <v>Sylphe à queue d'azur</v>
      </c>
      <c r="F1994" s="3" t="str">
        <f>VLOOKUP(B1994,LifeList!$E$2:$G$2038,3)</f>
        <v>Aglaiocercus kingii</v>
      </c>
      <c r="G1994" s="3" t="str">
        <f>VLOOKUP(B1994,LifeList!$E$2:$I$2038,4)</f>
        <v>Apodiformes</v>
      </c>
      <c r="H1994" s="3" t="str">
        <f>VLOOKUP(B1994,LifeList!$E$2:$I$2038,5)</f>
        <v>Trochilidae (Hummingbirds)</v>
      </c>
      <c r="I1994" s="3"/>
    </row>
    <row r="1995" spans="1:9" ht="10.5" customHeight="1">
      <c r="A1995" s="3" t="s">
        <v>2825</v>
      </c>
      <c r="B1995" s="3" t="s">
        <v>2826</v>
      </c>
      <c r="C1995" s="3">
        <f>VLOOKUP(B1995,LifeList!$E$2:$J$2038,6)</f>
        <v>17220</v>
      </c>
      <c r="D1995" s="3" t="str">
        <f>VLOOKUP(B1995,LifeList!$E$2:$G$2038,1)</f>
        <v>Long-tailed Tyrant</v>
      </c>
      <c r="E1995" s="3" t="str">
        <f>VLOOKUP(B1995,LifeList!$E$2:$G$2038,2)</f>
        <v>Moucherolle à longs brins</v>
      </c>
      <c r="F1995" s="3" t="str">
        <f>VLOOKUP(B1995,LifeList!$E$2:$G$2038,3)</f>
        <v>Colonia colonus</v>
      </c>
      <c r="G1995" s="3" t="str">
        <f>VLOOKUP(B1995,LifeList!$E$2:$I$2038,4)</f>
        <v>Passeriformes</v>
      </c>
      <c r="H1995" s="3" t="str">
        <f>VLOOKUP(B1995,LifeList!$E$2:$I$2038,5)</f>
        <v>Tyrannidae (Tyrant Flycatchers)</v>
      </c>
      <c r="I1995" s="3"/>
    </row>
    <row r="1996" spans="1:9" ht="10.5" customHeight="1">
      <c r="A1996" s="3" t="s">
        <v>2827</v>
      </c>
      <c r="B1996" s="3" t="s">
        <v>2826</v>
      </c>
      <c r="C1996" s="3">
        <f>VLOOKUP(B1996,LifeList!$E$2:$J$2038,6)</f>
        <v>17220</v>
      </c>
      <c r="D1996" s="3" t="str">
        <f>VLOOKUP(B1996,LifeList!$E$2:$G$2038,1)</f>
        <v>Long-tailed Tyrant</v>
      </c>
      <c r="E1996" s="3" t="str">
        <f>VLOOKUP(B1996,LifeList!$E$2:$G$2038,2)</f>
        <v>Moucherolle à longs brins</v>
      </c>
      <c r="F1996" s="3" t="str">
        <f>VLOOKUP(B1996,LifeList!$E$2:$G$2038,3)</f>
        <v>Colonia colonus</v>
      </c>
      <c r="G1996" s="3" t="str">
        <f>VLOOKUP(B1996,LifeList!$E$2:$I$2038,4)</f>
        <v>Passeriformes</v>
      </c>
      <c r="H1996" s="3" t="str">
        <f>VLOOKUP(B1996,LifeList!$E$2:$I$2038,5)</f>
        <v>Tyrannidae (Tyrant Flycatchers)</v>
      </c>
      <c r="I1996" s="3"/>
    </row>
    <row r="1997" spans="1:9" ht="10.5" customHeight="1">
      <c r="A1997" s="3" t="s">
        <v>2828</v>
      </c>
      <c r="B1997" s="3" t="s">
        <v>2829</v>
      </c>
      <c r="C1997" s="3">
        <f>VLOOKUP(B1997,LifeList!$E$2:$J$2038,6)</f>
        <v>5857</v>
      </c>
      <c r="D1997" s="3" t="str">
        <f>VLOOKUP(B1997,LifeList!$E$2:$G$2038,1)</f>
        <v>Long-toed Lapwing</v>
      </c>
      <c r="E1997" s="3" t="str">
        <f>VLOOKUP(B1997,LifeList!$E$2:$G$2038,2)</f>
        <v>Vanneau à ailes blanches</v>
      </c>
      <c r="F1997" s="3" t="str">
        <f>VLOOKUP(B1997,LifeList!$E$2:$G$2038,3)</f>
        <v>Vanellus crassirostris</v>
      </c>
      <c r="G1997" s="3" t="str">
        <f>VLOOKUP(B1997,LifeList!$E$2:$I$2038,4)</f>
        <v>Charadriiformes</v>
      </c>
      <c r="H1997" s="3" t="str">
        <f>VLOOKUP(B1997,LifeList!$E$2:$I$2038,5)</f>
        <v>Charadriidae (Plovers and Lapwings)</v>
      </c>
      <c r="I1997" s="3"/>
    </row>
    <row r="1998" spans="1:9" ht="10.5" customHeight="1">
      <c r="A1998" s="3" t="s">
        <v>2830</v>
      </c>
      <c r="B1998" s="3" t="s">
        <v>2831</v>
      </c>
      <c r="C1998" s="3">
        <f>VLOOKUP(B1998,LifeList!$E$2:$J$2038,6)</f>
        <v>8318</v>
      </c>
      <c r="D1998" s="3" t="str">
        <f>VLOOKUP(B1998,LifeList!$E$2:$G$2038,1)</f>
        <v>Long-winged Harrier</v>
      </c>
      <c r="E1998" s="3" t="str">
        <f>VLOOKUP(B1998,LifeList!$E$2:$G$2038,2)</f>
        <v>Busard de Buffon</v>
      </c>
      <c r="F1998" s="3" t="str">
        <f>VLOOKUP(B1998,LifeList!$E$2:$G$2038,3)</f>
        <v>Circus buffoni</v>
      </c>
      <c r="G1998" s="3" t="str">
        <f>VLOOKUP(B1998,LifeList!$E$2:$I$2038,4)</f>
        <v>Accipitriformes</v>
      </c>
      <c r="H1998" s="3" t="str">
        <f>VLOOKUP(B1998,LifeList!$E$2:$I$2038,5)</f>
        <v>Accipitridae (Hawks, Eagles, and Kites)</v>
      </c>
      <c r="I1998" s="3"/>
    </row>
    <row r="1999" spans="1:9" ht="10.5" customHeight="1">
      <c r="A1999" s="3" t="s">
        <v>2832</v>
      </c>
      <c r="B1999" s="3" t="s">
        <v>2833</v>
      </c>
      <c r="C1999" s="3">
        <f>VLOOKUP(B1999,LifeList!$E$2:$J$2038,6)</f>
        <v>33952</v>
      </c>
      <c r="D1999" s="3" t="str">
        <f>VLOOKUP(B1999,LifeList!$E$2:$G$2038,1)</f>
        <v>Louisiana Waterthrush</v>
      </c>
      <c r="E1999" s="3" t="str">
        <f>VLOOKUP(B1999,LifeList!$E$2:$G$2038,2)</f>
        <v>Paruline hochequeue</v>
      </c>
      <c r="F1999" s="3" t="str">
        <f>VLOOKUP(B1999,LifeList!$E$2:$G$2038,3)</f>
        <v>Parkesia motacilla</v>
      </c>
      <c r="G1999" s="3" t="str">
        <f>VLOOKUP(B1999,LifeList!$E$2:$I$2038,4)</f>
        <v>Passeriformes</v>
      </c>
      <c r="H1999" s="3" t="str">
        <f>VLOOKUP(B1999,LifeList!$E$2:$I$2038,5)</f>
        <v>Parulidae (New World Warblers)</v>
      </c>
      <c r="I1999" s="3"/>
    </row>
    <row r="2000" spans="1:9" ht="10.5" customHeight="1">
      <c r="A2000" s="3" t="s">
        <v>2834</v>
      </c>
      <c r="B2000" s="3" t="s">
        <v>2835</v>
      </c>
      <c r="C2000" s="3">
        <f>VLOOKUP(B2000,LifeList!$E$2:$J$2038,6)</f>
        <v>23458</v>
      </c>
      <c r="D2000" s="3" t="str">
        <f>VLOOKUP(B2000,LifeList!$E$2:$G$2038,1)</f>
        <v>Luapula Cisticola</v>
      </c>
      <c r="E2000" s="3" t="str">
        <f>VLOOKUP(B2000,LifeList!$E$2:$G$2038,2)</f>
        <v>Cisticole du Luapula</v>
      </c>
      <c r="F2000" s="3" t="str">
        <f>VLOOKUP(B2000,LifeList!$E$2:$G$2038,3)</f>
        <v>Cisticola luapula</v>
      </c>
      <c r="G2000" s="3" t="str">
        <f>VLOOKUP(B2000,LifeList!$E$2:$I$2038,4)</f>
        <v>Passeriformes</v>
      </c>
      <c r="H2000" s="3" t="str">
        <f>VLOOKUP(B2000,LifeList!$E$2:$I$2038,5)</f>
        <v>Cisticolidae (Cisticolas and Allies)</v>
      </c>
      <c r="I2000" s="3"/>
    </row>
    <row r="2001" spans="1:9" ht="10.5" customHeight="1">
      <c r="A2001" s="5" t="s">
        <v>2836</v>
      </c>
      <c r="B2001" s="3" t="s">
        <v>2837</v>
      </c>
      <c r="C2001" s="3">
        <f>VLOOKUP(B2001,LifeList!$E$2:$J$2038,6)</f>
        <v>29008</v>
      </c>
      <c r="D2001" s="3" t="str">
        <f>VLOOKUP(B2001,LifeList!$E$2:$G$2038,1)</f>
        <v>Madagascar Magpie-Robin</v>
      </c>
      <c r="E2001" s="3" t="str">
        <f>VLOOKUP(B2001,LifeList!$E$2:$G$2038,2)</f>
        <v>Shama de Madagascar</v>
      </c>
      <c r="F2001" s="3" t="str">
        <f>VLOOKUP(B2001,LifeList!$E$2:$G$2038,3)</f>
        <v>Copsychus albospecularis</v>
      </c>
      <c r="G2001" s="3" t="str">
        <f>VLOOKUP(B2001,LifeList!$E$2:$I$2038,4)</f>
        <v>Passeriformes</v>
      </c>
      <c r="H2001" s="3" t="str">
        <f>VLOOKUP(B2001,LifeList!$E$2:$I$2038,5)</f>
        <v>Muscicapidae (Old World Flycatchers)</v>
      </c>
      <c r="I2001" s="3"/>
    </row>
    <row r="2002" spans="1:9" ht="10.5" customHeight="1">
      <c r="A2002" s="5" t="s">
        <v>2838</v>
      </c>
      <c r="B2002" s="3" t="s">
        <v>2839</v>
      </c>
      <c r="C2002" s="3">
        <f>VLOOKUP(B2002,LifeList!$E$2:$J$2038,6)</f>
        <v>10011</v>
      </c>
      <c r="D2002" s="3" t="str">
        <f>VLOOKUP(B2002,LifeList!$E$2:$G$2038,1)</f>
        <v>Madagascar Pygmy Kingfisher</v>
      </c>
      <c r="E2002" s="3" t="str">
        <f>VLOOKUP(B2002,LifeList!$E$2:$G$2038,2)</f>
        <v>Martin-pêcheur malgache</v>
      </c>
      <c r="F2002" s="3" t="str">
        <f>VLOOKUP(B2002,LifeList!$E$2:$G$2038,3)</f>
        <v>Corythornis madagascariensis</v>
      </c>
      <c r="G2002" s="3" t="str">
        <f>VLOOKUP(B2002,LifeList!$E$2:$I$2038,4)</f>
        <v>Coraciiformes</v>
      </c>
      <c r="H2002" s="3" t="str">
        <f>VLOOKUP(B2002,LifeList!$E$2:$I$2038,5)</f>
        <v>Alcedinidae (Kingfishers)</v>
      </c>
      <c r="I2002" s="3"/>
    </row>
    <row r="2003" spans="1:9" ht="10.5" customHeight="1">
      <c r="A2003" s="3" t="s">
        <v>2840</v>
      </c>
      <c r="B2003" s="3" t="s">
        <v>2841</v>
      </c>
      <c r="C2003" s="3">
        <f>VLOOKUP(B2003,LifeList!$E$2:$J$2038,6)</f>
        <v>19990</v>
      </c>
      <c r="D2003" s="3" t="str">
        <f>VLOOKUP(B2003,LifeList!$E$2:$G$2038,1)</f>
        <v>Madagascar Blue Vanga</v>
      </c>
      <c r="E2003" s="3" t="str">
        <f>VLOOKUP(B2003,LifeList!$E$2:$G$2038,2)</f>
        <v>Artamie azurée</v>
      </c>
      <c r="F2003" s="3" t="str">
        <f>VLOOKUP(B2003,LifeList!$E$2:$G$2038,3)</f>
        <v>Cyanolanius madagascarinus</v>
      </c>
      <c r="G2003" s="3" t="str">
        <f>VLOOKUP(B2003,LifeList!$E$2:$I$2038,4)</f>
        <v>Passeriformes</v>
      </c>
      <c r="H2003" s="3" t="str">
        <f>VLOOKUP(B2003,LifeList!$E$2:$I$2038,5)</f>
        <v>Vangidae (Vangas, Helmetshrikes, and Allies)</v>
      </c>
      <c r="I2003" s="3"/>
    </row>
    <row r="2004" spans="1:9" ht="10.5" customHeight="1">
      <c r="A2004" s="3" t="s">
        <v>2842</v>
      </c>
      <c r="B2004" s="3" t="s">
        <v>2843</v>
      </c>
      <c r="C2004" s="3">
        <f>VLOOKUP(B2004,LifeList!$E$2:$J$2038,6)</f>
        <v>2620</v>
      </c>
      <c r="D2004" s="3" t="str">
        <f>VLOOKUP(B2004,LifeList!$E$2:$G$2038,1)</f>
        <v>Madagascar Blue-Pigeon</v>
      </c>
      <c r="E2004" s="3" t="str">
        <f>VLOOKUP(B2004,LifeList!$E$2:$G$2038,2)</f>
        <v>Founingo bleu</v>
      </c>
      <c r="F2004" s="3" t="str">
        <f>VLOOKUP(B2004,LifeList!$E$2:$G$2038,3)</f>
        <v>Alectroenas madagascariensis</v>
      </c>
      <c r="G2004" s="3" t="str">
        <f>VLOOKUP(B2004,LifeList!$E$2:$I$2038,4)</f>
        <v>Columbiformes</v>
      </c>
      <c r="H2004" s="3" t="str">
        <f>VLOOKUP(B2004,LifeList!$E$2:$I$2038,5)</f>
        <v>Columbidae (Pigeons and Doves)</v>
      </c>
      <c r="I2004" s="3"/>
    </row>
    <row r="2005" spans="1:9" ht="10.5" customHeight="1">
      <c r="A2005" s="3" t="s">
        <v>2844</v>
      </c>
      <c r="B2005" s="3" t="s">
        <v>2843</v>
      </c>
      <c r="C2005" s="3">
        <f>VLOOKUP(B2005,LifeList!$E$2:$J$2038,6)</f>
        <v>2620</v>
      </c>
      <c r="D2005" s="3" t="str">
        <f>VLOOKUP(B2005,LifeList!$E$2:$G$2038,1)</f>
        <v>Madagascar Blue-Pigeon</v>
      </c>
      <c r="E2005" s="3" t="str">
        <f>VLOOKUP(B2005,LifeList!$E$2:$G$2038,2)</f>
        <v>Founingo bleu</v>
      </c>
      <c r="F2005" s="3" t="str">
        <f>VLOOKUP(B2005,LifeList!$E$2:$G$2038,3)</f>
        <v>Alectroenas madagascariensis</v>
      </c>
      <c r="G2005" s="3" t="str">
        <f>VLOOKUP(B2005,LifeList!$E$2:$I$2038,4)</f>
        <v>Columbiformes</v>
      </c>
      <c r="H2005" s="3" t="str">
        <f>VLOOKUP(B2005,LifeList!$E$2:$I$2038,5)</f>
        <v>Columbidae (Pigeons and Doves)</v>
      </c>
      <c r="I2005" s="3"/>
    </row>
    <row r="2006" spans="1:9" ht="10.5" customHeight="1">
      <c r="A2006" s="3" t="s">
        <v>2845</v>
      </c>
      <c r="B2006" s="3" t="s">
        <v>2846</v>
      </c>
      <c r="C2006" s="3">
        <f>VLOOKUP(B2006,LifeList!$E$2:$J$2038,6)</f>
        <v>6302</v>
      </c>
      <c r="D2006" s="3" t="str">
        <f>VLOOKUP(B2006,LifeList!$E$2:$G$2038,1)</f>
        <v>Madagascar Buttonquail</v>
      </c>
      <c r="E2006" s="3" t="str">
        <f>VLOOKUP(B2006,LifeList!$E$2:$G$2038,2)</f>
        <v>Turnix de Madagascar</v>
      </c>
      <c r="F2006" s="3" t="str">
        <f>VLOOKUP(B2006,LifeList!$E$2:$G$2038,3)</f>
        <v>Turnix nigricollis</v>
      </c>
      <c r="G2006" s="3" t="str">
        <f>VLOOKUP(B2006,LifeList!$E$2:$I$2038,4)</f>
        <v>Charadriiformes</v>
      </c>
      <c r="H2006" s="3" t="str">
        <f>VLOOKUP(B2006,LifeList!$E$2:$I$2038,5)</f>
        <v>Turnicidae (Buttonquail)</v>
      </c>
      <c r="I2006" s="3"/>
    </row>
    <row r="2007" spans="1:9" ht="10.5" customHeight="1">
      <c r="A2007" s="3" t="s">
        <v>2847</v>
      </c>
      <c r="B2007" s="3" t="s">
        <v>2846</v>
      </c>
      <c r="C2007" s="3">
        <f>VLOOKUP(B2007,LifeList!$E$2:$J$2038,6)</f>
        <v>6302</v>
      </c>
      <c r="D2007" s="3" t="str">
        <f>VLOOKUP(B2007,LifeList!$E$2:$G$2038,1)</f>
        <v>Madagascar Buttonquail</v>
      </c>
      <c r="E2007" s="3" t="str">
        <f>VLOOKUP(B2007,LifeList!$E$2:$G$2038,2)</f>
        <v>Turnix de Madagascar</v>
      </c>
      <c r="F2007" s="3" t="str">
        <f>VLOOKUP(B2007,LifeList!$E$2:$G$2038,3)</f>
        <v>Turnix nigricollis</v>
      </c>
      <c r="G2007" s="3" t="str">
        <f>VLOOKUP(B2007,LifeList!$E$2:$I$2038,4)</f>
        <v>Charadriiformes</v>
      </c>
      <c r="H2007" s="3" t="str">
        <f>VLOOKUP(B2007,LifeList!$E$2:$I$2038,5)</f>
        <v>Turnicidae (Buttonquail)</v>
      </c>
      <c r="I2007" s="3"/>
    </row>
    <row r="2008" spans="1:9" ht="10.5" customHeight="1">
      <c r="A2008" s="3" t="s">
        <v>2848</v>
      </c>
      <c r="B2008" s="3" t="s">
        <v>2846</v>
      </c>
      <c r="C2008" s="3">
        <f>VLOOKUP(B2008,LifeList!$E$2:$J$2038,6)</f>
        <v>6302</v>
      </c>
      <c r="D2008" s="3" t="str">
        <f>VLOOKUP(B2008,LifeList!$E$2:$G$2038,1)</f>
        <v>Madagascar Buttonquail</v>
      </c>
      <c r="E2008" s="3" t="str">
        <f>VLOOKUP(B2008,LifeList!$E$2:$G$2038,2)</f>
        <v>Turnix de Madagascar</v>
      </c>
      <c r="F2008" s="3" t="str">
        <f>VLOOKUP(B2008,LifeList!$E$2:$G$2038,3)</f>
        <v>Turnix nigricollis</v>
      </c>
      <c r="G2008" s="3" t="str">
        <f>VLOOKUP(B2008,LifeList!$E$2:$I$2038,4)</f>
        <v>Charadriiformes</v>
      </c>
      <c r="H2008" s="3" t="str">
        <f>VLOOKUP(B2008,LifeList!$E$2:$I$2038,5)</f>
        <v>Turnicidae (Buttonquail)</v>
      </c>
      <c r="I2008" s="3"/>
    </row>
    <row r="2009" spans="1:9" ht="10.5" customHeight="1">
      <c r="A2009" s="3" t="s">
        <v>2849</v>
      </c>
      <c r="B2009" s="3" t="s">
        <v>2850</v>
      </c>
      <c r="C2009" s="3">
        <f>VLOOKUP(B2009,LifeList!$E$2:$J$2038,6)</f>
        <v>8554</v>
      </c>
      <c r="D2009" s="3" t="str">
        <f>VLOOKUP(B2009,LifeList!$E$2:$G$2038,1)</f>
        <v>Madagascar Buzzard</v>
      </c>
      <c r="E2009" s="3" t="str">
        <f>VLOOKUP(B2009,LifeList!$E$2:$G$2038,2)</f>
        <v>Buse de Madagascar</v>
      </c>
      <c r="F2009" s="3" t="str">
        <f>VLOOKUP(B2009,LifeList!$E$2:$G$2038,3)</f>
        <v>Buteo brachypterus</v>
      </c>
      <c r="G2009" s="3" t="str">
        <f>VLOOKUP(B2009,LifeList!$E$2:$I$2038,4)</f>
        <v>Accipitriformes</v>
      </c>
      <c r="H2009" s="3" t="str">
        <f>VLOOKUP(B2009,LifeList!$E$2:$I$2038,5)</f>
        <v>Accipitridae (Hawks, Eagles, and Kites)</v>
      </c>
      <c r="I2009" s="3"/>
    </row>
    <row r="2010" spans="1:9" ht="10.5" customHeight="1">
      <c r="A2010" s="3" t="s">
        <v>2851</v>
      </c>
      <c r="B2010" s="3" t="s">
        <v>2852</v>
      </c>
      <c r="C2010" s="3">
        <f>VLOOKUP(B2010,LifeList!$E$2:$J$2038,6)</f>
        <v>23550</v>
      </c>
      <c r="D2010" s="3" t="str">
        <f>VLOOKUP(B2010,LifeList!$E$2:$G$2038,1)</f>
        <v>Madagascar Cisticola</v>
      </c>
      <c r="E2010" s="3" t="str">
        <f>VLOOKUP(B2010,LifeList!$E$2:$G$2038,2)</f>
        <v>Cisticole malgache</v>
      </c>
      <c r="F2010" s="3" t="str">
        <f>VLOOKUP(B2010,LifeList!$E$2:$G$2038,3)</f>
        <v>Cisticola cherina</v>
      </c>
      <c r="G2010" s="3" t="str">
        <f>VLOOKUP(B2010,LifeList!$E$2:$I$2038,4)</f>
        <v>Passeriformes</v>
      </c>
      <c r="H2010" s="3" t="str">
        <f>VLOOKUP(B2010,LifeList!$E$2:$I$2038,5)</f>
        <v>Cisticolidae (Cisticolas and Allies)</v>
      </c>
      <c r="I2010" s="3"/>
    </row>
    <row r="2011" spans="1:9" ht="10.5" customHeight="1">
      <c r="A2011" s="3" t="s">
        <v>2853</v>
      </c>
      <c r="B2011" s="3" t="s">
        <v>2854</v>
      </c>
      <c r="C2011" s="3">
        <f>VLOOKUP(B2011,LifeList!$E$2:$J$2038,6)</f>
        <v>3439</v>
      </c>
      <c r="D2011" s="3" t="str">
        <f>VLOOKUP(B2011,LifeList!$E$2:$G$2038,1)</f>
        <v>Madagascar Cuckoo</v>
      </c>
      <c r="E2011" s="3" t="str">
        <f>VLOOKUP(B2011,LifeList!$E$2:$G$2038,2)</f>
        <v>Coucou de Madagascar</v>
      </c>
      <c r="F2011" s="3" t="str">
        <f>VLOOKUP(B2011,LifeList!$E$2:$G$2038,3)</f>
        <v>Cuculus rochii</v>
      </c>
      <c r="G2011" s="3" t="str">
        <f>VLOOKUP(B2011,LifeList!$E$2:$I$2038,4)</f>
        <v>Cuculiformes</v>
      </c>
      <c r="H2011" s="3" t="str">
        <f>VLOOKUP(B2011,LifeList!$E$2:$I$2038,5)</f>
        <v>Cuculidae (Cuckoos)</v>
      </c>
      <c r="I2011" s="3"/>
    </row>
    <row r="2012" spans="1:9" ht="10.5" customHeight="1">
      <c r="A2012" s="3" t="s">
        <v>2855</v>
      </c>
      <c r="B2012" s="3" t="s">
        <v>2854</v>
      </c>
      <c r="C2012" s="3">
        <f>VLOOKUP(B2012,LifeList!$E$2:$J$2038,6)</f>
        <v>3439</v>
      </c>
      <c r="D2012" s="3" t="str">
        <f>VLOOKUP(B2012,LifeList!$E$2:$G$2038,1)</f>
        <v>Madagascar Cuckoo</v>
      </c>
      <c r="E2012" s="3" t="str">
        <f>VLOOKUP(B2012,LifeList!$E$2:$G$2038,2)</f>
        <v>Coucou de Madagascar</v>
      </c>
      <c r="F2012" s="3" t="str">
        <f>VLOOKUP(B2012,LifeList!$E$2:$G$2038,3)</f>
        <v>Cuculus rochii</v>
      </c>
      <c r="G2012" s="3" t="str">
        <f>VLOOKUP(B2012,LifeList!$E$2:$I$2038,4)</f>
        <v>Cuculiformes</v>
      </c>
      <c r="H2012" s="3" t="str">
        <f>VLOOKUP(B2012,LifeList!$E$2:$I$2038,5)</f>
        <v>Cuculidae (Cuckoos)</v>
      </c>
      <c r="I2012" s="3"/>
    </row>
    <row r="2013" spans="1:9" ht="10.5" customHeight="1">
      <c r="A2013" s="3" t="s">
        <v>2856</v>
      </c>
      <c r="B2013" s="3" t="s">
        <v>2854</v>
      </c>
      <c r="C2013" s="3">
        <f>VLOOKUP(B2013,LifeList!$E$2:$J$2038,6)</f>
        <v>3439</v>
      </c>
      <c r="D2013" s="3" t="str">
        <f>VLOOKUP(B2013,LifeList!$E$2:$G$2038,1)</f>
        <v>Madagascar Cuckoo</v>
      </c>
      <c r="E2013" s="3" t="str">
        <f>VLOOKUP(B2013,LifeList!$E$2:$G$2038,2)</f>
        <v>Coucou de Madagascar</v>
      </c>
      <c r="F2013" s="3" t="str">
        <f>VLOOKUP(B2013,LifeList!$E$2:$G$2038,3)</f>
        <v>Cuculus rochii</v>
      </c>
      <c r="G2013" s="3" t="str">
        <f>VLOOKUP(B2013,LifeList!$E$2:$I$2038,4)</f>
        <v>Cuculiformes</v>
      </c>
      <c r="H2013" s="3" t="str">
        <f>VLOOKUP(B2013,LifeList!$E$2:$I$2038,5)</f>
        <v>Cuculidae (Cuckoos)</v>
      </c>
      <c r="I2013" s="3"/>
    </row>
    <row r="2014" spans="1:9" ht="10.5" customHeight="1">
      <c r="A2014" s="3" t="s">
        <v>2857</v>
      </c>
      <c r="B2014" s="3" t="s">
        <v>2858</v>
      </c>
      <c r="C2014" s="3">
        <f>VLOOKUP(B2014,LifeList!$E$2:$J$2038,6)</f>
        <v>7857</v>
      </c>
      <c r="D2014" s="3" t="str">
        <f>VLOOKUP(B2014,LifeList!$E$2:$G$2038,1)</f>
        <v>Madagascar Harrier-Hawk</v>
      </c>
      <c r="E2014" s="3" t="str">
        <f>VLOOKUP(B2014,LifeList!$E$2:$G$2038,2)</f>
        <v>Gymnogène de Madagascar</v>
      </c>
      <c r="F2014" s="3" t="str">
        <f>VLOOKUP(B2014,LifeList!$E$2:$G$2038,3)</f>
        <v>Polyboroides radiatus</v>
      </c>
      <c r="G2014" s="3" t="str">
        <f>VLOOKUP(B2014,LifeList!$E$2:$I$2038,4)</f>
        <v>Accipitriformes</v>
      </c>
      <c r="H2014" s="3" t="str">
        <f>VLOOKUP(B2014,LifeList!$E$2:$I$2038,5)</f>
        <v>Accipitridae (Hawks, Eagles, and Kites)</v>
      </c>
      <c r="I2014" s="3"/>
    </row>
    <row r="2015" spans="1:9" ht="10.5" customHeight="1">
      <c r="A2015" s="3" t="s">
        <v>2859</v>
      </c>
      <c r="B2015" s="3" t="s">
        <v>2858</v>
      </c>
      <c r="C2015" s="3">
        <f>VLOOKUP(B2015,LifeList!$E$2:$J$2038,6)</f>
        <v>7857</v>
      </c>
      <c r="D2015" s="3" t="str">
        <f>VLOOKUP(B2015,LifeList!$E$2:$G$2038,1)</f>
        <v>Madagascar Harrier-Hawk</v>
      </c>
      <c r="E2015" s="3" t="str">
        <f>VLOOKUP(B2015,LifeList!$E$2:$G$2038,2)</f>
        <v>Gymnogène de Madagascar</v>
      </c>
      <c r="F2015" s="3" t="str">
        <f>VLOOKUP(B2015,LifeList!$E$2:$G$2038,3)</f>
        <v>Polyboroides radiatus</v>
      </c>
      <c r="G2015" s="3" t="str">
        <f>VLOOKUP(B2015,LifeList!$E$2:$I$2038,4)</f>
        <v>Accipitriformes</v>
      </c>
      <c r="H2015" s="3" t="str">
        <f>VLOOKUP(B2015,LifeList!$E$2:$I$2038,5)</f>
        <v>Accipitridae (Hawks, Eagles, and Kites)</v>
      </c>
      <c r="I2015" s="3"/>
    </row>
    <row r="2016" spans="1:9" ht="10.5" customHeight="1">
      <c r="A2016" s="3" t="s">
        <v>2860</v>
      </c>
      <c r="B2016" s="3" t="s">
        <v>2858</v>
      </c>
      <c r="C2016" s="3">
        <f>VLOOKUP(B2016,LifeList!$E$2:$J$2038,6)</f>
        <v>7857</v>
      </c>
      <c r="D2016" s="3" t="str">
        <f>VLOOKUP(B2016,LifeList!$E$2:$G$2038,1)</f>
        <v>Madagascar Harrier-Hawk</v>
      </c>
      <c r="E2016" s="3" t="str">
        <f>VLOOKUP(B2016,LifeList!$E$2:$G$2038,2)</f>
        <v>Gymnogène de Madagascar</v>
      </c>
      <c r="F2016" s="3" t="str">
        <f>VLOOKUP(B2016,LifeList!$E$2:$G$2038,3)</f>
        <v>Polyboroides radiatus</v>
      </c>
      <c r="G2016" s="3" t="str">
        <f>VLOOKUP(B2016,LifeList!$E$2:$I$2038,4)</f>
        <v>Accipitriformes</v>
      </c>
      <c r="H2016" s="3" t="str">
        <f>VLOOKUP(B2016,LifeList!$E$2:$I$2038,5)</f>
        <v>Accipitridae (Hawks, Eagles, and Kites)</v>
      </c>
      <c r="I2016" s="3"/>
    </row>
    <row r="2017" spans="1:9" ht="10.5" customHeight="1">
      <c r="A2017" s="3" t="s">
        <v>2861</v>
      </c>
      <c r="B2017" s="3" t="s">
        <v>2858</v>
      </c>
      <c r="C2017" s="3">
        <f>VLOOKUP(B2017,LifeList!$E$2:$J$2038,6)</f>
        <v>7857</v>
      </c>
      <c r="D2017" s="3" t="str">
        <f>VLOOKUP(B2017,LifeList!$E$2:$G$2038,1)</f>
        <v>Madagascar Harrier-Hawk</v>
      </c>
      <c r="E2017" s="3" t="str">
        <f>VLOOKUP(B2017,LifeList!$E$2:$G$2038,2)</f>
        <v>Gymnogène de Madagascar</v>
      </c>
      <c r="F2017" s="3" t="str">
        <f>VLOOKUP(B2017,LifeList!$E$2:$G$2038,3)</f>
        <v>Polyboroides radiatus</v>
      </c>
      <c r="G2017" s="3" t="str">
        <f>VLOOKUP(B2017,LifeList!$E$2:$I$2038,4)</f>
        <v>Accipitriformes</v>
      </c>
      <c r="H2017" s="3" t="str">
        <f>VLOOKUP(B2017,LifeList!$E$2:$I$2038,5)</f>
        <v>Accipitridae (Hawks, Eagles, and Kites)</v>
      </c>
      <c r="I2017" s="3"/>
    </row>
    <row r="2018" spans="1:9" ht="10.5" customHeight="1">
      <c r="A2018" s="3" t="s">
        <v>2862</v>
      </c>
      <c r="B2018" s="3" t="s">
        <v>2863</v>
      </c>
      <c r="C2018" s="3">
        <f>VLOOKUP(B2018,LifeList!$E$2:$J$2038,6)</f>
        <v>9615</v>
      </c>
      <c r="D2018" s="3" t="str">
        <f>VLOOKUP(B2018,LifeList!$E$2:$G$2038,1)</f>
        <v>Madagascar Hoopoe</v>
      </c>
      <c r="E2018" s="3" t="str">
        <f>VLOOKUP(B2018,LifeList!$E$2:$G$2038,2)</f>
        <v>Huppe de Madagascar</v>
      </c>
      <c r="F2018" s="3" t="str">
        <f>VLOOKUP(B2018,LifeList!$E$2:$G$2038,3)</f>
        <v>Upupa marginata</v>
      </c>
      <c r="G2018" s="3" t="str">
        <f>VLOOKUP(B2018,LifeList!$E$2:$I$2038,4)</f>
        <v>Bucerotiformes</v>
      </c>
      <c r="H2018" s="3" t="str">
        <f>VLOOKUP(B2018,LifeList!$E$2:$I$2038,5)</f>
        <v>Upupidae (Hoopoes)</v>
      </c>
      <c r="I2018" s="3"/>
    </row>
    <row r="2019" spans="1:9" ht="10.5" customHeight="1">
      <c r="A2019" s="3" t="s">
        <v>2864</v>
      </c>
      <c r="B2019" s="3" t="s">
        <v>2863</v>
      </c>
      <c r="C2019" s="3">
        <f>VLOOKUP(B2019,LifeList!$E$2:$J$2038,6)</f>
        <v>9615</v>
      </c>
      <c r="D2019" s="3" t="str">
        <f>VLOOKUP(B2019,LifeList!$E$2:$G$2038,1)</f>
        <v>Madagascar Hoopoe</v>
      </c>
      <c r="E2019" s="3" t="str">
        <f>VLOOKUP(B2019,LifeList!$E$2:$G$2038,2)</f>
        <v>Huppe de Madagascar</v>
      </c>
      <c r="F2019" s="3" t="str">
        <f>VLOOKUP(B2019,LifeList!$E$2:$G$2038,3)</f>
        <v>Upupa marginata</v>
      </c>
      <c r="G2019" s="3" t="str">
        <f>VLOOKUP(B2019,LifeList!$E$2:$I$2038,4)</f>
        <v>Bucerotiformes</v>
      </c>
      <c r="H2019" s="3" t="str">
        <f>VLOOKUP(B2019,LifeList!$E$2:$I$2038,5)</f>
        <v>Upupidae (Hoopoes)</v>
      </c>
      <c r="I2019" s="3"/>
    </row>
    <row r="2020" spans="1:9" ht="10.5" customHeight="1">
      <c r="A2020" s="3" t="s">
        <v>2865</v>
      </c>
      <c r="B2020" s="3" t="s">
        <v>2863</v>
      </c>
      <c r="C2020" s="3">
        <f>VLOOKUP(B2020,LifeList!$E$2:$J$2038,6)</f>
        <v>9615</v>
      </c>
      <c r="D2020" s="3" t="str">
        <f>VLOOKUP(B2020,LifeList!$E$2:$G$2038,1)</f>
        <v>Madagascar Hoopoe</v>
      </c>
      <c r="E2020" s="3" t="str">
        <f>VLOOKUP(B2020,LifeList!$E$2:$G$2038,2)</f>
        <v>Huppe de Madagascar</v>
      </c>
      <c r="F2020" s="3" t="str">
        <f>VLOOKUP(B2020,LifeList!$E$2:$G$2038,3)</f>
        <v>Upupa marginata</v>
      </c>
      <c r="G2020" s="3" t="str">
        <f>VLOOKUP(B2020,LifeList!$E$2:$I$2038,4)</f>
        <v>Bucerotiformes</v>
      </c>
      <c r="H2020" s="3" t="str">
        <f>VLOOKUP(B2020,LifeList!$E$2:$I$2038,5)</f>
        <v>Upupidae (Hoopoes)</v>
      </c>
      <c r="I2020" s="3"/>
    </row>
    <row r="2021" spans="1:9" ht="10.5" customHeight="1">
      <c r="A2021" s="3" t="s">
        <v>2866</v>
      </c>
      <c r="B2021" s="3" t="s">
        <v>2867</v>
      </c>
      <c r="C2021" s="3">
        <f>VLOOKUP(B2021,LifeList!$E$2:$J$2038,6)</f>
        <v>7473</v>
      </c>
      <c r="D2021" s="3" t="str">
        <f>VLOOKUP(B2021,LifeList!$E$2:$G$2038,1)</f>
        <v>Madagascar Ibis</v>
      </c>
      <c r="E2021" s="3" t="str">
        <f>VLOOKUP(B2021,LifeList!$E$2:$G$2038,2)</f>
        <v>Ibis huppé</v>
      </c>
      <c r="F2021" s="3" t="str">
        <f>VLOOKUP(B2021,LifeList!$E$2:$G$2038,3)</f>
        <v>Lophotibis cristata</v>
      </c>
      <c r="G2021" s="3" t="str">
        <f>VLOOKUP(B2021,LifeList!$E$2:$I$2038,4)</f>
        <v>Pelecaniformes</v>
      </c>
      <c r="H2021" s="3" t="str">
        <f>VLOOKUP(B2021,LifeList!$E$2:$I$2038,5)</f>
        <v>Threskiornithidae (Ibises and Spoonbills)</v>
      </c>
      <c r="I2021" s="3"/>
    </row>
    <row r="2022" spans="1:9" ht="10.5" customHeight="1">
      <c r="A2022" s="3" t="s">
        <v>2868</v>
      </c>
      <c r="B2022" s="3" t="s">
        <v>2869</v>
      </c>
      <c r="C2022" s="3">
        <f>VLOOKUP(B2022,LifeList!$E$2:$J$2038,6)</f>
        <v>22407</v>
      </c>
      <c r="D2022" s="3" t="str">
        <f>VLOOKUP(B2022,LifeList!$E$2:$G$2038,1)</f>
        <v>Madagascar Lark</v>
      </c>
      <c r="E2022" s="3" t="str">
        <f>VLOOKUP(B2022,LifeList!$E$2:$G$2038,2)</f>
        <v>Moinelette malgache</v>
      </c>
      <c r="F2022" s="3" t="str">
        <f>VLOOKUP(B2022,LifeList!$E$2:$G$2038,3)</f>
        <v>Eremopterix hova</v>
      </c>
      <c r="G2022" s="3" t="str">
        <f>VLOOKUP(B2022,LifeList!$E$2:$I$2038,4)</f>
        <v>Passeriformes</v>
      </c>
      <c r="H2022" s="3" t="str">
        <f>VLOOKUP(B2022,LifeList!$E$2:$I$2038,5)</f>
        <v>Alaudidae (Larks)</v>
      </c>
      <c r="I2022" s="3"/>
    </row>
    <row r="2023" spans="1:9" ht="10.5" customHeight="1">
      <c r="A2023" s="3" t="s">
        <v>2870</v>
      </c>
      <c r="B2023" s="3" t="s">
        <v>2869</v>
      </c>
      <c r="C2023" s="3">
        <f>VLOOKUP(B2023,LifeList!$E$2:$J$2038,6)</f>
        <v>22407</v>
      </c>
      <c r="D2023" s="3" t="str">
        <f>VLOOKUP(B2023,LifeList!$E$2:$G$2038,1)</f>
        <v>Madagascar Lark</v>
      </c>
      <c r="E2023" s="3" t="str">
        <f>VLOOKUP(B2023,LifeList!$E$2:$G$2038,2)</f>
        <v>Moinelette malgache</v>
      </c>
      <c r="F2023" s="3" t="str">
        <f>VLOOKUP(B2023,LifeList!$E$2:$G$2038,3)</f>
        <v>Eremopterix hova</v>
      </c>
      <c r="G2023" s="3" t="str">
        <f>VLOOKUP(B2023,LifeList!$E$2:$I$2038,4)</f>
        <v>Passeriformes</v>
      </c>
      <c r="H2023" s="3" t="str">
        <f>VLOOKUP(B2023,LifeList!$E$2:$I$2038,5)</f>
        <v>Alaudidae (Larks)</v>
      </c>
      <c r="I2023" s="3"/>
    </row>
    <row r="2024" spans="1:9" ht="10.5" customHeight="1">
      <c r="A2024" s="3" t="s">
        <v>2871</v>
      </c>
      <c r="B2024" s="3" t="s">
        <v>2869</v>
      </c>
      <c r="C2024" s="3">
        <f>VLOOKUP(B2024,LifeList!$E$2:$J$2038,6)</f>
        <v>22407</v>
      </c>
      <c r="D2024" s="3" t="str">
        <f>VLOOKUP(B2024,LifeList!$E$2:$G$2038,1)</f>
        <v>Madagascar Lark</v>
      </c>
      <c r="E2024" s="3" t="str">
        <f>VLOOKUP(B2024,LifeList!$E$2:$G$2038,2)</f>
        <v>Moinelette malgache</v>
      </c>
      <c r="F2024" s="3" t="str">
        <f>VLOOKUP(B2024,LifeList!$E$2:$G$2038,3)</f>
        <v>Eremopterix hova</v>
      </c>
      <c r="G2024" s="3" t="str">
        <f>VLOOKUP(B2024,LifeList!$E$2:$I$2038,4)</f>
        <v>Passeriformes</v>
      </c>
      <c r="H2024" s="3" t="str">
        <f>VLOOKUP(B2024,LifeList!$E$2:$I$2038,5)</f>
        <v>Alaudidae (Larks)</v>
      </c>
      <c r="I2024" s="3"/>
    </row>
    <row r="2025" spans="1:9" ht="10.5" customHeight="1">
      <c r="A2025" s="3" t="s">
        <v>2872</v>
      </c>
      <c r="B2025" s="3" t="s">
        <v>2869</v>
      </c>
      <c r="C2025" s="3">
        <f>VLOOKUP(B2025,LifeList!$E$2:$J$2038,6)</f>
        <v>22407</v>
      </c>
      <c r="D2025" s="3" t="str">
        <f>VLOOKUP(B2025,LifeList!$E$2:$G$2038,1)</f>
        <v>Madagascar Lark</v>
      </c>
      <c r="E2025" s="3" t="str">
        <f>VLOOKUP(B2025,LifeList!$E$2:$G$2038,2)</f>
        <v>Moinelette malgache</v>
      </c>
      <c r="F2025" s="3" t="str">
        <f>VLOOKUP(B2025,LifeList!$E$2:$G$2038,3)</f>
        <v>Eremopterix hova</v>
      </c>
      <c r="G2025" s="3" t="str">
        <f>VLOOKUP(B2025,LifeList!$E$2:$I$2038,4)</f>
        <v>Passeriformes</v>
      </c>
      <c r="H2025" s="3" t="str">
        <f>VLOOKUP(B2025,LifeList!$E$2:$I$2038,5)</f>
        <v>Alaudidae (Larks)</v>
      </c>
      <c r="I2025" s="3"/>
    </row>
    <row r="2026" spans="1:9" ht="10.5" customHeight="1">
      <c r="A2026" s="3" t="s">
        <v>2873</v>
      </c>
      <c r="B2026" s="3" t="s">
        <v>2869</v>
      </c>
      <c r="C2026" s="3">
        <f>VLOOKUP(B2026,LifeList!$E$2:$J$2038,6)</f>
        <v>22407</v>
      </c>
      <c r="D2026" s="3" t="str">
        <f>VLOOKUP(B2026,LifeList!$E$2:$G$2038,1)</f>
        <v>Madagascar Lark</v>
      </c>
      <c r="E2026" s="3" t="str">
        <f>VLOOKUP(B2026,LifeList!$E$2:$G$2038,2)</f>
        <v>Moinelette malgache</v>
      </c>
      <c r="F2026" s="3" t="str">
        <f>VLOOKUP(B2026,LifeList!$E$2:$G$2038,3)</f>
        <v>Eremopterix hova</v>
      </c>
      <c r="G2026" s="3" t="str">
        <f>VLOOKUP(B2026,LifeList!$E$2:$I$2038,4)</f>
        <v>Passeriformes</v>
      </c>
      <c r="H2026" s="3" t="str">
        <f>VLOOKUP(B2026,LifeList!$E$2:$I$2038,5)</f>
        <v>Alaudidae (Larks)</v>
      </c>
      <c r="I2026" s="3"/>
    </row>
    <row r="2027" spans="1:9" ht="10.5" customHeight="1">
      <c r="A2027" s="3" t="s">
        <v>2874</v>
      </c>
      <c r="B2027" s="3" t="s">
        <v>2875</v>
      </c>
      <c r="C2027" s="3">
        <f>VLOOKUP(B2027,LifeList!$E$2:$J$2038,6)</f>
        <v>29008</v>
      </c>
      <c r="D2027" s="3" t="str">
        <f>VLOOKUP(B2027,LifeList!$E$2:$G$2038,1)</f>
        <v>Madagascar Magpie-Robin</v>
      </c>
      <c r="E2027" s="3" t="str">
        <f>VLOOKUP(B2027,LifeList!$E$2:$G$2038,2)</f>
        <v>Shama de Madagascar</v>
      </c>
      <c r="F2027" s="3" t="str">
        <f>VLOOKUP(B2027,LifeList!$E$2:$G$2038,3)</f>
        <v>Copsychus albospecularis</v>
      </c>
      <c r="G2027" s="3" t="str">
        <f>VLOOKUP(B2027,LifeList!$E$2:$I$2038,4)</f>
        <v>Passeriformes</v>
      </c>
      <c r="H2027" s="3" t="str">
        <f>VLOOKUP(B2027,LifeList!$E$2:$I$2038,5)</f>
        <v>Muscicapidae (Old World Flycatchers)</v>
      </c>
      <c r="I2027" s="3"/>
    </row>
    <row r="2028" spans="1:9" ht="10.5" customHeight="1">
      <c r="A2028" s="3" t="s">
        <v>2876</v>
      </c>
      <c r="B2028" s="3" t="s">
        <v>2875</v>
      </c>
      <c r="C2028" s="3">
        <f>VLOOKUP(B2028,LifeList!$E$2:$J$2038,6)</f>
        <v>29008</v>
      </c>
      <c r="D2028" s="3" t="str">
        <f>VLOOKUP(B2028,LifeList!$E$2:$G$2038,1)</f>
        <v>Madagascar Magpie-Robin</v>
      </c>
      <c r="E2028" s="3" t="str">
        <f>VLOOKUP(B2028,LifeList!$E$2:$G$2038,2)</f>
        <v>Shama de Madagascar</v>
      </c>
      <c r="F2028" s="3" t="str">
        <f>VLOOKUP(B2028,LifeList!$E$2:$G$2038,3)</f>
        <v>Copsychus albospecularis</v>
      </c>
      <c r="G2028" s="3" t="str">
        <f>VLOOKUP(B2028,LifeList!$E$2:$I$2038,4)</f>
        <v>Passeriformes</v>
      </c>
      <c r="H2028" s="3" t="str">
        <f>VLOOKUP(B2028,LifeList!$E$2:$I$2038,5)</f>
        <v>Muscicapidae (Old World Flycatchers)</v>
      </c>
      <c r="I2028" s="3"/>
    </row>
    <row r="2029" spans="1:9" ht="10.5" customHeight="1">
      <c r="A2029" s="3" t="s">
        <v>2877</v>
      </c>
      <c r="B2029" s="3" t="s">
        <v>2875</v>
      </c>
      <c r="C2029" s="3">
        <f>VLOOKUP(B2029,LifeList!$E$2:$J$2038,6)</f>
        <v>29008</v>
      </c>
      <c r="D2029" s="3" t="str">
        <f>VLOOKUP(B2029,LifeList!$E$2:$G$2038,1)</f>
        <v>Madagascar Magpie-Robin</v>
      </c>
      <c r="E2029" s="3" t="str">
        <f>VLOOKUP(B2029,LifeList!$E$2:$G$2038,2)</f>
        <v>Shama de Madagascar</v>
      </c>
      <c r="F2029" s="3" t="str">
        <f>VLOOKUP(B2029,LifeList!$E$2:$G$2038,3)</f>
        <v>Copsychus albospecularis</v>
      </c>
      <c r="G2029" s="3" t="str">
        <f>VLOOKUP(B2029,LifeList!$E$2:$I$2038,4)</f>
        <v>Passeriformes</v>
      </c>
      <c r="H2029" s="3" t="str">
        <f>VLOOKUP(B2029,LifeList!$E$2:$I$2038,5)</f>
        <v>Muscicapidae (Old World Flycatchers)</v>
      </c>
      <c r="I2029" s="3"/>
    </row>
    <row r="2030" spans="1:9" ht="10.5" customHeight="1">
      <c r="A2030" s="3" t="s">
        <v>2878</v>
      </c>
      <c r="B2030" s="3" t="s">
        <v>2875</v>
      </c>
      <c r="C2030" s="3">
        <f>VLOOKUP(B2030,LifeList!$E$2:$J$2038,6)</f>
        <v>29008</v>
      </c>
      <c r="D2030" s="3" t="str">
        <f>VLOOKUP(B2030,LifeList!$E$2:$G$2038,1)</f>
        <v>Madagascar Magpie-Robin</v>
      </c>
      <c r="E2030" s="3" t="str">
        <f>VLOOKUP(B2030,LifeList!$E$2:$G$2038,2)</f>
        <v>Shama de Madagascar</v>
      </c>
      <c r="F2030" s="3" t="str">
        <f>VLOOKUP(B2030,LifeList!$E$2:$G$2038,3)</f>
        <v>Copsychus albospecularis</v>
      </c>
      <c r="G2030" s="3" t="str">
        <f>VLOOKUP(B2030,LifeList!$E$2:$I$2038,4)</f>
        <v>Passeriformes</v>
      </c>
      <c r="H2030" s="3" t="str">
        <f>VLOOKUP(B2030,LifeList!$E$2:$I$2038,5)</f>
        <v>Muscicapidae (Old World Flycatchers)</v>
      </c>
      <c r="I2030" s="3"/>
    </row>
    <row r="2031" spans="1:9" ht="10.5" customHeight="1">
      <c r="A2031" s="3" t="s">
        <v>2879</v>
      </c>
      <c r="B2031" s="3" t="s">
        <v>2875</v>
      </c>
      <c r="C2031" s="3">
        <f>VLOOKUP(B2031,LifeList!$E$2:$J$2038,6)</f>
        <v>29008</v>
      </c>
      <c r="D2031" s="3" t="str">
        <f>VLOOKUP(B2031,LifeList!$E$2:$G$2038,1)</f>
        <v>Madagascar Magpie-Robin</v>
      </c>
      <c r="E2031" s="3" t="str">
        <f>VLOOKUP(B2031,LifeList!$E$2:$G$2038,2)</f>
        <v>Shama de Madagascar</v>
      </c>
      <c r="F2031" s="3" t="str">
        <f>VLOOKUP(B2031,LifeList!$E$2:$G$2038,3)</f>
        <v>Copsychus albospecularis</v>
      </c>
      <c r="G2031" s="3" t="str">
        <f>VLOOKUP(B2031,LifeList!$E$2:$I$2038,4)</f>
        <v>Passeriformes</v>
      </c>
      <c r="H2031" s="3" t="str">
        <f>VLOOKUP(B2031,LifeList!$E$2:$I$2038,5)</f>
        <v>Muscicapidae (Old World Flycatchers)</v>
      </c>
      <c r="I2031" s="3"/>
    </row>
    <row r="2032" spans="1:9" ht="10.5" customHeight="1">
      <c r="A2032" s="3" t="s">
        <v>2880</v>
      </c>
      <c r="B2032" s="3" t="s">
        <v>2881</v>
      </c>
      <c r="C2032" s="3">
        <f>VLOOKUP(B2032,LifeList!$E$2:$J$2038,6)</f>
        <v>24045</v>
      </c>
      <c r="D2032" s="3" t="str">
        <f>VLOOKUP(B2032,LifeList!$E$2:$G$2038,1)</f>
        <v>Madagascar Martin</v>
      </c>
      <c r="E2032" s="3" t="str">
        <f>VLOOKUP(B2032,LifeList!$E$2:$G$2038,2)</f>
        <v>Hirondelle de Madagascar</v>
      </c>
      <c r="F2032" s="3" t="str">
        <f>VLOOKUP(B2032,LifeList!$E$2:$G$2038,3)</f>
        <v>Riparia cowani</v>
      </c>
      <c r="G2032" s="3" t="str">
        <f>VLOOKUP(B2032,LifeList!$E$2:$I$2038,4)</f>
        <v>Passeriformes</v>
      </c>
      <c r="H2032" s="3" t="str">
        <f>VLOOKUP(B2032,LifeList!$E$2:$I$2038,5)</f>
        <v>Hirundinidae (Swallows)</v>
      </c>
      <c r="I2032" s="3"/>
    </row>
    <row r="2033" spans="1:9" ht="10.5" customHeight="1">
      <c r="A2033" s="3" t="s">
        <v>2882</v>
      </c>
      <c r="B2033" s="3" t="s">
        <v>2883</v>
      </c>
      <c r="C2033" s="3">
        <f>VLOOKUP(B2033,LifeList!$E$2:$J$2038,6)</f>
        <v>3698</v>
      </c>
      <c r="D2033" s="3" t="str">
        <f>VLOOKUP(B2033,LifeList!$E$2:$G$2038,1)</f>
        <v>Madagascar Nightjar</v>
      </c>
      <c r="E2033" s="3" t="str">
        <f>VLOOKUP(B2033,LifeList!$E$2:$G$2038,2)</f>
        <v>Engoulevent malgache</v>
      </c>
      <c r="F2033" s="3" t="str">
        <f>VLOOKUP(B2033,LifeList!$E$2:$G$2038,3)</f>
        <v>Caprimulgus madagascariensis</v>
      </c>
      <c r="G2033" s="3" t="str">
        <f>VLOOKUP(B2033,LifeList!$E$2:$I$2038,4)</f>
        <v>Caprimulgiformes</v>
      </c>
      <c r="H2033" s="3" t="str">
        <f>VLOOKUP(B2033,LifeList!$E$2:$I$2038,5)</f>
        <v>Caprimulgidae (Nightjars and Allies)</v>
      </c>
      <c r="I2033" s="3"/>
    </row>
    <row r="2034" spans="1:9" ht="10.5" customHeight="1">
      <c r="A2034" s="3" t="s">
        <v>2884</v>
      </c>
      <c r="B2034" s="3" t="s">
        <v>2885</v>
      </c>
      <c r="C2034" s="3">
        <f>VLOOKUP(B2034,LifeList!$E$2:$J$2038,6)</f>
        <v>9263</v>
      </c>
      <c r="D2034" s="3" t="str">
        <f>VLOOKUP(B2034,LifeList!$E$2:$G$2038,1)</f>
        <v>Madagascar Owl</v>
      </c>
      <c r="E2034" s="3" t="str">
        <f>VLOOKUP(B2034,LifeList!$E$2:$G$2038,2)</f>
        <v>Hibou malgache</v>
      </c>
      <c r="F2034" s="3" t="str">
        <f>VLOOKUP(B2034,LifeList!$E$2:$G$2038,3)</f>
        <v>Asio madagascariensis</v>
      </c>
      <c r="G2034" s="3" t="str">
        <f>VLOOKUP(B2034,LifeList!$E$2:$I$2038,4)</f>
        <v>Strigiformes</v>
      </c>
      <c r="H2034" s="3" t="str">
        <f>VLOOKUP(B2034,LifeList!$E$2:$I$2038,5)</f>
        <v>Strigidae (Owls)</v>
      </c>
      <c r="I2034" s="3"/>
    </row>
    <row r="2035" spans="1:9" ht="10.5" customHeight="1">
      <c r="A2035" s="3" t="s">
        <v>2886</v>
      </c>
      <c r="B2035" s="3" t="s">
        <v>2887</v>
      </c>
      <c r="C2035" s="3">
        <f>VLOOKUP(B2035,LifeList!$E$2:$J$2038,6)</f>
        <v>6346</v>
      </c>
      <c r="D2035" s="3" t="str">
        <f>VLOOKUP(B2035,LifeList!$E$2:$G$2038,1)</f>
        <v>Madagascar Pratincole</v>
      </c>
      <c r="E2035" s="3" t="str">
        <f>VLOOKUP(B2035,LifeList!$E$2:$G$2038,2)</f>
        <v>Glaréole malgache</v>
      </c>
      <c r="F2035" s="3" t="str">
        <f>VLOOKUP(B2035,LifeList!$E$2:$G$2038,3)</f>
        <v>Glareola ocularis</v>
      </c>
      <c r="G2035" s="3" t="str">
        <f>VLOOKUP(B2035,LifeList!$E$2:$I$2038,4)</f>
        <v>Charadriiformes</v>
      </c>
      <c r="H2035" s="3" t="str">
        <f>VLOOKUP(B2035,LifeList!$E$2:$I$2038,5)</f>
        <v>Glareolidae (Pratincoles and Coursers)</v>
      </c>
      <c r="I2035" s="3"/>
    </row>
    <row r="2036" spans="1:9" ht="10.5" customHeight="1">
      <c r="A2036" s="3" t="s">
        <v>2888</v>
      </c>
      <c r="B2036" s="3" t="s">
        <v>2887</v>
      </c>
      <c r="C2036" s="3">
        <f>VLOOKUP(B2036,LifeList!$E$2:$J$2038,6)</f>
        <v>6346</v>
      </c>
      <c r="D2036" s="3" t="str">
        <f>VLOOKUP(B2036,LifeList!$E$2:$G$2038,1)</f>
        <v>Madagascar Pratincole</v>
      </c>
      <c r="E2036" s="3" t="str">
        <f>VLOOKUP(B2036,LifeList!$E$2:$G$2038,2)</f>
        <v>Glaréole malgache</v>
      </c>
      <c r="F2036" s="3" t="str">
        <f>VLOOKUP(B2036,LifeList!$E$2:$G$2038,3)</f>
        <v>Glareola ocularis</v>
      </c>
      <c r="G2036" s="3" t="str">
        <f>VLOOKUP(B2036,LifeList!$E$2:$I$2038,4)</f>
        <v>Charadriiformes</v>
      </c>
      <c r="H2036" s="3" t="str">
        <f>VLOOKUP(B2036,LifeList!$E$2:$I$2038,5)</f>
        <v>Glareolidae (Pratincoles and Coursers)</v>
      </c>
      <c r="I2036" s="3"/>
    </row>
    <row r="2037" spans="1:9" ht="10.5" customHeight="1">
      <c r="A2037" s="3" t="s">
        <v>2889</v>
      </c>
      <c r="B2037" s="3" t="s">
        <v>2887</v>
      </c>
      <c r="C2037" s="3">
        <f>VLOOKUP(B2037,LifeList!$E$2:$J$2038,6)</f>
        <v>6346</v>
      </c>
      <c r="D2037" s="3" t="str">
        <f>VLOOKUP(B2037,LifeList!$E$2:$G$2038,1)</f>
        <v>Madagascar Pratincole</v>
      </c>
      <c r="E2037" s="3" t="str">
        <f>VLOOKUP(B2037,LifeList!$E$2:$G$2038,2)</f>
        <v>Glaréole malgache</v>
      </c>
      <c r="F2037" s="3" t="str">
        <f>VLOOKUP(B2037,LifeList!$E$2:$G$2038,3)</f>
        <v>Glareola ocularis</v>
      </c>
      <c r="G2037" s="3" t="str">
        <f>VLOOKUP(B2037,LifeList!$E$2:$I$2038,4)</f>
        <v>Charadriiformes</v>
      </c>
      <c r="H2037" s="3" t="str">
        <f>VLOOKUP(B2037,LifeList!$E$2:$I$2038,5)</f>
        <v>Glareolidae (Pratincoles and Coursers)</v>
      </c>
      <c r="I2037" s="3"/>
    </row>
    <row r="2038" spans="1:9" ht="10.5" customHeight="1">
      <c r="A2038" s="3" t="s">
        <v>2890</v>
      </c>
      <c r="B2038" s="3" t="s">
        <v>2839</v>
      </c>
      <c r="C2038" s="3">
        <f>VLOOKUP(B2038,LifeList!$E$2:$J$2038,6)</f>
        <v>10011</v>
      </c>
      <c r="D2038" s="3" t="str">
        <f>VLOOKUP(B2038,LifeList!$E$2:$G$2038,1)</f>
        <v>Madagascar Pygmy Kingfisher</v>
      </c>
      <c r="E2038" s="3" t="str">
        <f>VLOOKUP(B2038,LifeList!$E$2:$G$2038,2)</f>
        <v>Martin-pêcheur malgache</v>
      </c>
      <c r="F2038" s="3" t="str">
        <f>VLOOKUP(B2038,LifeList!$E$2:$G$2038,3)</f>
        <v>Corythornis madagascariensis</v>
      </c>
      <c r="G2038" s="3" t="str">
        <f>VLOOKUP(B2038,LifeList!$E$2:$I$2038,4)</f>
        <v>Coraciiformes</v>
      </c>
      <c r="H2038" s="3" t="str">
        <f>VLOOKUP(B2038,LifeList!$E$2:$I$2038,5)</f>
        <v>Alcedinidae (Kingfishers)</v>
      </c>
      <c r="I2038" s="3"/>
    </row>
    <row r="2039" spans="1:9" ht="10.5" customHeight="1">
      <c r="A2039" s="3" t="s">
        <v>2891</v>
      </c>
      <c r="B2039" s="3" t="s">
        <v>2839</v>
      </c>
      <c r="C2039" s="3">
        <f>VLOOKUP(B2039,LifeList!$E$2:$J$2038,6)</f>
        <v>10011</v>
      </c>
      <c r="D2039" s="3" t="str">
        <f>VLOOKUP(B2039,LifeList!$E$2:$G$2038,1)</f>
        <v>Madagascar Pygmy Kingfisher</v>
      </c>
      <c r="E2039" s="3" t="str">
        <f>VLOOKUP(B2039,LifeList!$E$2:$G$2038,2)</f>
        <v>Martin-pêcheur malgache</v>
      </c>
      <c r="F2039" s="3" t="str">
        <f>VLOOKUP(B2039,LifeList!$E$2:$G$2038,3)</f>
        <v>Corythornis madagascariensis</v>
      </c>
      <c r="G2039" s="3" t="str">
        <f>VLOOKUP(B2039,LifeList!$E$2:$I$2038,4)</f>
        <v>Coraciiformes</v>
      </c>
      <c r="H2039" s="3" t="str">
        <f>VLOOKUP(B2039,LifeList!$E$2:$I$2038,5)</f>
        <v>Alcedinidae (Kingfishers)</v>
      </c>
      <c r="I2039" s="3"/>
    </row>
    <row r="2040" spans="1:9" ht="10.5" customHeight="1">
      <c r="A2040" s="3" t="s">
        <v>2892</v>
      </c>
      <c r="B2040" s="3" t="s">
        <v>2893</v>
      </c>
      <c r="C2040" s="3">
        <f>VLOOKUP(B2040,LifeList!$E$2:$J$2038,6)</f>
        <v>8791</v>
      </c>
      <c r="D2040" s="3" t="str">
        <f>VLOOKUP(B2040,LifeList!$E$2:$G$2038,1)</f>
        <v>Madagascar Scops-Owl</v>
      </c>
      <c r="E2040" s="3" t="str">
        <f>VLOOKUP(B2040,LifeList!$E$2:$G$2038,2)</f>
        <v>Petit-duc malgache</v>
      </c>
      <c r="F2040" s="3" t="str">
        <f>VLOOKUP(B2040,LifeList!$E$2:$G$2038,3)</f>
        <v>Otus rutilus</v>
      </c>
      <c r="G2040" s="3" t="str">
        <f>VLOOKUP(B2040,LifeList!$E$2:$I$2038,4)</f>
        <v>Strigiformes</v>
      </c>
      <c r="H2040" s="3" t="str">
        <f>VLOOKUP(B2040,LifeList!$E$2:$I$2038,5)</f>
        <v>Strigidae (Owls)</v>
      </c>
      <c r="I2040" s="3"/>
    </row>
    <row r="2041" spans="1:9" ht="10.5" customHeight="1">
      <c r="A2041" s="3" t="s">
        <v>2894</v>
      </c>
      <c r="B2041" s="3" t="s">
        <v>2895</v>
      </c>
      <c r="C2041" s="3">
        <f>VLOOKUP(B2041,LifeList!$E$2:$J$2038,6)</f>
        <v>3862</v>
      </c>
      <c r="D2041" s="3" t="str">
        <f>VLOOKUP(B2041,LifeList!$E$2:$G$2038,1)</f>
        <v>Madagascar Spinetail</v>
      </c>
      <c r="E2041" s="3" t="str">
        <f>VLOOKUP(B2041,LifeList!$E$2:$G$2038,2)</f>
        <v>Martinet de Grandidier</v>
      </c>
      <c r="F2041" s="3" t="str">
        <f>VLOOKUP(B2041,LifeList!$E$2:$G$2038,3)</f>
        <v>Zoonavena grandidieri</v>
      </c>
      <c r="G2041" s="3" t="str">
        <f>VLOOKUP(B2041,LifeList!$E$2:$I$2038,4)</f>
        <v>Apodiformes</v>
      </c>
      <c r="H2041" s="3" t="str">
        <f>VLOOKUP(B2041,LifeList!$E$2:$I$2038,5)</f>
        <v>Apodidae (Swifts)</v>
      </c>
      <c r="I2041" s="3"/>
    </row>
    <row r="2042" spans="1:9" ht="10.5" customHeight="1">
      <c r="A2042" s="3" t="s">
        <v>2896</v>
      </c>
      <c r="B2042" s="3" t="s">
        <v>2897</v>
      </c>
      <c r="C2042" s="3">
        <f>VLOOKUP(B2042,LifeList!$E$2:$J$2038,6)</f>
        <v>27899</v>
      </c>
      <c r="D2042" s="3" t="str">
        <f>VLOOKUP(B2042,LifeList!$E$2:$G$2038,1)</f>
        <v>Madagascar Starling</v>
      </c>
      <c r="E2042" s="3" t="str">
        <f>VLOOKUP(B2042,LifeList!$E$2:$G$2038,2)</f>
        <v>Étourneau malgache</v>
      </c>
      <c r="F2042" s="3" t="str">
        <f>VLOOKUP(B2042,LifeList!$E$2:$G$2038,3)</f>
        <v>Hartlaubius auratus</v>
      </c>
      <c r="G2042" s="3" t="str">
        <f>VLOOKUP(B2042,LifeList!$E$2:$I$2038,4)</f>
        <v>Passeriformes</v>
      </c>
      <c r="H2042" s="3" t="str">
        <f>VLOOKUP(B2042,LifeList!$E$2:$I$2038,5)</f>
        <v>Sturnidae (Starlings)</v>
      </c>
      <c r="I2042" s="3"/>
    </row>
    <row r="2043" spans="1:9" ht="10.5" customHeight="1">
      <c r="A2043" s="3" t="s">
        <v>2898</v>
      </c>
      <c r="B2043" s="3" t="s">
        <v>2897</v>
      </c>
      <c r="C2043" s="3">
        <f>VLOOKUP(B2043,LifeList!$E$2:$J$2038,6)</f>
        <v>27899</v>
      </c>
      <c r="D2043" s="3" t="str">
        <f>VLOOKUP(B2043,LifeList!$E$2:$G$2038,1)</f>
        <v>Madagascar Starling</v>
      </c>
      <c r="E2043" s="3" t="str">
        <f>VLOOKUP(B2043,LifeList!$E$2:$G$2038,2)</f>
        <v>Étourneau malgache</v>
      </c>
      <c r="F2043" s="3" t="str">
        <f>VLOOKUP(B2043,LifeList!$E$2:$G$2038,3)</f>
        <v>Hartlaubius auratus</v>
      </c>
      <c r="G2043" s="3" t="str">
        <f>VLOOKUP(B2043,LifeList!$E$2:$I$2038,4)</f>
        <v>Passeriformes</v>
      </c>
      <c r="H2043" s="3" t="str">
        <f>VLOOKUP(B2043,LifeList!$E$2:$I$2038,5)</f>
        <v>Sturnidae (Starlings)</v>
      </c>
      <c r="I2043" s="3"/>
    </row>
    <row r="2044" spans="1:9" ht="10.5" customHeight="1">
      <c r="A2044" s="3" t="s">
        <v>2899</v>
      </c>
      <c r="B2044" s="3" t="s">
        <v>2897</v>
      </c>
      <c r="C2044" s="3">
        <f>VLOOKUP(B2044,LifeList!$E$2:$J$2038,6)</f>
        <v>27899</v>
      </c>
      <c r="D2044" s="3" t="str">
        <f>VLOOKUP(B2044,LifeList!$E$2:$G$2038,1)</f>
        <v>Madagascar Starling</v>
      </c>
      <c r="E2044" s="3" t="str">
        <f>VLOOKUP(B2044,LifeList!$E$2:$G$2038,2)</f>
        <v>Étourneau malgache</v>
      </c>
      <c r="F2044" s="3" t="str">
        <f>VLOOKUP(B2044,LifeList!$E$2:$G$2038,3)</f>
        <v>Hartlaubius auratus</v>
      </c>
      <c r="G2044" s="3" t="str">
        <f>VLOOKUP(B2044,LifeList!$E$2:$I$2038,4)</f>
        <v>Passeriformes</v>
      </c>
      <c r="H2044" s="3" t="str">
        <f>VLOOKUP(B2044,LifeList!$E$2:$I$2038,5)</f>
        <v>Sturnidae (Starlings)</v>
      </c>
      <c r="I2044" s="3"/>
    </row>
    <row r="2045" spans="1:9" ht="10.5" customHeight="1">
      <c r="A2045" s="3" t="s">
        <v>2900</v>
      </c>
      <c r="B2045" s="3" t="s">
        <v>2901</v>
      </c>
      <c r="C2045" s="3">
        <f>VLOOKUP(B2045,LifeList!$E$2:$J$2038,6)</f>
        <v>23705</v>
      </c>
      <c r="D2045" s="3" t="str">
        <f>VLOOKUP(B2045,LifeList!$E$2:$G$2038,1)</f>
        <v>Madagascar Swamp Warbler</v>
      </c>
      <c r="E2045" s="3" t="str">
        <f>VLOOKUP(B2045,LifeList!$E$2:$G$2038,2)</f>
        <v>Rousserolle de Newton</v>
      </c>
      <c r="F2045" s="3" t="str">
        <f>VLOOKUP(B2045,LifeList!$E$2:$G$2038,3)</f>
        <v>Acrocephalus newtoni</v>
      </c>
      <c r="G2045" s="3" t="str">
        <f>VLOOKUP(B2045,LifeList!$E$2:$I$2038,4)</f>
        <v>Passeriformes</v>
      </c>
      <c r="H2045" s="3" t="str">
        <f>VLOOKUP(B2045,LifeList!$E$2:$I$2038,5)</f>
        <v>Acrocephalidae (Reed Warblers and Allies)</v>
      </c>
      <c r="I2045" s="3"/>
    </row>
    <row r="2046" spans="1:9" ht="10.5" customHeight="1">
      <c r="A2046" s="3" t="s">
        <v>2902</v>
      </c>
      <c r="B2046" s="3" t="s">
        <v>2903</v>
      </c>
      <c r="C2046" s="3">
        <f>VLOOKUP(B2046,LifeList!$E$2:$J$2038,6)</f>
        <v>31677</v>
      </c>
      <c r="D2046" s="3" t="str">
        <f>VLOOKUP(B2046,LifeList!$E$2:$G$2038,1)</f>
        <v>Madagascar Wagtail</v>
      </c>
      <c r="E2046" s="3" t="str">
        <f>VLOOKUP(B2046,LifeList!$E$2:$G$2038,2)</f>
        <v>Bergeronnette malgache</v>
      </c>
      <c r="F2046" s="3" t="str">
        <f>VLOOKUP(B2046,LifeList!$E$2:$G$2038,3)</f>
        <v>Motacilla flaviventris</v>
      </c>
      <c r="G2046" s="3" t="str">
        <f>VLOOKUP(B2046,LifeList!$E$2:$I$2038,4)</f>
        <v>Passeriformes</v>
      </c>
      <c r="H2046" s="3" t="str">
        <f>VLOOKUP(B2046,LifeList!$E$2:$I$2038,5)</f>
        <v>Motacillidae (Wagtails and Pipits)</v>
      </c>
      <c r="I2046" s="3"/>
    </row>
    <row r="2047" spans="1:9" ht="10.5" customHeight="1">
      <c r="A2047" s="3" t="s">
        <v>2904</v>
      </c>
      <c r="B2047" s="3" t="s">
        <v>2905</v>
      </c>
      <c r="C2047" s="3">
        <f>VLOOKUP(B2047,LifeList!$E$2:$J$2038,6)</f>
        <v>4794</v>
      </c>
      <c r="D2047" s="3" t="str">
        <f>VLOOKUP(B2047,LifeList!$E$2:$G$2038,1)</f>
        <v>Magenta-throated Woodstar</v>
      </c>
      <c r="E2047" s="3" t="str">
        <f>VLOOKUP(B2047,LifeList!$E$2:$G$2038,2)</f>
        <v>Colibri magenta</v>
      </c>
      <c r="F2047" s="3" t="str">
        <f>VLOOKUP(B2047,LifeList!$E$2:$G$2038,3)</f>
        <v>Philodice bryantae</v>
      </c>
      <c r="G2047" s="3" t="str">
        <f>VLOOKUP(B2047,LifeList!$E$2:$I$2038,4)</f>
        <v>Apodiformes</v>
      </c>
      <c r="H2047" s="3" t="str">
        <f>VLOOKUP(B2047,LifeList!$E$2:$I$2038,5)</f>
        <v>Trochilidae (Hummingbirds)</v>
      </c>
      <c r="I2047" s="3"/>
    </row>
    <row r="2048" spans="1:9" ht="10.5" customHeight="1">
      <c r="A2048" s="3" t="s">
        <v>2906</v>
      </c>
      <c r="B2048" s="3" t="s">
        <v>2905</v>
      </c>
      <c r="C2048" s="3">
        <f>VLOOKUP(B2048,LifeList!$E$2:$J$2038,6)</f>
        <v>4794</v>
      </c>
      <c r="D2048" s="3" t="str">
        <f>VLOOKUP(B2048,LifeList!$E$2:$G$2038,1)</f>
        <v>Magenta-throated Woodstar</v>
      </c>
      <c r="E2048" s="3" t="str">
        <f>VLOOKUP(B2048,LifeList!$E$2:$G$2038,2)</f>
        <v>Colibri magenta</v>
      </c>
      <c r="F2048" s="3" t="str">
        <f>VLOOKUP(B2048,LifeList!$E$2:$G$2038,3)</f>
        <v>Philodice bryantae</v>
      </c>
      <c r="G2048" s="3" t="str">
        <f>VLOOKUP(B2048,LifeList!$E$2:$I$2038,4)</f>
        <v>Apodiformes</v>
      </c>
      <c r="H2048" s="3" t="str">
        <f>VLOOKUP(B2048,LifeList!$E$2:$I$2038,5)</f>
        <v>Trochilidae (Hummingbirds)</v>
      </c>
      <c r="I2048" s="3"/>
    </row>
    <row r="2049" spans="1:9" ht="10.5" customHeight="1">
      <c r="A2049" s="3" t="s">
        <v>2907</v>
      </c>
      <c r="B2049" s="3" t="s">
        <v>2908</v>
      </c>
      <c r="C2049" s="3">
        <f>VLOOKUP(B2049,LifeList!$E$2:$J$2038,6)</f>
        <v>7315</v>
      </c>
      <c r="D2049" s="3" t="str">
        <f>VLOOKUP(B2049,LifeList!$E$2:$G$2038,1)</f>
        <v>Magnificent Frigatebird</v>
      </c>
      <c r="E2049" s="3" t="str">
        <f>VLOOKUP(B2049,LifeList!$E$2:$G$2038,2)</f>
        <v>Frégate superbe</v>
      </c>
      <c r="F2049" s="3" t="str">
        <f>VLOOKUP(B2049,LifeList!$E$2:$G$2038,3)</f>
        <v>Fregata magnificens</v>
      </c>
      <c r="G2049" s="3" t="str">
        <f>VLOOKUP(B2049,LifeList!$E$2:$I$2038,4)</f>
        <v>Suliformes</v>
      </c>
      <c r="H2049" s="3" t="str">
        <f>VLOOKUP(B2049,LifeList!$E$2:$I$2038,5)</f>
        <v>Fregatidae (Frigatebirds)</v>
      </c>
      <c r="I2049" s="3"/>
    </row>
    <row r="2050" spans="1:9" ht="10.5" customHeight="1">
      <c r="A2050" s="3" t="s">
        <v>2909</v>
      </c>
      <c r="B2050" s="3" t="s">
        <v>2908</v>
      </c>
      <c r="C2050" s="3">
        <f>VLOOKUP(B2050,LifeList!$E$2:$J$2038,6)</f>
        <v>7315</v>
      </c>
      <c r="D2050" s="3" t="str">
        <f>VLOOKUP(B2050,LifeList!$E$2:$G$2038,1)</f>
        <v>Magnificent Frigatebird</v>
      </c>
      <c r="E2050" s="3" t="str">
        <f>VLOOKUP(B2050,LifeList!$E$2:$G$2038,2)</f>
        <v>Frégate superbe</v>
      </c>
      <c r="F2050" s="3" t="str">
        <f>VLOOKUP(B2050,LifeList!$E$2:$G$2038,3)</f>
        <v>Fregata magnificens</v>
      </c>
      <c r="G2050" s="3" t="str">
        <f>VLOOKUP(B2050,LifeList!$E$2:$I$2038,4)</f>
        <v>Suliformes</v>
      </c>
      <c r="H2050" s="3" t="str">
        <f>VLOOKUP(B2050,LifeList!$E$2:$I$2038,5)</f>
        <v>Fregatidae (Frigatebirds)</v>
      </c>
      <c r="I2050" s="3"/>
    </row>
    <row r="2051" spans="1:9" ht="10.5" customHeight="1">
      <c r="A2051" s="3" t="s">
        <v>2910</v>
      </c>
      <c r="B2051" s="3" t="s">
        <v>2908</v>
      </c>
      <c r="C2051" s="3">
        <f>VLOOKUP(B2051,LifeList!$E$2:$J$2038,6)</f>
        <v>7315</v>
      </c>
      <c r="D2051" s="3" t="str">
        <f>VLOOKUP(B2051,LifeList!$E$2:$G$2038,1)</f>
        <v>Magnificent Frigatebird</v>
      </c>
      <c r="E2051" s="3" t="str">
        <f>VLOOKUP(B2051,LifeList!$E$2:$G$2038,2)</f>
        <v>Frégate superbe</v>
      </c>
      <c r="F2051" s="3" t="str">
        <f>VLOOKUP(B2051,LifeList!$E$2:$G$2038,3)</f>
        <v>Fregata magnificens</v>
      </c>
      <c r="G2051" s="3" t="str">
        <f>VLOOKUP(B2051,LifeList!$E$2:$I$2038,4)</f>
        <v>Suliformes</v>
      </c>
      <c r="H2051" s="3" t="str">
        <f>VLOOKUP(B2051,LifeList!$E$2:$I$2038,5)</f>
        <v>Fregatidae (Frigatebirds)</v>
      </c>
      <c r="I2051" s="3"/>
    </row>
    <row r="2052" spans="1:9" ht="10.5" customHeight="1">
      <c r="A2052" s="3" t="s">
        <v>2911</v>
      </c>
      <c r="B2052" s="3" t="s">
        <v>2908</v>
      </c>
      <c r="C2052" s="3">
        <f>VLOOKUP(B2052,LifeList!$E$2:$J$2038,6)</f>
        <v>7315</v>
      </c>
      <c r="D2052" s="3" t="str">
        <f>VLOOKUP(B2052,LifeList!$E$2:$G$2038,1)</f>
        <v>Magnificent Frigatebird</v>
      </c>
      <c r="E2052" s="3" t="str">
        <f>VLOOKUP(B2052,LifeList!$E$2:$G$2038,2)</f>
        <v>Frégate superbe</v>
      </c>
      <c r="F2052" s="3" t="str">
        <f>VLOOKUP(B2052,LifeList!$E$2:$G$2038,3)</f>
        <v>Fregata magnificens</v>
      </c>
      <c r="G2052" s="3" t="str">
        <f>VLOOKUP(B2052,LifeList!$E$2:$I$2038,4)</f>
        <v>Suliformes</v>
      </c>
      <c r="H2052" s="3" t="str">
        <f>VLOOKUP(B2052,LifeList!$E$2:$I$2038,5)</f>
        <v>Fregatidae (Frigatebirds)</v>
      </c>
      <c r="I2052" s="3"/>
    </row>
    <row r="2053" spans="1:9" ht="10.5" customHeight="1">
      <c r="A2053" s="3" t="s">
        <v>2912</v>
      </c>
      <c r="B2053" s="3" t="s">
        <v>2908</v>
      </c>
      <c r="C2053" s="3">
        <f>VLOOKUP(B2053,LifeList!$E$2:$J$2038,6)</f>
        <v>7315</v>
      </c>
      <c r="D2053" s="3" t="str">
        <f>VLOOKUP(B2053,LifeList!$E$2:$G$2038,1)</f>
        <v>Magnificent Frigatebird</v>
      </c>
      <c r="E2053" s="3" t="str">
        <f>VLOOKUP(B2053,LifeList!$E$2:$G$2038,2)</f>
        <v>Frégate superbe</v>
      </c>
      <c r="F2053" s="3" t="str">
        <f>VLOOKUP(B2053,LifeList!$E$2:$G$2038,3)</f>
        <v>Fregata magnificens</v>
      </c>
      <c r="G2053" s="3" t="str">
        <f>VLOOKUP(B2053,LifeList!$E$2:$I$2038,4)</f>
        <v>Suliformes</v>
      </c>
      <c r="H2053" s="3" t="str">
        <f>VLOOKUP(B2053,LifeList!$E$2:$I$2038,5)</f>
        <v>Fregatidae (Frigatebirds)</v>
      </c>
      <c r="I2053" s="3"/>
    </row>
    <row r="2054" spans="1:9" ht="10.5" customHeight="1">
      <c r="A2054" s="3" t="s">
        <v>2913</v>
      </c>
      <c r="B2054" s="3" t="s">
        <v>2908</v>
      </c>
      <c r="C2054" s="3">
        <f>VLOOKUP(B2054,LifeList!$E$2:$J$2038,6)</f>
        <v>7315</v>
      </c>
      <c r="D2054" s="3" t="str">
        <f>VLOOKUP(B2054,LifeList!$E$2:$G$2038,1)</f>
        <v>Magnificent Frigatebird</v>
      </c>
      <c r="E2054" s="3" t="str">
        <f>VLOOKUP(B2054,LifeList!$E$2:$G$2038,2)</f>
        <v>Frégate superbe</v>
      </c>
      <c r="F2054" s="3" t="str">
        <f>VLOOKUP(B2054,LifeList!$E$2:$G$2038,3)</f>
        <v>Fregata magnificens</v>
      </c>
      <c r="G2054" s="3" t="str">
        <f>VLOOKUP(B2054,LifeList!$E$2:$I$2038,4)</f>
        <v>Suliformes</v>
      </c>
      <c r="H2054" s="3" t="str">
        <f>VLOOKUP(B2054,LifeList!$E$2:$I$2038,5)</f>
        <v>Fregatidae (Frigatebirds)</v>
      </c>
      <c r="I2054" s="3"/>
    </row>
    <row r="2055" spans="1:9" ht="10.5" customHeight="1">
      <c r="A2055" s="3" t="s">
        <v>2914</v>
      </c>
      <c r="B2055" s="3" t="s">
        <v>2908</v>
      </c>
      <c r="C2055" s="3">
        <f>VLOOKUP(B2055,LifeList!$E$2:$J$2038,6)</f>
        <v>7315</v>
      </c>
      <c r="D2055" s="3" t="str">
        <f>VLOOKUP(B2055,LifeList!$E$2:$G$2038,1)</f>
        <v>Magnificent Frigatebird</v>
      </c>
      <c r="E2055" s="3" t="str">
        <f>VLOOKUP(B2055,LifeList!$E$2:$G$2038,2)</f>
        <v>Frégate superbe</v>
      </c>
      <c r="F2055" s="3" t="str">
        <f>VLOOKUP(B2055,LifeList!$E$2:$G$2038,3)</f>
        <v>Fregata magnificens</v>
      </c>
      <c r="G2055" s="3" t="str">
        <f>VLOOKUP(B2055,LifeList!$E$2:$I$2038,4)</f>
        <v>Suliformes</v>
      </c>
      <c r="H2055" s="3" t="str">
        <f>VLOOKUP(B2055,LifeList!$E$2:$I$2038,5)</f>
        <v>Fregatidae (Frigatebirds)</v>
      </c>
      <c r="I2055" s="3"/>
    </row>
    <row r="2056" spans="1:9" ht="10.5" customHeight="1">
      <c r="A2056" s="3" t="s">
        <v>2915</v>
      </c>
      <c r="B2056" s="3" t="s">
        <v>2908</v>
      </c>
      <c r="C2056" s="3">
        <f>VLOOKUP(B2056,LifeList!$E$2:$J$2038,6)</f>
        <v>7315</v>
      </c>
      <c r="D2056" s="3" t="str">
        <f>VLOOKUP(B2056,LifeList!$E$2:$G$2038,1)</f>
        <v>Magnificent Frigatebird</v>
      </c>
      <c r="E2056" s="3" t="str">
        <f>VLOOKUP(B2056,LifeList!$E$2:$G$2038,2)</f>
        <v>Frégate superbe</v>
      </c>
      <c r="F2056" s="3" t="str">
        <f>VLOOKUP(B2056,LifeList!$E$2:$G$2038,3)</f>
        <v>Fregata magnificens</v>
      </c>
      <c r="G2056" s="3" t="str">
        <f>VLOOKUP(B2056,LifeList!$E$2:$I$2038,4)</f>
        <v>Suliformes</v>
      </c>
      <c r="H2056" s="3" t="str">
        <f>VLOOKUP(B2056,LifeList!$E$2:$I$2038,5)</f>
        <v>Fregatidae (Frigatebirds)</v>
      </c>
      <c r="I2056" s="3"/>
    </row>
    <row r="2057" spans="1:9" ht="10.5" customHeight="1">
      <c r="A2057" s="3" t="s">
        <v>2916</v>
      </c>
      <c r="B2057" s="3" t="s">
        <v>2908</v>
      </c>
      <c r="C2057" s="3">
        <f>VLOOKUP(B2057,LifeList!$E$2:$J$2038,6)</f>
        <v>7315</v>
      </c>
      <c r="D2057" s="3" t="str">
        <f>VLOOKUP(B2057,LifeList!$E$2:$G$2038,1)</f>
        <v>Magnificent Frigatebird</v>
      </c>
      <c r="E2057" s="3" t="str">
        <f>VLOOKUP(B2057,LifeList!$E$2:$G$2038,2)</f>
        <v>Frégate superbe</v>
      </c>
      <c r="F2057" s="3" t="str">
        <f>VLOOKUP(B2057,LifeList!$E$2:$G$2038,3)</f>
        <v>Fregata magnificens</v>
      </c>
      <c r="G2057" s="3" t="str">
        <f>VLOOKUP(B2057,LifeList!$E$2:$I$2038,4)</f>
        <v>Suliformes</v>
      </c>
      <c r="H2057" s="3" t="str">
        <f>VLOOKUP(B2057,LifeList!$E$2:$I$2038,5)</f>
        <v>Fregatidae (Frigatebirds)</v>
      </c>
      <c r="I2057" s="3"/>
    </row>
    <row r="2058" spans="1:9" ht="10.5" customHeight="1">
      <c r="A2058" s="3" t="s">
        <v>2917</v>
      </c>
      <c r="B2058" s="3" t="s">
        <v>2908</v>
      </c>
      <c r="C2058" s="3">
        <f>VLOOKUP(B2058,LifeList!$E$2:$J$2038,6)</f>
        <v>7315</v>
      </c>
      <c r="D2058" s="3" t="str">
        <f>VLOOKUP(B2058,LifeList!$E$2:$G$2038,1)</f>
        <v>Magnificent Frigatebird</v>
      </c>
      <c r="E2058" s="3" t="str">
        <f>VLOOKUP(B2058,LifeList!$E$2:$G$2038,2)</f>
        <v>Frégate superbe</v>
      </c>
      <c r="F2058" s="3" t="str">
        <f>VLOOKUP(B2058,LifeList!$E$2:$G$2038,3)</f>
        <v>Fregata magnificens</v>
      </c>
      <c r="G2058" s="3" t="str">
        <f>VLOOKUP(B2058,LifeList!$E$2:$I$2038,4)</f>
        <v>Suliformes</v>
      </c>
      <c r="H2058" s="3" t="str">
        <f>VLOOKUP(B2058,LifeList!$E$2:$I$2038,5)</f>
        <v>Fregatidae (Frigatebirds)</v>
      </c>
      <c r="I2058" s="3"/>
    </row>
    <row r="2059" spans="1:9" ht="10.5" customHeight="1">
      <c r="A2059" s="3" t="s">
        <v>2918</v>
      </c>
      <c r="B2059" s="3" t="s">
        <v>2908</v>
      </c>
      <c r="C2059" s="3">
        <f>VLOOKUP(B2059,LifeList!$E$2:$J$2038,6)</f>
        <v>7315</v>
      </c>
      <c r="D2059" s="3" t="str">
        <f>VLOOKUP(B2059,LifeList!$E$2:$G$2038,1)</f>
        <v>Magnificent Frigatebird</v>
      </c>
      <c r="E2059" s="3" t="str">
        <f>VLOOKUP(B2059,LifeList!$E$2:$G$2038,2)</f>
        <v>Frégate superbe</v>
      </c>
      <c r="F2059" s="3" t="str">
        <f>VLOOKUP(B2059,LifeList!$E$2:$G$2038,3)</f>
        <v>Fregata magnificens</v>
      </c>
      <c r="G2059" s="3" t="str">
        <f>VLOOKUP(B2059,LifeList!$E$2:$I$2038,4)</f>
        <v>Suliformes</v>
      </c>
      <c r="H2059" s="3" t="str">
        <f>VLOOKUP(B2059,LifeList!$E$2:$I$2038,5)</f>
        <v>Fregatidae (Frigatebirds)</v>
      </c>
      <c r="I2059" s="3"/>
    </row>
    <row r="2060" spans="1:9" ht="10.5" customHeight="1">
      <c r="A2060" s="3" t="s">
        <v>2919</v>
      </c>
      <c r="B2060" s="3" t="s">
        <v>2920</v>
      </c>
      <c r="C2060" s="3">
        <f>VLOOKUP(B2060,LifeList!$E$2:$J$2038,6)</f>
        <v>34079</v>
      </c>
      <c r="D2060" s="3" t="str">
        <f>VLOOKUP(B2060,LifeList!$E$2:$G$2038,1)</f>
        <v>Magnolia Warbler</v>
      </c>
      <c r="E2060" s="3" t="str">
        <f>VLOOKUP(B2060,LifeList!$E$2:$G$2038,2)</f>
        <v>Paruline à tête cendrée</v>
      </c>
      <c r="F2060" s="3" t="str">
        <f>VLOOKUP(B2060,LifeList!$E$2:$G$2038,3)</f>
        <v>Setophaga magnolia</v>
      </c>
      <c r="G2060" s="3" t="str">
        <f>VLOOKUP(B2060,LifeList!$E$2:$I$2038,4)</f>
        <v>Passeriformes</v>
      </c>
      <c r="H2060" s="3" t="str">
        <f>VLOOKUP(B2060,LifeList!$E$2:$I$2038,5)</f>
        <v>Parulidae (New World Warblers)</v>
      </c>
      <c r="I2060" s="3"/>
    </row>
    <row r="2061" spans="1:9" ht="10.5" customHeight="1">
      <c r="A2061" s="3" t="s">
        <v>2921</v>
      </c>
      <c r="B2061" s="3" t="s">
        <v>2920</v>
      </c>
      <c r="C2061" s="3">
        <f>VLOOKUP(B2061,LifeList!$E$2:$J$2038,6)</f>
        <v>34079</v>
      </c>
      <c r="D2061" s="3" t="str">
        <f>VLOOKUP(B2061,LifeList!$E$2:$G$2038,1)</f>
        <v>Magnolia Warbler</v>
      </c>
      <c r="E2061" s="3" t="str">
        <f>VLOOKUP(B2061,LifeList!$E$2:$G$2038,2)</f>
        <v>Paruline à tête cendrée</v>
      </c>
      <c r="F2061" s="3" t="str">
        <f>VLOOKUP(B2061,LifeList!$E$2:$G$2038,3)</f>
        <v>Setophaga magnolia</v>
      </c>
      <c r="G2061" s="3" t="str">
        <f>VLOOKUP(B2061,LifeList!$E$2:$I$2038,4)</f>
        <v>Passeriformes</v>
      </c>
      <c r="H2061" s="3" t="str">
        <f>VLOOKUP(B2061,LifeList!$E$2:$I$2038,5)</f>
        <v>Parulidae (New World Warblers)</v>
      </c>
      <c r="I2061" s="3"/>
    </row>
    <row r="2062" spans="1:9" ht="10.5" customHeight="1">
      <c r="A2062" s="3" t="s">
        <v>2922</v>
      </c>
      <c r="B2062" s="3" t="s">
        <v>2923</v>
      </c>
      <c r="C2062" s="3">
        <f>VLOOKUP(B2062,LifeList!$E$2:$J$2038,6)</f>
        <v>34079</v>
      </c>
      <c r="D2062" s="3" t="str">
        <f>VLOOKUP(B2062,LifeList!$E$2:$G$2038,1)</f>
        <v>Magnolia Warbler</v>
      </c>
      <c r="E2062" s="3" t="str">
        <f>VLOOKUP(B2062,LifeList!$E$2:$G$2038,2)</f>
        <v>Paruline à tête cendrée</v>
      </c>
      <c r="F2062" s="3" t="str">
        <f>VLOOKUP(B2062,LifeList!$E$2:$G$2038,3)</f>
        <v>Setophaga magnolia</v>
      </c>
      <c r="G2062" s="3" t="str">
        <f>VLOOKUP(B2062,LifeList!$E$2:$I$2038,4)</f>
        <v>Passeriformes</v>
      </c>
      <c r="H2062" s="3" t="str">
        <f>VLOOKUP(B2062,LifeList!$E$2:$I$2038,5)</f>
        <v>Parulidae (New World Warblers)</v>
      </c>
      <c r="I2062" s="3"/>
    </row>
    <row r="2063" spans="1:9" ht="10.5" customHeight="1">
      <c r="A2063" s="3" t="s">
        <v>2924</v>
      </c>
      <c r="B2063" s="3" t="s">
        <v>2923</v>
      </c>
      <c r="C2063" s="3">
        <f>VLOOKUP(B2063,LifeList!$E$2:$J$2038,6)</f>
        <v>34079</v>
      </c>
      <c r="D2063" s="3" t="str">
        <f>VLOOKUP(B2063,LifeList!$E$2:$G$2038,1)</f>
        <v>Magnolia Warbler</v>
      </c>
      <c r="E2063" s="3" t="str">
        <f>VLOOKUP(B2063,LifeList!$E$2:$G$2038,2)</f>
        <v>Paruline à tête cendrée</v>
      </c>
      <c r="F2063" s="3" t="str">
        <f>VLOOKUP(B2063,LifeList!$E$2:$G$2038,3)</f>
        <v>Setophaga magnolia</v>
      </c>
      <c r="G2063" s="3" t="str">
        <f>VLOOKUP(B2063,LifeList!$E$2:$I$2038,4)</f>
        <v>Passeriformes</v>
      </c>
      <c r="H2063" s="3" t="str">
        <f>VLOOKUP(B2063,LifeList!$E$2:$I$2038,5)</f>
        <v>Parulidae (New World Warblers)</v>
      </c>
      <c r="I2063" s="3"/>
    </row>
    <row r="2064" spans="1:9" ht="10.5" customHeight="1">
      <c r="A2064" s="3" t="s">
        <v>2925</v>
      </c>
      <c r="B2064" s="3" t="s">
        <v>2923</v>
      </c>
      <c r="C2064" s="3">
        <f>VLOOKUP(B2064,LifeList!$E$2:$J$2038,6)</f>
        <v>34079</v>
      </c>
      <c r="D2064" s="3" t="str">
        <f>VLOOKUP(B2064,LifeList!$E$2:$G$2038,1)</f>
        <v>Magnolia Warbler</v>
      </c>
      <c r="E2064" s="3" t="str">
        <f>VLOOKUP(B2064,LifeList!$E$2:$G$2038,2)</f>
        <v>Paruline à tête cendrée</v>
      </c>
      <c r="F2064" s="3" t="str">
        <f>VLOOKUP(B2064,LifeList!$E$2:$G$2038,3)</f>
        <v>Setophaga magnolia</v>
      </c>
      <c r="G2064" s="3" t="str">
        <f>VLOOKUP(B2064,LifeList!$E$2:$I$2038,4)</f>
        <v>Passeriformes</v>
      </c>
      <c r="H2064" s="3" t="str">
        <f>VLOOKUP(B2064,LifeList!$E$2:$I$2038,5)</f>
        <v>Parulidae (New World Warblers)</v>
      </c>
      <c r="I2064" s="3"/>
    </row>
    <row r="2065" spans="1:9" ht="10.5" customHeight="1">
      <c r="A2065" s="3" t="s">
        <v>2926</v>
      </c>
      <c r="B2065" s="3" t="s">
        <v>2923</v>
      </c>
      <c r="C2065" s="3">
        <f>VLOOKUP(B2065,LifeList!$E$2:$J$2038,6)</f>
        <v>34079</v>
      </c>
      <c r="D2065" s="3" t="str">
        <f>VLOOKUP(B2065,LifeList!$E$2:$G$2038,1)</f>
        <v>Magnolia Warbler</v>
      </c>
      <c r="E2065" s="3" t="str">
        <f>VLOOKUP(B2065,LifeList!$E$2:$G$2038,2)</f>
        <v>Paruline à tête cendrée</v>
      </c>
      <c r="F2065" s="3" t="str">
        <f>VLOOKUP(B2065,LifeList!$E$2:$G$2038,3)</f>
        <v>Setophaga magnolia</v>
      </c>
      <c r="G2065" s="3" t="str">
        <f>VLOOKUP(B2065,LifeList!$E$2:$I$2038,4)</f>
        <v>Passeriformes</v>
      </c>
      <c r="H2065" s="3" t="str">
        <f>VLOOKUP(B2065,LifeList!$E$2:$I$2038,5)</f>
        <v>Parulidae (New World Warblers)</v>
      </c>
      <c r="I2065" s="3"/>
    </row>
    <row r="2066" spans="1:9" ht="10.5" customHeight="1">
      <c r="A2066" s="3" t="s">
        <v>2927</v>
      </c>
      <c r="B2066" s="3" t="s">
        <v>2923</v>
      </c>
      <c r="C2066" s="3">
        <f>VLOOKUP(B2066,LifeList!$E$2:$J$2038,6)</f>
        <v>34079</v>
      </c>
      <c r="D2066" s="3" t="str">
        <f>VLOOKUP(B2066,LifeList!$E$2:$G$2038,1)</f>
        <v>Magnolia Warbler</v>
      </c>
      <c r="E2066" s="3" t="str">
        <f>VLOOKUP(B2066,LifeList!$E$2:$G$2038,2)</f>
        <v>Paruline à tête cendrée</v>
      </c>
      <c r="F2066" s="3" t="str">
        <f>VLOOKUP(B2066,LifeList!$E$2:$G$2038,3)</f>
        <v>Setophaga magnolia</v>
      </c>
      <c r="G2066" s="3" t="str">
        <f>VLOOKUP(B2066,LifeList!$E$2:$I$2038,4)</f>
        <v>Passeriformes</v>
      </c>
      <c r="H2066" s="3" t="str">
        <f>VLOOKUP(B2066,LifeList!$E$2:$I$2038,5)</f>
        <v>Parulidae (New World Warblers)</v>
      </c>
      <c r="I2066" s="3"/>
    </row>
    <row r="2067" spans="1:9" ht="10.5" customHeight="1">
      <c r="A2067" s="3" t="s">
        <v>2928</v>
      </c>
      <c r="B2067" s="3" t="s">
        <v>2923</v>
      </c>
      <c r="C2067" s="3">
        <f>VLOOKUP(B2067,LifeList!$E$2:$J$2038,6)</f>
        <v>34079</v>
      </c>
      <c r="D2067" s="3" t="str">
        <f>VLOOKUP(B2067,LifeList!$E$2:$G$2038,1)</f>
        <v>Magnolia Warbler</v>
      </c>
      <c r="E2067" s="3" t="str">
        <f>VLOOKUP(B2067,LifeList!$E$2:$G$2038,2)</f>
        <v>Paruline à tête cendrée</v>
      </c>
      <c r="F2067" s="3" t="str">
        <f>VLOOKUP(B2067,LifeList!$E$2:$G$2038,3)</f>
        <v>Setophaga magnolia</v>
      </c>
      <c r="G2067" s="3" t="str">
        <f>VLOOKUP(B2067,LifeList!$E$2:$I$2038,4)</f>
        <v>Passeriformes</v>
      </c>
      <c r="H2067" s="3" t="str">
        <f>VLOOKUP(B2067,LifeList!$E$2:$I$2038,5)</f>
        <v>Parulidae (New World Warblers)</v>
      </c>
      <c r="I2067" s="3"/>
    </row>
    <row r="2068" spans="1:9" ht="10.5" customHeight="1">
      <c r="A2068" s="3" t="s">
        <v>2929</v>
      </c>
      <c r="B2068" s="3" t="s">
        <v>2923</v>
      </c>
      <c r="C2068" s="3">
        <f>VLOOKUP(B2068,LifeList!$E$2:$J$2038,6)</f>
        <v>34079</v>
      </c>
      <c r="D2068" s="3" t="str">
        <f>VLOOKUP(B2068,LifeList!$E$2:$G$2038,1)</f>
        <v>Magnolia Warbler</v>
      </c>
      <c r="E2068" s="3" t="str">
        <f>VLOOKUP(B2068,LifeList!$E$2:$G$2038,2)</f>
        <v>Paruline à tête cendrée</v>
      </c>
      <c r="F2068" s="3" t="str">
        <f>VLOOKUP(B2068,LifeList!$E$2:$G$2038,3)</f>
        <v>Setophaga magnolia</v>
      </c>
      <c r="G2068" s="3" t="str">
        <f>VLOOKUP(B2068,LifeList!$E$2:$I$2038,4)</f>
        <v>Passeriformes</v>
      </c>
      <c r="H2068" s="3" t="str">
        <f>VLOOKUP(B2068,LifeList!$E$2:$I$2038,5)</f>
        <v>Parulidae (New World Warblers)</v>
      </c>
      <c r="I2068" s="3"/>
    </row>
    <row r="2069" spans="1:9" ht="10.5" customHeight="1">
      <c r="A2069" s="3" t="s">
        <v>2930</v>
      </c>
      <c r="B2069" s="3" t="s">
        <v>2923</v>
      </c>
      <c r="C2069" s="3">
        <f>VLOOKUP(B2069,LifeList!$E$2:$J$2038,6)</f>
        <v>34079</v>
      </c>
      <c r="D2069" s="3" t="str">
        <f>VLOOKUP(B2069,LifeList!$E$2:$G$2038,1)</f>
        <v>Magnolia Warbler</v>
      </c>
      <c r="E2069" s="3" t="str">
        <f>VLOOKUP(B2069,LifeList!$E$2:$G$2038,2)</f>
        <v>Paruline à tête cendrée</v>
      </c>
      <c r="F2069" s="3" t="str">
        <f>VLOOKUP(B2069,LifeList!$E$2:$G$2038,3)</f>
        <v>Setophaga magnolia</v>
      </c>
      <c r="G2069" s="3" t="str">
        <f>VLOOKUP(B2069,LifeList!$E$2:$I$2038,4)</f>
        <v>Passeriformes</v>
      </c>
      <c r="H2069" s="3" t="str">
        <f>VLOOKUP(B2069,LifeList!$E$2:$I$2038,5)</f>
        <v>Parulidae (New World Warblers)</v>
      </c>
      <c r="I2069" s="3"/>
    </row>
    <row r="2070" spans="1:9" ht="10.5" customHeight="1">
      <c r="A2070" s="3" t="s">
        <v>2931</v>
      </c>
      <c r="B2070" s="3" t="s">
        <v>2923</v>
      </c>
      <c r="C2070" s="3">
        <f>VLOOKUP(B2070,LifeList!$E$2:$J$2038,6)</f>
        <v>34079</v>
      </c>
      <c r="D2070" s="3" t="str">
        <f>VLOOKUP(B2070,LifeList!$E$2:$G$2038,1)</f>
        <v>Magnolia Warbler</v>
      </c>
      <c r="E2070" s="3" t="str">
        <f>VLOOKUP(B2070,LifeList!$E$2:$G$2038,2)</f>
        <v>Paruline à tête cendrée</v>
      </c>
      <c r="F2070" s="3" t="str">
        <f>VLOOKUP(B2070,LifeList!$E$2:$G$2038,3)</f>
        <v>Setophaga magnolia</v>
      </c>
      <c r="G2070" s="3" t="str">
        <f>VLOOKUP(B2070,LifeList!$E$2:$I$2038,4)</f>
        <v>Passeriformes</v>
      </c>
      <c r="H2070" s="3" t="str">
        <f>VLOOKUP(B2070,LifeList!$E$2:$I$2038,5)</f>
        <v>Parulidae (New World Warblers)</v>
      </c>
      <c r="I2070" s="3"/>
    </row>
    <row r="2071" spans="1:9" ht="10.5" customHeight="1">
      <c r="A2071" s="3" t="s">
        <v>2932</v>
      </c>
      <c r="B2071" s="3" t="s">
        <v>2923</v>
      </c>
      <c r="C2071" s="3">
        <f>VLOOKUP(B2071,LifeList!$E$2:$J$2038,6)</f>
        <v>34079</v>
      </c>
      <c r="D2071" s="3" t="str">
        <f>VLOOKUP(B2071,LifeList!$E$2:$G$2038,1)</f>
        <v>Magnolia Warbler</v>
      </c>
      <c r="E2071" s="3" t="str">
        <f>VLOOKUP(B2071,LifeList!$E$2:$G$2038,2)</f>
        <v>Paruline à tête cendrée</v>
      </c>
      <c r="F2071" s="3" t="str">
        <f>VLOOKUP(B2071,LifeList!$E$2:$G$2038,3)</f>
        <v>Setophaga magnolia</v>
      </c>
      <c r="G2071" s="3" t="str">
        <f>VLOOKUP(B2071,LifeList!$E$2:$I$2038,4)</f>
        <v>Passeriformes</v>
      </c>
      <c r="H2071" s="3" t="str">
        <f>VLOOKUP(B2071,LifeList!$E$2:$I$2038,5)</f>
        <v>Parulidae (New World Warblers)</v>
      </c>
      <c r="I2071" s="3"/>
    </row>
    <row r="2072" spans="1:9" ht="10.5" customHeight="1">
      <c r="A2072" s="3" t="s">
        <v>2933</v>
      </c>
      <c r="B2072" s="3" t="s">
        <v>2923</v>
      </c>
      <c r="C2072" s="3">
        <f>VLOOKUP(B2072,LifeList!$E$2:$J$2038,6)</f>
        <v>34079</v>
      </c>
      <c r="D2072" s="3" t="str">
        <f>VLOOKUP(B2072,LifeList!$E$2:$G$2038,1)</f>
        <v>Magnolia Warbler</v>
      </c>
      <c r="E2072" s="3" t="str">
        <f>VLOOKUP(B2072,LifeList!$E$2:$G$2038,2)</f>
        <v>Paruline à tête cendrée</v>
      </c>
      <c r="F2072" s="3" t="str">
        <f>VLOOKUP(B2072,LifeList!$E$2:$G$2038,3)</f>
        <v>Setophaga magnolia</v>
      </c>
      <c r="G2072" s="3" t="str">
        <f>VLOOKUP(B2072,LifeList!$E$2:$I$2038,4)</f>
        <v>Passeriformes</v>
      </c>
      <c r="H2072" s="3" t="str">
        <f>VLOOKUP(B2072,LifeList!$E$2:$I$2038,5)</f>
        <v>Parulidae (New World Warblers)</v>
      </c>
      <c r="I2072" s="3"/>
    </row>
    <row r="2073" spans="1:9" ht="10.5" customHeight="1">
      <c r="A2073" s="3" t="s">
        <v>2934</v>
      </c>
      <c r="B2073" s="3" t="s">
        <v>2923</v>
      </c>
      <c r="C2073" s="3">
        <f>VLOOKUP(B2073,LifeList!$E$2:$J$2038,6)</f>
        <v>34079</v>
      </c>
      <c r="D2073" s="3" t="str">
        <f>VLOOKUP(B2073,LifeList!$E$2:$G$2038,1)</f>
        <v>Magnolia Warbler</v>
      </c>
      <c r="E2073" s="3" t="str">
        <f>VLOOKUP(B2073,LifeList!$E$2:$G$2038,2)</f>
        <v>Paruline à tête cendrée</v>
      </c>
      <c r="F2073" s="3" t="str">
        <f>VLOOKUP(B2073,LifeList!$E$2:$G$2038,3)</f>
        <v>Setophaga magnolia</v>
      </c>
      <c r="G2073" s="3" t="str">
        <f>VLOOKUP(B2073,LifeList!$E$2:$I$2038,4)</f>
        <v>Passeriformes</v>
      </c>
      <c r="H2073" s="3" t="str">
        <f>VLOOKUP(B2073,LifeList!$E$2:$I$2038,5)</f>
        <v>Parulidae (New World Warblers)</v>
      </c>
      <c r="I2073" s="3"/>
    </row>
    <row r="2074" spans="1:9" ht="10.5" customHeight="1">
      <c r="A2074" s="3" t="s">
        <v>2935</v>
      </c>
      <c r="B2074" s="3" t="s">
        <v>2923</v>
      </c>
      <c r="C2074" s="3">
        <f>VLOOKUP(B2074,LifeList!$E$2:$J$2038,6)</f>
        <v>34079</v>
      </c>
      <c r="D2074" s="3" t="str">
        <f>VLOOKUP(B2074,LifeList!$E$2:$G$2038,1)</f>
        <v>Magnolia Warbler</v>
      </c>
      <c r="E2074" s="3" t="str">
        <f>VLOOKUP(B2074,LifeList!$E$2:$G$2038,2)</f>
        <v>Paruline à tête cendrée</v>
      </c>
      <c r="F2074" s="3" t="str">
        <f>VLOOKUP(B2074,LifeList!$E$2:$G$2038,3)</f>
        <v>Setophaga magnolia</v>
      </c>
      <c r="G2074" s="3" t="str">
        <f>VLOOKUP(B2074,LifeList!$E$2:$I$2038,4)</f>
        <v>Passeriformes</v>
      </c>
      <c r="H2074" s="3" t="str">
        <f>VLOOKUP(B2074,LifeList!$E$2:$I$2038,5)</f>
        <v>Parulidae (New World Warblers)</v>
      </c>
      <c r="I2074" s="3"/>
    </row>
    <row r="2075" spans="1:9" ht="10.5" customHeight="1">
      <c r="A2075" s="3" t="s">
        <v>2936</v>
      </c>
      <c r="B2075" s="3" t="s">
        <v>2923</v>
      </c>
      <c r="C2075" s="3">
        <f>VLOOKUP(B2075,LifeList!$E$2:$J$2038,6)</f>
        <v>34079</v>
      </c>
      <c r="D2075" s="3" t="str">
        <f>VLOOKUP(B2075,LifeList!$E$2:$G$2038,1)</f>
        <v>Magnolia Warbler</v>
      </c>
      <c r="E2075" s="3" t="str">
        <f>VLOOKUP(B2075,LifeList!$E$2:$G$2038,2)</f>
        <v>Paruline à tête cendrée</v>
      </c>
      <c r="F2075" s="3" t="str">
        <f>VLOOKUP(B2075,LifeList!$E$2:$G$2038,3)</f>
        <v>Setophaga magnolia</v>
      </c>
      <c r="G2075" s="3" t="str">
        <f>VLOOKUP(B2075,LifeList!$E$2:$I$2038,4)</f>
        <v>Passeriformes</v>
      </c>
      <c r="H2075" s="3" t="str">
        <f>VLOOKUP(B2075,LifeList!$E$2:$I$2038,5)</f>
        <v>Parulidae (New World Warblers)</v>
      </c>
      <c r="I2075" s="3"/>
    </row>
    <row r="2076" spans="1:9" ht="10.5" customHeight="1">
      <c r="A2076" s="3" t="s">
        <v>2937</v>
      </c>
      <c r="B2076" s="3" t="s">
        <v>2923</v>
      </c>
      <c r="C2076" s="3">
        <f>VLOOKUP(B2076,LifeList!$E$2:$J$2038,6)</f>
        <v>34079</v>
      </c>
      <c r="D2076" s="3" t="str">
        <f>VLOOKUP(B2076,LifeList!$E$2:$G$2038,1)</f>
        <v>Magnolia Warbler</v>
      </c>
      <c r="E2076" s="3" t="str">
        <f>VLOOKUP(B2076,LifeList!$E$2:$G$2038,2)</f>
        <v>Paruline à tête cendrée</v>
      </c>
      <c r="F2076" s="3" t="str">
        <f>VLOOKUP(B2076,LifeList!$E$2:$G$2038,3)</f>
        <v>Setophaga magnolia</v>
      </c>
      <c r="G2076" s="3" t="str">
        <f>VLOOKUP(B2076,LifeList!$E$2:$I$2038,4)</f>
        <v>Passeriformes</v>
      </c>
      <c r="H2076" s="3" t="str">
        <f>VLOOKUP(B2076,LifeList!$E$2:$I$2038,5)</f>
        <v>Parulidae (New World Warblers)</v>
      </c>
      <c r="I2076" s="3"/>
    </row>
    <row r="2077" spans="1:9" ht="10.5" customHeight="1">
      <c r="A2077" s="3" t="s">
        <v>2938</v>
      </c>
      <c r="B2077" s="3" t="s">
        <v>2923</v>
      </c>
      <c r="C2077" s="3">
        <f>VLOOKUP(B2077,LifeList!$E$2:$J$2038,6)</f>
        <v>34079</v>
      </c>
      <c r="D2077" s="3" t="str">
        <f>VLOOKUP(B2077,LifeList!$E$2:$G$2038,1)</f>
        <v>Magnolia Warbler</v>
      </c>
      <c r="E2077" s="3" t="str">
        <f>VLOOKUP(B2077,LifeList!$E$2:$G$2038,2)</f>
        <v>Paruline à tête cendrée</v>
      </c>
      <c r="F2077" s="3" t="str">
        <f>VLOOKUP(B2077,LifeList!$E$2:$G$2038,3)</f>
        <v>Setophaga magnolia</v>
      </c>
      <c r="G2077" s="3" t="str">
        <f>VLOOKUP(B2077,LifeList!$E$2:$I$2038,4)</f>
        <v>Passeriformes</v>
      </c>
      <c r="H2077" s="3" t="str">
        <f>VLOOKUP(B2077,LifeList!$E$2:$I$2038,5)</f>
        <v>Parulidae (New World Warblers)</v>
      </c>
      <c r="I2077" s="3"/>
    </row>
    <row r="2078" spans="1:9" ht="10.5" customHeight="1">
      <c r="A2078" s="3" t="s">
        <v>2939</v>
      </c>
      <c r="B2078" s="3" t="s">
        <v>2923</v>
      </c>
      <c r="C2078" s="3">
        <f>VLOOKUP(B2078,LifeList!$E$2:$J$2038,6)</f>
        <v>34079</v>
      </c>
      <c r="D2078" s="3" t="str">
        <f>VLOOKUP(B2078,LifeList!$E$2:$G$2038,1)</f>
        <v>Magnolia Warbler</v>
      </c>
      <c r="E2078" s="3" t="str">
        <f>VLOOKUP(B2078,LifeList!$E$2:$G$2038,2)</f>
        <v>Paruline à tête cendrée</v>
      </c>
      <c r="F2078" s="3" t="str">
        <f>VLOOKUP(B2078,LifeList!$E$2:$G$2038,3)</f>
        <v>Setophaga magnolia</v>
      </c>
      <c r="G2078" s="3" t="str">
        <f>VLOOKUP(B2078,LifeList!$E$2:$I$2038,4)</f>
        <v>Passeriformes</v>
      </c>
      <c r="H2078" s="3" t="str">
        <f>VLOOKUP(B2078,LifeList!$E$2:$I$2038,5)</f>
        <v>Parulidae (New World Warblers)</v>
      </c>
      <c r="I2078" s="3"/>
    </row>
    <row r="2079" spans="1:9" ht="10.5" customHeight="1">
      <c r="A2079" s="3" t="s">
        <v>2940</v>
      </c>
      <c r="B2079" s="3" t="s">
        <v>2923</v>
      </c>
      <c r="C2079" s="3">
        <f>VLOOKUP(B2079,LifeList!$E$2:$J$2038,6)</f>
        <v>34079</v>
      </c>
      <c r="D2079" s="3" t="str">
        <f>VLOOKUP(B2079,LifeList!$E$2:$G$2038,1)</f>
        <v>Magnolia Warbler</v>
      </c>
      <c r="E2079" s="3" t="str">
        <f>VLOOKUP(B2079,LifeList!$E$2:$G$2038,2)</f>
        <v>Paruline à tête cendrée</v>
      </c>
      <c r="F2079" s="3" t="str">
        <f>VLOOKUP(B2079,LifeList!$E$2:$G$2038,3)</f>
        <v>Setophaga magnolia</v>
      </c>
      <c r="G2079" s="3" t="str">
        <f>VLOOKUP(B2079,LifeList!$E$2:$I$2038,4)</f>
        <v>Passeriformes</v>
      </c>
      <c r="H2079" s="3" t="str">
        <f>VLOOKUP(B2079,LifeList!$E$2:$I$2038,5)</f>
        <v>Parulidae (New World Warblers)</v>
      </c>
      <c r="I2079" s="3"/>
    </row>
    <row r="2080" spans="1:9" ht="10.5" customHeight="1">
      <c r="A2080" s="3" t="s">
        <v>2941</v>
      </c>
      <c r="B2080" s="3" t="s">
        <v>2923</v>
      </c>
      <c r="C2080" s="3">
        <f>VLOOKUP(B2080,LifeList!$E$2:$J$2038,6)</f>
        <v>34079</v>
      </c>
      <c r="D2080" s="3" t="str">
        <f>VLOOKUP(B2080,LifeList!$E$2:$G$2038,1)</f>
        <v>Magnolia Warbler</v>
      </c>
      <c r="E2080" s="3" t="str">
        <f>VLOOKUP(B2080,LifeList!$E$2:$G$2038,2)</f>
        <v>Paruline à tête cendrée</v>
      </c>
      <c r="F2080" s="3" t="str">
        <f>VLOOKUP(B2080,LifeList!$E$2:$G$2038,3)</f>
        <v>Setophaga magnolia</v>
      </c>
      <c r="G2080" s="3" t="str">
        <f>VLOOKUP(B2080,LifeList!$E$2:$I$2038,4)</f>
        <v>Passeriformes</v>
      </c>
      <c r="H2080" s="3" t="str">
        <f>VLOOKUP(B2080,LifeList!$E$2:$I$2038,5)</f>
        <v>Parulidae (New World Warblers)</v>
      </c>
      <c r="I2080" s="3"/>
    </row>
    <row r="2081" spans="1:9" ht="10.5" customHeight="1">
      <c r="A2081" s="3" t="s">
        <v>2942</v>
      </c>
      <c r="B2081" s="3" t="s">
        <v>2923</v>
      </c>
      <c r="C2081" s="3">
        <f>VLOOKUP(B2081,LifeList!$E$2:$J$2038,6)</f>
        <v>34079</v>
      </c>
      <c r="D2081" s="3" t="str">
        <f>VLOOKUP(B2081,LifeList!$E$2:$G$2038,1)</f>
        <v>Magnolia Warbler</v>
      </c>
      <c r="E2081" s="3" t="str">
        <f>VLOOKUP(B2081,LifeList!$E$2:$G$2038,2)</f>
        <v>Paruline à tête cendrée</v>
      </c>
      <c r="F2081" s="3" t="str">
        <f>VLOOKUP(B2081,LifeList!$E$2:$G$2038,3)</f>
        <v>Setophaga magnolia</v>
      </c>
      <c r="G2081" s="3" t="str">
        <f>VLOOKUP(B2081,LifeList!$E$2:$I$2038,4)</f>
        <v>Passeriformes</v>
      </c>
      <c r="H2081" s="3" t="str">
        <f>VLOOKUP(B2081,LifeList!$E$2:$I$2038,5)</f>
        <v>Parulidae (New World Warblers)</v>
      </c>
      <c r="I2081" s="3"/>
    </row>
    <row r="2082" spans="1:9" ht="10.5" customHeight="1">
      <c r="A2082" s="7" t="s">
        <v>2943</v>
      </c>
      <c r="B2082" s="9" t="s">
        <v>2944</v>
      </c>
      <c r="C2082" s="6">
        <f>VLOOKUP(B2082,LifeList!$E$2:$J$2038,6)</f>
        <v>236</v>
      </c>
      <c r="D2082" s="3" t="str">
        <f>VLOOKUP(B2082,LifeList!$E$2:$G$2038,1)</f>
        <v>Magpie Goose</v>
      </c>
      <c r="E2082" s="3" t="str">
        <f>VLOOKUP(B2082,LifeList!$E$2:$G$2038,2)</f>
        <v>Canaroie semipalmée</v>
      </c>
      <c r="F2082" s="3" t="str">
        <f>VLOOKUP(B2082,LifeList!$E$2:$G$2038,3)</f>
        <v>Anseranas semipalmata</v>
      </c>
      <c r="G2082" s="3" t="str">
        <f>VLOOKUP(B2082,LifeList!$E$2:$I$2038,4)</f>
        <v>Anseriformes</v>
      </c>
      <c r="H2082" s="3" t="str">
        <f>VLOOKUP(B2082,LifeList!$E$2:$I$2038,5)</f>
        <v>Anseranatidae (Magpie Goose)</v>
      </c>
      <c r="I2082" s="3"/>
    </row>
    <row r="2083" spans="1:9" ht="10.5" customHeight="1">
      <c r="A2083" s="3" t="s">
        <v>2945</v>
      </c>
      <c r="B2083" s="3" t="s">
        <v>2946</v>
      </c>
      <c r="C2083" s="3">
        <f>VLOOKUP(B2083,LifeList!$E$2:$J$2038,6)</f>
        <v>21037</v>
      </c>
      <c r="D2083" s="3" t="str">
        <f>VLOOKUP(B2083,LifeList!$E$2:$G$2038,1)</f>
        <v>Magpie Shrike</v>
      </c>
      <c r="E2083" s="3" t="str">
        <f>VLOOKUP(B2083,LifeList!$E$2:$G$2038,2)</f>
        <v>Corvinelle noir et blanc</v>
      </c>
      <c r="F2083" s="3" t="str">
        <f>VLOOKUP(B2083,LifeList!$E$2:$G$2038,3)</f>
        <v>Urolestes melanoleucus</v>
      </c>
      <c r="G2083" s="3" t="str">
        <f>VLOOKUP(B2083,LifeList!$E$2:$I$2038,4)</f>
        <v>Passeriformes</v>
      </c>
      <c r="H2083" s="3" t="str">
        <f>VLOOKUP(B2083,LifeList!$E$2:$I$2038,5)</f>
        <v>Laniidae (Shrikes)</v>
      </c>
      <c r="I2083" s="3"/>
    </row>
    <row r="2084" spans="1:9" ht="10.5" customHeight="1">
      <c r="A2084" s="3" t="s">
        <v>2947</v>
      </c>
      <c r="B2084" s="3" t="s">
        <v>2946</v>
      </c>
      <c r="C2084" s="3">
        <f>VLOOKUP(B2084,LifeList!$E$2:$J$2038,6)</f>
        <v>21037</v>
      </c>
      <c r="D2084" s="3" t="str">
        <f>VLOOKUP(B2084,LifeList!$E$2:$G$2038,1)</f>
        <v>Magpie Shrike</v>
      </c>
      <c r="E2084" s="3" t="str">
        <f>VLOOKUP(B2084,LifeList!$E$2:$G$2038,2)</f>
        <v>Corvinelle noir et blanc</v>
      </c>
      <c r="F2084" s="3" t="str">
        <f>VLOOKUP(B2084,LifeList!$E$2:$G$2038,3)</f>
        <v>Urolestes melanoleucus</v>
      </c>
      <c r="G2084" s="3" t="str">
        <f>VLOOKUP(B2084,LifeList!$E$2:$I$2038,4)</f>
        <v>Passeriformes</v>
      </c>
      <c r="H2084" s="3" t="str">
        <f>VLOOKUP(B2084,LifeList!$E$2:$I$2038,5)</f>
        <v>Laniidae (Shrikes)</v>
      </c>
      <c r="I2084" s="3"/>
    </row>
    <row r="2085" spans="1:9" ht="10.5" customHeight="1">
      <c r="A2085" s="3" t="s">
        <v>2948</v>
      </c>
      <c r="B2085" s="3" t="s">
        <v>2949</v>
      </c>
      <c r="C2085" s="3">
        <f>VLOOKUP(B2085,LifeList!$E$2:$J$2038,6)</f>
        <v>20947</v>
      </c>
      <c r="D2085" s="3" t="str">
        <f>VLOOKUP(B2085,LifeList!$E$2:$G$2038,1)</f>
        <v>Magpie-lark</v>
      </c>
      <c r="E2085" s="3" t="str">
        <f>VLOOKUP(B2085,LifeList!$E$2:$G$2038,2)</f>
        <v>Gralline pie</v>
      </c>
      <c r="F2085" s="3" t="str">
        <f>VLOOKUP(B2085,LifeList!$E$2:$G$2038,3)</f>
        <v>Grallina cyanoleuca</v>
      </c>
      <c r="G2085" s="3" t="str">
        <f>VLOOKUP(B2085,LifeList!$E$2:$I$2038,4)</f>
        <v>Passeriformes</v>
      </c>
      <c r="H2085" s="3" t="str">
        <f>VLOOKUP(B2085,LifeList!$E$2:$I$2038,5)</f>
        <v>Monarchidae (Monarch Flycatchers)</v>
      </c>
      <c r="I2085" s="3"/>
    </row>
    <row r="2086" spans="1:9" ht="10.5" customHeight="1">
      <c r="A2086" s="3" t="s">
        <v>2950</v>
      </c>
      <c r="B2086" s="3" t="s">
        <v>2951</v>
      </c>
      <c r="C2086" s="3">
        <f>VLOOKUP(B2086,LifeList!$E$2:$J$2038,6)</f>
        <v>9997</v>
      </c>
      <c r="D2086" s="3" t="str">
        <f>VLOOKUP(B2086,LifeList!$E$2:$G$2038,1)</f>
        <v>Malachite Kingfisher</v>
      </c>
      <c r="E2086" s="3" t="str">
        <f>VLOOKUP(B2086,LifeList!$E$2:$G$2038,2)</f>
        <v>Martin-pêcheur huppé</v>
      </c>
      <c r="F2086" s="3" t="str">
        <f>VLOOKUP(B2086,LifeList!$E$2:$G$2038,3)</f>
        <v>Corythornis cristatus</v>
      </c>
      <c r="G2086" s="3" t="str">
        <f>VLOOKUP(B2086,LifeList!$E$2:$I$2038,4)</f>
        <v>Coraciiformes</v>
      </c>
      <c r="H2086" s="3" t="str">
        <f>VLOOKUP(B2086,LifeList!$E$2:$I$2038,5)</f>
        <v>Alcedinidae (Kingfishers)</v>
      </c>
      <c r="I2086" s="3"/>
    </row>
    <row r="2087" spans="1:9" ht="10.5" customHeight="1">
      <c r="A2087" s="5" t="s">
        <v>2952</v>
      </c>
      <c r="B2087" s="5" t="s">
        <v>2953</v>
      </c>
      <c r="C2087" s="3">
        <f>VLOOKUP(B2087,LifeList!$E$2:$J$2038,6)</f>
        <v>7715</v>
      </c>
      <c r="D2087" s="3" t="str">
        <f>VLOOKUP(B2087,LifeList!$E$2:$G$2038,1)</f>
        <v>Malagasy Pond-Heron</v>
      </c>
      <c r="E2087" s="3" t="str">
        <f>VLOOKUP(B2087,LifeList!$E$2:$G$2038,2)</f>
        <v>Crabier blanc</v>
      </c>
      <c r="F2087" s="3" t="str">
        <f>VLOOKUP(B2087,LifeList!$E$2:$G$2038,3)</f>
        <v>Ardeola idae</v>
      </c>
      <c r="G2087" s="3" t="str">
        <f>VLOOKUP(B2087,LifeList!$E$2:$I$2038,4)</f>
        <v>Pelecaniformes</v>
      </c>
      <c r="H2087" s="3" t="str">
        <f>VLOOKUP(B2087,LifeList!$E$2:$I$2038,5)</f>
        <v>Ardeidae (Herons, Egrets, and Bitterns)</v>
      </c>
      <c r="I2087" s="3"/>
    </row>
    <row r="2088" spans="1:9" ht="10.5" customHeight="1">
      <c r="A2088" s="3" t="s">
        <v>2954</v>
      </c>
      <c r="B2088" s="3" t="s">
        <v>2955</v>
      </c>
      <c r="C2088" s="3">
        <f>VLOOKUP(B2088,LifeList!$E$2:$J$2038,6)</f>
        <v>24585</v>
      </c>
      <c r="D2088" s="3" t="str">
        <f>VLOOKUP(B2088,LifeList!$E$2:$G$2038,1)</f>
        <v>Malagasy Bulbul</v>
      </c>
      <c r="E2088" s="3" t="str">
        <f>VLOOKUP(B2088,LifeList!$E$2:$G$2038,2)</f>
        <v>Bulbul de Madagascar</v>
      </c>
      <c r="F2088" s="3" t="str">
        <f>VLOOKUP(B2088,LifeList!$E$2:$G$2038,3)</f>
        <v>Hypsipetes madagascariensis</v>
      </c>
      <c r="G2088" s="3" t="str">
        <f>VLOOKUP(B2088,LifeList!$E$2:$I$2038,4)</f>
        <v>Passeriformes</v>
      </c>
      <c r="H2088" s="3" t="str">
        <f>VLOOKUP(B2088,LifeList!$E$2:$I$2038,5)</f>
        <v>Pycnonotidae (Bulbuls)</v>
      </c>
      <c r="I2088" s="3"/>
    </row>
    <row r="2089" spans="1:9" ht="10.5" customHeight="1">
      <c r="A2089" s="3" t="s">
        <v>2956</v>
      </c>
      <c r="B2089" s="3" t="s">
        <v>2957</v>
      </c>
      <c r="C2089" s="3">
        <f>VLOOKUP(B2089,LifeList!$E$2:$J$2038,6)</f>
        <v>3130</v>
      </c>
      <c r="D2089" s="3" t="str">
        <f>VLOOKUP(B2089,LifeList!$E$2:$G$2038,1)</f>
        <v>Malagasy Coucal</v>
      </c>
      <c r="E2089" s="3" t="str">
        <f>VLOOKUP(B2089,LifeList!$E$2:$G$2038,2)</f>
        <v>Coucal toulou</v>
      </c>
      <c r="F2089" s="3" t="str">
        <f>VLOOKUP(B2089,LifeList!$E$2:$G$2038,3)</f>
        <v>Centropus toulou</v>
      </c>
      <c r="G2089" s="3" t="str">
        <f>VLOOKUP(B2089,LifeList!$E$2:$I$2038,4)</f>
        <v>Cuculiformes</v>
      </c>
      <c r="H2089" s="3" t="str">
        <f>VLOOKUP(B2089,LifeList!$E$2:$I$2038,5)</f>
        <v>Cuculidae (Cuckoos)</v>
      </c>
      <c r="I2089" s="3"/>
    </row>
    <row r="2090" spans="1:9" ht="10.5" customHeight="1">
      <c r="A2090" s="3" t="s">
        <v>2958</v>
      </c>
      <c r="B2090" s="3" t="s">
        <v>2959</v>
      </c>
      <c r="C2090" s="3">
        <f>VLOOKUP(B2090,LifeList!$E$2:$J$2038,6)</f>
        <v>12012</v>
      </c>
      <c r="D2090" s="3" t="str">
        <f>VLOOKUP(B2090,LifeList!$E$2:$G$2038,1)</f>
        <v>Malagasy Kestrel</v>
      </c>
      <c r="E2090" s="3" t="str">
        <f>VLOOKUP(B2090,LifeList!$E$2:$G$2038,2)</f>
        <v>Crécerelle malgache</v>
      </c>
      <c r="F2090" s="3" t="str">
        <f>VLOOKUP(B2090,LifeList!$E$2:$G$2038,3)</f>
        <v>Falco newtoni</v>
      </c>
      <c r="G2090" s="3" t="str">
        <f>VLOOKUP(B2090,LifeList!$E$2:$I$2038,4)</f>
        <v>Falconiformes</v>
      </c>
      <c r="H2090" s="3" t="str">
        <f>VLOOKUP(B2090,LifeList!$E$2:$I$2038,5)</f>
        <v>Falconidae (Falcons and Caracaras)</v>
      </c>
      <c r="I2090" s="3"/>
    </row>
    <row r="2091" spans="1:9" ht="10.5" customHeight="1">
      <c r="A2091" s="3" t="s">
        <v>2960</v>
      </c>
      <c r="B2091" s="3" t="s">
        <v>2959</v>
      </c>
      <c r="C2091" s="3">
        <f>VLOOKUP(B2091,LifeList!$E$2:$J$2038,6)</f>
        <v>12012</v>
      </c>
      <c r="D2091" s="3" t="str">
        <f>VLOOKUP(B2091,LifeList!$E$2:$G$2038,1)</f>
        <v>Malagasy Kestrel</v>
      </c>
      <c r="E2091" s="3" t="str">
        <f>VLOOKUP(B2091,LifeList!$E$2:$G$2038,2)</f>
        <v>Crécerelle malgache</v>
      </c>
      <c r="F2091" s="3" t="str">
        <f>VLOOKUP(B2091,LifeList!$E$2:$G$2038,3)</f>
        <v>Falco newtoni</v>
      </c>
      <c r="G2091" s="3" t="str">
        <f>VLOOKUP(B2091,LifeList!$E$2:$I$2038,4)</f>
        <v>Falconiformes</v>
      </c>
      <c r="H2091" s="3" t="str">
        <f>VLOOKUP(B2091,LifeList!$E$2:$I$2038,5)</f>
        <v>Falconidae (Falcons and Caracaras)</v>
      </c>
      <c r="I2091" s="3"/>
    </row>
    <row r="2092" spans="1:9" ht="10.5" customHeight="1">
      <c r="A2092" s="3" t="s">
        <v>2961</v>
      </c>
      <c r="B2092" s="3" t="s">
        <v>2962</v>
      </c>
      <c r="C2092" s="3">
        <f>VLOOKUP(B2092,LifeList!$E$2:$J$2038,6)</f>
        <v>10004</v>
      </c>
      <c r="D2092" s="3" t="str">
        <f>VLOOKUP(B2092,LifeList!$E$2:$G$2038,1)</f>
        <v>Malagasy Kingfisher</v>
      </c>
      <c r="E2092" s="3" t="str">
        <f>VLOOKUP(B2092,LifeList!$E$2:$G$2038,2)</f>
        <v>Martin-pêcheur vintsi</v>
      </c>
      <c r="F2092" s="3" t="str">
        <f>VLOOKUP(B2092,LifeList!$E$2:$G$2038,3)</f>
        <v>Corythornis vintsioides</v>
      </c>
      <c r="G2092" s="3" t="str">
        <f>VLOOKUP(B2092,LifeList!$E$2:$I$2038,4)</f>
        <v>Coraciiformes</v>
      </c>
      <c r="H2092" s="3" t="str">
        <f>VLOOKUP(B2092,LifeList!$E$2:$I$2038,5)</f>
        <v>Alcedinidae (Kingfishers)</v>
      </c>
      <c r="I2092" s="3"/>
    </row>
    <row r="2093" spans="1:9" ht="10.5" customHeight="1">
      <c r="A2093" s="3" t="s">
        <v>2963</v>
      </c>
      <c r="B2093" s="3" t="s">
        <v>2962</v>
      </c>
      <c r="C2093" s="3">
        <f>VLOOKUP(B2093,LifeList!$E$2:$J$2038,6)</f>
        <v>10004</v>
      </c>
      <c r="D2093" s="3" t="str">
        <f>VLOOKUP(B2093,LifeList!$E$2:$G$2038,1)</f>
        <v>Malagasy Kingfisher</v>
      </c>
      <c r="E2093" s="3" t="str">
        <f>VLOOKUP(B2093,LifeList!$E$2:$G$2038,2)</f>
        <v>Martin-pêcheur vintsi</v>
      </c>
      <c r="F2093" s="3" t="str">
        <f>VLOOKUP(B2093,LifeList!$E$2:$G$2038,3)</f>
        <v>Corythornis vintsioides</v>
      </c>
      <c r="G2093" s="3" t="str">
        <f>VLOOKUP(B2093,LifeList!$E$2:$I$2038,4)</f>
        <v>Coraciiformes</v>
      </c>
      <c r="H2093" s="3" t="str">
        <f>VLOOKUP(B2093,LifeList!$E$2:$I$2038,5)</f>
        <v>Alcedinidae (Kingfishers)</v>
      </c>
      <c r="I2093" s="3"/>
    </row>
    <row r="2094" spans="1:9" ht="10.5" customHeight="1">
      <c r="A2094" s="7" t="s">
        <v>2964</v>
      </c>
      <c r="B2094" s="8" t="s">
        <v>2965</v>
      </c>
      <c r="C2094" s="6">
        <f>VLOOKUP(B2094,LifeList!$E$2:$J$2038,6)</f>
        <v>20753</v>
      </c>
      <c r="D2094" s="3" t="str">
        <f>VLOOKUP(B2094,LifeList!$E$2:$G$2038,1)</f>
        <v>Malagasy Paradise-Flycatcher</v>
      </c>
      <c r="E2094" s="3" t="str">
        <f>VLOOKUP(B2094,LifeList!$E$2:$G$2038,2)</f>
        <v>Tchitrec malgache</v>
      </c>
      <c r="F2094" s="3" t="str">
        <f>VLOOKUP(B2094,LifeList!$E$2:$G$2038,3)</f>
        <v>Terpsiphone mutata</v>
      </c>
      <c r="G2094" s="3" t="str">
        <f>VLOOKUP(B2094,LifeList!$E$2:$I$2038,4)</f>
        <v>Passeriformes</v>
      </c>
      <c r="H2094" s="3" t="str">
        <f>VLOOKUP(B2094,LifeList!$E$2:$I$2038,5)</f>
        <v>Monarchidae (Monarch Flycatchers)</v>
      </c>
      <c r="I2094" s="3"/>
    </row>
    <row r="2095" spans="1:9" ht="10.5" customHeight="1">
      <c r="A2095" s="3" t="s">
        <v>2966</v>
      </c>
      <c r="B2095" s="3" t="s">
        <v>2967</v>
      </c>
      <c r="C2095" s="3">
        <f>VLOOKUP(B2095,LifeList!$E$2:$J$2038,6)</f>
        <v>20753</v>
      </c>
      <c r="D2095" s="3" t="str">
        <f>VLOOKUP(B2095,LifeList!$E$2:$G$2038,1)</f>
        <v>Malagasy Paradise-Flycatcher</v>
      </c>
      <c r="E2095" s="3" t="str">
        <f>VLOOKUP(B2095,LifeList!$E$2:$G$2038,2)</f>
        <v>Tchitrec malgache</v>
      </c>
      <c r="F2095" s="3" t="str">
        <f>VLOOKUP(B2095,LifeList!$E$2:$G$2038,3)</f>
        <v>Terpsiphone mutata</v>
      </c>
      <c r="G2095" s="3" t="str">
        <f>VLOOKUP(B2095,LifeList!$E$2:$I$2038,4)</f>
        <v>Passeriformes</v>
      </c>
      <c r="H2095" s="3" t="str">
        <f>VLOOKUP(B2095,LifeList!$E$2:$I$2038,5)</f>
        <v>Monarchidae (Monarch Flycatchers)</v>
      </c>
      <c r="I2095" s="3"/>
    </row>
    <row r="2096" spans="1:9" ht="10.5" customHeight="1">
      <c r="A2096" s="3" t="s">
        <v>2968</v>
      </c>
      <c r="B2096" s="3" t="s">
        <v>2967</v>
      </c>
      <c r="C2096" s="3">
        <f>VLOOKUP(B2096,LifeList!$E$2:$J$2038,6)</f>
        <v>20753</v>
      </c>
      <c r="D2096" s="3" t="str">
        <f>VLOOKUP(B2096,LifeList!$E$2:$G$2038,1)</f>
        <v>Malagasy Paradise-Flycatcher</v>
      </c>
      <c r="E2096" s="3" t="str">
        <f>VLOOKUP(B2096,LifeList!$E$2:$G$2038,2)</f>
        <v>Tchitrec malgache</v>
      </c>
      <c r="F2096" s="3" t="str">
        <f>VLOOKUP(B2096,LifeList!$E$2:$G$2038,3)</f>
        <v>Terpsiphone mutata</v>
      </c>
      <c r="G2096" s="3" t="str">
        <f>VLOOKUP(B2096,LifeList!$E$2:$I$2038,4)</f>
        <v>Passeriformes</v>
      </c>
      <c r="H2096" s="3" t="str">
        <f>VLOOKUP(B2096,LifeList!$E$2:$I$2038,5)</f>
        <v>Monarchidae (Monarch Flycatchers)</v>
      </c>
      <c r="I2096" s="3"/>
    </row>
    <row r="2097" spans="1:9" ht="10.5" customHeight="1">
      <c r="A2097" s="3" t="s">
        <v>2969</v>
      </c>
      <c r="B2097" s="3" t="s">
        <v>2970</v>
      </c>
      <c r="C2097" s="3">
        <f>VLOOKUP(B2097,LifeList!$E$2:$J$2038,6)</f>
        <v>7715</v>
      </c>
      <c r="D2097" s="3" t="str">
        <f>VLOOKUP(B2097,LifeList!$E$2:$G$2038,1)</f>
        <v>Malagasy Pond-Heron</v>
      </c>
      <c r="E2097" s="3" t="str">
        <f>VLOOKUP(B2097,LifeList!$E$2:$G$2038,2)</f>
        <v>Crabier blanc</v>
      </c>
      <c r="F2097" s="3" t="str">
        <f>VLOOKUP(B2097,LifeList!$E$2:$G$2038,3)</f>
        <v>Ardeola idae</v>
      </c>
      <c r="G2097" s="3" t="str">
        <f>VLOOKUP(B2097,LifeList!$E$2:$I$2038,4)</f>
        <v>Pelecaniformes</v>
      </c>
      <c r="H2097" s="3" t="str">
        <f>VLOOKUP(B2097,LifeList!$E$2:$I$2038,5)</f>
        <v>Ardeidae (Herons, Egrets, and Bitterns)</v>
      </c>
      <c r="I2097" s="3"/>
    </row>
    <row r="2098" spans="1:9" ht="10.5" customHeight="1">
      <c r="A2098" s="3" t="s">
        <v>2971</v>
      </c>
      <c r="B2098" s="3" t="s">
        <v>2970</v>
      </c>
      <c r="C2098" s="3">
        <f>VLOOKUP(B2098,LifeList!$E$2:$J$2038,6)</f>
        <v>7715</v>
      </c>
      <c r="D2098" s="3" t="str">
        <f>VLOOKUP(B2098,LifeList!$E$2:$G$2038,1)</f>
        <v>Malagasy Pond-Heron</v>
      </c>
      <c r="E2098" s="3" t="str">
        <f>VLOOKUP(B2098,LifeList!$E$2:$G$2038,2)</f>
        <v>Crabier blanc</v>
      </c>
      <c r="F2098" s="3" t="str">
        <f>VLOOKUP(B2098,LifeList!$E$2:$G$2038,3)</f>
        <v>Ardeola idae</v>
      </c>
      <c r="G2098" s="3" t="str">
        <f>VLOOKUP(B2098,LifeList!$E$2:$I$2038,4)</f>
        <v>Pelecaniformes</v>
      </c>
      <c r="H2098" s="3" t="str">
        <f>VLOOKUP(B2098,LifeList!$E$2:$I$2038,5)</f>
        <v>Ardeidae (Herons, Egrets, and Bitterns)</v>
      </c>
      <c r="I2098" s="3"/>
    </row>
    <row r="2099" spans="1:9" ht="10.5" customHeight="1">
      <c r="A2099" s="3" t="s">
        <v>2972</v>
      </c>
      <c r="B2099" s="3" t="s">
        <v>2970</v>
      </c>
      <c r="C2099" s="3">
        <f>VLOOKUP(B2099,LifeList!$E$2:$J$2038,6)</f>
        <v>7715</v>
      </c>
      <c r="D2099" s="3" t="str">
        <f>VLOOKUP(B2099,LifeList!$E$2:$G$2038,1)</f>
        <v>Malagasy Pond-Heron</v>
      </c>
      <c r="E2099" s="3" t="str">
        <f>VLOOKUP(B2099,LifeList!$E$2:$G$2038,2)</f>
        <v>Crabier blanc</v>
      </c>
      <c r="F2099" s="3" t="str">
        <f>VLOOKUP(B2099,LifeList!$E$2:$G$2038,3)</f>
        <v>Ardeola idae</v>
      </c>
      <c r="G2099" s="3" t="str">
        <f>VLOOKUP(B2099,LifeList!$E$2:$I$2038,4)</f>
        <v>Pelecaniformes</v>
      </c>
      <c r="H2099" s="3" t="str">
        <f>VLOOKUP(B2099,LifeList!$E$2:$I$2038,5)</f>
        <v>Ardeidae (Herons, Egrets, and Bitterns)</v>
      </c>
      <c r="I2099" s="3"/>
    </row>
    <row r="2100" spans="1:9" ht="10.5" customHeight="1">
      <c r="A2100" s="3" t="s">
        <v>2973</v>
      </c>
      <c r="B2100" s="3" t="s">
        <v>2970</v>
      </c>
      <c r="C2100" s="3">
        <f>VLOOKUP(B2100,LifeList!$E$2:$J$2038,6)</f>
        <v>7715</v>
      </c>
      <c r="D2100" s="3" t="str">
        <f>VLOOKUP(B2100,LifeList!$E$2:$G$2038,1)</f>
        <v>Malagasy Pond-Heron</v>
      </c>
      <c r="E2100" s="3" t="str">
        <f>VLOOKUP(B2100,LifeList!$E$2:$G$2038,2)</f>
        <v>Crabier blanc</v>
      </c>
      <c r="F2100" s="3" t="str">
        <f>VLOOKUP(B2100,LifeList!$E$2:$G$2038,3)</f>
        <v>Ardeola idae</v>
      </c>
      <c r="G2100" s="3" t="str">
        <f>VLOOKUP(B2100,LifeList!$E$2:$I$2038,4)</f>
        <v>Pelecaniformes</v>
      </c>
      <c r="H2100" s="3" t="str">
        <f>VLOOKUP(B2100,LifeList!$E$2:$I$2038,5)</f>
        <v>Ardeidae (Herons, Egrets, and Bitterns)</v>
      </c>
      <c r="I2100" s="3"/>
    </row>
    <row r="2101" spans="1:9" ht="10.5" customHeight="1">
      <c r="A2101" s="3" t="s">
        <v>2974</v>
      </c>
      <c r="B2101" s="3" t="s">
        <v>2970</v>
      </c>
      <c r="C2101" s="3">
        <f>VLOOKUP(B2101,LifeList!$E$2:$J$2038,6)</f>
        <v>7715</v>
      </c>
      <c r="D2101" s="3" t="str">
        <f>VLOOKUP(B2101,LifeList!$E$2:$G$2038,1)</f>
        <v>Malagasy Pond-Heron</v>
      </c>
      <c r="E2101" s="3" t="str">
        <f>VLOOKUP(B2101,LifeList!$E$2:$G$2038,2)</f>
        <v>Crabier blanc</v>
      </c>
      <c r="F2101" s="3" t="str">
        <f>VLOOKUP(B2101,LifeList!$E$2:$G$2038,3)</f>
        <v>Ardeola idae</v>
      </c>
      <c r="G2101" s="3" t="str">
        <f>VLOOKUP(B2101,LifeList!$E$2:$I$2038,4)</f>
        <v>Pelecaniformes</v>
      </c>
      <c r="H2101" s="3" t="str">
        <f>VLOOKUP(B2101,LifeList!$E$2:$I$2038,5)</f>
        <v>Ardeidae (Herons, Egrets, and Bitterns)</v>
      </c>
      <c r="I2101" s="3"/>
    </row>
    <row r="2102" spans="1:9" ht="10.5" customHeight="1">
      <c r="A2102" s="3" t="s">
        <v>2975</v>
      </c>
      <c r="B2102" s="3" t="s">
        <v>2970</v>
      </c>
      <c r="C2102" s="3">
        <f>VLOOKUP(B2102,LifeList!$E$2:$J$2038,6)</f>
        <v>7715</v>
      </c>
      <c r="D2102" s="3" t="str">
        <f>VLOOKUP(B2102,LifeList!$E$2:$G$2038,1)</f>
        <v>Malagasy Pond-Heron</v>
      </c>
      <c r="E2102" s="3" t="str">
        <f>VLOOKUP(B2102,LifeList!$E$2:$G$2038,2)</f>
        <v>Crabier blanc</v>
      </c>
      <c r="F2102" s="3" t="str">
        <f>VLOOKUP(B2102,LifeList!$E$2:$G$2038,3)</f>
        <v>Ardeola idae</v>
      </c>
      <c r="G2102" s="3" t="str">
        <f>VLOOKUP(B2102,LifeList!$E$2:$I$2038,4)</f>
        <v>Pelecaniformes</v>
      </c>
      <c r="H2102" s="3" t="str">
        <f>VLOOKUP(B2102,LifeList!$E$2:$I$2038,5)</f>
        <v>Ardeidae (Herons, Egrets, and Bitterns)</v>
      </c>
      <c r="I2102" s="3"/>
    </row>
    <row r="2103" spans="1:9" ht="10.5" customHeight="1">
      <c r="A2103" s="3" t="s">
        <v>2976</v>
      </c>
      <c r="B2103" s="3" t="s">
        <v>2970</v>
      </c>
      <c r="C2103" s="3">
        <f>VLOOKUP(B2103,LifeList!$E$2:$J$2038,6)</f>
        <v>7715</v>
      </c>
      <c r="D2103" s="3" t="str">
        <f>VLOOKUP(B2103,LifeList!$E$2:$G$2038,1)</f>
        <v>Malagasy Pond-Heron</v>
      </c>
      <c r="E2103" s="3" t="str">
        <f>VLOOKUP(B2103,LifeList!$E$2:$G$2038,2)</f>
        <v>Crabier blanc</v>
      </c>
      <c r="F2103" s="3" t="str">
        <f>VLOOKUP(B2103,LifeList!$E$2:$G$2038,3)</f>
        <v>Ardeola idae</v>
      </c>
      <c r="G2103" s="3" t="str">
        <f>VLOOKUP(B2103,LifeList!$E$2:$I$2038,4)</f>
        <v>Pelecaniformes</v>
      </c>
      <c r="H2103" s="3" t="str">
        <f>VLOOKUP(B2103,LifeList!$E$2:$I$2038,5)</f>
        <v>Ardeidae (Herons, Egrets, and Bitterns)</v>
      </c>
      <c r="I2103" s="3"/>
    </row>
    <row r="2104" spans="1:9" ht="10.5" customHeight="1">
      <c r="A2104" s="3" t="s">
        <v>2977</v>
      </c>
      <c r="B2104" s="3" t="s">
        <v>2970</v>
      </c>
      <c r="C2104" s="3">
        <f>VLOOKUP(B2104,LifeList!$E$2:$J$2038,6)</f>
        <v>7715</v>
      </c>
      <c r="D2104" s="3" t="str">
        <f>VLOOKUP(B2104,LifeList!$E$2:$G$2038,1)</f>
        <v>Malagasy Pond-Heron</v>
      </c>
      <c r="E2104" s="3" t="str">
        <f>VLOOKUP(B2104,LifeList!$E$2:$G$2038,2)</f>
        <v>Crabier blanc</v>
      </c>
      <c r="F2104" s="3" t="str">
        <f>VLOOKUP(B2104,LifeList!$E$2:$G$2038,3)</f>
        <v>Ardeola idae</v>
      </c>
      <c r="G2104" s="3" t="str">
        <f>VLOOKUP(B2104,LifeList!$E$2:$I$2038,4)</f>
        <v>Pelecaniformes</v>
      </c>
      <c r="H2104" s="3" t="str">
        <f>VLOOKUP(B2104,LifeList!$E$2:$I$2038,5)</f>
        <v>Ardeidae (Herons, Egrets, and Bitterns)</v>
      </c>
      <c r="I2104" s="3"/>
    </row>
    <row r="2105" spans="1:9" ht="10.5" customHeight="1">
      <c r="A2105" s="3" t="s">
        <v>2978</v>
      </c>
      <c r="B2105" s="3" t="s">
        <v>2970</v>
      </c>
      <c r="C2105" s="3">
        <f>VLOOKUP(B2105,LifeList!$E$2:$J$2038,6)</f>
        <v>7715</v>
      </c>
      <c r="D2105" s="3" t="str">
        <f>VLOOKUP(B2105,LifeList!$E$2:$G$2038,1)</f>
        <v>Malagasy Pond-Heron</v>
      </c>
      <c r="E2105" s="3" t="str">
        <f>VLOOKUP(B2105,LifeList!$E$2:$G$2038,2)</f>
        <v>Crabier blanc</v>
      </c>
      <c r="F2105" s="3" t="str">
        <f>VLOOKUP(B2105,LifeList!$E$2:$G$2038,3)</f>
        <v>Ardeola idae</v>
      </c>
      <c r="G2105" s="3" t="str">
        <f>VLOOKUP(B2105,LifeList!$E$2:$I$2038,4)</f>
        <v>Pelecaniformes</v>
      </c>
      <c r="H2105" s="3" t="str">
        <f>VLOOKUP(B2105,LifeList!$E$2:$I$2038,5)</f>
        <v>Ardeidae (Herons, Egrets, and Bitterns)</v>
      </c>
      <c r="I2105" s="3"/>
    </row>
    <row r="2106" spans="1:9" ht="10.5" customHeight="1">
      <c r="A2106" s="3" t="s">
        <v>2979</v>
      </c>
      <c r="B2106" s="3" t="s">
        <v>2980</v>
      </c>
      <c r="C2106" s="3">
        <f>VLOOKUP(B2106,LifeList!$E$2:$J$2038,6)</f>
        <v>545</v>
      </c>
      <c r="D2106" s="3" t="str">
        <f>VLOOKUP(B2106,LifeList!$E$2:$G$2038,1)</f>
        <v>Mallard</v>
      </c>
      <c r="E2106" s="3" t="str">
        <f>VLOOKUP(B2106,LifeList!$E$2:$G$2038,2)</f>
        <v>Canard colvert</v>
      </c>
      <c r="F2106" s="3" t="str">
        <f>VLOOKUP(B2106,LifeList!$E$2:$G$2038,3)</f>
        <v>Anas platyrhynchos</v>
      </c>
      <c r="G2106" s="3" t="str">
        <f>VLOOKUP(B2106,LifeList!$E$2:$I$2038,4)</f>
        <v>Anseriformes</v>
      </c>
      <c r="H2106" s="3" t="str">
        <f>VLOOKUP(B2106,LifeList!$E$2:$I$2038,5)</f>
        <v>Anatidae (Ducks, Geese, and Waterfowl)</v>
      </c>
      <c r="I2106" s="3"/>
    </row>
    <row r="2107" spans="1:9" ht="10.5" customHeight="1">
      <c r="A2107" s="3" t="s">
        <v>2981</v>
      </c>
      <c r="B2107" s="3" t="s">
        <v>2980</v>
      </c>
      <c r="C2107" s="3">
        <f>VLOOKUP(B2107,LifeList!$E$2:$J$2038,6)</f>
        <v>545</v>
      </c>
      <c r="D2107" s="3" t="str">
        <f>VLOOKUP(B2107,LifeList!$E$2:$G$2038,1)</f>
        <v>Mallard</v>
      </c>
      <c r="E2107" s="3" t="str">
        <f>VLOOKUP(B2107,LifeList!$E$2:$G$2038,2)</f>
        <v>Canard colvert</v>
      </c>
      <c r="F2107" s="3" t="str">
        <f>VLOOKUP(B2107,LifeList!$E$2:$G$2038,3)</f>
        <v>Anas platyrhynchos</v>
      </c>
      <c r="G2107" s="3" t="str">
        <f>VLOOKUP(B2107,LifeList!$E$2:$I$2038,4)</f>
        <v>Anseriformes</v>
      </c>
      <c r="H2107" s="3" t="str">
        <f>VLOOKUP(B2107,LifeList!$E$2:$I$2038,5)</f>
        <v>Anatidae (Ducks, Geese, and Waterfowl)</v>
      </c>
      <c r="I2107" s="3"/>
    </row>
    <row r="2108" spans="1:9" ht="10.5" customHeight="1">
      <c r="A2108" s="3" t="s">
        <v>2982</v>
      </c>
      <c r="B2108" s="3" t="s">
        <v>2980</v>
      </c>
      <c r="C2108" s="3">
        <f>VLOOKUP(B2108,LifeList!$E$2:$J$2038,6)</f>
        <v>545</v>
      </c>
      <c r="D2108" s="3" t="str">
        <f>VLOOKUP(B2108,LifeList!$E$2:$G$2038,1)</f>
        <v>Mallard</v>
      </c>
      <c r="E2108" s="3" t="str">
        <f>VLOOKUP(B2108,LifeList!$E$2:$G$2038,2)</f>
        <v>Canard colvert</v>
      </c>
      <c r="F2108" s="3" t="str">
        <f>VLOOKUP(B2108,LifeList!$E$2:$G$2038,3)</f>
        <v>Anas platyrhynchos</v>
      </c>
      <c r="G2108" s="3" t="str">
        <f>VLOOKUP(B2108,LifeList!$E$2:$I$2038,4)</f>
        <v>Anseriformes</v>
      </c>
      <c r="H2108" s="3" t="str">
        <f>VLOOKUP(B2108,LifeList!$E$2:$I$2038,5)</f>
        <v>Anatidae (Ducks, Geese, and Waterfowl)</v>
      </c>
      <c r="I2108" s="3"/>
    </row>
    <row r="2109" spans="1:9" ht="10.5" customHeight="1">
      <c r="A2109" s="3" t="s">
        <v>2983</v>
      </c>
      <c r="B2109" s="3" t="s">
        <v>2980</v>
      </c>
      <c r="C2109" s="3">
        <f>VLOOKUP(B2109,LifeList!$E$2:$J$2038,6)</f>
        <v>545</v>
      </c>
      <c r="D2109" s="3" t="str">
        <f>VLOOKUP(B2109,LifeList!$E$2:$G$2038,1)</f>
        <v>Mallard</v>
      </c>
      <c r="E2109" s="3" t="str">
        <f>VLOOKUP(B2109,LifeList!$E$2:$G$2038,2)</f>
        <v>Canard colvert</v>
      </c>
      <c r="F2109" s="3" t="str">
        <f>VLOOKUP(B2109,LifeList!$E$2:$G$2038,3)</f>
        <v>Anas platyrhynchos</v>
      </c>
      <c r="G2109" s="3" t="str">
        <f>VLOOKUP(B2109,LifeList!$E$2:$I$2038,4)</f>
        <v>Anseriformes</v>
      </c>
      <c r="H2109" s="3" t="str">
        <f>VLOOKUP(B2109,LifeList!$E$2:$I$2038,5)</f>
        <v>Anatidae (Ducks, Geese, and Waterfowl)</v>
      </c>
      <c r="I2109" s="3"/>
    </row>
    <row r="2110" spans="1:9" ht="10.5" customHeight="1">
      <c r="A2110" s="3" t="s">
        <v>2984</v>
      </c>
      <c r="B2110" s="3" t="s">
        <v>2980</v>
      </c>
      <c r="C2110" s="3">
        <f>VLOOKUP(B2110,LifeList!$E$2:$J$2038,6)</f>
        <v>545</v>
      </c>
      <c r="D2110" s="3" t="str">
        <f>VLOOKUP(B2110,LifeList!$E$2:$G$2038,1)</f>
        <v>Mallard</v>
      </c>
      <c r="E2110" s="3" t="str">
        <f>VLOOKUP(B2110,LifeList!$E$2:$G$2038,2)</f>
        <v>Canard colvert</v>
      </c>
      <c r="F2110" s="3" t="str">
        <f>VLOOKUP(B2110,LifeList!$E$2:$G$2038,3)</f>
        <v>Anas platyrhynchos</v>
      </c>
      <c r="G2110" s="3" t="str">
        <f>VLOOKUP(B2110,LifeList!$E$2:$I$2038,4)</f>
        <v>Anseriformes</v>
      </c>
      <c r="H2110" s="3" t="str">
        <f>VLOOKUP(B2110,LifeList!$E$2:$I$2038,5)</f>
        <v>Anatidae (Ducks, Geese, and Waterfowl)</v>
      </c>
      <c r="I2110" s="3"/>
    </row>
    <row r="2111" spans="1:9" ht="10.5" customHeight="1">
      <c r="A2111" s="3" t="s">
        <v>2985</v>
      </c>
      <c r="B2111" s="3" t="s">
        <v>2980</v>
      </c>
      <c r="C2111" s="3">
        <f>VLOOKUP(B2111,LifeList!$E$2:$J$2038,6)</f>
        <v>545</v>
      </c>
      <c r="D2111" s="3" t="str">
        <f>VLOOKUP(B2111,LifeList!$E$2:$G$2038,1)</f>
        <v>Mallard</v>
      </c>
      <c r="E2111" s="3" t="str">
        <f>VLOOKUP(B2111,LifeList!$E$2:$G$2038,2)</f>
        <v>Canard colvert</v>
      </c>
      <c r="F2111" s="3" t="str">
        <f>VLOOKUP(B2111,LifeList!$E$2:$G$2038,3)</f>
        <v>Anas platyrhynchos</v>
      </c>
      <c r="G2111" s="3" t="str">
        <f>VLOOKUP(B2111,LifeList!$E$2:$I$2038,4)</f>
        <v>Anseriformes</v>
      </c>
      <c r="H2111" s="3" t="str">
        <f>VLOOKUP(B2111,LifeList!$E$2:$I$2038,5)</f>
        <v>Anatidae (Ducks, Geese, and Waterfowl)</v>
      </c>
      <c r="I2111" s="3"/>
    </row>
    <row r="2112" spans="1:9" ht="10.5" customHeight="1">
      <c r="A2112" s="7" t="s">
        <v>2986</v>
      </c>
      <c r="B2112" s="9" t="s">
        <v>2987</v>
      </c>
      <c r="C2112" s="6">
        <f>VLOOKUP(B2112,LifeList!$E$2:$J$2038,6)</f>
        <v>814</v>
      </c>
      <c r="D2112" s="3" t="str">
        <f>VLOOKUP(B2112,LifeList!$E$2:$G$2038,1)</f>
        <v>Malleefowl</v>
      </c>
      <c r="E2112" s="3" t="str">
        <f>VLOOKUP(B2112,LifeList!$E$2:$G$2038,2)</f>
        <v>Léipoa ocellé</v>
      </c>
      <c r="F2112" s="3" t="str">
        <f>VLOOKUP(B2112,LifeList!$E$2:$G$2038,3)</f>
        <v>Leipoa ocellata</v>
      </c>
      <c r="G2112" s="3" t="str">
        <f>VLOOKUP(B2112,LifeList!$E$2:$I$2038,4)</f>
        <v>Galliformes</v>
      </c>
      <c r="H2112" s="3" t="str">
        <f>VLOOKUP(B2112,LifeList!$E$2:$I$2038,5)</f>
        <v>Megapodiidae (Megapodes)</v>
      </c>
      <c r="I2112" s="3"/>
    </row>
    <row r="2113" spans="1:9" ht="10.5" customHeight="1">
      <c r="A2113" s="3" t="s">
        <v>2988</v>
      </c>
      <c r="B2113" s="3" t="s">
        <v>2989</v>
      </c>
      <c r="C2113" s="3">
        <f>VLOOKUP(B2113,LifeList!$E$2:$J$2038,6)</f>
        <v>459</v>
      </c>
      <c r="D2113" s="3" t="str">
        <f>VLOOKUP(B2113,LifeList!$E$2:$G$2038,1)</f>
        <v>Maned Duck</v>
      </c>
      <c r="E2113" s="3" t="str">
        <f>VLOOKUP(B2113,LifeList!$E$2:$G$2038,2)</f>
        <v>Canard à crinière</v>
      </c>
      <c r="F2113" s="3" t="str">
        <f>VLOOKUP(B2113,LifeList!$E$2:$G$2038,3)</f>
        <v>Chenonetta jubata</v>
      </c>
      <c r="G2113" s="3" t="str">
        <f>VLOOKUP(B2113,LifeList!$E$2:$I$2038,4)</f>
        <v>Anseriformes</v>
      </c>
      <c r="H2113" s="3" t="str">
        <f>VLOOKUP(B2113,LifeList!$E$2:$I$2038,5)</f>
        <v>Anatidae (Ducks, Geese, and Waterfowl)</v>
      </c>
      <c r="I2113" s="3"/>
    </row>
    <row r="2114" spans="1:9" ht="10.5" customHeight="1">
      <c r="A2114" s="3" t="s">
        <v>2990</v>
      </c>
      <c r="B2114" s="3" t="s">
        <v>2989</v>
      </c>
      <c r="C2114" s="3">
        <f>VLOOKUP(B2114,LifeList!$E$2:$J$2038,6)</f>
        <v>459</v>
      </c>
      <c r="D2114" s="3" t="str">
        <f>VLOOKUP(B2114,LifeList!$E$2:$G$2038,1)</f>
        <v>Maned Duck</v>
      </c>
      <c r="E2114" s="3" t="str">
        <f>VLOOKUP(B2114,LifeList!$E$2:$G$2038,2)</f>
        <v>Canard à crinière</v>
      </c>
      <c r="F2114" s="3" t="str">
        <f>VLOOKUP(B2114,LifeList!$E$2:$G$2038,3)</f>
        <v>Chenonetta jubata</v>
      </c>
      <c r="G2114" s="3" t="str">
        <f>VLOOKUP(B2114,LifeList!$E$2:$I$2038,4)</f>
        <v>Anseriformes</v>
      </c>
      <c r="H2114" s="3" t="str">
        <f>VLOOKUP(B2114,LifeList!$E$2:$I$2038,5)</f>
        <v>Anatidae (Ducks, Geese, and Waterfowl)</v>
      </c>
      <c r="I2114" s="3"/>
    </row>
    <row r="2115" spans="1:9" ht="10.5" customHeight="1">
      <c r="A2115" s="3" t="s">
        <v>2991</v>
      </c>
      <c r="B2115" s="3" t="s">
        <v>2992</v>
      </c>
      <c r="C2115" s="3">
        <f>VLOOKUP(B2115,LifeList!$E$2:$J$2038,6)</f>
        <v>3241</v>
      </c>
      <c r="D2115" s="3" t="str">
        <f>VLOOKUP(B2115,LifeList!$E$2:$G$2038,1)</f>
        <v>Mangrove Cuckoo</v>
      </c>
      <c r="E2115" s="3" t="str">
        <f>VLOOKUP(B2115,LifeList!$E$2:$G$2038,2)</f>
        <v>Coulicou manioc</v>
      </c>
      <c r="F2115" s="3" t="str">
        <f>VLOOKUP(B2115,LifeList!$E$2:$G$2038,3)</f>
        <v>Coccyzus minor</v>
      </c>
      <c r="G2115" s="3" t="str">
        <f>VLOOKUP(B2115,LifeList!$E$2:$I$2038,4)</f>
        <v>Cuculiformes</v>
      </c>
      <c r="H2115" s="3" t="str">
        <f>VLOOKUP(B2115,LifeList!$E$2:$I$2038,5)</f>
        <v>Cuculidae (Cuckoos)</v>
      </c>
      <c r="I2115" s="3"/>
    </row>
    <row r="2116" spans="1:9" ht="10.5" customHeight="1">
      <c r="A2116" s="3" t="s">
        <v>2993</v>
      </c>
      <c r="B2116" s="3" t="s">
        <v>2994</v>
      </c>
      <c r="C2116" s="3">
        <f>VLOOKUP(B2116,LifeList!$E$2:$J$2038,6)</f>
        <v>24070</v>
      </c>
      <c r="D2116" s="3" t="str">
        <f>VLOOKUP(B2116,LifeList!$E$2:$G$2038,1)</f>
        <v>Mangrove Swallow</v>
      </c>
      <c r="E2116" s="3" t="str">
        <f>VLOOKUP(B2116,LifeList!$E$2:$G$2038,2)</f>
        <v>Hirondelle des mangroves</v>
      </c>
      <c r="F2116" s="3" t="str">
        <f>VLOOKUP(B2116,LifeList!$E$2:$G$2038,3)</f>
        <v>Tachycineta albilinea</v>
      </c>
      <c r="G2116" s="3" t="str">
        <f>VLOOKUP(B2116,LifeList!$E$2:$I$2038,4)</f>
        <v>Passeriformes</v>
      </c>
      <c r="H2116" s="3" t="str">
        <f>VLOOKUP(B2116,LifeList!$E$2:$I$2038,5)</f>
        <v>Hirundinidae (Swallows)</v>
      </c>
      <c r="I2116" s="3"/>
    </row>
    <row r="2117" spans="1:9" ht="10.5" customHeight="1">
      <c r="A2117" s="7" t="s">
        <v>2995</v>
      </c>
      <c r="B2117" s="8" t="s">
        <v>2996</v>
      </c>
      <c r="C2117" s="6">
        <f>VLOOKUP(B2117,LifeList!$E$2:$J$2038,6)</f>
        <v>34097</v>
      </c>
      <c r="D2117" s="3" t="str">
        <f>VLOOKUP(B2117,LifeList!$E$2:$G$2038,1)</f>
        <v>Mangrove Yellow Warbler</v>
      </c>
      <c r="E2117" s="3" t="str">
        <f>VLOOKUP(B2117,LifeList!$E$2:$G$2038,2)</f>
        <v>Paruline des mangroves</v>
      </c>
      <c r="F2117" s="3" t="str">
        <f>VLOOKUP(B2117,LifeList!$E$2:$G$2038,3)</f>
        <v>Setophaga petechia</v>
      </c>
      <c r="G2117" s="3" t="str">
        <f>VLOOKUP(B2117,LifeList!$E$2:$I$2038,4)</f>
        <v>Passeriformes</v>
      </c>
      <c r="H2117" s="3" t="str">
        <f>VLOOKUP(B2117,LifeList!$E$2:$I$2038,5)</f>
        <v>Parulidae (New World Warblers)</v>
      </c>
      <c r="I2117" s="3"/>
    </row>
    <row r="2118" spans="1:9" ht="10.5" customHeight="1">
      <c r="A2118" s="7" t="s">
        <v>2997</v>
      </c>
      <c r="B2118" s="8" t="s">
        <v>2996</v>
      </c>
      <c r="C2118" s="6">
        <f>VLOOKUP(B2118,LifeList!$E$2:$J$2038,6)</f>
        <v>34097</v>
      </c>
      <c r="D2118" s="3" t="str">
        <f>VLOOKUP(B2118,LifeList!$E$2:$G$2038,1)</f>
        <v>Mangrove Yellow Warbler</v>
      </c>
      <c r="E2118" s="3" t="str">
        <f>VLOOKUP(B2118,LifeList!$E$2:$G$2038,2)</f>
        <v>Paruline des mangroves</v>
      </c>
      <c r="F2118" s="3" t="str">
        <f>VLOOKUP(B2118,LifeList!$E$2:$G$2038,3)</f>
        <v>Setophaga petechia</v>
      </c>
      <c r="G2118" s="3" t="str">
        <f>VLOOKUP(B2118,LifeList!$E$2:$I$2038,4)</f>
        <v>Passeriformes</v>
      </c>
      <c r="H2118" s="3" t="str">
        <f>VLOOKUP(B2118,LifeList!$E$2:$I$2038,5)</f>
        <v>Parulidae (New World Warblers)</v>
      </c>
      <c r="I2118" s="3"/>
    </row>
    <row r="2119" spans="1:9" ht="10.5" customHeight="1">
      <c r="A2119" s="3" t="s">
        <v>2998</v>
      </c>
      <c r="B2119" s="3" t="s">
        <v>2999</v>
      </c>
      <c r="C2119" s="3">
        <f>VLOOKUP(B2119,LifeList!$E$2:$J$2038,6)</f>
        <v>7303</v>
      </c>
      <c r="D2119" s="3" t="str">
        <f>VLOOKUP(B2119,LifeList!$E$2:$G$2038,1)</f>
        <v>Marabou Stork</v>
      </c>
      <c r="E2119" s="3" t="str">
        <f>VLOOKUP(B2119,LifeList!$E$2:$G$2038,2)</f>
        <v>Marabout d'Afrique</v>
      </c>
      <c r="F2119" s="3" t="str">
        <f>VLOOKUP(B2119,LifeList!$E$2:$G$2038,3)</f>
        <v>Leptoptilos crumenifer</v>
      </c>
      <c r="G2119" s="3" t="str">
        <f>VLOOKUP(B2119,LifeList!$E$2:$I$2038,4)</f>
        <v>Ciconiiformes</v>
      </c>
      <c r="H2119" s="3" t="str">
        <f>VLOOKUP(B2119,LifeList!$E$2:$I$2038,5)</f>
        <v>Ciconiidae (Storks)</v>
      </c>
      <c r="I2119" s="3"/>
    </row>
    <row r="2120" spans="1:9" ht="10.5" customHeight="1">
      <c r="A2120" s="3" t="s">
        <v>3000</v>
      </c>
      <c r="B2120" s="3" t="s">
        <v>2999</v>
      </c>
      <c r="C2120" s="3">
        <f>VLOOKUP(B2120,LifeList!$E$2:$J$2038,6)</f>
        <v>7303</v>
      </c>
      <c r="D2120" s="3" t="str">
        <f>VLOOKUP(B2120,LifeList!$E$2:$G$2038,1)</f>
        <v>Marabou Stork</v>
      </c>
      <c r="E2120" s="3" t="str">
        <f>VLOOKUP(B2120,LifeList!$E$2:$G$2038,2)</f>
        <v>Marabout d'Afrique</v>
      </c>
      <c r="F2120" s="3" t="str">
        <f>VLOOKUP(B2120,LifeList!$E$2:$G$2038,3)</f>
        <v>Leptoptilos crumenifer</v>
      </c>
      <c r="G2120" s="3" t="str">
        <f>VLOOKUP(B2120,LifeList!$E$2:$I$2038,4)</f>
        <v>Ciconiiformes</v>
      </c>
      <c r="H2120" s="3" t="str">
        <f>VLOOKUP(B2120,LifeList!$E$2:$I$2038,5)</f>
        <v>Ciconiidae (Storks)</v>
      </c>
      <c r="I2120" s="3"/>
    </row>
    <row r="2121" spans="1:9" ht="10.5" customHeight="1">
      <c r="A2121" s="3" t="s">
        <v>3001</v>
      </c>
      <c r="B2121" s="3" t="s">
        <v>3002</v>
      </c>
      <c r="C2121" s="3">
        <f>VLOOKUP(B2121,LifeList!$E$2:$J$2038,6)</f>
        <v>6051</v>
      </c>
      <c r="D2121" s="3" t="str">
        <f>VLOOKUP(B2121,LifeList!$E$2:$G$2038,1)</f>
        <v>Marbled Godwit</v>
      </c>
      <c r="E2121" s="3" t="str">
        <f>VLOOKUP(B2121,LifeList!$E$2:$G$2038,2)</f>
        <v>Barge marbrée</v>
      </c>
      <c r="F2121" s="3" t="str">
        <f>VLOOKUP(B2121,LifeList!$E$2:$G$2038,3)</f>
        <v>Limosa fedoa</v>
      </c>
      <c r="G2121" s="3" t="str">
        <f>VLOOKUP(B2121,LifeList!$E$2:$I$2038,4)</f>
        <v>Charadriiformes</v>
      </c>
      <c r="H2121" s="3" t="str">
        <f>VLOOKUP(B2121,LifeList!$E$2:$I$2038,5)</f>
        <v>Scolopacidae (Sandpipers and Allies)</v>
      </c>
      <c r="I2121" s="3"/>
    </row>
    <row r="2122" spans="1:9" ht="10.5" customHeight="1">
      <c r="A2122" s="3" t="s">
        <v>3003</v>
      </c>
      <c r="B2122" s="3" t="s">
        <v>3002</v>
      </c>
      <c r="C2122" s="3">
        <f>VLOOKUP(B2122,LifeList!$E$2:$J$2038,6)</f>
        <v>6051</v>
      </c>
      <c r="D2122" s="3" t="str">
        <f>VLOOKUP(B2122,LifeList!$E$2:$G$2038,1)</f>
        <v>Marbled Godwit</v>
      </c>
      <c r="E2122" s="3" t="str">
        <f>VLOOKUP(B2122,LifeList!$E$2:$G$2038,2)</f>
        <v>Barge marbrée</v>
      </c>
      <c r="F2122" s="3" t="str">
        <f>VLOOKUP(B2122,LifeList!$E$2:$G$2038,3)</f>
        <v>Limosa fedoa</v>
      </c>
      <c r="G2122" s="3" t="str">
        <f>VLOOKUP(B2122,LifeList!$E$2:$I$2038,4)</f>
        <v>Charadriiformes</v>
      </c>
      <c r="H2122" s="3" t="str">
        <f>VLOOKUP(B2122,LifeList!$E$2:$I$2038,5)</f>
        <v>Scolopacidae (Sandpipers and Allies)</v>
      </c>
      <c r="I2122" s="3"/>
    </row>
    <row r="2123" spans="1:9" ht="10.5" customHeight="1">
      <c r="A2123" s="3" t="s">
        <v>3004</v>
      </c>
      <c r="B2123" s="3" t="s">
        <v>3002</v>
      </c>
      <c r="C2123" s="3">
        <f>VLOOKUP(B2123,LifeList!$E$2:$J$2038,6)</f>
        <v>6051</v>
      </c>
      <c r="D2123" s="3" t="str">
        <f>VLOOKUP(B2123,LifeList!$E$2:$G$2038,1)</f>
        <v>Marbled Godwit</v>
      </c>
      <c r="E2123" s="3" t="str">
        <f>VLOOKUP(B2123,LifeList!$E$2:$G$2038,2)</f>
        <v>Barge marbrée</v>
      </c>
      <c r="F2123" s="3" t="str">
        <f>VLOOKUP(B2123,LifeList!$E$2:$G$2038,3)</f>
        <v>Limosa fedoa</v>
      </c>
      <c r="G2123" s="3" t="str">
        <f>VLOOKUP(B2123,LifeList!$E$2:$I$2038,4)</f>
        <v>Charadriiformes</v>
      </c>
      <c r="H2123" s="3" t="str">
        <f>VLOOKUP(B2123,LifeList!$E$2:$I$2038,5)</f>
        <v>Scolopacidae (Sandpipers and Allies)</v>
      </c>
      <c r="I2123" s="3"/>
    </row>
    <row r="2124" spans="1:9" ht="10.5" customHeight="1">
      <c r="A2124" s="3" t="s">
        <v>3005</v>
      </c>
      <c r="B2124" s="3" t="s">
        <v>3002</v>
      </c>
      <c r="C2124" s="3">
        <f>VLOOKUP(B2124,LifeList!$E$2:$J$2038,6)</f>
        <v>6051</v>
      </c>
      <c r="D2124" s="3" t="str">
        <f>VLOOKUP(B2124,LifeList!$E$2:$G$2038,1)</f>
        <v>Marbled Godwit</v>
      </c>
      <c r="E2124" s="3" t="str">
        <f>VLOOKUP(B2124,LifeList!$E$2:$G$2038,2)</f>
        <v>Barge marbrée</v>
      </c>
      <c r="F2124" s="3" t="str">
        <f>VLOOKUP(B2124,LifeList!$E$2:$G$2038,3)</f>
        <v>Limosa fedoa</v>
      </c>
      <c r="G2124" s="3" t="str">
        <f>VLOOKUP(B2124,LifeList!$E$2:$I$2038,4)</f>
        <v>Charadriiformes</v>
      </c>
      <c r="H2124" s="3" t="str">
        <f>VLOOKUP(B2124,LifeList!$E$2:$I$2038,5)</f>
        <v>Scolopacidae (Sandpipers and Allies)</v>
      </c>
      <c r="I2124" s="3"/>
    </row>
    <row r="2125" spans="1:9" ht="10.5" customHeight="1">
      <c r="A2125" s="7" t="s">
        <v>3006</v>
      </c>
      <c r="B2125" s="9" t="s">
        <v>3007</v>
      </c>
      <c r="C2125" s="6">
        <f>VLOOKUP(B2125,LifeList!$E$2:$J$2038,6)</f>
        <v>30393</v>
      </c>
      <c r="D2125" s="3" t="str">
        <f>VLOOKUP(B2125,LifeList!$E$2:$G$2038,1)</f>
        <v>Marico Sunbird</v>
      </c>
      <c r="E2125" s="3" t="str">
        <f>VLOOKUP(B2125,LifeList!$E$2:$G$2038,2)</f>
        <v>Souimanga du Marico</v>
      </c>
      <c r="F2125" s="3" t="str">
        <f>VLOOKUP(B2125,LifeList!$E$2:$G$2038,3)</f>
        <v>Cinnyris mariquensis</v>
      </c>
      <c r="G2125" s="3" t="str">
        <f>VLOOKUP(B2125,LifeList!$E$2:$I$2038,4)</f>
        <v>Passeriformes</v>
      </c>
      <c r="H2125" s="3" t="str">
        <f>VLOOKUP(B2125,LifeList!$E$2:$I$2038,5)</f>
        <v>Nectariniidae (Sunbirds and Spiderhunters)</v>
      </c>
      <c r="I2125" s="3"/>
    </row>
    <row r="2126" spans="1:9" ht="10.5" customHeight="1">
      <c r="A2126" s="7" t="s">
        <v>3008</v>
      </c>
      <c r="B2126" s="9" t="s">
        <v>3007</v>
      </c>
      <c r="C2126" s="6">
        <f>VLOOKUP(B2126,LifeList!$E$2:$J$2038,6)</f>
        <v>30393</v>
      </c>
      <c r="D2126" s="3" t="str">
        <f>VLOOKUP(B2126,LifeList!$E$2:$G$2038,1)</f>
        <v>Marico Sunbird</v>
      </c>
      <c r="E2126" s="3" t="str">
        <f>VLOOKUP(B2126,LifeList!$E$2:$G$2038,2)</f>
        <v>Souimanga du Marico</v>
      </c>
      <c r="F2126" s="3" t="str">
        <f>VLOOKUP(B2126,LifeList!$E$2:$G$2038,3)</f>
        <v>Cinnyris mariquensis</v>
      </c>
      <c r="G2126" s="3" t="str">
        <f>VLOOKUP(B2126,LifeList!$E$2:$I$2038,4)</f>
        <v>Passeriformes</v>
      </c>
      <c r="H2126" s="3" t="str">
        <f>VLOOKUP(B2126,LifeList!$E$2:$I$2038,5)</f>
        <v>Nectariniidae (Sunbirds and Spiderhunters)</v>
      </c>
      <c r="I2126" s="3"/>
    </row>
    <row r="2127" spans="1:9" ht="10.5" customHeight="1">
      <c r="A2127" s="3" t="s">
        <v>3009</v>
      </c>
      <c r="B2127" s="3" t="s">
        <v>3010</v>
      </c>
      <c r="C2127" s="3">
        <f>VLOOKUP(B2127,LifeList!$E$2:$J$2038,6)</f>
        <v>6136</v>
      </c>
      <c r="D2127" s="3" t="str">
        <f>VLOOKUP(B2127,LifeList!$E$2:$G$2038,1)</f>
        <v>Marsh Sandpiper</v>
      </c>
      <c r="E2127" s="3" t="str">
        <f>VLOOKUP(B2127,LifeList!$E$2:$G$2038,2)</f>
        <v>Chevalier stagnatile</v>
      </c>
      <c r="F2127" s="3" t="str">
        <f>VLOOKUP(B2127,LifeList!$E$2:$G$2038,3)</f>
        <v>Tringa stagnatilis</v>
      </c>
      <c r="G2127" s="3" t="str">
        <f>VLOOKUP(B2127,LifeList!$E$2:$I$2038,4)</f>
        <v>Charadriiformes</v>
      </c>
      <c r="H2127" s="3" t="str">
        <f>VLOOKUP(B2127,LifeList!$E$2:$I$2038,5)</f>
        <v>Scolopacidae (Sandpipers and Allies)</v>
      </c>
      <c r="I2127" s="3"/>
    </row>
    <row r="2128" spans="1:9" ht="10.5" customHeight="1">
      <c r="A2128" s="3" t="s">
        <v>3011</v>
      </c>
      <c r="B2128" s="3" t="s">
        <v>3012</v>
      </c>
      <c r="C2128" s="3">
        <f>VLOOKUP(B2128,LifeList!$E$2:$J$2038,6)</f>
        <v>27329</v>
      </c>
      <c r="D2128" s="3" t="str">
        <f>VLOOKUP(B2128,LifeList!$E$2:$G$2038,1)</f>
        <v>Marsh Wren</v>
      </c>
      <c r="E2128" s="3" t="str">
        <f>VLOOKUP(B2128,LifeList!$E$2:$G$2038,2)</f>
        <v>Troglodyte des marais</v>
      </c>
      <c r="F2128" s="3" t="str">
        <f>VLOOKUP(B2128,LifeList!$E$2:$G$2038,3)</f>
        <v>Cistothorus palustris</v>
      </c>
      <c r="G2128" s="3" t="str">
        <f>VLOOKUP(B2128,LifeList!$E$2:$I$2038,4)</f>
        <v>Passeriformes</v>
      </c>
      <c r="H2128" s="3" t="str">
        <f>VLOOKUP(B2128,LifeList!$E$2:$I$2038,5)</f>
        <v>Troglodytidae (Wrens)</v>
      </c>
      <c r="I2128" s="3"/>
    </row>
    <row r="2129" spans="1:9" ht="10.5" customHeight="1">
      <c r="A2129" s="3" t="s">
        <v>3013</v>
      </c>
      <c r="B2129" s="3" t="s">
        <v>3012</v>
      </c>
      <c r="C2129" s="3">
        <f>VLOOKUP(B2129,LifeList!$E$2:$J$2038,6)</f>
        <v>27329</v>
      </c>
      <c r="D2129" s="3" t="str">
        <f>VLOOKUP(B2129,LifeList!$E$2:$G$2038,1)</f>
        <v>Marsh Wren</v>
      </c>
      <c r="E2129" s="3" t="str">
        <f>VLOOKUP(B2129,LifeList!$E$2:$G$2038,2)</f>
        <v>Troglodyte des marais</v>
      </c>
      <c r="F2129" s="3" t="str">
        <f>VLOOKUP(B2129,LifeList!$E$2:$G$2038,3)</f>
        <v>Cistothorus palustris</v>
      </c>
      <c r="G2129" s="3" t="str">
        <f>VLOOKUP(B2129,LifeList!$E$2:$I$2038,4)</f>
        <v>Passeriformes</v>
      </c>
      <c r="H2129" s="3" t="str">
        <f>VLOOKUP(B2129,LifeList!$E$2:$I$2038,5)</f>
        <v>Troglodytidae (Wrens)</v>
      </c>
      <c r="I2129" s="3"/>
    </row>
    <row r="2130" spans="1:9" ht="10.5" customHeight="1">
      <c r="A2130" s="3" t="s">
        <v>3014</v>
      </c>
      <c r="B2130" s="3" t="s">
        <v>3015</v>
      </c>
      <c r="C2130" s="3">
        <f>VLOOKUP(B2130,LifeList!$E$2:$J$2038,6)</f>
        <v>8033</v>
      </c>
      <c r="D2130" s="3" t="str">
        <f>VLOOKUP(B2130,LifeList!$E$2:$G$2038,1)</f>
        <v>Martial Eagle</v>
      </c>
      <c r="E2130" s="3" t="str">
        <f>VLOOKUP(B2130,LifeList!$E$2:$G$2038,2)</f>
        <v>Aigle martial</v>
      </c>
      <c r="F2130" s="3" t="str">
        <f>VLOOKUP(B2130,LifeList!$E$2:$G$2038,3)</f>
        <v>Polemaetus bellicosus</v>
      </c>
      <c r="G2130" s="3" t="str">
        <f>VLOOKUP(B2130,LifeList!$E$2:$I$2038,4)</f>
        <v>Accipitriformes</v>
      </c>
      <c r="H2130" s="3" t="str">
        <f>VLOOKUP(B2130,LifeList!$E$2:$I$2038,5)</f>
        <v>Accipitridae (Hawks, Eagles, and Kites)</v>
      </c>
      <c r="I2130" s="3"/>
    </row>
    <row r="2131" spans="1:9" ht="10.5" customHeight="1">
      <c r="A2131" s="3" t="s">
        <v>3016</v>
      </c>
      <c r="B2131" s="3" t="s">
        <v>3017</v>
      </c>
      <c r="C2131" s="3">
        <f>VLOOKUP(B2131,LifeList!$E$2:$J$2038,6)</f>
        <v>34632</v>
      </c>
      <c r="D2131" s="3" t="str">
        <f>VLOOKUP(B2131,LifeList!$E$2:$G$2038,1)</f>
        <v>Masked Cardinal</v>
      </c>
      <c r="E2131" s="3" t="str">
        <f>VLOOKUP(B2131,LifeList!$E$2:$G$2038,2)</f>
        <v>Paroare masqué</v>
      </c>
      <c r="F2131" s="3" t="str">
        <f>VLOOKUP(B2131,LifeList!$E$2:$G$2038,3)</f>
        <v>Paroaria nigrogenis</v>
      </c>
      <c r="G2131" s="3" t="str">
        <f>VLOOKUP(B2131,LifeList!$E$2:$I$2038,4)</f>
        <v>Passeriformes</v>
      </c>
      <c r="H2131" s="3" t="str">
        <f>VLOOKUP(B2131,LifeList!$E$2:$I$2038,5)</f>
        <v>Thraupidae (Tanagers and Allies)</v>
      </c>
      <c r="I2131" s="3"/>
    </row>
    <row r="2132" spans="1:9" ht="10.5" customHeight="1">
      <c r="A2132" s="3" t="s">
        <v>3018</v>
      </c>
      <c r="B2132" s="3" t="s">
        <v>3019</v>
      </c>
      <c r="C2132" s="3">
        <f>VLOOKUP(B2132,LifeList!$E$2:$J$2038,6)</f>
        <v>35330</v>
      </c>
      <c r="D2132" s="3" t="str">
        <f>VLOOKUP(B2132,LifeList!$E$2:$G$2038,1)</f>
        <v>Masked Flowerpiercer</v>
      </c>
      <c r="E2132" s="3" t="str">
        <f>VLOOKUP(B2132,LifeList!$E$2:$G$2038,2)</f>
        <v>Percefleur masqué</v>
      </c>
      <c r="F2132" s="3" t="str">
        <f>VLOOKUP(B2132,LifeList!$E$2:$G$2038,3)</f>
        <v>Diglossa cyanea</v>
      </c>
      <c r="G2132" s="3" t="str">
        <f>VLOOKUP(B2132,LifeList!$E$2:$I$2038,4)</f>
        <v>Passeriformes</v>
      </c>
      <c r="H2132" s="3" t="str">
        <f>VLOOKUP(B2132,LifeList!$E$2:$I$2038,5)</f>
        <v>Thraupidae (Tanagers and Allies)</v>
      </c>
      <c r="I2132" s="3"/>
    </row>
    <row r="2133" spans="1:9" ht="10.5" customHeight="1">
      <c r="A2133" s="3" t="s">
        <v>3020</v>
      </c>
      <c r="B2133" s="3" t="s">
        <v>3021</v>
      </c>
      <c r="C2133" s="3">
        <f>VLOOKUP(B2133,LifeList!$E$2:$J$2038,6)</f>
        <v>5891</v>
      </c>
      <c r="D2133" s="3" t="str">
        <f>VLOOKUP(B2133,LifeList!$E$2:$G$2038,1)</f>
        <v>Masked Lapwing</v>
      </c>
      <c r="E2133" s="3" t="str">
        <f>VLOOKUP(B2133,LifeList!$E$2:$G$2038,2)</f>
        <v>Vanneau soldat</v>
      </c>
      <c r="F2133" s="3" t="str">
        <f>VLOOKUP(B2133,LifeList!$E$2:$G$2038,3)</f>
        <v>Vanellus miles</v>
      </c>
      <c r="G2133" s="3" t="str">
        <f>VLOOKUP(B2133,LifeList!$E$2:$I$2038,4)</f>
        <v>Charadriiformes</v>
      </c>
      <c r="H2133" s="3" t="str">
        <f>VLOOKUP(B2133,LifeList!$E$2:$I$2038,5)</f>
        <v>Charadriidae (Plovers and Lapwings)</v>
      </c>
      <c r="I2133" s="3"/>
    </row>
    <row r="2134" spans="1:9" ht="10.5" customHeight="1">
      <c r="A2134" s="3" t="s">
        <v>3022</v>
      </c>
      <c r="B2134" s="3" t="s">
        <v>3023</v>
      </c>
      <c r="C2134" s="3">
        <f>VLOOKUP(B2134,LifeList!$E$2:$J$2038,6)</f>
        <v>15969</v>
      </c>
      <c r="D2134" s="3" t="str">
        <f>VLOOKUP(B2134,LifeList!$E$2:$G$2038,1)</f>
        <v>Masked Tityra</v>
      </c>
      <c r="E2134" s="3" t="str">
        <f>VLOOKUP(B2134,LifeList!$E$2:$G$2038,2)</f>
        <v>Tityre masqué</v>
      </c>
      <c r="F2134" s="3" t="str">
        <f>VLOOKUP(B2134,LifeList!$E$2:$G$2038,3)</f>
        <v>Tityra semifasciata</v>
      </c>
      <c r="G2134" s="3" t="str">
        <f>VLOOKUP(B2134,LifeList!$E$2:$I$2038,4)</f>
        <v>Passeriformes</v>
      </c>
      <c r="H2134" s="3" t="str">
        <f>VLOOKUP(B2134,LifeList!$E$2:$I$2038,5)</f>
        <v>Tityridae (Tityras and Allies)</v>
      </c>
      <c r="I2134" s="3"/>
    </row>
    <row r="2135" spans="1:9" ht="10.5" customHeight="1">
      <c r="A2135" s="3" t="s">
        <v>3024</v>
      </c>
      <c r="B2135" s="3" t="s">
        <v>3023</v>
      </c>
      <c r="C2135" s="3">
        <f>VLOOKUP(B2135,LifeList!$E$2:$J$2038,6)</f>
        <v>15969</v>
      </c>
      <c r="D2135" s="3" t="str">
        <f>VLOOKUP(B2135,LifeList!$E$2:$G$2038,1)</f>
        <v>Masked Tityra</v>
      </c>
      <c r="E2135" s="3" t="str">
        <f>VLOOKUP(B2135,LifeList!$E$2:$G$2038,2)</f>
        <v>Tityre masqué</v>
      </c>
      <c r="F2135" s="3" t="str">
        <f>VLOOKUP(B2135,LifeList!$E$2:$G$2038,3)</f>
        <v>Tityra semifasciata</v>
      </c>
      <c r="G2135" s="3" t="str">
        <f>VLOOKUP(B2135,LifeList!$E$2:$I$2038,4)</f>
        <v>Passeriformes</v>
      </c>
      <c r="H2135" s="3" t="str">
        <f>VLOOKUP(B2135,LifeList!$E$2:$I$2038,5)</f>
        <v>Tityridae (Tityras and Allies)</v>
      </c>
      <c r="I2135" s="3"/>
    </row>
    <row r="2136" spans="1:9" ht="10.5" customHeight="1">
      <c r="A2136" s="3" t="s">
        <v>3025</v>
      </c>
      <c r="B2136" s="3" t="s">
        <v>3023</v>
      </c>
      <c r="C2136" s="3">
        <f>VLOOKUP(B2136,LifeList!$E$2:$J$2038,6)</f>
        <v>15969</v>
      </c>
      <c r="D2136" s="3" t="str">
        <f>VLOOKUP(B2136,LifeList!$E$2:$G$2038,1)</f>
        <v>Masked Tityra</v>
      </c>
      <c r="E2136" s="3" t="str">
        <f>VLOOKUP(B2136,LifeList!$E$2:$G$2038,2)</f>
        <v>Tityre masqué</v>
      </c>
      <c r="F2136" s="3" t="str">
        <f>VLOOKUP(B2136,LifeList!$E$2:$G$2038,3)</f>
        <v>Tityra semifasciata</v>
      </c>
      <c r="G2136" s="3" t="str">
        <f>VLOOKUP(B2136,LifeList!$E$2:$I$2038,4)</f>
        <v>Passeriformes</v>
      </c>
      <c r="H2136" s="3" t="str">
        <f>VLOOKUP(B2136,LifeList!$E$2:$I$2038,5)</f>
        <v>Tityridae (Tityras and Allies)</v>
      </c>
      <c r="I2136" s="3"/>
    </row>
    <row r="2137" spans="1:9" ht="10.5" customHeight="1">
      <c r="A2137" s="3" t="s">
        <v>3026</v>
      </c>
      <c r="B2137" s="3" t="s">
        <v>3023</v>
      </c>
      <c r="C2137" s="3">
        <f>VLOOKUP(B2137,LifeList!$E$2:$J$2038,6)</f>
        <v>15969</v>
      </c>
      <c r="D2137" s="3" t="str">
        <f>VLOOKUP(B2137,LifeList!$E$2:$G$2038,1)</f>
        <v>Masked Tityra</v>
      </c>
      <c r="E2137" s="3" t="str">
        <f>VLOOKUP(B2137,LifeList!$E$2:$G$2038,2)</f>
        <v>Tityre masqué</v>
      </c>
      <c r="F2137" s="3" t="str">
        <f>VLOOKUP(B2137,LifeList!$E$2:$G$2038,3)</f>
        <v>Tityra semifasciata</v>
      </c>
      <c r="G2137" s="3" t="str">
        <f>VLOOKUP(B2137,LifeList!$E$2:$I$2038,4)</f>
        <v>Passeriformes</v>
      </c>
      <c r="H2137" s="3" t="str">
        <f>VLOOKUP(B2137,LifeList!$E$2:$I$2038,5)</f>
        <v>Tityridae (Tityras and Allies)</v>
      </c>
      <c r="I2137" s="3"/>
    </row>
    <row r="2138" spans="1:9" ht="10.5" customHeight="1">
      <c r="A2138" s="3" t="s">
        <v>3027</v>
      </c>
      <c r="B2138" s="3" t="s">
        <v>3028</v>
      </c>
      <c r="C2138" s="3">
        <f>VLOOKUP(B2138,LifeList!$E$2:$J$2038,6)</f>
        <v>9592</v>
      </c>
      <c r="D2138" s="3" t="str">
        <f>VLOOKUP(B2138,LifeList!$E$2:$G$2038,1)</f>
        <v>Masked Trogon</v>
      </c>
      <c r="E2138" s="3" t="str">
        <f>VLOOKUP(B2138,LifeList!$E$2:$G$2038,2)</f>
        <v>Trogon masqué</v>
      </c>
      <c r="F2138" s="3" t="str">
        <f>VLOOKUP(B2138,LifeList!$E$2:$G$2038,3)</f>
        <v>Trogon personatus</v>
      </c>
      <c r="G2138" s="3" t="str">
        <f>VLOOKUP(B2138,LifeList!$E$2:$I$2038,4)</f>
        <v>Trogoniformes</v>
      </c>
      <c r="H2138" s="3" t="str">
        <f>VLOOKUP(B2138,LifeList!$E$2:$I$2038,5)</f>
        <v>Trogonidae (Trogons)</v>
      </c>
      <c r="I2138" s="3"/>
    </row>
    <row r="2139" spans="1:9" ht="10.5" customHeight="1">
      <c r="A2139" s="3" t="s">
        <v>3029</v>
      </c>
      <c r="B2139" s="3" t="s">
        <v>3028</v>
      </c>
      <c r="C2139" s="3">
        <f>VLOOKUP(B2139,LifeList!$E$2:$J$2038,6)</f>
        <v>9592</v>
      </c>
      <c r="D2139" s="3" t="str">
        <f>VLOOKUP(B2139,LifeList!$E$2:$G$2038,1)</f>
        <v>Masked Trogon</v>
      </c>
      <c r="E2139" s="3" t="str">
        <f>VLOOKUP(B2139,LifeList!$E$2:$G$2038,2)</f>
        <v>Trogon masqué</v>
      </c>
      <c r="F2139" s="3" t="str">
        <f>VLOOKUP(B2139,LifeList!$E$2:$G$2038,3)</f>
        <v>Trogon personatus</v>
      </c>
      <c r="G2139" s="3" t="str">
        <f>VLOOKUP(B2139,LifeList!$E$2:$I$2038,4)</f>
        <v>Trogoniformes</v>
      </c>
      <c r="H2139" s="3" t="str">
        <f>VLOOKUP(B2139,LifeList!$E$2:$I$2038,5)</f>
        <v>Trogonidae (Trogons)</v>
      </c>
      <c r="I2139" s="3"/>
    </row>
    <row r="2140" spans="1:9" ht="10.5" customHeight="1">
      <c r="A2140" s="7" t="s">
        <v>3030</v>
      </c>
      <c r="B2140" s="9" t="s">
        <v>3031</v>
      </c>
      <c r="C2140" s="6">
        <f>VLOOKUP(B2140,LifeList!$E$2:$J$2038,6)</f>
        <v>19749</v>
      </c>
      <c r="D2140" s="3" t="str">
        <f>VLOOKUP(B2140,LifeList!$E$2:$G$2038,1)</f>
        <v>Masked Woodswallow</v>
      </c>
      <c r="E2140" s="3" t="str">
        <f>VLOOKUP(B2140,LifeList!$E$2:$G$2038,2)</f>
        <v>Langrayen masqué</v>
      </c>
      <c r="F2140" s="3" t="str">
        <f>VLOOKUP(B2140,LifeList!$E$2:$G$2038,3)</f>
        <v>Artamus personatus</v>
      </c>
      <c r="G2140" s="3" t="str">
        <f>VLOOKUP(B2140,LifeList!$E$2:$I$2038,4)</f>
        <v>Passeriformes</v>
      </c>
      <c r="H2140" s="3" t="str">
        <f>VLOOKUP(B2140,LifeList!$E$2:$I$2038,5)</f>
        <v>Artamidae (Woodswallows, Bellmagpies, and Allies)</v>
      </c>
      <c r="I2140" s="3"/>
    </row>
    <row r="2141" spans="1:9" ht="10.5" customHeight="1">
      <c r="A2141" s="3" t="s">
        <v>3032</v>
      </c>
      <c r="B2141" s="3" t="s">
        <v>3033</v>
      </c>
      <c r="C2141" s="3">
        <f>VLOOKUP(B2141,LifeList!$E$2:$J$2038,6)</f>
        <v>33999</v>
      </c>
      <c r="D2141" s="3" t="str">
        <f>VLOOKUP(B2141,LifeList!$E$2:$G$2038,1)</f>
        <v>Masked Yellowthroat</v>
      </c>
      <c r="E2141" s="3" t="str">
        <f>VLOOKUP(B2141,LifeList!$E$2:$G$2038,2)</f>
        <v>Paruline équatoriale</v>
      </c>
      <c r="F2141" s="3" t="str">
        <f>VLOOKUP(B2141,LifeList!$E$2:$G$2038,3)</f>
        <v>Geothlypis aequinoctialis</v>
      </c>
      <c r="G2141" s="3" t="str">
        <f>VLOOKUP(B2141,LifeList!$E$2:$I$2038,4)</f>
        <v>Passeriformes</v>
      </c>
      <c r="H2141" s="3" t="str">
        <f>VLOOKUP(B2141,LifeList!$E$2:$I$2038,5)</f>
        <v>Parulidae (New World Warblers)</v>
      </c>
      <c r="I2141" s="3"/>
    </row>
    <row r="2142" spans="1:9" ht="10.5" customHeight="1">
      <c r="A2142" s="3" t="s">
        <v>3034</v>
      </c>
      <c r="B2142" s="3" t="s">
        <v>3035</v>
      </c>
      <c r="C2142" s="3">
        <f>VLOOKUP(B2142,LifeList!$E$2:$J$2038,6)</f>
        <v>12960</v>
      </c>
      <c r="D2142" s="3" t="str">
        <f>VLOOKUP(B2142,LifeList!$E$2:$G$2038,1)</f>
        <v>Mealy Amazon</v>
      </c>
      <c r="E2142" s="3" t="str">
        <f>VLOOKUP(B2142,LifeList!$E$2:$G$2038,2)</f>
        <v>Amazone poudrée</v>
      </c>
      <c r="F2142" s="3" t="str">
        <f>VLOOKUP(B2142,LifeList!$E$2:$G$2038,3)</f>
        <v>Amazona farinosa</v>
      </c>
      <c r="G2142" s="3" t="str">
        <f>VLOOKUP(B2142,LifeList!$E$2:$I$2038,4)</f>
        <v>Psittaciformes</v>
      </c>
      <c r="H2142" s="3" t="str">
        <f>VLOOKUP(B2142,LifeList!$E$2:$I$2038,5)</f>
        <v>Psittacidae (New World and African Parrots)</v>
      </c>
      <c r="I2142" s="3"/>
    </row>
    <row r="2143" spans="1:9" ht="10.5" customHeight="1">
      <c r="A2143" s="3" t="s">
        <v>3036</v>
      </c>
      <c r="B2143" s="3" t="s">
        <v>3035</v>
      </c>
      <c r="C2143" s="3">
        <f>VLOOKUP(B2143,LifeList!$E$2:$J$2038,6)</f>
        <v>12960</v>
      </c>
      <c r="D2143" s="3" t="str">
        <f>VLOOKUP(B2143,LifeList!$E$2:$G$2038,1)</f>
        <v>Mealy Amazon</v>
      </c>
      <c r="E2143" s="3" t="str">
        <f>VLOOKUP(B2143,LifeList!$E$2:$G$2038,2)</f>
        <v>Amazone poudrée</v>
      </c>
      <c r="F2143" s="3" t="str">
        <f>VLOOKUP(B2143,LifeList!$E$2:$G$2038,3)</f>
        <v>Amazona farinosa</v>
      </c>
      <c r="G2143" s="3" t="str">
        <f>VLOOKUP(B2143,LifeList!$E$2:$I$2038,4)</f>
        <v>Psittaciformes</v>
      </c>
      <c r="H2143" s="3" t="str">
        <f>VLOOKUP(B2143,LifeList!$E$2:$I$2038,5)</f>
        <v>Psittacidae (New World and African Parrots)</v>
      </c>
      <c r="I2143" s="3"/>
    </row>
    <row r="2144" spans="1:9" ht="10.5" customHeight="1">
      <c r="A2144" s="3" t="s">
        <v>3037</v>
      </c>
      <c r="B2144" s="3" t="s">
        <v>3035</v>
      </c>
      <c r="C2144" s="3">
        <f>VLOOKUP(B2144,LifeList!$E$2:$J$2038,6)</f>
        <v>12960</v>
      </c>
      <c r="D2144" s="3" t="str">
        <f>VLOOKUP(B2144,LifeList!$E$2:$G$2038,1)</f>
        <v>Mealy Amazon</v>
      </c>
      <c r="E2144" s="3" t="str">
        <f>VLOOKUP(B2144,LifeList!$E$2:$G$2038,2)</f>
        <v>Amazone poudrée</v>
      </c>
      <c r="F2144" s="3" t="str">
        <f>VLOOKUP(B2144,LifeList!$E$2:$G$2038,3)</f>
        <v>Amazona farinosa</v>
      </c>
      <c r="G2144" s="3" t="str">
        <f>VLOOKUP(B2144,LifeList!$E$2:$I$2038,4)</f>
        <v>Psittaciformes</v>
      </c>
      <c r="H2144" s="3" t="str">
        <f>VLOOKUP(B2144,LifeList!$E$2:$I$2038,5)</f>
        <v>Psittacidae (New World and African Parrots)</v>
      </c>
      <c r="I2144" s="3"/>
    </row>
    <row r="2145" spans="1:9" ht="10.5" customHeight="1">
      <c r="A2145" s="3" t="s">
        <v>3038</v>
      </c>
      <c r="B2145" s="3" t="s">
        <v>3039</v>
      </c>
      <c r="C2145" s="3">
        <f>VLOOKUP(B2145,LifeList!$E$2:$J$2038,6)</f>
        <v>35775</v>
      </c>
      <c r="D2145" s="3" t="str">
        <f>VLOOKUP(B2145,LifeList!$E$2:$G$2038,1)</f>
        <v>Medium Ground-Finch</v>
      </c>
      <c r="E2145" s="3" t="str">
        <f>VLOOKUP(B2145,LifeList!$E$2:$G$2038,2)</f>
        <v>Géospize à bec moyen</v>
      </c>
      <c r="F2145" s="3" t="str">
        <f>VLOOKUP(B2145,LifeList!$E$2:$G$2038,3)</f>
        <v>Geospiza fortis</v>
      </c>
      <c r="G2145" s="3" t="str">
        <f>VLOOKUP(B2145,LifeList!$E$2:$I$2038,4)</f>
        <v>Passeriformes</v>
      </c>
      <c r="H2145" s="3" t="str">
        <f>VLOOKUP(B2145,LifeList!$E$2:$I$2038,5)</f>
        <v>Thraupidae (Tanagers and Allies)</v>
      </c>
      <c r="I2145" s="3"/>
    </row>
    <row r="2146" spans="1:9" ht="10.5" customHeight="1">
      <c r="A2146" s="3" t="s">
        <v>3040</v>
      </c>
      <c r="B2146" s="3" t="s">
        <v>3041</v>
      </c>
      <c r="C2146" s="3">
        <f>VLOOKUP(B2146,LifeList!$E$2:$J$2038,6)</f>
        <v>533</v>
      </c>
      <c r="D2146" s="3" t="str">
        <f>VLOOKUP(B2146,LifeList!$E$2:$G$2038,1)</f>
        <v>Meller's Duck</v>
      </c>
      <c r="E2146" s="3" t="str">
        <f>VLOOKUP(B2146,LifeList!$E$2:$G$2038,2)</f>
        <v>Canard de Meller</v>
      </c>
      <c r="F2146" s="3" t="str">
        <f>VLOOKUP(B2146,LifeList!$E$2:$G$2038,3)</f>
        <v>Anas melleri</v>
      </c>
      <c r="G2146" s="3" t="str">
        <f>VLOOKUP(B2146,LifeList!$E$2:$I$2038,4)</f>
        <v>Anseriformes</v>
      </c>
      <c r="H2146" s="3" t="str">
        <f>VLOOKUP(B2146,LifeList!$E$2:$I$2038,5)</f>
        <v>Anatidae (Ducks, Geese, and Waterfowl)</v>
      </c>
      <c r="I2146" s="3"/>
    </row>
    <row r="2147" spans="1:9" ht="10.5" customHeight="1">
      <c r="A2147" s="3" t="s">
        <v>3042</v>
      </c>
      <c r="B2147" s="3" t="s">
        <v>3043</v>
      </c>
      <c r="C2147" s="3">
        <f>VLOOKUP(B2147,LifeList!$E$2:$J$2038,6)</f>
        <v>33843</v>
      </c>
      <c r="D2147" s="3" t="str">
        <f>VLOOKUP(B2147,LifeList!$E$2:$G$2038,1)</f>
        <v>Melodious Blackbird</v>
      </c>
      <c r="E2147" s="3" t="str">
        <f>VLOOKUP(B2147,LifeList!$E$2:$G$2038,2)</f>
        <v>Quiscale chanteur</v>
      </c>
      <c r="F2147" s="3" t="str">
        <f>VLOOKUP(B2147,LifeList!$E$2:$G$2038,3)</f>
        <v>Dives dives</v>
      </c>
      <c r="G2147" s="3" t="str">
        <f>VLOOKUP(B2147,LifeList!$E$2:$I$2038,4)</f>
        <v>Passeriformes</v>
      </c>
      <c r="H2147" s="3" t="str">
        <f>VLOOKUP(B2147,LifeList!$E$2:$I$2038,5)</f>
        <v>Icteridae (Troupials and Allies)</v>
      </c>
      <c r="I2147" s="3"/>
    </row>
    <row r="2148" spans="1:9" ht="10.5" customHeight="1">
      <c r="A2148" s="3" t="s">
        <v>3044</v>
      </c>
      <c r="B2148" s="3" t="s">
        <v>3043</v>
      </c>
      <c r="C2148" s="3">
        <f>VLOOKUP(B2148,LifeList!$E$2:$J$2038,6)</f>
        <v>33843</v>
      </c>
      <c r="D2148" s="3" t="str">
        <f>VLOOKUP(B2148,LifeList!$E$2:$G$2038,1)</f>
        <v>Melodious Blackbird</v>
      </c>
      <c r="E2148" s="3" t="str">
        <f>VLOOKUP(B2148,LifeList!$E$2:$G$2038,2)</f>
        <v>Quiscale chanteur</v>
      </c>
      <c r="F2148" s="3" t="str">
        <f>VLOOKUP(B2148,LifeList!$E$2:$G$2038,3)</f>
        <v>Dives dives</v>
      </c>
      <c r="G2148" s="3" t="str">
        <f>VLOOKUP(B2148,LifeList!$E$2:$I$2038,4)</f>
        <v>Passeriformes</v>
      </c>
      <c r="H2148" s="3" t="str">
        <f>VLOOKUP(B2148,LifeList!$E$2:$I$2038,5)</f>
        <v>Icteridae (Troupials and Allies)</v>
      </c>
      <c r="I2148" s="3"/>
    </row>
    <row r="2149" spans="1:9" ht="10.5" customHeight="1">
      <c r="A2149" s="3" t="s">
        <v>3045</v>
      </c>
      <c r="B2149" s="3" t="s">
        <v>3043</v>
      </c>
      <c r="C2149" s="3">
        <f>VLOOKUP(B2149,LifeList!$E$2:$J$2038,6)</f>
        <v>33843</v>
      </c>
      <c r="D2149" s="3" t="str">
        <f>VLOOKUP(B2149,LifeList!$E$2:$G$2038,1)</f>
        <v>Melodious Blackbird</v>
      </c>
      <c r="E2149" s="3" t="str">
        <f>VLOOKUP(B2149,LifeList!$E$2:$G$2038,2)</f>
        <v>Quiscale chanteur</v>
      </c>
      <c r="F2149" s="3" t="str">
        <f>VLOOKUP(B2149,LifeList!$E$2:$G$2038,3)</f>
        <v>Dives dives</v>
      </c>
      <c r="G2149" s="3" t="str">
        <f>VLOOKUP(B2149,LifeList!$E$2:$I$2038,4)</f>
        <v>Passeriformes</v>
      </c>
      <c r="H2149" s="3" t="str">
        <f>VLOOKUP(B2149,LifeList!$E$2:$I$2038,5)</f>
        <v>Icteridae (Troupials and Allies)</v>
      </c>
      <c r="I2149" s="3"/>
    </row>
    <row r="2150" spans="1:9" ht="10.5" customHeight="1">
      <c r="A2150" s="3" t="s">
        <v>3046</v>
      </c>
      <c r="B2150" s="3" t="s">
        <v>3047</v>
      </c>
      <c r="C2150" s="3">
        <f>VLOOKUP(B2150,LifeList!$E$2:$J$2038,6)</f>
        <v>12062</v>
      </c>
      <c r="D2150" s="3" t="str">
        <f>VLOOKUP(B2150,LifeList!$E$2:$G$2038,1)</f>
        <v>Merlin</v>
      </c>
      <c r="E2150" s="3" t="str">
        <f>VLOOKUP(B2150,LifeList!$E$2:$G$2038,2)</f>
        <v>Faucon émerillon</v>
      </c>
      <c r="F2150" s="3" t="str">
        <f>VLOOKUP(B2150,LifeList!$E$2:$G$2038,3)</f>
        <v>Falco columbarius</v>
      </c>
      <c r="G2150" s="3" t="str">
        <f>VLOOKUP(B2150,LifeList!$E$2:$I$2038,4)</f>
        <v>Falconiformes</v>
      </c>
      <c r="H2150" s="3" t="str">
        <f>VLOOKUP(B2150,LifeList!$E$2:$I$2038,5)</f>
        <v>Falconidae (Falcons and Caracaras)</v>
      </c>
      <c r="I2150" s="3"/>
    </row>
    <row r="2151" spans="1:9" ht="10.5" customHeight="1">
      <c r="A2151" s="3" t="s">
        <v>3048</v>
      </c>
      <c r="B2151" s="3" t="s">
        <v>3047</v>
      </c>
      <c r="C2151" s="3">
        <f>VLOOKUP(B2151,LifeList!$E$2:$J$2038,6)</f>
        <v>12062</v>
      </c>
      <c r="D2151" s="3" t="str">
        <f>VLOOKUP(B2151,LifeList!$E$2:$G$2038,1)</f>
        <v>Merlin</v>
      </c>
      <c r="E2151" s="3" t="str">
        <f>VLOOKUP(B2151,LifeList!$E$2:$G$2038,2)</f>
        <v>Faucon émerillon</v>
      </c>
      <c r="F2151" s="3" t="str">
        <f>VLOOKUP(B2151,LifeList!$E$2:$G$2038,3)</f>
        <v>Falco columbarius</v>
      </c>
      <c r="G2151" s="3" t="str">
        <f>VLOOKUP(B2151,LifeList!$E$2:$I$2038,4)</f>
        <v>Falconiformes</v>
      </c>
      <c r="H2151" s="3" t="str">
        <f>VLOOKUP(B2151,LifeList!$E$2:$I$2038,5)</f>
        <v>Falconidae (Falcons and Caracaras)</v>
      </c>
      <c r="I2151" s="3"/>
    </row>
    <row r="2152" spans="1:9" ht="10.5" customHeight="1">
      <c r="A2152" s="3" t="s">
        <v>3049</v>
      </c>
      <c r="B2152" s="3" t="s">
        <v>3047</v>
      </c>
      <c r="C2152" s="3">
        <f>VLOOKUP(B2152,LifeList!$E$2:$J$2038,6)</f>
        <v>12062</v>
      </c>
      <c r="D2152" s="3" t="str">
        <f>VLOOKUP(B2152,LifeList!$E$2:$G$2038,1)</f>
        <v>Merlin</v>
      </c>
      <c r="E2152" s="3" t="str">
        <f>VLOOKUP(B2152,LifeList!$E$2:$G$2038,2)</f>
        <v>Faucon émerillon</v>
      </c>
      <c r="F2152" s="3" t="str">
        <f>VLOOKUP(B2152,LifeList!$E$2:$G$2038,3)</f>
        <v>Falco columbarius</v>
      </c>
      <c r="G2152" s="3" t="str">
        <f>VLOOKUP(B2152,LifeList!$E$2:$I$2038,4)</f>
        <v>Falconiformes</v>
      </c>
      <c r="H2152" s="3" t="str">
        <f>VLOOKUP(B2152,LifeList!$E$2:$I$2038,5)</f>
        <v>Falconidae (Falcons and Caracaras)</v>
      </c>
      <c r="I2152" s="3"/>
    </row>
    <row r="2153" spans="1:9" ht="10.5" customHeight="1">
      <c r="A2153" s="3" t="s">
        <v>3050</v>
      </c>
      <c r="B2153" s="3" t="s">
        <v>3047</v>
      </c>
      <c r="C2153" s="3">
        <f>VLOOKUP(B2153,LifeList!$E$2:$J$2038,6)</f>
        <v>12062</v>
      </c>
      <c r="D2153" s="3" t="str">
        <f>VLOOKUP(B2153,LifeList!$E$2:$G$2038,1)</f>
        <v>Merlin</v>
      </c>
      <c r="E2153" s="3" t="str">
        <f>VLOOKUP(B2153,LifeList!$E$2:$G$2038,2)</f>
        <v>Faucon émerillon</v>
      </c>
      <c r="F2153" s="3" t="str">
        <f>VLOOKUP(B2153,LifeList!$E$2:$G$2038,3)</f>
        <v>Falco columbarius</v>
      </c>
      <c r="G2153" s="3" t="str">
        <f>VLOOKUP(B2153,LifeList!$E$2:$I$2038,4)</f>
        <v>Falconiformes</v>
      </c>
      <c r="H2153" s="3" t="str">
        <f>VLOOKUP(B2153,LifeList!$E$2:$I$2038,5)</f>
        <v>Falconidae (Falcons and Caracaras)</v>
      </c>
      <c r="I2153" s="3"/>
    </row>
    <row r="2154" spans="1:9" ht="10.5" customHeight="1">
      <c r="A2154" s="3" t="s">
        <v>3051</v>
      </c>
      <c r="B2154" s="3" t="s">
        <v>3047</v>
      </c>
      <c r="C2154" s="3">
        <f>VLOOKUP(B2154,LifeList!$E$2:$J$2038,6)</f>
        <v>12062</v>
      </c>
      <c r="D2154" s="3" t="str">
        <f>VLOOKUP(B2154,LifeList!$E$2:$G$2038,1)</f>
        <v>Merlin</v>
      </c>
      <c r="E2154" s="3" t="str">
        <f>VLOOKUP(B2154,LifeList!$E$2:$G$2038,2)</f>
        <v>Faucon émerillon</v>
      </c>
      <c r="F2154" s="3" t="str">
        <f>VLOOKUP(B2154,LifeList!$E$2:$G$2038,3)</f>
        <v>Falco columbarius</v>
      </c>
      <c r="G2154" s="3" t="str">
        <f>VLOOKUP(B2154,LifeList!$E$2:$I$2038,4)</f>
        <v>Falconiformes</v>
      </c>
      <c r="H2154" s="3" t="str">
        <f>VLOOKUP(B2154,LifeList!$E$2:$I$2038,5)</f>
        <v>Falconidae (Falcons and Caracaras)</v>
      </c>
      <c r="I2154" s="3"/>
    </row>
    <row r="2155" spans="1:9" ht="10.5" customHeight="1">
      <c r="A2155" s="3" t="s">
        <v>3052</v>
      </c>
      <c r="B2155" s="3" t="s">
        <v>3047</v>
      </c>
      <c r="C2155" s="3">
        <f>VLOOKUP(B2155,LifeList!$E$2:$J$2038,6)</f>
        <v>12062</v>
      </c>
      <c r="D2155" s="3" t="str">
        <f>VLOOKUP(B2155,LifeList!$E$2:$G$2038,1)</f>
        <v>Merlin</v>
      </c>
      <c r="E2155" s="3" t="str">
        <f>VLOOKUP(B2155,LifeList!$E$2:$G$2038,2)</f>
        <v>Faucon émerillon</v>
      </c>
      <c r="F2155" s="3" t="str">
        <f>VLOOKUP(B2155,LifeList!$E$2:$G$2038,3)</f>
        <v>Falco columbarius</v>
      </c>
      <c r="G2155" s="3" t="str">
        <f>VLOOKUP(B2155,LifeList!$E$2:$I$2038,4)</f>
        <v>Falconiformes</v>
      </c>
      <c r="H2155" s="3" t="str">
        <f>VLOOKUP(B2155,LifeList!$E$2:$I$2038,5)</f>
        <v>Falconidae (Falcons and Caracaras)</v>
      </c>
      <c r="I2155" s="3"/>
    </row>
    <row r="2156" spans="1:9" ht="10.5" customHeight="1">
      <c r="A2156" s="3" t="s">
        <v>3053</v>
      </c>
      <c r="B2156" s="3" t="s">
        <v>3047</v>
      </c>
      <c r="C2156" s="3">
        <f>VLOOKUP(B2156,LifeList!$E$2:$J$2038,6)</f>
        <v>12062</v>
      </c>
      <c r="D2156" s="3" t="str">
        <f>VLOOKUP(B2156,LifeList!$E$2:$G$2038,1)</f>
        <v>Merlin</v>
      </c>
      <c r="E2156" s="3" t="str">
        <f>VLOOKUP(B2156,LifeList!$E$2:$G$2038,2)</f>
        <v>Faucon émerillon</v>
      </c>
      <c r="F2156" s="3" t="str">
        <f>VLOOKUP(B2156,LifeList!$E$2:$G$2038,3)</f>
        <v>Falco columbarius</v>
      </c>
      <c r="G2156" s="3" t="str">
        <f>VLOOKUP(B2156,LifeList!$E$2:$I$2038,4)</f>
        <v>Falconiformes</v>
      </c>
      <c r="H2156" s="3" t="str">
        <f>VLOOKUP(B2156,LifeList!$E$2:$I$2038,5)</f>
        <v>Falconidae (Falcons and Caracaras)</v>
      </c>
      <c r="I2156" s="3"/>
    </row>
    <row r="2157" spans="1:9" ht="10.5" customHeight="1">
      <c r="A2157" s="3" t="s">
        <v>3054</v>
      </c>
      <c r="B2157" s="3" t="s">
        <v>3047</v>
      </c>
      <c r="C2157" s="3">
        <f>VLOOKUP(B2157,LifeList!$E$2:$J$2038,6)</f>
        <v>12062</v>
      </c>
      <c r="D2157" s="3" t="str">
        <f>VLOOKUP(B2157,LifeList!$E$2:$G$2038,1)</f>
        <v>Merlin</v>
      </c>
      <c r="E2157" s="3" t="str">
        <f>VLOOKUP(B2157,LifeList!$E$2:$G$2038,2)</f>
        <v>Faucon émerillon</v>
      </c>
      <c r="F2157" s="3" t="str">
        <f>VLOOKUP(B2157,LifeList!$E$2:$G$2038,3)</f>
        <v>Falco columbarius</v>
      </c>
      <c r="G2157" s="3" t="str">
        <f>VLOOKUP(B2157,LifeList!$E$2:$I$2038,4)</f>
        <v>Falconiformes</v>
      </c>
      <c r="H2157" s="3" t="str">
        <f>VLOOKUP(B2157,LifeList!$E$2:$I$2038,5)</f>
        <v>Falconidae (Falcons and Caracaras)</v>
      </c>
      <c r="I2157" s="3"/>
    </row>
    <row r="2158" spans="1:9" ht="10.5" customHeight="1">
      <c r="A2158" s="3" t="s">
        <v>3055</v>
      </c>
      <c r="B2158" s="3" t="s">
        <v>3047</v>
      </c>
      <c r="C2158" s="3">
        <f>VLOOKUP(B2158,LifeList!$E$2:$J$2038,6)</f>
        <v>12062</v>
      </c>
      <c r="D2158" s="3" t="str">
        <f>VLOOKUP(B2158,LifeList!$E$2:$G$2038,1)</f>
        <v>Merlin</v>
      </c>
      <c r="E2158" s="3" t="str">
        <f>VLOOKUP(B2158,LifeList!$E$2:$G$2038,2)</f>
        <v>Faucon émerillon</v>
      </c>
      <c r="F2158" s="3" t="str">
        <f>VLOOKUP(B2158,LifeList!$E$2:$G$2038,3)</f>
        <v>Falco columbarius</v>
      </c>
      <c r="G2158" s="3" t="str">
        <f>VLOOKUP(B2158,LifeList!$E$2:$I$2038,4)</f>
        <v>Falconiformes</v>
      </c>
      <c r="H2158" s="3" t="str">
        <f>VLOOKUP(B2158,LifeList!$E$2:$I$2038,5)</f>
        <v>Falconidae (Falcons and Caracaras)</v>
      </c>
      <c r="I2158" s="3"/>
    </row>
    <row r="2159" spans="1:9" ht="10.5" customHeight="1">
      <c r="A2159" s="3" t="s">
        <v>3056</v>
      </c>
      <c r="B2159" s="3" t="s">
        <v>3047</v>
      </c>
      <c r="C2159" s="3">
        <f>VLOOKUP(B2159,LifeList!$E$2:$J$2038,6)</f>
        <v>12062</v>
      </c>
      <c r="D2159" s="3" t="str">
        <f>VLOOKUP(B2159,LifeList!$E$2:$G$2038,1)</f>
        <v>Merlin</v>
      </c>
      <c r="E2159" s="3" t="str">
        <f>VLOOKUP(B2159,LifeList!$E$2:$G$2038,2)</f>
        <v>Faucon émerillon</v>
      </c>
      <c r="F2159" s="3" t="str">
        <f>VLOOKUP(B2159,LifeList!$E$2:$G$2038,3)</f>
        <v>Falco columbarius</v>
      </c>
      <c r="G2159" s="3" t="str">
        <f>VLOOKUP(B2159,LifeList!$E$2:$I$2038,4)</f>
        <v>Falconiformes</v>
      </c>
      <c r="H2159" s="3" t="str">
        <f>VLOOKUP(B2159,LifeList!$E$2:$I$2038,5)</f>
        <v>Falconidae (Falcons and Caracaras)</v>
      </c>
      <c r="I2159" s="3"/>
    </row>
    <row r="2160" spans="1:9" ht="10.5" customHeight="1">
      <c r="A2160" s="3" t="s">
        <v>3057</v>
      </c>
      <c r="B2160" s="3" t="s">
        <v>3047</v>
      </c>
      <c r="C2160" s="3">
        <f>VLOOKUP(B2160,LifeList!$E$2:$J$2038,6)</f>
        <v>12062</v>
      </c>
      <c r="D2160" s="3" t="str">
        <f>VLOOKUP(B2160,LifeList!$E$2:$G$2038,1)</f>
        <v>Merlin</v>
      </c>
      <c r="E2160" s="3" t="str">
        <f>VLOOKUP(B2160,LifeList!$E$2:$G$2038,2)</f>
        <v>Faucon émerillon</v>
      </c>
      <c r="F2160" s="3" t="str">
        <f>VLOOKUP(B2160,LifeList!$E$2:$G$2038,3)</f>
        <v>Falco columbarius</v>
      </c>
      <c r="G2160" s="3" t="str">
        <f>VLOOKUP(B2160,LifeList!$E$2:$I$2038,4)</f>
        <v>Falconiformes</v>
      </c>
      <c r="H2160" s="3" t="str">
        <f>VLOOKUP(B2160,LifeList!$E$2:$I$2038,5)</f>
        <v>Falconidae (Falcons and Caracaras)</v>
      </c>
      <c r="I2160" s="3"/>
    </row>
    <row r="2161" spans="1:9" ht="10.5" customHeight="1">
      <c r="A2161" s="3" t="s">
        <v>3058</v>
      </c>
      <c r="B2161" s="3" t="s">
        <v>3047</v>
      </c>
      <c r="C2161" s="3">
        <f>VLOOKUP(B2161,LifeList!$E$2:$J$2038,6)</f>
        <v>12062</v>
      </c>
      <c r="D2161" s="3" t="str">
        <f>VLOOKUP(B2161,LifeList!$E$2:$G$2038,1)</f>
        <v>Merlin</v>
      </c>
      <c r="E2161" s="3" t="str">
        <f>VLOOKUP(B2161,LifeList!$E$2:$G$2038,2)</f>
        <v>Faucon émerillon</v>
      </c>
      <c r="F2161" s="3" t="str">
        <f>VLOOKUP(B2161,LifeList!$E$2:$G$2038,3)</f>
        <v>Falco columbarius</v>
      </c>
      <c r="G2161" s="3" t="str">
        <f>VLOOKUP(B2161,LifeList!$E$2:$I$2038,4)</f>
        <v>Falconiformes</v>
      </c>
      <c r="H2161" s="3" t="str">
        <f>VLOOKUP(B2161,LifeList!$E$2:$I$2038,5)</f>
        <v>Falconidae (Falcons and Caracaras)</v>
      </c>
      <c r="I2161" s="3"/>
    </row>
    <row r="2162" spans="1:9" ht="10.5" customHeight="1">
      <c r="A2162" s="3" t="s">
        <v>3059</v>
      </c>
      <c r="B2162" s="3" t="s">
        <v>3047</v>
      </c>
      <c r="C2162" s="3">
        <f>VLOOKUP(B2162,LifeList!$E$2:$J$2038,6)</f>
        <v>12062</v>
      </c>
      <c r="D2162" s="3" t="str">
        <f>VLOOKUP(B2162,LifeList!$E$2:$G$2038,1)</f>
        <v>Merlin</v>
      </c>
      <c r="E2162" s="3" t="str">
        <f>VLOOKUP(B2162,LifeList!$E$2:$G$2038,2)</f>
        <v>Faucon émerillon</v>
      </c>
      <c r="F2162" s="3" t="str">
        <f>VLOOKUP(B2162,LifeList!$E$2:$G$2038,3)</f>
        <v>Falco columbarius</v>
      </c>
      <c r="G2162" s="3" t="str">
        <f>VLOOKUP(B2162,LifeList!$E$2:$I$2038,4)</f>
        <v>Falconiformes</v>
      </c>
      <c r="H2162" s="3" t="str">
        <f>VLOOKUP(B2162,LifeList!$E$2:$I$2038,5)</f>
        <v>Falconidae (Falcons and Caracaras)</v>
      </c>
      <c r="I2162" s="3"/>
    </row>
    <row r="2163" spans="1:9" ht="10.5" customHeight="1">
      <c r="A2163" s="3" t="s">
        <v>3060</v>
      </c>
      <c r="B2163" s="3" t="s">
        <v>3061</v>
      </c>
      <c r="C2163" s="3">
        <f>VLOOKUP(B2163,LifeList!$E$2:$J$2038,6)</f>
        <v>35048</v>
      </c>
      <c r="D2163" s="3" t="str">
        <f>VLOOKUP(B2163,LifeList!$E$2:$G$2038,1)</f>
        <v>Metallic-green Tanager</v>
      </c>
      <c r="E2163" s="3" t="str">
        <f>VLOOKUP(B2163,LifeList!$E$2:$G$2038,2)</f>
        <v>Calliste vert</v>
      </c>
      <c r="F2163" s="3" t="str">
        <f>VLOOKUP(B2163,LifeList!$E$2:$G$2038,3)</f>
        <v>Tangara labradorides</v>
      </c>
      <c r="G2163" s="3" t="str">
        <f>VLOOKUP(B2163,LifeList!$E$2:$I$2038,4)</f>
        <v>Passeriformes</v>
      </c>
      <c r="H2163" s="3" t="str">
        <f>VLOOKUP(B2163,LifeList!$E$2:$I$2038,5)</f>
        <v>Thraupidae (Tanagers and Allies)</v>
      </c>
      <c r="I2163" s="3"/>
    </row>
    <row r="2164" spans="1:9" ht="10.5" customHeight="1">
      <c r="A2164" s="5" t="s">
        <v>3062</v>
      </c>
      <c r="B2164" s="5" t="s">
        <v>3063</v>
      </c>
      <c r="C2164" s="3">
        <f>VLOOKUP(B2164,LifeList!$E$2:$J$2038,6)</f>
        <v>27953</v>
      </c>
      <c r="D2164" s="3" t="str">
        <f>VLOOKUP(B2164,LifeList!$E$2:$G$2038,1)</f>
        <v>Meves's Starling</v>
      </c>
      <c r="E2164" s="3" t="str">
        <f>VLOOKUP(B2164,LifeList!$E$2:$G$2038,2)</f>
        <v>Choucador de Meves</v>
      </c>
      <c r="F2164" s="3" t="str">
        <f>VLOOKUP(B2164,LifeList!$E$2:$G$2038,3)</f>
        <v>Lamprotornis mevesii</v>
      </c>
      <c r="G2164" s="3" t="str">
        <f>VLOOKUP(B2164,LifeList!$E$2:$I$2038,4)</f>
        <v>Passeriformes</v>
      </c>
      <c r="H2164" s="3" t="str">
        <f>VLOOKUP(B2164,LifeList!$E$2:$I$2038,5)</f>
        <v>Sturnidae (Starlings)</v>
      </c>
      <c r="I2164" s="3"/>
    </row>
    <row r="2165" spans="1:9" ht="10.5" customHeight="1">
      <c r="A2165" s="3" t="s">
        <v>3064</v>
      </c>
      <c r="B2165" s="3" t="s">
        <v>3065</v>
      </c>
      <c r="C2165" s="3">
        <f>VLOOKUP(B2165,LifeList!$E$2:$J$2038,6)</f>
        <v>8388</v>
      </c>
      <c r="D2165" s="3" t="str">
        <f>VLOOKUP(B2165,LifeList!$E$2:$G$2038,1)</f>
        <v>Mississippi Kite</v>
      </c>
      <c r="E2165" s="3" t="str">
        <f>VLOOKUP(B2165,LifeList!$E$2:$G$2038,2)</f>
        <v>Milan du Mississippi</v>
      </c>
      <c r="F2165" s="3" t="str">
        <f>VLOOKUP(B2165,LifeList!$E$2:$G$2038,3)</f>
        <v>Ictinia mississippiensis</v>
      </c>
      <c r="G2165" s="3" t="str">
        <f>VLOOKUP(B2165,LifeList!$E$2:$I$2038,4)</f>
        <v>Accipitriformes</v>
      </c>
      <c r="H2165" s="3" t="str">
        <f>VLOOKUP(B2165,LifeList!$E$2:$I$2038,5)</f>
        <v>Accipitridae (Hawks, Eagles, and Kites)</v>
      </c>
      <c r="I2165" s="3"/>
    </row>
    <row r="2166" spans="1:9" ht="10.5" customHeight="1">
      <c r="A2166" s="3" t="s">
        <v>3066</v>
      </c>
      <c r="B2166" s="3" t="s">
        <v>3065</v>
      </c>
      <c r="C2166" s="3">
        <f>VLOOKUP(B2166,LifeList!$E$2:$J$2038,6)</f>
        <v>8388</v>
      </c>
      <c r="D2166" s="3" t="str">
        <f>VLOOKUP(B2166,LifeList!$E$2:$G$2038,1)</f>
        <v>Mississippi Kite</v>
      </c>
      <c r="E2166" s="3" t="str">
        <f>VLOOKUP(B2166,LifeList!$E$2:$G$2038,2)</f>
        <v>Milan du Mississippi</v>
      </c>
      <c r="F2166" s="3" t="str">
        <f>VLOOKUP(B2166,LifeList!$E$2:$G$2038,3)</f>
        <v>Ictinia mississippiensis</v>
      </c>
      <c r="G2166" s="3" t="str">
        <f>VLOOKUP(B2166,LifeList!$E$2:$I$2038,4)</f>
        <v>Accipitriformes</v>
      </c>
      <c r="H2166" s="3" t="str">
        <f>VLOOKUP(B2166,LifeList!$E$2:$I$2038,5)</f>
        <v>Accipitridae (Hawks, Eagles, and Kites)</v>
      </c>
      <c r="I2166" s="3"/>
    </row>
    <row r="2167" spans="1:9" ht="10.5" customHeight="1">
      <c r="A2167" s="3" t="s">
        <v>3067</v>
      </c>
      <c r="B2167" s="3" t="s">
        <v>3065</v>
      </c>
      <c r="C2167" s="3">
        <f>VLOOKUP(B2167,LifeList!$E$2:$J$2038,6)</f>
        <v>8388</v>
      </c>
      <c r="D2167" s="3" t="str">
        <f>VLOOKUP(B2167,LifeList!$E$2:$G$2038,1)</f>
        <v>Mississippi Kite</v>
      </c>
      <c r="E2167" s="3" t="str">
        <f>VLOOKUP(B2167,LifeList!$E$2:$G$2038,2)</f>
        <v>Milan du Mississippi</v>
      </c>
      <c r="F2167" s="3" t="str">
        <f>VLOOKUP(B2167,LifeList!$E$2:$G$2038,3)</f>
        <v>Ictinia mississippiensis</v>
      </c>
      <c r="G2167" s="3" t="str">
        <f>VLOOKUP(B2167,LifeList!$E$2:$I$2038,4)</f>
        <v>Accipitriformes</v>
      </c>
      <c r="H2167" s="3" t="str">
        <f>VLOOKUP(B2167,LifeList!$E$2:$I$2038,5)</f>
        <v>Accipitridae (Hawks, Eagles, and Kites)</v>
      </c>
      <c r="I2167" s="3"/>
    </row>
    <row r="2168" spans="1:9" ht="10.5" customHeight="1">
      <c r="A2168" s="7" t="s">
        <v>3068</v>
      </c>
      <c r="B2168" s="9" t="s">
        <v>3069</v>
      </c>
      <c r="C2168" s="6">
        <f>VLOOKUP(B2168,LifeList!$E$2:$J$2038,6)</f>
        <v>30117</v>
      </c>
      <c r="D2168" s="3" t="str">
        <f>VLOOKUP(B2168,LifeList!$E$2:$G$2038,1)</f>
        <v>Mistletoebird</v>
      </c>
      <c r="E2168" s="3" t="str">
        <f>VLOOKUP(B2168,LifeList!$E$2:$G$2038,2)</f>
        <v>Dicée hirondelle</v>
      </c>
      <c r="F2168" s="3" t="str">
        <f>VLOOKUP(B2168,LifeList!$E$2:$G$2038,3)</f>
        <v>Dicaeum hirundinaceum</v>
      </c>
      <c r="G2168" s="3" t="str">
        <f>VLOOKUP(B2168,LifeList!$E$2:$I$2038,4)</f>
        <v>Passeriformes</v>
      </c>
      <c r="H2168" s="3" t="str">
        <f>VLOOKUP(B2168,LifeList!$E$2:$I$2038,5)</f>
        <v>Dicaeidae (Flowerpeckers)</v>
      </c>
      <c r="I2168" s="3"/>
    </row>
    <row r="2169" spans="1:9" ht="10.5" customHeight="1">
      <c r="A2169" s="3" t="s">
        <v>3070</v>
      </c>
      <c r="B2169" s="3" t="s">
        <v>3071</v>
      </c>
      <c r="C2169" s="3">
        <f>VLOOKUP(B2169,LifeList!$E$2:$J$2038,6)</f>
        <v>13196</v>
      </c>
      <c r="D2169" s="3" t="str">
        <f>VLOOKUP(B2169,LifeList!$E$2:$G$2038,1)</f>
        <v>Mitred Parakeet</v>
      </c>
      <c r="E2169" s="3" t="str">
        <f>VLOOKUP(B2169,LifeList!$E$2:$G$2038,2)</f>
        <v>Conure mitrée</v>
      </c>
      <c r="F2169" s="3" t="str">
        <f>VLOOKUP(B2169,LifeList!$E$2:$G$2038,3)</f>
        <v>Psittacara mitratus</v>
      </c>
      <c r="G2169" s="3" t="str">
        <f>VLOOKUP(B2169,LifeList!$E$2:$I$2038,4)</f>
        <v>Psittaciformes</v>
      </c>
      <c r="H2169" s="3" t="str">
        <f>VLOOKUP(B2169,LifeList!$E$2:$I$2038,5)</f>
        <v>Psittacidae (New World and African Parrots)</v>
      </c>
      <c r="I2169" s="3"/>
    </row>
    <row r="2170" spans="1:9" ht="10.5" customHeight="1">
      <c r="A2170" s="3" t="s">
        <v>3072</v>
      </c>
      <c r="B2170" s="3" t="s">
        <v>3071</v>
      </c>
      <c r="C2170" s="3">
        <f>VLOOKUP(B2170,LifeList!$E$2:$J$2038,6)</f>
        <v>13196</v>
      </c>
      <c r="D2170" s="3" t="str">
        <f>VLOOKUP(B2170,LifeList!$E$2:$G$2038,1)</f>
        <v>Mitred Parakeet</v>
      </c>
      <c r="E2170" s="3" t="str">
        <f>VLOOKUP(B2170,LifeList!$E$2:$G$2038,2)</f>
        <v>Conure mitrée</v>
      </c>
      <c r="F2170" s="3" t="str">
        <f>VLOOKUP(B2170,LifeList!$E$2:$G$2038,3)</f>
        <v>Psittacara mitratus</v>
      </c>
      <c r="G2170" s="3" t="str">
        <f>VLOOKUP(B2170,LifeList!$E$2:$I$2038,4)</f>
        <v>Psittaciformes</v>
      </c>
      <c r="H2170" s="3" t="str">
        <f>VLOOKUP(B2170,LifeList!$E$2:$I$2038,5)</f>
        <v>Psittacidae (New World and African Parrots)</v>
      </c>
      <c r="I2170" s="3"/>
    </row>
    <row r="2171" spans="1:9" ht="10.5" customHeight="1">
      <c r="A2171" s="3" t="s">
        <v>3073</v>
      </c>
      <c r="B2171" s="3" t="s">
        <v>3074</v>
      </c>
      <c r="C2171" s="3">
        <f>VLOOKUP(B2171,LifeList!$E$2:$J$2038,6)</f>
        <v>29757</v>
      </c>
      <c r="D2171" s="3" t="str">
        <f>VLOOKUP(B2171,LifeList!$E$2:$G$2038,1)</f>
        <v>Mocking Cliff-Chat</v>
      </c>
      <c r="E2171" s="3" t="str">
        <f>VLOOKUP(B2171,LifeList!$E$2:$G$2038,2)</f>
        <v>Traquet à ventre roux</v>
      </c>
      <c r="F2171" s="3" t="str">
        <f>VLOOKUP(B2171,LifeList!$E$2:$G$2038,3)</f>
        <v>Thamnolaea cinnamomeiventris</v>
      </c>
      <c r="G2171" s="3" t="str">
        <f>VLOOKUP(B2171,LifeList!$E$2:$I$2038,4)</f>
        <v>Passeriformes</v>
      </c>
      <c r="H2171" s="3" t="str">
        <f>VLOOKUP(B2171,LifeList!$E$2:$I$2038,5)</f>
        <v>Muscicapidae (Old World Flycatchers)</v>
      </c>
      <c r="I2171" s="3"/>
    </row>
    <row r="2172" spans="1:9" ht="10.5" customHeight="1">
      <c r="A2172" s="3" t="s">
        <v>3075</v>
      </c>
      <c r="B2172" s="3" t="s">
        <v>3074</v>
      </c>
      <c r="C2172" s="3">
        <f>VLOOKUP(B2172,LifeList!$E$2:$J$2038,6)</f>
        <v>29757</v>
      </c>
      <c r="D2172" s="3" t="str">
        <f>VLOOKUP(B2172,LifeList!$E$2:$G$2038,1)</f>
        <v>Mocking Cliff-Chat</v>
      </c>
      <c r="E2172" s="3" t="str">
        <f>VLOOKUP(B2172,LifeList!$E$2:$G$2038,2)</f>
        <v>Traquet à ventre roux</v>
      </c>
      <c r="F2172" s="3" t="str">
        <f>VLOOKUP(B2172,LifeList!$E$2:$G$2038,3)</f>
        <v>Thamnolaea cinnamomeiventris</v>
      </c>
      <c r="G2172" s="3" t="str">
        <f>VLOOKUP(B2172,LifeList!$E$2:$I$2038,4)</f>
        <v>Passeriformes</v>
      </c>
      <c r="H2172" s="3" t="str">
        <f>VLOOKUP(B2172,LifeList!$E$2:$I$2038,5)</f>
        <v>Muscicapidae (Old World Flycatchers)</v>
      </c>
      <c r="I2172" s="3"/>
    </row>
    <row r="2173" spans="1:9" ht="10.5" customHeight="1">
      <c r="A2173" s="3" t="s">
        <v>3076</v>
      </c>
      <c r="B2173" s="3" t="s">
        <v>3074</v>
      </c>
      <c r="C2173" s="3">
        <f>VLOOKUP(B2173,LifeList!$E$2:$J$2038,6)</f>
        <v>29757</v>
      </c>
      <c r="D2173" s="3" t="str">
        <f>VLOOKUP(B2173,LifeList!$E$2:$G$2038,1)</f>
        <v>Mocking Cliff-Chat</v>
      </c>
      <c r="E2173" s="3" t="str">
        <f>VLOOKUP(B2173,LifeList!$E$2:$G$2038,2)</f>
        <v>Traquet à ventre roux</v>
      </c>
      <c r="F2173" s="3" t="str">
        <f>VLOOKUP(B2173,LifeList!$E$2:$G$2038,3)</f>
        <v>Thamnolaea cinnamomeiventris</v>
      </c>
      <c r="G2173" s="3" t="str">
        <f>VLOOKUP(B2173,LifeList!$E$2:$I$2038,4)</f>
        <v>Passeriformes</v>
      </c>
      <c r="H2173" s="3" t="str">
        <f>VLOOKUP(B2173,LifeList!$E$2:$I$2038,5)</f>
        <v>Muscicapidae (Old World Flycatchers)</v>
      </c>
      <c r="I2173" s="3"/>
    </row>
    <row r="2174" spans="1:9" ht="10.5" customHeight="1">
      <c r="A2174" s="3" t="s">
        <v>3077</v>
      </c>
      <c r="B2174" s="3" t="s">
        <v>3078</v>
      </c>
      <c r="C2174" s="3">
        <f>VLOOKUP(B2174,LifeList!$E$2:$J$2038,6)</f>
        <v>12819</v>
      </c>
      <c r="D2174" s="3" t="str">
        <f>VLOOKUP(B2174,LifeList!$E$2:$G$2038,1)</f>
        <v>Monk Parakeet</v>
      </c>
      <c r="E2174" s="3" t="str">
        <f>VLOOKUP(B2174,LifeList!$E$2:$G$2038,2)</f>
        <v>Conure veuve</v>
      </c>
      <c r="F2174" s="3" t="str">
        <f>VLOOKUP(B2174,LifeList!$E$2:$G$2038,3)</f>
        <v>Myiopsitta monachus</v>
      </c>
      <c r="G2174" s="3" t="str">
        <f>VLOOKUP(B2174,LifeList!$E$2:$I$2038,4)</f>
        <v>Psittaciformes</v>
      </c>
      <c r="H2174" s="3" t="str">
        <f>VLOOKUP(B2174,LifeList!$E$2:$I$2038,5)</f>
        <v>Psittacidae (New World and African Parrots)</v>
      </c>
      <c r="I2174" s="3"/>
    </row>
    <row r="2175" spans="1:9" ht="10.5" customHeight="1">
      <c r="A2175" s="3" t="s">
        <v>3079</v>
      </c>
      <c r="B2175" s="3" t="s">
        <v>3078</v>
      </c>
      <c r="C2175" s="3">
        <f>VLOOKUP(B2175,LifeList!$E$2:$J$2038,6)</f>
        <v>12819</v>
      </c>
      <c r="D2175" s="3" t="str">
        <f>VLOOKUP(B2175,LifeList!$E$2:$G$2038,1)</f>
        <v>Monk Parakeet</v>
      </c>
      <c r="E2175" s="3" t="str">
        <f>VLOOKUP(B2175,LifeList!$E$2:$G$2038,2)</f>
        <v>Conure veuve</v>
      </c>
      <c r="F2175" s="3" t="str">
        <f>VLOOKUP(B2175,LifeList!$E$2:$G$2038,3)</f>
        <v>Myiopsitta monachus</v>
      </c>
      <c r="G2175" s="3" t="str">
        <f>VLOOKUP(B2175,LifeList!$E$2:$I$2038,4)</f>
        <v>Psittaciformes</v>
      </c>
      <c r="H2175" s="3" t="str">
        <f>VLOOKUP(B2175,LifeList!$E$2:$I$2038,5)</f>
        <v>Psittacidae (New World and African Parrots)</v>
      </c>
      <c r="I2175" s="3"/>
    </row>
    <row r="2176" spans="1:9" ht="10.5" customHeight="1">
      <c r="A2176" s="3" t="s">
        <v>3080</v>
      </c>
      <c r="B2176" s="3" t="s">
        <v>3078</v>
      </c>
      <c r="C2176" s="3">
        <f>VLOOKUP(B2176,LifeList!$E$2:$J$2038,6)</f>
        <v>12819</v>
      </c>
      <c r="D2176" s="3" t="str">
        <f>VLOOKUP(B2176,LifeList!$E$2:$G$2038,1)</f>
        <v>Monk Parakeet</v>
      </c>
      <c r="E2176" s="3" t="str">
        <f>VLOOKUP(B2176,LifeList!$E$2:$G$2038,2)</f>
        <v>Conure veuve</v>
      </c>
      <c r="F2176" s="3" t="str">
        <f>VLOOKUP(B2176,LifeList!$E$2:$G$2038,3)</f>
        <v>Myiopsitta monachus</v>
      </c>
      <c r="G2176" s="3" t="str">
        <f>VLOOKUP(B2176,LifeList!$E$2:$I$2038,4)</f>
        <v>Psittaciformes</v>
      </c>
      <c r="H2176" s="3" t="str">
        <f>VLOOKUP(B2176,LifeList!$E$2:$I$2038,5)</f>
        <v>Psittacidae (New World and African Parrots)</v>
      </c>
      <c r="I2176" s="3"/>
    </row>
    <row r="2177" spans="1:9" ht="10.5" customHeight="1">
      <c r="A2177" s="3" t="s">
        <v>3081</v>
      </c>
      <c r="B2177" s="3" t="s">
        <v>3078</v>
      </c>
      <c r="C2177" s="3">
        <f>VLOOKUP(B2177,LifeList!$E$2:$J$2038,6)</f>
        <v>12819</v>
      </c>
      <c r="D2177" s="3" t="str">
        <f>VLOOKUP(B2177,LifeList!$E$2:$G$2038,1)</f>
        <v>Monk Parakeet</v>
      </c>
      <c r="E2177" s="3" t="str">
        <f>VLOOKUP(B2177,LifeList!$E$2:$G$2038,2)</f>
        <v>Conure veuve</v>
      </c>
      <c r="F2177" s="3" t="str">
        <f>VLOOKUP(B2177,LifeList!$E$2:$G$2038,3)</f>
        <v>Myiopsitta monachus</v>
      </c>
      <c r="G2177" s="3" t="str">
        <f>VLOOKUP(B2177,LifeList!$E$2:$I$2038,4)</f>
        <v>Psittaciformes</v>
      </c>
      <c r="H2177" s="3" t="str">
        <f>VLOOKUP(B2177,LifeList!$E$2:$I$2038,5)</f>
        <v>Psittacidae (New World and African Parrots)</v>
      </c>
      <c r="I2177" s="3"/>
    </row>
    <row r="2178" spans="1:9" ht="10.5" customHeight="1">
      <c r="A2178" s="3" t="s">
        <v>3082</v>
      </c>
      <c r="B2178" s="3" t="s">
        <v>3078</v>
      </c>
      <c r="C2178" s="3">
        <f>VLOOKUP(B2178,LifeList!$E$2:$J$2038,6)</f>
        <v>12819</v>
      </c>
      <c r="D2178" s="3" t="str">
        <f>VLOOKUP(B2178,LifeList!$E$2:$G$2038,1)</f>
        <v>Monk Parakeet</v>
      </c>
      <c r="E2178" s="3" t="str">
        <f>VLOOKUP(B2178,LifeList!$E$2:$G$2038,2)</f>
        <v>Conure veuve</v>
      </c>
      <c r="F2178" s="3" t="str">
        <f>VLOOKUP(B2178,LifeList!$E$2:$G$2038,3)</f>
        <v>Myiopsitta monachus</v>
      </c>
      <c r="G2178" s="3" t="str">
        <f>VLOOKUP(B2178,LifeList!$E$2:$I$2038,4)</f>
        <v>Psittaciformes</v>
      </c>
      <c r="H2178" s="3" t="str">
        <f>VLOOKUP(B2178,LifeList!$E$2:$I$2038,5)</f>
        <v>Psittacidae (New World and African Parrots)</v>
      </c>
      <c r="I2178" s="3"/>
    </row>
    <row r="2179" spans="1:9" ht="10.5" customHeight="1">
      <c r="A2179" s="3" t="s">
        <v>3083</v>
      </c>
      <c r="B2179" s="3" t="s">
        <v>3084</v>
      </c>
      <c r="C2179" s="3">
        <f>VLOOKUP(B2179,LifeList!$E$2:$J$2038,6)</f>
        <v>14946</v>
      </c>
      <c r="D2179" s="3" t="str">
        <f>VLOOKUP(B2179,LifeList!$E$2:$G$2038,1)</f>
        <v>Montane Woodcreeper</v>
      </c>
      <c r="E2179" s="3" t="str">
        <f>VLOOKUP(B2179,LifeList!$E$2:$G$2038,2)</f>
        <v>Grimpar montagnard</v>
      </c>
      <c r="F2179" s="3" t="str">
        <f>VLOOKUP(B2179,LifeList!$E$2:$G$2038,3)</f>
        <v>Lepidocolaptes lacrymiger</v>
      </c>
      <c r="G2179" s="3" t="str">
        <f>VLOOKUP(B2179,LifeList!$E$2:$I$2038,4)</f>
        <v>Passeriformes</v>
      </c>
      <c r="H2179" s="3" t="str">
        <f>VLOOKUP(B2179,LifeList!$E$2:$I$2038,5)</f>
        <v>Furnariidae (Ovenbirds and Woodcreepers)</v>
      </c>
      <c r="I2179" s="3"/>
    </row>
    <row r="2180" spans="1:9" ht="10.5" customHeight="1">
      <c r="A2180" s="3" t="s">
        <v>3085</v>
      </c>
      <c r="B2180" s="3" t="s">
        <v>3084</v>
      </c>
      <c r="C2180" s="3">
        <f>VLOOKUP(B2180,LifeList!$E$2:$J$2038,6)</f>
        <v>14946</v>
      </c>
      <c r="D2180" s="3" t="str">
        <f>VLOOKUP(B2180,LifeList!$E$2:$G$2038,1)</f>
        <v>Montane Woodcreeper</v>
      </c>
      <c r="E2180" s="3" t="str">
        <f>VLOOKUP(B2180,LifeList!$E$2:$G$2038,2)</f>
        <v>Grimpar montagnard</v>
      </c>
      <c r="F2180" s="3" t="str">
        <f>VLOOKUP(B2180,LifeList!$E$2:$G$2038,3)</f>
        <v>Lepidocolaptes lacrymiger</v>
      </c>
      <c r="G2180" s="3" t="str">
        <f>VLOOKUP(B2180,LifeList!$E$2:$I$2038,4)</f>
        <v>Passeriformes</v>
      </c>
      <c r="H2180" s="3" t="str">
        <f>VLOOKUP(B2180,LifeList!$E$2:$I$2038,5)</f>
        <v>Furnariidae (Ovenbirds and Woodcreepers)</v>
      </c>
      <c r="I2180" s="3"/>
    </row>
    <row r="2181" spans="1:9" ht="10.5" customHeight="1">
      <c r="A2181" s="3" t="s">
        <v>3086</v>
      </c>
      <c r="B2181" s="3" t="s">
        <v>3084</v>
      </c>
      <c r="C2181" s="3">
        <f>VLOOKUP(B2181,LifeList!$E$2:$J$2038,6)</f>
        <v>14946</v>
      </c>
      <c r="D2181" s="3" t="str">
        <f>VLOOKUP(B2181,LifeList!$E$2:$G$2038,1)</f>
        <v>Montane Woodcreeper</v>
      </c>
      <c r="E2181" s="3" t="str">
        <f>VLOOKUP(B2181,LifeList!$E$2:$G$2038,2)</f>
        <v>Grimpar montagnard</v>
      </c>
      <c r="F2181" s="3" t="str">
        <f>VLOOKUP(B2181,LifeList!$E$2:$G$2038,3)</f>
        <v>Lepidocolaptes lacrymiger</v>
      </c>
      <c r="G2181" s="3" t="str">
        <f>VLOOKUP(B2181,LifeList!$E$2:$I$2038,4)</f>
        <v>Passeriformes</v>
      </c>
      <c r="H2181" s="3" t="str">
        <f>VLOOKUP(B2181,LifeList!$E$2:$I$2038,5)</f>
        <v>Furnariidae (Ovenbirds and Woodcreepers)</v>
      </c>
      <c r="I2181" s="3"/>
    </row>
    <row r="2182" spans="1:9" ht="10.5" customHeight="1">
      <c r="A2182" s="3" t="s">
        <v>3087</v>
      </c>
      <c r="B2182" s="3" t="s">
        <v>3084</v>
      </c>
      <c r="C2182" s="3">
        <f>VLOOKUP(B2182,LifeList!$E$2:$J$2038,6)</f>
        <v>14946</v>
      </c>
      <c r="D2182" s="3" t="str">
        <f>VLOOKUP(B2182,LifeList!$E$2:$G$2038,1)</f>
        <v>Montane Woodcreeper</v>
      </c>
      <c r="E2182" s="3" t="str">
        <f>VLOOKUP(B2182,LifeList!$E$2:$G$2038,2)</f>
        <v>Grimpar montagnard</v>
      </c>
      <c r="F2182" s="3" t="str">
        <f>VLOOKUP(B2182,LifeList!$E$2:$G$2038,3)</f>
        <v>Lepidocolaptes lacrymiger</v>
      </c>
      <c r="G2182" s="3" t="str">
        <f>VLOOKUP(B2182,LifeList!$E$2:$I$2038,4)</f>
        <v>Passeriformes</v>
      </c>
      <c r="H2182" s="3" t="str">
        <f>VLOOKUP(B2182,LifeList!$E$2:$I$2038,5)</f>
        <v>Furnariidae (Ovenbirds and Woodcreepers)</v>
      </c>
      <c r="I2182" s="3"/>
    </row>
    <row r="2183" spans="1:9" ht="10.5" customHeight="1">
      <c r="A2183" s="3" t="s">
        <v>3088</v>
      </c>
      <c r="B2183" s="3" t="s">
        <v>3084</v>
      </c>
      <c r="C2183" s="3">
        <f>VLOOKUP(B2183,LifeList!$E$2:$J$2038,6)</f>
        <v>14946</v>
      </c>
      <c r="D2183" s="3" t="str">
        <f>VLOOKUP(B2183,LifeList!$E$2:$G$2038,1)</f>
        <v>Montane Woodcreeper</v>
      </c>
      <c r="E2183" s="3" t="str">
        <f>VLOOKUP(B2183,LifeList!$E$2:$G$2038,2)</f>
        <v>Grimpar montagnard</v>
      </c>
      <c r="F2183" s="3" t="str">
        <f>VLOOKUP(B2183,LifeList!$E$2:$G$2038,3)</f>
        <v>Lepidocolaptes lacrymiger</v>
      </c>
      <c r="G2183" s="3" t="str">
        <f>VLOOKUP(B2183,LifeList!$E$2:$I$2038,4)</f>
        <v>Passeriformes</v>
      </c>
      <c r="H2183" s="3" t="str">
        <f>VLOOKUP(B2183,LifeList!$E$2:$I$2038,5)</f>
        <v>Furnariidae (Ovenbirds and Woodcreepers)</v>
      </c>
      <c r="I2183" s="3"/>
    </row>
    <row r="2184" spans="1:9" ht="10.5" customHeight="1">
      <c r="A2184" s="3" t="s">
        <v>3089</v>
      </c>
      <c r="B2184" s="3" t="s">
        <v>3090</v>
      </c>
      <c r="C2184" s="3">
        <f>VLOOKUP(B2184,LifeList!$E$2:$J$2038,6)</f>
        <v>33632</v>
      </c>
      <c r="D2184" s="3" t="str">
        <f>VLOOKUP(B2184,LifeList!$E$2:$G$2038,1)</f>
        <v>Montezuma Oropendola</v>
      </c>
      <c r="E2184" s="3" t="str">
        <f>VLOOKUP(B2184,LifeList!$E$2:$G$2038,2)</f>
        <v>Cassique de Montezuma</v>
      </c>
      <c r="F2184" s="3" t="str">
        <f>VLOOKUP(B2184,LifeList!$E$2:$G$2038,3)</f>
        <v>Psarocolius montezuma</v>
      </c>
      <c r="G2184" s="3" t="str">
        <f>VLOOKUP(B2184,LifeList!$E$2:$I$2038,4)</f>
        <v>Passeriformes</v>
      </c>
      <c r="H2184" s="3" t="str">
        <f>VLOOKUP(B2184,LifeList!$E$2:$I$2038,5)</f>
        <v>Icteridae (Troupials and Allies)</v>
      </c>
      <c r="I2184" s="3"/>
    </row>
    <row r="2185" spans="1:9" ht="10.5" customHeight="1">
      <c r="A2185" s="3" t="s">
        <v>3091</v>
      </c>
      <c r="B2185" s="3" t="s">
        <v>3090</v>
      </c>
      <c r="C2185" s="3">
        <f>VLOOKUP(B2185,LifeList!$E$2:$J$2038,6)</f>
        <v>33632</v>
      </c>
      <c r="D2185" s="3" t="str">
        <f>VLOOKUP(B2185,LifeList!$E$2:$G$2038,1)</f>
        <v>Montezuma Oropendola</v>
      </c>
      <c r="E2185" s="3" t="str">
        <f>VLOOKUP(B2185,LifeList!$E$2:$G$2038,2)</f>
        <v>Cassique de Montezuma</v>
      </c>
      <c r="F2185" s="3" t="str">
        <f>VLOOKUP(B2185,LifeList!$E$2:$G$2038,3)</f>
        <v>Psarocolius montezuma</v>
      </c>
      <c r="G2185" s="3" t="str">
        <f>VLOOKUP(B2185,LifeList!$E$2:$I$2038,4)</f>
        <v>Passeriformes</v>
      </c>
      <c r="H2185" s="3" t="str">
        <f>VLOOKUP(B2185,LifeList!$E$2:$I$2038,5)</f>
        <v>Icteridae (Troupials and Allies)</v>
      </c>
      <c r="I2185" s="3"/>
    </row>
    <row r="2186" spans="1:9" ht="10.5" customHeight="1">
      <c r="A2186" s="3" t="s">
        <v>3092</v>
      </c>
      <c r="B2186" s="3" t="s">
        <v>3093</v>
      </c>
      <c r="C2186" s="3">
        <f>VLOOKUP(B2186,LifeList!$E$2:$J$2038,6)</f>
        <v>35574</v>
      </c>
      <c r="D2186" s="3" t="str">
        <f>VLOOKUP(B2186,LifeList!$E$2:$G$2038,1)</f>
        <v>Morelet's Seedeater</v>
      </c>
      <c r="E2186" s="3" t="str">
        <f>VLOOKUP(B2186,LifeList!$E$2:$G$2038,2)</f>
        <v>Sporophile de Morelet</v>
      </c>
      <c r="F2186" s="3" t="str">
        <f>VLOOKUP(B2186,LifeList!$E$2:$G$2038,3)</f>
        <v>Sporophila morelleti</v>
      </c>
      <c r="G2186" s="3" t="str">
        <f>VLOOKUP(B2186,LifeList!$E$2:$I$2038,4)</f>
        <v>Passeriformes</v>
      </c>
      <c r="H2186" s="3" t="str">
        <f>VLOOKUP(B2186,LifeList!$E$2:$I$2038,5)</f>
        <v>Thraupidae (Tanagers and Allies)</v>
      </c>
      <c r="I2186" s="3"/>
    </row>
    <row r="2187" spans="1:9" ht="10.5" customHeight="1">
      <c r="A2187" s="3" t="s">
        <v>3094</v>
      </c>
      <c r="B2187" s="3" t="s">
        <v>3095</v>
      </c>
      <c r="C2187" s="3">
        <f>VLOOKUP(B2187,LifeList!$E$2:$J$2038,6)</f>
        <v>34835</v>
      </c>
      <c r="D2187" s="3" t="str">
        <f>VLOOKUP(B2187,LifeList!$E$2:$G$2038,1)</f>
        <v>Moss-backed Tanager</v>
      </c>
      <c r="E2187" s="3" t="str">
        <f>VLOOKUP(B2187,LifeList!$E$2:$G$2038,2)</f>
        <v>Tangara d'Edwards</v>
      </c>
      <c r="F2187" s="3" t="str">
        <f>VLOOKUP(B2187,LifeList!$E$2:$G$2038,3)</f>
        <v>Bangsia edwardsi</v>
      </c>
      <c r="G2187" s="3" t="str">
        <f>VLOOKUP(B2187,LifeList!$E$2:$I$2038,4)</f>
        <v>Passeriformes</v>
      </c>
      <c r="H2187" s="3" t="str">
        <f>VLOOKUP(B2187,LifeList!$E$2:$I$2038,5)</f>
        <v>Thraupidae (Tanagers and Allies)</v>
      </c>
      <c r="I2187" s="3"/>
    </row>
    <row r="2188" spans="1:9" ht="10.5" customHeight="1">
      <c r="A2188" s="3" t="s">
        <v>3096</v>
      </c>
      <c r="B2188" s="3" t="s">
        <v>3097</v>
      </c>
      <c r="C2188" s="3">
        <f>VLOOKUP(B2188,LifeList!$E$2:$J$2038,6)</f>
        <v>575</v>
      </c>
      <c r="D2188" s="3" t="str">
        <f>VLOOKUP(B2188,LifeList!$E$2:$G$2038,1)</f>
        <v>Mottled Duck</v>
      </c>
      <c r="E2188" s="3" t="str">
        <f>VLOOKUP(B2188,LifeList!$E$2:$G$2038,2)</f>
        <v>Canard brun</v>
      </c>
      <c r="F2188" s="3" t="str">
        <f>VLOOKUP(B2188,LifeList!$E$2:$G$2038,3)</f>
        <v>Anas fulvigula</v>
      </c>
      <c r="G2188" s="3" t="str">
        <f>VLOOKUP(B2188,LifeList!$E$2:$I$2038,4)</f>
        <v>Anseriformes</v>
      </c>
      <c r="H2188" s="3" t="str">
        <f>VLOOKUP(B2188,LifeList!$E$2:$I$2038,5)</f>
        <v>Anatidae (Ducks, Geese, and Waterfowl)</v>
      </c>
      <c r="I2188" s="3"/>
    </row>
    <row r="2189" spans="1:9" ht="10.5" customHeight="1">
      <c r="A2189" s="3" t="s">
        <v>3098</v>
      </c>
      <c r="B2189" s="3" t="s">
        <v>3097</v>
      </c>
      <c r="C2189" s="3">
        <f>VLOOKUP(B2189,LifeList!$E$2:$J$2038,6)</f>
        <v>575</v>
      </c>
      <c r="D2189" s="3" t="str">
        <f>VLOOKUP(B2189,LifeList!$E$2:$G$2038,1)</f>
        <v>Mottled Duck</v>
      </c>
      <c r="E2189" s="3" t="str">
        <f>VLOOKUP(B2189,LifeList!$E$2:$G$2038,2)</f>
        <v>Canard brun</v>
      </c>
      <c r="F2189" s="3" t="str">
        <f>VLOOKUP(B2189,LifeList!$E$2:$G$2038,3)</f>
        <v>Anas fulvigula</v>
      </c>
      <c r="G2189" s="3" t="str">
        <f>VLOOKUP(B2189,LifeList!$E$2:$I$2038,4)</f>
        <v>Anseriformes</v>
      </c>
      <c r="H2189" s="3" t="str">
        <f>VLOOKUP(B2189,LifeList!$E$2:$I$2038,5)</f>
        <v>Anatidae (Ducks, Geese, and Waterfowl)</v>
      </c>
      <c r="I2189" s="3"/>
    </row>
    <row r="2190" spans="1:9" ht="10.5" customHeight="1">
      <c r="A2190" s="3" t="s">
        <v>3099</v>
      </c>
      <c r="B2190" s="3" t="s">
        <v>3097</v>
      </c>
      <c r="C2190" s="3">
        <f>VLOOKUP(B2190,LifeList!$E$2:$J$2038,6)</f>
        <v>575</v>
      </c>
      <c r="D2190" s="3" t="str">
        <f>VLOOKUP(B2190,LifeList!$E$2:$G$2038,1)</f>
        <v>Mottled Duck</v>
      </c>
      <c r="E2190" s="3" t="str">
        <f>VLOOKUP(B2190,LifeList!$E$2:$G$2038,2)</f>
        <v>Canard brun</v>
      </c>
      <c r="F2190" s="3" t="str">
        <f>VLOOKUP(B2190,LifeList!$E$2:$G$2038,3)</f>
        <v>Anas fulvigula</v>
      </c>
      <c r="G2190" s="3" t="str">
        <f>VLOOKUP(B2190,LifeList!$E$2:$I$2038,4)</f>
        <v>Anseriformes</v>
      </c>
      <c r="H2190" s="3" t="str">
        <f>VLOOKUP(B2190,LifeList!$E$2:$I$2038,5)</f>
        <v>Anatidae (Ducks, Geese, and Waterfowl)</v>
      </c>
      <c r="I2190" s="3"/>
    </row>
    <row r="2191" spans="1:9" ht="10.5" customHeight="1">
      <c r="A2191" s="3" t="s">
        <v>3100</v>
      </c>
      <c r="B2191" s="3" t="s">
        <v>3097</v>
      </c>
      <c r="C2191" s="3">
        <f>VLOOKUP(B2191,LifeList!$E$2:$J$2038,6)</f>
        <v>575</v>
      </c>
      <c r="D2191" s="3" t="str">
        <f>VLOOKUP(B2191,LifeList!$E$2:$G$2038,1)</f>
        <v>Mottled Duck</v>
      </c>
      <c r="E2191" s="3" t="str">
        <f>VLOOKUP(B2191,LifeList!$E$2:$G$2038,2)</f>
        <v>Canard brun</v>
      </c>
      <c r="F2191" s="3" t="str">
        <f>VLOOKUP(B2191,LifeList!$E$2:$G$2038,3)</f>
        <v>Anas fulvigula</v>
      </c>
      <c r="G2191" s="3" t="str">
        <f>VLOOKUP(B2191,LifeList!$E$2:$I$2038,4)</f>
        <v>Anseriformes</v>
      </c>
      <c r="H2191" s="3" t="str">
        <f>VLOOKUP(B2191,LifeList!$E$2:$I$2038,5)</f>
        <v>Anatidae (Ducks, Geese, and Waterfowl)</v>
      </c>
      <c r="I2191" s="3"/>
    </row>
    <row r="2192" spans="1:9" ht="10.5" customHeight="1">
      <c r="A2192" s="3" t="s">
        <v>3101</v>
      </c>
      <c r="B2192" s="3" t="s">
        <v>3102</v>
      </c>
      <c r="C2192" s="3">
        <f>VLOOKUP(B2192,LifeList!$E$2:$J$2038,6)</f>
        <v>9157</v>
      </c>
      <c r="D2192" s="3" t="str">
        <f>VLOOKUP(B2192,LifeList!$E$2:$G$2038,1)</f>
        <v>Mottled Owl</v>
      </c>
      <c r="E2192" s="3" t="str">
        <f>VLOOKUP(B2192,LifeList!$E$2:$G$2038,2)</f>
        <v>Chouette mouchetée</v>
      </c>
      <c r="F2192" s="3" t="str">
        <f>VLOOKUP(B2192,LifeList!$E$2:$G$2038,3)</f>
        <v>Strix virgata</v>
      </c>
      <c r="G2192" s="3" t="str">
        <f>VLOOKUP(B2192,LifeList!$E$2:$I$2038,4)</f>
        <v>Strigiformes</v>
      </c>
      <c r="H2192" s="3" t="str">
        <f>VLOOKUP(B2192,LifeList!$E$2:$I$2038,5)</f>
        <v>Strigidae (Owls)</v>
      </c>
      <c r="I2192" s="3"/>
    </row>
    <row r="2193" spans="1:9" ht="10.5" customHeight="1">
      <c r="A2193" s="3" t="s">
        <v>3103</v>
      </c>
      <c r="B2193" s="3" t="s">
        <v>3102</v>
      </c>
      <c r="C2193" s="3">
        <f>VLOOKUP(B2193,LifeList!$E$2:$J$2038,6)</f>
        <v>9157</v>
      </c>
      <c r="D2193" s="3" t="str">
        <f>VLOOKUP(B2193,LifeList!$E$2:$G$2038,1)</f>
        <v>Mottled Owl</v>
      </c>
      <c r="E2193" s="3" t="str">
        <f>VLOOKUP(B2193,LifeList!$E$2:$G$2038,2)</f>
        <v>Chouette mouchetée</v>
      </c>
      <c r="F2193" s="3" t="str">
        <f>VLOOKUP(B2193,LifeList!$E$2:$G$2038,3)</f>
        <v>Strix virgata</v>
      </c>
      <c r="G2193" s="3" t="str">
        <f>VLOOKUP(B2193,LifeList!$E$2:$I$2038,4)</f>
        <v>Strigiformes</v>
      </c>
      <c r="H2193" s="3" t="str">
        <f>VLOOKUP(B2193,LifeList!$E$2:$I$2038,5)</f>
        <v>Strigidae (Owls)</v>
      </c>
      <c r="I2193" s="3"/>
    </row>
    <row r="2194" spans="1:9" ht="10.5" customHeight="1">
      <c r="A2194" s="5" t="s">
        <v>3104</v>
      </c>
      <c r="B2194" s="3" t="s">
        <v>3105</v>
      </c>
      <c r="C2194" s="3">
        <f>VLOOKUP(B2194,LifeList!$E$2:$J$2038,6)</f>
        <v>33908</v>
      </c>
      <c r="D2194" s="3" t="str">
        <f>VLOOKUP(B2194,LifeList!$E$2:$G$2038,1)</f>
        <v>Mountain Grackle</v>
      </c>
      <c r="E2194" s="3" t="str">
        <f>VLOOKUP(B2194,LifeList!$E$2:$G$2038,2)</f>
        <v>Carouge montagnard</v>
      </c>
      <c r="F2194" s="3" t="str">
        <f>VLOOKUP(B2194,LifeList!$E$2:$G$2038,3)</f>
        <v>Macroagelaius subalaris</v>
      </c>
      <c r="G2194" s="3" t="str">
        <f>VLOOKUP(B2194,LifeList!$E$2:$I$2038,4)</f>
        <v>Passeriformes</v>
      </c>
      <c r="H2194" s="3" t="str">
        <f>VLOOKUP(B2194,LifeList!$E$2:$I$2038,5)</f>
        <v>Icteridae (Troupials and Allies)</v>
      </c>
      <c r="I2194" s="3"/>
    </row>
    <row r="2195" spans="1:9" ht="10.5" customHeight="1">
      <c r="A2195" s="5" t="s">
        <v>3106</v>
      </c>
      <c r="B2195" s="3" t="s">
        <v>3107</v>
      </c>
      <c r="C2195" s="3">
        <f>VLOOKUP(B2195,LifeList!$E$2:$J$2038,6)</f>
        <v>4659</v>
      </c>
      <c r="D2195" s="3" t="str">
        <f>VLOOKUP(B2195,LifeList!$E$2:$G$2038,1)</f>
        <v>Mountain Velvetbreast</v>
      </c>
      <c r="E2195" s="3" t="str">
        <f>VLOOKUP(B2195,LifeList!$E$2:$G$2038,2)</f>
        <v>Colibri de Lafresnaye</v>
      </c>
      <c r="F2195" s="3" t="str">
        <f>VLOOKUP(B2195,LifeList!$E$2:$G$2038,3)</f>
        <v>Lafresnaya lafresnayi</v>
      </c>
      <c r="G2195" s="3" t="str">
        <f>VLOOKUP(B2195,LifeList!$E$2:$I$2038,4)</f>
        <v>Apodiformes</v>
      </c>
      <c r="H2195" s="3" t="str">
        <f>VLOOKUP(B2195,LifeList!$E$2:$I$2038,5)</f>
        <v>Trochilidae (Hummingbirds)</v>
      </c>
      <c r="I2195" s="3"/>
    </row>
    <row r="2196" spans="1:9" ht="10.5" customHeight="1">
      <c r="A2196" s="3" t="s">
        <v>3108</v>
      </c>
      <c r="B2196" s="3" t="s">
        <v>3109</v>
      </c>
      <c r="C2196" s="3">
        <f>VLOOKUP(B2196,LifeList!$E$2:$J$2038,6)</f>
        <v>33654</v>
      </c>
      <c r="D2196" s="3" t="str">
        <f>VLOOKUP(B2196,LifeList!$E$2:$G$2038,1)</f>
        <v>Mountain Cacique</v>
      </c>
      <c r="E2196" s="3" t="str">
        <f>VLOOKUP(B2196,LifeList!$E$2:$G$2038,2)</f>
        <v>Cassique montagnard</v>
      </c>
      <c r="F2196" s="3" t="str">
        <f>VLOOKUP(B2196,LifeList!$E$2:$G$2038,3)</f>
        <v>Cacicus chrysonotus</v>
      </c>
      <c r="G2196" s="3" t="str">
        <f>VLOOKUP(B2196,LifeList!$E$2:$I$2038,4)</f>
        <v>Passeriformes</v>
      </c>
      <c r="H2196" s="3" t="str">
        <f>VLOOKUP(B2196,LifeList!$E$2:$I$2038,5)</f>
        <v>Icteridae (Troupials and Allies)</v>
      </c>
      <c r="I2196" s="3"/>
    </row>
    <row r="2197" spans="1:9" ht="10.5" customHeight="1">
      <c r="A2197" s="3" t="s">
        <v>3110</v>
      </c>
      <c r="B2197" s="3" t="s">
        <v>3109</v>
      </c>
      <c r="C2197" s="3">
        <f>VLOOKUP(B2197,LifeList!$E$2:$J$2038,6)</f>
        <v>33654</v>
      </c>
      <c r="D2197" s="3" t="str">
        <f>VLOOKUP(B2197,LifeList!$E$2:$G$2038,1)</f>
        <v>Mountain Cacique</v>
      </c>
      <c r="E2197" s="3" t="str">
        <f>VLOOKUP(B2197,LifeList!$E$2:$G$2038,2)</f>
        <v>Cassique montagnard</v>
      </c>
      <c r="F2197" s="3" t="str">
        <f>VLOOKUP(B2197,LifeList!$E$2:$G$2038,3)</f>
        <v>Cacicus chrysonotus</v>
      </c>
      <c r="G2197" s="3" t="str">
        <f>VLOOKUP(B2197,LifeList!$E$2:$I$2038,4)</f>
        <v>Passeriformes</v>
      </c>
      <c r="H2197" s="3" t="str">
        <f>VLOOKUP(B2197,LifeList!$E$2:$I$2038,5)</f>
        <v>Icteridae (Troupials and Allies)</v>
      </c>
      <c r="I2197" s="3"/>
    </row>
    <row r="2198" spans="1:9" ht="10.5" customHeight="1">
      <c r="A2198" s="3" t="s">
        <v>3111</v>
      </c>
      <c r="B2198" s="3" t="s">
        <v>3112</v>
      </c>
      <c r="C2198" s="3">
        <f>VLOOKUP(B2198,LifeList!$E$2:$J$2038,6)</f>
        <v>29773</v>
      </c>
      <c r="D2198" s="3" t="str">
        <f>VLOOKUP(B2198,LifeList!$E$2:$G$2038,1)</f>
        <v>Mountain Chat</v>
      </c>
      <c r="E2198" s="3" t="str">
        <f>VLOOKUP(B2198,LifeList!$E$2:$G$2038,2)</f>
        <v>Traquet montagnard</v>
      </c>
      <c r="F2198" s="3" t="str">
        <f>VLOOKUP(B2198,LifeList!$E$2:$G$2038,3)</f>
        <v>Myrmecocichla monticola</v>
      </c>
      <c r="G2198" s="3" t="str">
        <f>VLOOKUP(B2198,LifeList!$E$2:$I$2038,4)</f>
        <v>Passeriformes</v>
      </c>
      <c r="H2198" s="3" t="str">
        <f>VLOOKUP(B2198,LifeList!$E$2:$I$2038,5)</f>
        <v>Muscicapidae (Old World Flycatchers)</v>
      </c>
      <c r="I2198" s="3"/>
    </row>
    <row r="2199" spans="1:9" ht="10.5" customHeight="1">
      <c r="A2199" s="3" t="s">
        <v>3113</v>
      </c>
      <c r="B2199" s="3" t="s">
        <v>3114</v>
      </c>
      <c r="C2199" s="3">
        <f>VLOOKUP(B2199,LifeList!$E$2:$J$2038,6)</f>
        <v>16725</v>
      </c>
      <c r="D2199" s="3" t="str">
        <f>VLOOKUP(B2199,LifeList!$E$2:$G$2038,1)</f>
        <v>Mountain Elaenia</v>
      </c>
      <c r="E2199" s="3" t="str">
        <f>VLOOKUP(B2199,LifeList!$E$2:$G$2038,2)</f>
        <v>Élénie montagnarde</v>
      </c>
      <c r="F2199" s="3" t="str">
        <f>VLOOKUP(B2199,LifeList!$E$2:$G$2038,3)</f>
        <v>Elaenia frantzii</v>
      </c>
      <c r="G2199" s="3" t="str">
        <f>VLOOKUP(B2199,LifeList!$E$2:$I$2038,4)</f>
        <v>Passeriformes</v>
      </c>
      <c r="H2199" s="3" t="str">
        <f>VLOOKUP(B2199,LifeList!$E$2:$I$2038,5)</f>
        <v>Tyrannidae (Tyrant Flycatchers)</v>
      </c>
      <c r="I2199" s="3"/>
    </row>
    <row r="2200" spans="1:9" ht="10.5" customHeight="1">
      <c r="A2200" s="3" t="s">
        <v>3115</v>
      </c>
      <c r="B2200" s="3" t="s">
        <v>3114</v>
      </c>
      <c r="C2200" s="3">
        <f>VLOOKUP(B2200,LifeList!$E$2:$J$2038,6)</f>
        <v>16725</v>
      </c>
      <c r="D2200" s="3" t="str">
        <f>VLOOKUP(B2200,LifeList!$E$2:$G$2038,1)</f>
        <v>Mountain Elaenia</v>
      </c>
      <c r="E2200" s="3" t="str">
        <f>VLOOKUP(B2200,LifeList!$E$2:$G$2038,2)</f>
        <v>Élénie montagnarde</v>
      </c>
      <c r="F2200" s="3" t="str">
        <f>VLOOKUP(B2200,LifeList!$E$2:$G$2038,3)</f>
        <v>Elaenia frantzii</v>
      </c>
      <c r="G2200" s="3" t="str">
        <f>VLOOKUP(B2200,LifeList!$E$2:$I$2038,4)</f>
        <v>Passeriformes</v>
      </c>
      <c r="H2200" s="3" t="str">
        <f>VLOOKUP(B2200,LifeList!$E$2:$I$2038,5)</f>
        <v>Tyrannidae (Tyrant Flycatchers)</v>
      </c>
      <c r="I2200" s="3"/>
    </row>
    <row r="2201" spans="1:9" ht="10.5" customHeight="1">
      <c r="A2201" s="3" t="s">
        <v>3116</v>
      </c>
      <c r="B2201" s="3" t="s">
        <v>3117</v>
      </c>
      <c r="C2201" s="3">
        <f>VLOOKUP(B2201,LifeList!$E$2:$J$2038,6)</f>
        <v>28646</v>
      </c>
      <c r="D2201" s="3" t="str">
        <f>VLOOKUP(B2201,LifeList!$E$2:$G$2038,1)</f>
        <v>Mountain Thrush</v>
      </c>
      <c r="E2201" s="3" t="str">
        <f>VLOOKUP(B2201,LifeList!$E$2:$G$2038,2)</f>
        <v>Merle de montagne</v>
      </c>
      <c r="F2201" s="3" t="str">
        <f>VLOOKUP(B2201,LifeList!$E$2:$G$2038,3)</f>
        <v>Turdus plebejus</v>
      </c>
      <c r="G2201" s="3" t="str">
        <f>VLOOKUP(B2201,LifeList!$E$2:$I$2038,4)</f>
        <v>Passeriformes</v>
      </c>
      <c r="H2201" s="3" t="str">
        <f>VLOOKUP(B2201,LifeList!$E$2:$I$2038,5)</f>
        <v>Turdidae (Thrushes and Allies)</v>
      </c>
      <c r="I2201" s="3"/>
    </row>
    <row r="2202" spans="1:9" ht="10.5" customHeight="1">
      <c r="A2202" s="3" t="s">
        <v>3118</v>
      </c>
      <c r="B2202" s="3" t="s">
        <v>3119</v>
      </c>
      <c r="C2202" s="3">
        <f>VLOOKUP(B2202,LifeList!$E$2:$J$2038,6)</f>
        <v>27245</v>
      </c>
      <c r="D2202" s="3" t="str">
        <f>VLOOKUP(B2202,LifeList!$E$2:$G$2038,1)</f>
        <v>Mountain Wren</v>
      </c>
      <c r="E2202" s="3" t="str">
        <f>VLOOKUP(B2202,LifeList!$E$2:$G$2038,2)</f>
        <v>Troglodyte montagnard</v>
      </c>
      <c r="F2202" s="3" t="str">
        <f>VLOOKUP(B2202,LifeList!$E$2:$G$2038,3)</f>
        <v>Troglodytes solstitialis</v>
      </c>
      <c r="G2202" s="3" t="str">
        <f>VLOOKUP(B2202,LifeList!$E$2:$I$2038,4)</f>
        <v>Passeriformes</v>
      </c>
      <c r="H2202" s="3" t="str">
        <f>VLOOKUP(B2202,LifeList!$E$2:$I$2038,5)</f>
        <v>Troglodytidae (Wrens)</v>
      </c>
      <c r="I2202" s="3"/>
    </row>
    <row r="2203" spans="1:9" ht="10.5" customHeight="1">
      <c r="A2203" s="5" t="s">
        <v>3120</v>
      </c>
      <c r="B2203" s="3" t="s">
        <v>3121</v>
      </c>
      <c r="C2203" s="3">
        <f>VLOOKUP(B2203,LifeList!$E$2:$J$2038,6)</f>
        <v>2043</v>
      </c>
      <c r="D2203" s="3" t="str">
        <f>VLOOKUP(B2203,LifeList!$E$2:$G$2038,1)</f>
        <v>Mourning Collared-Dove</v>
      </c>
      <c r="E2203" s="3" t="str">
        <f>VLOOKUP(B2203,LifeList!$E$2:$G$2038,2)</f>
        <v>Tourterelle pleureuse</v>
      </c>
      <c r="F2203" s="3" t="str">
        <f>VLOOKUP(B2203,LifeList!$E$2:$G$2038,3)</f>
        <v>Streptopelia decipiens</v>
      </c>
      <c r="G2203" s="3" t="str">
        <f>VLOOKUP(B2203,LifeList!$E$2:$I$2038,4)</f>
        <v>Columbiformes</v>
      </c>
      <c r="H2203" s="3" t="str">
        <f>VLOOKUP(B2203,LifeList!$E$2:$I$2038,5)</f>
        <v>Columbidae (Pigeons and Doves)</v>
      </c>
      <c r="I2203" s="3"/>
    </row>
    <row r="2204" spans="1:9" ht="10.5" customHeight="1">
      <c r="A2204" s="3" t="s">
        <v>3122</v>
      </c>
      <c r="B2204" s="3" t="s">
        <v>3123</v>
      </c>
      <c r="C2204" s="3">
        <f>VLOOKUP(B2204,LifeList!$E$2:$J$2038,6)</f>
        <v>2412</v>
      </c>
      <c r="D2204" s="3" t="str">
        <f>VLOOKUP(B2204,LifeList!$E$2:$G$2038,1)</f>
        <v>Mourning Dove</v>
      </c>
      <c r="E2204" s="3" t="str">
        <f>VLOOKUP(B2204,LifeList!$E$2:$G$2038,2)</f>
        <v>Tourterelle triste</v>
      </c>
      <c r="F2204" s="3" t="str">
        <f>VLOOKUP(B2204,LifeList!$E$2:$G$2038,3)</f>
        <v>Zenaida macroura</v>
      </c>
      <c r="G2204" s="3" t="str">
        <f>VLOOKUP(B2204,LifeList!$E$2:$I$2038,4)</f>
        <v>Columbiformes</v>
      </c>
      <c r="H2204" s="3" t="str">
        <f>VLOOKUP(B2204,LifeList!$E$2:$I$2038,5)</f>
        <v>Columbidae (Pigeons and Doves)</v>
      </c>
      <c r="I2204" s="3"/>
    </row>
    <row r="2205" spans="1:9" ht="10.5" customHeight="1">
      <c r="A2205" s="3" t="s">
        <v>3124</v>
      </c>
      <c r="B2205" s="3" t="s">
        <v>3123</v>
      </c>
      <c r="C2205" s="3">
        <f>VLOOKUP(B2205,LifeList!$E$2:$J$2038,6)</f>
        <v>2412</v>
      </c>
      <c r="D2205" s="3" t="str">
        <f>VLOOKUP(B2205,LifeList!$E$2:$G$2038,1)</f>
        <v>Mourning Dove</v>
      </c>
      <c r="E2205" s="3" t="str">
        <f>VLOOKUP(B2205,LifeList!$E$2:$G$2038,2)</f>
        <v>Tourterelle triste</v>
      </c>
      <c r="F2205" s="3" t="str">
        <f>VLOOKUP(B2205,LifeList!$E$2:$G$2038,3)</f>
        <v>Zenaida macroura</v>
      </c>
      <c r="G2205" s="3" t="str">
        <f>VLOOKUP(B2205,LifeList!$E$2:$I$2038,4)</f>
        <v>Columbiformes</v>
      </c>
      <c r="H2205" s="3" t="str">
        <f>VLOOKUP(B2205,LifeList!$E$2:$I$2038,5)</f>
        <v>Columbidae (Pigeons and Doves)</v>
      </c>
      <c r="I2205" s="3"/>
    </row>
    <row r="2206" spans="1:9" ht="10.5" customHeight="1">
      <c r="A2206" s="3" t="s">
        <v>3125</v>
      </c>
      <c r="B2206" s="3" t="s">
        <v>3123</v>
      </c>
      <c r="C2206" s="3">
        <f>VLOOKUP(B2206,LifeList!$E$2:$J$2038,6)</f>
        <v>2412</v>
      </c>
      <c r="D2206" s="3" t="str">
        <f>VLOOKUP(B2206,LifeList!$E$2:$G$2038,1)</f>
        <v>Mourning Dove</v>
      </c>
      <c r="E2206" s="3" t="str">
        <f>VLOOKUP(B2206,LifeList!$E$2:$G$2038,2)</f>
        <v>Tourterelle triste</v>
      </c>
      <c r="F2206" s="3" t="str">
        <f>VLOOKUP(B2206,LifeList!$E$2:$G$2038,3)</f>
        <v>Zenaida macroura</v>
      </c>
      <c r="G2206" s="3" t="str">
        <f>VLOOKUP(B2206,LifeList!$E$2:$I$2038,4)</f>
        <v>Columbiformes</v>
      </c>
      <c r="H2206" s="3" t="str">
        <f>VLOOKUP(B2206,LifeList!$E$2:$I$2038,5)</f>
        <v>Columbidae (Pigeons and Doves)</v>
      </c>
      <c r="I2206" s="3"/>
    </row>
    <row r="2207" spans="1:9" ht="10.5" customHeight="1">
      <c r="A2207" s="3" t="s">
        <v>3126</v>
      </c>
      <c r="B2207" s="3" t="s">
        <v>3123</v>
      </c>
      <c r="C2207" s="3">
        <f>VLOOKUP(B2207,LifeList!$E$2:$J$2038,6)</f>
        <v>2412</v>
      </c>
      <c r="D2207" s="3" t="str">
        <f>VLOOKUP(B2207,LifeList!$E$2:$G$2038,1)</f>
        <v>Mourning Dove</v>
      </c>
      <c r="E2207" s="3" t="str">
        <f>VLOOKUP(B2207,LifeList!$E$2:$G$2038,2)</f>
        <v>Tourterelle triste</v>
      </c>
      <c r="F2207" s="3" t="str">
        <f>VLOOKUP(B2207,LifeList!$E$2:$G$2038,3)</f>
        <v>Zenaida macroura</v>
      </c>
      <c r="G2207" s="3" t="str">
        <f>VLOOKUP(B2207,LifeList!$E$2:$I$2038,4)</f>
        <v>Columbiformes</v>
      </c>
      <c r="H2207" s="3" t="str">
        <f>VLOOKUP(B2207,LifeList!$E$2:$I$2038,5)</f>
        <v>Columbidae (Pigeons and Doves)</v>
      </c>
      <c r="I2207" s="3"/>
    </row>
    <row r="2208" spans="1:9" ht="10.5" customHeight="1">
      <c r="A2208" s="3" t="s">
        <v>3127</v>
      </c>
      <c r="B2208" s="3" t="s">
        <v>3123</v>
      </c>
      <c r="C2208" s="3">
        <f>VLOOKUP(B2208,LifeList!$E$2:$J$2038,6)</f>
        <v>2412</v>
      </c>
      <c r="D2208" s="3" t="str">
        <f>VLOOKUP(B2208,LifeList!$E$2:$G$2038,1)</f>
        <v>Mourning Dove</v>
      </c>
      <c r="E2208" s="3" t="str">
        <f>VLOOKUP(B2208,LifeList!$E$2:$G$2038,2)</f>
        <v>Tourterelle triste</v>
      </c>
      <c r="F2208" s="3" t="str">
        <f>VLOOKUP(B2208,LifeList!$E$2:$G$2038,3)</f>
        <v>Zenaida macroura</v>
      </c>
      <c r="G2208" s="3" t="str">
        <f>VLOOKUP(B2208,LifeList!$E$2:$I$2038,4)</f>
        <v>Columbiformes</v>
      </c>
      <c r="H2208" s="3" t="str">
        <f>VLOOKUP(B2208,LifeList!$E$2:$I$2038,5)</f>
        <v>Columbidae (Pigeons and Doves)</v>
      </c>
      <c r="I2208" s="3"/>
    </row>
    <row r="2209" spans="1:9" ht="10.5" customHeight="1">
      <c r="A2209" s="3" t="s">
        <v>3128</v>
      </c>
      <c r="B2209" s="3" t="s">
        <v>3123</v>
      </c>
      <c r="C2209" s="3">
        <f>VLOOKUP(B2209,LifeList!$E$2:$J$2038,6)</f>
        <v>2412</v>
      </c>
      <c r="D2209" s="3" t="str">
        <f>VLOOKUP(B2209,LifeList!$E$2:$G$2038,1)</f>
        <v>Mourning Dove</v>
      </c>
      <c r="E2209" s="3" t="str">
        <f>VLOOKUP(B2209,LifeList!$E$2:$G$2038,2)</f>
        <v>Tourterelle triste</v>
      </c>
      <c r="F2209" s="3" t="str">
        <f>VLOOKUP(B2209,LifeList!$E$2:$G$2038,3)</f>
        <v>Zenaida macroura</v>
      </c>
      <c r="G2209" s="3" t="str">
        <f>VLOOKUP(B2209,LifeList!$E$2:$I$2038,4)</f>
        <v>Columbiformes</v>
      </c>
      <c r="H2209" s="3" t="str">
        <f>VLOOKUP(B2209,LifeList!$E$2:$I$2038,5)</f>
        <v>Columbidae (Pigeons and Doves)</v>
      </c>
      <c r="I2209" s="3"/>
    </row>
    <row r="2210" spans="1:9" ht="10.5" customHeight="1">
      <c r="A2210" s="3" t="s">
        <v>3129</v>
      </c>
      <c r="B2210" s="3" t="s">
        <v>3123</v>
      </c>
      <c r="C2210" s="3">
        <f>VLOOKUP(B2210,LifeList!$E$2:$J$2038,6)</f>
        <v>2412</v>
      </c>
      <c r="D2210" s="3" t="str">
        <f>VLOOKUP(B2210,LifeList!$E$2:$G$2038,1)</f>
        <v>Mourning Dove</v>
      </c>
      <c r="E2210" s="3" t="str">
        <f>VLOOKUP(B2210,LifeList!$E$2:$G$2038,2)</f>
        <v>Tourterelle triste</v>
      </c>
      <c r="F2210" s="3" t="str">
        <f>VLOOKUP(B2210,LifeList!$E$2:$G$2038,3)</f>
        <v>Zenaida macroura</v>
      </c>
      <c r="G2210" s="3" t="str">
        <f>VLOOKUP(B2210,LifeList!$E$2:$I$2038,4)</f>
        <v>Columbiformes</v>
      </c>
      <c r="H2210" s="3" t="str">
        <f>VLOOKUP(B2210,LifeList!$E$2:$I$2038,5)</f>
        <v>Columbidae (Pigeons and Doves)</v>
      </c>
      <c r="I2210" s="3"/>
    </row>
    <row r="2211" spans="1:9" ht="10.5" customHeight="1">
      <c r="A2211" s="3" t="s">
        <v>3130</v>
      </c>
      <c r="B2211" s="3" t="s">
        <v>3131</v>
      </c>
      <c r="C2211" s="3">
        <f>VLOOKUP(B2211,LifeList!$E$2:$J$2038,6)</f>
        <v>34006</v>
      </c>
      <c r="D2211" s="3" t="str">
        <f>VLOOKUP(B2211,LifeList!$E$2:$G$2038,1)</f>
        <v>Mourning Warbler</v>
      </c>
      <c r="E2211" s="3" t="str">
        <f>VLOOKUP(B2211,LifeList!$E$2:$G$2038,2)</f>
        <v>Paruline triste</v>
      </c>
      <c r="F2211" s="3" t="str">
        <f>VLOOKUP(B2211,LifeList!$E$2:$G$2038,3)</f>
        <v>Geothlypis philadelphia</v>
      </c>
      <c r="G2211" s="3" t="str">
        <f>VLOOKUP(B2211,LifeList!$E$2:$I$2038,4)</f>
        <v>Passeriformes</v>
      </c>
      <c r="H2211" s="3" t="str">
        <f>VLOOKUP(B2211,LifeList!$E$2:$I$2038,5)</f>
        <v>Parulidae (New World Warblers)</v>
      </c>
      <c r="I2211" s="3"/>
    </row>
    <row r="2212" spans="1:9" ht="10.5" customHeight="1">
      <c r="A2212" s="3" t="s">
        <v>3132</v>
      </c>
      <c r="B2212" s="3" t="s">
        <v>3131</v>
      </c>
      <c r="C2212" s="3">
        <f>VLOOKUP(B2212,LifeList!$E$2:$J$2038,6)</f>
        <v>34006</v>
      </c>
      <c r="D2212" s="3" t="str">
        <f>VLOOKUP(B2212,LifeList!$E$2:$G$2038,1)</f>
        <v>Mourning Warbler</v>
      </c>
      <c r="E2212" s="3" t="str">
        <f>VLOOKUP(B2212,LifeList!$E$2:$G$2038,2)</f>
        <v>Paruline triste</v>
      </c>
      <c r="F2212" s="3" t="str">
        <f>VLOOKUP(B2212,LifeList!$E$2:$G$2038,3)</f>
        <v>Geothlypis philadelphia</v>
      </c>
      <c r="G2212" s="3" t="str">
        <f>VLOOKUP(B2212,LifeList!$E$2:$I$2038,4)</f>
        <v>Passeriformes</v>
      </c>
      <c r="H2212" s="3" t="str">
        <f>VLOOKUP(B2212,LifeList!$E$2:$I$2038,5)</f>
        <v>Parulidae (New World Warblers)</v>
      </c>
      <c r="I2212" s="3"/>
    </row>
    <row r="2213" spans="1:9" ht="10.5" customHeight="1">
      <c r="A2213" s="3" t="s">
        <v>3133</v>
      </c>
      <c r="B2213" s="3" t="s">
        <v>3131</v>
      </c>
      <c r="C2213" s="3">
        <f>VLOOKUP(B2213,LifeList!$E$2:$J$2038,6)</f>
        <v>34006</v>
      </c>
      <c r="D2213" s="3" t="str">
        <f>VLOOKUP(B2213,LifeList!$E$2:$G$2038,1)</f>
        <v>Mourning Warbler</v>
      </c>
      <c r="E2213" s="3" t="str">
        <f>VLOOKUP(B2213,LifeList!$E$2:$G$2038,2)</f>
        <v>Paruline triste</v>
      </c>
      <c r="F2213" s="3" t="str">
        <f>VLOOKUP(B2213,LifeList!$E$2:$G$2038,3)</f>
        <v>Geothlypis philadelphia</v>
      </c>
      <c r="G2213" s="3" t="str">
        <f>VLOOKUP(B2213,LifeList!$E$2:$I$2038,4)</f>
        <v>Passeriformes</v>
      </c>
      <c r="H2213" s="3" t="str">
        <f>VLOOKUP(B2213,LifeList!$E$2:$I$2038,5)</f>
        <v>Parulidae (New World Warblers)</v>
      </c>
      <c r="I2213" s="3"/>
    </row>
    <row r="2214" spans="1:9" ht="10.5" customHeight="1">
      <c r="A2214" s="3" t="s">
        <v>3134</v>
      </c>
      <c r="B2214" s="3" t="s">
        <v>3131</v>
      </c>
      <c r="C2214" s="3">
        <f>VLOOKUP(B2214,LifeList!$E$2:$J$2038,6)</f>
        <v>34006</v>
      </c>
      <c r="D2214" s="3" t="str">
        <f>VLOOKUP(B2214,LifeList!$E$2:$G$2038,1)</f>
        <v>Mourning Warbler</v>
      </c>
      <c r="E2214" s="3" t="str">
        <f>VLOOKUP(B2214,LifeList!$E$2:$G$2038,2)</f>
        <v>Paruline triste</v>
      </c>
      <c r="F2214" s="3" t="str">
        <f>VLOOKUP(B2214,LifeList!$E$2:$G$2038,3)</f>
        <v>Geothlypis philadelphia</v>
      </c>
      <c r="G2214" s="3" t="str">
        <f>VLOOKUP(B2214,LifeList!$E$2:$I$2038,4)</f>
        <v>Passeriformes</v>
      </c>
      <c r="H2214" s="3" t="str">
        <f>VLOOKUP(B2214,LifeList!$E$2:$I$2038,5)</f>
        <v>Parulidae (New World Warblers)</v>
      </c>
      <c r="I2214" s="3"/>
    </row>
    <row r="2215" spans="1:9" ht="10.5" customHeight="1">
      <c r="A2215" s="3" t="s">
        <v>3135</v>
      </c>
      <c r="B2215" s="3" t="s">
        <v>3136</v>
      </c>
      <c r="C2215" s="3">
        <f>VLOOKUP(B2215,LifeList!$E$2:$J$2038,6)</f>
        <v>13716</v>
      </c>
      <c r="D2215" s="3" t="str">
        <f>VLOOKUP(B2215,LifeList!$E$2:$G$2038,1)</f>
        <v>Moustached Antwren</v>
      </c>
      <c r="E2215" s="3" t="str">
        <f>VLOOKUP(B2215,LifeList!$E$2:$G$2038,2)</f>
        <v>Myrmidon de Griscom</v>
      </c>
      <c r="F2215" s="3" t="str">
        <f>VLOOKUP(B2215,LifeList!$E$2:$G$2038,3)</f>
        <v>Myrmotherula ignota</v>
      </c>
      <c r="G2215" s="3" t="str">
        <f>VLOOKUP(B2215,LifeList!$E$2:$I$2038,4)</f>
        <v>Passeriformes</v>
      </c>
      <c r="H2215" s="3" t="str">
        <f>VLOOKUP(B2215,LifeList!$E$2:$I$2038,5)</f>
        <v>Thamnophilidae (Typical Antbirds)</v>
      </c>
      <c r="I2215" s="3"/>
    </row>
    <row r="2216" spans="1:9" ht="10.5" customHeight="1">
      <c r="A2216" s="3" t="s">
        <v>3137</v>
      </c>
      <c r="B2216" s="3" t="s">
        <v>3138</v>
      </c>
      <c r="C2216" s="3">
        <f>VLOOKUP(B2216,LifeList!$E$2:$J$2038,6)</f>
        <v>33448</v>
      </c>
      <c r="D2216" s="3" t="str">
        <f>VLOOKUP(B2216,LifeList!$E$2:$G$2038,1)</f>
        <v>Moustached Brushfinch</v>
      </c>
      <c r="E2216" s="3" t="str">
        <f>VLOOKUP(B2216,LifeList!$E$2:$G$2038,2)</f>
        <v>Tohi moustachu</v>
      </c>
      <c r="F2216" s="3" t="str">
        <f>VLOOKUP(B2216,LifeList!$E$2:$G$2038,3)</f>
        <v>Atlapetes albofrenatus</v>
      </c>
      <c r="G2216" s="3" t="str">
        <f>VLOOKUP(B2216,LifeList!$E$2:$I$2038,4)</f>
        <v>Passeriformes</v>
      </c>
      <c r="H2216" s="3" t="str">
        <f>VLOOKUP(B2216,LifeList!$E$2:$I$2038,5)</f>
        <v>Passerellidae (New World Sparrows)</v>
      </c>
      <c r="I2216" s="3"/>
    </row>
    <row r="2217" spans="1:9" ht="10.5" customHeight="1">
      <c r="A2217" s="7" t="s">
        <v>3139</v>
      </c>
      <c r="B2217" s="9" t="s">
        <v>3140</v>
      </c>
      <c r="C2217" s="6">
        <f>VLOOKUP(B2217,LifeList!$E$2:$J$2038,6)</f>
        <v>12517</v>
      </c>
      <c r="D2217" s="3" t="str">
        <f>VLOOKUP(B2217,LifeList!$E$2:$G$2038,1)</f>
        <v>Mulga Parrot</v>
      </c>
      <c r="E2217" s="3" t="str">
        <f>VLOOKUP(B2217,LifeList!$E$2:$G$2038,2)</f>
        <v>Perruche multicolore</v>
      </c>
      <c r="F2217" s="3" t="str">
        <f>VLOOKUP(B2217,LifeList!$E$2:$G$2038,3)</f>
        <v>Psephotellus varius</v>
      </c>
      <c r="G2217" s="3" t="str">
        <f>VLOOKUP(B2217,LifeList!$E$2:$I$2038,4)</f>
        <v>Psittaciformes</v>
      </c>
      <c r="H2217" s="3" t="str">
        <f>VLOOKUP(B2217,LifeList!$E$2:$I$2038,5)</f>
        <v>Psittaculidae (Old World Parrots)</v>
      </c>
      <c r="I2217" s="3"/>
    </row>
    <row r="2218" spans="1:9" ht="10.5" customHeight="1">
      <c r="A2218" s="7" t="s">
        <v>3141</v>
      </c>
      <c r="B2218" s="9" t="s">
        <v>3142</v>
      </c>
      <c r="C2218" s="6">
        <f>VLOOKUP(B2218,LifeList!$E$2:$J$2038,6)</f>
        <v>789</v>
      </c>
      <c r="D2218" s="3" t="str">
        <f>VLOOKUP(B2218,LifeList!$E$2:$G$2038,1)</f>
        <v>Musk Duck</v>
      </c>
      <c r="E2218" s="3" t="str">
        <f>VLOOKUP(B2218,LifeList!$E$2:$G$2038,2)</f>
        <v>Érismature à barbillons</v>
      </c>
      <c r="F2218" s="3" t="str">
        <f>VLOOKUP(B2218,LifeList!$E$2:$G$2038,3)</f>
        <v>Biziura lobata</v>
      </c>
      <c r="G2218" s="3" t="str">
        <f>VLOOKUP(B2218,LifeList!$E$2:$I$2038,4)</f>
        <v>Anseriformes</v>
      </c>
      <c r="H2218" s="3" t="str">
        <f>VLOOKUP(B2218,LifeList!$E$2:$I$2038,5)</f>
        <v>Anatidae (Ducks, Geese, and Waterfowl)</v>
      </c>
      <c r="I2218" s="3"/>
    </row>
    <row r="2219" spans="1:9" ht="10.5" customHeight="1">
      <c r="A2219" s="3" t="s">
        <v>3143</v>
      </c>
      <c r="B2219" s="3" t="s">
        <v>3144</v>
      </c>
      <c r="C2219" s="3">
        <f>VLOOKUP(B2219,LifeList!$E$2:$J$2038,6)</f>
        <v>12645</v>
      </c>
      <c r="D2219" s="3" t="str">
        <f>VLOOKUP(B2219,LifeList!$E$2:$G$2038,1)</f>
        <v>Musk Lorikeet</v>
      </c>
      <c r="E2219" s="3" t="str">
        <f>VLOOKUP(B2219,LifeList!$E$2:$G$2038,2)</f>
        <v>Loriquet à bandeau rouge</v>
      </c>
      <c r="F2219" s="3" t="str">
        <f>VLOOKUP(B2219,LifeList!$E$2:$G$2038,3)</f>
        <v>Trichoglossus concinnus</v>
      </c>
      <c r="G2219" s="3" t="str">
        <f>VLOOKUP(B2219,LifeList!$E$2:$I$2038,4)</f>
        <v>Psittaciformes</v>
      </c>
      <c r="H2219" s="3" t="str">
        <f>VLOOKUP(B2219,LifeList!$E$2:$I$2038,5)</f>
        <v>Psittaculidae (Old World Parrots)</v>
      </c>
      <c r="I2219" s="3"/>
    </row>
    <row r="2220" spans="1:9" ht="10.5" customHeight="1">
      <c r="A2220" s="3" t="s">
        <v>3145</v>
      </c>
      <c r="B2220" s="3" t="s">
        <v>3144</v>
      </c>
      <c r="C2220" s="3">
        <f>VLOOKUP(B2220,LifeList!$E$2:$J$2038,6)</f>
        <v>12645</v>
      </c>
      <c r="D2220" s="3" t="str">
        <f>VLOOKUP(B2220,LifeList!$E$2:$G$2038,1)</f>
        <v>Musk Lorikeet</v>
      </c>
      <c r="E2220" s="3" t="str">
        <f>VLOOKUP(B2220,LifeList!$E$2:$G$2038,2)</f>
        <v>Loriquet à bandeau rouge</v>
      </c>
      <c r="F2220" s="3" t="str">
        <f>VLOOKUP(B2220,LifeList!$E$2:$G$2038,3)</f>
        <v>Trichoglossus concinnus</v>
      </c>
      <c r="G2220" s="3" t="str">
        <f>VLOOKUP(B2220,LifeList!$E$2:$I$2038,4)</f>
        <v>Psittaciformes</v>
      </c>
      <c r="H2220" s="3" t="str">
        <f>VLOOKUP(B2220,LifeList!$E$2:$I$2038,5)</f>
        <v>Psittaculidae (Old World Parrots)</v>
      </c>
      <c r="I2220" s="3"/>
    </row>
    <row r="2221" spans="1:9" ht="10.5" customHeight="1">
      <c r="A2221" s="3" t="s">
        <v>3146</v>
      </c>
      <c r="B2221" s="3" t="s">
        <v>3147</v>
      </c>
      <c r="C2221" s="3">
        <f>VLOOKUP(B2221,LifeList!$E$2:$J$2038,6)</f>
        <v>377</v>
      </c>
      <c r="D2221" s="3" t="str">
        <f>VLOOKUP(B2221,LifeList!$E$2:$G$2038,1)</f>
        <v>Mute Swan</v>
      </c>
      <c r="E2221" s="3" t="str">
        <f>VLOOKUP(B2221,LifeList!$E$2:$G$2038,2)</f>
        <v>Cygne tuberculé</v>
      </c>
      <c r="F2221" s="3" t="str">
        <f>VLOOKUP(B2221,LifeList!$E$2:$G$2038,3)</f>
        <v>Cygnus olor</v>
      </c>
      <c r="G2221" s="3" t="str">
        <f>VLOOKUP(B2221,LifeList!$E$2:$I$2038,4)</f>
        <v>Anseriformes</v>
      </c>
      <c r="H2221" s="3" t="str">
        <f>VLOOKUP(B2221,LifeList!$E$2:$I$2038,5)</f>
        <v>Anatidae (Ducks, Geese, and Waterfowl)</v>
      </c>
      <c r="I2221" s="3"/>
    </row>
    <row r="2222" spans="1:9" ht="10.5" customHeight="1">
      <c r="A2222" s="3" t="s">
        <v>3148</v>
      </c>
      <c r="B2222" s="3" t="s">
        <v>3147</v>
      </c>
      <c r="C2222" s="3">
        <f>VLOOKUP(B2222,LifeList!$E$2:$J$2038,6)</f>
        <v>377</v>
      </c>
      <c r="D2222" s="3" t="str">
        <f>VLOOKUP(B2222,LifeList!$E$2:$G$2038,1)</f>
        <v>Mute Swan</v>
      </c>
      <c r="E2222" s="3" t="str">
        <f>VLOOKUP(B2222,LifeList!$E$2:$G$2038,2)</f>
        <v>Cygne tuberculé</v>
      </c>
      <c r="F2222" s="3" t="str">
        <f>VLOOKUP(B2222,LifeList!$E$2:$G$2038,3)</f>
        <v>Cygnus olor</v>
      </c>
      <c r="G2222" s="3" t="str">
        <f>VLOOKUP(B2222,LifeList!$E$2:$I$2038,4)</f>
        <v>Anseriformes</v>
      </c>
      <c r="H2222" s="3" t="str">
        <f>VLOOKUP(B2222,LifeList!$E$2:$I$2038,5)</f>
        <v>Anatidae (Ducks, Geese, and Waterfowl)</v>
      </c>
      <c r="I2222" s="3"/>
    </row>
    <row r="2223" spans="1:9" ht="10.5" customHeight="1">
      <c r="A2223" s="3" t="s">
        <v>3149</v>
      </c>
      <c r="B2223" s="3" t="s">
        <v>3147</v>
      </c>
      <c r="C2223" s="3">
        <f>VLOOKUP(B2223,LifeList!$E$2:$J$2038,6)</f>
        <v>377</v>
      </c>
      <c r="D2223" s="3" t="str">
        <f>VLOOKUP(B2223,LifeList!$E$2:$G$2038,1)</f>
        <v>Mute Swan</v>
      </c>
      <c r="E2223" s="3" t="str">
        <f>VLOOKUP(B2223,LifeList!$E$2:$G$2038,2)</f>
        <v>Cygne tuberculé</v>
      </c>
      <c r="F2223" s="3" t="str">
        <f>VLOOKUP(B2223,LifeList!$E$2:$G$2038,3)</f>
        <v>Cygnus olor</v>
      </c>
      <c r="G2223" s="3" t="str">
        <f>VLOOKUP(B2223,LifeList!$E$2:$I$2038,4)</f>
        <v>Anseriformes</v>
      </c>
      <c r="H2223" s="3" t="str">
        <f>VLOOKUP(B2223,LifeList!$E$2:$I$2038,5)</f>
        <v>Anatidae (Ducks, Geese, and Waterfowl)</v>
      </c>
      <c r="I2223" s="3"/>
    </row>
    <row r="2224" spans="1:9" ht="10.5" customHeight="1">
      <c r="A2224" s="3" t="s">
        <v>3150</v>
      </c>
      <c r="B2224" s="3" t="s">
        <v>3147</v>
      </c>
      <c r="C2224" s="3">
        <f>VLOOKUP(B2224,LifeList!$E$2:$J$2038,6)</f>
        <v>377</v>
      </c>
      <c r="D2224" s="3" t="str">
        <f>VLOOKUP(B2224,LifeList!$E$2:$G$2038,1)</f>
        <v>Mute Swan</v>
      </c>
      <c r="E2224" s="3" t="str">
        <f>VLOOKUP(B2224,LifeList!$E$2:$G$2038,2)</f>
        <v>Cygne tuberculé</v>
      </c>
      <c r="F2224" s="3" t="str">
        <f>VLOOKUP(B2224,LifeList!$E$2:$G$2038,3)</f>
        <v>Cygnus olor</v>
      </c>
      <c r="G2224" s="3" t="str">
        <f>VLOOKUP(B2224,LifeList!$E$2:$I$2038,4)</f>
        <v>Anseriformes</v>
      </c>
      <c r="H2224" s="3" t="str">
        <f>VLOOKUP(B2224,LifeList!$E$2:$I$2038,5)</f>
        <v>Anatidae (Ducks, Geese, and Waterfowl)</v>
      </c>
      <c r="I2224" s="3"/>
    </row>
    <row r="2225" spans="1:9" ht="10.5" customHeight="1">
      <c r="A2225" s="3" t="s">
        <v>3151</v>
      </c>
      <c r="B2225" s="3" t="s">
        <v>3152</v>
      </c>
      <c r="C2225" s="3">
        <f>VLOOKUP(B2225,LifeList!$E$2:$J$2038,6)</f>
        <v>2159</v>
      </c>
      <c r="D2225" s="3" t="str">
        <f>VLOOKUP(B2225,LifeList!$E$2:$G$2038,1)</f>
        <v>Namaqua Dove</v>
      </c>
      <c r="E2225" s="3" t="str">
        <f>VLOOKUP(B2225,LifeList!$E$2:$G$2038,2)</f>
        <v>Tourtelette masquée</v>
      </c>
      <c r="F2225" s="3" t="str">
        <f>VLOOKUP(B2225,LifeList!$E$2:$G$2038,3)</f>
        <v>Oena capensis</v>
      </c>
      <c r="G2225" s="3" t="str">
        <f>VLOOKUP(B2225,LifeList!$E$2:$I$2038,4)</f>
        <v>Columbiformes</v>
      </c>
      <c r="H2225" s="3" t="str">
        <f>VLOOKUP(B2225,LifeList!$E$2:$I$2038,5)</f>
        <v>Columbidae (Pigeons and Doves)</v>
      </c>
      <c r="I2225" s="3"/>
    </row>
    <row r="2226" spans="1:9" ht="10.5" customHeight="1">
      <c r="A2226" s="3" t="s">
        <v>3153</v>
      </c>
      <c r="B2226" s="3" t="s">
        <v>3152</v>
      </c>
      <c r="C2226" s="3">
        <f>VLOOKUP(B2226,LifeList!$E$2:$J$2038,6)</f>
        <v>2159</v>
      </c>
      <c r="D2226" s="3" t="str">
        <f>VLOOKUP(B2226,LifeList!$E$2:$G$2038,1)</f>
        <v>Namaqua Dove</v>
      </c>
      <c r="E2226" s="3" t="str">
        <f>VLOOKUP(B2226,LifeList!$E$2:$G$2038,2)</f>
        <v>Tourtelette masquée</v>
      </c>
      <c r="F2226" s="3" t="str">
        <f>VLOOKUP(B2226,LifeList!$E$2:$G$2038,3)</f>
        <v>Oena capensis</v>
      </c>
      <c r="G2226" s="3" t="str">
        <f>VLOOKUP(B2226,LifeList!$E$2:$I$2038,4)</f>
        <v>Columbiformes</v>
      </c>
      <c r="H2226" s="3" t="str">
        <f>VLOOKUP(B2226,LifeList!$E$2:$I$2038,5)</f>
        <v>Columbidae (Pigeons and Doves)</v>
      </c>
      <c r="I2226" s="3"/>
    </row>
    <row r="2227" spans="1:9" ht="10.5" customHeight="1">
      <c r="A2227" s="3" t="s">
        <v>3154</v>
      </c>
      <c r="B2227" s="3" t="s">
        <v>3152</v>
      </c>
      <c r="C2227" s="3">
        <f>VLOOKUP(B2227,LifeList!$E$2:$J$2038,6)</f>
        <v>2159</v>
      </c>
      <c r="D2227" s="3" t="str">
        <f>VLOOKUP(B2227,LifeList!$E$2:$G$2038,1)</f>
        <v>Namaqua Dove</v>
      </c>
      <c r="E2227" s="3" t="str">
        <f>VLOOKUP(B2227,LifeList!$E$2:$G$2038,2)</f>
        <v>Tourtelette masquée</v>
      </c>
      <c r="F2227" s="3" t="str">
        <f>VLOOKUP(B2227,LifeList!$E$2:$G$2038,3)</f>
        <v>Oena capensis</v>
      </c>
      <c r="G2227" s="3" t="str">
        <f>VLOOKUP(B2227,LifeList!$E$2:$I$2038,4)</f>
        <v>Columbiformes</v>
      </c>
      <c r="H2227" s="3" t="str">
        <f>VLOOKUP(B2227,LifeList!$E$2:$I$2038,5)</f>
        <v>Columbidae (Pigeons and Doves)</v>
      </c>
      <c r="I2227" s="3"/>
    </row>
    <row r="2228" spans="1:9" ht="10.5" customHeight="1">
      <c r="A2228" s="3" t="s">
        <v>3155</v>
      </c>
      <c r="B2228" s="3" t="s">
        <v>3156</v>
      </c>
      <c r="C2228" s="3">
        <f>VLOOKUP(B2228,LifeList!$E$2:$J$2038,6)</f>
        <v>13128</v>
      </c>
      <c r="D2228" s="3" t="str">
        <f>VLOOKUP(B2228,LifeList!$E$2:$G$2038,1)</f>
        <v>Nanday Parakeet</v>
      </c>
      <c r="E2228" s="3" t="str">
        <f>VLOOKUP(B2228,LifeList!$E$2:$G$2038,2)</f>
        <v>Conure nanday</v>
      </c>
      <c r="F2228" s="3" t="str">
        <f>VLOOKUP(B2228,LifeList!$E$2:$G$2038,3)</f>
        <v>Aratinga nenday</v>
      </c>
      <c r="G2228" s="3" t="str">
        <f>VLOOKUP(B2228,LifeList!$E$2:$I$2038,4)</f>
        <v>Psittaciformes</v>
      </c>
      <c r="H2228" s="3" t="str">
        <f>VLOOKUP(B2228,LifeList!$E$2:$I$2038,5)</f>
        <v>Psittacidae (New World and African Parrots)</v>
      </c>
      <c r="I2228" s="3"/>
    </row>
    <row r="2229" spans="1:9" ht="10.5" customHeight="1">
      <c r="A2229" s="3" t="s">
        <v>3157</v>
      </c>
      <c r="B2229" s="3" t="s">
        <v>3156</v>
      </c>
      <c r="C2229" s="3">
        <f>VLOOKUP(B2229,LifeList!$E$2:$J$2038,6)</f>
        <v>13128</v>
      </c>
      <c r="D2229" s="3" t="str">
        <f>VLOOKUP(B2229,LifeList!$E$2:$G$2038,1)</f>
        <v>Nanday Parakeet</v>
      </c>
      <c r="E2229" s="3" t="str">
        <f>VLOOKUP(B2229,LifeList!$E$2:$G$2038,2)</f>
        <v>Conure nanday</v>
      </c>
      <c r="F2229" s="3" t="str">
        <f>VLOOKUP(B2229,LifeList!$E$2:$G$2038,3)</f>
        <v>Aratinga nenday</v>
      </c>
      <c r="G2229" s="3" t="str">
        <f>VLOOKUP(B2229,LifeList!$E$2:$I$2038,4)</f>
        <v>Psittaciformes</v>
      </c>
      <c r="H2229" s="3" t="str">
        <f>VLOOKUP(B2229,LifeList!$E$2:$I$2038,5)</f>
        <v>Psittacidae (New World and African Parrots)</v>
      </c>
      <c r="I2229" s="3"/>
    </row>
    <row r="2230" spans="1:9" ht="10.5" customHeight="1">
      <c r="A2230" s="3" t="s">
        <v>3158</v>
      </c>
      <c r="B2230" s="3" t="s">
        <v>3156</v>
      </c>
      <c r="C2230" s="3">
        <f>VLOOKUP(B2230,LifeList!$E$2:$J$2038,6)</f>
        <v>13128</v>
      </c>
      <c r="D2230" s="3" t="str">
        <f>VLOOKUP(B2230,LifeList!$E$2:$G$2038,1)</f>
        <v>Nanday Parakeet</v>
      </c>
      <c r="E2230" s="3" t="str">
        <f>VLOOKUP(B2230,LifeList!$E$2:$G$2038,2)</f>
        <v>Conure nanday</v>
      </c>
      <c r="F2230" s="3" t="str">
        <f>VLOOKUP(B2230,LifeList!$E$2:$G$2038,3)</f>
        <v>Aratinga nenday</v>
      </c>
      <c r="G2230" s="3" t="str">
        <f>VLOOKUP(B2230,LifeList!$E$2:$I$2038,4)</f>
        <v>Psittaciformes</v>
      </c>
      <c r="H2230" s="3" t="str">
        <f>VLOOKUP(B2230,LifeList!$E$2:$I$2038,5)</f>
        <v>Psittacidae (New World and African Parrots)</v>
      </c>
      <c r="I2230" s="3"/>
    </row>
    <row r="2231" spans="1:9" ht="10.5" customHeight="1">
      <c r="A2231" s="3" t="s">
        <v>3159</v>
      </c>
      <c r="B2231" s="3" t="s">
        <v>3156</v>
      </c>
      <c r="C2231" s="3">
        <f>VLOOKUP(B2231,LifeList!$E$2:$J$2038,6)</f>
        <v>13128</v>
      </c>
      <c r="D2231" s="3" t="str">
        <f>VLOOKUP(B2231,LifeList!$E$2:$G$2038,1)</f>
        <v>Nanday Parakeet</v>
      </c>
      <c r="E2231" s="3" t="str">
        <f>VLOOKUP(B2231,LifeList!$E$2:$G$2038,2)</f>
        <v>Conure nanday</v>
      </c>
      <c r="F2231" s="3" t="str">
        <f>VLOOKUP(B2231,LifeList!$E$2:$G$2038,3)</f>
        <v>Aratinga nenday</v>
      </c>
      <c r="G2231" s="3" t="str">
        <f>VLOOKUP(B2231,LifeList!$E$2:$I$2038,4)</f>
        <v>Psittaciformes</v>
      </c>
      <c r="H2231" s="3" t="str">
        <f>VLOOKUP(B2231,LifeList!$E$2:$I$2038,5)</f>
        <v>Psittacidae (New World and African Parrots)</v>
      </c>
      <c r="I2231" s="3"/>
    </row>
    <row r="2232" spans="1:9" ht="10.5" customHeight="1">
      <c r="A2232" s="3" t="s">
        <v>3160</v>
      </c>
      <c r="B2232" s="3" t="s">
        <v>3156</v>
      </c>
      <c r="C2232" s="3">
        <f>VLOOKUP(B2232,LifeList!$E$2:$J$2038,6)</f>
        <v>13128</v>
      </c>
      <c r="D2232" s="3" t="str">
        <f>VLOOKUP(B2232,LifeList!$E$2:$G$2038,1)</f>
        <v>Nanday Parakeet</v>
      </c>
      <c r="E2232" s="3" t="str">
        <f>VLOOKUP(B2232,LifeList!$E$2:$G$2038,2)</f>
        <v>Conure nanday</v>
      </c>
      <c r="F2232" s="3" t="str">
        <f>VLOOKUP(B2232,LifeList!$E$2:$G$2038,3)</f>
        <v>Aratinga nenday</v>
      </c>
      <c r="G2232" s="3" t="str">
        <f>VLOOKUP(B2232,LifeList!$E$2:$I$2038,4)</f>
        <v>Psittaciformes</v>
      </c>
      <c r="H2232" s="3" t="str">
        <f>VLOOKUP(B2232,LifeList!$E$2:$I$2038,5)</f>
        <v>Psittacidae (New World and African Parrots)</v>
      </c>
      <c r="I2232" s="3"/>
    </row>
    <row r="2233" spans="1:9" ht="10.5" customHeight="1">
      <c r="A2233" s="3" t="s">
        <v>3161</v>
      </c>
      <c r="B2233" s="3" t="s">
        <v>3162</v>
      </c>
      <c r="C2233" s="3">
        <f>VLOOKUP(B2233,LifeList!$E$2:$J$2038,6)</f>
        <v>12021</v>
      </c>
      <c r="D2233" s="3" t="str">
        <f>VLOOKUP(B2233,LifeList!$E$2:$G$2038,1)</f>
        <v>Nankeen Kestrel</v>
      </c>
      <c r="E2233" s="3" t="str">
        <f>VLOOKUP(B2233,LifeList!$E$2:$G$2038,2)</f>
        <v>Crécerelle d'Australie</v>
      </c>
      <c r="F2233" s="3" t="str">
        <f>VLOOKUP(B2233,LifeList!$E$2:$G$2038,3)</f>
        <v>Falco cenchroides</v>
      </c>
      <c r="G2233" s="3" t="str">
        <f>VLOOKUP(B2233,LifeList!$E$2:$I$2038,4)</f>
        <v>Falconiformes</v>
      </c>
      <c r="H2233" s="3" t="str">
        <f>VLOOKUP(B2233,LifeList!$E$2:$I$2038,5)</f>
        <v>Falconidae (Falcons and Caracaras)</v>
      </c>
      <c r="I2233" s="3"/>
    </row>
    <row r="2234" spans="1:9" ht="10.5" customHeight="1">
      <c r="A2234" s="3" t="s">
        <v>3163</v>
      </c>
      <c r="B2234" s="3" t="s">
        <v>3162</v>
      </c>
      <c r="C2234" s="3">
        <f>VLOOKUP(B2234,LifeList!$E$2:$J$2038,6)</f>
        <v>12021</v>
      </c>
      <c r="D2234" s="3" t="str">
        <f>VLOOKUP(B2234,LifeList!$E$2:$G$2038,1)</f>
        <v>Nankeen Kestrel</v>
      </c>
      <c r="E2234" s="3" t="str">
        <f>VLOOKUP(B2234,LifeList!$E$2:$G$2038,2)</f>
        <v>Crécerelle d'Australie</v>
      </c>
      <c r="F2234" s="3" t="str">
        <f>VLOOKUP(B2234,LifeList!$E$2:$G$2038,3)</f>
        <v>Falco cenchroides</v>
      </c>
      <c r="G2234" s="3" t="str">
        <f>VLOOKUP(B2234,LifeList!$E$2:$I$2038,4)</f>
        <v>Falconiformes</v>
      </c>
      <c r="H2234" s="3" t="str">
        <f>VLOOKUP(B2234,LifeList!$E$2:$I$2038,5)</f>
        <v>Falconidae (Falcons and Caracaras)</v>
      </c>
      <c r="I2234" s="3"/>
    </row>
    <row r="2235" spans="1:9" ht="10.5" customHeight="1">
      <c r="A2235" s="7" t="s">
        <v>3164</v>
      </c>
      <c r="B2235" s="8" t="s">
        <v>3165</v>
      </c>
      <c r="C2235" s="6">
        <f>VLOOKUP(B2235,LifeList!$E$2:$J$2038,6)</f>
        <v>7610</v>
      </c>
      <c r="D2235" s="3" t="str">
        <f>VLOOKUP(B2235,LifeList!$E$2:$G$2038,1)</f>
        <v>Nankeen Night Heron</v>
      </c>
      <c r="E2235" s="3" t="str">
        <f>VLOOKUP(B2235,LifeList!$E$2:$G$2038,2)</f>
        <v>Bihoreau cannelle</v>
      </c>
      <c r="F2235" s="3" t="str">
        <f>VLOOKUP(B2235,LifeList!$E$2:$G$2038,3)</f>
        <v>Nycticorax caledonicus</v>
      </c>
      <c r="G2235" s="3" t="str">
        <f>VLOOKUP(B2235,LifeList!$E$2:$I$2038,4)</f>
        <v>Pelecaniformes</v>
      </c>
      <c r="H2235" s="3" t="str">
        <f>VLOOKUP(B2235,LifeList!$E$2:$I$2038,5)</f>
        <v>Ardeidae (Herons, Egrets, and Bitterns)</v>
      </c>
      <c r="I2235" s="3"/>
    </row>
    <row r="2236" spans="1:9" ht="10.5" customHeight="1">
      <c r="A2236" s="3" t="s">
        <v>3166</v>
      </c>
      <c r="B2236" s="3" t="s">
        <v>3167</v>
      </c>
      <c r="C2236" s="3">
        <f>VLOOKUP(B2236,LifeList!$E$2:$J$2038,6)</f>
        <v>33981</v>
      </c>
      <c r="D2236" s="3" t="str">
        <f>VLOOKUP(B2236,LifeList!$E$2:$G$2038,1)</f>
        <v>Nashville Warbler</v>
      </c>
      <c r="E2236" s="3" t="str">
        <f>VLOOKUP(B2236,LifeList!$E$2:$G$2038,2)</f>
        <v>Paruline à joues grises</v>
      </c>
      <c r="F2236" s="3" t="str">
        <f>VLOOKUP(B2236,LifeList!$E$2:$G$2038,3)</f>
        <v>Leiothlypis ruficapilla</v>
      </c>
      <c r="G2236" s="3" t="str">
        <f>VLOOKUP(B2236,LifeList!$E$2:$I$2038,4)</f>
        <v>Passeriformes</v>
      </c>
      <c r="H2236" s="3" t="str">
        <f>VLOOKUP(B2236,LifeList!$E$2:$I$2038,5)</f>
        <v>Parulidae (New World Warblers)</v>
      </c>
      <c r="I2236" s="3"/>
    </row>
    <row r="2237" spans="1:9" ht="10.5" customHeight="1">
      <c r="A2237" s="3" t="s">
        <v>3168</v>
      </c>
      <c r="B2237" s="3" t="s">
        <v>3169</v>
      </c>
      <c r="C2237" s="3">
        <f>VLOOKUP(B2237,LifeList!$E$2:$J$2038,6)</f>
        <v>33981</v>
      </c>
      <c r="D2237" s="3" t="str">
        <f>VLOOKUP(B2237,LifeList!$E$2:$G$2038,1)</f>
        <v>Nashville Warbler</v>
      </c>
      <c r="E2237" s="3" t="str">
        <f>VLOOKUP(B2237,LifeList!$E$2:$G$2038,2)</f>
        <v>Paruline à joues grises</v>
      </c>
      <c r="F2237" s="3" t="str">
        <f>VLOOKUP(B2237,LifeList!$E$2:$G$2038,3)</f>
        <v>Leiothlypis ruficapilla</v>
      </c>
      <c r="G2237" s="3" t="str">
        <f>VLOOKUP(B2237,LifeList!$E$2:$I$2038,4)</f>
        <v>Passeriformes</v>
      </c>
      <c r="H2237" s="3" t="str">
        <f>VLOOKUP(B2237,LifeList!$E$2:$I$2038,5)</f>
        <v>Parulidae (New World Warblers)</v>
      </c>
      <c r="I2237" s="3"/>
    </row>
    <row r="2238" spans="1:9" ht="10.5" customHeight="1">
      <c r="A2238" s="3" t="s">
        <v>3170</v>
      </c>
      <c r="B2238" s="3" t="s">
        <v>3169</v>
      </c>
      <c r="C2238" s="3">
        <f>VLOOKUP(B2238,LifeList!$E$2:$J$2038,6)</f>
        <v>33981</v>
      </c>
      <c r="D2238" s="3" t="str">
        <f>VLOOKUP(B2238,LifeList!$E$2:$G$2038,1)</f>
        <v>Nashville Warbler</v>
      </c>
      <c r="E2238" s="3" t="str">
        <f>VLOOKUP(B2238,LifeList!$E$2:$G$2038,2)</f>
        <v>Paruline à joues grises</v>
      </c>
      <c r="F2238" s="3" t="str">
        <f>VLOOKUP(B2238,LifeList!$E$2:$G$2038,3)</f>
        <v>Leiothlypis ruficapilla</v>
      </c>
      <c r="G2238" s="3" t="str">
        <f>VLOOKUP(B2238,LifeList!$E$2:$I$2038,4)</f>
        <v>Passeriformes</v>
      </c>
      <c r="H2238" s="3" t="str">
        <f>VLOOKUP(B2238,LifeList!$E$2:$I$2038,5)</f>
        <v>Parulidae (New World Warblers)</v>
      </c>
      <c r="I2238" s="3"/>
    </row>
    <row r="2239" spans="1:9" ht="10.5" customHeight="1">
      <c r="A2239" s="3" t="s">
        <v>3171</v>
      </c>
      <c r="B2239" s="3" t="s">
        <v>3169</v>
      </c>
      <c r="C2239" s="3">
        <f>VLOOKUP(B2239,LifeList!$E$2:$J$2038,6)</f>
        <v>33981</v>
      </c>
      <c r="D2239" s="3" t="str">
        <f>VLOOKUP(B2239,LifeList!$E$2:$G$2038,1)</f>
        <v>Nashville Warbler</v>
      </c>
      <c r="E2239" s="3" t="str">
        <f>VLOOKUP(B2239,LifeList!$E$2:$G$2038,2)</f>
        <v>Paruline à joues grises</v>
      </c>
      <c r="F2239" s="3" t="str">
        <f>VLOOKUP(B2239,LifeList!$E$2:$G$2038,3)</f>
        <v>Leiothlypis ruficapilla</v>
      </c>
      <c r="G2239" s="3" t="str">
        <f>VLOOKUP(B2239,LifeList!$E$2:$I$2038,4)</f>
        <v>Passeriformes</v>
      </c>
      <c r="H2239" s="3" t="str">
        <f>VLOOKUP(B2239,LifeList!$E$2:$I$2038,5)</f>
        <v>Parulidae (New World Warblers)</v>
      </c>
      <c r="I2239" s="3"/>
    </row>
    <row r="2240" spans="1:9" ht="10.5" customHeight="1">
      <c r="A2240" s="3" t="s">
        <v>3172</v>
      </c>
      <c r="B2240" s="3" t="s">
        <v>3169</v>
      </c>
      <c r="C2240" s="3">
        <f>VLOOKUP(B2240,LifeList!$E$2:$J$2038,6)</f>
        <v>33981</v>
      </c>
      <c r="D2240" s="3" t="str">
        <f>VLOOKUP(B2240,LifeList!$E$2:$G$2038,1)</f>
        <v>Nashville Warbler</v>
      </c>
      <c r="E2240" s="3" t="str">
        <f>VLOOKUP(B2240,LifeList!$E$2:$G$2038,2)</f>
        <v>Paruline à joues grises</v>
      </c>
      <c r="F2240" s="3" t="str">
        <f>VLOOKUP(B2240,LifeList!$E$2:$G$2038,3)</f>
        <v>Leiothlypis ruficapilla</v>
      </c>
      <c r="G2240" s="3" t="str">
        <f>VLOOKUP(B2240,LifeList!$E$2:$I$2038,4)</f>
        <v>Passeriformes</v>
      </c>
      <c r="H2240" s="3" t="str">
        <f>VLOOKUP(B2240,LifeList!$E$2:$I$2038,5)</f>
        <v>Parulidae (New World Warblers)</v>
      </c>
      <c r="I2240" s="3"/>
    </row>
    <row r="2241" spans="1:9" ht="10.5" customHeight="1">
      <c r="A2241" s="3" t="s">
        <v>3173</v>
      </c>
      <c r="B2241" s="3" t="s">
        <v>3169</v>
      </c>
      <c r="C2241" s="3">
        <f>VLOOKUP(B2241,LifeList!$E$2:$J$2038,6)</f>
        <v>33981</v>
      </c>
      <c r="D2241" s="3" t="str">
        <f>VLOOKUP(B2241,LifeList!$E$2:$G$2038,1)</f>
        <v>Nashville Warbler</v>
      </c>
      <c r="E2241" s="3" t="str">
        <f>VLOOKUP(B2241,LifeList!$E$2:$G$2038,2)</f>
        <v>Paruline à joues grises</v>
      </c>
      <c r="F2241" s="3" t="str">
        <f>VLOOKUP(B2241,LifeList!$E$2:$G$2038,3)</f>
        <v>Leiothlypis ruficapilla</v>
      </c>
      <c r="G2241" s="3" t="str">
        <f>VLOOKUP(B2241,LifeList!$E$2:$I$2038,4)</f>
        <v>Passeriformes</v>
      </c>
      <c r="H2241" s="3" t="str">
        <f>VLOOKUP(B2241,LifeList!$E$2:$I$2038,5)</f>
        <v>Parulidae (New World Warblers)</v>
      </c>
      <c r="I2241" s="3"/>
    </row>
    <row r="2242" spans="1:9" ht="10.5" customHeight="1">
      <c r="A2242" s="3" t="s">
        <v>3174</v>
      </c>
      <c r="B2242" s="3" t="s">
        <v>3169</v>
      </c>
      <c r="C2242" s="3">
        <f>VLOOKUP(B2242,LifeList!$E$2:$J$2038,6)</f>
        <v>33981</v>
      </c>
      <c r="D2242" s="3" t="str">
        <f>VLOOKUP(B2242,LifeList!$E$2:$G$2038,1)</f>
        <v>Nashville Warbler</v>
      </c>
      <c r="E2242" s="3" t="str">
        <f>VLOOKUP(B2242,LifeList!$E$2:$G$2038,2)</f>
        <v>Paruline à joues grises</v>
      </c>
      <c r="F2242" s="3" t="str">
        <f>VLOOKUP(B2242,LifeList!$E$2:$G$2038,3)</f>
        <v>Leiothlypis ruficapilla</v>
      </c>
      <c r="G2242" s="3" t="str">
        <f>VLOOKUP(B2242,LifeList!$E$2:$I$2038,4)</f>
        <v>Passeriformes</v>
      </c>
      <c r="H2242" s="3" t="str">
        <f>VLOOKUP(B2242,LifeList!$E$2:$I$2038,5)</f>
        <v>Parulidae (New World Warblers)</v>
      </c>
      <c r="I2242" s="3"/>
    </row>
    <row r="2243" spans="1:9" ht="10.5" customHeight="1">
      <c r="A2243" s="3" t="s">
        <v>3175</v>
      </c>
      <c r="B2243" s="3" t="s">
        <v>3169</v>
      </c>
      <c r="C2243" s="3">
        <f>VLOOKUP(B2243,LifeList!$E$2:$J$2038,6)</f>
        <v>33981</v>
      </c>
      <c r="D2243" s="3" t="str">
        <f>VLOOKUP(B2243,LifeList!$E$2:$G$2038,1)</f>
        <v>Nashville Warbler</v>
      </c>
      <c r="E2243" s="3" t="str">
        <f>VLOOKUP(B2243,LifeList!$E$2:$G$2038,2)</f>
        <v>Paruline à joues grises</v>
      </c>
      <c r="F2243" s="3" t="str">
        <f>VLOOKUP(B2243,LifeList!$E$2:$G$2038,3)</f>
        <v>Leiothlypis ruficapilla</v>
      </c>
      <c r="G2243" s="3" t="str">
        <f>VLOOKUP(B2243,LifeList!$E$2:$I$2038,4)</f>
        <v>Passeriformes</v>
      </c>
      <c r="H2243" s="3" t="str">
        <f>VLOOKUP(B2243,LifeList!$E$2:$I$2038,5)</f>
        <v>Parulidae (New World Warblers)</v>
      </c>
      <c r="I2243" s="3"/>
    </row>
    <row r="2244" spans="1:9" ht="10.5" customHeight="1">
      <c r="A2244" s="3" t="s">
        <v>3176</v>
      </c>
      <c r="B2244" s="3" t="s">
        <v>3169</v>
      </c>
      <c r="C2244" s="3">
        <f>VLOOKUP(B2244,LifeList!$E$2:$J$2038,6)</f>
        <v>33981</v>
      </c>
      <c r="D2244" s="3" t="str">
        <f>VLOOKUP(B2244,LifeList!$E$2:$G$2038,1)</f>
        <v>Nashville Warbler</v>
      </c>
      <c r="E2244" s="3" t="str">
        <f>VLOOKUP(B2244,LifeList!$E$2:$G$2038,2)</f>
        <v>Paruline à joues grises</v>
      </c>
      <c r="F2244" s="3" t="str">
        <f>VLOOKUP(B2244,LifeList!$E$2:$G$2038,3)</f>
        <v>Leiothlypis ruficapilla</v>
      </c>
      <c r="G2244" s="3" t="str">
        <f>VLOOKUP(B2244,LifeList!$E$2:$I$2038,4)</f>
        <v>Passeriformes</v>
      </c>
      <c r="H2244" s="3" t="str">
        <f>VLOOKUP(B2244,LifeList!$E$2:$I$2038,5)</f>
        <v>Parulidae (New World Warblers)</v>
      </c>
      <c r="I2244" s="3"/>
    </row>
    <row r="2245" spans="1:9" ht="10.5" customHeight="1">
      <c r="A2245" s="3" t="s">
        <v>3177</v>
      </c>
      <c r="B2245" s="3" t="s">
        <v>3169</v>
      </c>
      <c r="C2245" s="3">
        <f>VLOOKUP(B2245,LifeList!$E$2:$J$2038,6)</f>
        <v>33981</v>
      </c>
      <c r="D2245" s="3" t="str">
        <f>VLOOKUP(B2245,LifeList!$E$2:$G$2038,1)</f>
        <v>Nashville Warbler</v>
      </c>
      <c r="E2245" s="3" t="str">
        <f>VLOOKUP(B2245,LifeList!$E$2:$G$2038,2)</f>
        <v>Paruline à joues grises</v>
      </c>
      <c r="F2245" s="3" t="str">
        <f>VLOOKUP(B2245,LifeList!$E$2:$G$2038,3)</f>
        <v>Leiothlypis ruficapilla</v>
      </c>
      <c r="G2245" s="3" t="str">
        <f>VLOOKUP(B2245,LifeList!$E$2:$I$2038,4)</f>
        <v>Passeriformes</v>
      </c>
      <c r="H2245" s="3" t="str">
        <f>VLOOKUP(B2245,LifeList!$E$2:$I$2038,5)</f>
        <v>Parulidae (New World Warblers)</v>
      </c>
      <c r="I2245" s="3"/>
    </row>
    <row r="2246" spans="1:9" ht="10.5" customHeight="1">
      <c r="A2246" s="3" t="s">
        <v>3178</v>
      </c>
      <c r="B2246" s="3" t="s">
        <v>3169</v>
      </c>
      <c r="C2246" s="3">
        <f>VLOOKUP(B2246,LifeList!$E$2:$J$2038,6)</f>
        <v>33981</v>
      </c>
      <c r="D2246" s="3" t="str">
        <f>VLOOKUP(B2246,LifeList!$E$2:$G$2038,1)</f>
        <v>Nashville Warbler</v>
      </c>
      <c r="E2246" s="3" t="str">
        <f>VLOOKUP(B2246,LifeList!$E$2:$G$2038,2)</f>
        <v>Paruline à joues grises</v>
      </c>
      <c r="F2246" s="3" t="str">
        <f>VLOOKUP(B2246,LifeList!$E$2:$G$2038,3)</f>
        <v>Leiothlypis ruficapilla</v>
      </c>
      <c r="G2246" s="3" t="str">
        <f>VLOOKUP(B2246,LifeList!$E$2:$I$2038,4)</f>
        <v>Passeriformes</v>
      </c>
      <c r="H2246" s="3" t="str">
        <f>VLOOKUP(B2246,LifeList!$E$2:$I$2038,5)</f>
        <v>Parulidae (New World Warblers)</v>
      </c>
      <c r="I2246" s="3"/>
    </row>
    <row r="2247" spans="1:9" ht="10.5" customHeight="1">
      <c r="A2247" s="3" t="s">
        <v>3179</v>
      </c>
      <c r="B2247" s="3" t="s">
        <v>3169</v>
      </c>
      <c r="C2247" s="3">
        <f>VLOOKUP(B2247,LifeList!$E$2:$J$2038,6)</f>
        <v>33981</v>
      </c>
      <c r="D2247" s="3" t="str">
        <f>VLOOKUP(B2247,LifeList!$E$2:$G$2038,1)</f>
        <v>Nashville Warbler</v>
      </c>
      <c r="E2247" s="3" t="str">
        <f>VLOOKUP(B2247,LifeList!$E$2:$G$2038,2)</f>
        <v>Paruline à joues grises</v>
      </c>
      <c r="F2247" s="3" t="str">
        <f>VLOOKUP(B2247,LifeList!$E$2:$G$2038,3)</f>
        <v>Leiothlypis ruficapilla</v>
      </c>
      <c r="G2247" s="3" t="str">
        <f>VLOOKUP(B2247,LifeList!$E$2:$I$2038,4)</f>
        <v>Passeriformes</v>
      </c>
      <c r="H2247" s="3" t="str">
        <f>VLOOKUP(B2247,LifeList!$E$2:$I$2038,5)</f>
        <v>Parulidae (New World Warblers)</v>
      </c>
      <c r="I2247" s="3"/>
    </row>
    <row r="2248" spans="1:9" ht="10.5" customHeight="1">
      <c r="A2248" s="3" t="s">
        <v>3180</v>
      </c>
      <c r="B2248" s="3" t="s">
        <v>3169</v>
      </c>
      <c r="C2248" s="3">
        <f>VLOOKUP(B2248,LifeList!$E$2:$J$2038,6)</f>
        <v>33981</v>
      </c>
      <c r="D2248" s="3" t="str">
        <f>VLOOKUP(B2248,LifeList!$E$2:$G$2038,1)</f>
        <v>Nashville Warbler</v>
      </c>
      <c r="E2248" s="3" t="str">
        <f>VLOOKUP(B2248,LifeList!$E$2:$G$2038,2)</f>
        <v>Paruline à joues grises</v>
      </c>
      <c r="F2248" s="3" t="str">
        <f>VLOOKUP(B2248,LifeList!$E$2:$G$2038,3)</f>
        <v>Leiothlypis ruficapilla</v>
      </c>
      <c r="G2248" s="3" t="str">
        <f>VLOOKUP(B2248,LifeList!$E$2:$I$2038,4)</f>
        <v>Passeriformes</v>
      </c>
      <c r="H2248" s="3" t="str">
        <f>VLOOKUP(B2248,LifeList!$E$2:$I$2038,5)</f>
        <v>Parulidae (New World Warblers)</v>
      </c>
      <c r="I2248" s="3"/>
    </row>
    <row r="2249" spans="1:9" ht="10.5" customHeight="1">
      <c r="A2249" s="3" t="s">
        <v>3181</v>
      </c>
      <c r="B2249" s="3" t="s">
        <v>3169</v>
      </c>
      <c r="C2249" s="3">
        <f>VLOOKUP(B2249,LifeList!$E$2:$J$2038,6)</f>
        <v>33981</v>
      </c>
      <c r="D2249" s="3" t="str">
        <f>VLOOKUP(B2249,LifeList!$E$2:$G$2038,1)</f>
        <v>Nashville Warbler</v>
      </c>
      <c r="E2249" s="3" t="str">
        <f>VLOOKUP(B2249,LifeList!$E$2:$G$2038,2)</f>
        <v>Paruline à joues grises</v>
      </c>
      <c r="F2249" s="3" t="str">
        <f>VLOOKUP(B2249,LifeList!$E$2:$G$2038,3)</f>
        <v>Leiothlypis ruficapilla</v>
      </c>
      <c r="G2249" s="3" t="str">
        <f>VLOOKUP(B2249,LifeList!$E$2:$I$2038,4)</f>
        <v>Passeriformes</v>
      </c>
      <c r="H2249" s="3" t="str">
        <f>VLOOKUP(B2249,LifeList!$E$2:$I$2038,5)</f>
        <v>Parulidae (New World Warblers)</v>
      </c>
      <c r="I2249" s="3"/>
    </row>
    <row r="2250" spans="1:9" ht="10.5" customHeight="1">
      <c r="A2250" s="3" t="s">
        <v>3182</v>
      </c>
      <c r="B2250" s="3" t="s">
        <v>3169</v>
      </c>
      <c r="C2250" s="3">
        <f>VLOOKUP(B2250,LifeList!$E$2:$J$2038,6)</f>
        <v>33981</v>
      </c>
      <c r="D2250" s="3" t="str">
        <f>VLOOKUP(B2250,LifeList!$E$2:$G$2038,1)</f>
        <v>Nashville Warbler</v>
      </c>
      <c r="E2250" s="3" t="str">
        <f>VLOOKUP(B2250,LifeList!$E$2:$G$2038,2)</f>
        <v>Paruline à joues grises</v>
      </c>
      <c r="F2250" s="3" t="str">
        <f>VLOOKUP(B2250,LifeList!$E$2:$G$2038,3)</f>
        <v>Leiothlypis ruficapilla</v>
      </c>
      <c r="G2250" s="3" t="str">
        <f>VLOOKUP(B2250,LifeList!$E$2:$I$2038,4)</f>
        <v>Passeriformes</v>
      </c>
      <c r="H2250" s="3" t="str">
        <f>VLOOKUP(B2250,LifeList!$E$2:$I$2038,5)</f>
        <v>Parulidae (New World Warblers)</v>
      </c>
      <c r="I2250" s="3"/>
    </row>
    <row r="2251" spans="1:9" ht="10.5" customHeight="1">
      <c r="A2251" s="3" t="s">
        <v>3183</v>
      </c>
      <c r="B2251" s="3" t="s">
        <v>3169</v>
      </c>
      <c r="C2251" s="3">
        <f>VLOOKUP(B2251,LifeList!$E$2:$J$2038,6)</f>
        <v>33981</v>
      </c>
      <c r="D2251" s="3" t="str">
        <f>VLOOKUP(B2251,LifeList!$E$2:$G$2038,1)</f>
        <v>Nashville Warbler</v>
      </c>
      <c r="E2251" s="3" t="str">
        <f>VLOOKUP(B2251,LifeList!$E$2:$G$2038,2)</f>
        <v>Paruline à joues grises</v>
      </c>
      <c r="F2251" s="3" t="str">
        <f>VLOOKUP(B2251,LifeList!$E$2:$G$2038,3)</f>
        <v>Leiothlypis ruficapilla</v>
      </c>
      <c r="G2251" s="3" t="str">
        <f>VLOOKUP(B2251,LifeList!$E$2:$I$2038,4)</f>
        <v>Passeriformes</v>
      </c>
      <c r="H2251" s="3" t="str">
        <f>VLOOKUP(B2251,LifeList!$E$2:$I$2038,5)</f>
        <v>Parulidae (New World Warblers)</v>
      </c>
      <c r="I2251" s="3"/>
    </row>
    <row r="2252" spans="1:9" ht="10.5" customHeight="1">
      <c r="A2252" s="5" t="s">
        <v>3184</v>
      </c>
      <c r="B2252" s="3" t="s">
        <v>3185</v>
      </c>
      <c r="C2252" s="3">
        <f>VLOOKUP(B2252,LifeList!$E$2:$J$2038,6)</f>
        <v>1824</v>
      </c>
      <c r="D2252" s="3" t="str">
        <f>VLOOKUP(B2252,LifeList!$E$2:$G$2038,1)</f>
        <v>Natal Spurfowl</v>
      </c>
      <c r="E2252" s="3" t="str">
        <f>VLOOKUP(B2252,LifeList!$E$2:$G$2038,2)</f>
        <v>Francolin du Natal</v>
      </c>
      <c r="F2252" s="3" t="str">
        <f>VLOOKUP(B2252,LifeList!$E$2:$G$2038,3)</f>
        <v>Pternistis natalensis</v>
      </c>
      <c r="G2252" s="3" t="str">
        <f>VLOOKUP(B2252,LifeList!$E$2:$I$2038,4)</f>
        <v>Galliformes</v>
      </c>
      <c r="H2252" s="3" t="str">
        <f>VLOOKUP(B2252,LifeList!$E$2:$I$2038,5)</f>
        <v>Phasianidae (Pheasants, Grouse, and Allies)</v>
      </c>
      <c r="I2252" s="3"/>
    </row>
    <row r="2253" spans="1:9" ht="10.5" customHeight="1">
      <c r="A2253" s="3" t="s">
        <v>3186</v>
      </c>
      <c r="B2253" s="3" t="s">
        <v>3187</v>
      </c>
      <c r="C2253" s="3">
        <f>VLOOKUP(B2253,LifeList!$E$2:$J$2038,6)</f>
        <v>7355</v>
      </c>
      <c r="D2253" s="3" t="str">
        <f>VLOOKUP(B2253,LifeList!$E$2:$G$2038,1)</f>
        <v>Nazca Booby</v>
      </c>
      <c r="E2253" s="3" t="str">
        <f>VLOOKUP(B2253,LifeList!$E$2:$G$2038,2)</f>
        <v>Fou de Grant</v>
      </c>
      <c r="F2253" s="3" t="str">
        <f>VLOOKUP(B2253,LifeList!$E$2:$G$2038,3)</f>
        <v>Sula granti</v>
      </c>
      <c r="G2253" s="3" t="str">
        <f>VLOOKUP(B2253,LifeList!$E$2:$I$2038,4)</f>
        <v>Suliformes</v>
      </c>
      <c r="H2253" s="3" t="str">
        <f>VLOOKUP(B2253,LifeList!$E$2:$I$2038,5)</f>
        <v>Sulidae (Boobies and Gannets)</v>
      </c>
      <c r="I2253" s="3"/>
    </row>
    <row r="2254" spans="1:9" ht="10.5" customHeight="1">
      <c r="A2254" s="3" t="s">
        <v>3188</v>
      </c>
      <c r="B2254" s="3" t="s">
        <v>3189</v>
      </c>
      <c r="C2254" s="3">
        <f>VLOOKUP(B2254,LifeList!$E$2:$J$2038,6)</f>
        <v>7431</v>
      </c>
      <c r="D2254" s="3" t="str">
        <f>VLOOKUP(B2254,LifeList!$E$2:$G$2038,1)</f>
        <v>Neotropic Cormorant</v>
      </c>
      <c r="E2254" s="3" t="str">
        <f>VLOOKUP(B2254,LifeList!$E$2:$G$2038,2)</f>
        <v>Cormoran vigua</v>
      </c>
      <c r="F2254" s="3" t="str">
        <f>VLOOKUP(B2254,LifeList!$E$2:$G$2038,3)</f>
        <v>Nannopterum brasilianum</v>
      </c>
      <c r="G2254" s="3" t="str">
        <f>VLOOKUP(B2254,LifeList!$E$2:$I$2038,4)</f>
        <v>Suliformes</v>
      </c>
      <c r="H2254" s="3" t="str">
        <f>VLOOKUP(B2254,LifeList!$E$2:$I$2038,5)</f>
        <v>Phalacrocoracidae (Cormorants and Shags)</v>
      </c>
      <c r="I2254" s="3"/>
    </row>
    <row r="2255" spans="1:9" ht="10.5" customHeight="1">
      <c r="A2255" s="3" t="s">
        <v>3190</v>
      </c>
      <c r="B2255" s="3" t="s">
        <v>3189</v>
      </c>
      <c r="C2255" s="3">
        <f>VLOOKUP(B2255,LifeList!$E$2:$J$2038,6)</f>
        <v>7431</v>
      </c>
      <c r="D2255" s="3" t="str">
        <f>VLOOKUP(B2255,LifeList!$E$2:$G$2038,1)</f>
        <v>Neotropic Cormorant</v>
      </c>
      <c r="E2255" s="3" t="str">
        <f>VLOOKUP(B2255,LifeList!$E$2:$G$2038,2)</f>
        <v>Cormoran vigua</v>
      </c>
      <c r="F2255" s="3" t="str">
        <f>VLOOKUP(B2255,LifeList!$E$2:$G$2038,3)</f>
        <v>Nannopterum brasilianum</v>
      </c>
      <c r="G2255" s="3" t="str">
        <f>VLOOKUP(B2255,LifeList!$E$2:$I$2038,4)</f>
        <v>Suliformes</v>
      </c>
      <c r="H2255" s="3" t="str">
        <f>VLOOKUP(B2255,LifeList!$E$2:$I$2038,5)</f>
        <v>Phalacrocoracidae (Cormorants and Shags)</v>
      </c>
      <c r="I2255" s="3"/>
    </row>
    <row r="2256" spans="1:9" ht="10.5" customHeight="1">
      <c r="A2256" s="3" t="s">
        <v>3191</v>
      </c>
      <c r="B2256" s="3" t="s">
        <v>3189</v>
      </c>
      <c r="C2256" s="3">
        <f>VLOOKUP(B2256,LifeList!$E$2:$J$2038,6)</f>
        <v>7431</v>
      </c>
      <c r="D2256" s="3" t="str">
        <f>VLOOKUP(B2256,LifeList!$E$2:$G$2038,1)</f>
        <v>Neotropic Cormorant</v>
      </c>
      <c r="E2256" s="3" t="str">
        <f>VLOOKUP(B2256,LifeList!$E$2:$G$2038,2)</f>
        <v>Cormoran vigua</v>
      </c>
      <c r="F2256" s="3" t="str">
        <f>VLOOKUP(B2256,LifeList!$E$2:$G$2038,3)</f>
        <v>Nannopterum brasilianum</v>
      </c>
      <c r="G2256" s="3" t="str">
        <f>VLOOKUP(B2256,LifeList!$E$2:$I$2038,4)</f>
        <v>Suliformes</v>
      </c>
      <c r="H2256" s="3" t="str">
        <f>VLOOKUP(B2256,LifeList!$E$2:$I$2038,5)</f>
        <v>Phalacrocoracidae (Cormorants and Shags)</v>
      </c>
      <c r="I2256" s="3"/>
    </row>
    <row r="2257" spans="1:9" ht="10.5" customHeight="1">
      <c r="A2257" s="3" t="s">
        <v>3192</v>
      </c>
      <c r="B2257" s="3" t="s">
        <v>3193</v>
      </c>
      <c r="C2257" s="3">
        <f>VLOOKUP(B2257,LifeList!$E$2:$J$2038,6)</f>
        <v>18102</v>
      </c>
      <c r="D2257" s="3" t="str">
        <f>VLOOKUP(B2257,LifeList!$E$2:$G$2038,1)</f>
        <v>New Holland Honeyeater</v>
      </c>
      <c r="E2257" s="3" t="str">
        <f>VLOOKUP(B2257,LifeList!$E$2:$G$2038,2)</f>
        <v>Méliphage de Nouvelle-Hollande</v>
      </c>
      <c r="F2257" s="3" t="str">
        <f>VLOOKUP(B2257,LifeList!$E$2:$G$2038,3)</f>
        <v>Phylidonyris novaehollandiae</v>
      </c>
      <c r="G2257" s="3" t="str">
        <f>VLOOKUP(B2257,LifeList!$E$2:$I$2038,4)</f>
        <v>Passeriformes</v>
      </c>
      <c r="H2257" s="3" t="str">
        <f>VLOOKUP(B2257,LifeList!$E$2:$I$2038,5)</f>
        <v>Meliphagidae (Honeyeaters)</v>
      </c>
      <c r="I2257" s="3"/>
    </row>
    <row r="2258" spans="1:9" ht="10.5" customHeight="1">
      <c r="A2258" s="3" t="s">
        <v>3194</v>
      </c>
      <c r="B2258" s="3" t="s">
        <v>3193</v>
      </c>
      <c r="C2258" s="3">
        <f>VLOOKUP(B2258,LifeList!$E$2:$J$2038,6)</f>
        <v>18102</v>
      </c>
      <c r="D2258" s="3" t="str">
        <f>VLOOKUP(B2258,LifeList!$E$2:$G$2038,1)</f>
        <v>New Holland Honeyeater</v>
      </c>
      <c r="E2258" s="3" t="str">
        <f>VLOOKUP(B2258,LifeList!$E$2:$G$2038,2)</f>
        <v>Méliphage de Nouvelle-Hollande</v>
      </c>
      <c r="F2258" s="3" t="str">
        <f>VLOOKUP(B2258,LifeList!$E$2:$G$2038,3)</f>
        <v>Phylidonyris novaehollandiae</v>
      </c>
      <c r="G2258" s="3" t="str">
        <f>VLOOKUP(B2258,LifeList!$E$2:$I$2038,4)</f>
        <v>Passeriformes</v>
      </c>
      <c r="H2258" s="3" t="str">
        <f>VLOOKUP(B2258,LifeList!$E$2:$I$2038,5)</f>
        <v>Meliphagidae (Honeyeaters)</v>
      </c>
      <c r="I2258" s="3"/>
    </row>
    <row r="2259" spans="1:9" ht="10.5" customHeight="1">
      <c r="A2259" s="3" t="s">
        <v>3195</v>
      </c>
      <c r="B2259" s="3" t="s">
        <v>3193</v>
      </c>
      <c r="C2259" s="3">
        <f>VLOOKUP(B2259,LifeList!$E$2:$J$2038,6)</f>
        <v>18102</v>
      </c>
      <c r="D2259" s="3" t="str">
        <f>VLOOKUP(B2259,LifeList!$E$2:$G$2038,1)</f>
        <v>New Holland Honeyeater</v>
      </c>
      <c r="E2259" s="3" t="str">
        <f>VLOOKUP(B2259,LifeList!$E$2:$G$2038,2)</f>
        <v>Méliphage de Nouvelle-Hollande</v>
      </c>
      <c r="F2259" s="3" t="str">
        <f>VLOOKUP(B2259,LifeList!$E$2:$G$2038,3)</f>
        <v>Phylidonyris novaehollandiae</v>
      </c>
      <c r="G2259" s="3" t="str">
        <f>VLOOKUP(B2259,LifeList!$E$2:$I$2038,4)</f>
        <v>Passeriformes</v>
      </c>
      <c r="H2259" s="3" t="str">
        <f>VLOOKUP(B2259,LifeList!$E$2:$I$2038,5)</f>
        <v>Meliphagidae (Honeyeaters)</v>
      </c>
      <c r="I2259" s="3"/>
    </row>
    <row r="2260" spans="1:9" ht="10.5" customHeight="1">
      <c r="A2260" s="3" t="s">
        <v>3196</v>
      </c>
      <c r="B2260" s="3" t="s">
        <v>3193</v>
      </c>
      <c r="C2260" s="3">
        <f>VLOOKUP(B2260,LifeList!$E$2:$J$2038,6)</f>
        <v>18102</v>
      </c>
      <c r="D2260" s="3" t="str">
        <f>VLOOKUP(B2260,LifeList!$E$2:$G$2038,1)</f>
        <v>New Holland Honeyeater</v>
      </c>
      <c r="E2260" s="3" t="str">
        <f>VLOOKUP(B2260,LifeList!$E$2:$G$2038,2)</f>
        <v>Méliphage de Nouvelle-Hollande</v>
      </c>
      <c r="F2260" s="3" t="str">
        <f>VLOOKUP(B2260,LifeList!$E$2:$G$2038,3)</f>
        <v>Phylidonyris novaehollandiae</v>
      </c>
      <c r="G2260" s="3" t="str">
        <f>VLOOKUP(B2260,LifeList!$E$2:$I$2038,4)</f>
        <v>Passeriformes</v>
      </c>
      <c r="H2260" s="3" t="str">
        <f>VLOOKUP(B2260,LifeList!$E$2:$I$2038,5)</f>
        <v>Meliphagidae (Honeyeaters)</v>
      </c>
      <c r="I2260" s="3"/>
    </row>
    <row r="2261" spans="1:9" ht="10.5" customHeight="1">
      <c r="A2261" s="3" t="s">
        <v>3197</v>
      </c>
      <c r="B2261" s="3" t="s">
        <v>3193</v>
      </c>
      <c r="C2261" s="3">
        <f>VLOOKUP(B2261,LifeList!$E$2:$J$2038,6)</f>
        <v>18102</v>
      </c>
      <c r="D2261" s="3" t="str">
        <f>VLOOKUP(B2261,LifeList!$E$2:$G$2038,1)</f>
        <v>New Holland Honeyeater</v>
      </c>
      <c r="E2261" s="3" t="str">
        <f>VLOOKUP(B2261,LifeList!$E$2:$G$2038,2)</f>
        <v>Méliphage de Nouvelle-Hollande</v>
      </c>
      <c r="F2261" s="3" t="str">
        <f>VLOOKUP(B2261,LifeList!$E$2:$G$2038,3)</f>
        <v>Phylidonyris novaehollandiae</v>
      </c>
      <c r="G2261" s="3" t="str">
        <f>VLOOKUP(B2261,LifeList!$E$2:$I$2038,4)</f>
        <v>Passeriformes</v>
      </c>
      <c r="H2261" s="3" t="str">
        <f>VLOOKUP(B2261,LifeList!$E$2:$I$2038,5)</f>
        <v>Meliphagidae (Honeyeaters)</v>
      </c>
      <c r="I2261" s="3"/>
    </row>
    <row r="2262" spans="1:9" ht="10.5" customHeight="1">
      <c r="A2262" s="3" t="s">
        <v>3198</v>
      </c>
      <c r="B2262" s="3" t="s">
        <v>3193</v>
      </c>
      <c r="C2262" s="3">
        <f>VLOOKUP(B2262,LifeList!$E$2:$J$2038,6)</f>
        <v>18102</v>
      </c>
      <c r="D2262" s="3" t="str">
        <f>VLOOKUP(B2262,LifeList!$E$2:$G$2038,1)</f>
        <v>New Holland Honeyeater</v>
      </c>
      <c r="E2262" s="3" t="str">
        <f>VLOOKUP(B2262,LifeList!$E$2:$G$2038,2)</f>
        <v>Méliphage de Nouvelle-Hollande</v>
      </c>
      <c r="F2262" s="3" t="str">
        <f>VLOOKUP(B2262,LifeList!$E$2:$G$2038,3)</f>
        <v>Phylidonyris novaehollandiae</v>
      </c>
      <c r="G2262" s="3" t="str">
        <f>VLOOKUP(B2262,LifeList!$E$2:$I$2038,4)</f>
        <v>Passeriformes</v>
      </c>
      <c r="H2262" s="3" t="str">
        <f>VLOOKUP(B2262,LifeList!$E$2:$I$2038,5)</f>
        <v>Meliphagidae (Honeyeaters)</v>
      </c>
      <c r="I2262" s="3"/>
    </row>
    <row r="2263" spans="1:9" ht="10.5" customHeight="1">
      <c r="A2263" s="3" t="s">
        <v>3199</v>
      </c>
      <c r="B2263" s="3" t="s">
        <v>3200</v>
      </c>
      <c r="C2263" s="3">
        <f>VLOOKUP(B2263,LifeList!$E$2:$J$2038,6)</f>
        <v>33880</v>
      </c>
      <c r="D2263" s="3" t="str">
        <f>VLOOKUP(B2263,LifeList!$E$2:$G$2038,1)</f>
        <v>Nicaraguan Grackle</v>
      </c>
      <c r="E2263" s="3" t="str">
        <f>VLOOKUP(B2263,LifeList!$E$2:$G$2038,2)</f>
        <v>Quiscale du Nicaragua</v>
      </c>
      <c r="F2263" s="3" t="str">
        <f>VLOOKUP(B2263,LifeList!$E$2:$G$2038,3)</f>
        <v>Quiscalus nicaraguensis</v>
      </c>
      <c r="G2263" s="3" t="str">
        <f>VLOOKUP(B2263,LifeList!$E$2:$I$2038,4)</f>
        <v>Passeriformes</v>
      </c>
      <c r="H2263" s="3" t="str">
        <f>VLOOKUP(B2263,LifeList!$E$2:$I$2038,5)</f>
        <v>Icteridae (Troupials and Allies)</v>
      </c>
      <c r="I2263" s="3"/>
    </row>
    <row r="2264" spans="1:9" ht="10.5" customHeight="1">
      <c r="A2264" s="3" t="s">
        <v>3201</v>
      </c>
      <c r="B2264" s="3" t="s">
        <v>3202</v>
      </c>
      <c r="C2264" s="3">
        <f>VLOOKUP(B2264,LifeList!$E$2:$J$2038,6)</f>
        <v>27530</v>
      </c>
      <c r="D2264" s="3" t="str">
        <f>VLOOKUP(B2264,LifeList!$E$2:$G$2038,1)</f>
        <v>Niceforo's Wren</v>
      </c>
      <c r="E2264" s="3" t="str">
        <f>VLOOKUP(B2264,LifeList!$E$2:$G$2038,2)</f>
        <v>Troglodyte de Niceforo</v>
      </c>
      <c r="F2264" s="3" t="str">
        <f>VLOOKUP(B2264,LifeList!$E$2:$G$2038,3)</f>
        <v>Thryophilus nicefori</v>
      </c>
      <c r="G2264" s="3" t="str">
        <f>VLOOKUP(B2264,LifeList!$E$2:$I$2038,4)</f>
        <v>Passeriformes</v>
      </c>
      <c r="H2264" s="3" t="str">
        <f>VLOOKUP(B2264,LifeList!$E$2:$I$2038,5)</f>
        <v>Troglodytidae (Wrens)</v>
      </c>
      <c r="I2264" s="3"/>
    </row>
    <row r="2265" spans="1:9" ht="10.5" customHeight="1">
      <c r="A2265" s="3" t="s">
        <v>3203</v>
      </c>
      <c r="B2265" s="3" t="s">
        <v>3204</v>
      </c>
      <c r="C2265" s="3">
        <f>VLOOKUP(B2265,LifeList!$E$2:$J$2038,6)</f>
        <v>18210</v>
      </c>
      <c r="D2265" s="3" t="str">
        <f>VLOOKUP(B2265,LifeList!$E$2:$G$2038,1)</f>
        <v>Noisy Friarbird</v>
      </c>
      <c r="E2265" s="3" t="str">
        <f>VLOOKUP(B2265,LifeList!$E$2:$G$2038,2)</f>
        <v>Polochion criard</v>
      </c>
      <c r="F2265" s="3" t="str">
        <f>VLOOKUP(B2265,LifeList!$E$2:$G$2038,3)</f>
        <v>Philemon corniculatus</v>
      </c>
      <c r="G2265" s="3" t="str">
        <f>VLOOKUP(B2265,LifeList!$E$2:$I$2038,4)</f>
        <v>Passeriformes</v>
      </c>
      <c r="H2265" s="3" t="str">
        <f>VLOOKUP(B2265,LifeList!$E$2:$I$2038,5)</f>
        <v>Meliphagidae (Honeyeaters)</v>
      </c>
      <c r="I2265" s="3"/>
    </row>
    <row r="2266" spans="1:9" ht="10.5" customHeight="1">
      <c r="A2266" s="3" t="s">
        <v>3205</v>
      </c>
      <c r="B2266" s="3" t="s">
        <v>3204</v>
      </c>
      <c r="C2266" s="3">
        <f>VLOOKUP(B2266,LifeList!$E$2:$J$2038,6)</f>
        <v>18210</v>
      </c>
      <c r="D2266" s="3" t="str">
        <f>VLOOKUP(B2266,LifeList!$E$2:$G$2038,1)</f>
        <v>Noisy Friarbird</v>
      </c>
      <c r="E2266" s="3" t="str">
        <f>VLOOKUP(B2266,LifeList!$E$2:$G$2038,2)</f>
        <v>Polochion criard</v>
      </c>
      <c r="F2266" s="3" t="str">
        <f>VLOOKUP(B2266,LifeList!$E$2:$G$2038,3)</f>
        <v>Philemon corniculatus</v>
      </c>
      <c r="G2266" s="3" t="str">
        <f>VLOOKUP(B2266,LifeList!$E$2:$I$2038,4)</f>
        <v>Passeriformes</v>
      </c>
      <c r="H2266" s="3" t="str">
        <f>VLOOKUP(B2266,LifeList!$E$2:$I$2038,5)</f>
        <v>Meliphagidae (Honeyeaters)</v>
      </c>
      <c r="I2266" s="3"/>
    </row>
    <row r="2267" spans="1:9" ht="10.5" customHeight="1">
      <c r="A2267" s="3" t="s">
        <v>3206</v>
      </c>
      <c r="B2267" s="3" t="s">
        <v>3207</v>
      </c>
      <c r="C2267" s="3">
        <f>VLOOKUP(B2267,LifeList!$E$2:$J$2038,6)</f>
        <v>17808</v>
      </c>
      <c r="D2267" s="3" t="str">
        <f>VLOOKUP(B2267,LifeList!$E$2:$G$2038,1)</f>
        <v>Noisy Miner</v>
      </c>
      <c r="E2267" s="3" t="str">
        <f>VLOOKUP(B2267,LifeList!$E$2:$G$2038,2)</f>
        <v>Méliphage bruyant</v>
      </c>
      <c r="F2267" s="3" t="str">
        <f>VLOOKUP(B2267,LifeList!$E$2:$G$2038,3)</f>
        <v>Manorina melanocephala</v>
      </c>
      <c r="G2267" s="3" t="str">
        <f>VLOOKUP(B2267,LifeList!$E$2:$I$2038,4)</f>
        <v>Passeriformes</v>
      </c>
      <c r="H2267" s="3" t="str">
        <f>VLOOKUP(B2267,LifeList!$E$2:$I$2038,5)</f>
        <v>Meliphagidae (Honeyeaters)</v>
      </c>
      <c r="I2267" s="3"/>
    </row>
    <row r="2268" spans="1:9" ht="10.5" customHeight="1">
      <c r="A2268" s="3" t="s">
        <v>3208</v>
      </c>
      <c r="B2268" s="3" t="s">
        <v>3207</v>
      </c>
      <c r="C2268" s="3">
        <f>VLOOKUP(B2268,LifeList!$E$2:$J$2038,6)</f>
        <v>17808</v>
      </c>
      <c r="D2268" s="3" t="str">
        <f>VLOOKUP(B2268,LifeList!$E$2:$G$2038,1)</f>
        <v>Noisy Miner</v>
      </c>
      <c r="E2268" s="3" t="str">
        <f>VLOOKUP(B2268,LifeList!$E$2:$G$2038,2)</f>
        <v>Méliphage bruyant</v>
      </c>
      <c r="F2268" s="3" t="str">
        <f>VLOOKUP(B2268,LifeList!$E$2:$G$2038,3)</f>
        <v>Manorina melanocephala</v>
      </c>
      <c r="G2268" s="3" t="str">
        <f>VLOOKUP(B2268,LifeList!$E$2:$I$2038,4)</f>
        <v>Passeriformes</v>
      </c>
      <c r="H2268" s="3" t="str">
        <f>VLOOKUP(B2268,LifeList!$E$2:$I$2038,5)</f>
        <v>Meliphagidae (Honeyeaters)</v>
      </c>
      <c r="I2268" s="3"/>
    </row>
    <row r="2269" spans="1:9" ht="10.5" customHeight="1">
      <c r="A2269" s="5" t="s">
        <v>3209</v>
      </c>
      <c r="B2269" s="3" t="s">
        <v>3210</v>
      </c>
      <c r="C2269" s="3">
        <f>VLOOKUP(B2269,LifeList!$E$2:$J$2038,6)</f>
        <v>34515</v>
      </c>
      <c r="D2269" s="3" t="str">
        <f>VLOOKUP(B2269,LifeList!$E$2:$G$2038,1)</f>
        <v>Northern Cardinal</v>
      </c>
      <c r="E2269" s="3" t="str">
        <f>VLOOKUP(B2269,LifeList!$E$2:$G$2038,2)</f>
        <v>Cardinal rouge</v>
      </c>
      <c r="F2269" s="3" t="str">
        <f>VLOOKUP(B2269,LifeList!$E$2:$G$2038,3)</f>
        <v>Cardinalis cardinalis</v>
      </c>
      <c r="G2269" s="3" t="str">
        <f>VLOOKUP(B2269,LifeList!$E$2:$I$2038,4)</f>
        <v>Passeriformes</v>
      </c>
      <c r="H2269" s="3" t="str">
        <f>VLOOKUP(B2269,LifeList!$E$2:$I$2038,5)</f>
        <v>Cardinalidae (Cardinals and Allies)</v>
      </c>
      <c r="I2269" s="3"/>
    </row>
    <row r="2270" spans="1:9" ht="10.5" customHeight="1">
      <c r="A2270" s="3" t="s">
        <v>3211</v>
      </c>
      <c r="B2270" s="3" t="s">
        <v>3212</v>
      </c>
      <c r="C2270" s="3">
        <f>VLOOKUP(B2270,LifeList!$E$2:$J$2038,6)</f>
        <v>11900</v>
      </c>
      <c r="D2270" s="3" t="str">
        <f>VLOOKUP(B2270,LifeList!$E$2:$G$2038,1)</f>
        <v>Northern Flicker</v>
      </c>
      <c r="E2270" s="3" t="str">
        <f>VLOOKUP(B2270,LifeList!$E$2:$G$2038,2)</f>
        <v>Pic flamboyant</v>
      </c>
      <c r="F2270" s="3" t="str">
        <f>VLOOKUP(B2270,LifeList!$E$2:$G$2038,3)</f>
        <v>Colaptes auratus</v>
      </c>
      <c r="G2270" s="3" t="str">
        <f>VLOOKUP(B2270,LifeList!$E$2:$I$2038,4)</f>
        <v>Piciformes</v>
      </c>
      <c r="H2270" s="3" t="str">
        <f>VLOOKUP(B2270,LifeList!$E$2:$I$2038,5)</f>
        <v>Picidae (Woodpeckers)</v>
      </c>
      <c r="I2270" s="3"/>
    </row>
    <row r="2271" spans="1:9" ht="10.5" customHeight="1">
      <c r="A2271" s="3" t="s">
        <v>3213</v>
      </c>
      <c r="B2271" s="3" t="s">
        <v>3214</v>
      </c>
      <c r="C2271" s="3">
        <f>VLOOKUP(B2271,LifeList!$E$2:$J$2038,6)</f>
        <v>28114</v>
      </c>
      <c r="D2271" s="3" t="str">
        <f>VLOOKUP(B2271,LifeList!$E$2:$G$2038,1)</f>
        <v>Northern Mockingbird</v>
      </c>
      <c r="E2271" s="3" t="str">
        <f>VLOOKUP(B2271,LifeList!$E$2:$G$2038,2)</f>
        <v>Moqueur polyglotte</v>
      </c>
      <c r="F2271" s="3" t="str">
        <f>VLOOKUP(B2271,LifeList!$E$2:$G$2038,3)</f>
        <v>Mimus polyglottos</v>
      </c>
      <c r="G2271" s="3" t="str">
        <f>VLOOKUP(B2271,LifeList!$E$2:$I$2038,4)</f>
        <v>Passeriformes</v>
      </c>
      <c r="H2271" s="3" t="str">
        <f>VLOOKUP(B2271,LifeList!$E$2:$I$2038,5)</f>
        <v>Mimidae (Mockingbirds and Thrashers)</v>
      </c>
      <c r="I2271" s="3"/>
    </row>
    <row r="2272" spans="1:9" ht="10.5" customHeight="1">
      <c r="A2272" s="3" t="s">
        <v>3215</v>
      </c>
      <c r="B2272" s="3" t="s">
        <v>3216</v>
      </c>
      <c r="C2272" s="3">
        <f>VLOOKUP(B2272,LifeList!$E$2:$J$2038,6)</f>
        <v>34087</v>
      </c>
      <c r="D2272" s="3" t="str">
        <f>VLOOKUP(B2272,LifeList!$E$2:$G$2038,1)</f>
        <v>Northern Yellow Warbler</v>
      </c>
      <c r="E2272" s="3" t="str">
        <f>VLOOKUP(B2272,LifeList!$E$2:$G$2038,2)</f>
        <v>Paruline jaune</v>
      </c>
      <c r="F2272" s="3" t="str">
        <f>VLOOKUP(B2272,LifeList!$E$2:$G$2038,3)</f>
        <v>Setophaga aestiva</v>
      </c>
      <c r="G2272" s="3" t="str">
        <f>VLOOKUP(B2272,LifeList!$E$2:$I$2038,4)</f>
        <v>Passeriformes</v>
      </c>
      <c r="H2272" s="3" t="str">
        <f>VLOOKUP(B2272,LifeList!$E$2:$I$2038,5)</f>
        <v>Parulidae (New World Warblers)</v>
      </c>
      <c r="I2272" s="3"/>
    </row>
    <row r="2273" spans="1:9" ht="10.5" customHeight="1">
      <c r="A2273" s="3" t="s">
        <v>3217</v>
      </c>
      <c r="B2273" s="3" t="s">
        <v>3216</v>
      </c>
      <c r="C2273" s="3">
        <f>VLOOKUP(B2273,LifeList!$E$2:$J$2038,6)</f>
        <v>34087</v>
      </c>
      <c r="D2273" s="3" t="str">
        <f>VLOOKUP(B2273,LifeList!$E$2:$G$2038,1)</f>
        <v>Northern Yellow Warbler</v>
      </c>
      <c r="E2273" s="3" t="str">
        <f>VLOOKUP(B2273,LifeList!$E$2:$G$2038,2)</f>
        <v>Paruline jaune</v>
      </c>
      <c r="F2273" s="3" t="str">
        <f>VLOOKUP(B2273,LifeList!$E$2:$G$2038,3)</f>
        <v>Setophaga aestiva</v>
      </c>
      <c r="G2273" s="3" t="str">
        <f>VLOOKUP(B2273,LifeList!$E$2:$I$2038,4)</f>
        <v>Passeriformes</v>
      </c>
      <c r="H2273" s="3" t="str">
        <f>VLOOKUP(B2273,LifeList!$E$2:$I$2038,5)</f>
        <v>Parulidae (New World Warblers)</v>
      </c>
      <c r="I2273" s="3"/>
    </row>
    <row r="2274" spans="1:9" ht="10.5" customHeight="1">
      <c r="A2274" s="3" t="s">
        <v>3218</v>
      </c>
      <c r="B2274" s="3" t="s">
        <v>3216</v>
      </c>
      <c r="C2274" s="3">
        <f>VLOOKUP(B2274,LifeList!$E$2:$J$2038,6)</f>
        <v>34087</v>
      </c>
      <c r="D2274" s="3" t="str">
        <f>VLOOKUP(B2274,LifeList!$E$2:$G$2038,1)</f>
        <v>Northern Yellow Warbler</v>
      </c>
      <c r="E2274" s="3" t="str">
        <f>VLOOKUP(B2274,LifeList!$E$2:$G$2038,2)</f>
        <v>Paruline jaune</v>
      </c>
      <c r="F2274" s="3" t="str">
        <f>VLOOKUP(B2274,LifeList!$E$2:$G$2038,3)</f>
        <v>Setophaga aestiva</v>
      </c>
      <c r="G2274" s="3" t="str">
        <f>VLOOKUP(B2274,LifeList!$E$2:$I$2038,4)</f>
        <v>Passeriformes</v>
      </c>
      <c r="H2274" s="3" t="str">
        <f>VLOOKUP(B2274,LifeList!$E$2:$I$2038,5)</f>
        <v>Parulidae (New World Warblers)</v>
      </c>
      <c r="I2274" s="3"/>
    </row>
    <row r="2275" spans="1:9" ht="10.5" customHeight="1">
      <c r="A2275" s="3" t="s">
        <v>3219</v>
      </c>
      <c r="B2275" s="3" t="s">
        <v>3220</v>
      </c>
      <c r="C2275" s="3">
        <f>VLOOKUP(B2275,LifeList!$E$2:$J$2038,6)</f>
        <v>14707</v>
      </c>
      <c r="D2275" s="3" t="str">
        <f>VLOOKUP(B2275,LifeList!$E$2:$G$2038,1)</f>
        <v>Northern Barred-Woodcreeper</v>
      </c>
      <c r="E2275" s="3" t="str">
        <f>VLOOKUP(B2275,LifeList!$E$2:$G$2038,2)</f>
        <v>Grimpar vermiculé</v>
      </c>
      <c r="F2275" s="3" t="str">
        <f>VLOOKUP(B2275,LifeList!$E$2:$G$2038,3)</f>
        <v>Dendrocolaptes sanctithomae</v>
      </c>
      <c r="G2275" s="3" t="str">
        <f>VLOOKUP(B2275,LifeList!$E$2:$I$2038,4)</f>
        <v>Passeriformes</v>
      </c>
      <c r="H2275" s="3" t="str">
        <f>VLOOKUP(B2275,LifeList!$E$2:$I$2038,5)</f>
        <v>Furnariidae (Ovenbirds and Woodcreepers)</v>
      </c>
      <c r="I2275" s="3"/>
    </row>
    <row r="2276" spans="1:9" ht="10.5" customHeight="1">
      <c r="A2276" s="3" t="s">
        <v>3221</v>
      </c>
      <c r="B2276" s="3" t="s">
        <v>3222</v>
      </c>
      <c r="C2276" s="3">
        <f>VLOOKUP(B2276,LifeList!$E$2:$J$2038,6)</f>
        <v>34515</v>
      </c>
      <c r="D2276" s="3" t="str">
        <f>VLOOKUP(B2276,LifeList!$E$2:$G$2038,1)</f>
        <v>Northern Cardinal</v>
      </c>
      <c r="E2276" s="3" t="str">
        <f>VLOOKUP(B2276,LifeList!$E$2:$G$2038,2)</f>
        <v>Cardinal rouge</v>
      </c>
      <c r="F2276" s="3" t="str">
        <f>VLOOKUP(B2276,LifeList!$E$2:$G$2038,3)</f>
        <v>Cardinalis cardinalis</v>
      </c>
      <c r="G2276" s="3" t="str">
        <f>VLOOKUP(B2276,LifeList!$E$2:$I$2038,4)</f>
        <v>Passeriformes</v>
      </c>
      <c r="H2276" s="3" t="str">
        <f>VLOOKUP(B2276,LifeList!$E$2:$I$2038,5)</f>
        <v>Cardinalidae (Cardinals and Allies)</v>
      </c>
      <c r="I2276" s="3"/>
    </row>
    <row r="2277" spans="1:9" ht="10.5" customHeight="1">
      <c r="A2277" s="3" t="s">
        <v>3223</v>
      </c>
      <c r="B2277" s="3" t="s">
        <v>3222</v>
      </c>
      <c r="C2277" s="3">
        <f>VLOOKUP(B2277,LifeList!$E$2:$J$2038,6)</f>
        <v>34515</v>
      </c>
      <c r="D2277" s="3" t="str">
        <f>VLOOKUP(B2277,LifeList!$E$2:$G$2038,1)</f>
        <v>Northern Cardinal</v>
      </c>
      <c r="E2277" s="3" t="str">
        <f>VLOOKUP(B2277,LifeList!$E$2:$G$2038,2)</f>
        <v>Cardinal rouge</v>
      </c>
      <c r="F2277" s="3" t="str">
        <f>VLOOKUP(B2277,LifeList!$E$2:$G$2038,3)</f>
        <v>Cardinalis cardinalis</v>
      </c>
      <c r="G2277" s="3" t="str">
        <f>VLOOKUP(B2277,LifeList!$E$2:$I$2038,4)</f>
        <v>Passeriformes</v>
      </c>
      <c r="H2277" s="3" t="str">
        <f>VLOOKUP(B2277,LifeList!$E$2:$I$2038,5)</f>
        <v>Cardinalidae (Cardinals and Allies)</v>
      </c>
      <c r="I2277" s="3"/>
    </row>
    <row r="2278" spans="1:9" ht="10.5" customHeight="1">
      <c r="A2278" s="3" t="s">
        <v>3224</v>
      </c>
      <c r="B2278" s="3" t="s">
        <v>3222</v>
      </c>
      <c r="C2278" s="3">
        <f>VLOOKUP(B2278,LifeList!$E$2:$J$2038,6)</f>
        <v>34515</v>
      </c>
      <c r="D2278" s="3" t="str">
        <f>VLOOKUP(B2278,LifeList!$E$2:$G$2038,1)</f>
        <v>Northern Cardinal</v>
      </c>
      <c r="E2278" s="3" t="str">
        <f>VLOOKUP(B2278,LifeList!$E$2:$G$2038,2)</f>
        <v>Cardinal rouge</v>
      </c>
      <c r="F2278" s="3" t="str">
        <f>VLOOKUP(B2278,LifeList!$E$2:$G$2038,3)</f>
        <v>Cardinalis cardinalis</v>
      </c>
      <c r="G2278" s="3" t="str">
        <f>VLOOKUP(B2278,LifeList!$E$2:$I$2038,4)</f>
        <v>Passeriformes</v>
      </c>
      <c r="H2278" s="3" t="str">
        <f>VLOOKUP(B2278,LifeList!$E$2:$I$2038,5)</f>
        <v>Cardinalidae (Cardinals and Allies)</v>
      </c>
      <c r="I2278" s="3"/>
    </row>
    <row r="2279" spans="1:9" ht="10.5" customHeight="1">
      <c r="A2279" s="3" t="s">
        <v>3225</v>
      </c>
      <c r="B2279" s="3" t="s">
        <v>3222</v>
      </c>
      <c r="C2279" s="3">
        <f>VLOOKUP(B2279,LifeList!$E$2:$J$2038,6)</f>
        <v>34515</v>
      </c>
      <c r="D2279" s="3" t="str">
        <f>VLOOKUP(B2279,LifeList!$E$2:$G$2038,1)</f>
        <v>Northern Cardinal</v>
      </c>
      <c r="E2279" s="3" t="str">
        <f>VLOOKUP(B2279,LifeList!$E$2:$G$2038,2)</f>
        <v>Cardinal rouge</v>
      </c>
      <c r="F2279" s="3" t="str">
        <f>VLOOKUP(B2279,LifeList!$E$2:$G$2038,3)</f>
        <v>Cardinalis cardinalis</v>
      </c>
      <c r="G2279" s="3" t="str">
        <f>VLOOKUP(B2279,LifeList!$E$2:$I$2038,4)</f>
        <v>Passeriformes</v>
      </c>
      <c r="H2279" s="3" t="str">
        <f>VLOOKUP(B2279,LifeList!$E$2:$I$2038,5)</f>
        <v>Cardinalidae (Cardinals and Allies)</v>
      </c>
      <c r="I2279" s="3"/>
    </row>
    <row r="2280" spans="1:9" ht="10.5" customHeight="1">
      <c r="A2280" s="3" t="s">
        <v>3226</v>
      </c>
      <c r="B2280" s="3" t="s">
        <v>3222</v>
      </c>
      <c r="C2280" s="3">
        <f>VLOOKUP(B2280,LifeList!$E$2:$J$2038,6)</f>
        <v>34515</v>
      </c>
      <c r="D2280" s="3" t="str">
        <f>VLOOKUP(B2280,LifeList!$E$2:$G$2038,1)</f>
        <v>Northern Cardinal</v>
      </c>
      <c r="E2280" s="3" t="str">
        <f>VLOOKUP(B2280,LifeList!$E$2:$G$2038,2)</f>
        <v>Cardinal rouge</v>
      </c>
      <c r="F2280" s="3" t="str">
        <f>VLOOKUP(B2280,LifeList!$E$2:$G$2038,3)</f>
        <v>Cardinalis cardinalis</v>
      </c>
      <c r="G2280" s="3" t="str">
        <f>VLOOKUP(B2280,LifeList!$E$2:$I$2038,4)</f>
        <v>Passeriformes</v>
      </c>
      <c r="H2280" s="3" t="str">
        <f>VLOOKUP(B2280,LifeList!$E$2:$I$2038,5)</f>
        <v>Cardinalidae (Cardinals and Allies)</v>
      </c>
      <c r="I2280" s="3"/>
    </row>
    <row r="2281" spans="1:9" ht="10.5" customHeight="1">
      <c r="A2281" s="3" t="s">
        <v>3227</v>
      </c>
      <c r="B2281" s="3" t="s">
        <v>3222</v>
      </c>
      <c r="C2281" s="3">
        <f>VLOOKUP(B2281,LifeList!$E$2:$J$2038,6)</f>
        <v>34515</v>
      </c>
      <c r="D2281" s="3" t="str">
        <f>VLOOKUP(B2281,LifeList!$E$2:$G$2038,1)</f>
        <v>Northern Cardinal</v>
      </c>
      <c r="E2281" s="3" t="str">
        <f>VLOOKUP(B2281,LifeList!$E$2:$G$2038,2)</f>
        <v>Cardinal rouge</v>
      </c>
      <c r="F2281" s="3" t="str">
        <f>VLOOKUP(B2281,LifeList!$E$2:$G$2038,3)</f>
        <v>Cardinalis cardinalis</v>
      </c>
      <c r="G2281" s="3" t="str">
        <f>VLOOKUP(B2281,LifeList!$E$2:$I$2038,4)</f>
        <v>Passeriformes</v>
      </c>
      <c r="H2281" s="3" t="str">
        <f>VLOOKUP(B2281,LifeList!$E$2:$I$2038,5)</f>
        <v>Cardinalidae (Cardinals and Allies)</v>
      </c>
      <c r="I2281" s="3"/>
    </row>
    <row r="2282" spans="1:9" ht="10.5" customHeight="1">
      <c r="A2282" s="3" t="s">
        <v>3228</v>
      </c>
      <c r="B2282" s="3" t="s">
        <v>3229</v>
      </c>
      <c r="C2282" s="3">
        <f>VLOOKUP(B2282,LifeList!$E$2:$J$2038,6)</f>
        <v>10836</v>
      </c>
      <c r="D2282" s="3" t="str">
        <f>VLOOKUP(B2282,LifeList!$E$2:$G$2038,1)</f>
        <v>Northern Emerald-Toucanet</v>
      </c>
      <c r="E2282" s="3" t="str">
        <f>VLOOKUP(B2282,LifeList!$E$2:$G$2038,2)</f>
        <v>Toucanet émeraude</v>
      </c>
      <c r="F2282" s="3" t="str">
        <f>VLOOKUP(B2282,LifeList!$E$2:$G$2038,3)</f>
        <v>Aulacorhynchus prasinus</v>
      </c>
      <c r="G2282" s="3" t="str">
        <f>VLOOKUP(B2282,LifeList!$E$2:$I$2038,4)</f>
        <v>Piciformes</v>
      </c>
      <c r="H2282" s="3" t="str">
        <f>VLOOKUP(B2282,LifeList!$E$2:$I$2038,5)</f>
        <v>Ramphastidae (Toucans)</v>
      </c>
      <c r="I2282" s="3"/>
    </row>
    <row r="2283" spans="1:9" ht="10.5" customHeight="1">
      <c r="A2283" s="3" t="s">
        <v>3230</v>
      </c>
      <c r="B2283" s="3" t="s">
        <v>3229</v>
      </c>
      <c r="C2283" s="3">
        <f>VLOOKUP(B2283,LifeList!$E$2:$J$2038,6)</f>
        <v>10836</v>
      </c>
      <c r="D2283" s="3" t="str">
        <f>VLOOKUP(B2283,LifeList!$E$2:$G$2038,1)</f>
        <v>Northern Emerald-Toucanet</v>
      </c>
      <c r="E2283" s="3" t="str">
        <f>VLOOKUP(B2283,LifeList!$E$2:$G$2038,2)</f>
        <v>Toucanet émeraude</v>
      </c>
      <c r="F2283" s="3" t="str">
        <f>VLOOKUP(B2283,LifeList!$E$2:$G$2038,3)</f>
        <v>Aulacorhynchus prasinus</v>
      </c>
      <c r="G2283" s="3" t="str">
        <f>VLOOKUP(B2283,LifeList!$E$2:$I$2038,4)</f>
        <v>Piciformes</v>
      </c>
      <c r="H2283" s="3" t="str">
        <f>VLOOKUP(B2283,LifeList!$E$2:$I$2038,5)</f>
        <v>Ramphastidae (Toucans)</v>
      </c>
      <c r="I2283" s="3"/>
    </row>
    <row r="2284" spans="1:9" ht="10.5" customHeight="1">
      <c r="A2284" s="3" t="s">
        <v>3231</v>
      </c>
      <c r="B2284" s="3" t="s">
        <v>3229</v>
      </c>
      <c r="C2284" s="3">
        <f>VLOOKUP(B2284,LifeList!$E$2:$J$2038,6)</f>
        <v>10836</v>
      </c>
      <c r="D2284" s="3" t="str">
        <f>VLOOKUP(B2284,LifeList!$E$2:$G$2038,1)</f>
        <v>Northern Emerald-Toucanet</v>
      </c>
      <c r="E2284" s="3" t="str">
        <f>VLOOKUP(B2284,LifeList!$E$2:$G$2038,2)</f>
        <v>Toucanet émeraude</v>
      </c>
      <c r="F2284" s="3" t="str">
        <f>VLOOKUP(B2284,LifeList!$E$2:$G$2038,3)</f>
        <v>Aulacorhynchus prasinus</v>
      </c>
      <c r="G2284" s="3" t="str">
        <f>VLOOKUP(B2284,LifeList!$E$2:$I$2038,4)</f>
        <v>Piciformes</v>
      </c>
      <c r="H2284" s="3" t="str">
        <f>VLOOKUP(B2284,LifeList!$E$2:$I$2038,5)</f>
        <v>Ramphastidae (Toucans)</v>
      </c>
      <c r="I2284" s="3"/>
    </row>
    <row r="2285" spans="1:9" ht="10.5" customHeight="1">
      <c r="A2285" s="3" t="s">
        <v>3232</v>
      </c>
      <c r="B2285" s="3" t="s">
        <v>3229</v>
      </c>
      <c r="C2285" s="3">
        <f>VLOOKUP(B2285,LifeList!$E$2:$J$2038,6)</f>
        <v>10836</v>
      </c>
      <c r="D2285" s="3" t="str">
        <f>VLOOKUP(B2285,LifeList!$E$2:$G$2038,1)</f>
        <v>Northern Emerald-Toucanet</v>
      </c>
      <c r="E2285" s="3" t="str">
        <f>VLOOKUP(B2285,LifeList!$E$2:$G$2038,2)</f>
        <v>Toucanet émeraude</v>
      </c>
      <c r="F2285" s="3" t="str">
        <f>VLOOKUP(B2285,LifeList!$E$2:$G$2038,3)</f>
        <v>Aulacorhynchus prasinus</v>
      </c>
      <c r="G2285" s="3" t="str">
        <f>VLOOKUP(B2285,LifeList!$E$2:$I$2038,4)</f>
        <v>Piciformes</v>
      </c>
      <c r="H2285" s="3" t="str">
        <f>VLOOKUP(B2285,LifeList!$E$2:$I$2038,5)</f>
        <v>Ramphastidae (Toucans)</v>
      </c>
      <c r="I2285" s="3"/>
    </row>
    <row r="2286" spans="1:9" ht="10.5" customHeight="1">
      <c r="A2286" s="3" t="s">
        <v>3233</v>
      </c>
      <c r="B2286" s="3" t="s">
        <v>3234</v>
      </c>
      <c r="C2286" s="3">
        <f>VLOOKUP(B2286,LifeList!$E$2:$J$2038,6)</f>
        <v>11900</v>
      </c>
      <c r="D2286" s="3" t="str">
        <f>VLOOKUP(B2286,LifeList!$E$2:$G$2038,1)</f>
        <v>Northern Flicker</v>
      </c>
      <c r="E2286" s="3" t="str">
        <f>VLOOKUP(B2286,LifeList!$E$2:$G$2038,2)</f>
        <v>Pic flamboyant</v>
      </c>
      <c r="F2286" s="3" t="str">
        <f>VLOOKUP(B2286,LifeList!$E$2:$G$2038,3)</f>
        <v>Colaptes auratus</v>
      </c>
      <c r="G2286" s="3" t="str">
        <f>VLOOKUP(B2286,LifeList!$E$2:$I$2038,4)</f>
        <v>Piciformes</v>
      </c>
      <c r="H2286" s="3" t="str">
        <f>VLOOKUP(B2286,LifeList!$E$2:$I$2038,5)</f>
        <v>Picidae (Woodpeckers)</v>
      </c>
      <c r="I2286" s="3"/>
    </row>
    <row r="2287" spans="1:9" ht="10.5" customHeight="1">
      <c r="A2287" s="3" t="s">
        <v>3235</v>
      </c>
      <c r="B2287" s="3" t="s">
        <v>3234</v>
      </c>
      <c r="C2287" s="3">
        <f>VLOOKUP(B2287,LifeList!$E$2:$J$2038,6)</f>
        <v>11900</v>
      </c>
      <c r="D2287" s="3" t="str">
        <f>VLOOKUP(B2287,LifeList!$E$2:$G$2038,1)</f>
        <v>Northern Flicker</v>
      </c>
      <c r="E2287" s="3" t="str">
        <f>VLOOKUP(B2287,LifeList!$E$2:$G$2038,2)</f>
        <v>Pic flamboyant</v>
      </c>
      <c r="F2287" s="3" t="str">
        <f>VLOOKUP(B2287,LifeList!$E$2:$G$2038,3)</f>
        <v>Colaptes auratus</v>
      </c>
      <c r="G2287" s="3" t="str">
        <f>VLOOKUP(B2287,LifeList!$E$2:$I$2038,4)</f>
        <v>Piciformes</v>
      </c>
      <c r="H2287" s="3" t="str">
        <f>VLOOKUP(B2287,LifeList!$E$2:$I$2038,5)</f>
        <v>Picidae (Woodpeckers)</v>
      </c>
      <c r="I2287" s="3"/>
    </row>
    <row r="2288" spans="1:9" ht="10.5" customHeight="1">
      <c r="A2288" s="3" t="s">
        <v>3236</v>
      </c>
      <c r="B2288" s="3" t="s">
        <v>3234</v>
      </c>
      <c r="C2288" s="3">
        <f>VLOOKUP(B2288,LifeList!$E$2:$J$2038,6)</f>
        <v>11900</v>
      </c>
      <c r="D2288" s="3" t="str">
        <f>VLOOKUP(B2288,LifeList!$E$2:$G$2038,1)</f>
        <v>Northern Flicker</v>
      </c>
      <c r="E2288" s="3" t="str">
        <f>VLOOKUP(B2288,LifeList!$E$2:$G$2038,2)</f>
        <v>Pic flamboyant</v>
      </c>
      <c r="F2288" s="3" t="str">
        <f>VLOOKUP(B2288,LifeList!$E$2:$G$2038,3)</f>
        <v>Colaptes auratus</v>
      </c>
      <c r="G2288" s="3" t="str">
        <f>VLOOKUP(B2288,LifeList!$E$2:$I$2038,4)</f>
        <v>Piciformes</v>
      </c>
      <c r="H2288" s="3" t="str">
        <f>VLOOKUP(B2288,LifeList!$E$2:$I$2038,5)</f>
        <v>Picidae (Woodpeckers)</v>
      </c>
      <c r="I2288" s="3"/>
    </row>
    <row r="2289" spans="1:9" ht="10.5" customHeight="1">
      <c r="A2289" s="3" t="s">
        <v>3237</v>
      </c>
      <c r="B2289" s="3" t="s">
        <v>3234</v>
      </c>
      <c r="C2289" s="3">
        <f>VLOOKUP(B2289,LifeList!$E$2:$J$2038,6)</f>
        <v>11900</v>
      </c>
      <c r="D2289" s="3" t="str">
        <f>VLOOKUP(B2289,LifeList!$E$2:$G$2038,1)</f>
        <v>Northern Flicker</v>
      </c>
      <c r="E2289" s="3" t="str">
        <f>VLOOKUP(B2289,LifeList!$E$2:$G$2038,2)</f>
        <v>Pic flamboyant</v>
      </c>
      <c r="F2289" s="3" t="str">
        <f>VLOOKUP(B2289,LifeList!$E$2:$G$2038,3)</f>
        <v>Colaptes auratus</v>
      </c>
      <c r="G2289" s="3" t="str">
        <f>VLOOKUP(B2289,LifeList!$E$2:$I$2038,4)</f>
        <v>Piciformes</v>
      </c>
      <c r="H2289" s="3" t="str">
        <f>VLOOKUP(B2289,LifeList!$E$2:$I$2038,5)</f>
        <v>Picidae (Woodpeckers)</v>
      </c>
      <c r="I2289" s="3"/>
    </row>
    <row r="2290" spans="1:9" ht="10.5" customHeight="1">
      <c r="A2290" s="3" t="s">
        <v>3238</v>
      </c>
      <c r="B2290" s="3" t="s">
        <v>3234</v>
      </c>
      <c r="C2290" s="3">
        <f>VLOOKUP(B2290,LifeList!$E$2:$J$2038,6)</f>
        <v>11900</v>
      </c>
      <c r="D2290" s="3" t="str">
        <f>VLOOKUP(B2290,LifeList!$E$2:$G$2038,1)</f>
        <v>Northern Flicker</v>
      </c>
      <c r="E2290" s="3" t="str">
        <f>VLOOKUP(B2290,LifeList!$E$2:$G$2038,2)</f>
        <v>Pic flamboyant</v>
      </c>
      <c r="F2290" s="3" t="str">
        <f>VLOOKUP(B2290,LifeList!$E$2:$G$2038,3)</f>
        <v>Colaptes auratus</v>
      </c>
      <c r="G2290" s="3" t="str">
        <f>VLOOKUP(B2290,LifeList!$E$2:$I$2038,4)</f>
        <v>Piciformes</v>
      </c>
      <c r="H2290" s="3" t="str">
        <f>VLOOKUP(B2290,LifeList!$E$2:$I$2038,5)</f>
        <v>Picidae (Woodpeckers)</v>
      </c>
      <c r="I2290" s="3"/>
    </row>
    <row r="2291" spans="1:9" ht="10.5" customHeight="1">
      <c r="A2291" s="3" t="s">
        <v>3239</v>
      </c>
      <c r="B2291" s="3" t="s">
        <v>3234</v>
      </c>
      <c r="C2291" s="3">
        <f>VLOOKUP(B2291,LifeList!$E$2:$J$2038,6)</f>
        <v>11900</v>
      </c>
      <c r="D2291" s="3" t="str">
        <f>VLOOKUP(B2291,LifeList!$E$2:$G$2038,1)</f>
        <v>Northern Flicker</v>
      </c>
      <c r="E2291" s="3" t="str">
        <f>VLOOKUP(B2291,LifeList!$E$2:$G$2038,2)</f>
        <v>Pic flamboyant</v>
      </c>
      <c r="F2291" s="3" t="str">
        <f>VLOOKUP(B2291,LifeList!$E$2:$G$2038,3)</f>
        <v>Colaptes auratus</v>
      </c>
      <c r="G2291" s="3" t="str">
        <f>VLOOKUP(B2291,LifeList!$E$2:$I$2038,4)</f>
        <v>Piciformes</v>
      </c>
      <c r="H2291" s="3" t="str">
        <f>VLOOKUP(B2291,LifeList!$E$2:$I$2038,5)</f>
        <v>Picidae (Woodpeckers)</v>
      </c>
      <c r="I2291" s="3"/>
    </row>
    <row r="2292" spans="1:9" ht="10.5" customHeight="1">
      <c r="A2292" s="3" t="s">
        <v>3240</v>
      </c>
      <c r="B2292" s="3" t="s">
        <v>3234</v>
      </c>
      <c r="C2292" s="3">
        <f>VLOOKUP(B2292,LifeList!$E$2:$J$2038,6)</f>
        <v>11900</v>
      </c>
      <c r="D2292" s="3" t="str">
        <f>VLOOKUP(B2292,LifeList!$E$2:$G$2038,1)</f>
        <v>Northern Flicker</v>
      </c>
      <c r="E2292" s="3" t="str">
        <f>VLOOKUP(B2292,LifeList!$E$2:$G$2038,2)</f>
        <v>Pic flamboyant</v>
      </c>
      <c r="F2292" s="3" t="str">
        <f>VLOOKUP(B2292,LifeList!$E$2:$G$2038,3)</f>
        <v>Colaptes auratus</v>
      </c>
      <c r="G2292" s="3" t="str">
        <f>VLOOKUP(B2292,LifeList!$E$2:$I$2038,4)</f>
        <v>Piciformes</v>
      </c>
      <c r="H2292" s="3" t="str">
        <f>VLOOKUP(B2292,LifeList!$E$2:$I$2038,5)</f>
        <v>Picidae (Woodpeckers)</v>
      </c>
      <c r="I2292" s="3"/>
    </row>
    <row r="2293" spans="1:9" ht="10.5" customHeight="1">
      <c r="A2293" s="3" t="s">
        <v>3241</v>
      </c>
      <c r="B2293" s="3" t="s">
        <v>3234</v>
      </c>
      <c r="C2293" s="3">
        <f>VLOOKUP(B2293,LifeList!$E$2:$J$2038,6)</f>
        <v>11900</v>
      </c>
      <c r="D2293" s="3" t="str">
        <f>VLOOKUP(B2293,LifeList!$E$2:$G$2038,1)</f>
        <v>Northern Flicker</v>
      </c>
      <c r="E2293" s="3" t="str">
        <f>VLOOKUP(B2293,LifeList!$E$2:$G$2038,2)</f>
        <v>Pic flamboyant</v>
      </c>
      <c r="F2293" s="3" t="str">
        <f>VLOOKUP(B2293,LifeList!$E$2:$G$2038,3)</f>
        <v>Colaptes auratus</v>
      </c>
      <c r="G2293" s="3" t="str">
        <f>VLOOKUP(B2293,LifeList!$E$2:$I$2038,4)</f>
        <v>Piciformes</v>
      </c>
      <c r="H2293" s="3" t="str">
        <f>VLOOKUP(B2293,LifeList!$E$2:$I$2038,5)</f>
        <v>Picidae (Woodpeckers)</v>
      </c>
      <c r="I2293" s="3"/>
    </row>
    <row r="2294" spans="1:9" ht="10.5" customHeight="1">
      <c r="A2294" s="3" t="s">
        <v>3242</v>
      </c>
      <c r="B2294" s="3" t="s">
        <v>3243</v>
      </c>
      <c r="C2294" s="3">
        <f>VLOOKUP(B2294,LifeList!$E$2:$J$2038,6)</f>
        <v>7333</v>
      </c>
      <c r="D2294" s="3" t="str">
        <f>VLOOKUP(B2294,LifeList!$E$2:$G$2038,1)</f>
        <v>Northern Gannet</v>
      </c>
      <c r="E2294" s="3" t="str">
        <f>VLOOKUP(B2294,LifeList!$E$2:$G$2038,2)</f>
        <v>Fou de Bassan</v>
      </c>
      <c r="F2294" s="3" t="str">
        <f>VLOOKUP(B2294,LifeList!$E$2:$G$2038,3)</f>
        <v>Morus bassanus</v>
      </c>
      <c r="G2294" s="3" t="str">
        <f>VLOOKUP(B2294,LifeList!$E$2:$I$2038,4)</f>
        <v>Suliformes</v>
      </c>
      <c r="H2294" s="3" t="str">
        <f>VLOOKUP(B2294,LifeList!$E$2:$I$2038,5)</f>
        <v>Sulidae (Boobies and Gannets)</v>
      </c>
      <c r="I2294" s="3"/>
    </row>
    <row r="2295" spans="1:9" ht="10.5" customHeight="1">
      <c r="A2295" s="3" t="s">
        <v>3244</v>
      </c>
      <c r="B2295" s="3" t="s">
        <v>3245</v>
      </c>
      <c r="C2295" s="3">
        <f>VLOOKUP(B2295,LifeList!$E$2:$J$2038,6)</f>
        <v>8324</v>
      </c>
      <c r="D2295" s="3" t="str">
        <f>VLOOKUP(B2295,LifeList!$E$2:$G$2038,1)</f>
        <v>Northern Harrier</v>
      </c>
      <c r="E2295" s="3" t="str">
        <f>VLOOKUP(B2295,LifeList!$E$2:$G$2038,2)</f>
        <v>Busard des marais</v>
      </c>
      <c r="F2295" s="3" t="str">
        <f>VLOOKUP(B2295,LifeList!$E$2:$G$2038,3)</f>
        <v>Circus hudsonius</v>
      </c>
      <c r="G2295" s="3" t="str">
        <f>VLOOKUP(B2295,LifeList!$E$2:$I$2038,4)</f>
        <v>Accipitriformes</v>
      </c>
      <c r="H2295" s="3" t="str">
        <f>VLOOKUP(B2295,LifeList!$E$2:$I$2038,5)</f>
        <v>Accipitridae (Hawks, Eagles, and Kites)</v>
      </c>
      <c r="I2295" s="3"/>
    </row>
    <row r="2296" spans="1:9" ht="10.5" customHeight="1">
      <c r="A2296" s="3" t="s">
        <v>3246</v>
      </c>
      <c r="B2296" s="3" t="s">
        <v>3245</v>
      </c>
      <c r="C2296" s="3">
        <f>VLOOKUP(B2296,LifeList!$E$2:$J$2038,6)</f>
        <v>8324</v>
      </c>
      <c r="D2296" s="3" t="str">
        <f>VLOOKUP(B2296,LifeList!$E$2:$G$2038,1)</f>
        <v>Northern Harrier</v>
      </c>
      <c r="E2296" s="3" t="str">
        <f>VLOOKUP(B2296,LifeList!$E$2:$G$2038,2)</f>
        <v>Busard des marais</v>
      </c>
      <c r="F2296" s="3" t="str">
        <f>VLOOKUP(B2296,LifeList!$E$2:$G$2038,3)</f>
        <v>Circus hudsonius</v>
      </c>
      <c r="G2296" s="3" t="str">
        <f>VLOOKUP(B2296,LifeList!$E$2:$I$2038,4)</f>
        <v>Accipitriformes</v>
      </c>
      <c r="H2296" s="3" t="str">
        <f>VLOOKUP(B2296,LifeList!$E$2:$I$2038,5)</f>
        <v>Accipitridae (Hawks, Eagles, and Kites)</v>
      </c>
      <c r="I2296" s="3"/>
    </row>
    <row r="2297" spans="1:9" ht="10.5" customHeight="1">
      <c r="A2297" s="3" t="s">
        <v>3247</v>
      </c>
      <c r="B2297" s="3" t="s">
        <v>3245</v>
      </c>
      <c r="C2297" s="3">
        <f>VLOOKUP(B2297,LifeList!$E$2:$J$2038,6)</f>
        <v>8324</v>
      </c>
      <c r="D2297" s="3" t="str">
        <f>VLOOKUP(B2297,LifeList!$E$2:$G$2038,1)</f>
        <v>Northern Harrier</v>
      </c>
      <c r="E2297" s="3" t="str">
        <f>VLOOKUP(B2297,LifeList!$E$2:$G$2038,2)</f>
        <v>Busard des marais</v>
      </c>
      <c r="F2297" s="3" t="str">
        <f>VLOOKUP(B2297,LifeList!$E$2:$G$2038,3)</f>
        <v>Circus hudsonius</v>
      </c>
      <c r="G2297" s="3" t="str">
        <f>VLOOKUP(B2297,LifeList!$E$2:$I$2038,4)</f>
        <v>Accipitriformes</v>
      </c>
      <c r="H2297" s="3" t="str">
        <f>VLOOKUP(B2297,LifeList!$E$2:$I$2038,5)</f>
        <v>Accipitridae (Hawks, Eagles, and Kites)</v>
      </c>
      <c r="I2297" s="3"/>
    </row>
    <row r="2298" spans="1:9" ht="10.5" customHeight="1">
      <c r="A2298" s="3" t="s">
        <v>3248</v>
      </c>
      <c r="B2298" s="3" t="s">
        <v>3245</v>
      </c>
      <c r="C2298" s="3">
        <f>VLOOKUP(B2298,LifeList!$E$2:$J$2038,6)</f>
        <v>8324</v>
      </c>
      <c r="D2298" s="3" t="str">
        <f>VLOOKUP(B2298,LifeList!$E$2:$G$2038,1)</f>
        <v>Northern Harrier</v>
      </c>
      <c r="E2298" s="3" t="str">
        <f>VLOOKUP(B2298,LifeList!$E$2:$G$2038,2)</f>
        <v>Busard des marais</v>
      </c>
      <c r="F2298" s="3" t="str">
        <f>VLOOKUP(B2298,LifeList!$E$2:$G$2038,3)</f>
        <v>Circus hudsonius</v>
      </c>
      <c r="G2298" s="3" t="str">
        <f>VLOOKUP(B2298,LifeList!$E$2:$I$2038,4)</f>
        <v>Accipitriformes</v>
      </c>
      <c r="H2298" s="3" t="str">
        <f>VLOOKUP(B2298,LifeList!$E$2:$I$2038,5)</f>
        <v>Accipitridae (Hawks, Eagles, and Kites)</v>
      </c>
      <c r="I2298" s="3"/>
    </row>
    <row r="2299" spans="1:9" ht="10.5" customHeight="1">
      <c r="A2299" s="3" t="s">
        <v>3249</v>
      </c>
      <c r="B2299" s="3" t="s">
        <v>3245</v>
      </c>
      <c r="C2299" s="3">
        <f>VLOOKUP(B2299,LifeList!$E$2:$J$2038,6)</f>
        <v>8324</v>
      </c>
      <c r="D2299" s="3" t="str">
        <f>VLOOKUP(B2299,LifeList!$E$2:$G$2038,1)</f>
        <v>Northern Harrier</v>
      </c>
      <c r="E2299" s="3" t="str">
        <f>VLOOKUP(B2299,LifeList!$E$2:$G$2038,2)</f>
        <v>Busard des marais</v>
      </c>
      <c r="F2299" s="3" t="str">
        <f>VLOOKUP(B2299,LifeList!$E$2:$G$2038,3)</f>
        <v>Circus hudsonius</v>
      </c>
      <c r="G2299" s="3" t="str">
        <f>VLOOKUP(B2299,LifeList!$E$2:$I$2038,4)</f>
        <v>Accipitriformes</v>
      </c>
      <c r="H2299" s="3" t="str">
        <f>VLOOKUP(B2299,LifeList!$E$2:$I$2038,5)</f>
        <v>Accipitridae (Hawks, Eagles, and Kites)</v>
      </c>
      <c r="I2299" s="3"/>
    </row>
    <row r="2300" spans="1:9" ht="10.5" customHeight="1">
      <c r="A2300" s="3" t="s">
        <v>3250</v>
      </c>
      <c r="B2300" s="3" t="s">
        <v>3251</v>
      </c>
      <c r="C2300" s="3">
        <f>VLOOKUP(B2300,LifeList!$E$2:$J$2038,6)</f>
        <v>8999</v>
      </c>
      <c r="D2300" s="3" t="str">
        <f>VLOOKUP(B2300,LifeList!$E$2:$G$2038,1)</f>
        <v>Northern Hawk Owl</v>
      </c>
      <c r="E2300" s="3" t="str">
        <f>VLOOKUP(B2300,LifeList!$E$2:$G$2038,2)</f>
        <v>Chouette épervière</v>
      </c>
      <c r="F2300" s="3" t="str">
        <f>VLOOKUP(B2300,LifeList!$E$2:$G$2038,3)</f>
        <v>Surnia ulula</v>
      </c>
      <c r="G2300" s="3" t="str">
        <f>VLOOKUP(B2300,LifeList!$E$2:$I$2038,4)</f>
        <v>Strigiformes</v>
      </c>
      <c r="H2300" s="3" t="str">
        <f>VLOOKUP(B2300,LifeList!$E$2:$I$2038,5)</f>
        <v>Strigidae (Owls)</v>
      </c>
      <c r="I2300" s="3"/>
    </row>
    <row r="2301" spans="1:9" ht="10.5" customHeight="1">
      <c r="A2301" s="3" t="s">
        <v>3252</v>
      </c>
      <c r="B2301" s="3" t="s">
        <v>3253</v>
      </c>
      <c r="C2301" s="3">
        <f>VLOOKUP(B2301,LifeList!$E$2:$J$2038,6)</f>
        <v>27191</v>
      </c>
      <c r="D2301" s="3" t="str">
        <f>VLOOKUP(B2301,LifeList!$E$2:$G$2038,1)</f>
        <v>Northern House Wren</v>
      </c>
      <c r="E2301" s="3" t="str">
        <f>VLOOKUP(B2301,LifeList!$E$2:$G$2038,2)</f>
        <v>Troglodyte familier</v>
      </c>
      <c r="F2301" s="3" t="str">
        <f>VLOOKUP(B2301,LifeList!$E$2:$G$2038,3)</f>
        <v>Troglodytes aedon</v>
      </c>
      <c r="G2301" s="3" t="str">
        <f>VLOOKUP(B2301,LifeList!$E$2:$I$2038,4)</f>
        <v>Passeriformes</v>
      </c>
      <c r="H2301" s="3" t="str">
        <f>VLOOKUP(B2301,LifeList!$E$2:$I$2038,5)</f>
        <v>Troglodytidae (Wrens)</v>
      </c>
      <c r="I2301" s="3"/>
    </row>
    <row r="2302" spans="1:9" ht="10.5" customHeight="1">
      <c r="A2302" s="3" t="s">
        <v>3254</v>
      </c>
      <c r="B2302" s="3" t="s">
        <v>3253</v>
      </c>
      <c r="C2302" s="3">
        <f>VLOOKUP(B2302,LifeList!$E$2:$J$2038,6)</f>
        <v>27191</v>
      </c>
      <c r="D2302" s="3" t="str">
        <f>VLOOKUP(B2302,LifeList!$E$2:$G$2038,1)</f>
        <v>Northern House Wren</v>
      </c>
      <c r="E2302" s="3" t="str">
        <f>VLOOKUP(B2302,LifeList!$E$2:$G$2038,2)</f>
        <v>Troglodyte familier</v>
      </c>
      <c r="F2302" s="3" t="str">
        <f>VLOOKUP(B2302,LifeList!$E$2:$G$2038,3)</f>
        <v>Troglodytes aedon</v>
      </c>
      <c r="G2302" s="3" t="str">
        <f>VLOOKUP(B2302,LifeList!$E$2:$I$2038,4)</f>
        <v>Passeriformes</v>
      </c>
      <c r="H2302" s="3" t="str">
        <f>VLOOKUP(B2302,LifeList!$E$2:$I$2038,5)</f>
        <v>Troglodytidae (Wrens)</v>
      </c>
      <c r="I2302" s="3"/>
    </row>
    <row r="2303" spans="1:9" ht="10.5" customHeight="1">
      <c r="A2303" s="3" t="s">
        <v>3255</v>
      </c>
      <c r="B2303" s="3" t="s">
        <v>3253</v>
      </c>
      <c r="C2303" s="3">
        <f>VLOOKUP(B2303,LifeList!$E$2:$J$2038,6)</f>
        <v>27191</v>
      </c>
      <c r="D2303" s="3" t="str">
        <f>VLOOKUP(B2303,LifeList!$E$2:$G$2038,1)</f>
        <v>Northern House Wren</v>
      </c>
      <c r="E2303" s="3" t="str">
        <f>VLOOKUP(B2303,LifeList!$E$2:$G$2038,2)</f>
        <v>Troglodyte familier</v>
      </c>
      <c r="F2303" s="3" t="str">
        <f>VLOOKUP(B2303,LifeList!$E$2:$G$2038,3)</f>
        <v>Troglodytes aedon</v>
      </c>
      <c r="G2303" s="3" t="str">
        <f>VLOOKUP(B2303,LifeList!$E$2:$I$2038,4)</f>
        <v>Passeriformes</v>
      </c>
      <c r="H2303" s="3" t="str">
        <f>VLOOKUP(B2303,LifeList!$E$2:$I$2038,5)</f>
        <v>Troglodytidae (Wrens)</v>
      </c>
      <c r="I2303" s="3"/>
    </row>
    <row r="2304" spans="1:9" ht="10.5" customHeight="1">
      <c r="A2304" s="3" t="s">
        <v>3256</v>
      </c>
      <c r="B2304" s="3" t="s">
        <v>3253</v>
      </c>
      <c r="C2304" s="3">
        <f>VLOOKUP(B2304,LifeList!$E$2:$J$2038,6)</f>
        <v>27191</v>
      </c>
      <c r="D2304" s="3" t="str">
        <f>VLOOKUP(B2304,LifeList!$E$2:$G$2038,1)</f>
        <v>Northern House Wren</v>
      </c>
      <c r="E2304" s="3" t="str">
        <f>VLOOKUP(B2304,LifeList!$E$2:$G$2038,2)</f>
        <v>Troglodyte familier</v>
      </c>
      <c r="F2304" s="3" t="str">
        <f>VLOOKUP(B2304,LifeList!$E$2:$G$2038,3)</f>
        <v>Troglodytes aedon</v>
      </c>
      <c r="G2304" s="3" t="str">
        <f>VLOOKUP(B2304,LifeList!$E$2:$I$2038,4)</f>
        <v>Passeriformes</v>
      </c>
      <c r="H2304" s="3" t="str">
        <f>VLOOKUP(B2304,LifeList!$E$2:$I$2038,5)</f>
        <v>Troglodytidae (Wrens)</v>
      </c>
      <c r="I2304" s="3"/>
    </row>
    <row r="2305" spans="1:9" ht="10.5" customHeight="1">
      <c r="A2305" s="3" t="s">
        <v>3257</v>
      </c>
      <c r="B2305" s="3" t="s">
        <v>3253</v>
      </c>
      <c r="C2305" s="3">
        <f>VLOOKUP(B2305,LifeList!$E$2:$J$2038,6)</f>
        <v>27191</v>
      </c>
      <c r="D2305" s="3" t="str">
        <f>VLOOKUP(B2305,LifeList!$E$2:$G$2038,1)</f>
        <v>Northern House Wren</v>
      </c>
      <c r="E2305" s="3" t="str">
        <f>VLOOKUP(B2305,LifeList!$E$2:$G$2038,2)</f>
        <v>Troglodyte familier</v>
      </c>
      <c r="F2305" s="3" t="str">
        <f>VLOOKUP(B2305,LifeList!$E$2:$G$2038,3)</f>
        <v>Troglodytes aedon</v>
      </c>
      <c r="G2305" s="3" t="str">
        <f>VLOOKUP(B2305,LifeList!$E$2:$I$2038,4)</f>
        <v>Passeriformes</v>
      </c>
      <c r="H2305" s="3" t="str">
        <f>VLOOKUP(B2305,LifeList!$E$2:$I$2038,5)</f>
        <v>Troglodytidae (Wrens)</v>
      </c>
      <c r="I2305" s="3"/>
    </row>
    <row r="2306" spans="1:9" ht="10.5" customHeight="1">
      <c r="A2306" s="3" t="s">
        <v>3258</v>
      </c>
      <c r="B2306" s="3" t="s">
        <v>3259</v>
      </c>
      <c r="C2306" s="3">
        <f>VLOOKUP(B2306,LifeList!$E$2:$J$2038,6)</f>
        <v>5988</v>
      </c>
      <c r="D2306" s="3" t="str">
        <f>VLOOKUP(B2306,LifeList!$E$2:$G$2038,1)</f>
        <v>Northern Jacana</v>
      </c>
      <c r="E2306" s="3" t="str">
        <f>VLOOKUP(B2306,LifeList!$E$2:$G$2038,2)</f>
        <v>Jacana du Mexique</v>
      </c>
      <c r="F2306" s="3" t="str">
        <f>VLOOKUP(B2306,LifeList!$E$2:$G$2038,3)</f>
        <v>Jacana spinosa</v>
      </c>
      <c r="G2306" s="3" t="str">
        <f>VLOOKUP(B2306,LifeList!$E$2:$I$2038,4)</f>
        <v>Charadriiformes</v>
      </c>
      <c r="H2306" s="3" t="str">
        <f>VLOOKUP(B2306,LifeList!$E$2:$I$2038,5)</f>
        <v>Jacanidae (Jacanas)</v>
      </c>
      <c r="I2306" s="3"/>
    </row>
    <row r="2307" spans="1:9" ht="10.5" customHeight="1">
      <c r="A2307" s="3" t="s">
        <v>3260</v>
      </c>
      <c r="B2307" s="3" t="s">
        <v>3259</v>
      </c>
      <c r="C2307" s="3">
        <f>VLOOKUP(B2307,LifeList!$E$2:$J$2038,6)</f>
        <v>5988</v>
      </c>
      <c r="D2307" s="3" t="str">
        <f>VLOOKUP(B2307,LifeList!$E$2:$G$2038,1)</f>
        <v>Northern Jacana</v>
      </c>
      <c r="E2307" s="3" t="str">
        <f>VLOOKUP(B2307,LifeList!$E$2:$G$2038,2)</f>
        <v>Jacana du Mexique</v>
      </c>
      <c r="F2307" s="3" t="str">
        <f>VLOOKUP(B2307,LifeList!$E$2:$G$2038,3)</f>
        <v>Jacana spinosa</v>
      </c>
      <c r="G2307" s="3" t="str">
        <f>VLOOKUP(B2307,LifeList!$E$2:$I$2038,4)</f>
        <v>Charadriiformes</v>
      </c>
      <c r="H2307" s="3" t="str">
        <f>VLOOKUP(B2307,LifeList!$E$2:$I$2038,5)</f>
        <v>Jacanidae (Jacanas)</v>
      </c>
      <c r="I2307" s="3"/>
    </row>
    <row r="2308" spans="1:9" ht="10.5" customHeight="1">
      <c r="A2308" s="3" t="s">
        <v>3261</v>
      </c>
      <c r="B2308" s="3" t="s">
        <v>3262</v>
      </c>
      <c r="C2308" s="3">
        <f>VLOOKUP(B2308,LifeList!$E$2:$J$2038,6)</f>
        <v>28114</v>
      </c>
      <c r="D2308" s="3" t="str">
        <f>VLOOKUP(B2308,LifeList!$E$2:$G$2038,1)</f>
        <v>Northern Mockingbird</v>
      </c>
      <c r="E2308" s="3" t="str">
        <f>VLOOKUP(B2308,LifeList!$E$2:$G$2038,2)</f>
        <v>Moqueur polyglotte</v>
      </c>
      <c r="F2308" s="3" t="str">
        <f>VLOOKUP(B2308,LifeList!$E$2:$G$2038,3)</f>
        <v>Mimus polyglottos</v>
      </c>
      <c r="G2308" s="3" t="str">
        <f>VLOOKUP(B2308,LifeList!$E$2:$I$2038,4)</f>
        <v>Passeriformes</v>
      </c>
      <c r="H2308" s="3" t="str">
        <f>VLOOKUP(B2308,LifeList!$E$2:$I$2038,5)</f>
        <v>Mimidae (Mockingbirds and Thrashers)</v>
      </c>
      <c r="I2308" s="3"/>
    </row>
    <row r="2309" spans="1:9" ht="10.5" customHeight="1">
      <c r="A2309" s="3" t="s">
        <v>3263</v>
      </c>
      <c r="B2309" s="3" t="s">
        <v>3262</v>
      </c>
      <c r="C2309" s="3">
        <f>VLOOKUP(B2309,LifeList!$E$2:$J$2038,6)</f>
        <v>28114</v>
      </c>
      <c r="D2309" s="3" t="str">
        <f>VLOOKUP(B2309,LifeList!$E$2:$G$2038,1)</f>
        <v>Northern Mockingbird</v>
      </c>
      <c r="E2309" s="3" t="str">
        <f>VLOOKUP(B2309,LifeList!$E$2:$G$2038,2)</f>
        <v>Moqueur polyglotte</v>
      </c>
      <c r="F2309" s="3" t="str">
        <f>VLOOKUP(B2309,LifeList!$E$2:$G$2038,3)</f>
        <v>Mimus polyglottos</v>
      </c>
      <c r="G2309" s="3" t="str">
        <f>VLOOKUP(B2309,LifeList!$E$2:$I$2038,4)</f>
        <v>Passeriformes</v>
      </c>
      <c r="H2309" s="3" t="str">
        <f>VLOOKUP(B2309,LifeList!$E$2:$I$2038,5)</f>
        <v>Mimidae (Mockingbirds and Thrashers)</v>
      </c>
      <c r="I2309" s="3"/>
    </row>
    <row r="2310" spans="1:9" ht="10.5" customHeight="1">
      <c r="A2310" s="3" t="s">
        <v>3264</v>
      </c>
      <c r="B2310" s="3" t="s">
        <v>3262</v>
      </c>
      <c r="C2310" s="3">
        <f>VLOOKUP(B2310,LifeList!$E$2:$J$2038,6)</f>
        <v>28114</v>
      </c>
      <c r="D2310" s="3" t="str">
        <f>VLOOKUP(B2310,LifeList!$E$2:$G$2038,1)</f>
        <v>Northern Mockingbird</v>
      </c>
      <c r="E2310" s="3" t="str">
        <f>VLOOKUP(B2310,LifeList!$E$2:$G$2038,2)</f>
        <v>Moqueur polyglotte</v>
      </c>
      <c r="F2310" s="3" t="str">
        <f>VLOOKUP(B2310,LifeList!$E$2:$G$2038,3)</f>
        <v>Mimus polyglottos</v>
      </c>
      <c r="G2310" s="3" t="str">
        <f>VLOOKUP(B2310,LifeList!$E$2:$I$2038,4)</f>
        <v>Passeriformes</v>
      </c>
      <c r="H2310" s="3" t="str">
        <f>VLOOKUP(B2310,LifeList!$E$2:$I$2038,5)</f>
        <v>Mimidae (Mockingbirds and Thrashers)</v>
      </c>
      <c r="I2310" s="3"/>
    </row>
    <row r="2311" spans="1:9" ht="10.5" customHeight="1">
      <c r="A2311" s="3" t="s">
        <v>3265</v>
      </c>
      <c r="B2311" s="3" t="s">
        <v>3266</v>
      </c>
      <c r="C2311" s="3">
        <f>VLOOKUP(B2311,LifeList!$E$2:$J$2038,6)</f>
        <v>34063</v>
      </c>
      <c r="D2311" s="3" t="str">
        <f>VLOOKUP(B2311,LifeList!$E$2:$G$2038,1)</f>
        <v>Northern Parula</v>
      </c>
      <c r="E2311" s="3" t="str">
        <f>VLOOKUP(B2311,LifeList!$E$2:$G$2038,2)</f>
        <v>Paruline à collier</v>
      </c>
      <c r="F2311" s="3" t="str">
        <f>VLOOKUP(B2311,LifeList!$E$2:$G$2038,3)</f>
        <v>Setophaga americana</v>
      </c>
      <c r="G2311" s="3" t="str">
        <f>VLOOKUP(B2311,LifeList!$E$2:$I$2038,4)</f>
        <v>Passeriformes</v>
      </c>
      <c r="H2311" s="3" t="str">
        <f>VLOOKUP(B2311,LifeList!$E$2:$I$2038,5)</f>
        <v>Parulidae (New World Warblers)</v>
      </c>
      <c r="I2311" s="3"/>
    </row>
    <row r="2312" spans="1:9" ht="10.5" customHeight="1">
      <c r="A2312" s="3" t="s">
        <v>3267</v>
      </c>
      <c r="B2312" s="3" t="s">
        <v>3266</v>
      </c>
      <c r="C2312" s="3">
        <f>VLOOKUP(B2312,LifeList!$E$2:$J$2038,6)</f>
        <v>34063</v>
      </c>
      <c r="D2312" s="3" t="str">
        <f>VLOOKUP(B2312,LifeList!$E$2:$G$2038,1)</f>
        <v>Northern Parula</v>
      </c>
      <c r="E2312" s="3" t="str">
        <f>VLOOKUP(B2312,LifeList!$E$2:$G$2038,2)</f>
        <v>Paruline à collier</v>
      </c>
      <c r="F2312" s="3" t="str">
        <f>VLOOKUP(B2312,LifeList!$E$2:$G$2038,3)</f>
        <v>Setophaga americana</v>
      </c>
      <c r="G2312" s="3" t="str">
        <f>VLOOKUP(B2312,LifeList!$E$2:$I$2038,4)</f>
        <v>Passeriformes</v>
      </c>
      <c r="H2312" s="3" t="str">
        <f>VLOOKUP(B2312,LifeList!$E$2:$I$2038,5)</f>
        <v>Parulidae (New World Warblers)</v>
      </c>
      <c r="I2312" s="3"/>
    </row>
    <row r="2313" spans="1:9" ht="10.5" customHeight="1">
      <c r="A2313" s="3" t="s">
        <v>3268</v>
      </c>
      <c r="B2313" s="3" t="s">
        <v>3266</v>
      </c>
      <c r="C2313" s="3">
        <f>VLOOKUP(B2313,LifeList!$E$2:$J$2038,6)</f>
        <v>34063</v>
      </c>
      <c r="D2313" s="3" t="str">
        <f>VLOOKUP(B2313,LifeList!$E$2:$G$2038,1)</f>
        <v>Northern Parula</v>
      </c>
      <c r="E2313" s="3" t="str">
        <f>VLOOKUP(B2313,LifeList!$E$2:$G$2038,2)</f>
        <v>Paruline à collier</v>
      </c>
      <c r="F2313" s="3" t="str">
        <f>VLOOKUP(B2313,LifeList!$E$2:$G$2038,3)</f>
        <v>Setophaga americana</v>
      </c>
      <c r="G2313" s="3" t="str">
        <f>VLOOKUP(B2313,LifeList!$E$2:$I$2038,4)</f>
        <v>Passeriformes</v>
      </c>
      <c r="H2313" s="3" t="str">
        <f>VLOOKUP(B2313,LifeList!$E$2:$I$2038,5)</f>
        <v>Parulidae (New World Warblers)</v>
      </c>
      <c r="I2313" s="3"/>
    </row>
    <row r="2314" spans="1:9" ht="10.5" customHeight="1">
      <c r="A2314" s="3" t="s">
        <v>3269</v>
      </c>
      <c r="B2314" s="3" t="s">
        <v>3266</v>
      </c>
      <c r="C2314" s="3">
        <f>VLOOKUP(B2314,LifeList!$E$2:$J$2038,6)</f>
        <v>34063</v>
      </c>
      <c r="D2314" s="3" t="str">
        <f>VLOOKUP(B2314,LifeList!$E$2:$G$2038,1)</f>
        <v>Northern Parula</v>
      </c>
      <c r="E2314" s="3" t="str">
        <f>VLOOKUP(B2314,LifeList!$E$2:$G$2038,2)</f>
        <v>Paruline à collier</v>
      </c>
      <c r="F2314" s="3" t="str">
        <f>VLOOKUP(B2314,LifeList!$E$2:$G$2038,3)</f>
        <v>Setophaga americana</v>
      </c>
      <c r="G2314" s="3" t="str">
        <f>VLOOKUP(B2314,LifeList!$E$2:$I$2038,4)</f>
        <v>Passeriformes</v>
      </c>
      <c r="H2314" s="3" t="str">
        <f>VLOOKUP(B2314,LifeList!$E$2:$I$2038,5)</f>
        <v>Parulidae (New World Warblers)</v>
      </c>
      <c r="I2314" s="3"/>
    </row>
    <row r="2315" spans="1:9" ht="10.5" customHeight="1">
      <c r="A2315" s="3" t="s">
        <v>3270</v>
      </c>
      <c r="B2315" s="3" t="s">
        <v>3266</v>
      </c>
      <c r="C2315" s="3">
        <f>VLOOKUP(B2315,LifeList!$E$2:$J$2038,6)</f>
        <v>34063</v>
      </c>
      <c r="D2315" s="3" t="str">
        <f>VLOOKUP(B2315,LifeList!$E$2:$G$2038,1)</f>
        <v>Northern Parula</v>
      </c>
      <c r="E2315" s="3" t="str">
        <f>VLOOKUP(B2315,LifeList!$E$2:$G$2038,2)</f>
        <v>Paruline à collier</v>
      </c>
      <c r="F2315" s="3" t="str">
        <f>VLOOKUP(B2315,LifeList!$E$2:$G$2038,3)</f>
        <v>Setophaga americana</v>
      </c>
      <c r="G2315" s="3" t="str">
        <f>VLOOKUP(B2315,LifeList!$E$2:$I$2038,4)</f>
        <v>Passeriformes</v>
      </c>
      <c r="H2315" s="3" t="str">
        <f>VLOOKUP(B2315,LifeList!$E$2:$I$2038,5)</f>
        <v>Parulidae (New World Warblers)</v>
      </c>
      <c r="I2315" s="3"/>
    </row>
    <row r="2316" spans="1:9" ht="10.5" customHeight="1">
      <c r="A2316" s="3" t="s">
        <v>3271</v>
      </c>
      <c r="B2316" s="3" t="s">
        <v>3266</v>
      </c>
      <c r="C2316" s="3">
        <f>VLOOKUP(B2316,LifeList!$E$2:$J$2038,6)</f>
        <v>34063</v>
      </c>
      <c r="D2316" s="3" t="str">
        <f>VLOOKUP(B2316,LifeList!$E$2:$G$2038,1)</f>
        <v>Northern Parula</v>
      </c>
      <c r="E2316" s="3" t="str">
        <f>VLOOKUP(B2316,LifeList!$E$2:$G$2038,2)</f>
        <v>Paruline à collier</v>
      </c>
      <c r="F2316" s="3" t="str">
        <f>VLOOKUP(B2316,LifeList!$E$2:$G$2038,3)</f>
        <v>Setophaga americana</v>
      </c>
      <c r="G2316" s="3" t="str">
        <f>VLOOKUP(B2316,LifeList!$E$2:$I$2038,4)</f>
        <v>Passeriformes</v>
      </c>
      <c r="H2316" s="3" t="str">
        <f>VLOOKUP(B2316,LifeList!$E$2:$I$2038,5)</f>
        <v>Parulidae (New World Warblers)</v>
      </c>
      <c r="I2316" s="3"/>
    </row>
    <row r="2317" spans="1:9" ht="10.5" customHeight="1">
      <c r="A2317" s="3" t="s">
        <v>3272</v>
      </c>
      <c r="B2317" s="3" t="s">
        <v>3266</v>
      </c>
      <c r="C2317" s="3">
        <f>VLOOKUP(B2317,LifeList!$E$2:$J$2038,6)</f>
        <v>34063</v>
      </c>
      <c r="D2317" s="3" t="str">
        <f>VLOOKUP(B2317,LifeList!$E$2:$G$2038,1)</f>
        <v>Northern Parula</v>
      </c>
      <c r="E2317" s="3" t="str">
        <f>VLOOKUP(B2317,LifeList!$E$2:$G$2038,2)</f>
        <v>Paruline à collier</v>
      </c>
      <c r="F2317" s="3" t="str">
        <f>VLOOKUP(B2317,LifeList!$E$2:$G$2038,3)</f>
        <v>Setophaga americana</v>
      </c>
      <c r="G2317" s="3" t="str">
        <f>VLOOKUP(B2317,LifeList!$E$2:$I$2038,4)</f>
        <v>Passeriformes</v>
      </c>
      <c r="H2317" s="3" t="str">
        <f>VLOOKUP(B2317,LifeList!$E$2:$I$2038,5)</f>
        <v>Parulidae (New World Warblers)</v>
      </c>
      <c r="I2317" s="3"/>
    </row>
    <row r="2318" spans="1:9" ht="10.5" customHeight="1">
      <c r="A2318" s="3" t="s">
        <v>3273</v>
      </c>
      <c r="B2318" s="3" t="s">
        <v>3266</v>
      </c>
      <c r="C2318" s="3">
        <f>VLOOKUP(B2318,LifeList!$E$2:$J$2038,6)</f>
        <v>34063</v>
      </c>
      <c r="D2318" s="3" t="str">
        <f>VLOOKUP(B2318,LifeList!$E$2:$G$2038,1)</f>
        <v>Northern Parula</v>
      </c>
      <c r="E2318" s="3" t="str">
        <f>VLOOKUP(B2318,LifeList!$E$2:$G$2038,2)</f>
        <v>Paruline à collier</v>
      </c>
      <c r="F2318" s="3" t="str">
        <f>VLOOKUP(B2318,LifeList!$E$2:$G$2038,3)</f>
        <v>Setophaga americana</v>
      </c>
      <c r="G2318" s="3" t="str">
        <f>VLOOKUP(B2318,LifeList!$E$2:$I$2038,4)</f>
        <v>Passeriformes</v>
      </c>
      <c r="H2318" s="3" t="str">
        <f>VLOOKUP(B2318,LifeList!$E$2:$I$2038,5)</f>
        <v>Parulidae (New World Warblers)</v>
      </c>
      <c r="I2318" s="3"/>
    </row>
    <row r="2319" spans="1:9" ht="10.5" customHeight="1">
      <c r="A2319" s="3" t="s">
        <v>3274</v>
      </c>
      <c r="B2319" s="3" t="s">
        <v>3266</v>
      </c>
      <c r="C2319" s="3">
        <f>VLOOKUP(B2319,LifeList!$E$2:$J$2038,6)</f>
        <v>34063</v>
      </c>
      <c r="D2319" s="3" t="str">
        <f>VLOOKUP(B2319,LifeList!$E$2:$G$2038,1)</f>
        <v>Northern Parula</v>
      </c>
      <c r="E2319" s="3" t="str">
        <f>VLOOKUP(B2319,LifeList!$E$2:$G$2038,2)</f>
        <v>Paruline à collier</v>
      </c>
      <c r="F2319" s="3" t="str">
        <f>VLOOKUP(B2319,LifeList!$E$2:$G$2038,3)</f>
        <v>Setophaga americana</v>
      </c>
      <c r="G2319" s="3" t="str">
        <f>VLOOKUP(B2319,LifeList!$E$2:$I$2038,4)</f>
        <v>Passeriformes</v>
      </c>
      <c r="H2319" s="3" t="str">
        <f>VLOOKUP(B2319,LifeList!$E$2:$I$2038,5)</f>
        <v>Parulidae (New World Warblers)</v>
      </c>
      <c r="I2319" s="3"/>
    </row>
    <row r="2320" spans="1:9" ht="10.5" customHeight="1">
      <c r="A2320" s="3" t="s">
        <v>3275</v>
      </c>
      <c r="B2320" s="3" t="s">
        <v>3266</v>
      </c>
      <c r="C2320" s="3">
        <f>VLOOKUP(B2320,LifeList!$E$2:$J$2038,6)</f>
        <v>34063</v>
      </c>
      <c r="D2320" s="3" t="str">
        <f>VLOOKUP(B2320,LifeList!$E$2:$G$2038,1)</f>
        <v>Northern Parula</v>
      </c>
      <c r="E2320" s="3" t="str">
        <f>VLOOKUP(B2320,LifeList!$E$2:$G$2038,2)</f>
        <v>Paruline à collier</v>
      </c>
      <c r="F2320" s="3" t="str">
        <f>VLOOKUP(B2320,LifeList!$E$2:$G$2038,3)</f>
        <v>Setophaga americana</v>
      </c>
      <c r="G2320" s="3" t="str">
        <f>VLOOKUP(B2320,LifeList!$E$2:$I$2038,4)</f>
        <v>Passeriformes</v>
      </c>
      <c r="H2320" s="3" t="str">
        <f>VLOOKUP(B2320,LifeList!$E$2:$I$2038,5)</f>
        <v>Parulidae (New World Warblers)</v>
      </c>
      <c r="I2320" s="3"/>
    </row>
    <row r="2321" spans="1:9" ht="10.5" customHeight="1">
      <c r="A2321" s="3" t="s">
        <v>3276</v>
      </c>
      <c r="B2321" s="3" t="s">
        <v>3266</v>
      </c>
      <c r="C2321" s="3">
        <f>VLOOKUP(B2321,LifeList!$E$2:$J$2038,6)</f>
        <v>34063</v>
      </c>
      <c r="D2321" s="3" t="str">
        <f>VLOOKUP(B2321,LifeList!$E$2:$G$2038,1)</f>
        <v>Northern Parula</v>
      </c>
      <c r="E2321" s="3" t="str">
        <f>VLOOKUP(B2321,LifeList!$E$2:$G$2038,2)</f>
        <v>Paruline à collier</v>
      </c>
      <c r="F2321" s="3" t="str">
        <f>VLOOKUP(B2321,LifeList!$E$2:$G$2038,3)</f>
        <v>Setophaga americana</v>
      </c>
      <c r="G2321" s="3" t="str">
        <f>VLOOKUP(B2321,LifeList!$E$2:$I$2038,4)</f>
        <v>Passeriformes</v>
      </c>
      <c r="H2321" s="3" t="str">
        <f>VLOOKUP(B2321,LifeList!$E$2:$I$2038,5)</f>
        <v>Parulidae (New World Warblers)</v>
      </c>
      <c r="I2321" s="3"/>
    </row>
    <row r="2322" spans="1:9" ht="10.5" customHeight="1">
      <c r="A2322" s="3" t="s">
        <v>3277</v>
      </c>
      <c r="B2322" s="3" t="s">
        <v>3266</v>
      </c>
      <c r="C2322" s="3">
        <f>VLOOKUP(B2322,LifeList!$E$2:$J$2038,6)</f>
        <v>34063</v>
      </c>
      <c r="D2322" s="3" t="str">
        <f>VLOOKUP(B2322,LifeList!$E$2:$G$2038,1)</f>
        <v>Northern Parula</v>
      </c>
      <c r="E2322" s="3" t="str">
        <f>VLOOKUP(B2322,LifeList!$E$2:$G$2038,2)</f>
        <v>Paruline à collier</v>
      </c>
      <c r="F2322" s="3" t="str">
        <f>VLOOKUP(B2322,LifeList!$E$2:$G$2038,3)</f>
        <v>Setophaga americana</v>
      </c>
      <c r="G2322" s="3" t="str">
        <f>VLOOKUP(B2322,LifeList!$E$2:$I$2038,4)</f>
        <v>Passeriformes</v>
      </c>
      <c r="H2322" s="3" t="str">
        <f>VLOOKUP(B2322,LifeList!$E$2:$I$2038,5)</f>
        <v>Parulidae (New World Warblers)</v>
      </c>
      <c r="I2322" s="3"/>
    </row>
    <row r="2323" spans="1:9" ht="10.5" customHeight="1">
      <c r="A2323" s="3" t="s">
        <v>3278</v>
      </c>
      <c r="B2323" s="3" t="s">
        <v>3266</v>
      </c>
      <c r="C2323" s="3">
        <f>VLOOKUP(B2323,LifeList!$E$2:$J$2038,6)</f>
        <v>34063</v>
      </c>
      <c r="D2323" s="3" t="str">
        <f>VLOOKUP(B2323,LifeList!$E$2:$G$2038,1)</f>
        <v>Northern Parula</v>
      </c>
      <c r="E2323" s="3" t="str">
        <f>VLOOKUP(B2323,LifeList!$E$2:$G$2038,2)</f>
        <v>Paruline à collier</v>
      </c>
      <c r="F2323" s="3" t="str">
        <f>VLOOKUP(B2323,LifeList!$E$2:$G$2038,3)</f>
        <v>Setophaga americana</v>
      </c>
      <c r="G2323" s="3" t="str">
        <f>VLOOKUP(B2323,LifeList!$E$2:$I$2038,4)</f>
        <v>Passeriformes</v>
      </c>
      <c r="H2323" s="3" t="str">
        <f>VLOOKUP(B2323,LifeList!$E$2:$I$2038,5)</f>
        <v>Parulidae (New World Warblers)</v>
      </c>
      <c r="I2323" s="3"/>
    </row>
    <row r="2324" spans="1:9" ht="10.5" customHeight="1">
      <c r="A2324" s="3" t="s">
        <v>3279</v>
      </c>
      <c r="B2324" s="3" t="s">
        <v>3266</v>
      </c>
      <c r="C2324" s="3">
        <f>VLOOKUP(B2324,LifeList!$E$2:$J$2038,6)</f>
        <v>34063</v>
      </c>
      <c r="D2324" s="3" t="str">
        <f>VLOOKUP(B2324,LifeList!$E$2:$G$2038,1)</f>
        <v>Northern Parula</v>
      </c>
      <c r="E2324" s="3" t="str">
        <f>VLOOKUP(B2324,LifeList!$E$2:$G$2038,2)</f>
        <v>Paruline à collier</v>
      </c>
      <c r="F2324" s="3" t="str">
        <f>VLOOKUP(B2324,LifeList!$E$2:$G$2038,3)</f>
        <v>Setophaga americana</v>
      </c>
      <c r="G2324" s="3" t="str">
        <f>VLOOKUP(B2324,LifeList!$E$2:$I$2038,4)</f>
        <v>Passeriformes</v>
      </c>
      <c r="H2324" s="3" t="str">
        <f>VLOOKUP(B2324,LifeList!$E$2:$I$2038,5)</f>
        <v>Parulidae (New World Warblers)</v>
      </c>
      <c r="I2324" s="3"/>
    </row>
    <row r="2325" spans="1:9" ht="10.5" customHeight="1">
      <c r="A2325" s="3" t="s">
        <v>3280</v>
      </c>
      <c r="B2325" s="3" t="s">
        <v>3266</v>
      </c>
      <c r="C2325" s="3">
        <f>VLOOKUP(B2325,LifeList!$E$2:$J$2038,6)</f>
        <v>34063</v>
      </c>
      <c r="D2325" s="3" t="str">
        <f>VLOOKUP(B2325,LifeList!$E$2:$G$2038,1)</f>
        <v>Northern Parula</v>
      </c>
      <c r="E2325" s="3" t="str">
        <f>VLOOKUP(B2325,LifeList!$E$2:$G$2038,2)</f>
        <v>Paruline à collier</v>
      </c>
      <c r="F2325" s="3" t="str">
        <f>VLOOKUP(B2325,LifeList!$E$2:$G$2038,3)</f>
        <v>Setophaga americana</v>
      </c>
      <c r="G2325" s="3" t="str">
        <f>VLOOKUP(B2325,LifeList!$E$2:$I$2038,4)</f>
        <v>Passeriformes</v>
      </c>
      <c r="H2325" s="3" t="str">
        <f>VLOOKUP(B2325,LifeList!$E$2:$I$2038,5)</f>
        <v>Parulidae (New World Warblers)</v>
      </c>
      <c r="I2325" s="3"/>
    </row>
    <row r="2326" spans="1:9" ht="10.5" customHeight="1">
      <c r="A2326" s="3" t="s">
        <v>3281</v>
      </c>
      <c r="B2326" s="3" t="s">
        <v>3266</v>
      </c>
      <c r="C2326" s="3">
        <f>VLOOKUP(B2326,LifeList!$E$2:$J$2038,6)</f>
        <v>34063</v>
      </c>
      <c r="D2326" s="3" t="str">
        <f>VLOOKUP(B2326,LifeList!$E$2:$G$2038,1)</f>
        <v>Northern Parula</v>
      </c>
      <c r="E2326" s="3" t="str">
        <f>VLOOKUP(B2326,LifeList!$E$2:$G$2038,2)</f>
        <v>Paruline à collier</v>
      </c>
      <c r="F2326" s="3" t="str">
        <f>VLOOKUP(B2326,LifeList!$E$2:$G$2038,3)</f>
        <v>Setophaga americana</v>
      </c>
      <c r="G2326" s="3" t="str">
        <f>VLOOKUP(B2326,LifeList!$E$2:$I$2038,4)</f>
        <v>Passeriformes</v>
      </c>
      <c r="H2326" s="3" t="str">
        <f>VLOOKUP(B2326,LifeList!$E$2:$I$2038,5)</f>
        <v>Parulidae (New World Warblers)</v>
      </c>
      <c r="I2326" s="3"/>
    </row>
    <row r="2327" spans="1:9" ht="10.5" customHeight="1">
      <c r="A2327" s="3" t="s">
        <v>3282</v>
      </c>
      <c r="B2327" s="3" t="s">
        <v>3266</v>
      </c>
      <c r="C2327" s="3">
        <f>VLOOKUP(B2327,LifeList!$E$2:$J$2038,6)</f>
        <v>34063</v>
      </c>
      <c r="D2327" s="3" t="str">
        <f>VLOOKUP(B2327,LifeList!$E$2:$G$2038,1)</f>
        <v>Northern Parula</v>
      </c>
      <c r="E2327" s="3" t="str">
        <f>VLOOKUP(B2327,LifeList!$E$2:$G$2038,2)</f>
        <v>Paruline à collier</v>
      </c>
      <c r="F2327" s="3" t="str">
        <f>VLOOKUP(B2327,LifeList!$E$2:$G$2038,3)</f>
        <v>Setophaga americana</v>
      </c>
      <c r="G2327" s="3" t="str">
        <f>VLOOKUP(B2327,LifeList!$E$2:$I$2038,4)</f>
        <v>Passeriformes</v>
      </c>
      <c r="H2327" s="3" t="str">
        <f>VLOOKUP(B2327,LifeList!$E$2:$I$2038,5)</f>
        <v>Parulidae (New World Warblers)</v>
      </c>
      <c r="I2327" s="3"/>
    </row>
    <row r="2328" spans="1:9" ht="10.5" customHeight="1">
      <c r="A2328" s="3" t="s">
        <v>3283</v>
      </c>
      <c r="B2328" s="3" t="s">
        <v>3266</v>
      </c>
      <c r="C2328" s="3">
        <f>VLOOKUP(B2328,LifeList!$E$2:$J$2038,6)</f>
        <v>34063</v>
      </c>
      <c r="D2328" s="3" t="str">
        <f>VLOOKUP(B2328,LifeList!$E$2:$G$2038,1)</f>
        <v>Northern Parula</v>
      </c>
      <c r="E2328" s="3" t="str">
        <f>VLOOKUP(B2328,LifeList!$E$2:$G$2038,2)</f>
        <v>Paruline à collier</v>
      </c>
      <c r="F2328" s="3" t="str">
        <f>VLOOKUP(B2328,LifeList!$E$2:$G$2038,3)</f>
        <v>Setophaga americana</v>
      </c>
      <c r="G2328" s="3" t="str">
        <f>VLOOKUP(B2328,LifeList!$E$2:$I$2038,4)</f>
        <v>Passeriformes</v>
      </c>
      <c r="H2328" s="3" t="str">
        <f>VLOOKUP(B2328,LifeList!$E$2:$I$2038,5)</f>
        <v>Parulidae (New World Warblers)</v>
      </c>
      <c r="I2328" s="3"/>
    </row>
    <row r="2329" spans="1:9" ht="10.5" customHeight="1">
      <c r="A2329" s="3" t="s">
        <v>3284</v>
      </c>
      <c r="B2329" s="3" t="s">
        <v>3266</v>
      </c>
      <c r="C2329" s="3">
        <f>VLOOKUP(B2329,LifeList!$E$2:$J$2038,6)</f>
        <v>34063</v>
      </c>
      <c r="D2329" s="3" t="str">
        <f>VLOOKUP(B2329,LifeList!$E$2:$G$2038,1)</f>
        <v>Northern Parula</v>
      </c>
      <c r="E2329" s="3" t="str">
        <f>VLOOKUP(B2329,LifeList!$E$2:$G$2038,2)</f>
        <v>Paruline à collier</v>
      </c>
      <c r="F2329" s="3" t="str">
        <f>VLOOKUP(B2329,LifeList!$E$2:$G$2038,3)</f>
        <v>Setophaga americana</v>
      </c>
      <c r="G2329" s="3" t="str">
        <f>VLOOKUP(B2329,LifeList!$E$2:$I$2038,4)</f>
        <v>Passeriformes</v>
      </c>
      <c r="H2329" s="3" t="str">
        <f>VLOOKUP(B2329,LifeList!$E$2:$I$2038,5)</f>
        <v>Parulidae (New World Warblers)</v>
      </c>
      <c r="I2329" s="3"/>
    </row>
    <row r="2330" spans="1:9" ht="10.5" customHeight="1">
      <c r="A2330" s="3" t="s">
        <v>3285</v>
      </c>
      <c r="B2330" s="3" t="s">
        <v>3266</v>
      </c>
      <c r="C2330" s="3">
        <f>VLOOKUP(B2330,LifeList!$E$2:$J$2038,6)</f>
        <v>34063</v>
      </c>
      <c r="D2330" s="3" t="str">
        <f>VLOOKUP(B2330,LifeList!$E$2:$G$2038,1)</f>
        <v>Northern Parula</v>
      </c>
      <c r="E2330" s="3" t="str">
        <f>VLOOKUP(B2330,LifeList!$E$2:$G$2038,2)</f>
        <v>Paruline à collier</v>
      </c>
      <c r="F2330" s="3" t="str">
        <f>VLOOKUP(B2330,LifeList!$E$2:$G$2038,3)</f>
        <v>Setophaga americana</v>
      </c>
      <c r="G2330" s="3" t="str">
        <f>VLOOKUP(B2330,LifeList!$E$2:$I$2038,4)</f>
        <v>Passeriformes</v>
      </c>
      <c r="H2330" s="3" t="str">
        <f>VLOOKUP(B2330,LifeList!$E$2:$I$2038,5)</f>
        <v>Parulidae (New World Warblers)</v>
      </c>
      <c r="I2330" s="3"/>
    </row>
    <row r="2331" spans="1:9" ht="10.5" customHeight="1">
      <c r="A2331" s="3" t="s">
        <v>3286</v>
      </c>
      <c r="B2331" s="3" t="s">
        <v>3266</v>
      </c>
      <c r="C2331" s="3">
        <f>VLOOKUP(B2331,LifeList!$E$2:$J$2038,6)</f>
        <v>34063</v>
      </c>
      <c r="D2331" s="3" t="str">
        <f>VLOOKUP(B2331,LifeList!$E$2:$G$2038,1)</f>
        <v>Northern Parula</v>
      </c>
      <c r="E2331" s="3" t="str">
        <f>VLOOKUP(B2331,LifeList!$E$2:$G$2038,2)</f>
        <v>Paruline à collier</v>
      </c>
      <c r="F2331" s="3" t="str">
        <f>VLOOKUP(B2331,LifeList!$E$2:$G$2038,3)</f>
        <v>Setophaga americana</v>
      </c>
      <c r="G2331" s="3" t="str">
        <f>VLOOKUP(B2331,LifeList!$E$2:$I$2038,4)</f>
        <v>Passeriformes</v>
      </c>
      <c r="H2331" s="3" t="str">
        <f>VLOOKUP(B2331,LifeList!$E$2:$I$2038,5)</f>
        <v>Parulidae (New World Warblers)</v>
      </c>
      <c r="I2331" s="3"/>
    </row>
    <row r="2332" spans="1:9" ht="10.5" customHeight="1">
      <c r="A2332" s="3" t="s">
        <v>3287</v>
      </c>
      <c r="B2332" s="3" t="s">
        <v>3266</v>
      </c>
      <c r="C2332" s="3">
        <f>VLOOKUP(B2332,LifeList!$E$2:$J$2038,6)</f>
        <v>34063</v>
      </c>
      <c r="D2332" s="3" t="str">
        <f>VLOOKUP(B2332,LifeList!$E$2:$G$2038,1)</f>
        <v>Northern Parula</v>
      </c>
      <c r="E2332" s="3" t="str">
        <f>VLOOKUP(B2332,LifeList!$E$2:$G$2038,2)</f>
        <v>Paruline à collier</v>
      </c>
      <c r="F2332" s="3" t="str">
        <f>VLOOKUP(B2332,LifeList!$E$2:$G$2038,3)</f>
        <v>Setophaga americana</v>
      </c>
      <c r="G2332" s="3" t="str">
        <f>VLOOKUP(B2332,LifeList!$E$2:$I$2038,4)</f>
        <v>Passeriformes</v>
      </c>
      <c r="H2332" s="3" t="str">
        <f>VLOOKUP(B2332,LifeList!$E$2:$I$2038,5)</f>
        <v>Parulidae (New World Warblers)</v>
      </c>
      <c r="I2332" s="3"/>
    </row>
    <row r="2333" spans="1:9" ht="10.5" customHeight="1">
      <c r="A2333" s="3" t="s">
        <v>3288</v>
      </c>
      <c r="B2333" s="3" t="s">
        <v>3266</v>
      </c>
      <c r="C2333" s="3">
        <f>VLOOKUP(B2333,LifeList!$E$2:$J$2038,6)</f>
        <v>34063</v>
      </c>
      <c r="D2333" s="3" t="str">
        <f>VLOOKUP(B2333,LifeList!$E$2:$G$2038,1)</f>
        <v>Northern Parula</v>
      </c>
      <c r="E2333" s="3" t="str">
        <f>VLOOKUP(B2333,LifeList!$E$2:$G$2038,2)</f>
        <v>Paruline à collier</v>
      </c>
      <c r="F2333" s="3" t="str">
        <f>VLOOKUP(B2333,LifeList!$E$2:$G$2038,3)</f>
        <v>Setophaga americana</v>
      </c>
      <c r="G2333" s="3" t="str">
        <f>VLOOKUP(B2333,LifeList!$E$2:$I$2038,4)</f>
        <v>Passeriformes</v>
      </c>
      <c r="H2333" s="3" t="str">
        <f>VLOOKUP(B2333,LifeList!$E$2:$I$2038,5)</f>
        <v>Parulidae (New World Warblers)</v>
      </c>
      <c r="I2333" s="3"/>
    </row>
    <row r="2334" spans="1:9" ht="10.5" customHeight="1">
      <c r="A2334" s="3" t="s">
        <v>3289</v>
      </c>
      <c r="B2334" s="3" t="s">
        <v>3266</v>
      </c>
      <c r="C2334" s="3">
        <f>VLOOKUP(B2334,LifeList!$E$2:$J$2038,6)</f>
        <v>34063</v>
      </c>
      <c r="D2334" s="3" t="str">
        <f>VLOOKUP(B2334,LifeList!$E$2:$G$2038,1)</f>
        <v>Northern Parula</v>
      </c>
      <c r="E2334" s="3" t="str">
        <f>VLOOKUP(B2334,LifeList!$E$2:$G$2038,2)</f>
        <v>Paruline à collier</v>
      </c>
      <c r="F2334" s="3" t="str">
        <f>VLOOKUP(B2334,LifeList!$E$2:$G$2038,3)</f>
        <v>Setophaga americana</v>
      </c>
      <c r="G2334" s="3" t="str">
        <f>VLOOKUP(B2334,LifeList!$E$2:$I$2038,4)</f>
        <v>Passeriformes</v>
      </c>
      <c r="H2334" s="3" t="str">
        <f>VLOOKUP(B2334,LifeList!$E$2:$I$2038,5)</f>
        <v>Parulidae (New World Warblers)</v>
      </c>
      <c r="I2334" s="3"/>
    </row>
    <row r="2335" spans="1:9" ht="10.5" customHeight="1">
      <c r="A2335" s="3" t="s">
        <v>3290</v>
      </c>
      <c r="B2335" s="3" t="s">
        <v>3291</v>
      </c>
      <c r="C2335" s="3">
        <f>VLOOKUP(B2335,LifeList!$E$2:$J$2038,6)</f>
        <v>594</v>
      </c>
      <c r="D2335" s="3" t="str">
        <f>VLOOKUP(B2335,LifeList!$E$2:$G$2038,1)</f>
        <v>Northern Pintail</v>
      </c>
      <c r="E2335" s="3" t="str">
        <f>VLOOKUP(B2335,LifeList!$E$2:$G$2038,2)</f>
        <v>Canard pilet</v>
      </c>
      <c r="F2335" s="3" t="str">
        <f>VLOOKUP(B2335,LifeList!$E$2:$G$2038,3)</f>
        <v>Anas acuta</v>
      </c>
      <c r="G2335" s="3" t="str">
        <f>VLOOKUP(B2335,LifeList!$E$2:$I$2038,4)</f>
        <v>Anseriformes</v>
      </c>
      <c r="H2335" s="3" t="str">
        <f>VLOOKUP(B2335,LifeList!$E$2:$I$2038,5)</f>
        <v>Anatidae (Ducks, Geese, and Waterfowl)</v>
      </c>
      <c r="I2335" s="3"/>
    </row>
    <row r="2336" spans="1:9" ht="10.5" customHeight="1">
      <c r="A2336" s="3" t="s">
        <v>3292</v>
      </c>
      <c r="B2336" s="3" t="s">
        <v>3291</v>
      </c>
      <c r="C2336" s="3">
        <f>VLOOKUP(B2336,LifeList!$E$2:$J$2038,6)</f>
        <v>594</v>
      </c>
      <c r="D2336" s="3" t="str">
        <f>VLOOKUP(B2336,LifeList!$E$2:$G$2038,1)</f>
        <v>Northern Pintail</v>
      </c>
      <c r="E2336" s="3" t="str">
        <f>VLOOKUP(B2336,LifeList!$E$2:$G$2038,2)</f>
        <v>Canard pilet</v>
      </c>
      <c r="F2336" s="3" t="str">
        <f>VLOOKUP(B2336,LifeList!$E$2:$G$2038,3)</f>
        <v>Anas acuta</v>
      </c>
      <c r="G2336" s="3" t="str">
        <f>VLOOKUP(B2336,LifeList!$E$2:$I$2038,4)</f>
        <v>Anseriformes</v>
      </c>
      <c r="H2336" s="3" t="str">
        <f>VLOOKUP(B2336,LifeList!$E$2:$I$2038,5)</f>
        <v>Anatidae (Ducks, Geese, and Waterfowl)</v>
      </c>
      <c r="I2336" s="3"/>
    </row>
    <row r="2337" spans="1:9" ht="10.5" customHeight="1">
      <c r="A2337" s="3" t="s">
        <v>3293</v>
      </c>
      <c r="B2337" s="3" t="s">
        <v>3291</v>
      </c>
      <c r="C2337" s="3">
        <f>VLOOKUP(B2337,LifeList!$E$2:$J$2038,6)</f>
        <v>594</v>
      </c>
      <c r="D2337" s="3" t="str">
        <f>VLOOKUP(B2337,LifeList!$E$2:$G$2038,1)</f>
        <v>Northern Pintail</v>
      </c>
      <c r="E2337" s="3" t="str">
        <f>VLOOKUP(B2337,LifeList!$E$2:$G$2038,2)</f>
        <v>Canard pilet</v>
      </c>
      <c r="F2337" s="3" t="str">
        <f>VLOOKUP(B2337,LifeList!$E$2:$G$2038,3)</f>
        <v>Anas acuta</v>
      </c>
      <c r="G2337" s="3" t="str">
        <f>VLOOKUP(B2337,LifeList!$E$2:$I$2038,4)</f>
        <v>Anseriformes</v>
      </c>
      <c r="H2337" s="3" t="str">
        <f>VLOOKUP(B2337,LifeList!$E$2:$I$2038,5)</f>
        <v>Anatidae (Ducks, Geese, and Waterfowl)</v>
      </c>
      <c r="I2337" s="3"/>
    </row>
    <row r="2338" spans="1:9" ht="10.5" customHeight="1">
      <c r="A2338" s="3" t="s">
        <v>3294</v>
      </c>
      <c r="B2338" s="3" t="s">
        <v>3291</v>
      </c>
      <c r="C2338" s="3">
        <f>VLOOKUP(B2338,LifeList!$E$2:$J$2038,6)</f>
        <v>594</v>
      </c>
      <c r="D2338" s="3" t="str">
        <f>VLOOKUP(B2338,LifeList!$E$2:$G$2038,1)</f>
        <v>Northern Pintail</v>
      </c>
      <c r="E2338" s="3" t="str">
        <f>VLOOKUP(B2338,LifeList!$E$2:$G$2038,2)</f>
        <v>Canard pilet</v>
      </c>
      <c r="F2338" s="3" t="str">
        <f>VLOOKUP(B2338,LifeList!$E$2:$G$2038,3)</f>
        <v>Anas acuta</v>
      </c>
      <c r="G2338" s="3" t="str">
        <f>VLOOKUP(B2338,LifeList!$E$2:$I$2038,4)</f>
        <v>Anseriformes</v>
      </c>
      <c r="H2338" s="3" t="str">
        <f>VLOOKUP(B2338,LifeList!$E$2:$I$2038,5)</f>
        <v>Anatidae (Ducks, Geese, and Waterfowl)</v>
      </c>
      <c r="I2338" s="3"/>
    </row>
    <row r="2339" spans="1:9" ht="10.5" customHeight="1">
      <c r="A2339" s="3" t="s">
        <v>3295</v>
      </c>
      <c r="B2339" s="3" t="s">
        <v>3291</v>
      </c>
      <c r="C2339" s="3">
        <f>VLOOKUP(B2339,LifeList!$E$2:$J$2038,6)</f>
        <v>594</v>
      </c>
      <c r="D2339" s="3" t="str">
        <f>VLOOKUP(B2339,LifeList!$E$2:$G$2038,1)</f>
        <v>Northern Pintail</v>
      </c>
      <c r="E2339" s="3" t="str">
        <f>VLOOKUP(B2339,LifeList!$E$2:$G$2038,2)</f>
        <v>Canard pilet</v>
      </c>
      <c r="F2339" s="3" t="str">
        <f>VLOOKUP(B2339,LifeList!$E$2:$G$2038,3)</f>
        <v>Anas acuta</v>
      </c>
      <c r="G2339" s="3" t="str">
        <f>VLOOKUP(B2339,LifeList!$E$2:$I$2038,4)</f>
        <v>Anseriformes</v>
      </c>
      <c r="H2339" s="3" t="str">
        <f>VLOOKUP(B2339,LifeList!$E$2:$I$2038,5)</f>
        <v>Anatidae (Ducks, Geese, and Waterfowl)</v>
      </c>
      <c r="I2339" s="3"/>
    </row>
    <row r="2340" spans="1:9" ht="10.5" customHeight="1">
      <c r="A2340" s="3" t="s">
        <v>3296</v>
      </c>
      <c r="B2340" s="3" t="s">
        <v>3291</v>
      </c>
      <c r="C2340" s="3">
        <f>VLOOKUP(B2340,LifeList!$E$2:$J$2038,6)</f>
        <v>594</v>
      </c>
      <c r="D2340" s="3" t="str">
        <f>VLOOKUP(B2340,LifeList!$E$2:$G$2038,1)</f>
        <v>Northern Pintail</v>
      </c>
      <c r="E2340" s="3" t="str">
        <f>VLOOKUP(B2340,LifeList!$E$2:$G$2038,2)</f>
        <v>Canard pilet</v>
      </c>
      <c r="F2340" s="3" t="str">
        <f>VLOOKUP(B2340,LifeList!$E$2:$G$2038,3)</f>
        <v>Anas acuta</v>
      </c>
      <c r="G2340" s="3" t="str">
        <f>VLOOKUP(B2340,LifeList!$E$2:$I$2038,4)</f>
        <v>Anseriformes</v>
      </c>
      <c r="H2340" s="3" t="str">
        <f>VLOOKUP(B2340,LifeList!$E$2:$I$2038,5)</f>
        <v>Anatidae (Ducks, Geese, and Waterfowl)</v>
      </c>
      <c r="I2340" s="3"/>
    </row>
    <row r="2341" spans="1:9" ht="10.5" customHeight="1">
      <c r="A2341" s="3" t="s">
        <v>3297</v>
      </c>
      <c r="B2341" s="3" t="s">
        <v>3298</v>
      </c>
      <c r="C2341" s="3">
        <f>VLOOKUP(B2341,LifeList!$E$2:$J$2038,6)</f>
        <v>14973</v>
      </c>
      <c r="D2341" s="3" t="str">
        <f>VLOOKUP(B2341,LifeList!$E$2:$G$2038,1)</f>
        <v>Northern Plain-Xenops</v>
      </c>
      <c r="E2341" s="3" t="str">
        <f>VLOOKUP(B2341,LifeList!$E$2:$G$2038,2)</f>
        <v>Sittine du Mexique</v>
      </c>
      <c r="F2341" s="3" t="str">
        <f>VLOOKUP(B2341,LifeList!$E$2:$G$2038,3)</f>
        <v>Xenops mexicanus</v>
      </c>
      <c r="G2341" s="3" t="str">
        <f>VLOOKUP(B2341,LifeList!$E$2:$I$2038,4)</f>
        <v>Passeriformes</v>
      </c>
      <c r="H2341" s="3" t="str">
        <f>VLOOKUP(B2341,LifeList!$E$2:$I$2038,5)</f>
        <v>Furnariidae (Ovenbirds and Woodcreepers)</v>
      </c>
      <c r="I2341" s="3"/>
    </row>
    <row r="2342" spans="1:9" ht="10.5" customHeight="1">
      <c r="A2342" s="3" t="s">
        <v>3299</v>
      </c>
      <c r="B2342" s="3" t="s">
        <v>3298</v>
      </c>
      <c r="C2342" s="3">
        <f>VLOOKUP(B2342,LifeList!$E$2:$J$2038,6)</f>
        <v>14973</v>
      </c>
      <c r="D2342" s="3" t="str">
        <f>VLOOKUP(B2342,LifeList!$E$2:$G$2038,1)</f>
        <v>Northern Plain-Xenops</v>
      </c>
      <c r="E2342" s="3" t="str">
        <f>VLOOKUP(B2342,LifeList!$E$2:$G$2038,2)</f>
        <v>Sittine du Mexique</v>
      </c>
      <c r="F2342" s="3" t="str">
        <f>VLOOKUP(B2342,LifeList!$E$2:$G$2038,3)</f>
        <v>Xenops mexicanus</v>
      </c>
      <c r="G2342" s="3" t="str">
        <f>VLOOKUP(B2342,LifeList!$E$2:$I$2038,4)</f>
        <v>Passeriformes</v>
      </c>
      <c r="H2342" s="3" t="str">
        <f>VLOOKUP(B2342,LifeList!$E$2:$I$2038,5)</f>
        <v>Furnariidae (Ovenbirds and Woodcreepers)</v>
      </c>
      <c r="I2342" s="3"/>
    </row>
    <row r="2343" spans="1:9" ht="10.5" customHeight="1">
      <c r="A2343" s="3" t="s">
        <v>3300</v>
      </c>
      <c r="B2343" s="3" t="s">
        <v>3301</v>
      </c>
      <c r="C2343" s="3">
        <f>VLOOKUP(B2343,LifeList!$E$2:$J$2038,6)</f>
        <v>24106</v>
      </c>
      <c r="D2343" s="3" t="str">
        <f>VLOOKUP(B2343,LifeList!$E$2:$G$2038,1)</f>
        <v>Northern Rough-winged Swallow</v>
      </c>
      <c r="E2343" s="3" t="str">
        <f>VLOOKUP(B2343,LifeList!$E$2:$G$2038,2)</f>
        <v>Hirondelle à ailes hérissées</v>
      </c>
      <c r="F2343" s="3" t="str">
        <f>VLOOKUP(B2343,LifeList!$E$2:$G$2038,3)</f>
        <v>Stelgidopteryx serripennis</v>
      </c>
      <c r="G2343" s="3" t="str">
        <f>VLOOKUP(B2343,LifeList!$E$2:$I$2038,4)</f>
        <v>Passeriformes</v>
      </c>
      <c r="H2343" s="3" t="str">
        <f>VLOOKUP(B2343,LifeList!$E$2:$I$2038,5)</f>
        <v>Hirundinidae (Swallows)</v>
      </c>
      <c r="I2343" s="3"/>
    </row>
    <row r="2344" spans="1:9" ht="10.5" customHeight="1">
      <c r="A2344" s="3" t="s">
        <v>3302</v>
      </c>
      <c r="B2344" s="3" t="s">
        <v>3303</v>
      </c>
      <c r="C2344" s="3">
        <f>VLOOKUP(B2344,LifeList!$E$2:$J$2038,6)</f>
        <v>234</v>
      </c>
      <c r="D2344" s="3" t="str">
        <f>VLOOKUP(B2344,LifeList!$E$2:$G$2038,1)</f>
        <v>Northern Screamer</v>
      </c>
      <c r="E2344" s="3" t="str">
        <f>VLOOKUP(B2344,LifeList!$E$2:$G$2038,2)</f>
        <v>Kamichi chavaria</v>
      </c>
      <c r="F2344" s="3" t="str">
        <f>VLOOKUP(B2344,LifeList!$E$2:$G$2038,3)</f>
        <v>Chauna chavaria</v>
      </c>
      <c r="G2344" s="3" t="str">
        <f>VLOOKUP(B2344,LifeList!$E$2:$I$2038,4)</f>
        <v>Anseriformes</v>
      </c>
      <c r="H2344" s="3" t="str">
        <f>VLOOKUP(B2344,LifeList!$E$2:$I$2038,5)</f>
        <v>Anhimidae (Screamers)</v>
      </c>
      <c r="I2344" s="3"/>
    </row>
    <row r="2345" spans="1:9" ht="10.5" customHeight="1">
      <c r="A2345" s="3" t="s">
        <v>3304</v>
      </c>
      <c r="B2345" s="3" t="s">
        <v>3303</v>
      </c>
      <c r="C2345" s="3">
        <f>VLOOKUP(B2345,LifeList!$E$2:$J$2038,6)</f>
        <v>234</v>
      </c>
      <c r="D2345" s="3" t="str">
        <f>VLOOKUP(B2345,LifeList!$E$2:$G$2038,1)</f>
        <v>Northern Screamer</v>
      </c>
      <c r="E2345" s="3" t="str">
        <f>VLOOKUP(B2345,LifeList!$E$2:$G$2038,2)</f>
        <v>Kamichi chavaria</v>
      </c>
      <c r="F2345" s="3" t="str">
        <f>VLOOKUP(B2345,LifeList!$E$2:$G$2038,3)</f>
        <v>Chauna chavaria</v>
      </c>
      <c r="G2345" s="3" t="str">
        <f>VLOOKUP(B2345,LifeList!$E$2:$I$2038,4)</f>
        <v>Anseriformes</v>
      </c>
      <c r="H2345" s="3" t="str">
        <f>VLOOKUP(B2345,LifeList!$E$2:$I$2038,5)</f>
        <v>Anhimidae (Screamers)</v>
      </c>
      <c r="I2345" s="3"/>
    </row>
    <row r="2346" spans="1:9" ht="10.5" customHeight="1">
      <c r="A2346" s="3" t="s">
        <v>3305</v>
      </c>
      <c r="B2346" s="3" t="s">
        <v>3303</v>
      </c>
      <c r="C2346" s="3">
        <f>VLOOKUP(B2346,LifeList!$E$2:$J$2038,6)</f>
        <v>234</v>
      </c>
      <c r="D2346" s="3" t="str">
        <f>VLOOKUP(B2346,LifeList!$E$2:$G$2038,1)</f>
        <v>Northern Screamer</v>
      </c>
      <c r="E2346" s="3" t="str">
        <f>VLOOKUP(B2346,LifeList!$E$2:$G$2038,2)</f>
        <v>Kamichi chavaria</v>
      </c>
      <c r="F2346" s="3" t="str">
        <f>VLOOKUP(B2346,LifeList!$E$2:$G$2038,3)</f>
        <v>Chauna chavaria</v>
      </c>
      <c r="G2346" s="3" t="str">
        <f>VLOOKUP(B2346,LifeList!$E$2:$I$2038,4)</f>
        <v>Anseriformes</v>
      </c>
      <c r="H2346" s="3" t="str">
        <f>VLOOKUP(B2346,LifeList!$E$2:$I$2038,5)</f>
        <v>Anhimidae (Screamers)</v>
      </c>
      <c r="I2346" s="3"/>
    </row>
    <row r="2347" spans="1:9" ht="10.5" customHeight="1">
      <c r="A2347" s="3" t="s">
        <v>3306</v>
      </c>
      <c r="B2347" s="3" t="s">
        <v>3307</v>
      </c>
      <c r="C2347" s="3">
        <f>VLOOKUP(B2347,LifeList!$E$2:$J$2038,6)</f>
        <v>17017</v>
      </c>
      <c r="D2347" s="3" t="str">
        <f>VLOOKUP(B2347,LifeList!$E$2:$G$2038,1)</f>
        <v>Northern Scrub-Flycatcher</v>
      </c>
      <c r="E2347" s="3" t="str">
        <f>VLOOKUP(B2347,LifeList!$E$2:$G$2038,2)</f>
        <v>Moucherolle des palétuviers</v>
      </c>
      <c r="F2347" s="3" t="str">
        <f>VLOOKUP(B2347,LifeList!$E$2:$G$2038,3)</f>
        <v>Sublegatus arenarum</v>
      </c>
      <c r="G2347" s="3" t="str">
        <f>VLOOKUP(B2347,LifeList!$E$2:$I$2038,4)</f>
        <v>Passeriformes</v>
      </c>
      <c r="H2347" s="3" t="str">
        <f>VLOOKUP(B2347,LifeList!$E$2:$I$2038,5)</f>
        <v>Tyrannidae (Tyrant Flycatchers)</v>
      </c>
      <c r="I2347" s="3"/>
    </row>
    <row r="2348" spans="1:9" ht="10.5" customHeight="1">
      <c r="A2348" s="3" t="s">
        <v>3308</v>
      </c>
      <c r="B2348" s="3" t="s">
        <v>3307</v>
      </c>
      <c r="C2348" s="3">
        <f>VLOOKUP(B2348,LifeList!$E$2:$J$2038,6)</f>
        <v>17017</v>
      </c>
      <c r="D2348" s="3" t="str">
        <f>VLOOKUP(B2348,LifeList!$E$2:$G$2038,1)</f>
        <v>Northern Scrub-Flycatcher</v>
      </c>
      <c r="E2348" s="3" t="str">
        <f>VLOOKUP(B2348,LifeList!$E$2:$G$2038,2)</f>
        <v>Moucherolle des palétuviers</v>
      </c>
      <c r="F2348" s="3" t="str">
        <f>VLOOKUP(B2348,LifeList!$E$2:$G$2038,3)</f>
        <v>Sublegatus arenarum</v>
      </c>
      <c r="G2348" s="3" t="str">
        <f>VLOOKUP(B2348,LifeList!$E$2:$I$2038,4)</f>
        <v>Passeriformes</v>
      </c>
      <c r="H2348" s="3" t="str">
        <f>VLOOKUP(B2348,LifeList!$E$2:$I$2038,5)</f>
        <v>Tyrannidae (Tyrant Flycatchers)</v>
      </c>
      <c r="I2348" s="3"/>
    </row>
    <row r="2349" spans="1:9" ht="10.5" customHeight="1">
      <c r="A2349" s="3" t="s">
        <v>3309</v>
      </c>
      <c r="B2349" s="3" t="s">
        <v>3307</v>
      </c>
      <c r="C2349" s="3">
        <f>VLOOKUP(B2349,LifeList!$E$2:$J$2038,6)</f>
        <v>17017</v>
      </c>
      <c r="D2349" s="3" t="str">
        <f>VLOOKUP(B2349,LifeList!$E$2:$G$2038,1)</f>
        <v>Northern Scrub-Flycatcher</v>
      </c>
      <c r="E2349" s="3" t="str">
        <f>VLOOKUP(B2349,LifeList!$E$2:$G$2038,2)</f>
        <v>Moucherolle des palétuviers</v>
      </c>
      <c r="F2349" s="3" t="str">
        <f>VLOOKUP(B2349,LifeList!$E$2:$G$2038,3)</f>
        <v>Sublegatus arenarum</v>
      </c>
      <c r="G2349" s="3" t="str">
        <f>VLOOKUP(B2349,LifeList!$E$2:$I$2038,4)</f>
        <v>Passeriformes</v>
      </c>
      <c r="H2349" s="3" t="str">
        <f>VLOOKUP(B2349,LifeList!$E$2:$I$2038,5)</f>
        <v>Tyrannidae (Tyrant Flycatchers)</v>
      </c>
      <c r="I2349" s="3"/>
    </row>
    <row r="2350" spans="1:9" ht="10.5" customHeight="1">
      <c r="A2350" s="3" t="s">
        <v>3310</v>
      </c>
      <c r="B2350" s="3" t="s">
        <v>3311</v>
      </c>
      <c r="C2350" s="3">
        <f>VLOOKUP(B2350,LifeList!$E$2:$J$2038,6)</f>
        <v>501</v>
      </c>
      <c r="D2350" s="3" t="str">
        <f>VLOOKUP(B2350,LifeList!$E$2:$G$2038,1)</f>
        <v>Northern Shoveler</v>
      </c>
      <c r="E2350" s="3" t="str">
        <f>VLOOKUP(B2350,LifeList!$E$2:$G$2038,2)</f>
        <v>Canard souchet</v>
      </c>
      <c r="F2350" s="3" t="str">
        <f>VLOOKUP(B2350,LifeList!$E$2:$G$2038,3)</f>
        <v>Spatula clypeata</v>
      </c>
      <c r="G2350" s="3" t="str">
        <f>VLOOKUP(B2350,LifeList!$E$2:$I$2038,4)</f>
        <v>Anseriformes</v>
      </c>
      <c r="H2350" s="3" t="str">
        <f>VLOOKUP(B2350,LifeList!$E$2:$I$2038,5)</f>
        <v>Anatidae (Ducks, Geese, and Waterfowl)</v>
      </c>
      <c r="I2350" s="3"/>
    </row>
    <row r="2351" spans="1:9" ht="10.5" customHeight="1">
      <c r="A2351" s="3" t="s">
        <v>3312</v>
      </c>
      <c r="B2351" s="3" t="s">
        <v>3311</v>
      </c>
      <c r="C2351" s="3">
        <f>VLOOKUP(B2351,LifeList!$E$2:$J$2038,6)</f>
        <v>501</v>
      </c>
      <c r="D2351" s="3" t="str">
        <f>VLOOKUP(B2351,LifeList!$E$2:$G$2038,1)</f>
        <v>Northern Shoveler</v>
      </c>
      <c r="E2351" s="3" t="str">
        <f>VLOOKUP(B2351,LifeList!$E$2:$G$2038,2)</f>
        <v>Canard souchet</v>
      </c>
      <c r="F2351" s="3" t="str">
        <f>VLOOKUP(B2351,LifeList!$E$2:$G$2038,3)</f>
        <v>Spatula clypeata</v>
      </c>
      <c r="G2351" s="3" t="str">
        <f>VLOOKUP(B2351,LifeList!$E$2:$I$2038,4)</f>
        <v>Anseriformes</v>
      </c>
      <c r="H2351" s="3" t="str">
        <f>VLOOKUP(B2351,LifeList!$E$2:$I$2038,5)</f>
        <v>Anatidae (Ducks, Geese, and Waterfowl)</v>
      </c>
      <c r="I2351" s="3"/>
    </row>
    <row r="2352" spans="1:9" ht="10.5" customHeight="1">
      <c r="A2352" s="3" t="s">
        <v>3313</v>
      </c>
      <c r="B2352" s="3" t="s">
        <v>3311</v>
      </c>
      <c r="C2352" s="3">
        <f>VLOOKUP(B2352,LifeList!$E$2:$J$2038,6)</f>
        <v>501</v>
      </c>
      <c r="D2352" s="3" t="str">
        <f>VLOOKUP(B2352,LifeList!$E$2:$G$2038,1)</f>
        <v>Northern Shoveler</v>
      </c>
      <c r="E2352" s="3" t="str">
        <f>VLOOKUP(B2352,LifeList!$E$2:$G$2038,2)</f>
        <v>Canard souchet</v>
      </c>
      <c r="F2352" s="3" t="str">
        <f>VLOOKUP(B2352,LifeList!$E$2:$G$2038,3)</f>
        <v>Spatula clypeata</v>
      </c>
      <c r="G2352" s="3" t="str">
        <f>VLOOKUP(B2352,LifeList!$E$2:$I$2038,4)</f>
        <v>Anseriformes</v>
      </c>
      <c r="H2352" s="3" t="str">
        <f>VLOOKUP(B2352,LifeList!$E$2:$I$2038,5)</f>
        <v>Anatidae (Ducks, Geese, and Waterfowl)</v>
      </c>
      <c r="I2352" s="3"/>
    </row>
    <row r="2353" spans="1:9" ht="10.5" customHeight="1">
      <c r="A2353" s="3" t="s">
        <v>3314</v>
      </c>
      <c r="B2353" s="3" t="s">
        <v>3311</v>
      </c>
      <c r="C2353" s="3">
        <f>VLOOKUP(B2353,LifeList!$E$2:$J$2038,6)</f>
        <v>501</v>
      </c>
      <c r="D2353" s="3" t="str">
        <f>VLOOKUP(B2353,LifeList!$E$2:$G$2038,1)</f>
        <v>Northern Shoveler</v>
      </c>
      <c r="E2353" s="3" t="str">
        <f>VLOOKUP(B2353,LifeList!$E$2:$G$2038,2)</f>
        <v>Canard souchet</v>
      </c>
      <c r="F2353" s="3" t="str">
        <f>VLOOKUP(B2353,LifeList!$E$2:$G$2038,3)</f>
        <v>Spatula clypeata</v>
      </c>
      <c r="G2353" s="3" t="str">
        <f>VLOOKUP(B2353,LifeList!$E$2:$I$2038,4)</f>
        <v>Anseriformes</v>
      </c>
      <c r="H2353" s="3" t="str">
        <f>VLOOKUP(B2353,LifeList!$E$2:$I$2038,5)</f>
        <v>Anatidae (Ducks, Geese, and Waterfowl)</v>
      </c>
      <c r="I2353" s="3"/>
    </row>
    <row r="2354" spans="1:9" ht="10.5" customHeight="1">
      <c r="A2354" s="3" t="s">
        <v>3315</v>
      </c>
      <c r="B2354" s="3" t="s">
        <v>3311</v>
      </c>
      <c r="C2354" s="3">
        <f>VLOOKUP(B2354,LifeList!$E$2:$J$2038,6)</f>
        <v>501</v>
      </c>
      <c r="D2354" s="3" t="str">
        <f>VLOOKUP(B2354,LifeList!$E$2:$G$2038,1)</f>
        <v>Northern Shoveler</v>
      </c>
      <c r="E2354" s="3" t="str">
        <f>VLOOKUP(B2354,LifeList!$E$2:$G$2038,2)</f>
        <v>Canard souchet</v>
      </c>
      <c r="F2354" s="3" t="str">
        <f>VLOOKUP(B2354,LifeList!$E$2:$G$2038,3)</f>
        <v>Spatula clypeata</v>
      </c>
      <c r="G2354" s="3" t="str">
        <f>VLOOKUP(B2354,LifeList!$E$2:$I$2038,4)</f>
        <v>Anseriformes</v>
      </c>
      <c r="H2354" s="3" t="str">
        <f>VLOOKUP(B2354,LifeList!$E$2:$I$2038,5)</f>
        <v>Anatidae (Ducks, Geese, and Waterfowl)</v>
      </c>
      <c r="I2354" s="3"/>
    </row>
    <row r="2355" spans="1:9" ht="10.5" customHeight="1">
      <c r="A2355" s="3" t="s">
        <v>3316</v>
      </c>
      <c r="B2355" s="3" t="s">
        <v>3311</v>
      </c>
      <c r="C2355" s="3">
        <f>VLOOKUP(B2355,LifeList!$E$2:$J$2038,6)</f>
        <v>501</v>
      </c>
      <c r="D2355" s="3" t="str">
        <f>VLOOKUP(B2355,LifeList!$E$2:$G$2038,1)</f>
        <v>Northern Shoveler</v>
      </c>
      <c r="E2355" s="3" t="str">
        <f>VLOOKUP(B2355,LifeList!$E$2:$G$2038,2)</f>
        <v>Canard souchet</v>
      </c>
      <c r="F2355" s="3" t="str">
        <f>VLOOKUP(B2355,LifeList!$E$2:$G$2038,3)</f>
        <v>Spatula clypeata</v>
      </c>
      <c r="G2355" s="3" t="str">
        <f>VLOOKUP(B2355,LifeList!$E$2:$I$2038,4)</f>
        <v>Anseriformes</v>
      </c>
      <c r="H2355" s="3" t="str">
        <f>VLOOKUP(B2355,LifeList!$E$2:$I$2038,5)</f>
        <v>Anatidae (Ducks, Geese, and Waterfowl)</v>
      </c>
      <c r="I2355" s="3"/>
    </row>
    <row r="2356" spans="1:9" ht="10.5" customHeight="1">
      <c r="A2356" s="3" t="s">
        <v>3317</v>
      </c>
      <c r="B2356" s="3" t="s">
        <v>3311</v>
      </c>
      <c r="C2356" s="3">
        <f>VLOOKUP(B2356,LifeList!$E$2:$J$2038,6)</f>
        <v>501</v>
      </c>
      <c r="D2356" s="3" t="str">
        <f>VLOOKUP(B2356,LifeList!$E$2:$G$2038,1)</f>
        <v>Northern Shoveler</v>
      </c>
      <c r="E2356" s="3" t="str">
        <f>VLOOKUP(B2356,LifeList!$E$2:$G$2038,2)</f>
        <v>Canard souchet</v>
      </c>
      <c r="F2356" s="3" t="str">
        <f>VLOOKUP(B2356,LifeList!$E$2:$G$2038,3)</f>
        <v>Spatula clypeata</v>
      </c>
      <c r="G2356" s="3" t="str">
        <f>VLOOKUP(B2356,LifeList!$E$2:$I$2038,4)</f>
        <v>Anseriformes</v>
      </c>
      <c r="H2356" s="3" t="str">
        <f>VLOOKUP(B2356,LifeList!$E$2:$I$2038,5)</f>
        <v>Anatidae (Ducks, Geese, and Waterfowl)</v>
      </c>
      <c r="I2356" s="3"/>
    </row>
    <row r="2357" spans="1:9" ht="10.5" customHeight="1">
      <c r="A2357" s="3" t="s">
        <v>3318</v>
      </c>
      <c r="B2357" s="3" t="s">
        <v>3311</v>
      </c>
      <c r="C2357" s="3">
        <f>VLOOKUP(B2357,LifeList!$E$2:$J$2038,6)</f>
        <v>501</v>
      </c>
      <c r="D2357" s="3" t="str">
        <f>VLOOKUP(B2357,LifeList!$E$2:$G$2038,1)</f>
        <v>Northern Shoveler</v>
      </c>
      <c r="E2357" s="3" t="str">
        <f>VLOOKUP(B2357,LifeList!$E$2:$G$2038,2)</f>
        <v>Canard souchet</v>
      </c>
      <c r="F2357" s="3" t="str">
        <f>VLOOKUP(B2357,LifeList!$E$2:$G$2038,3)</f>
        <v>Spatula clypeata</v>
      </c>
      <c r="G2357" s="3" t="str">
        <f>VLOOKUP(B2357,LifeList!$E$2:$I$2038,4)</f>
        <v>Anseriformes</v>
      </c>
      <c r="H2357" s="3" t="str">
        <f>VLOOKUP(B2357,LifeList!$E$2:$I$2038,5)</f>
        <v>Anatidae (Ducks, Geese, and Waterfowl)</v>
      </c>
      <c r="I2357" s="3"/>
    </row>
    <row r="2358" spans="1:9" ht="10.5" customHeight="1">
      <c r="A2358" s="3" t="s">
        <v>3319</v>
      </c>
      <c r="B2358" s="3" t="s">
        <v>3311</v>
      </c>
      <c r="C2358" s="3">
        <f>VLOOKUP(B2358,LifeList!$E$2:$J$2038,6)</f>
        <v>501</v>
      </c>
      <c r="D2358" s="3" t="str">
        <f>VLOOKUP(B2358,LifeList!$E$2:$G$2038,1)</f>
        <v>Northern Shoveler</v>
      </c>
      <c r="E2358" s="3" t="str">
        <f>VLOOKUP(B2358,LifeList!$E$2:$G$2038,2)</f>
        <v>Canard souchet</v>
      </c>
      <c r="F2358" s="3" t="str">
        <f>VLOOKUP(B2358,LifeList!$E$2:$G$2038,3)</f>
        <v>Spatula clypeata</v>
      </c>
      <c r="G2358" s="3" t="str">
        <f>VLOOKUP(B2358,LifeList!$E$2:$I$2038,4)</f>
        <v>Anseriformes</v>
      </c>
      <c r="H2358" s="3" t="str">
        <f>VLOOKUP(B2358,LifeList!$E$2:$I$2038,5)</f>
        <v>Anatidae (Ducks, Geese, and Waterfowl)</v>
      </c>
      <c r="I2358" s="3"/>
    </row>
    <row r="2359" spans="1:9" ht="10.5" customHeight="1">
      <c r="A2359" s="3" t="s">
        <v>3320</v>
      </c>
      <c r="B2359" s="3" t="s">
        <v>3311</v>
      </c>
      <c r="C2359" s="3">
        <f>VLOOKUP(B2359,LifeList!$E$2:$J$2038,6)</f>
        <v>501</v>
      </c>
      <c r="D2359" s="3" t="str">
        <f>VLOOKUP(B2359,LifeList!$E$2:$G$2038,1)</f>
        <v>Northern Shoveler</v>
      </c>
      <c r="E2359" s="3" t="str">
        <f>VLOOKUP(B2359,LifeList!$E$2:$G$2038,2)</f>
        <v>Canard souchet</v>
      </c>
      <c r="F2359" s="3" t="str">
        <f>VLOOKUP(B2359,LifeList!$E$2:$G$2038,3)</f>
        <v>Spatula clypeata</v>
      </c>
      <c r="G2359" s="3" t="str">
        <f>VLOOKUP(B2359,LifeList!$E$2:$I$2038,4)</f>
        <v>Anseriformes</v>
      </c>
      <c r="H2359" s="3" t="str">
        <f>VLOOKUP(B2359,LifeList!$E$2:$I$2038,5)</f>
        <v>Anatidae (Ducks, Geese, and Waterfowl)</v>
      </c>
      <c r="I2359" s="3"/>
    </row>
    <row r="2360" spans="1:9" ht="10.5" customHeight="1">
      <c r="A2360" s="3" t="s">
        <v>3321</v>
      </c>
      <c r="B2360" s="3" t="s">
        <v>3311</v>
      </c>
      <c r="C2360" s="3">
        <f>VLOOKUP(B2360,LifeList!$E$2:$J$2038,6)</f>
        <v>501</v>
      </c>
      <c r="D2360" s="3" t="str">
        <f>VLOOKUP(B2360,LifeList!$E$2:$G$2038,1)</f>
        <v>Northern Shoveler</v>
      </c>
      <c r="E2360" s="3" t="str">
        <f>VLOOKUP(B2360,LifeList!$E$2:$G$2038,2)</f>
        <v>Canard souchet</v>
      </c>
      <c r="F2360" s="3" t="str">
        <f>VLOOKUP(B2360,LifeList!$E$2:$G$2038,3)</f>
        <v>Spatula clypeata</v>
      </c>
      <c r="G2360" s="3" t="str">
        <f>VLOOKUP(B2360,LifeList!$E$2:$I$2038,4)</f>
        <v>Anseriformes</v>
      </c>
      <c r="H2360" s="3" t="str">
        <f>VLOOKUP(B2360,LifeList!$E$2:$I$2038,5)</f>
        <v>Anatidae (Ducks, Geese, and Waterfowl)</v>
      </c>
      <c r="I2360" s="3"/>
    </row>
    <row r="2361" spans="1:9" ht="10.5" customHeight="1">
      <c r="A2361" s="3" t="s">
        <v>3322</v>
      </c>
      <c r="B2361" s="3" t="s">
        <v>3311</v>
      </c>
      <c r="C2361" s="3">
        <f>VLOOKUP(B2361,LifeList!$E$2:$J$2038,6)</f>
        <v>501</v>
      </c>
      <c r="D2361" s="3" t="str">
        <f>VLOOKUP(B2361,LifeList!$E$2:$G$2038,1)</f>
        <v>Northern Shoveler</v>
      </c>
      <c r="E2361" s="3" t="str">
        <f>VLOOKUP(B2361,LifeList!$E$2:$G$2038,2)</f>
        <v>Canard souchet</v>
      </c>
      <c r="F2361" s="3" t="str">
        <f>VLOOKUP(B2361,LifeList!$E$2:$G$2038,3)</f>
        <v>Spatula clypeata</v>
      </c>
      <c r="G2361" s="3" t="str">
        <f>VLOOKUP(B2361,LifeList!$E$2:$I$2038,4)</f>
        <v>Anseriformes</v>
      </c>
      <c r="H2361" s="3" t="str">
        <f>VLOOKUP(B2361,LifeList!$E$2:$I$2038,5)</f>
        <v>Anatidae (Ducks, Geese, and Waterfowl)</v>
      </c>
      <c r="I2361" s="3"/>
    </row>
    <row r="2362" spans="1:9" ht="10.5" customHeight="1">
      <c r="A2362" s="3" t="s">
        <v>3323</v>
      </c>
      <c r="B2362" s="3" t="s">
        <v>3324</v>
      </c>
      <c r="C2362" s="3">
        <f>VLOOKUP(B2362,LifeList!$E$2:$J$2038,6)</f>
        <v>21103</v>
      </c>
      <c r="D2362" s="3" t="str">
        <f>VLOOKUP(B2362,LifeList!$E$2:$G$2038,1)</f>
        <v>Northern Shrike</v>
      </c>
      <c r="E2362" s="3" t="str">
        <f>VLOOKUP(B2362,LifeList!$E$2:$G$2038,2)</f>
        <v>Pie-grièche boréale</v>
      </c>
      <c r="F2362" s="3" t="str">
        <f>VLOOKUP(B2362,LifeList!$E$2:$G$2038,3)</f>
        <v>Lanius borealis</v>
      </c>
      <c r="G2362" s="3" t="str">
        <f>VLOOKUP(B2362,LifeList!$E$2:$I$2038,4)</f>
        <v>Passeriformes</v>
      </c>
      <c r="H2362" s="3" t="str">
        <f>VLOOKUP(B2362,LifeList!$E$2:$I$2038,5)</f>
        <v>Laniidae (Shrikes)</v>
      </c>
      <c r="I2362" s="3"/>
    </row>
    <row r="2363" spans="1:9" ht="10.5" customHeight="1">
      <c r="A2363" s="3" t="s">
        <v>3325</v>
      </c>
      <c r="B2363" s="3" t="s">
        <v>3326</v>
      </c>
      <c r="C2363" s="3">
        <f>VLOOKUP(B2363,LifeList!$E$2:$J$2038,6)</f>
        <v>16917</v>
      </c>
      <c r="D2363" s="3" t="str">
        <f>VLOOKUP(B2363,LifeList!$E$2:$G$2038,1)</f>
        <v>Northern Tropical Pewee</v>
      </c>
      <c r="E2363" s="3" t="str">
        <f>VLOOKUP(B2363,LifeList!$E$2:$G$2038,2)</f>
        <v>Moucherolle de Bonaparte</v>
      </c>
      <c r="F2363" s="3" t="str">
        <f>VLOOKUP(B2363,LifeList!$E$2:$G$2038,3)</f>
        <v>Contopus bogotensis</v>
      </c>
      <c r="G2363" s="3" t="str">
        <f>VLOOKUP(B2363,LifeList!$E$2:$I$2038,4)</f>
        <v>Passeriformes</v>
      </c>
      <c r="H2363" s="3" t="str">
        <f>VLOOKUP(B2363,LifeList!$E$2:$I$2038,5)</f>
        <v>Tyrannidae (Tyrant Flycatchers)</v>
      </c>
      <c r="I2363" s="3"/>
    </row>
    <row r="2364" spans="1:9" ht="10.5" customHeight="1">
      <c r="A2364" s="3" t="s">
        <v>3327</v>
      </c>
      <c r="B2364" s="3" t="s">
        <v>3326</v>
      </c>
      <c r="C2364" s="3">
        <f>VLOOKUP(B2364,LifeList!$E$2:$J$2038,6)</f>
        <v>16917</v>
      </c>
      <c r="D2364" s="3" t="str">
        <f>VLOOKUP(B2364,LifeList!$E$2:$G$2038,1)</f>
        <v>Northern Tropical Pewee</v>
      </c>
      <c r="E2364" s="3" t="str">
        <f>VLOOKUP(B2364,LifeList!$E$2:$G$2038,2)</f>
        <v>Moucherolle de Bonaparte</v>
      </c>
      <c r="F2364" s="3" t="str">
        <f>VLOOKUP(B2364,LifeList!$E$2:$G$2038,3)</f>
        <v>Contopus bogotensis</v>
      </c>
      <c r="G2364" s="3" t="str">
        <f>VLOOKUP(B2364,LifeList!$E$2:$I$2038,4)</f>
        <v>Passeriformes</v>
      </c>
      <c r="H2364" s="3" t="str">
        <f>VLOOKUP(B2364,LifeList!$E$2:$I$2038,5)</f>
        <v>Tyrannidae (Tyrant Flycatchers)</v>
      </c>
      <c r="I2364" s="3"/>
    </row>
    <row r="2365" spans="1:9" ht="10.5" customHeight="1">
      <c r="A2365" s="3" t="s">
        <v>3328</v>
      </c>
      <c r="B2365" s="3" t="s">
        <v>3326</v>
      </c>
      <c r="C2365" s="3">
        <f>VLOOKUP(B2365,LifeList!$E$2:$J$2038,6)</f>
        <v>16917</v>
      </c>
      <c r="D2365" s="3" t="str">
        <f>VLOOKUP(B2365,LifeList!$E$2:$G$2038,1)</f>
        <v>Northern Tropical Pewee</v>
      </c>
      <c r="E2365" s="3" t="str">
        <f>VLOOKUP(B2365,LifeList!$E$2:$G$2038,2)</f>
        <v>Moucherolle de Bonaparte</v>
      </c>
      <c r="F2365" s="3" t="str">
        <f>VLOOKUP(B2365,LifeList!$E$2:$G$2038,3)</f>
        <v>Contopus bogotensis</v>
      </c>
      <c r="G2365" s="3" t="str">
        <f>VLOOKUP(B2365,LifeList!$E$2:$I$2038,4)</f>
        <v>Passeriformes</v>
      </c>
      <c r="H2365" s="3" t="str">
        <f>VLOOKUP(B2365,LifeList!$E$2:$I$2038,5)</f>
        <v>Tyrannidae (Tyrant Flycatchers)</v>
      </c>
      <c r="I2365" s="3"/>
    </row>
    <row r="2366" spans="1:9" ht="10.5" customHeight="1">
      <c r="A2366" s="3" t="s">
        <v>3329</v>
      </c>
      <c r="B2366" s="3" t="s">
        <v>3330</v>
      </c>
      <c r="C2366" s="3">
        <f>VLOOKUP(B2366,LifeList!$E$2:$J$2038,6)</f>
        <v>33953</v>
      </c>
      <c r="D2366" s="3" t="str">
        <f>VLOOKUP(B2366,LifeList!$E$2:$G$2038,1)</f>
        <v>Northern Waterthrush</v>
      </c>
      <c r="E2366" s="3" t="str">
        <f>VLOOKUP(B2366,LifeList!$E$2:$G$2038,2)</f>
        <v>Paruline des ruisseaux</v>
      </c>
      <c r="F2366" s="3" t="str">
        <f>VLOOKUP(B2366,LifeList!$E$2:$G$2038,3)</f>
        <v>Parkesia noveboracensis</v>
      </c>
      <c r="G2366" s="3" t="str">
        <f>VLOOKUP(B2366,LifeList!$E$2:$I$2038,4)</f>
        <v>Passeriformes</v>
      </c>
      <c r="H2366" s="3" t="str">
        <f>VLOOKUP(B2366,LifeList!$E$2:$I$2038,5)</f>
        <v>Parulidae (New World Warblers)</v>
      </c>
      <c r="I2366" s="3"/>
    </row>
    <row r="2367" spans="1:9" ht="10.5" customHeight="1">
      <c r="A2367" s="3" t="s">
        <v>3331</v>
      </c>
      <c r="B2367" s="3" t="s">
        <v>3330</v>
      </c>
      <c r="C2367" s="3">
        <f>VLOOKUP(B2367,LifeList!$E$2:$J$2038,6)</f>
        <v>33953</v>
      </c>
      <c r="D2367" s="3" t="str">
        <f>VLOOKUP(B2367,LifeList!$E$2:$G$2038,1)</f>
        <v>Northern Waterthrush</v>
      </c>
      <c r="E2367" s="3" t="str">
        <f>VLOOKUP(B2367,LifeList!$E$2:$G$2038,2)</f>
        <v>Paruline des ruisseaux</v>
      </c>
      <c r="F2367" s="3" t="str">
        <f>VLOOKUP(B2367,LifeList!$E$2:$G$2038,3)</f>
        <v>Parkesia noveboracensis</v>
      </c>
      <c r="G2367" s="3" t="str">
        <f>VLOOKUP(B2367,LifeList!$E$2:$I$2038,4)</f>
        <v>Passeriformes</v>
      </c>
      <c r="H2367" s="3" t="str">
        <f>VLOOKUP(B2367,LifeList!$E$2:$I$2038,5)</f>
        <v>Parulidae (New World Warblers)</v>
      </c>
      <c r="I2367" s="3"/>
    </row>
    <row r="2368" spans="1:9" ht="10.5" customHeight="1">
      <c r="A2368" s="3" t="s">
        <v>3332</v>
      </c>
      <c r="B2368" s="3" t="s">
        <v>3330</v>
      </c>
      <c r="C2368" s="3">
        <f>VLOOKUP(B2368,LifeList!$E$2:$J$2038,6)</f>
        <v>33953</v>
      </c>
      <c r="D2368" s="3" t="str">
        <f>VLOOKUP(B2368,LifeList!$E$2:$G$2038,1)</f>
        <v>Northern Waterthrush</v>
      </c>
      <c r="E2368" s="3" t="str">
        <f>VLOOKUP(B2368,LifeList!$E$2:$G$2038,2)</f>
        <v>Paruline des ruisseaux</v>
      </c>
      <c r="F2368" s="3" t="str">
        <f>VLOOKUP(B2368,LifeList!$E$2:$G$2038,3)</f>
        <v>Parkesia noveboracensis</v>
      </c>
      <c r="G2368" s="3" t="str">
        <f>VLOOKUP(B2368,LifeList!$E$2:$I$2038,4)</f>
        <v>Passeriformes</v>
      </c>
      <c r="H2368" s="3" t="str">
        <f>VLOOKUP(B2368,LifeList!$E$2:$I$2038,5)</f>
        <v>Parulidae (New World Warblers)</v>
      </c>
      <c r="I2368" s="3"/>
    </row>
    <row r="2369" spans="1:9" ht="10.5" customHeight="1">
      <c r="A2369" s="3" t="s">
        <v>3333</v>
      </c>
      <c r="B2369" s="3" t="s">
        <v>3330</v>
      </c>
      <c r="C2369" s="3">
        <f>VLOOKUP(B2369,LifeList!$E$2:$J$2038,6)</f>
        <v>33953</v>
      </c>
      <c r="D2369" s="3" t="str">
        <f>VLOOKUP(B2369,LifeList!$E$2:$G$2038,1)</f>
        <v>Northern Waterthrush</v>
      </c>
      <c r="E2369" s="3" t="str">
        <f>VLOOKUP(B2369,LifeList!$E$2:$G$2038,2)</f>
        <v>Paruline des ruisseaux</v>
      </c>
      <c r="F2369" s="3" t="str">
        <f>VLOOKUP(B2369,LifeList!$E$2:$G$2038,3)</f>
        <v>Parkesia noveboracensis</v>
      </c>
      <c r="G2369" s="3" t="str">
        <f>VLOOKUP(B2369,LifeList!$E$2:$I$2038,4)</f>
        <v>Passeriformes</v>
      </c>
      <c r="H2369" s="3" t="str">
        <f>VLOOKUP(B2369,LifeList!$E$2:$I$2038,5)</f>
        <v>Parulidae (New World Warblers)</v>
      </c>
      <c r="I2369" s="3"/>
    </row>
    <row r="2370" spans="1:9" ht="10.5" customHeight="1">
      <c r="A2370" s="3" t="s">
        <v>3334</v>
      </c>
      <c r="B2370" s="3" t="s">
        <v>3330</v>
      </c>
      <c r="C2370" s="3">
        <f>VLOOKUP(B2370,LifeList!$E$2:$J$2038,6)</f>
        <v>33953</v>
      </c>
      <c r="D2370" s="3" t="str">
        <f>VLOOKUP(B2370,LifeList!$E$2:$G$2038,1)</f>
        <v>Northern Waterthrush</v>
      </c>
      <c r="E2370" s="3" t="str">
        <f>VLOOKUP(B2370,LifeList!$E$2:$G$2038,2)</f>
        <v>Paruline des ruisseaux</v>
      </c>
      <c r="F2370" s="3" t="str">
        <f>VLOOKUP(B2370,LifeList!$E$2:$G$2038,3)</f>
        <v>Parkesia noveboracensis</v>
      </c>
      <c r="G2370" s="3" t="str">
        <f>VLOOKUP(B2370,LifeList!$E$2:$I$2038,4)</f>
        <v>Passeriformes</v>
      </c>
      <c r="H2370" s="3" t="str">
        <f>VLOOKUP(B2370,LifeList!$E$2:$I$2038,5)</f>
        <v>Parulidae (New World Warblers)</v>
      </c>
      <c r="I2370" s="3"/>
    </row>
    <row r="2371" spans="1:9" ht="10.5" customHeight="1">
      <c r="A2371" s="3" t="s">
        <v>3335</v>
      </c>
      <c r="B2371" s="3" t="s">
        <v>3330</v>
      </c>
      <c r="C2371" s="3">
        <f>VLOOKUP(B2371,LifeList!$E$2:$J$2038,6)</f>
        <v>33953</v>
      </c>
      <c r="D2371" s="3" t="str">
        <f>VLOOKUP(B2371,LifeList!$E$2:$G$2038,1)</f>
        <v>Northern Waterthrush</v>
      </c>
      <c r="E2371" s="3" t="str">
        <f>VLOOKUP(B2371,LifeList!$E$2:$G$2038,2)</f>
        <v>Paruline des ruisseaux</v>
      </c>
      <c r="F2371" s="3" t="str">
        <f>VLOOKUP(B2371,LifeList!$E$2:$G$2038,3)</f>
        <v>Parkesia noveboracensis</v>
      </c>
      <c r="G2371" s="3" t="str">
        <f>VLOOKUP(B2371,LifeList!$E$2:$I$2038,4)</f>
        <v>Passeriformes</v>
      </c>
      <c r="H2371" s="3" t="str">
        <f>VLOOKUP(B2371,LifeList!$E$2:$I$2038,5)</f>
        <v>Parulidae (New World Warblers)</v>
      </c>
      <c r="I2371" s="3"/>
    </row>
    <row r="2372" spans="1:9" ht="10.5" customHeight="1">
      <c r="A2372" s="3" t="s">
        <v>3336</v>
      </c>
      <c r="B2372" s="3" t="s">
        <v>3330</v>
      </c>
      <c r="C2372" s="3">
        <f>VLOOKUP(B2372,LifeList!$E$2:$J$2038,6)</f>
        <v>33953</v>
      </c>
      <c r="D2372" s="3" t="str">
        <f>VLOOKUP(B2372,LifeList!$E$2:$G$2038,1)</f>
        <v>Northern Waterthrush</v>
      </c>
      <c r="E2372" s="3" t="str">
        <f>VLOOKUP(B2372,LifeList!$E$2:$G$2038,2)</f>
        <v>Paruline des ruisseaux</v>
      </c>
      <c r="F2372" s="3" t="str">
        <f>VLOOKUP(B2372,LifeList!$E$2:$G$2038,3)</f>
        <v>Parkesia noveboracensis</v>
      </c>
      <c r="G2372" s="3" t="str">
        <f>VLOOKUP(B2372,LifeList!$E$2:$I$2038,4)</f>
        <v>Passeriformes</v>
      </c>
      <c r="H2372" s="3" t="str">
        <f>VLOOKUP(B2372,LifeList!$E$2:$I$2038,5)</f>
        <v>Parulidae (New World Warblers)</v>
      </c>
      <c r="I2372" s="3"/>
    </row>
    <row r="2373" spans="1:9" ht="10.5" customHeight="1">
      <c r="A2373" s="3" t="s">
        <v>3337</v>
      </c>
      <c r="B2373" s="3" t="s">
        <v>3330</v>
      </c>
      <c r="C2373" s="3">
        <f>VLOOKUP(B2373,LifeList!$E$2:$J$2038,6)</f>
        <v>33953</v>
      </c>
      <c r="D2373" s="3" t="str">
        <f>VLOOKUP(B2373,LifeList!$E$2:$G$2038,1)</f>
        <v>Northern Waterthrush</v>
      </c>
      <c r="E2373" s="3" t="str">
        <f>VLOOKUP(B2373,LifeList!$E$2:$G$2038,2)</f>
        <v>Paruline des ruisseaux</v>
      </c>
      <c r="F2373" s="3" t="str">
        <f>VLOOKUP(B2373,LifeList!$E$2:$G$2038,3)</f>
        <v>Parkesia noveboracensis</v>
      </c>
      <c r="G2373" s="3" t="str">
        <f>VLOOKUP(B2373,LifeList!$E$2:$I$2038,4)</f>
        <v>Passeriformes</v>
      </c>
      <c r="H2373" s="3" t="str">
        <f>VLOOKUP(B2373,LifeList!$E$2:$I$2038,5)</f>
        <v>Parulidae (New World Warblers)</v>
      </c>
      <c r="I2373" s="3"/>
    </row>
    <row r="2374" spans="1:9" ht="10.5" customHeight="1">
      <c r="A2374" s="3" t="s">
        <v>3338</v>
      </c>
      <c r="B2374" s="3" t="s">
        <v>3330</v>
      </c>
      <c r="C2374" s="3">
        <f>VLOOKUP(B2374,LifeList!$E$2:$J$2038,6)</f>
        <v>33953</v>
      </c>
      <c r="D2374" s="3" t="str">
        <f>VLOOKUP(B2374,LifeList!$E$2:$G$2038,1)</f>
        <v>Northern Waterthrush</v>
      </c>
      <c r="E2374" s="3" t="str">
        <f>VLOOKUP(B2374,LifeList!$E$2:$G$2038,2)</f>
        <v>Paruline des ruisseaux</v>
      </c>
      <c r="F2374" s="3" t="str">
        <f>VLOOKUP(B2374,LifeList!$E$2:$G$2038,3)</f>
        <v>Parkesia noveboracensis</v>
      </c>
      <c r="G2374" s="3" t="str">
        <f>VLOOKUP(B2374,LifeList!$E$2:$I$2038,4)</f>
        <v>Passeriformes</v>
      </c>
      <c r="H2374" s="3" t="str">
        <f>VLOOKUP(B2374,LifeList!$E$2:$I$2038,5)</f>
        <v>Parulidae (New World Warblers)</v>
      </c>
      <c r="I2374" s="3"/>
    </row>
    <row r="2375" spans="1:9" ht="10.5" customHeight="1">
      <c r="A2375" s="3" t="s">
        <v>3339</v>
      </c>
      <c r="B2375" s="3" t="s">
        <v>3216</v>
      </c>
      <c r="C2375" s="3">
        <f>VLOOKUP(B2375,LifeList!$E$2:$J$2038,6)</f>
        <v>34087</v>
      </c>
      <c r="D2375" s="3" t="str">
        <f>VLOOKUP(B2375,LifeList!$E$2:$G$2038,1)</f>
        <v>Northern Yellow Warbler</v>
      </c>
      <c r="E2375" s="3" t="str">
        <f>VLOOKUP(B2375,LifeList!$E$2:$G$2038,2)</f>
        <v>Paruline jaune</v>
      </c>
      <c r="F2375" s="3" t="str">
        <f>VLOOKUP(B2375,LifeList!$E$2:$G$2038,3)</f>
        <v>Setophaga aestiva</v>
      </c>
      <c r="G2375" s="3" t="str">
        <f>VLOOKUP(B2375,LifeList!$E$2:$I$2038,4)</f>
        <v>Passeriformes</v>
      </c>
      <c r="H2375" s="3" t="str">
        <f>VLOOKUP(B2375,LifeList!$E$2:$I$2038,5)</f>
        <v>Parulidae (New World Warblers)</v>
      </c>
      <c r="I2375" s="3"/>
    </row>
    <row r="2376" spans="1:9" ht="10.5" customHeight="1">
      <c r="A2376" s="3" t="s">
        <v>3340</v>
      </c>
      <c r="B2376" s="3" t="s">
        <v>3216</v>
      </c>
      <c r="C2376" s="3">
        <f>VLOOKUP(B2376,LifeList!$E$2:$J$2038,6)</f>
        <v>34087</v>
      </c>
      <c r="D2376" s="3" t="str">
        <f>VLOOKUP(B2376,LifeList!$E$2:$G$2038,1)</f>
        <v>Northern Yellow Warbler</v>
      </c>
      <c r="E2376" s="3" t="str">
        <f>VLOOKUP(B2376,LifeList!$E$2:$G$2038,2)</f>
        <v>Paruline jaune</v>
      </c>
      <c r="F2376" s="3" t="str">
        <f>VLOOKUP(B2376,LifeList!$E$2:$G$2038,3)</f>
        <v>Setophaga aestiva</v>
      </c>
      <c r="G2376" s="3" t="str">
        <f>VLOOKUP(B2376,LifeList!$E$2:$I$2038,4)</f>
        <v>Passeriformes</v>
      </c>
      <c r="H2376" s="3" t="str">
        <f>VLOOKUP(B2376,LifeList!$E$2:$I$2038,5)</f>
        <v>Parulidae (New World Warblers)</v>
      </c>
      <c r="I2376" s="3"/>
    </row>
    <row r="2377" spans="1:9" ht="10.5" customHeight="1">
      <c r="A2377" s="3" t="s">
        <v>3341</v>
      </c>
      <c r="B2377" s="3" t="s">
        <v>3216</v>
      </c>
      <c r="C2377" s="3">
        <f>VLOOKUP(B2377,LifeList!$E$2:$J$2038,6)</f>
        <v>34087</v>
      </c>
      <c r="D2377" s="3" t="str">
        <f>VLOOKUP(B2377,LifeList!$E$2:$G$2038,1)</f>
        <v>Northern Yellow Warbler</v>
      </c>
      <c r="E2377" s="3" t="str">
        <f>VLOOKUP(B2377,LifeList!$E$2:$G$2038,2)</f>
        <v>Paruline jaune</v>
      </c>
      <c r="F2377" s="3" t="str">
        <f>VLOOKUP(B2377,LifeList!$E$2:$G$2038,3)</f>
        <v>Setophaga aestiva</v>
      </c>
      <c r="G2377" s="3" t="str">
        <f>VLOOKUP(B2377,LifeList!$E$2:$I$2038,4)</f>
        <v>Passeriformes</v>
      </c>
      <c r="H2377" s="3" t="str">
        <f>VLOOKUP(B2377,LifeList!$E$2:$I$2038,5)</f>
        <v>Parulidae (New World Warblers)</v>
      </c>
      <c r="I2377" s="3"/>
    </row>
    <row r="2378" spans="1:9" ht="10.5" customHeight="1">
      <c r="A2378" s="3" t="s">
        <v>3342</v>
      </c>
      <c r="B2378" s="3" t="s">
        <v>3216</v>
      </c>
      <c r="C2378" s="3">
        <f>VLOOKUP(B2378,LifeList!$E$2:$J$2038,6)</f>
        <v>34087</v>
      </c>
      <c r="D2378" s="3" t="str">
        <f>VLOOKUP(B2378,LifeList!$E$2:$G$2038,1)</f>
        <v>Northern Yellow Warbler</v>
      </c>
      <c r="E2378" s="3" t="str">
        <f>VLOOKUP(B2378,LifeList!$E$2:$G$2038,2)</f>
        <v>Paruline jaune</v>
      </c>
      <c r="F2378" s="3" t="str">
        <f>VLOOKUP(B2378,LifeList!$E$2:$G$2038,3)</f>
        <v>Setophaga aestiva</v>
      </c>
      <c r="G2378" s="3" t="str">
        <f>VLOOKUP(B2378,LifeList!$E$2:$I$2038,4)</f>
        <v>Passeriformes</v>
      </c>
      <c r="H2378" s="3" t="str">
        <f>VLOOKUP(B2378,LifeList!$E$2:$I$2038,5)</f>
        <v>Parulidae (New World Warblers)</v>
      </c>
      <c r="I2378" s="3"/>
    </row>
    <row r="2379" spans="1:9" ht="10.5" customHeight="1">
      <c r="A2379" s="3" t="s">
        <v>3343</v>
      </c>
      <c r="B2379" s="3" t="s">
        <v>3216</v>
      </c>
      <c r="C2379" s="3">
        <f>VLOOKUP(B2379,LifeList!$E$2:$J$2038,6)</f>
        <v>34087</v>
      </c>
      <c r="D2379" s="3" t="str">
        <f>VLOOKUP(B2379,LifeList!$E$2:$G$2038,1)</f>
        <v>Northern Yellow Warbler</v>
      </c>
      <c r="E2379" s="3" t="str">
        <f>VLOOKUP(B2379,LifeList!$E$2:$G$2038,2)</f>
        <v>Paruline jaune</v>
      </c>
      <c r="F2379" s="3" t="str">
        <f>VLOOKUP(B2379,LifeList!$E$2:$G$2038,3)</f>
        <v>Setophaga aestiva</v>
      </c>
      <c r="G2379" s="3" t="str">
        <f>VLOOKUP(B2379,LifeList!$E$2:$I$2038,4)</f>
        <v>Passeriformes</v>
      </c>
      <c r="H2379" s="3" t="str">
        <f>VLOOKUP(B2379,LifeList!$E$2:$I$2038,5)</f>
        <v>Parulidae (New World Warblers)</v>
      </c>
      <c r="I2379" s="3"/>
    </row>
    <row r="2380" spans="1:9" ht="10.5" customHeight="1">
      <c r="A2380" s="3" t="s">
        <v>3344</v>
      </c>
      <c r="B2380" s="3" t="s">
        <v>3216</v>
      </c>
      <c r="C2380" s="3">
        <f>VLOOKUP(B2380,LifeList!$E$2:$J$2038,6)</f>
        <v>34087</v>
      </c>
      <c r="D2380" s="3" t="str">
        <f>VLOOKUP(B2380,LifeList!$E$2:$G$2038,1)</f>
        <v>Northern Yellow Warbler</v>
      </c>
      <c r="E2380" s="3" t="str">
        <f>VLOOKUP(B2380,LifeList!$E$2:$G$2038,2)</f>
        <v>Paruline jaune</v>
      </c>
      <c r="F2380" s="3" t="str">
        <f>VLOOKUP(B2380,LifeList!$E$2:$G$2038,3)</f>
        <v>Setophaga aestiva</v>
      </c>
      <c r="G2380" s="3" t="str">
        <f>VLOOKUP(B2380,LifeList!$E$2:$I$2038,4)</f>
        <v>Passeriformes</v>
      </c>
      <c r="H2380" s="3" t="str">
        <f>VLOOKUP(B2380,LifeList!$E$2:$I$2038,5)</f>
        <v>Parulidae (New World Warblers)</v>
      </c>
      <c r="I2380" s="3"/>
    </row>
    <row r="2381" spans="1:9" ht="10.5" customHeight="1">
      <c r="A2381" s="3" t="s">
        <v>3345</v>
      </c>
      <c r="B2381" s="3" t="s">
        <v>3216</v>
      </c>
      <c r="C2381" s="3">
        <f>VLOOKUP(B2381,LifeList!$E$2:$J$2038,6)</f>
        <v>34087</v>
      </c>
      <c r="D2381" s="3" t="str">
        <f>VLOOKUP(B2381,LifeList!$E$2:$G$2038,1)</f>
        <v>Northern Yellow Warbler</v>
      </c>
      <c r="E2381" s="3" t="str">
        <f>VLOOKUP(B2381,LifeList!$E$2:$G$2038,2)</f>
        <v>Paruline jaune</v>
      </c>
      <c r="F2381" s="3" t="str">
        <f>VLOOKUP(B2381,LifeList!$E$2:$G$2038,3)</f>
        <v>Setophaga aestiva</v>
      </c>
      <c r="G2381" s="3" t="str">
        <f>VLOOKUP(B2381,LifeList!$E$2:$I$2038,4)</f>
        <v>Passeriformes</v>
      </c>
      <c r="H2381" s="3" t="str">
        <f>VLOOKUP(B2381,LifeList!$E$2:$I$2038,5)</f>
        <v>Parulidae (New World Warblers)</v>
      </c>
      <c r="I2381" s="3"/>
    </row>
    <row r="2382" spans="1:9" ht="10.5" customHeight="1">
      <c r="A2382" s="3" t="s">
        <v>3346</v>
      </c>
      <c r="B2382" s="3" t="s">
        <v>3216</v>
      </c>
      <c r="C2382" s="3">
        <f>VLOOKUP(B2382,LifeList!$E$2:$J$2038,6)</f>
        <v>34087</v>
      </c>
      <c r="D2382" s="3" t="str">
        <f>VLOOKUP(B2382,LifeList!$E$2:$G$2038,1)</f>
        <v>Northern Yellow Warbler</v>
      </c>
      <c r="E2382" s="3" t="str">
        <f>VLOOKUP(B2382,LifeList!$E$2:$G$2038,2)</f>
        <v>Paruline jaune</v>
      </c>
      <c r="F2382" s="3" t="str">
        <f>VLOOKUP(B2382,LifeList!$E$2:$G$2038,3)</f>
        <v>Setophaga aestiva</v>
      </c>
      <c r="G2382" s="3" t="str">
        <f>VLOOKUP(B2382,LifeList!$E$2:$I$2038,4)</f>
        <v>Passeriformes</v>
      </c>
      <c r="H2382" s="3" t="str">
        <f>VLOOKUP(B2382,LifeList!$E$2:$I$2038,5)</f>
        <v>Parulidae (New World Warblers)</v>
      </c>
      <c r="I2382" s="3"/>
    </row>
    <row r="2383" spans="1:9" ht="10.5" customHeight="1">
      <c r="A2383" s="3" t="s">
        <v>3347</v>
      </c>
      <c r="B2383" s="3" t="s">
        <v>3216</v>
      </c>
      <c r="C2383" s="3">
        <f>VLOOKUP(B2383,LifeList!$E$2:$J$2038,6)</f>
        <v>34087</v>
      </c>
      <c r="D2383" s="3" t="str">
        <f>VLOOKUP(B2383,LifeList!$E$2:$G$2038,1)</f>
        <v>Northern Yellow Warbler</v>
      </c>
      <c r="E2383" s="3" t="str">
        <f>VLOOKUP(B2383,LifeList!$E$2:$G$2038,2)</f>
        <v>Paruline jaune</v>
      </c>
      <c r="F2383" s="3" t="str">
        <f>VLOOKUP(B2383,LifeList!$E$2:$G$2038,3)</f>
        <v>Setophaga aestiva</v>
      </c>
      <c r="G2383" s="3" t="str">
        <f>VLOOKUP(B2383,LifeList!$E$2:$I$2038,4)</f>
        <v>Passeriformes</v>
      </c>
      <c r="H2383" s="3" t="str">
        <f>VLOOKUP(B2383,LifeList!$E$2:$I$2038,5)</f>
        <v>Parulidae (New World Warblers)</v>
      </c>
      <c r="I2383" s="3"/>
    </row>
    <row r="2384" spans="1:9" ht="10.5" customHeight="1">
      <c r="A2384" s="3" t="s">
        <v>3348</v>
      </c>
      <c r="B2384" s="3" t="s">
        <v>3216</v>
      </c>
      <c r="C2384" s="3">
        <f>VLOOKUP(B2384,LifeList!$E$2:$J$2038,6)</f>
        <v>34087</v>
      </c>
      <c r="D2384" s="3" t="str">
        <f>VLOOKUP(B2384,LifeList!$E$2:$G$2038,1)</f>
        <v>Northern Yellow Warbler</v>
      </c>
      <c r="E2384" s="3" t="str">
        <f>VLOOKUP(B2384,LifeList!$E$2:$G$2038,2)</f>
        <v>Paruline jaune</v>
      </c>
      <c r="F2384" s="3" t="str">
        <f>VLOOKUP(B2384,LifeList!$E$2:$G$2038,3)</f>
        <v>Setophaga aestiva</v>
      </c>
      <c r="G2384" s="3" t="str">
        <f>VLOOKUP(B2384,LifeList!$E$2:$I$2038,4)</f>
        <v>Passeriformes</v>
      </c>
      <c r="H2384" s="3" t="str">
        <f>VLOOKUP(B2384,LifeList!$E$2:$I$2038,5)</f>
        <v>Parulidae (New World Warblers)</v>
      </c>
      <c r="I2384" s="3"/>
    </row>
    <row r="2385" spans="1:9" ht="10.5" customHeight="1">
      <c r="A2385" s="3" t="s">
        <v>3349</v>
      </c>
      <c r="B2385" s="3" t="s">
        <v>3216</v>
      </c>
      <c r="C2385" s="3">
        <f>VLOOKUP(B2385,LifeList!$E$2:$J$2038,6)</f>
        <v>34087</v>
      </c>
      <c r="D2385" s="3" t="str">
        <f>VLOOKUP(B2385,LifeList!$E$2:$G$2038,1)</f>
        <v>Northern Yellow Warbler</v>
      </c>
      <c r="E2385" s="3" t="str">
        <f>VLOOKUP(B2385,LifeList!$E$2:$G$2038,2)</f>
        <v>Paruline jaune</v>
      </c>
      <c r="F2385" s="3" t="str">
        <f>VLOOKUP(B2385,LifeList!$E$2:$G$2038,3)</f>
        <v>Setophaga aestiva</v>
      </c>
      <c r="G2385" s="3" t="str">
        <f>VLOOKUP(B2385,LifeList!$E$2:$I$2038,4)</f>
        <v>Passeriformes</v>
      </c>
      <c r="H2385" s="3" t="str">
        <f>VLOOKUP(B2385,LifeList!$E$2:$I$2038,5)</f>
        <v>Parulidae (New World Warblers)</v>
      </c>
      <c r="I2385" s="3"/>
    </row>
    <row r="2386" spans="1:9" ht="10.5" customHeight="1">
      <c r="A2386" s="3" t="s">
        <v>3350</v>
      </c>
      <c r="B2386" s="3" t="s">
        <v>3216</v>
      </c>
      <c r="C2386" s="3">
        <f>VLOOKUP(B2386,LifeList!$E$2:$J$2038,6)</f>
        <v>34087</v>
      </c>
      <c r="D2386" s="3" t="str">
        <f>VLOOKUP(B2386,LifeList!$E$2:$G$2038,1)</f>
        <v>Northern Yellow Warbler</v>
      </c>
      <c r="E2386" s="3" t="str">
        <f>VLOOKUP(B2386,LifeList!$E$2:$G$2038,2)</f>
        <v>Paruline jaune</v>
      </c>
      <c r="F2386" s="3" t="str">
        <f>VLOOKUP(B2386,LifeList!$E$2:$G$2038,3)</f>
        <v>Setophaga aestiva</v>
      </c>
      <c r="G2386" s="3" t="str">
        <f>VLOOKUP(B2386,LifeList!$E$2:$I$2038,4)</f>
        <v>Passeriformes</v>
      </c>
      <c r="H2386" s="3" t="str">
        <f>VLOOKUP(B2386,LifeList!$E$2:$I$2038,5)</f>
        <v>Parulidae (New World Warblers)</v>
      </c>
      <c r="I2386" s="3"/>
    </row>
    <row r="2387" spans="1:9" ht="10.5" customHeight="1">
      <c r="A2387" s="3" t="s">
        <v>3351</v>
      </c>
      <c r="B2387" s="3" t="s">
        <v>3216</v>
      </c>
      <c r="C2387" s="3">
        <f>VLOOKUP(B2387,LifeList!$E$2:$J$2038,6)</f>
        <v>34087</v>
      </c>
      <c r="D2387" s="3" t="str">
        <f>VLOOKUP(B2387,LifeList!$E$2:$G$2038,1)</f>
        <v>Northern Yellow Warbler</v>
      </c>
      <c r="E2387" s="3" t="str">
        <f>VLOOKUP(B2387,LifeList!$E$2:$G$2038,2)</f>
        <v>Paruline jaune</v>
      </c>
      <c r="F2387" s="3" t="str">
        <f>VLOOKUP(B2387,LifeList!$E$2:$G$2038,3)</f>
        <v>Setophaga aestiva</v>
      </c>
      <c r="G2387" s="3" t="str">
        <f>VLOOKUP(B2387,LifeList!$E$2:$I$2038,4)</f>
        <v>Passeriformes</v>
      </c>
      <c r="H2387" s="3" t="str">
        <f>VLOOKUP(B2387,LifeList!$E$2:$I$2038,5)</f>
        <v>Parulidae (New World Warblers)</v>
      </c>
      <c r="I2387" s="3"/>
    </row>
    <row r="2388" spans="1:9" ht="10.5" customHeight="1">
      <c r="A2388" s="3" t="s">
        <v>3352</v>
      </c>
      <c r="B2388" s="3" t="s">
        <v>3216</v>
      </c>
      <c r="C2388" s="3">
        <f>VLOOKUP(B2388,LifeList!$E$2:$J$2038,6)</f>
        <v>34087</v>
      </c>
      <c r="D2388" s="3" t="str">
        <f>VLOOKUP(B2388,LifeList!$E$2:$G$2038,1)</f>
        <v>Northern Yellow Warbler</v>
      </c>
      <c r="E2388" s="3" t="str">
        <f>VLOOKUP(B2388,LifeList!$E$2:$G$2038,2)</f>
        <v>Paruline jaune</v>
      </c>
      <c r="F2388" s="3" t="str">
        <f>VLOOKUP(B2388,LifeList!$E$2:$G$2038,3)</f>
        <v>Setophaga aestiva</v>
      </c>
      <c r="G2388" s="3" t="str">
        <f>VLOOKUP(B2388,LifeList!$E$2:$I$2038,4)</f>
        <v>Passeriformes</v>
      </c>
      <c r="H2388" s="3" t="str">
        <f>VLOOKUP(B2388,LifeList!$E$2:$I$2038,5)</f>
        <v>Parulidae (New World Warblers)</v>
      </c>
      <c r="I2388" s="3"/>
    </row>
    <row r="2389" spans="1:9" ht="10.5" customHeight="1">
      <c r="A2389" s="3" t="s">
        <v>3353</v>
      </c>
      <c r="B2389" s="3" t="s">
        <v>3216</v>
      </c>
      <c r="C2389" s="3">
        <f>VLOOKUP(B2389,LifeList!$E$2:$J$2038,6)</f>
        <v>34087</v>
      </c>
      <c r="D2389" s="3" t="str">
        <f>VLOOKUP(B2389,LifeList!$E$2:$G$2038,1)</f>
        <v>Northern Yellow Warbler</v>
      </c>
      <c r="E2389" s="3" t="str">
        <f>VLOOKUP(B2389,LifeList!$E$2:$G$2038,2)</f>
        <v>Paruline jaune</v>
      </c>
      <c r="F2389" s="3" t="str">
        <f>VLOOKUP(B2389,LifeList!$E$2:$G$2038,3)</f>
        <v>Setophaga aestiva</v>
      </c>
      <c r="G2389" s="3" t="str">
        <f>VLOOKUP(B2389,LifeList!$E$2:$I$2038,4)</f>
        <v>Passeriformes</v>
      </c>
      <c r="H2389" s="3" t="str">
        <f>VLOOKUP(B2389,LifeList!$E$2:$I$2038,5)</f>
        <v>Parulidae (New World Warblers)</v>
      </c>
      <c r="I2389" s="3"/>
    </row>
    <row r="2390" spans="1:9" ht="10.5" customHeight="1">
      <c r="A2390" s="3" t="s">
        <v>3354</v>
      </c>
      <c r="B2390" s="3" t="s">
        <v>3216</v>
      </c>
      <c r="C2390" s="3">
        <f>VLOOKUP(B2390,LifeList!$E$2:$J$2038,6)</f>
        <v>34087</v>
      </c>
      <c r="D2390" s="3" t="str">
        <f>VLOOKUP(B2390,LifeList!$E$2:$G$2038,1)</f>
        <v>Northern Yellow Warbler</v>
      </c>
      <c r="E2390" s="3" t="str">
        <f>VLOOKUP(B2390,LifeList!$E$2:$G$2038,2)</f>
        <v>Paruline jaune</v>
      </c>
      <c r="F2390" s="3" t="str">
        <f>VLOOKUP(B2390,LifeList!$E$2:$G$2038,3)</f>
        <v>Setophaga aestiva</v>
      </c>
      <c r="G2390" s="3" t="str">
        <f>VLOOKUP(B2390,LifeList!$E$2:$I$2038,4)</f>
        <v>Passeriformes</v>
      </c>
      <c r="H2390" s="3" t="str">
        <f>VLOOKUP(B2390,LifeList!$E$2:$I$2038,5)</f>
        <v>Parulidae (New World Warblers)</v>
      </c>
      <c r="I2390" s="3"/>
    </row>
    <row r="2391" spans="1:9" ht="10.5" customHeight="1">
      <c r="A2391" s="3" t="s">
        <v>3355</v>
      </c>
      <c r="B2391" s="3" t="s">
        <v>3216</v>
      </c>
      <c r="C2391" s="3">
        <f>VLOOKUP(B2391,LifeList!$E$2:$J$2038,6)</f>
        <v>34087</v>
      </c>
      <c r="D2391" s="3" t="str">
        <f>VLOOKUP(B2391,LifeList!$E$2:$G$2038,1)</f>
        <v>Northern Yellow Warbler</v>
      </c>
      <c r="E2391" s="3" t="str">
        <f>VLOOKUP(B2391,LifeList!$E$2:$G$2038,2)</f>
        <v>Paruline jaune</v>
      </c>
      <c r="F2391" s="3" t="str">
        <f>VLOOKUP(B2391,LifeList!$E$2:$G$2038,3)</f>
        <v>Setophaga aestiva</v>
      </c>
      <c r="G2391" s="3" t="str">
        <f>VLOOKUP(B2391,LifeList!$E$2:$I$2038,4)</f>
        <v>Passeriformes</v>
      </c>
      <c r="H2391" s="3" t="str">
        <f>VLOOKUP(B2391,LifeList!$E$2:$I$2038,5)</f>
        <v>Parulidae (New World Warblers)</v>
      </c>
      <c r="I2391" s="3"/>
    </row>
    <row r="2392" spans="1:9" ht="10.5" customHeight="1">
      <c r="A2392" s="3" t="s">
        <v>3356</v>
      </c>
      <c r="B2392" s="3" t="s">
        <v>3216</v>
      </c>
      <c r="C2392" s="3">
        <f>VLOOKUP(B2392,LifeList!$E$2:$J$2038,6)</f>
        <v>34087</v>
      </c>
      <c r="D2392" s="3" t="str">
        <f>VLOOKUP(B2392,LifeList!$E$2:$G$2038,1)</f>
        <v>Northern Yellow Warbler</v>
      </c>
      <c r="E2392" s="3" t="str">
        <f>VLOOKUP(B2392,LifeList!$E$2:$G$2038,2)</f>
        <v>Paruline jaune</v>
      </c>
      <c r="F2392" s="3" t="str">
        <f>VLOOKUP(B2392,LifeList!$E$2:$G$2038,3)</f>
        <v>Setophaga aestiva</v>
      </c>
      <c r="G2392" s="3" t="str">
        <f>VLOOKUP(B2392,LifeList!$E$2:$I$2038,4)</f>
        <v>Passeriformes</v>
      </c>
      <c r="H2392" s="3" t="str">
        <f>VLOOKUP(B2392,LifeList!$E$2:$I$2038,5)</f>
        <v>Parulidae (New World Warblers)</v>
      </c>
      <c r="I2392" s="3"/>
    </row>
    <row r="2393" spans="1:9" ht="10.5" customHeight="1">
      <c r="A2393" s="3" t="s">
        <v>3357</v>
      </c>
      <c r="B2393" s="3" t="s">
        <v>3216</v>
      </c>
      <c r="C2393" s="3">
        <f>VLOOKUP(B2393,LifeList!$E$2:$J$2038,6)</f>
        <v>34087</v>
      </c>
      <c r="D2393" s="3" t="str">
        <f>VLOOKUP(B2393,LifeList!$E$2:$G$2038,1)</f>
        <v>Northern Yellow Warbler</v>
      </c>
      <c r="E2393" s="3" t="str">
        <f>VLOOKUP(B2393,LifeList!$E$2:$G$2038,2)</f>
        <v>Paruline jaune</v>
      </c>
      <c r="F2393" s="3" t="str">
        <f>VLOOKUP(B2393,LifeList!$E$2:$G$2038,3)</f>
        <v>Setophaga aestiva</v>
      </c>
      <c r="G2393" s="3" t="str">
        <f>VLOOKUP(B2393,LifeList!$E$2:$I$2038,4)</f>
        <v>Passeriformes</v>
      </c>
      <c r="H2393" s="3" t="str">
        <f>VLOOKUP(B2393,LifeList!$E$2:$I$2038,5)</f>
        <v>Parulidae (New World Warblers)</v>
      </c>
      <c r="I2393" s="3"/>
    </row>
    <row r="2394" spans="1:9" ht="10.5" customHeight="1">
      <c r="A2394" s="3" t="s">
        <v>3358</v>
      </c>
      <c r="B2394" s="3" t="s">
        <v>3216</v>
      </c>
      <c r="C2394" s="3">
        <f>VLOOKUP(B2394,LifeList!$E$2:$J$2038,6)</f>
        <v>34087</v>
      </c>
      <c r="D2394" s="3" t="str">
        <f>VLOOKUP(B2394,LifeList!$E$2:$G$2038,1)</f>
        <v>Northern Yellow Warbler</v>
      </c>
      <c r="E2394" s="3" t="str">
        <f>VLOOKUP(B2394,LifeList!$E$2:$G$2038,2)</f>
        <v>Paruline jaune</v>
      </c>
      <c r="F2394" s="3" t="str">
        <f>VLOOKUP(B2394,LifeList!$E$2:$G$2038,3)</f>
        <v>Setophaga aestiva</v>
      </c>
      <c r="G2394" s="3" t="str">
        <f>VLOOKUP(B2394,LifeList!$E$2:$I$2038,4)</f>
        <v>Passeriformes</v>
      </c>
      <c r="H2394" s="3" t="str">
        <f>VLOOKUP(B2394,LifeList!$E$2:$I$2038,5)</f>
        <v>Parulidae (New World Warblers)</v>
      </c>
      <c r="I2394" s="3"/>
    </row>
    <row r="2395" spans="1:9" ht="10.5" customHeight="1">
      <c r="A2395" s="3" t="s">
        <v>3359</v>
      </c>
      <c r="B2395" s="3" t="s">
        <v>3216</v>
      </c>
      <c r="C2395" s="3">
        <f>VLOOKUP(B2395,LifeList!$E$2:$J$2038,6)</f>
        <v>34087</v>
      </c>
      <c r="D2395" s="3" t="str">
        <f>VLOOKUP(B2395,LifeList!$E$2:$G$2038,1)</f>
        <v>Northern Yellow Warbler</v>
      </c>
      <c r="E2395" s="3" t="str">
        <f>VLOOKUP(B2395,LifeList!$E$2:$G$2038,2)</f>
        <v>Paruline jaune</v>
      </c>
      <c r="F2395" s="3" t="str">
        <f>VLOOKUP(B2395,LifeList!$E$2:$G$2038,3)</f>
        <v>Setophaga aestiva</v>
      </c>
      <c r="G2395" s="3" t="str">
        <f>VLOOKUP(B2395,LifeList!$E$2:$I$2038,4)</f>
        <v>Passeriformes</v>
      </c>
      <c r="H2395" s="3" t="str">
        <f>VLOOKUP(B2395,LifeList!$E$2:$I$2038,5)</f>
        <v>Parulidae (New World Warblers)</v>
      </c>
      <c r="I2395" s="3"/>
    </row>
    <row r="2396" spans="1:9" ht="10.5" customHeight="1">
      <c r="A2396" s="3" t="s">
        <v>3360</v>
      </c>
      <c r="B2396" s="3" t="s">
        <v>3216</v>
      </c>
      <c r="C2396" s="3">
        <f>VLOOKUP(B2396,LifeList!$E$2:$J$2038,6)</f>
        <v>34087</v>
      </c>
      <c r="D2396" s="3" t="str">
        <f>VLOOKUP(B2396,LifeList!$E$2:$G$2038,1)</f>
        <v>Northern Yellow Warbler</v>
      </c>
      <c r="E2396" s="3" t="str">
        <f>VLOOKUP(B2396,LifeList!$E$2:$G$2038,2)</f>
        <v>Paruline jaune</v>
      </c>
      <c r="F2396" s="3" t="str">
        <f>VLOOKUP(B2396,LifeList!$E$2:$G$2038,3)</f>
        <v>Setophaga aestiva</v>
      </c>
      <c r="G2396" s="3" t="str">
        <f>VLOOKUP(B2396,LifeList!$E$2:$I$2038,4)</f>
        <v>Passeriformes</v>
      </c>
      <c r="H2396" s="3" t="str">
        <f>VLOOKUP(B2396,LifeList!$E$2:$I$2038,5)</f>
        <v>Parulidae (New World Warblers)</v>
      </c>
      <c r="I2396" s="3"/>
    </row>
    <row r="2397" spans="1:9" ht="10.5" customHeight="1">
      <c r="A2397" s="3" t="s">
        <v>3361</v>
      </c>
      <c r="B2397" s="3" t="s">
        <v>3216</v>
      </c>
      <c r="C2397" s="3">
        <f>VLOOKUP(B2397,LifeList!$E$2:$J$2038,6)</f>
        <v>34087</v>
      </c>
      <c r="D2397" s="3" t="str">
        <f>VLOOKUP(B2397,LifeList!$E$2:$G$2038,1)</f>
        <v>Northern Yellow Warbler</v>
      </c>
      <c r="E2397" s="3" t="str">
        <f>VLOOKUP(B2397,LifeList!$E$2:$G$2038,2)</f>
        <v>Paruline jaune</v>
      </c>
      <c r="F2397" s="3" t="str">
        <f>VLOOKUP(B2397,LifeList!$E$2:$G$2038,3)</f>
        <v>Setophaga aestiva</v>
      </c>
      <c r="G2397" s="3" t="str">
        <f>VLOOKUP(B2397,LifeList!$E$2:$I$2038,4)</f>
        <v>Passeriformes</v>
      </c>
      <c r="H2397" s="3" t="str">
        <f>VLOOKUP(B2397,LifeList!$E$2:$I$2038,5)</f>
        <v>Parulidae (New World Warblers)</v>
      </c>
      <c r="I2397" s="3"/>
    </row>
    <row r="2398" spans="1:9" ht="10.5" customHeight="1">
      <c r="A2398" s="3" t="s">
        <v>3362</v>
      </c>
      <c r="B2398" s="3" t="s">
        <v>3216</v>
      </c>
      <c r="C2398" s="3">
        <f>VLOOKUP(B2398,LifeList!$E$2:$J$2038,6)</f>
        <v>34087</v>
      </c>
      <c r="D2398" s="3" t="str">
        <f>VLOOKUP(B2398,LifeList!$E$2:$G$2038,1)</f>
        <v>Northern Yellow Warbler</v>
      </c>
      <c r="E2398" s="3" t="str">
        <f>VLOOKUP(B2398,LifeList!$E$2:$G$2038,2)</f>
        <v>Paruline jaune</v>
      </c>
      <c r="F2398" s="3" t="str">
        <f>VLOOKUP(B2398,LifeList!$E$2:$G$2038,3)</f>
        <v>Setophaga aestiva</v>
      </c>
      <c r="G2398" s="3" t="str">
        <f>VLOOKUP(B2398,LifeList!$E$2:$I$2038,4)</f>
        <v>Passeriformes</v>
      </c>
      <c r="H2398" s="3" t="str">
        <f>VLOOKUP(B2398,LifeList!$E$2:$I$2038,5)</f>
        <v>Parulidae (New World Warblers)</v>
      </c>
      <c r="I2398" s="3"/>
    </row>
    <row r="2399" spans="1:9" ht="10.5" customHeight="1">
      <c r="A2399" s="3" t="s">
        <v>3363</v>
      </c>
      <c r="B2399" s="3" t="s">
        <v>3216</v>
      </c>
      <c r="C2399" s="3">
        <f>VLOOKUP(B2399,LifeList!$E$2:$J$2038,6)</f>
        <v>34087</v>
      </c>
      <c r="D2399" s="3" t="str">
        <f>VLOOKUP(B2399,LifeList!$E$2:$G$2038,1)</f>
        <v>Northern Yellow Warbler</v>
      </c>
      <c r="E2399" s="3" t="str">
        <f>VLOOKUP(B2399,LifeList!$E$2:$G$2038,2)</f>
        <v>Paruline jaune</v>
      </c>
      <c r="F2399" s="3" t="str">
        <f>VLOOKUP(B2399,LifeList!$E$2:$G$2038,3)</f>
        <v>Setophaga aestiva</v>
      </c>
      <c r="G2399" s="3" t="str">
        <f>VLOOKUP(B2399,LifeList!$E$2:$I$2038,4)</f>
        <v>Passeriformes</v>
      </c>
      <c r="H2399" s="3" t="str">
        <f>VLOOKUP(B2399,LifeList!$E$2:$I$2038,5)</f>
        <v>Parulidae (New World Warblers)</v>
      </c>
      <c r="I2399" s="3"/>
    </row>
    <row r="2400" spans="1:9" ht="10.5" customHeight="1">
      <c r="A2400" s="3" t="s">
        <v>3364</v>
      </c>
      <c r="B2400" s="3" t="s">
        <v>3216</v>
      </c>
      <c r="C2400" s="3">
        <f>VLOOKUP(B2400,LifeList!$E$2:$J$2038,6)</f>
        <v>34087</v>
      </c>
      <c r="D2400" s="3" t="str">
        <f>VLOOKUP(B2400,LifeList!$E$2:$G$2038,1)</f>
        <v>Northern Yellow Warbler</v>
      </c>
      <c r="E2400" s="3" t="str">
        <f>VLOOKUP(B2400,LifeList!$E$2:$G$2038,2)</f>
        <v>Paruline jaune</v>
      </c>
      <c r="F2400" s="3" t="str">
        <f>VLOOKUP(B2400,LifeList!$E$2:$G$2038,3)</f>
        <v>Setophaga aestiva</v>
      </c>
      <c r="G2400" s="3" t="str">
        <f>VLOOKUP(B2400,LifeList!$E$2:$I$2038,4)</f>
        <v>Passeriformes</v>
      </c>
      <c r="H2400" s="3" t="str">
        <f>VLOOKUP(B2400,LifeList!$E$2:$I$2038,5)</f>
        <v>Parulidae (New World Warblers)</v>
      </c>
      <c r="I2400" s="3"/>
    </row>
    <row r="2401" spans="1:9" ht="10.5" customHeight="1">
      <c r="A2401" s="3" t="s">
        <v>3365</v>
      </c>
      <c r="B2401" s="3" t="s">
        <v>3216</v>
      </c>
      <c r="C2401" s="3">
        <f>VLOOKUP(B2401,LifeList!$E$2:$J$2038,6)</f>
        <v>34087</v>
      </c>
      <c r="D2401" s="3" t="str">
        <f>VLOOKUP(B2401,LifeList!$E$2:$G$2038,1)</f>
        <v>Northern Yellow Warbler</v>
      </c>
      <c r="E2401" s="3" t="str">
        <f>VLOOKUP(B2401,LifeList!$E$2:$G$2038,2)</f>
        <v>Paruline jaune</v>
      </c>
      <c r="F2401" s="3" t="str">
        <f>VLOOKUP(B2401,LifeList!$E$2:$G$2038,3)</f>
        <v>Setophaga aestiva</v>
      </c>
      <c r="G2401" s="3" t="str">
        <f>VLOOKUP(B2401,LifeList!$E$2:$I$2038,4)</f>
        <v>Passeriformes</v>
      </c>
      <c r="H2401" s="3" t="str">
        <f>VLOOKUP(B2401,LifeList!$E$2:$I$2038,5)</f>
        <v>Parulidae (New World Warblers)</v>
      </c>
      <c r="I2401" s="3"/>
    </row>
    <row r="2402" spans="1:9" ht="10.5" customHeight="1">
      <c r="A2402" s="3" t="s">
        <v>3366</v>
      </c>
      <c r="B2402" s="3" t="s">
        <v>3367</v>
      </c>
      <c r="C2402" s="3">
        <f>VLOOKUP(B2402,LifeList!$E$2:$J$2038,6)</f>
        <v>11410</v>
      </c>
      <c r="D2402" s="3" t="str">
        <f>VLOOKUP(B2402,LifeList!$E$2:$G$2038,1)</f>
        <v>Nuttall's Woodpecker</v>
      </c>
      <c r="E2402" s="3" t="str">
        <f>VLOOKUP(B2402,LifeList!$E$2:$G$2038,2)</f>
        <v>Pic de Nuttall</v>
      </c>
      <c r="F2402" s="3" t="str">
        <f>VLOOKUP(B2402,LifeList!$E$2:$G$2038,3)</f>
        <v>Dryobates nuttallii</v>
      </c>
      <c r="G2402" s="3" t="str">
        <f>VLOOKUP(B2402,LifeList!$E$2:$I$2038,4)</f>
        <v>Piciformes</v>
      </c>
      <c r="H2402" s="3" t="str">
        <f>VLOOKUP(B2402,LifeList!$E$2:$I$2038,5)</f>
        <v>Picidae (Woodpeckers)</v>
      </c>
      <c r="I2402" s="3"/>
    </row>
    <row r="2403" spans="1:9" ht="10.5" customHeight="1">
      <c r="A2403" s="3" t="s">
        <v>3368</v>
      </c>
      <c r="B2403" s="3" t="s">
        <v>3369</v>
      </c>
      <c r="C2403" s="3">
        <f>VLOOKUP(B2403,LifeList!$E$2:$J$2038,6)</f>
        <v>22150</v>
      </c>
      <c r="D2403" s="3" t="str">
        <f>VLOOKUP(B2403,LifeList!$E$2:$G$2038,1)</f>
        <v>Oak Titmouse</v>
      </c>
      <c r="E2403" s="3" t="str">
        <f>VLOOKUP(B2403,LifeList!$E$2:$G$2038,2)</f>
        <v>Mésange unicolore</v>
      </c>
      <c r="F2403" s="3" t="str">
        <f>VLOOKUP(B2403,LifeList!$E$2:$G$2038,3)</f>
        <v>Baeolophus inornatus</v>
      </c>
      <c r="G2403" s="3" t="str">
        <f>VLOOKUP(B2403,LifeList!$E$2:$I$2038,4)</f>
        <v>Passeriformes</v>
      </c>
      <c r="H2403" s="3" t="str">
        <f>VLOOKUP(B2403,LifeList!$E$2:$I$2038,5)</f>
        <v>Paridae (Tits, Chickadees, and Titmice)</v>
      </c>
      <c r="I2403" s="3"/>
    </row>
    <row r="2404" spans="1:9" ht="10.5" customHeight="1">
      <c r="A2404" s="3" t="s">
        <v>3370</v>
      </c>
      <c r="B2404" s="3" t="s">
        <v>3371</v>
      </c>
      <c r="C2404" s="3">
        <f>VLOOKUP(B2404,LifeList!$E$2:$J$2038,6)</f>
        <v>27241</v>
      </c>
      <c r="D2404" s="3" t="str">
        <f>VLOOKUP(B2404,LifeList!$E$2:$G$2038,1)</f>
        <v>Ochraceous Wren</v>
      </c>
      <c r="E2404" s="3" t="str">
        <f>VLOOKUP(B2404,LifeList!$E$2:$G$2038,2)</f>
        <v>Troglodyte ocré</v>
      </c>
      <c r="F2404" s="3" t="str">
        <f>VLOOKUP(B2404,LifeList!$E$2:$G$2038,3)</f>
        <v>Troglodytes ochraceus</v>
      </c>
      <c r="G2404" s="3" t="str">
        <f>VLOOKUP(B2404,LifeList!$E$2:$I$2038,4)</f>
        <v>Passeriformes</v>
      </c>
      <c r="H2404" s="3" t="str">
        <f>VLOOKUP(B2404,LifeList!$E$2:$I$2038,5)</f>
        <v>Troglodytidae (Wrens)</v>
      </c>
      <c r="I2404" s="3"/>
    </row>
    <row r="2405" spans="1:9" ht="10.5" customHeight="1">
      <c r="A2405" s="3" t="s">
        <v>3372</v>
      </c>
      <c r="B2405" s="3" t="s">
        <v>3373</v>
      </c>
      <c r="C2405" s="3">
        <f>VLOOKUP(B2405,LifeList!$E$2:$J$2038,6)</f>
        <v>16513</v>
      </c>
      <c r="D2405" s="3" t="str">
        <f>VLOOKUP(B2405,LifeList!$E$2:$G$2038,1)</f>
        <v>Ochre-lored Flatbill</v>
      </c>
      <c r="E2405" s="3" t="str">
        <f>VLOOKUP(B2405,LifeList!$E$2:$G$2038,2)</f>
        <v>Tyranneau à poitrine jaune</v>
      </c>
      <c r="F2405" s="3" t="str">
        <f>VLOOKUP(B2405,LifeList!$E$2:$G$2038,3)</f>
        <v>Tolmomyias flaviventris</v>
      </c>
      <c r="G2405" s="3" t="str">
        <f>VLOOKUP(B2405,LifeList!$E$2:$I$2038,4)</f>
        <v>Passeriformes</v>
      </c>
      <c r="H2405" s="3" t="str">
        <f>VLOOKUP(B2405,LifeList!$E$2:$I$2038,5)</f>
        <v>Tyrannidae (Tyrant Flycatchers)</v>
      </c>
      <c r="I2405" s="3"/>
    </row>
    <row r="2406" spans="1:9" ht="10.5" customHeight="1">
      <c r="A2406" s="3" t="s">
        <v>3374</v>
      </c>
      <c r="B2406" s="3" t="s">
        <v>3373</v>
      </c>
      <c r="C2406" s="3">
        <f>VLOOKUP(B2406,LifeList!$E$2:$J$2038,6)</f>
        <v>16513</v>
      </c>
      <c r="D2406" s="3" t="str">
        <f>VLOOKUP(B2406,LifeList!$E$2:$G$2038,1)</f>
        <v>Ochre-lored Flatbill</v>
      </c>
      <c r="E2406" s="3" t="str">
        <f>VLOOKUP(B2406,LifeList!$E$2:$G$2038,2)</f>
        <v>Tyranneau à poitrine jaune</v>
      </c>
      <c r="F2406" s="3" t="str">
        <f>VLOOKUP(B2406,LifeList!$E$2:$G$2038,3)</f>
        <v>Tolmomyias flaviventris</v>
      </c>
      <c r="G2406" s="3" t="str">
        <f>VLOOKUP(B2406,LifeList!$E$2:$I$2038,4)</f>
        <v>Passeriformes</v>
      </c>
      <c r="H2406" s="3" t="str">
        <f>VLOOKUP(B2406,LifeList!$E$2:$I$2038,5)</f>
        <v>Tyrannidae (Tyrant Flycatchers)</v>
      </c>
      <c r="I2406" s="3"/>
    </row>
    <row r="2407" spans="1:9" ht="10.5" customHeight="1">
      <c r="A2407" s="3" t="s">
        <v>3375</v>
      </c>
      <c r="B2407" s="3" t="s">
        <v>3376</v>
      </c>
      <c r="C2407" s="3">
        <f>VLOOKUP(B2407,LifeList!$E$2:$J$2038,6)</f>
        <v>15259</v>
      </c>
      <c r="D2407" s="3" t="str">
        <f>VLOOKUP(B2407,LifeList!$E$2:$G$2038,1)</f>
        <v>Ochre-throated Foliage-gleaner</v>
      </c>
      <c r="E2407" s="3" t="str">
        <f>VLOOKUP(B2407,LifeList!$E$2:$G$2038,2)</f>
        <v>Anabate à gorge fauve</v>
      </c>
      <c r="F2407" s="3" t="str">
        <f>VLOOKUP(B2407,LifeList!$E$2:$G$2038,3)</f>
        <v>Automolus ochrolaemus</v>
      </c>
      <c r="G2407" s="3" t="str">
        <f>VLOOKUP(B2407,LifeList!$E$2:$I$2038,4)</f>
        <v>Passeriformes</v>
      </c>
      <c r="H2407" s="3" t="str">
        <f>VLOOKUP(B2407,LifeList!$E$2:$I$2038,5)</f>
        <v>Furnariidae (Ovenbirds and Woodcreepers)</v>
      </c>
      <c r="I2407" s="3"/>
    </row>
    <row r="2408" spans="1:9" ht="10.5" customHeight="1">
      <c r="A2408" s="3" t="s">
        <v>3377</v>
      </c>
      <c r="B2408" s="3" t="s">
        <v>3378</v>
      </c>
      <c r="C2408" s="3">
        <f>VLOOKUP(B2408,LifeList!$E$2:$J$2038,6)</f>
        <v>3766</v>
      </c>
      <c r="D2408" s="3" t="str">
        <f>VLOOKUP(B2408,LifeList!$E$2:$G$2038,1)</f>
        <v>Oilbird</v>
      </c>
      <c r="E2408" s="3" t="str">
        <f>VLOOKUP(B2408,LifeList!$E$2:$G$2038,2)</f>
        <v>Guacharo des cavernes</v>
      </c>
      <c r="F2408" s="3" t="str">
        <f>VLOOKUP(B2408,LifeList!$E$2:$G$2038,3)</f>
        <v>Steatornis caripensis</v>
      </c>
      <c r="G2408" s="3" t="str">
        <f>VLOOKUP(B2408,LifeList!$E$2:$I$2038,4)</f>
        <v>Steatornithiformes</v>
      </c>
      <c r="H2408" s="3" t="str">
        <f>VLOOKUP(B2408,LifeList!$E$2:$I$2038,5)</f>
        <v>Steatornithidae (Oilbird)</v>
      </c>
      <c r="I2408" s="3"/>
    </row>
    <row r="2409" spans="1:9" ht="10.5" customHeight="1">
      <c r="A2409" s="3" t="s">
        <v>3379</v>
      </c>
      <c r="B2409" s="3" t="s">
        <v>3380</v>
      </c>
      <c r="C2409" s="3">
        <f>VLOOKUP(B2409,LifeList!$E$2:$J$2038,6)</f>
        <v>11090</v>
      </c>
      <c r="D2409" s="3" t="str">
        <f>VLOOKUP(B2409,LifeList!$E$2:$G$2038,1)</f>
        <v>Olivaceous Piculet</v>
      </c>
      <c r="E2409" s="3" t="str">
        <f>VLOOKUP(B2409,LifeList!$E$2:$G$2038,2)</f>
        <v>Picumne olivâtre</v>
      </c>
      <c r="F2409" s="3" t="str">
        <f>VLOOKUP(B2409,LifeList!$E$2:$G$2038,3)</f>
        <v>Picumnus olivaceus</v>
      </c>
      <c r="G2409" s="3" t="str">
        <f>VLOOKUP(B2409,LifeList!$E$2:$I$2038,4)</f>
        <v>Piciformes</v>
      </c>
      <c r="H2409" s="3" t="str">
        <f>VLOOKUP(B2409,LifeList!$E$2:$I$2038,5)</f>
        <v>Picidae (Woodpeckers)</v>
      </c>
      <c r="I2409" s="3"/>
    </row>
    <row r="2410" spans="1:9" ht="10.5" customHeight="1">
      <c r="A2410" s="3" t="s">
        <v>3381</v>
      </c>
      <c r="B2410" s="3" t="s">
        <v>3380</v>
      </c>
      <c r="C2410" s="3">
        <f>VLOOKUP(B2410,LifeList!$E$2:$J$2038,6)</f>
        <v>11090</v>
      </c>
      <c r="D2410" s="3" t="str">
        <f>VLOOKUP(B2410,LifeList!$E$2:$G$2038,1)</f>
        <v>Olivaceous Piculet</v>
      </c>
      <c r="E2410" s="3" t="str">
        <f>VLOOKUP(B2410,LifeList!$E$2:$G$2038,2)</f>
        <v>Picumne olivâtre</v>
      </c>
      <c r="F2410" s="3" t="str">
        <f>VLOOKUP(B2410,LifeList!$E$2:$G$2038,3)</f>
        <v>Picumnus olivaceus</v>
      </c>
      <c r="G2410" s="3" t="str">
        <f>VLOOKUP(B2410,LifeList!$E$2:$I$2038,4)</f>
        <v>Piciformes</v>
      </c>
      <c r="H2410" s="3" t="str">
        <f>VLOOKUP(B2410,LifeList!$E$2:$I$2038,5)</f>
        <v>Picidae (Woodpeckers)</v>
      </c>
      <c r="I2410" s="3"/>
    </row>
    <row r="2411" spans="1:9" ht="10.5" customHeight="1">
      <c r="A2411" s="3" t="s">
        <v>3382</v>
      </c>
      <c r="B2411" s="3" t="s">
        <v>3380</v>
      </c>
      <c r="C2411" s="3">
        <f>VLOOKUP(B2411,LifeList!$E$2:$J$2038,6)</f>
        <v>11090</v>
      </c>
      <c r="D2411" s="3" t="str">
        <f>VLOOKUP(B2411,LifeList!$E$2:$G$2038,1)</f>
        <v>Olivaceous Piculet</v>
      </c>
      <c r="E2411" s="3" t="str">
        <f>VLOOKUP(B2411,LifeList!$E$2:$G$2038,2)</f>
        <v>Picumne olivâtre</v>
      </c>
      <c r="F2411" s="3" t="str">
        <f>VLOOKUP(B2411,LifeList!$E$2:$G$2038,3)</f>
        <v>Picumnus olivaceus</v>
      </c>
      <c r="G2411" s="3" t="str">
        <f>VLOOKUP(B2411,LifeList!$E$2:$I$2038,4)</f>
        <v>Piciformes</v>
      </c>
      <c r="H2411" s="3" t="str">
        <f>VLOOKUP(B2411,LifeList!$E$2:$I$2038,5)</f>
        <v>Picidae (Woodpeckers)</v>
      </c>
      <c r="I2411" s="3"/>
    </row>
    <row r="2412" spans="1:9" ht="10.5" customHeight="1">
      <c r="A2412" s="5" t="s">
        <v>3383</v>
      </c>
      <c r="B2412" s="3" t="s">
        <v>3384</v>
      </c>
      <c r="C2412" s="3">
        <f>VLOOKUP(B2412,LifeList!$E$2:$J$2038,6)</f>
        <v>19374</v>
      </c>
      <c r="D2412" s="3" t="str">
        <f>VLOOKUP(B2412,LifeList!$E$2:$G$2038,1)</f>
        <v>Olive Whistler</v>
      </c>
      <c r="E2412" s="3" t="str">
        <f>VLOOKUP(B2412,LifeList!$E$2:$G$2038,2)</f>
        <v>Siffleur olivâtre</v>
      </c>
      <c r="F2412" s="3" t="str">
        <f>VLOOKUP(B2412,LifeList!$E$2:$G$2038,3)</f>
        <v>Pachycephala olivacea</v>
      </c>
      <c r="G2412" s="3" t="str">
        <f>VLOOKUP(B2412,LifeList!$E$2:$I$2038,4)</f>
        <v>Passeriformes</v>
      </c>
      <c r="H2412" s="3" t="str">
        <f>VLOOKUP(B2412,LifeList!$E$2:$I$2038,5)</f>
        <v>Pachycephalidae (Whistlers and Allies)</v>
      </c>
      <c r="I2412" s="3"/>
    </row>
    <row r="2413" spans="1:9" ht="10.5" customHeight="1">
      <c r="A2413" s="3" t="s">
        <v>3385</v>
      </c>
      <c r="B2413" s="3" t="s">
        <v>3386</v>
      </c>
      <c r="C2413" s="3">
        <f>VLOOKUP(B2413,LifeList!$E$2:$J$2038,6)</f>
        <v>9823</v>
      </c>
      <c r="D2413" s="3" t="str">
        <f>VLOOKUP(B2413,LifeList!$E$2:$G$2038,1)</f>
        <v>Olive Bee-eater</v>
      </c>
      <c r="E2413" s="3" t="str">
        <f>VLOOKUP(B2413,LifeList!$E$2:$G$2038,2)</f>
        <v>Guêpier de Madagascar</v>
      </c>
      <c r="F2413" s="3" t="str">
        <f>VLOOKUP(B2413,LifeList!$E$2:$G$2038,3)</f>
        <v>Merops superciliosus</v>
      </c>
      <c r="G2413" s="3" t="str">
        <f>VLOOKUP(B2413,LifeList!$E$2:$I$2038,4)</f>
        <v>Coraciiformes</v>
      </c>
      <c r="H2413" s="3" t="str">
        <f>VLOOKUP(B2413,LifeList!$E$2:$I$2038,5)</f>
        <v>Meropidae (Bee-eaters)</v>
      </c>
      <c r="I2413" s="3"/>
    </row>
    <row r="2414" spans="1:9" ht="10.5" customHeight="1">
      <c r="A2414" s="3" t="s">
        <v>3387</v>
      </c>
      <c r="B2414" s="3" t="s">
        <v>3386</v>
      </c>
      <c r="C2414" s="3">
        <f>VLOOKUP(B2414,LifeList!$E$2:$J$2038,6)</f>
        <v>9823</v>
      </c>
      <c r="D2414" s="3" t="str">
        <f>VLOOKUP(B2414,LifeList!$E$2:$G$2038,1)</f>
        <v>Olive Bee-eater</v>
      </c>
      <c r="E2414" s="3" t="str">
        <f>VLOOKUP(B2414,LifeList!$E$2:$G$2038,2)</f>
        <v>Guêpier de Madagascar</v>
      </c>
      <c r="F2414" s="3" t="str">
        <f>VLOOKUP(B2414,LifeList!$E$2:$G$2038,3)</f>
        <v>Merops superciliosus</v>
      </c>
      <c r="G2414" s="3" t="str">
        <f>VLOOKUP(B2414,LifeList!$E$2:$I$2038,4)</f>
        <v>Coraciiformes</v>
      </c>
      <c r="H2414" s="3" t="str">
        <f>VLOOKUP(B2414,LifeList!$E$2:$I$2038,5)</f>
        <v>Meropidae (Bee-eaters)</v>
      </c>
      <c r="I2414" s="3"/>
    </row>
    <row r="2415" spans="1:9" ht="10.5" customHeight="1">
      <c r="A2415" s="3" t="s">
        <v>3388</v>
      </c>
      <c r="B2415" s="3" t="s">
        <v>3386</v>
      </c>
      <c r="C2415" s="3">
        <f>VLOOKUP(B2415,LifeList!$E$2:$J$2038,6)</f>
        <v>9823</v>
      </c>
      <c r="D2415" s="3" t="str">
        <f>VLOOKUP(B2415,LifeList!$E$2:$G$2038,1)</f>
        <v>Olive Bee-eater</v>
      </c>
      <c r="E2415" s="3" t="str">
        <f>VLOOKUP(B2415,LifeList!$E$2:$G$2038,2)</f>
        <v>Guêpier de Madagascar</v>
      </c>
      <c r="F2415" s="3" t="str">
        <f>VLOOKUP(B2415,LifeList!$E$2:$G$2038,3)</f>
        <v>Merops superciliosus</v>
      </c>
      <c r="G2415" s="3" t="str">
        <f>VLOOKUP(B2415,LifeList!$E$2:$I$2038,4)</f>
        <v>Coraciiformes</v>
      </c>
      <c r="H2415" s="3" t="str">
        <f>VLOOKUP(B2415,LifeList!$E$2:$I$2038,5)</f>
        <v>Meropidae (Bee-eaters)</v>
      </c>
      <c r="I2415" s="3"/>
    </row>
    <row r="2416" spans="1:9" ht="10.5" customHeight="1">
      <c r="A2416" s="3" t="s">
        <v>3389</v>
      </c>
      <c r="B2416" s="3" t="s">
        <v>3386</v>
      </c>
      <c r="C2416" s="3">
        <f>VLOOKUP(B2416,LifeList!$E$2:$J$2038,6)</f>
        <v>9823</v>
      </c>
      <c r="D2416" s="3" t="str">
        <f>VLOOKUP(B2416,LifeList!$E$2:$G$2038,1)</f>
        <v>Olive Bee-eater</v>
      </c>
      <c r="E2416" s="3" t="str">
        <f>VLOOKUP(B2416,LifeList!$E$2:$G$2038,2)</f>
        <v>Guêpier de Madagascar</v>
      </c>
      <c r="F2416" s="3" t="str">
        <f>VLOOKUP(B2416,LifeList!$E$2:$G$2038,3)</f>
        <v>Merops superciliosus</v>
      </c>
      <c r="G2416" s="3" t="str">
        <f>VLOOKUP(B2416,LifeList!$E$2:$I$2038,4)</f>
        <v>Coraciiformes</v>
      </c>
      <c r="H2416" s="3" t="str">
        <f>VLOOKUP(B2416,LifeList!$E$2:$I$2038,5)</f>
        <v>Meropidae (Bee-eaters)</v>
      </c>
      <c r="I2416" s="3"/>
    </row>
    <row r="2417" spans="1:9" ht="10.5" customHeight="1">
      <c r="A2417" s="3" t="s">
        <v>3390</v>
      </c>
      <c r="B2417" s="3" t="s">
        <v>3391</v>
      </c>
      <c r="C2417" s="3">
        <f>VLOOKUP(B2417,LifeList!$E$2:$J$2038,6)</f>
        <v>32042</v>
      </c>
      <c r="D2417" s="3" t="str">
        <f>VLOOKUP(B2417,LifeList!$E$2:$G$2038,1)</f>
        <v>Olive-backed Euphonia</v>
      </c>
      <c r="E2417" s="3" t="str">
        <f>VLOOKUP(B2417,LifeList!$E$2:$G$2038,2)</f>
        <v>Organiste olive</v>
      </c>
      <c r="F2417" s="3" t="str">
        <f>VLOOKUP(B2417,LifeList!$E$2:$G$2038,3)</f>
        <v>Euphonia gouldi</v>
      </c>
      <c r="G2417" s="3" t="str">
        <f>VLOOKUP(B2417,LifeList!$E$2:$I$2038,4)</f>
        <v>Passeriformes</v>
      </c>
      <c r="H2417" s="3" t="str">
        <f>VLOOKUP(B2417,LifeList!$E$2:$I$2038,5)</f>
        <v>Fringillidae (Finches, Euphonias, and Allies)</v>
      </c>
      <c r="I2417" s="3"/>
    </row>
    <row r="2418" spans="1:9" ht="10.5" customHeight="1">
      <c r="A2418" s="3" t="s">
        <v>3392</v>
      </c>
      <c r="B2418" s="3" t="s">
        <v>3391</v>
      </c>
      <c r="C2418" s="3">
        <f>VLOOKUP(B2418,LifeList!$E$2:$J$2038,6)</f>
        <v>32042</v>
      </c>
      <c r="D2418" s="3" t="str">
        <f>VLOOKUP(B2418,LifeList!$E$2:$G$2038,1)</f>
        <v>Olive-backed Euphonia</v>
      </c>
      <c r="E2418" s="3" t="str">
        <f>VLOOKUP(B2418,LifeList!$E$2:$G$2038,2)</f>
        <v>Organiste olive</v>
      </c>
      <c r="F2418" s="3" t="str">
        <f>VLOOKUP(B2418,LifeList!$E$2:$G$2038,3)</f>
        <v>Euphonia gouldi</v>
      </c>
      <c r="G2418" s="3" t="str">
        <f>VLOOKUP(B2418,LifeList!$E$2:$I$2038,4)</f>
        <v>Passeriformes</v>
      </c>
      <c r="H2418" s="3" t="str">
        <f>VLOOKUP(B2418,LifeList!$E$2:$I$2038,5)</f>
        <v>Fringillidae (Finches, Euphonias, and Allies)</v>
      </c>
      <c r="I2418" s="3"/>
    </row>
    <row r="2419" spans="1:9" ht="10.5" customHeight="1">
      <c r="A2419" s="3" t="s">
        <v>3393</v>
      </c>
      <c r="B2419" s="3" t="s">
        <v>3391</v>
      </c>
      <c r="C2419" s="3">
        <f>VLOOKUP(B2419,LifeList!$E$2:$J$2038,6)</f>
        <v>32042</v>
      </c>
      <c r="D2419" s="3" t="str">
        <f>VLOOKUP(B2419,LifeList!$E$2:$G$2038,1)</f>
        <v>Olive-backed Euphonia</v>
      </c>
      <c r="E2419" s="3" t="str">
        <f>VLOOKUP(B2419,LifeList!$E$2:$G$2038,2)</f>
        <v>Organiste olive</v>
      </c>
      <c r="F2419" s="3" t="str">
        <f>VLOOKUP(B2419,LifeList!$E$2:$G$2038,3)</f>
        <v>Euphonia gouldi</v>
      </c>
      <c r="G2419" s="3" t="str">
        <f>VLOOKUP(B2419,LifeList!$E$2:$I$2038,4)</f>
        <v>Passeriformes</v>
      </c>
      <c r="H2419" s="3" t="str">
        <f>VLOOKUP(B2419,LifeList!$E$2:$I$2038,5)</f>
        <v>Fringillidae (Finches, Euphonias, and Allies)</v>
      </c>
      <c r="I2419" s="3"/>
    </row>
    <row r="2420" spans="1:9" ht="10.5" customHeight="1">
      <c r="A2420" s="3" t="s">
        <v>3394</v>
      </c>
      <c r="B2420" s="3" t="s">
        <v>3391</v>
      </c>
      <c r="C2420" s="3">
        <f>VLOOKUP(B2420,LifeList!$E$2:$J$2038,6)</f>
        <v>32042</v>
      </c>
      <c r="D2420" s="3" t="str">
        <f>VLOOKUP(B2420,LifeList!$E$2:$G$2038,1)</f>
        <v>Olive-backed Euphonia</v>
      </c>
      <c r="E2420" s="3" t="str">
        <f>VLOOKUP(B2420,LifeList!$E$2:$G$2038,2)</f>
        <v>Organiste olive</v>
      </c>
      <c r="F2420" s="3" t="str">
        <f>VLOOKUP(B2420,LifeList!$E$2:$G$2038,3)</f>
        <v>Euphonia gouldi</v>
      </c>
      <c r="G2420" s="3" t="str">
        <f>VLOOKUP(B2420,LifeList!$E$2:$I$2038,4)</f>
        <v>Passeriformes</v>
      </c>
      <c r="H2420" s="3" t="str">
        <f>VLOOKUP(B2420,LifeList!$E$2:$I$2038,5)</f>
        <v>Fringillidae (Finches, Euphonias, and Allies)</v>
      </c>
      <c r="I2420" s="3"/>
    </row>
    <row r="2421" spans="1:9" ht="10.5" customHeight="1">
      <c r="A2421" s="7" t="s">
        <v>3395</v>
      </c>
      <c r="B2421" s="9" t="s">
        <v>3396</v>
      </c>
      <c r="C2421" s="6">
        <f>VLOOKUP(B2421,LifeList!$E$2:$J$2038,6)</f>
        <v>19604</v>
      </c>
      <c r="D2421" s="3" t="str">
        <f>VLOOKUP(B2421,LifeList!$E$2:$G$2038,1)</f>
        <v>Olive-backed Oriole</v>
      </c>
      <c r="E2421" s="3" t="str">
        <f>VLOOKUP(B2421,LifeList!$E$2:$G$2038,2)</f>
        <v>Loriot sagittal</v>
      </c>
      <c r="F2421" s="3" t="str">
        <f>VLOOKUP(B2421,LifeList!$E$2:$G$2038,3)</f>
        <v>Oriolus sagittatus</v>
      </c>
      <c r="G2421" s="3" t="str">
        <f>VLOOKUP(B2421,LifeList!$E$2:$I$2038,4)</f>
        <v>Passeriformes</v>
      </c>
      <c r="H2421" s="3" t="str">
        <f>VLOOKUP(B2421,LifeList!$E$2:$I$2038,5)</f>
        <v>Oriolidae (Old World Orioles)</v>
      </c>
      <c r="I2421" s="3"/>
    </row>
    <row r="2422" spans="1:9" ht="10.5" customHeight="1">
      <c r="A2422" s="3" t="s">
        <v>3397</v>
      </c>
      <c r="B2422" s="3" t="s">
        <v>3398</v>
      </c>
      <c r="C2422" s="3">
        <f>VLOOKUP(B2422,LifeList!$E$2:$J$2038,6)</f>
        <v>3068</v>
      </c>
      <c r="D2422" s="3" t="str">
        <f>VLOOKUP(B2422,LifeList!$E$2:$G$2038,1)</f>
        <v>Olive-capped Coua</v>
      </c>
      <c r="E2422" s="3" t="str">
        <f>VLOOKUP(B2422,LifeList!$E$2:$G$2038,2)</f>
        <v>Coua à tête olive</v>
      </c>
      <c r="F2422" s="3" t="str">
        <f>VLOOKUP(B2422,LifeList!$E$2:$G$2038,3)</f>
        <v>Coua olivaceiceps</v>
      </c>
      <c r="G2422" s="3" t="str">
        <f>VLOOKUP(B2422,LifeList!$E$2:$I$2038,4)</f>
        <v>Cuculiformes</v>
      </c>
      <c r="H2422" s="3" t="str">
        <f>VLOOKUP(B2422,LifeList!$E$2:$I$2038,5)</f>
        <v>Cuculidae (Cuckoos)</v>
      </c>
      <c r="I2422" s="3"/>
    </row>
    <row r="2423" spans="1:9" ht="10.5" customHeight="1">
      <c r="A2423" s="3" t="s">
        <v>3399</v>
      </c>
      <c r="B2423" s="3" t="s">
        <v>3398</v>
      </c>
      <c r="C2423" s="3">
        <f>VLOOKUP(B2423,LifeList!$E$2:$J$2038,6)</f>
        <v>3068</v>
      </c>
      <c r="D2423" s="3" t="str">
        <f>VLOOKUP(B2423,LifeList!$E$2:$G$2038,1)</f>
        <v>Olive-capped Coua</v>
      </c>
      <c r="E2423" s="3" t="str">
        <f>VLOOKUP(B2423,LifeList!$E$2:$G$2038,2)</f>
        <v>Coua à tête olive</v>
      </c>
      <c r="F2423" s="3" t="str">
        <f>VLOOKUP(B2423,LifeList!$E$2:$G$2038,3)</f>
        <v>Coua olivaceiceps</v>
      </c>
      <c r="G2423" s="3" t="str">
        <f>VLOOKUP(B2423,LifeList!$E$2:$I$2038,4)</f>
        <v>Cuculiformes</v>
      </c>
      <c r="H2423" s="3" t="str">
        <f>VLOOKUP(B2423,LifeList!$E$2:$I$2038,5)</f>
        <v>Cuculidae (Cuckoos)</v>
      </c>
      <c r="I2423" s="3"/>
    </row>
    <row r="2424" spans="1:9" ht="10.5" customHeight="1">
      <c r="A2424" s="3" t="s">
        <v>3400</v>
      </c>
      <c r="B2424" s="3" t="s">
        <v>3398</v>
      </c>
      <c r="C2424" s="3">
        <f>VLOOKUP(B2424,LifeList!$E$2:$J$2038,6)</f>
        <v>3068</v>
      </c>
      <c r="D2424" s="3" t="str">
        <f>VLOOKUP(B2424,LifeList!$E$2:$G$2038,1)</f>
        <v>Olive-capped Coua</v>
      </c>
      <c r="E2424" s="3" t="str">
        <f>VLOOKUP(B2424,LifeList!$E$2:$G$2038,2)</f>
        <v>Coua à tête olive</v>
      </c>
      <c r="F2424" s="3" t="str">
        <f>VLOOKUP(B2424,LifeList!$E$2:$G$2038,3)</f>
        <v>Coua olivaceiceps</v>
      </c>
      <c r="G2424" s="3" t="str">
        <f>VLOOKUP(B2424,LifeList!$E$2:$I$2038,4)</f>
        <v>Cuculiformes</v>
      </c>
      <c r="H2424" s="3" t="str">
        <f>VLOOKUP(B2424,LifeList!$E$2:$I$2038,5)</f>
        <v>Cuculidae (Cuckoos)</v>
      </c>
      <c r="I2424" s="3"/>
    </row>
    <row r="2425" spans="1:9" ht="10.5" customHeight="1">
      <c r="A2425" s="3" t="s">
        <v>3401</v>
      </c>
      <c r="B2425" s="3" t="s">
        <v>3398</v>
      </c>
      <c r="C2425" s="3">
        <f>VLOOKUP(B2425,LifeList!$E$2:$J$2038,6)</f>
        <v>3068</v>
      </c>
      <c r="D2425" s="3" t="str">
        <f>VLOOKUP(B2425,LifeList!$E$2:$G$2038,1)</f>
        <v>Olive-capped Coua</v>
      </c>
      <c r="E2425" s="3" t="str">
        <f>VLOOKUP(B2425,LifeList!$E$2:$G$2038,2)</f>
        <v>Coua à tête olive</v>
      </c>
      <c r="F2425" s="3" t="str">
        <f>VLOOKUP(B2425,LifeList!$E$2:$G$2038,3)</f>
        <v>Coua olivaceiceps</v>
      </c>
      <c r="G2425" s="3" t="str">
        <f>VLOOKUP(B2425,LifeList!$E$2:$I$2038,4)</f>
        <v>Cuculiformes</v>
      </c>
      <c r="H2425" s="3" t="str">
        <f>VLOOKUP(B2425,LifeList!$E$2:$I$2038,5)</f>
        <v>Cuculidae (Cuckoos)</v>
      </c>
      <c r="I2425" s="3"/>
    </row>
    <row r="2426" spans="1:9" ht="10.5" customHeight="1">
      <c r="A2426" s="3" t="s">
        <v>3402</v>
      </c>
      <c r="B2426" s="3" t="s">
        <v>3403</v>
      </c>
      <c r="C2426" s="3">
        <f>VLOOKUP(B2426,LifeList!$E$2:$J$2038,6)</f>
        <v>34013</v>
      </c>
      <c r="D2426" s="3" t="str">
        <f>VLOOKUP(B2426,LifeList!$E$2:$G$2038,1)</f>
        <v>Olive-crowned Yellowthroat</v>
      </c>
      <c r="E2426" s="3" t="str">
        <f>VLOOKUP(B2426,LifeList!$E$2:$G$2038,2)</f>
        <v>Paruline des bambous</v>
      </c>
      <c r="F2426" s="3" t="str">
        <f>VLOOKUP(B2426,LifeList!$E$2:$G$2038,3)</f>
        <v>Geothlypis semiflava</v>
      </c>
      <c r="G2426" s="3" t="str">
        <f>VLOOKUP(B2426,LifeList!$E$2:$I$2038,4)</f>
        <v>Passeriformes</v>
      </c>
      <c r="H2426" s="3" t="str">
        <f>VLOOKUP(B2426,LifeList!$E$2:$I$2038,5)</f>
        <v>Parulidae (New World Warblers)</v>
      </c>
      <c r="I2426" s="3"/>
    </row>
    <row r="2427" spans="1:9" ht="10.5" customHeight="1">
      <c r="A2427" s="3" t="s">
        <v>3404</v>
      </c>
      <c r="B2427" s="3" t="s">
        <v>3405</v>
      </c>
      <c r="C2427" s="3">
        <f>VLOOKUP(B2427,LifeList!$E$2:$J$2038,6)</f>
        <v>35802</v>
      </c>
      <c r="D2427" s="3" t="str">
        <f>VLOOKUP(B2427,LifeList!$E$2:$G$2038,1)</f>
        <v>Olive-gray Saltator</v>
      </c>
      <c r="E2427" s="3" t="str">
        <f>VLOOKUP(B2427,LifeList!$E$2:$G$2038,2)</f>
        <v>Saltator de Cabanis</v>
      </c>
      <c r="F2427" s="3" t="str">
        <f>VLOOKUP(B2427,LifeList!$E$2:$G$2038,3)</f>
        <v>Saltator olivascens</v>
      </c>
      <c r="G2427" s="3" t="str">
        <f>VLOOKUP(B2427,LifeList!$E$2:$I$2038,4)</f>
        <v>Passeriformes</v>
      </c>
      <c r="H2427" s="3" t="str">
        <f>VLOOKUP(B2427,LifeList!$E$2:$I$2038,5)</f>
        <v>Thraupidae (Tanagers and Allies)</v>
      </c>
      <c r="I2427" s="3"/>
    </row>
    <row r="2428" spans="1:9" ht="10.5" customHeight="1">
      <c r="A2428" s="3" t="s">
        <v>3406</v>
      </c>
      <c r="B2428" s="3" t="s">
        <v>3405</v>
      </c>
      <c r="C2428" s="3">
        <f>VLOOKUP(B2428,LifeList!$E$2:$J$2038,6)</f>
        <v>35802</v>
      </c>
      <c r="D2428" s="3" t="str">
        <f>VLOOKUP(B2428,LifeList!$E$2:$G$2038,1)</f>
        <v>Olive-gray Saltator</v>
      </c>
      <c r="E2428" s="3" t="str">
        <f>VLOOKUP(B2428,LifeList!$E$2:$G$2038,2)</f>
        <v>Saltator de Cabanis</v>
      </c>
      <c r="F2428" s="3" t="str">
        <f>VLOOKUP(B2428,LifeList!$E$2:$G$2038,3)</f>
        <v>Saltator olivascens</v>
      </c>
      <c r="G2428" s="3" t="str">
        <f>VLOOKUP(B2428,LifeList!$E$2:$I$2038,4)</f>
        <v>Passeriformes</v>
      </c>
      <c r="H2428" s="3" t="str">
        <f>VLOOKUP(B2428,LifeList!$E$2:$I$2038,5)</f>
        <v>Thraupidae (Tanagers and Allies)</v>
      </c>
      <c r="I2428" s="3"/>
    </row>
    <row r="2429" spans="1:9" ht="10.5" customHeight="1">
      <c r="A2429" s="3" t="s">
        <v>3407</v>
      </c>
      <c r="B2429" s="3" t="s">
        <v>3405</v>
      </c>
      <c r="C2429" s="3">
        <f>VLOOKUP(B2429,LifeList!$E$2:$J$2038,6)</f>
        <v>35802</v>
      </c>
      <c r="D2429" s="3" t="str">
        <f>VLOOKUP(B2429,LifeList!$E$2:$G$2038,1)</f>
        <v>Olive-gray Saltator</v>
      </c>
      <c r="E2429" s="3" t="str">
        <f>VLOOKUP(B2429,LifeList!$E$2:$G$2038,2)</f>
        <v>Saltator de Cabanis</v>
      </c>
      <c r="F2429" s="3" t="str">
        <f>VLOOKUP(B2429,LifeList!$E$2:$G$2038,3)</f>
        <v>Saltator olivascens</v>
      </c>
      <c r="G2429" s="3" t="str">
        <f>VLOOKUP(B2429,LifeList!$E$2:$I$2038,4)</f>
        <v>Passeriformes</v>
      </c>
      <c r="H2429" s="3" t="str">
        <f>VLOOKUP(B2429,LifeList!$E$2:$I$2038,5)</f>
        <v>Thraupidae (Tanagers and Allies)</v>
      </c>
      <c r="I2429" s="3"/>
    </row>
    <row r="2430" spans="1:9" ht="10.5" customHeight="1">
      <c r="A2430" s="3" t="s">
        <v>3408</v>
      </c>
      <c r="B2430" s="3" t="s">
        <v>3405</v>
      </c>
      <c r="C2430" s="3">
        <f>VLOOKUP(B2430,LifeList!$E$2:$J$2038,6)</f>
        <v>35802</v>
      </c>
      <c r="D2430" s="3" t="str">
        <f>VLOOKUP(B2430,LifeList!$E$2:$G$2038,1)</f>
        <v>Olive-gray Saltator</v>
      </c>
      <c r="E2430" s="3" t="str">
        <f>VLOOKUP(B2430,LifeList!$E$2:$G$2038,2)</f>
        <v>Saltator de Cabanis</v>
      </c>
      <c r="F2430" s="3" t="str">
        <f>VLOOKUP(B2430,LifeList!$E$2:$G$2038,3)</f>
        <v>Saltator olivascens</v>
      </c>
      <c r="G2430" s="3" t="str">
        <f>VLOOKUP(B2430,LifeList!$E$2:$I$2038,4)</f>
        <v>Passeriformes</v>
      </c>
      <c r="H2430" s="3" t="str">
        <f>VLOOKUP(B2430,LifeList!$E$2:$I$2038,5)</f>
        <v>Thraupidae (Tanagers and Allies)</v>
      </c>
      <c r="I2430" s="3"/>
    </row>
    <row r="2431" spans="1:9" ht="10.5" customHeight="1">
      <c r="A2431" s="3" t="s">
        <v>3409</v>
      </c>
      <c r="B2431" s="3" t="s">
        <v>3410</v>
      </c>
      <c r="C2431" s="3">
        <f>VLOOKUP(B2431,LifeList!$E$2:$J$2038,6)</f>
        <v>13092</v>
      </c>
      <c r="D2431" s="3" t="str">
        <f>VLOOKUP(B2431,LifeList!$E$2:$G$2038,1)</f>
        <v>Olive-throated Parakeet</v>
      </c>
      <c r="E2431" s="3" t="str">
        <f>VLOOKUP(B2431,LifeList!$E$2:$G$2038,2)</f>
        <v>Conure naine</v>
      </c>
      <c r="F2431" s="3" t="str">
        <f>VLOOKUP(B2431,LifeList!$E$2:$G$2038,3)</f>
        <v>Eupsittula nana</v>
      </c>
      <c r="G2431" s="3" t="str">
        <f>VLOOKUP(B2431,LifeList!$E$2:$I$2038,4)</f>
        <v>Psittaciformes</v>
      </c>
      <c r="H2431" s="3" t="str">
        <f>VLOOKUP(B2431,LifeList!$E$2:$I$2038,5)</f>
        <v>Psittacidae (New World and African Parrots)</v>
      </c>
      <c r="I2431" s="3"/>
    </row>
    <row r="2432" spans="1:9" ht="10.5" customHeight="1">
      <c r="A2432" s="3" t="s">
        <v>3411</v>
      </c>
      <c r="B2432" s="3" t="s">
        <v>3410</v>
      </c>
      <c r="C2432" s="3">
        <f>VLOOKUP(B2432,LifeList!$E$2:$J$2038,6)</f>
        <v>13092</v>
      </c>
      <c r="D2432" s="3" t="str">
        <f>VLOOKUP(B2432,LifeList!$E$2:$G$2038,1)</f>
        <v>Olive-throated Parakeet</v>
      </c>
      <c r="E2432" s="3" t="str">
        <f>VLOOKUP(B2432,LifeList!$E$2:$G$2038,2)</f>
        <v>Conure naine</v>
      </c>
      <c r="F2432" s="3" t="str">
        <f>VLOOKUP(B2432,LifeList!$E$2:$G$2038,3)</f>
        <v>Eupsittula nana</v>
      </c>
      <c r="G2432" s="3" t="str">
        <f>VLOOKUP(B2432,LifeList!$E$2:$I$2038,4)</f>
        <v>Psittaciformes</v>
      </c>
      <c r="H2432" s="3" t="str">
        <f>VLOOKUP(B2432,LifeList!$E$2:$I$2038,5)</f>
        <v>Psittacidae (New World and African Parrots)</v>
      </c>
      <c r="I2432" s="3"/>
    </row>
    <row r="2433" spans="1:9" ht="10.5" customHeight="1">
      <c r="A2433" s="3" t="s">
        <v>3412</v>
      </c>
      <c r="B2433" s="3" t="s">
        <v>3410</v>
      </c>
      <c r="C2433" s="3">
        <f>VLOOKUP(B2433,LifeList!$E$2:$J$2038,6)</f>
        <v>13092</v>
      </c>
      <c r="D2433" s="3" t="str">
        <f>VLOOKUP(B2433,LifeList!$E$2:$G$2038,1)</f>
        <v>Olive-throated Parakeet</v>
      </c>
      <c r="E2433" s="3" t="str">
        <f>VLOOKUP(B2433,LifeList!$E$2:$G$2038,2)</f>
        <v>Conure naine</v>
      </c>
      <c r="F2433" s="3" t="str">
        <f>VLOOKUP(B2433,LifeList!$E$2:$G$2038,3)</f>
        <v>Eupsittula nana</v>
      </c>
      <c r="G2433" s="3" t="str">
        <f>VLOOKUP(B2433,LifeList!$E$2:$I$2038,4)</f>
        <v>Psittaciformes</v>
      </c>
      <c r="H2433" s="3" t="str">
        <f>VLOOKUP(B2433,LifeList!$E$2:$I$2038,5)</f>
        <v>Psittacidae (New World and African Parrots)</v>
      </c>
      <c r="I2433" s="3"/>
    </row>
    <row r="2434" spans="1:9" ht="10.5" customHeight="1">
      <c r="A2434" s="3" t="s">
        <v>3413</v>
      </c>
      <c r="B2434" s="3" t="s">
        <v>3414</v>
      </c>
      <c r="C2434" s="3">
        <f>VLOOKUP(B2434,LifeList!$E$2:$J$2038,6)</f>
        <v>28197</v>
      </c>
      <c r="D2434" s="3" t="str">
        <f>VLOOKUP(B2434,LifeList!$E$2:$G$2038,1)</f>
        <v>Omao</v>
      </c>
      <c r="E2434" s="3" t="str">
        <f>VLOOKUP(B2434,LifeList!$E$2:$G$2038,2)</f>
        <v>Solitaire d'Hawaï</v>
      </c>
      <c r="F2434" s="3" t="str">
        <f>VLOOKUP(B2434,LifeList!$E$2:$G$2038,3)</f>
        <v>Myadestes obscurus</v>
      </c>
      <c r="G2434" s="3" t="str">
        <f>VLOOKUP(B2434,LifeList!$E$2:$I$2038,4)</f>
        <v>Passeriformes</v>
      </c>
      <c r="H2434" s="3" t="str">
        <f>VLOOKUP(B2434,LifeList!$E$2:$I$2038,5)</f>
        <v>Turdidae (Thrushes and Allies)</v>
      </c>
      <c r="I2434" s="3"/>
    </row>
    <row r="2435" spans="1:9" ht="10.5" customHeight="1">
      <c r="A2435" s="5" t="s">
        <v>3415</v>
      </c>
      <c r="B2435" s="3" t="s">
        <v>3416</v>
      </c>
      <c r="C2435" s="3">
        <f>VLOOKUP(B2435,LifeList!$E$2:$J$2038,6)</f>
        <v>32052</v>
      </c>
      <c r="D2435" s="3" t="str">
        <f>VLOOKUP(B2435,LifeList!$E$2:$G$2038,1)</f>
        <v>Orange-bellied Euphonia</v>
      </c>
      <c r="E2435" s="3" t="str">
        <f>VLOOKUP(B2435,LifeList!$E$2:$G$2038,2)</f>
        <v>Organiste à ventre orange</v>
      </c>
      <c r="F2435" s="3" t="str">
        <f>VLOOKUP(B2435,LifeList!$E$2:$G$2038,3)</f>
        <v>Euphonia xanthogaster</v>
      </c>
      <c r="G2435" s="3" t="str">
        <f>VLOOKUP(B2435,LifeList!$E$2:$I$2038,4)</f>
        <v>Passeriformes</v>
      </c>
      <c r="H2435" s="3" t="str">
        <f>VLOOKUP(B2435,LifeList!$E$2:$I$2038,5)</f>
        <v>Fringillidae (Finches, Euphonias, and Allies)</v>
      </c>
      <c r="I2435" s="3"/>
    </row>
    <row r="2436" spans="1:9" ht="10.5" customHeight="1">
      <c r="A2436" s="3" t="s">
        <v>3417</v>
      </c>
      <c r="B2436" s="3" t="s">
        <v>3418</v>
      </c>
      <c r="C2436" s="3">
        <f>VLOOKUP(B2436,LifeList!$E$2:$J$2038,6)</f>
        <v>33051</v>
      </c>
      <c r="D2436" s="3" t="str">
        <f>VLOOKUP(B2436,LifeList!$E$2:$G$2038,1)</f>
        <v>Orange-billed Sparrow</v>
      </c>
      <c r="E2436" s="3" t="str">
        <f>VLOOKUP(B2436,LifeList!$E$2:$G$2038,2)</f>
        <v>Tohi à bec orange</v>
      </c>
      <c r="F2436" s="3" t="str">
        <f>VLOOKUP(B2436,LifeList!$E$2:$G$2038,3)</f>
        <v>Arremon aurantiirostris</v>
      </c>
      <c r="G2436" s="3" t="str">
        <f>VLOOKUP(B2436,LifeList!$E$2:$I$2038,4)</f>
        <v>Passeriformes</v>
      </c>
      <c r="H2436" s="3" t="str">
        <f>VLOOKUP(B2436,LifeList!$E$2:$I$2038,5)</f>
        <v>Passerellidae (New World Sparrows)</v>
      </c>
      <c r="I2436" s="3"/>
    </row>
    <row r="2437" spans="1:9" ht="10.5" customHeight="1">
      <c r="A2437" s="3" t="s">
        <v>3419</v>
      </c>
      <c r="B2437" s="3" t="s">
        <v>3418</v>
      </c>
      <c r="C2437" s="3">
        <f>VLOOKUP(B2437,LifeList!$E$2:$J$2038,6)</f>
        <v>33051</v>
      </c>
      <c r="D2437" s="3" t="str">
        <f>VLOOKUP(B2437,LifeList!$E$2:$G$2038,1)</f>
        <v>Orange-billed Sparrow</v>
      </c>
      <c r="E2437" s="3" t="str">
        <f>VLOOKUP(B2437,LifeList!$E$2:$G$2038,2)</f>
        <v>Tohi à bec orange</v>
      </c>
      <c r="F2437" s="3" t="str">
        <f>VLOOKUP(B2437,LifeList!$E$2:$G$2038,3)</f>
        <v>Arremon aurantiirostris</v>
      </c>
      <c r="G2437" s="3" t="str">
        <f>VLOOKUP(B2437,LifeList!$E$2:$I$2038,4)</f>
        <v>Passeriformes</v>
      </c>
      <c r="H2437" s="3" t="str">
        <f>VLOOKUP(B2437,LifeList!$E$2:$I$2038,5)</f>
        <v>Passerellidae (New World Sparrows)</v>
      </c>
      <c r="I2437" s="3"/>
    </row>
    <row r="2438" spans="1:9" ht="10.5" customHeight="1">
      <c r="A2438" s="3" t="s">
        <v>3420</v>
      </c>
      <c r="B2438" s="3" t="s">
        <v>3421</v>
      </c>
      <c r="C2438" s="3">
        <f>VLOOKUP(B2438,LifeList!$E$2:$J$2038,6)</f>
        <v>15866</v>
      </c>
      <c r="D2438" s="3" t="str">
        <f>VLOOKUP(B2438,LifeList!$E$2:$G$2038,1)</f>
        <v>Orange-breasted Fruiteater</v>
      </c>
      <c r="E2438" s="3" t="str">
        <f>VLOOKUP(B2438,LifeList!$E$2:$G$2038,2)</f>
        <v>Cotinga jucunda</v>
      </c>
      <c r="F2438" s="3" t="str">
        <f>VLOOKUP(B2438,LifeList!$E$2:$G$2038,3)</f>
        <v>Pipreola jucunda</v>
      </c>
      <c r="G2438" s="3" t="str">
        <f>VLOOKUP(B2438,LifeList!$E$2:$I$2038,4)</f>
        <v>Passeriformes</v>
      </c>
      <c r="H2438" s="3" t="str">
        <f>VLOOKUP(B2438,LifeList!$E$2:$I$2038,5)</f>
        <v>Cotingidae (Cotingas)</v>
      </c>
      <c r="I2438" s="3"/>
    </row>
    <row r="2439" spans="1:9" ht="10.5" customHeight="1">
      <c r="A2439" s="3" t="s">
        <v>3422</v>
      </c>
      <c r="B2439" s="3" t="s">
        <v>3423</v>
      </c>
      <c r="C2439" s="3">
        <f>VLOOKUP(B2439,LifeList!$E$2:$J$2038,6)</f>
        <v>12836</v>
      </c>
      <c r="D2439" s="3" t="str">
        <f>VLOOKUP(B2439,LifeList!$E$2:$G$2038,1)</f>
        <v>Orange-chinned Parakeet</v>
      </c>
      <c r="E2439" s="3" t="str">
        <f>VLOOKUP(B2439,LifeList!$E$2:$G$2038,2)</f>
        <v>Toui à menton d'or</v>
      </c>
      <c r="F2439" s="3" t="str">
        <f>VLOOKUP(B2439,LifeList!$E$2:$G$2038,3)</f>
        <v>Brotogeris jugularis</v>
      </c>
      <c r="G2439" s="3" t="str">
        <f>VLOOKUP(B2439,LifeList!$E$2:$I$2038,4)</f>
        <v>Psittaciformes</v>
      </c>
      <c r="H2439" s="3" t="str">
        <f>VLOOKUP(B2439,LifeList!$E$2:$I$2038,5)</f>
        <v>Psittacidae (New World and African Parrots)</v>
      </c>
      <c r="I2439" s="3"/>
    </row>
    <row r="2440" spans="1:9" ht="10.5" customHeight="1">
      <c r="A2440" s="3" t="s">
        <v>3424</v>
      </c>
      <c r="B2440" s="3" t="s">
        <v>3423</v>
      </c>
      <c r="C2440" s="3">
        <f>VLOOKUP(B2440,LifeList!$E$2:$J$2038,6)</f>
        <v>12836</v>
      </c>
      <c r="D2440" s="3" t="str">
        <f>VLOOKUP(B2440,LifeList!$E$2:$G$2038,1)</f>
        <v>Orange-chinned Parakeet</v>
      </c>
      <c r="E2440" s="3" t="str">
        <f>VLOOKUP(B2440,LifeList!$E$2:$G$2038,2)</f>
        <v>Toui à menton d'or</v>
      </c>
      <c r="F2440" s="3" t="str">
        <f>VLOOKUP(B2440,LifeList!$E$2:$G$2038,3)</f>
        <v>Brotogeris jugularis</v>
      </c>
      <c r="G2440" s="3" t="str">
        <f>VLOOKUP(B2440,LifeList!$E$2:$I$2038,4)</f>
        <v>Psittaciformes</v>
      </c>
      <c r="H2440" s="3" t="str">
        <f>VLOOKUP(B2440,LifeList!$E$2:$I$2038,5)</f>
        <v>Psittacidae (New World and African Parrots)</v>
      </c>
      <c r="I2440" s="3"/>
    </row>
    <row r="2441" spans="1:9" ht="10.5" customHeight="1">
      <c r="A2441" s="3" t="s">
        <v>3425</v>
      </c>
      <c r="B2441" s="3" t="s">
        <v>3423</v>
      </c>
      <c r="C2441" s="3">
        <f>VLOOKUP(B2441,LifeList!$E$2:$J$2038,6)</f>
        <v>12836</v>
      </c>
      <c r="D2441" s="3" t="str">
        <f>VLOOKUP(B2441,LifeList!$E$2:$G$2038,1)</f>
        <v>Orange-chinned Parakeet</v>
      </c>
      <c r="E2441" s="3" t="str">
        <f>VLOOKUP(B2441,LifeList!$E$2:$G$2038,2)</f>
        <v>Toui à menton d'or</v>
      </c>
      <c r="F2441" s="3" t="str">
        <f>VLOOKUP(B2441,LifeList!$E$2:$G$2038,3)</f>
        <v>Brotogeris jugularis</v>
      </c>
      <c r="G2441" s="3" t="str">
        <f>VLOOKUP(B2441,LifeList!$E$2:$I$2038,4)</f>
        <v>Psittaciformes</v>
      </c>
      <c r="H2441" s="3" t="str">
        <f>VLOOKUP(B2441,LifeList!$E$2:$I$2038,5)</f>
        <v>Psittacidae (New World and African Parrots)</v>
      </c>
      <c r="I2441" s="3"/>
    </row>
    <row r="2442" spans="1:9" ht="10.5" customHeight="1">
      <c r="A2442" s="3" t="s">
        <v>3426</v>
      </c>
      <c r="B2442" s="3" t="s">
        <v>3427</v>
      </c>
      <c r="C2442" s="3">
        <f>VLOOKUP(B2442,LifeList!$E$2:$J$2038,6)</f>
        <v>33973</v>
      </c>
      <c r="D2442" s="3" t="str">
        <f>VLOOKUP(B2442,LifeList!$E$2:$G$2038,1)</f>
        <v>Orange-crowned Warbler</v>
      </c>
      <c r="E2442" s="3" t="str">
        <f>VLOOKUP(B2442,LifeList!$E$2:$G$2038,2)</f>
        <v>Paruline verdâtre</v>
      </c>
      <c r="F2442" s="3" t="str">
        <f>VLOOKUP(B2442,LifeList!$E$2:$G$2038,3)</f>
        <v>Leiothlypis celata</v>
      </c>
      <c r="G2442" s="3" t="str">
        <f>VLOOKUP(B2442,LifeList!$E$2:$I$2038,4)</f>
        <v>Passeriformes</v>
      </c>
      <c r="H2442" s="3" t="str">
        <f>VLOOKUP(B2442,LifeList!$E$2:$I$2038,5)</f>
        <v>Parulidae (New World Warblers)</v>
      </c>
      <c r="I2442" s="3"/>
    </row>
    <row r="2443" spans="1:9" ht="10.5" customHeight="1">
      <c r="A2443" s="3" t="s">
        <v>3428</v>
      </c>
      <c r="B2443" s="3" t="s">
        <v>3427</v>
      </c>
      <c r="C2443" s="3">
        <f>VLOOKUP(B2443,LifeList!$E$2:$J$2038,6)</f>
        <v>33973</v>
      </c>
      <c r="D2443" s="3" t="str">
        <f>VLOOKUP(B2443,LifeList!$E$2:$G$2038,1)</f>
        <v>Orange-crowned Warbler</v>
      </c>
      <c r="E2443" s="3" t="str">
        <f>VLOOKUP(B2443,LifeList!$E$2:$G$2038,2)</f>
        <v>Paruline verdâtre</v>
      </c>
      <c r="F2443" s="3" t="str">
        <f>VLOOKUP(B2443,LifeList!$E$2:$G$2038,3)</f>
        <v>Leiothlypis celata</v>
      </c>
      <c r="G2443" s="3" t="str">
        <f>VLOOKUP(B2443,LifeList!$E$2:$I$2038,4)</f>
        <v>Passeriformes</v>
      </c>
      <c r="H2443" s="3" t="str">
        <f>VLOOKUP(B2443,LifeList!$E$2:$I$2038,5)</f>
        <v>Parulidae (New World Warblers)</v>
      </c>
      <c r="I2443" s="3"/>
    </row>
    <row r="2444" spans="1:9" ht="10.5" customHeight="1">
      <c r="A2444" s="5" t="s">
        <v>3429</v>
      </c>
      <c r="B2444" s="3" t="s">
        <v>3430</v>
      </c>
      <c r="C2444" s="3">
        <f>VLOOKUP(B2444,LifeList!$E$2:$J$2038,6)</f>
        <v>10790</v>
      </c>
      <c r="D2444" s="3" t="str">
        <f>VLOOKUP(B2444,LifeList!$E$2:$G$2038,1)</f>
        <v>Orange-fronted Barbet</v>
      </c>
      <c r="E2444" s="3" t="str">
        <f>VLOOKUP(B2444,LifeList!$E$2:$G$2038,2)</f>
        <v>Cabézon à nuque blanche</v>
      </c>
      <c r="F2444" s="3" t="str">
        <f>VLOOKUP(B2444,LifeList!$E$2:$G$2038,3)</f>
        <v>Capito squamatus</v>
      </c>
      <c r="G2444" s="3" t="str">
        <f>VLOOKUP(B2444,LifeList!$E$2:$I$2038,4)</f>
        <v>Piciformes</v>
      </c>
      <c r="H2444" s="3" t="str">
        <f>VLOOKUP(B2444,LifeList!$E$2:$I$2038,5)</f>
        <v>Capitonidae (New World Barbets)</v>
      </c>
      <c r="I2444" s="3"/>
    </row>
    <row r="2445" spans="1:9" ht="10.5" customHeight="1">
      <c r="A2445" s="3" t="s">
        <v>3431</v>
      </c>
      <c r="B2445" s="3" t="s">
        <v>3432</v>
      </c>
      <c r="C2445" s="3">
        <f>VLOOKUP(B2445,LifeList!$E$2:$J$2038,6)</f>
        <v>13097</v>
      </c>
      <c r="D2445" s="3" t="str">
        <f>VLOOKUP(B2445,LifeList!$E$2:$G$2038,1)</f>
        <v>Orange-fronted Parakeet</v>
      </c>
      <c r="E2445" s="3" t="str">
        <f>VLOOKUP(B2445,LifeList!$E$2:$G$2038,2)</f>
        <v>Conure à front rouge</v>
      </c>
      <c r="F2445" s="3" t="str">
        <f>VLOOKUP(B2445,LifeList!$E$2:$G$2038,3)</f>
        <v>Eupsittula canicularis</v>
      </c>
      <c r="G2445" s="3" t="str">
        <f>VLOOKUP(B2445,LifeList!$E$2:$I$2038,4)</f>
        <v>Psittaciformes</v>
      </c>
      <c r="H2445" s="3" t="str">
        <f>VLOOKUP(B2445,LifeList!$E$2:$I$2038,5)</f>
        <v>Psittacidae (New World and African Parrots)</v>
      </c>
      <c r="I2445" s="3"/>
    </row>
    <row r="2446" spans="1:9" ht="10.5" customHeight="1">
      <c r="A2446" s="3" t="s">
        <v>3433</v>
      </c>
      <c r="B2446" s="3" t="s">
        <v>3434</v>
      </c>
      <c r="C2446" s="3">
        <f>VLOOKUP(B2446,LifeList!$E$2:$J$2038,6)</f>
        <v>12970</v>
      </c>
      <c r="D2446" s="3" t="str">
        <f>VLOOKUP(B2446,LifeList!$E$2:$G$2038,1)</f>
        <v>Orange-winged Amazon</v>
      </c>
      <c r="E2446" s="3" t="str">
        <f>VLOOKUP(B2446,LifeList!$E$2:$G$2038,2)</f>
        <v>Amazone aourou</v>
      </c>
      <c r="F2446" s="3" t="str">
        <f>VLOOKUP(B2446,LifeList!$E$2:$G$2038,3)</f>
        <v>Amazona amazonica</v>
      </c>
      <c r="G2446" s="3" t="str">
        <f>VLOOKUP(B2446,LifeList!$E$2:$I$2038,4)</f>
        <v>Psittaciformes</v>
      </c>
      <c r="H2446" s="3" t="str">
        <f>VLOOKUP(B2446,LifeList!$E$2:$I$2038,5)</f>
        <v>Psittacidae (New World and African Parrots)</v>
      </c>
      <c r="I2446" s="3"/>
    </row>
    <row r="2447" spans="1:9" ht="10.5" customHeight="1">
      <c r="A2447" s="3" t="s">
        <v>3435</v>
      </c>
      <c r="B2447" s="3" t="s">
        <v>3436</v>
      </c>
      <c r="C2447" s="3">
        <f>VLOOKUP(B2447,LifeList!$E$2:$J$2038,6)</f>
        <v>33679</v>
      </c>
      <c r="D2447" s="3" t="str">
        <f>VLOOKUP(B2447,LifeList!$E$2:$G$2038,1)</f>
        <v>Orchard Oriole</v>
      </c>
      <c r="E2447" s="3" t="str">
        <f>VLOOKUP(B2447,LifeList!$E$2:$G$2038,2)</f>
        <v>Oriole des vergers</v>
      </c>
      <c r="F2447" s="3" t="str">
        <f>VLOOKUP(B2447,LifeList!$E$2:$G$2038,3)</f>
        <v>Icterus spurius</v>
      </c>
      <c r="G2447" s="3" t="str">
        <f>VLOOKUP(B2447,LifeList!$E$2:$I$2038,4)</f>
        <v>Passeriformes</v>
      </c>
      <c r="H2447" s="3" t="str">
        <f>VLOOKUP(B2447,LifeList!$E$2:$I$2038,5)</f>
        <v>Icteridae (Troupials and Allies)</v>
      </c>
      <c r="I2447" s="3"/>
    </row>
    <row r="2448" spans="1:9" ht="10.5" customHeight="1">
      <c r="A2448" s="3" t="s">
        <v>3437</v>
      </c>
      <c r="B2448" s="3" t="s">
        <v>3436</v>
      </c>
      <c r="C2448" s="3">
        <f>VLOOKUP(B2448,LifeList!$E$2:$J$2038,6)</f>
        <v>33679</v>
      </c>
      <c r="D2448" s="3" t="str">
        <f>VLOOKUP(B2448,LifeList!$E$2:$G$2038,1)</f>
        <v>Orchard Oriole</v>
      </c>
      <c r="E2448" s="3" t="str">
        <f>VLOOKUP(B2448,LifeList!$E$2:$G$2038,2)</f>
        <v>Oriole des vergers</v>
      </c>
      <c r="F2448" s="3" t="str">
        <f>VLOOKUP(B2448,LifeList!$E$2:$G$2038,3)</f>
        <v>Icterus spurius</v>
      </c>
      <c r="G2448" s="3" t="str">
        <f>VLOOKUP(B2448,LifeList!$E$2:$I$2038,4)</f>
        <v>Passeriformes</v>
      </c>
      <c r="H2448" s="3" t="str">
        <f>VLOOKUP(B2448,LifeList!$E$2:$I$2038,5)</f>
        <v>Icteridae (Troupials and Allies)</v>
      </c>
      <c r="I2448" s="3"/>
    </row>
    <row r="2449" spans="1:9" ht="10.5" customHeight="1">
      <c r="A2449" s="3" t="s">
        <v>3438</v>
      </c>
      <c r="B2449" s="3" t="s">
        <v>3436</v>
      </c>
      <c r="C2449" s="3">
        <f>VLOOKUP(B2449,LifeList!$E$2:$J$2038,6)</f>
        <v>33679</v>
      </c>
      <c r="D2449" s="3" t="str">
        <f>VLOOKUP(B2449,LifeList!$E$2:$G$2038,1)</f>
        <v>Orchard Oriole</v>
      </c>
      <c r="E2449" s="3" t="str">
        <f>VLOOKUP(B2449,LifeList!$E$2:$G$2038,2)</f>
        <v>Oriole des vergers</v>
      </c>
      <c r="F2449" s="3" t="str">
        <f>VLOOKUP(B2449,LifeList!$E$2:$G$2038,3)</f>
        <v>Icterus spurius</v>
      </c>
      <c r="G2449" s="3" t="str">
        <f>VLOOKUP(B2449,LifeList!$E$2:$I$2038,4)</f>
        <v>Passeriformes</v>
      </c>
      <c r="H2449" s="3" t="str">
        <f>VLOOKUP(B2449,LifeList!$E$2:$I$2038,5)</f>
        <v>Icteridae (Troupials and Allies)</v>
      </c>
      <c r="I2449" s="3"/>
    </row>
    <row r="2450" spans="1:9" ht="10.5" customHeight="1">
      <c r="A2450" s="3" t="s">
        <v>3439</v>
      </c>
      <c r="B2450" s="3" t="s">
        <v>3436</v>
      </c>
      <c r="C2450" s="3">
        <f>VLOOKUP(B2450,LifeList!$E$2:$J$2038,6)</f>
        <v>33679</v>
      </c>
      <c r="D2450" s="3" t="str">
        <f>VLOOKUP(B2450,LifeList!$E$2:$G$2038,1)</f>
        <v>Orchard Oriole</v>
      </c>
      <c r="E2450" s="3" t="str">
        <f>VLOOKUP(B2450,LifeList!$E$2:$G$2038,2)</f>
        <v>Oriole des vergers</v>
      </c>
      <c r="F2450" s="3" t="str">
        <f>VLOOKUP(B2450,LifeList!$E$2:$G$2038,3)</f>
        <v>Icterus spurius</v>
      </c>
      <c r="G2450" s="3" t="str">
        <f>VLOOKUP(B2450,LifeList!$E$2:$I$2038,4)</f>
        <v>Passeriformes</v>
      </c>
      <c r="H2450" s="3" t="str">
        <f>VLOOKUP(B2450,LifeList!$E$2:$I$2038,5)</f>
        <v>Icteridae (Troupials and Allies)</v>
      </c>
      <c r="I2450" s="3"/>
    </row>
    <row r="2451" spans="1:9" ht="10.5" customHeight="1">
      <c r="A2451" s="3" t="s">
        <v>3440</v>
      </c>
      <c r="B2451" s="3" t="s">
        <v>3436</v>
      </c>
      <c r="C2451" s="3">
        <f>VLOOKUP(B2451,LifeList!$E$2:$J$2038,6)</f>
        <v>33679</v>
      </c>
      <c r="D2451" s="3" t="str">
        <f>VLOOKUP(B2451,LifeList!$E$2:$G$2038,1)</f>
        <v>Orchard Oriole</v>
      </c>
      <c r="E2451" s="3" t="str">
        <f>VLOOKUP(B2451,LifeList!$E$2:$G$2038,2)</f>
        <v>Oriole des vergers</v>
      </c>
      <c r="F2451" s="3" t="str">
        <f>VLOOKUP(B2451,LifeList!$E$2:$G$2038,3)</f>
        <v>Icterus spurius</v>
      </c>
      <c r="G2451" s="3" t="str">
        <f>VLOOKUP(B2451,LifeList!$E$2:$I$2038,4)</f>
        <v>Passeriformes</v>
      </c>
      <c r="H2451" s="3" t="str">
        <f>VLOOKUP(B2451,LifeList!$E$2:$I$2038,5)</f>
        <v>Icteridae (Troupials and Allies)</v>
      </c>
      <c r="I2451" s="3"/>
    </row>
    <row r="2452" spans="1:9" ht="10.5" customHeight="1">
      <c r="A2452" s="3" t="s">
        <v>3441</v>
      </c>
      <c r="B2452" s="3" t="s">
        <v>3436</v>
      </c>
      <c r="C2452" s="3">
        <f>VLOOKUP(B2452,LifeList!$E$2:$J$2038,6)</f>
        <v>33679</v>
      </c>
      <c r="D2452" s="3" t="str">
        <f>VLOOKUP(B2452,LifeList!$E$2:$G$2038,1)</f>
        <v>Orchard Oriole</v>
      </c>
      <c r="E2452" s="3" t="str">
        <f>VLOOKUP(B2452,LifeList!$E$2:$G$2038,2)</f>
        <v>Oriole des vergers</v>
      </c>
      <c r="F2452" s="3" t="str">
        <f>VLOOKUP(B2452,LifeList!$E$2:$G$2038,3)</f>
        <v>Icterus spurius</v>
      </c>
      <c r="G2452" s="3" t="str">
        <f>VLOOKUP(B2452,LifeList!$E$2:$I$2038,4)</f>
        <v>Passeriformes</v>
      </c>
      <c r="H2452" s="3" t="str">
        <f>VLOOKUP(B2452,LifeList!$E$2:$I$2038,5)</f>
        <v>Icteridae (Troupials and Allies)</v>
      </c>
      <c r="I2452" s="3"/>
    </row>
    <row r="2453" spans="1:9" ht="10.5" customHeight="1">
      <c r="A2453" s="3" t="s">
        <v>3442</v>
      </c>
      <c r="B2453" s="3" t="s">
        <v>3436</v>
      </c>
      <c r="C2453" s="3">
        <f>VLOOKUP(B2453,LifeList!$E$2:$J$2038,6)</f>
        <v>33679</v>
      </c>
      <c r="D2453" s="3" t="str">
        <f>VLOOKUP(B2453,LifeList!$E$2:$G$2038,1)</f>
        <v>Orchard Oriole</v>
      </c>
      <c r="E2453" s="3" t="str">
        <f>VLOOKUP(B2453,LifeList!$E$2:$G$2038,2)</f>
        <v>Oriole des vergers</v>
      </c>
      <c r="F2453" s="3" t="str">
        <f>VLOOKUP(B2453,LifeList!$E$2:$G$2038,3)</f>
        <v>Icterus spurius</v>
      </c>
      <c r="G2453" s="3" t="str">
        <f>VLOOKUP(B2453,LifeList!$E$2:$I$2038,4)</f>
        <v>Passeriformes</v>
      </c>
      <c r="H2453" s="3" t="str">
        <f>VLOOKUP(B2453,LifeList!$E$2:$I$2038,5)</f>
        <v>Icteridae (Troupials and Allies)</v>
      </c>
      <c r="I2453" s="3"/>
    </row>
    <row r="2454" spans="1:9" ht="10.5" customHeight="1">
      <c r="A2454" s="3" t="s">
        <v>3443</v>
      </c>
      <c r="B2454" s="3" t="s">
        <v>3436</v>
      </c>
      <c r="C2454" s="3">
        <f>VLOOKUP(B2454,LifeList!$E$2:$J$2038,6)</f>
        <v>33679</v>
      </c>
      <c r="D2454" s="3" t="str">
        <f>VLOOKUP(B2454,LifeList!$E$2:$G$2038,1)</f>
        <v>Orchard Oriole</v>
      </c>
      <c r="E2454" s="3" t="str">
        <f>VLOOKUP(B2454,LifeList!$E$2:$G$2038,2)</f>
        <v>Oriole des vergers</v>
      </c>
      <c r="F2454" s="3" t="str">
        <f>VLOOKUP(B2454,LifeList!$E$2:$G$2038,3)</f>
        <v>Icterus spurius</v>
      </c>
      <c r="G2454" s="3" t="str">
        <f>VLOOKUP(B2454,LifeList!$E$2:$I$2038,4)</f>
        <v>Passeriformes</v>
      </c>
      <c r="H2454" s="3" t="str">
        <f>VLOOKUP(B2454,LifeList!$E$2:$I$2038,5)</f>
        <v>Icteridae (Troupials and Allies)</v>
      </c>
      <c r="I2454" s="3"/>
    </row>
    <row r="2455" spans="1:9" ht="10.5" customHeight="1">
      <c r="A2455" s="3" t="s">
        <v>3444</v>
      </c>
      <c r="B2455" s="3" t="s">
        <v>3436</v>
      </c>
      <c r="C2455" s="3">
        <f>VLOOKUP(B2455,LifeList!$E$2:$J$2038,6)</f>
        <v>33679</v>
      </c>
      <c r="D2455" s="3" t="str">
        <f>VLOOKUP(B2455,LifeList!$E$2:$G$2038,1)</f>
        <v>Orchard Oriole</v>
      </c>
      <c r="E2455" s="3" t="str">
        <f>VLOOKUP(B2455,LifeList!$E$2:$G$2038,2)</f>
        <v>Oriole des vergers</v>
      </c>
      <c r="F2455" s="3" t="str">
        <f>VLOOKUP(B2455,LifeList!$E$2:$G$2038,3)</f>
        <v>Icterus spurius</v>
      </c>
      <c r="G2455" s="3" t="str">
        <f>VLOOKUP(B2455,LifeList!$E$2:$I$2038,4)</f>
        <v>Passeriformes</v>
      </c>
      <c r="H2455" s="3" t="str">
        <f>VLOOKUP(B2455,LifeList!$E$2:$I$2038,5)</f>
        <v>Icteridae (Troupials and Allies)</v>
      </c>
      <c r="I2455" s="3"/>
    </row>
    <row r="2456" spans="1:9" ht="10.5" customHeight="1">
      <c r="A2456" s="3" t="s">
        <v>3445</v>
      </c>
      <c r="B2456" s="3" t="s">
        <v>3436</v>
      </c>
      <c r="C2456" s="3">
        <f>VLOOKUP(B2456,LifeList!$E$2:$J$2038,6)</f>
        <v>33679</v>
      </c>
      <c r="D2456" s="3" t="str">
        <f>VLOOKUP(B2456,LifeList!$E$2:$G$2038,1)</f>
        <v>Orchard Oriole</v>
      </c>
      <c r="E2456" s="3" t="str">
        <f>VLOOKUP(B2456,LifeList!$E$2:$G$2038,2)</f>
        <v>Oriole des vergers</v>
      </c>
      <c r="F2456" s="3" t="str">
        <f>VLOOKUP(B2456,LifeList!$E$2:$G$2038,3)</f>
        <v>Icterus spurius</v>
      </c>
      <c r="G2456" s="3" t="str">
        <f>VLOOKUP(B2456,LifeList!$E$2:$I$2038,4)</f>
        <v>Passeriformes</v>
      </c>
      <c r="H2456" s="3" t="str">
        <f>VLOOKUP(B2456,LifeList!$E$2:$I$2038,5)</f>
        <v>Icteridae (Troupials and Allies)</v>
      </c>
      <c r="I2456" s="3"/>
    </row>
    <row r="2457" spans="1:9" ht="10.5" customHeight="1">
      <c r="A2457" s="3" t="s">
        <v>3446</v>
      </c>
      <c r="B2457" s="3" t="s">
        <v>3447</v>
      </c>
      <c r="C2457" s="3">
        <f>VLOOKUP(B2457,LifeList!$E$2:$J$2038,6)</f>
        <v>35799</v>
      </c>
      <c r="D2457" s="3" t="str">
        <f>VLOOKUP(B2457,LifeList!$E$2:$G$2038,1)</f>
        <v>Orinocan Saltator</v>
      </c>
      <c r="E2457" s="3" t="str">
        <f>VLOOKUP(B2457,LifeList!$E$2:$G$2038,2)</f>
        <v>Saltator de l'Orénoque</v>
      </c>
      <c r="F2457" s="3" t="str">
        <f>VLOOKUP(B2457,LifeList!$E$2:$G$2038,3)</f>
        <v>Saltator orenocensis</v>
      </c>
      <c r="G2457" s="3" t="str">
        <f>VLOOKUP(B2457,LifeList!$E$2:$I$2038,4)</f>
        <v>Passeriformes</v>
      </c>
      <c r="H2457" s="3" t="str">
        <f>VLOOKUP(B2457,LifeList!$E$2:$I$2038,5)</f>
        <v>Thraupidae (Tanagers and Allies)</v>
      </c>
      <c r="I2457" s="3"/>
    </row>
    <row r="2458" spans="1:9" ht="10.5" customHeight="1">
      <c r="A2458" s="3" t="s">
        <v>3448</v>
      </c>
      <c r="B2458" s="3" t="s">
        <v>3449</v>
      </c>
      <c r="C2458" s="3">
        <f>VLOOKUP(B2458,LifeList!$E$2:$J$2038,6)</f>
        <v>7832</v>
      </c>
      <c r="D2458" s="3" t="str">
        <f>VLOOKUP(B2458,LifeList!$E$2:$G$2038,1)</f>
        <v>Osprey</v>
      </c>
      <c r="E2458" s="3" t="str">
        <f>VLOOKUP(B2458,LifeList!$E$2:$G$2038,2)</f>
        <v>Balbuzard pêcheur</v>
      </c>
      <c r="F2458" s="3" t="str">
        <f>VLOOKUP(B2458,LifeList!$E$2:$G$2038,3)</f>
        <v>Pandion haliaetus</v>
      </c>
      <c r="G2458" s="3" t="str">
        <f>VLOOKUP(B2458,LifeList!$E$2:$I$2038,4)</f>
        <v>Accipitriformes</v>
      </c>
      <c r="H2458" s="3" t="str">
        <f>VLOOKUP(B2458,LifeList!$E$2:$I$2038,5)</f>
        <v>Pandionidae (Osprey)</v>
      </c>
      <c r="I2458" s="3"/>
    </row>
    <row r="2459" spans="1:9" ht="10.5" customHeight="1">
      <c r="A2459" s="3" t="s">
        <v>3450</v>
      </c>
      <c r="B2459" s="3" t="s">
        <v>3449</v>
      </c>
      <c r="C2459" s="3">
        <f>VLOOKUP(B2459,LifeList!$E$2:$J$2038,6)</f>
        <v>7832</v>
      </c>
      <c r="D2459" s="3" t="str">
        <f>VLOOKUP(B2459,LifeList!$E$2:$G$2038,1)</f>
        <v>Osprey</v>
      </c>
      <c r="E2459" s="3" t="str">
        <f>VLOOKUP(B2459,LifeList!$E$2:$G$2038,2)</f>
        <v>Balbuzard pêcheur</v>
      </c>
      <c r="F2459" s="3" t="str">
        <f>VLOOKUP(B2459,LifeList!$E$2:$G$2038,3)</f>
        <v>Pandion haliaetus</v>
      </c>
      <c r="G2459" s="3" t="str">
        <f>VLOOKUP(B2459,LifeList!$E$2:$I$2038,4)</f>
        <v>Accipitriformes</v>
      </c>
      <c r="H2459" s="3" t="str">
        <f>VLOOKUP(B2459,LifeList!$E$2:$I$2038,5)</f>
        <v>Pandionidae (Osprey)</v>
      </c>
      <c r="I2459" s="3"/>
    </row>
    <row r="2460" spans="1:9" ht="10.5" customHeight="1">
      <c r="A2460" s="3" t="s">
        <v>3451</v>
      </c>
      <c r="B2460" s="3" t="s">
        <v>3449</v>
      </c>
      <c r="C2460" s="3">
        <f>VLOOKUP(B2460,LifeList!$E$2:$J$2038,6)</f>
        <v>7832</v>
      </c>
      <c r="D2460" s="3" t="str">
        <f>VLOOKUP(B2460,LifeList!$E$2:$G$2038,1)</f>
        <v>Osprey</v>
      </c>
      <c r="E2460" s="3" t="str">
        <f>VLOOKUP(B2460,LifeList!$E$2:$G$2038,2)</f>
        <v>Balbuzard pêcheur</v>
      </c>
      <c r="F2460" s="3" t="str">
        <f>VLOOKUP(B2460,LifeList!$E$2:$G$2038,3)</f>
        <v>Pandion haliaetus</v>
      </c>
      <c r="G2460" s="3" t="str">
        <f>VLOOKUP(B2460,LifeList!$E$2:$I$2038,4)</f>
        <v>Accipitriformes</v>
      </c>
      <c r="H2460" s="3" t="str">
        <f>VLOOKUP(B2460,LifeList!$E$2:$I$2038,5)</f>
        <v>Pandionidae (Osprey)</v>
      </c>
      <c r="I2460" s="3"/>
    </row>
    <row r="2461" spans="1:9" ht="10.5" customHeight="1">
      <c r="A2461" s="3" t="s">
        <v>3452</v>
      </c>
      <c r="B2461" s="3" t="s">
        <v>3449</v>
      </c>
      <c r="C2461" s="3">
        <f>VLOOKUP(B2461,LifeList!$E$2:$J$2038,6)</f>
        <v>7832</v>
      </c>
      <c r="D2461" s="3" t="str">
        <f>VLOOKUP(B2461,LifeList!$E$2:$G$2038,1)</f>
        <v>Osprey</v>
      </c>
      <c r="E2461" s="3" t="str">
        <f>VLOOKUP(B2461,LifeList!$E$2:$G$2038,2)</f>
        <v>Balbuzard pêcheur</v>
      </c>
      <c r="F2461" s="3" t="str">
        <f>VLOOKUP(B2461,LifeList!$E$2:$G$2038,3)</f>
        <v>Pandion haliaetus</v>
      </c>
      <c r="G2461" s="3" t="str">
        <f>VLOOKUP(B2461,LifeList!$E$2:$I$2038,4)</f>
        <v>Accipitriformes</v>
      </c>
      <c r="H2461" s="3" t="str">
        <f>VLOOKUP(B2461,LifeList!$E$2:$I$2038,5)</f>
        <v>Pandionidae (Osprey)</v>
      </c>
      <c r="I2461" s="3"/>
    </row>
    <row r="2462" spans="1:9" ht="10.5" customHeight="1">
      <c r="A2462" s="3" t="s">
        <v>3453</v>
      </c>
      <c r="B2462" s="3" t="s">
        <v>3449</v>
      </c>
      <c r="C2462" s="3">
        <f>VLOOKUP(B2462,LifeList!$E$2:$J$2038,6)</f>
        <v>7832</v>
      </c>
      <c r="D2462" s="3" t="str">
        <f>VLOOKUP(B2462,LifeList!$E$2:$G$2038,1)</f>
        <v>Osprey</v>
      </c>
      <c r="E2462" s="3" t="str">
        <f>VLOOKUP(B2462,LifeList!$E$2:$G$2038,2)</f>
        <v>Balbuzard pêcheur</v>
      </c>
      <c r="F2462" s="3" t="str">
        <f>VLOOKUP(B2462,LifeList!$E$2:$G$2038,3)</f>
        <v>Pandion haliaetus</v>
      </c>
      <c r="G2462" s="3" t="str">
        <f>VLOOKUP(B2462,LifeList!$E$2:$I$2038,4)</f>
        <v>Accipitriformes</v>
      </c>
      <c r="H2462" s="3" t="str">
        <f>VLOOKUP(B2462,LifeList!$E$2:$I$2038,5)</f>
        <v>Pandionidae (Osprey)</v>
      </c>
      <c r="I2462" s="3"/>
    </row>
    <row r="2463" spans="1:9" ht="10.5" customHeight="1">
      <c r="A2463" s="3" t="s">
        <v>3454</v>
      </c>
      <c r="B2463" s="3" t="s">
        <v>3449</v>
      </c>
      <c r="C2463" s="3">
        <f>VLOOKUP(B2463,LifeList!$E$2:$J$2038,6)</f>
        <v>7832</v>
      </c>
      <c r="D2463" s="3" t="str">
        <f>VLOOKUP(B2463,LifeList!$E$2:$G$2038,1)</f>
        <v>Osprey</v>
      </c>
      <c r="E2463" s="3" t="str">
        <f>VLOOKUP(B2463,LifeList!$E$2:$G$2038,2)</f>
        <v>Balbuzard pêcheur</v>
      </c>
      <c r="F2463" s="3" t="str">
        <f>VLOOKUP(B2463,LifeList!$E$2:$G$2038,3)</f>
        <v>Pandion haliaetus</v>
      </c>
      <c r="G2463" s="3" t="str">
        <f>VLOOKUP(B2463,LifeList!$E$2:$I$2038,4)</f>
        <v>Accipitriformes</v>
      </c>
      <c r="H2463" s="3" t="str">
        <f>VLOOKUP(B2463,LifeList!$E$2:$I$2038,5)</f>
        <v>Pandionidae (Osprey)</v>
      </c>
      <c r="I2463" s="3"/>
    </row>
    <row r="2464" spans="1:9" ht="10.5" customHeight="1">
      <c r="A2464" s="3" t="s">
        <v>3455</v>
      </c>
      <c r="B2464" s="3" t="s">
        <v>3449</v>
      </c>
      <c r="C2464" s="3">
        <f>VLOOKUP(B2464,LifeList!$E$2:$J$2038,6)</f>
        <v>7832</v>
      </c>
      <c r="D2464" s="3" t="str">
        <f>VLOOKUP(B2464,LifeList!$E$2:$G$2038,1)</f>
        <v>Osprey</v>
      </c>
      <c r="E2464" s="3" t="str">
        <f>VLOOKUP(B2464,LifeList!$E$2:$G$2038,2)</f>
        <v>Balbuzard pêcheur</v>
      </c>
      <c r="F2464" s="3" t="str">
        <f>VLOOKUP(B2464,LifeList!$E$2:$G$2038,3)</f>
        <v>Pandion haliaetus</v>
      </c>
      <c r="G2464" s="3" t="str">
        <f>VLOOKUP(B2464,LifeList!$E$2:$I$2038,4)</f>
        <v>Accipitriformes</v>
      </c>
      <c r="H2464" s="3" t="str">
        <f>VLOOKUP(B2464,LifeList!$E$2:$I$2038,5)</f>
        <v>Pandionidae (Osprey)</v>
      </c>
      <c r="I2464" s="3"/>
    </row>
    <row r="2465" spans="1:9" ht="10.5" customHeight="1">
      <c r="A2465" s="3" t="s">
        <v>3456</v>
      </c>
      <c r="B2465" s="3" t="s">
        <v>3449</v>
      </c>
      <c r="C2465" s="3">
        <f>VLOOKUP(B2465,LifeList!$E$2:$J$2038,6)</f>
        <v>7832</v>
      </c>
      <c r="D2465" s="3" t="str">
        <f>VLOOKUP(B2465,LifeList!$E$2:$G$2038,1)</f>
        <v>Osprey</v>
      </c>
      <c r="E2465" s="3" t="str">
        <f>VLOOKUP(B2465,LifeList!$E$2:$G$2038,2)</f>
        <v>Balbuzard pêcheur</v>
      </c>
      <c r="F2465" s="3" t="str">
        <f>VLOOKUP(B2465,LifeList!$E$2:$G$2038,3)</f>
        <v>Pandion haliaetus</v>
      </c>
      <c r="G2465" s="3" t="str">
        <f>VLOOKUP(B2465,LifeList!$E$2:$I$2038,4)</f>
        <v>Accipitriformes</v>
      </c>
      <c r="H2465" s="3" t="str">
        <f>VLOOKUP(B2465,LifeList!$E$2:$I$2038,5)</f>
        <v>Pandionidae (Osprey)</v>
      </c>
      <c r="I2465" s="3"/>
    </row>
    <row r="2466" spans="1:9" ht="10.5" customHeight="1">
      <c r="A2466" s="3" t="s">
        <v>3457</v>
      </c>
      <c r="B2466" s="3" t="s">
        <v>3449</v>
      </c>
      <c r="C2466" s="3">
        <f>VLOOKUP(B2466,LifeList!$E$2:$J$2038,6)</f>
        <v>7832</v>
      </c>
      <c r="D2466" s="3" t="str">
        <f>VLOOKUP(B2466,LifeList!$E$2:$G$2038,1)</f>
        <v>Osprey</v>
      </c>
      <c r="E2466" s="3" t="str">
        <f>VLOOKUP(B2466,LifeList!$E$2:$G$2038,2)</f>
        <v>Balbuzard pêcheur</v>
      </c>
      <c r="F2466" s="3" t="str">
        <f>VLOOKUP(B2466,LifeList!$E$2:$G$2038,3)</f>
        <v>Pandion haliaetus</v>
      </c>
      <c r="G2466" s="3" t="str">
        <f>VLOOKUP(B2466,LifeList!$E$2:$I$2038,4)</f>
        <v>Accipitriformes</v>
      </c>
      <c r="H2466" s="3" t="str">
        <f>VLOOKUP(B2466,LifeList!$E$2:$I$2038,5)</f>
        <v>Pandionidae (Osprey)</v>
      </c>
      <c r="I2466" s="3"/>
    </row>
    <row r="2467" spans="1:9" ht="10.5" customHeight="1">
      <c r="A2467" s="3" t="s">
        <v>3458</v>
      </c>
      <c r="B2467" s="3" t="s">
        <v>3449</v>
      </c>
      <c r="C2467" s="3">
        <f>VLOOKUP(B2467,LifeList!$E$2:$J$2038,6)</f>
        <v>7832</v>
      </c>
      <c r="D2467" s="3" t="str">
        <f>VLOOKUP(B2467,LifeList!$E$2:$G$2038,1)</f>
        <v>Osprey</v>
      </c>
      <c r="E2467" s="3" t="str">
        <f>VLOOKUP(B2467,LifeList!$E$2:$G$2038,2)</f>
        <v>Balbuzard pêcheur</v>
      </c>
      <c r="F2467" s="3" t="str">
        <f>VLOOKUP(B2467,LifeList!$E$2:$G$2038,3)</f>
        <v>Pandion haliaetus</v>
      </c>
      <c r="G2467" s="3" t="str">
        <f>VLOOKUP(B2467,LifeList!$E$2:$I$2038,4)</f>
        <v>Accipitriformes</v>
      </c>
      <c r="H2467" s="3" t="str">
        <f>VLOOKUP(B2467,LifeList!$E$2:$I$2038,5)</f>
        <v>Pandionidae (Osprey)</v>
      </c>
      <c r="I2467" s="3"/>
    </row>
    <row r="2468" spans="1:9" ht="10.5" customHeight="1">
      <c r="A2468" s="3" t="s">
        <v>3459</v>
      </c>
      <c r="B2468" s="3" t="s">
        <v>3449</v>
      </c>
      <c r="C2468" s="3">
        <f>VLOOKUP(B2468,LifeList!$E$2:$J$2038,6)</f>
        <v>7832</v>
      </c>
      <c r="D2468" s="3" t="str">
        <f>VLOOKUP(B2468,LifeList!$E$2:$G$2038,1)</f>
        <v>Osprey</v>
      </c>
      <c r="E2468" s="3" t="str">
        <f>VLOOKUP(B2468,LifeList!$E$2:$G$2038,2)</f>
        <v>Balbuzard pêcheur</v>
      </c>
      <c r="F2468" s="3" t="str">
        <f>VLOOKUP(B2468,LifeList!$E$2:$G$2038,3)</f>
        <v>Pandion haliaetus</v>
      </c>
      <c r="G2468" s="3" t="str">
        <f>VLOOKUP(B2468,LifeList!$E$2:$I$2038,4)</f>
        <v>Accipitriformes</v>
      </c>
      <c r="H2468" s="3" t="str">
        <f>VLOOKUP(B2468,LifeList!$E$2:$I$2038,5)</f>
        <v>Pandionidae (Osprey)</v>
      </c>
      <c r="I2468" s="3"/>
    </row>
    <row r="2469" spans="1:9" ht="10.5" customHeight="1">
      <c r="A2469" s="3" t="s">
        <v>3460</v>
      </c>
      <c r="B2469" s="3" t="s">
        <v>3449</v>
      </c>
      <c r="C2469" s="3">
        <f>VLOOKUP(B2469,LifeList!$E$2:$J$2038,6)</f>
        <v>7832</v>
      </c>
      <c r="D2469" s="3" t="str">
        <f>VLOOKUP(B2469,LifeList!$E$2:$G$2038,1)</f>
        <v>Osprey</v>
      </c>
      <c r="E2469" s="3" t="str">
        <f>VLOOKUP(B2469,LifeList!$E$2:$G$2038,2)</f>
        <v>Balbuzard pêcheur</v>
      </c>
      <c r="F2469" s="3" t="str">
        <f>VLOOKUP(B2469,LifeList!$E$2:$G$2038,3)</f>
        <v>Pandion haliaetus</v>
      </c>
      <c r="G2469" s="3" t="str">
        <f>VLOOKUP(B2469,LifeList!$E$2:$I$2038,4)</f>
        <v>Accipitriformes</v>
      </c>
      <c r="H2469" s="3" t="str">
        <f>VLOOKUP(B2469,LifeList!$E$2:$I$2038,5)</f>
        <v>Pandionidae (Osprey)</v>
      </c>
      <c r="I2469" s="3"/>
    </row>
    <row r="2470" spans="1:9" ht="10.5" customHeight="1">
      <c r="A2470" s="3" t="s">
        <v>3461</v>
      </c>
      <c r="B2470" s="3" t="s">
        <v>3449</v>
      </c>
      <c r="C2470" s="3">
        <f>VLOOKUP(B2470,LifeList!$E$2:$J$2038,6)</f>
        <v>7832</v>
      </c>
      <c r="D2470" s="3" t="str">
        <f>VLOOKUP(B2470,LifeList!$E$2:$G$2038,1)</f>
        <v>Osprey</v>
      </c>
      <c r="E2470" s="3" t="str">
        <f>VLOOKUP(B2470,LifeList!$E$2:$G$2038,2)</f>
        <v>Balbuzard pêcheur</v>
      </c>
      <c r="F2470" s="3" t="str">
        <f>VLOOKUP(B2470,LifeList!$E$2:$G$2038,3)</f>
        <v>Pandion haliaetus</v>
      </c>
      <c r="G2470" s="3" t="str">
        <f>VLOOKUP(B2470,LifeList!$E$2:$I$2038,4)</f>
        <v>Accipitriformes</v>
      </c>
      <c r="H2470" s="3" t="str">
        <f>VLOOKUP(B2470,LifeList!$E$2:$I$2038,5)</f>
        <v>Pandionidae (Osprey)</v>
      </c>
      <c r="I2470" s="3"/>
    </row>
    <row r="2471" spans="1:9" ht="10.5" customHeight="1">
      <c r="A2471" s="3" t="s">
        <v>3462</v>
      </c>
      <c r="B2471" s="3" t="s">
        <v>3449</v>
      </c>
      <c r="C2471" s="3">
        <f>VLOOKUP(B2471,LifeList!$E$2:$J$2038,6)</f>
        <v>7832</v>
      </c>
      <c r="D2471" s="3" t="str">
        <f>VLOOKUP(B2471,LifeList!$E$2:$G$2038,1)</f>
        <v>Osprey</v>
      </c>
      <c r="E2471" s="3" t="str">
        <f>VLOOKUP(B2471,LifeList!$E$2:$G$2038,2)</f>
        <v>Balbuzard pêcheur</v>
      </c>
      <c r="F2471" s="3" t="str">
        <f>VLOOKUP(B2471,LifeList!$E$2:$G$2038,3)</f>
        <v>Pandion haliaetus</v>
      </c>
      <c r="G2471" s="3" t="str">
        <f>VLOOKUP(B2471,LifeList!$E$2:$I$2038,4)</f>
        <v>Accipitriformes</v>
      </c>
      <c r="H2471" s="3" t="str">
        <f>VLOOKUP(B2471,LifeList!$E$2:$I$2038,5)</f>
        <v>Pandionidae (Osprey)</v>
      </c>
      <c r="I2471" s="3"/>
    </row>
    <row r="2472" spans="1:9" ht="10.5" customHeight="1">
      <c r="A2472" s="3" t="s">
        <v>3463</v>
      </c>
      <c r="B2472" s="3" t="s">
        <v>3449</v>
      </c>
      <c r="C2472" s="3">
        <f>VLOOKUP(B2472,LifeList!$E$2:$J$2038,6)</f>
        <v>7832</v>
      </c>
      <c r="D2472" s="3" t="str">
        <f>VLOOKUP(B2472,LifeList!$E$2:$G$2038,1)</f>
        <v>Osprey</v>
      </c>
      <c r="E2472" s="3" t="str">
        <f>VLOOKUP(B2472,LifeList!$E$2:$G$2038,2)</f>
        <v>Balbuzard pêcheur</v>
      </c>
      <c r="F2472" s="3" t="str">
        <f>VLOOKUP(B2472,LifeList!$E$2:$G$2038,3)</f>
        <v>Pandion haliaetus</v>
      </c>
      <c r="G2472" s="3" t="str">
        <f>VLOOKUP(B2472,LifeList!$E$2:$I$2038,4)</f>
        <v>Accipitriformes</v>
      </c>
      <c r="H2472" s="3" t="str">
        <f>VLOOKUP(B2472,LifeList!$E$2:$I$2038,5)</f>
        <v>Pandionidae (Osprey)</v>
      </c>
      <c r="I2472" s="3"/>
    </row>
    <row r="2473" spans="1:9" ht="10.5" customHeight="1">
      <c r="A2473" s="3" t="s">
        <v>3464</v>
      </c>
      <c r="B2473" s="3" t="s">
        <v>3449</v>
      </c>
      <c r="C2473" s="3">
        <f>VLOOKUP(B2473,LifeList!$E$2:$J$2038,6)</f>
        <v>7832</v>
      </c>
      <c r="D2473" s="3" t="str">
        <f>VLOOKUP(B2473,LifeList!$E$2:$G$2038,1)</f>
        <v>Osprey</v>
      </c>
      <c r="E2473" s="3" t="str">
        <f>VLOOKUP(B2473,LifeList!$E$2:$G$2038,2)</f>
        <v>Balbuzard pêcheur</v>
      </c>
      <c r="F2473" s="3" t="str">
        <f>VLOOKUP(B2473,LifeList!$E$2:$G$2038,3)</f>
        <v>Pandion haliaetus</v>
      </c>
      <c r="G2473" s="3" t="str">
        <f>VLOOKUP(B2473,LifeList!$E$2:$I$2038,4)</f>
        <v>Accipitriformes</v>
      </c>
      <c r="H2473" s="3" t="str">
        <f>VLOOKUP(B2473,LifeList!$E$2:$I$2038,5)</f>
        <v>Pandionidae (Osprey)</v>
      </c>
      <c r="I2473" s="3"/>
    </row>
    <row r="2474" spans="1:9" ht="10.5" customHeight="1">
      <c r="A2474" s="3" t="s">
        <v>3465</v>
      </c>
      <c r="B2474" s="3" t="s">
        <v>3449</v>
      </c>
      <c r="C2474" s="3">
        <f>VLOOKUP(B2474,LifeList!$E$2:$J$2038,6)</f>
        <v>7832</v>
      </c>
      <c r="D2474" s="3" t="str">
        <f>VLOOKUP(B2474,LifeList!$E$2:$G$2038,1)</f>
        <v>Osprey</v>
      </c>
      <c r="E2474" s="3" t="str">
        <f>VLOOKUP(B2474,LifeList!$E$2:$G$2038,2)</f>
        <v>Balbuzard pêcheur</v>
      </c>
      <c r="F2474" s="3" t="str">
        <f>VLOOKUP(B2474,LifeList!$E$2:$G$2038,3)</f>
        <v>Pandion haliaetus</v>
      </c>
      <c r="G2474" s="3" t="str">
        <f>VLOOKUP(B2474,LifeList!$E$2:$I$2038,4)</f>
        <v>Accipitriformes</v>
      </c>
      <c r="H2474" s="3" t="str">
        <f>VLOOKUP(B2474,LifeList!$E$2:$I$2038,5)</f>
        <v>Pandionidae (Osprey)</v>
      </c>
      <c r="I2474" s="3"/>
    </row>
    <row r="2475" spans="1:9" ht="10.5" customHeight="1">
      <c r="A2475" s="3" t="s">
        <v>3466</v>
      </c>
      <c r="B2475" s="3" t="s">
        <v>3467</v>
      </c>
      <c r="C2475" s="3">
        <f>VLOOKUP(B2475,LifeList!$E$2:$J$2038,6)</f>
        <v>33946</v>
      </c>
      <c r="D2475" s="3" t="str">
        <f>VLOOKUP(B2475,LifeList!$E$2:$G$2038,1)</f>
        <v>Ovenbird</v>
      </c>
      <c r="E2475" s="3" t="str">
        <f>VLOOKUP(B2475,LifeList!$E$2:$G$2038,2)</f>
        <v>Paruline couronnée</v>
      </c>
      <c r="F2475" s="3" t="str">
        <f>VLOOKUP(B2475,LifeList!$E$2:$G$2038,3)</f>
        <v>Seiurus aurocapilla</v>
      </c>
      <c r="G2475" s="3" t="str">
        <f>VLOOKUP(B2475,LifeList!$E$2:$I$2038,4)</f>
        <v>Passeriformes</v>
      </c>
      <c r="H2475" s="3" t="str">
        <f>VLOOKUP(B2475,LifeList!$E$2:$I$2038,5)</f>
        <v>Parulidae (New World Warblers)</v>
      </c>
      <c r="I2475" s="3"/>
    </row>
    <row r="2476" spans="1:9" ht="10.5" customHeight="1">
      <c r="A2476" s="3" t="s">
        <v>3468</v>
      </c>
      <c r="B2476" s="3" t="s">
        <v>3467</v>
      </c>
      <c r="C2476" s="3">
        <f>VLOOKUP(B2476,LifeList!$E$2:$J$2038,6)</f>
        <v>33946</v>
      </c>
      <c r="D2476" s="3" t="str">
        <f>VLOOKUP(B2476,LifeList!$E$2:$G$2038,1)</f>
        <v>Ovenbird</v>
      </c>
      <c r="E2476" s="3" t="str">
        <f>VLOOKUP(B2476,LifeList!$E$2:$G$2038,2)</f>
        <v>Paruline couronnée</v>
      </c>
      <c r="F2476" s="3" t="str">
        <f>VLOOKUP(B2476,LifeList!$E$2:$G$2038,3)</f>
        <v>Seiurus aurocapilla</v>
      </c>
      <c r="G2476" s="3" t="str">
        <f>VLOOKUP(B2476,LifeList!$E$2:$I$2038,4)</f>
        <v>Passeriformes</v>
      </c>
      <c r="H2476" s="3" t="str">
        <f>VLOOKUP(B2476,LifeList!$E$2:$I$2038,5)</f>
        <v>Parulidae (New World Warblers)</v>
      </c>
      <c r="I2476" s="3"/>
    </row>
    <row r="2477" spans="1:9" ht="10.5" customHeight="1">
      <c r="A2477" s="3" t="s">
        <v>3469</v>
      </c>
      <c r="B2477" s="3" t="s">
        <v>3467</v>
      </c>
      <c r="C2477" s="3">
        <f>VLOOKUP(B2477,LifeList!$E$2:$J$2038,6)</f>
        <v>33946</v>
      </c>
      <c r="D2477" s="3" t="str">
        <f>VLOOKUP(B2477,LifeList!$E$2:$G$2038,1)</f>
        <v>Ovenbird</v>
      </c>
      <c r="E2477" s="3" t="str">
        <f>VLOOKUP(B2477,LifeList!$E$2:$G$2038,2)</f>
        <v>Paruline couronnée</v>
      </c>
      <c r="F2477" s="3" t="str">
        <f>VLOOKUP(B2477,LifeList!$E$2:$G$2038,3)</f>
        <v>Seiurus aurocapilla</v>
      </c>
      <c r="G2477" s="3" t="str">
        <f>VLOOKUP(B2477,LifeList!$E$2:$I$2038,4)</f>
        <v>Passeriformes</v>
      </c>
      <c r="H2477" s="3" t="str">
        <f>VLOOKUP(B2477,LifeList!$E$2:$I$2038,5)</f>
        <v>Parulidae (New World Warblers)</v>
      </c>
      <c r="I2477" s="3"/>
    </row>
    <row r="2478" spans="1:9" ht="10.5" customHeight="1">
      <c r="A2478" s="3" t="s">
        <v>3470</v>
      </c>
      <c r="B2478" s="3" t="s">
        <v>3467</v>
      </c>
      <c r="C2478" s="3">
        <f>VLOOKUP(B2478,LifeList!$E$2:$J$2038,6)</f>
        <v>33946</v>
      </c>
      <c r="D2478" s="3" t="str">
        <f>VLOOKUP(B2478,LifeList!$E$2:$G$2038,1)</f>
        <v>Ovenbird</v>
      </c>
      <c r="E2478" s="3" t="str">
        <f>VLOOKUP(B2478,LifeList!$E$2:$G$2038,2)</f>
        <v>Paruline couronnée</v>
      </c>
      <c r="F2478" s="3" t="str">
        <f>VLOOKUP(B2478,LifeList!$E$2:$G$2038,3)</f>
        <v>Seiurus aurocapilla</v>
      </c>
      <c r="G2478" s="3" t="str">
        <f>VLOOKUP(B2478,LifeList!$E$2:$I$2038,4)</f>
        <v>Passeriformes</v>
      </c>
      <c r="H2478" s="3" t="str">
        <f>VLOOKUP(B2478,LifeList!$E$2:$I$2038,5)</f>
        <v>Parulidae (New World Warblers)</v>
      </c>
      <c r="I2478" s="3"/>
    </row>
    <row r="2479" spans="1:9" ht="10.5" customHeight="1">
      <c r="A2479" s="3" t="s">
        <v>3471</v>
      </c>
      <c r="B2479" s="3" t="s">
        <v>3467</v>
      </c>
      <c r="C2479" s="3">
        <f>VLOOKUP(B2479,LifeList!$E$2:$J$2038,6)</f>
        <v>33946</v>
      </c>
      <c r="D2479" s="3" t="str">
        <f>VLOOKUP(B2479,LifeList!$E$2:$G$2038,1)</f>
        <v>Ovenbird</v>
      </c>
      <c r="E2479" s="3" t="str">
        <f>VLOOKUP(B2479,LifeList!$E$2:$G$2038,2)</f>
        <v>Paruline couronnée</v>
      </c>
      <c r="F2479" s="3" t="str">
        <f>VLOOKUP(B2479,LifeList!$E$2:$G$2038,3)</f>
        <v>Seiurus aurocapilla</v>
      </c>
      <c r="G2479" s="3" t="str">
        <f>VLOOKUP(B2479,LifeList!$E$2:$I$2038,4)</f>
        <v>Passeriformes</v>
      </c>
      <c r="H2479" s="3" t="str">
        <f>VLOOKUP(B2479,LifeList!$E$2:$I$2038,5)</f>
        <v>Parulidae (New World Warblers)</v>
      </c>
      <c r="I2479" s="3"/>
    </row>
    <row r="2480" spans="1:9" ht="10.5" customHeight="1">
      <c r="A2480" s="3" t="s">
        <v>3472</v>
      </c>
      <c r="B2480" s="3" t="s">
        <v>3467</v>
      </c>
      <c r="C2480" s="3">
        <f>VLOOKUP(B2480,LifeList!$E$2:$J$2038,6)</f>
        <v>33946</v>
      </c>
      <c r="D2480" s="3" t="str">
        <f>VLOOKUP(B2480,LifeList!$E$2:$G$2038,1)</f>
        <v>Ovenbird</v>
      </c>
      <c r="E2480" s="3" t="str">
        <f>VLOOKUP(B2480,LifeList!$E$2:$G$2038,2)</f>
        <v>Paruline couronnée</v>
      </c>
      <c r="F2480" s="3" t="str">
        <f>VLOOKUP(B2480,LifeList!$E$2:$G$2038,3)</f>
        <v>Seiurus aurocapilla</v>
      </c>
      <c r="G2480" s="3" t="str">
        <f>VLOOKUP(B2480,LifeList!$E$2:$I$2038,4)</f>
        <v>Passeriformes</v>
      </c>
      <c r="H2480" s="3" t="str">
        <f>VLOOKUP(B2480,LifeList!$E$2:$I$2038,5)</f>
        <v>Parulidae (New World Warblers)</v>
      </c>
      <c r="I2480" s="3"/>
    </row>
    <row r="2481" spans="1:9" ht="10.5" customHeight="1">
      <c r="A2481" s="3" t="s">
        <v>3473</v>
      </c>
      <c r="B2481" s="3" t="s">
        <v>3467</v>
      </c>
      <c r="C2481" s="3">
        <f>VLOOKUP(B2481,LifeList!$E$2:$J$2038,6)</f>
        <v>33946</v>
      </c>
      <c r="D2481" s="3" t="str">
        <f>VLOOKUP(B2481,LifeList!$E$2:$G$2038,1)</f>
        <v>Ovenbird</v>
      </c>
      <c r="E2481" s="3" t="str">
        <f>VLOOKUP(B2481,LifeList!$E$2:$G$2038,2)</f>
        <v>Paruline couronnée</v>
      </c>
      <c r="F2481" s="3" t="str">
        <f>VLOOKUP(B2481,LifeList!$E$2:$G$2038,3)</f>
        <v>Seiurus aurocapilla</v>
      </c>
      <c r="G2481" s="3" t="str">
        <f>VLOOKUP(B2481,LifeList!$E$2:$I$2038,4)</f>
        <v>Passeriformes</v>
      </c>
      <c r="H2481" s="3" t="str">
        <f>VLOOKUP(B2481,LifeList!$E$2:$I$2038,5)</f>
        <v>Parulidae (New World Warblers)</v>
      </c>
      <c r="I2481" s="3"/>
    </row>
    <row r="2482" spans="1:9" ht="10.5" customHeight="1">
      <c r="A2482" s="3" t="s">
        <v>3474</v>
      </c>
      <c r="B2482" s="3" t="s">
        <v>3467</v>
      </c>
      <c r="C2482" s="3">
        <f>VLOOKUP(B2482,LifeList!$E$2:$J$2038,6)</f>
        <v>33946</v>
      </c>
      <c r="D2482" s="3" t="str">
        <f>VLOOKUP(B2482,LifeList!$E$2:$G$2038,1)</f>
        <v>Ovenbird</v>
      </c>
      <c r="E2482" s="3" t="str">
        <f>VLOOKUP(B2482,LifeList!$E$2:$G$2038,2)</f>
        <v>Paruline couronnée</v>
      </c>
      <c r="F2482" s="3" t="str">
        <f>VLOOKUP(B2482,LifeList!$E$2:$G$2038,3)</f>
        <v>Seiurus aurocapilla</v>
      </c>
      <c r="G2482" s="3" t="str">
        <f>VLOOKUP(B2482,LifeList!$E$2:$I$2038,4)</f>
        <v>Passeriformes</v>
      </c>
      <c r="H2482" s="3" t="str">
        <f>VLOOKUP(B2482,LifeList!$E$2:$I$2038,5)</f>
        <v>Parulidae (New World Warblers)</v>
      </c>
      <c r="I2482" s="3"/>
    </row>
    <row r="2483" spans="1:9" ht="10.5" customHeight="1">
      <c r="A2483" s="3" t="s">
        <v>3475</v>
      </c>
      <c r="B2483" s="3" t="s">
        <v>3467</v>
      </c>
      <c r="C2483" s="3">
        <f>VLOOKUP(B2483,LifeList!$E$2:$J$2038,6)</f>
        <v>33946</v>
      </c>
      <c r="D2483" s="3" t="str">
        <f>VLOOKUP(B2483,LifeList!$E$2:$G$2038,1)</f>
        <v>Ovenbird</v>
      </c>
      <c r="E2483" s="3" t="str">
        <f>VLOOKUP(B2483,LifeList!$E$2:$G$2038,2)</f>
        <v>Paruline couronnée</v>
      </c>
      <c r="F2483" s="3" t="str">
        <f>VLOOKUP(B2483,LifeList!$E$2:$G$2038,3)</f>
        <v>Seiurus aurocapilla</v>
      </c>
      <c r="G2483" s="3" t="str">
        <f>VLOOKUP(B2483,LifeList!$E$2:$I$2038,4)</f>
        <v>Passeriformes</v>
      </c>
      <c r="H2483" s="3" t="str">
        <f>VLOOKUP(B2483,LifeList!$E$2:$I$2038,5)</f>
        <v>Parulidae (New World Warblers)</v>
      </c>
      <c r="I2483" s="3"/>
    </row>
    <row r="2484" spans="1:9" ht="10.5" customHeight="1">
      <c r="A2484" s="3" t="s">
        <v>3476</v>
      </c>
      <c r="B2484" s="3" t="s">
        <v>3467</v>
      </c>
      <c r="C2484" s="3">
        <f>VLOOKUP(B2484,LifeList!$E$2:$J$2038,6)</f>
        <v>33946</v>
      </c>
      <c r="D2484" s="3" t="str">
        <f>VLOOKUP(B2484,LifeList!$E$2:$G$2038,1)</f>
        <v>Ovenbird</v>
      </c>
      <c r="E2484" s="3" t="str">
        <f>VLOOKUP(B2484,LifeList!$E$2:$G$2038,2)</f>
        <v>Paruline couronnée</v>
      </c>
      <c r="F2484" s="3" t="str">
        <f>VLOOKUP(B2484,LifeList!$E$2:$G$2038,3)</f>
        <v>Seiurus aurocapilla</v>
      </c>
      <c r="G2484" s="3" t="str">
        <f>VLOOKUP(B2484,LifeList!$E$2:$I$2038,4)</f>
        <v>Passeriformes</v>
      </c>
      <c r="H2484" s="3" t="str">
        <f>VLOOKUP(B2484,LifeList!$E$2:$I$2038,5)</f>
        <v>Parulidae (New World Warblers)</v>
      </c>
      <c r="I2484" s="3"/>
    </row>
    <row r="2485" spans="1:9" ht="10.5" customHeight="1">
      <c r="A2485" s="5" t="s">
        <v>3477</v>
      </c>
      <c r="B2485" s="3" t="s">
        <v>3478</v>
      </c>
      <c r="C2485" s="3">
        <f>VLOOKUP(B2485,LifeList!$E$2:$J$2038,6)</f>
        <v>6931</v>
      </c>
      <c r="D2485" s="3" t="str">
        <f>VLOOKUP(B2485,LifeList!$E$2:$G$2038,1)</f>
        <v>Pacific Loon</v>
      </c>
      <c r="E2485" s="3" t="str">
        <f>VLOOKUP(B2485,LifeList!$E$2:$G$2038,2)</f>
        <v>Plongeon du Pacifique</v>
      </c>
      <c r="F2485" s="3" t="str">
        <f>VLOOKUP(B2485,LifeList!$E$2:$G$2038,3)</f>
        <v>Gavia pacifica</v>
      </c>
      <c r="G2485" s="3" t="str">
        <f>VLOOKUP(B2485,LifeList!$E$2:$I$2038,4)</f>
        <v>Gaviiformes</v>
      </c>
      <c r="H2485" s="3" t="str">
        <f>VLOOKUP(B2485,LifeList!$E$2:$I$2038,5)</f>
        <v>Gaviidae (Loons)</v>
      </c>
      <c r="I2485" s="3"/>
    </row>
    <row r="2486" spans="1:9" ht="10.5" customHeight="1">
      <c r="A2486" s="5" t="s">
        <v>3479</v>
      </c>
      <c r="B2486" s="3" t="s">
        <v>3478</v>
      </c>
      <c r="C2486" s="3">
        <f>VLOOKUP(B2486,LifeList!$E$2:$J$2038,6)</f>
        <v>6931</v>
      </c>
      <c r="D2486" s="3" t="str">
        <f>VLOOKUP(B2486,LifeList!$E$2:$G$2038,1)</f>
        <v>Pacific Loon</v>
      </c>
      <c r="E2486" s="3" t="str">
        <f>VLOOKUP(B2486,LifeList!$E$2:$G$2038,2)</f>
        <v>Plongeon du Pacifique</v>
      </c>
      <c r="F2486" s="3" t="str">
        <f>VLOOKUP(B2486,LifeList!$E$2:$G$2038,3)</f>
        <v>Gavia pacifica</v>
      </c>
      <c r="G2486" s="3" t="str">
        <f>VLOOKUP(B2486,LifeList!$E$2:$I$2038,4)</f>
        <v>Gaviiformes</v>
      </c>
      <c r="H2486" s="3" t="str">
        <f>VLOOKUP(B2486,LifeList!$E$2:$I$2038,5)</f>
        <v>Gaviidae (Loons)</v>
      </c>
      <c r="I2486" s="3"/>
    </row>
    <row r="2487" spans="1:9" ht="10.5" customHeight="1">
      <c r="A2487" s="5" t="s">
        <v>3480</v>
      </c>
      <c r="B2487" s="3" t="s">
        <v>3478</v>
      </c>
      <c r="C2487" s="3">
        <f>VLOOKUP(B2487,LifeList!$E$2:$J$2038,6)</f>
        <v>6931</v>
      </c>
      <c r="D2487" s="3" t="str">
        <f>VLOOKUP(B2487,LifeList!$E$2:$G$2038,1)</f>
        <v>Pacific Loon</v>
      </c>
      <c r="E2487" s="3" t="str">
        <f>VLOOKUP(B2487,LifeList!$E$2:$G$2038,2)</f>
        <v>Plongeon du Pacifique</v>
      </c>
      <c r="F2487" s="3" t="str">
        <f>VLOOKUP(B2487,LifeList!$E$2:$G$2038,3)</f>
        <v>Gavia pacifica</v>
      </c>
      <c r="G2487" s="3" t="str">
        <f>VLOOKUP(B2487,LifeList!$E$2:$I$2038,4)</f>
        <v>Gaviiformes</v>
      </c>
      <c r="H2487" s="3" t="str">
        <f>VLOOKUP(B2487,LifeList!$E$2:$I$2038,5)</f>
        <v>Gaviidae (Loons)</v>
      </c>
      <c r="I2487" s="3"/>
    </row>
    <row r="2488" spans="1:9" ht="10.5" customHeight="1">
      <c r="A2488" s="5" t="s">
        <v>3481</v>
      </c>
      <c r="B2488" s="3" t="s">
        <v>3478</v>
      </c>
      <c r="C2488" s="3">
        <f>VLOOKUP(B2488,LifeList!$E$2:$J$2038,6)</f>
        <v>6931</v>
      </c>
      <c r="D2488" s="3" t="str">
        <f>VLOOKUP(B2488,LifeList!$E$2:$G$2038,1)</f>
        <v>Pacific Loon</v>
      </c>
      <c r="E2488" s="3" t="str">
        <f>VLOOKUP(B2488,LifeList!$E$2:$G$2038,2)</f>
        <v>Plongeon du Pacifique</v>
      </c>
      <c r="F2488" s="3" t="str">
        <f>VLOOKUP(B2488,LifeList!$E$2:$G$2038,3)</f>
        <v>Gavia pacifica</v>
      </c>
      <c r="G2488" s="3" t="str">
        <f>VLOOKUP(B2488,LifeList!$E$2:$I$2038,4)</f>
        <v>Gaviiformes</v>
      </c>
      <c r="H2488" s="3" t="str">
        <f>VLOOKUP(B2488,LifeList!$E$2:$I$2038,5)</f>
        <v>Gaviidae (Loons)</v>
      </c>
      <c r="I2488" s="3"/>
    </row>
    <row r="2489" spans="1:9" ht="10.5" customHeight="1">
      <c r="A2489" s="5" t="s">
        <v>3482</v>
      </c>
      <c r="B2489" s="3" t="s">
        <v>3478</v>
      </c>
      <c r="C2489" s="3">
        <f>VLOOKUP(B2489,LifeList!$E$2:$J$2038,6)</f>
        <v>6931</v>
      </c>
      <c r="D2489" s="3" t="str">
        <f>VLOOKUP(B2489,LifeList!$E$2:$G$2038,1)</f>
        <v>Pacific Loon</v>
      </c>
      <c r="E2489" s="3" t="str">
        <f>VLOOKUP(B2489,LifeList!$E$2:$G$2038,2)</f>
        <v>Plongeon du Pacifique</v>
      </c>
      <c r="F2489" s="3" t="str">
        <f>VLOOKUP(B2489,LifeList!$E$2:$G$2038,3)</f>
        <v>Gavia pacifica</v>
      </c>
      <c r="G2489" s="3" t="str">
        <f>VLOOKUP(B2489,LifeList!$E$2:$I$2038,4)</f>
        <v>Gaviiformes</v>
      </c>
      <c r="H2489" s="3" t="str">
        <f>VLOOKUP(B2489,LifeList!$E$2:$I$2038,5)</f>
        <v>Gaviidae (Loons)</v>
      </c>
      <c r="I2489" s="3"/>
    </row>
    <row r="2490" spans="1:9" ht="10.5" customHeight="1">
      <c r="A2490" s="5" t="s">
        <v>3483</v>
      </c>
      <c r="B2490" s="3" t="s">
        <v>3478</v>
      </c>
      <c r="C2490" s="3">
        <f>VLOOKUP(B2490,LifeList!$E$2:$J$2038,6)</f>
        <v>6931</v>
      </c>
      <c r="D2490" s="3" t="str">
        <f>VLOOKUP(B2490,LifeList!$E$2:$G$2038,1)</f>
        <v>Pacific Loon</v>
      </c>
      <c r="E2490" s="3" t="str">
        <f>VLOOKUP(B2490,LifeList!$E$2:$G$2038,2)</f>
        <v>Plongeon du Pacifique</v>
      </c>
      <c r="F2490" s="3" t="str">
        <f>VLOOKUP(B2490,LifeList!$E$2:$G$2038,3)</f>
        <v>Gavia pacifica</v>
      </c>
      <c r="G2490" s="3" t="str">
        <f>VLOOKUP(B2490,LifeList!$E$2:$I$2038,4)</f>
        <v>Gaviiformes</v>
      </c>
      <c r="H2490" s="3" t="str">
        <f>VLOOKUP(B2490,LifeList!$E$2:$I$2038,5)</f>
        <v>Gaviidae (Loons)</v>
      </c>
      <c r="I2490" s="3"/>
    </row>
    <row r="2491" spans="1:9" ht="10.5" customHeight="1">
      <c r="A2491" s="5" t="s">
        <v>3484</v>
      </c>
      <c r="B2491" s="3" t="s">
        <v>3478</v>
      </c>
      <c r="C2491" s="3">
        <f>VLOOKUP(B2491,LifeList!$E$2:$J$2038,6)</f>
        <v>6931</v>
      </c>
      <c r="D2491" s="3" t="str">
        <f>VLOOKUP(B2491,LifeList!$E$2:$G$2038,1)</f>
        <v>Pacific Loon</v>
      </c>
      <c r="E2491" s="3" t="str">
        <f>VLOOKUP(B2491,LifeList!$E$2:$G$2038,2)</f>
        <v>Plongeon du Pacifique</v>
      </c>
      <c r="F2491" s="3" t="str">
        <f>VLOOKUP(B2491,LifeList!$E$2:$G$2038,3)</f>
        <v>Gavia pacifica</v>
      </c>
      <c r="G2491" s="3" t="str">
        <f>VLOOKUP(B2491,LifeList!$E$2:$I$2038,4)</f>
        <v>Gaviiformes</v>
      </c>
      <c r="H2491" s="3" t="str">
        <f>VLOOKUP(B2491,LifeList!$E$2:$I$2038,5)</f>
        <v>Gaviidae (Loons)</v>
      </c>
      <c r="I2491" s="3"/>
    </row>
    <row r="2492" spans="1:9" ht="10.5" customHeight="1">
      <c r="A2492" s="3" t="s">
        <v>3485</v>
      </c>
      <c r="B2492" s="3" t="s">
        <v>3486</v>
      </c>
      <c r="C2492" s="3">
        <f>VLOOKUP(B2492,LifeList!$E$2:$J$2038,6)</f>
        <v>13723</v>
      </c>
      <c r="D2492" s="3" t="str">
        <f>VLOOKUP(B2492,LifeList!$E$2:$G$2038,1)</f>
        <v>Pacific Antwren</v>
      </c>
      <c r="E2492" s="3" t="str">
        <f>VLOOKUP(B2492,LifeList!$E$2:$G$2038,2)</f>
        <v>Myrmidon du Pacifique</v>
      </c>
      <c r="F2492" s="3" t="str">
        <f>VLOOKUP(B2492,LifeList!$E$2:$G$2038,3)</f>
        <v>Myrmotherula pacifica</v>
      </c>
      <c r="G2492" s="3" t="str">
        <f>VLOOKUP(B2492,LifeList!$E$2:$I$2038,4)</f>
        <v>Passeriformes</v>
      </c>
      <c r="H2492" s="3" t="str">
        <f>VLOOKUP(B2492,LifeList!$E$2:$I$2038,5)</f>
        <v>Thamnophilidae (Typical Antbirds)</v>
      </c>
      <c r="I2492" s="3"/>
    </row>
    <row r="2493" spans="1:9" ht="10.5" customHeight="1">
      <c r="A2493" s="3" t="s">
        <v>3487</v>
      </c>
      <c r="B2493" s="3" t="s">
        <v>3488</v>
      </c>
      <c r="C2493" s="3">
        <f>VLOOKUP(B2493,LifeList!$E$2:$J$2038,6)</f>
        <v>534</v>
      </c>
      <c r="D2493" s="3" t="str">
        <f>VLOOKUP(B2493,LifeList!$E$2:$G$2038,1)</f>
        <v>Pacific Black Duck</v>
      </c>
      <c r="E2493" s="3" t="str">
        <f>VLOOKUP(B2493,LifeList!$E$2:$G$2038,2)</f>
        <v>Canard à sourcils</v>
      </c>
      <c r="F2493" s="3" t="str">
        <f>VLOOKUP(B2493,LifeList!$E$2:$G$2038,3)</f>
        <v>Anas superciliosa</v>
      </c>
      <c r="G2493" s="3" t="str">
        <f>VLOOKUP(B2493,LifeList!$E$2:$I$2038,4)</f>
        <v>Anseriformes</v>
      </c>
      <c r="H2493" s="3" t="str">
        <f>VLOOKUP(B2493,LifeList!$E$2:$I$2038,5)</f>
        <v>Anatidae (Ducks, Geese, and Waterfowl)</v>
      </c>
      <c r="I2493" s="3"/>
    </row>
    <row r="2494" spans="1:9" ht="10.5" customHeight="1">
      <c r="A2494" s="3" t="s">
        <v>3489</v>
      </c>
      <c r="B2494" s="3" t="s">
        <v>3488</v>
      </c>
      <c r="C2494" s="3">
        <f>VLOOKUP(B2494,LifeList!$E$2:$J$2038,6)</f>
        <v>534</v>
      </c>
      <c r="D2494" s="3" t="str">
        <f>VLOOKUP(B2494,LifeList!$E$2:$G$2038,1)</f>
        <v>Pacific Black Duck</v>
      </c>
      <c r="E2494" s="3" t="str">
        <f>VLOOKUP(B2494,LifeList!$E$2:$G$2038,2)</f>
        <v>Canard à sourcils</v>
      </c>
      <c r="F2494" s="3" t="str">
        <f>VLOOKUP(B2494,LifeList!$E$2:$G$2038,3)</f>
        <v>Anas superciliosa</v>
      </c>
      <c r="G2494" s="3" t="str">
        <f>VLOOKUP(B2494,LifeList!$E$2:$I$2038,4)</f>
        <v>Anseriformes</v>
      </c>
      <c r="H2494" s="3" t="str">
        <f>VLOOKUP(B2494,LifeList!$E$2:$I$2038,5)</f>
        <v>Anatidae (Ducks, Geese, and Waterfowl)</v>
      </c>
      <c r="I2494" s="3"/>
    </row>
    <row r="2495" spans="1:9" ht="10.5" customHeight="1">
      <c r="A2495" s="3" t="s">
        <v>3490</v>
      </c>
      <c r="B2495" s="3" t="s">
        <v>3491</v>
      </c>
      <c r="C2495" s="3">
        <f>VLOOKUP(B2495,LifeList!$E$2:$J$2038,6)</f>
        <v>5816</v>
      </c>
      <c r="D2495" s="3" t="str">
        <f>VLOOKUP(B2495,LifeList!$E$2:$G$2038,1)</f>
        <v>Pacific Golden-Plover</v>
      </c>
      <c r="E2495" s="3" t="str">
        <f>VLOOKUP(B2495,LifeList!$E$2:$G$2038,2)</f>
        <v>Pluvier fauve</v>
      </c>
      <c r="F2495" s="3" t="str">
        <f>VLOOKUP(B2495,LifeList!$E$2:$G$2038,3)</f>
        <v>Pluvialis fulva</v>
      </c>
      <c r="G2495" s="3" t="str">
        <f>VLOOKUP(B2495,LifeList!$E$2:$I$2038,4)</f>
        <v>Charadriiformes</v>
      </c>
      <c r="H2495" s="3" t="str">
        <f>VLOOKUP(B2495,LifeList!$E$2:$I$2038,5)</f>
        <v>Charadriidae (Plovers and Lapwings)</v>
      </c>
      <c r="I2495" s="3"/>
    </row>
    <row r="2496" spans="1:9" ht="10.5" customHeight="1">
      <c r="A2496" s="3" t="s">
        <v>3492</v>
      </c>
      <c r="B2496" s="3" t="s">
        <v>3493</v>
      </c>
      <c r="C2496" s="3">
        <f>VLOOKUP(B2496,LifeList!$E$2:$J$2038,6)</f>
        <v>6506</v>
      </c>
      <c r="D2496" s="3" t="str">
        <f>VLOOKUP(B2496,LifeList!$E$2:$G$2038,1)</f>
        <v>Pacific Gull</v>
      </c>
      <c r="E2496" s="3" t="str">
        <f>VLOOKUP(B2496,LifeList!$E$2:$G$2038,2)</f>
        <v>Goéland austral</v>
      </c>
      <c r="F2496" s="3" t="str">
        <f>VLOOKUP(B2496,LifeList!$E$2:$G$2038,3)</f>
        <v>Larus pacificus</v>
      </c>
      <c r="G2496" s="3" t="str">
        <f>VLOOKUP(B2496,LifeList!$E$2:$I$2038,4)</f>
        <v>Charadriiformes</v>
      </c>
      <c r="H2496" s="3" t="str">
        <f>VLOOKUP(B2496,LifeList!$E$2:$I$2038,5)</f>
        <v>Laridae (Gulls, Terns, and Skimmers)</v>
      </c>
      <c r="I2496" s="3"/>
    </row>
    <row r="2497" spans="1:9" ht="10.5" customHeight="1">
      <c r="A2497" s="3" t="s">
        <v>3494</v>
      </c>
      <c r="B2497" s="3" t="s">
        <v>3493</v>
      </c>
      <c r="C2497" s="3">
        <f>VLOOKUP(B2497,LifeList!$E$2:$J$2038,6)</f>
        <v>6506</v>
      </c>
      <c r="D2497" s="3" t="str">
        <f>VLOOKUP(B2497,LifeList!$E$2:$G$2038,1)</f>
        <v>Pacific Gull</v>
      </c>
      <c r="E2497" s="3" t="str">
        <f>VLOOKUP(B2497,LifeList!$E$2:$G$2038,2)</f>
        <v>Goéland austral</v>
      </c>
      <c r="F2497" s="3" t="str">
        <f>VLOOKUP(B2497,LifeList!$E$2:$G$2038,3)</f>
        <v>Larus pacificus</v>
      </c>
      <c r="G2497" s="3" t="str">
        <f>VLOOKUP(B2497,LifeList!$E$2:$I$2038,4)</f>
        <v>Charadriiformes</v>
      </c>
      <c r="H2497" s="3" t="str">
        <f>VLOOKUP(B2497,LifeList!$E$2:$I$2038,5)</f>
        <v>Laridae (Gulls, Terns, and Skimmers)</v>
      </c>
      <c r="I2497" s="3"/>
    </row>
    <row r="2498" spans="1:9" ht="10.5" customHeight="1">
      <c r="A2498" s="3" t="s">
        <v>3495</v>
      </c>
      <c r="B2498" s="3" t="s">
        <v>3496</v>
      </c>
      <c r="C2498" s="3">
        <f>VLOOKUP(B2498,LifeList!$E$2:$J$2038,6)</f>
        <v>7728</v>
      </c>
      <c r="D2498" s="3" t="str">
        <f>VLOOKUP(B2498,LifeList!$E$2:$G$2038,1)</f>
        <v>Pacific Heron</v>
      </c>
      <c r="E2498" s="3" t="str">
        <f>VLOOKUP(B2498,LifeList!$E$2:$G$2038,2)</f>
        <v>Héron à tête blanche</v>
      </c>
      <c r="F2498" s="3" t="str">
        <f>VLOOKUP(B2498,LifeList!$E$2:$G$2038,3)</f>
        <v>Ardea pacifica</v>
      </c>
      <c r="G2498" s="3" t="str">
        <f>VLOOKUP(B2498,LifeList!$E$2:$I$2038,4)</f>
        <v>Pelecaniformes</v>
      </c>
      <c r="H2498" s="3" t="str">
        <f>VLOOKUP(B2498,LifeList!$E$2:$I$2038,5)</f>
        <v>Ardeidae (Herons, Egrets, and Bitterns)</v>
      </c>
      <c r="I2498" s="3"/>
    </row>
    <row r="2499" spans="1:9" ht="10.5" customHeight="1">
      <c r="A2499" s="3" t="s">
        <v>3497</v>
      </c>
      <c r="B2499" s="3" t="s">
        <v>3498</v>
      </c>
      <c r="C2499" s="3">
        <f>VLOOKUP(B2499,LifeList!$E$2:$J$2038,6)</f>
        <v>15036</v>
      </c>
      <c r="D2499" s="3" t="str">
        <f>VLOOKUP(B2499,LifeList!$E$2:$G$2038,1)</f>
        <v>Pacific Hornero</v>
      </c>
      <c r="E2499" s="3" t="str">
        <f>VLOOKUP(B2499,LifeList!$E$2:$G$2038,2)</f>
        <v>Fournier cannelle</v>
      </c>
      <c r="F2499" s="3" t="str">
        <f>VLOOKUP(B2499,LifeList!$E$2:$G$2038,3)</f>
        <v>Furnarius cinnamomeus</v>
      </c>
      <c r="G2499" s="3" t="str">
        <f>VLOOKUP(B2499,LifeList!$E$2:$I$2038,4)</f>
        <v>Passeriformes</v>
      </c>
      <c r="H2499" s="3" t="str">
        <f>VLOOKUP(B2499,LifeList!$E$2:$I$2038,5)</f>
        <v>Furnariidae (Ovenbirds and Woodcreepers)</v>
      </c>
      <c r="I2499" s="3"/>
    </row>
    <row r="2500" spans="1:9" ht="10.5" customHeight="1">
      <c r="A2500" s="3" t="s">
        <v>3499</v>
      </c>
      <c r="B2500" s="3" t="s">
        <v>3500</v>
      </c>
      <c r="C2500" s="3">
        <f>VLOOKUP(B2500,LifeList!$E$2:$J$2038,6)</f>
        <v>6931</v>
      </c>
      <c r="D2500" s="3" t="str">
        <f>VLOOKUP(B2500,LifeList!$E$2:$G$2038,1)</f>
        <v>Pacific Loon</v>
      </c>
      <c r="E2500" s="3" t="str">
        <f>VLOOKUP(B2500,LifeList!$E$2:$G$2038,2)</f>
        <v>Plongeon du Pacifique</v>
      </c>
      <c r="F2500" s="3" t="str">
        <f>VLOOKUP(B2500,LifeList!$E$2:$G$2038,3)</f>
        <v>Gavia pacifica</v>
      </c>
      <c r="G2500" s="3" t="str">
        <f>VLOOKUP(B2500,LifeList!$E$2:$I$2038,4)</f>
        <v>Gaviiformes</v>
      </c>
      <c r="H2500" s="3" t="str">
        <f>VLOOKUP(B2500,LifeList!$E$2:$I$2038,5)</f>
        <v>Gaviidae (Loons)</v>
      </c>
      <c r="I2500" s="3"/>
    </row>
    <row r="2501" spans="1:9" ht="10.5" customHeight="1">
      <c r="A2501" s="3" t="s">
        <v>3501</v>
      </c>
      <c r="B2501" s="3" t="s">
        <v>3502</v>
      </c>
      <c r="C2501" s="3">
        <f>VLOOKUP(B2501,LifeList!$E$2:$J$2038,6)</f>
        <v>8852</v>
      </c>
      <c r="D2501" s="3" t="str">
        <f>VLOOKUP(B2501,LifeList!$E$2:$G$2038,1)</f>
        <v>Pacific Screech-Owl</v>
      </c>
      <c r="E2501" s="3" t="str">
        <f>VLOOKUP(B2501,LifeList!$E$2:$G$2038,2)</f>
        <v>Petit-duc de Cooper</v>
      </c>
      <c r="F2501" s="3" t="str">
        <f>VLOOKUP(B2501,LifeList!$E$2:$G$2038,3)</f>
        <v>Megascops cooperi</v>
      </c>
      <c r="G2501" s="3" t="str">
        <f>VLOOKUP(B2501,LifeList!$E$2:$I$2038,4)</f>
        <v>Strigiformes</v>
      </c>
      <c r="H2501" s="3" t="str">
        <f>VLOOKUP(B2501,LifeList!$E$2:$I$2038,5)</f>
        <v>Strigidae (Owls)</v>
      </c>
      <c r="I2501" s="3"/>
    </row>
    <row r="2502" spans="1:9" ht="10.5" customHeight="1">
      <c r="A2502" s="3" t="s">
        <v>3503</v>
      </c>
      <c r="B2502" s="3" t="s">
        <v>3504</v>
      </c>
      <c r="C2502" s="3">
        <f>VLOOKUP(B2502,LifeList!$E$2:$J$2038,6)</f>
        <v>27288</v>
      </c>
      <c r="D2502" s="3" t="str">
        <f>VLOOKUP(B2502,LifeList!$E$2:$G$2038,1)</f>
        <v>Pacific Wren</v>
      </c>
      <c r="E2502" s="3" t="str">
        <f>VLOOKUP(B2502,LifeList!$E$2:$G$2038,2)</f>
        <v>Troglodyte de Baird</v>
      </c>
      <c r="F2502" s="3" t="str">
        <f>VLOOKUP(B2502,LifeList!$E$2:$G$2038,3)</f>
        <v>Troglodytes pacificus</v>
      </c>
      <c r="G2502" s="3" t="str">
        <f>VLOOKUP(B2502,LifeList!$E$2:$I$2038,4)</f>
        <v>Passeriformes</v>
      </c>
      <c r="H2502" s="3" t="str">
        <f>VLOOKUP(B2502,LifeList!$E$2:$I$2038,5)</f>
        <v>Troglodytidae (Wrens)</v>
      </c>
      <c r="I2502" s="3"/>
    </row>
    <row r="2503" spans="1:9" ht="10.5" customHeight="1">
      <c r="A2503" s="3" t="s">
        <v>3505</v>
      </c>
      <c r="B2503" s="3" t="s">
        <v>3506</v>
      </c>
      <c r="C2503" s="3">
        <f>VLOOKUP(B2503,LifeList!$E$2:$J$2038,6)</f>
        <v>34621</v>
      </c>
      <c r="D2503" s="3" t="str">
        <f>VLOOKUP(B2503,LifeList!$E$2:$G$2038,1)</f>
        <v>Painted Bunting</v>
      </c>
      <c r="E2503" s="3" t="str">
        <f>VLOOKUP(B2503,LifeList!$E$2:$G$2038,2)</f>
        <v>Passerin nonpareil</v>
      </c>
      <c r="F2503" s="3" t="str">
        <f>VLOOKUP(B2503,LifeList!$E$2:$G$2038,3)</f>
        <v>Passerina ciris</v>
      </c>
      <c r="G2503" s="3" t="str">
        <f>VLOOKUP(B2503,LifeList!$E$2:$I$2038,4)</f>
        <v>Passeriformes</v>
      </c>
      <c r="H2503" s="3" t="str">
        <f>VLOOKUP(B2503,LifeList!$E$2:$I$2038,5)</f>
        <v>Cardinalidae (Cardinals and Allies)</v>
      </c>
      <c r="I2503" s="3"/>
    </row>
    <row r="2504" spans="1:9" ht="10.5" customHeight="1">
      <c r="A2504" s="3" t="s">
        <v>3507</v>
      </c>
      <c r="B2504" s="3" t="s">
        <v>3506</v>
      </c>
      <c r="C2504" s="3">
        <f>VLOOKUP(B2504,LifeList!$E$2:$J$2038,6)</f>
        <v>34621</v>
      </c>
      <c r="D2504" s="3" t="str">
        <f>VLOOKUP(B2504,LifeList!$E$2:$G$2038,1)</f>
        <v>Painted Bunting</v>
      </c>
      <c r="E2504" s="3" t="str">
        <f>VLOOKUP(B2504,LifeList!$E$2:$G$2038,2)</f>
        <v>Passerin nonpareil</v>
      </c>
      <c r="F2504" s="3" t="str">
        <f>VLOOKUP(B2504,LifeList!$E$2:$G$2038,3)</f>
        <v>Passerina ciris</v>
      </c>
      <c r="G2504" s="3" t="str">
        <f>VLOOKUP(B2504,LifeList!$E$2:$I$2038,4)</f>
        <v>Passeriformes</v>
      </c>
      <c r="H2504" s="3" t="str">
        <f>VLOOKUP(B2504,LifeList!$E$2:$I$2038,5)</f>
        <v>Cardinalidae (Cardinals and Allies)</v>
      </c>
      <c r="I2504" s="3"/>
    </row>
    <row r="2505" spans="1:9" ht="10.5" customHeight="1">
      <c r="A2505" s="3" t="s">
        <v>3508</v>
      </c>
      <c r="B2505" s="3" t="s">
        <v>3506</v>
      </c>
      <c r="C2505" s="3">
        <f>VLOOKUP(B2505,LifeList!$E$2:$J$2038,6)</f>
        <v>34621</v>
      </c>
      <c r="D2505" s="3" t="str">
        <f>VLOOKUP(B2505,LifeList!$E$2:$G$2038,1)</f>
        <v>Painted Bunting</v>
      </c>
      <c r="E2505" s="3" t="str">
        <f>VLOOKUP(B2505,LifeList!$E$2:$G$2038,2)</f>
        <v>Passerin nonpareil</v>
      </c>
      <c r="F2505" s="3" t="str">
        <f>VLOOKUP(B2505,LifeList!$E$2:$G$2038,3)</f>
        <v>Passerina ciris</v>
      </c>
      <c r="G2505" s="3" t="str">
        <f>VLOOKUP(B2505,LifeList!$E$2:$I$2038,4)</f>
        <v>Passeriformes</v>
      </c>
      <c r="H2505" s="3" t="str">
        <f>VLOOKUP(B2505,LifeList!$E$2:$I$2038,5)</f>
        <v>Cardinalidae (Cardinals and Allies)</v>
      </c>
      <c r="I2505" s="3"/>
    </row>
    <row r="2506" spans="1:9" ht="10.5" customHeight="1">
      <c r="A2506" s="3" t="s">
        <v>3509</v>
      </c>
      <c r="B2506" s="3" t="s">
        <v>3506</v>
      </c>
      <c r="C2506" s="3">
        <f>VLOOKUP(B2506,LifeList!$E$2:$J$2038,6)</f>
        <v>34621</v>
      </c>
      <c r="D2506" s="3" t="str">
        <f>VLOOKUP(B2506,LifeList!$E$2:$G$2038,1)</f>
        <v>Painted Bunting</v>
      </c>
      <c r="E2506" s="3" t="str">
        <f>VLOOKUP(B2506,LifeList!$E$2:$G$2038,2)</f>
        <v>Passerin nonpareil</v>
      </c>
      <c r="F2506" s="3" t="str">
        <f>VLOOKUP(B2506,LifeList!$E$2:$G$2038,3)</f>
        <v>Passerina ciris</v>
      </c>
      <c r="G2506" s="3" t="str">
        <f>VLOOKUP(B2506,LifeList!$E$2:$I$2038,4)</f>
        <v>Passeriformes</v>
      </c>
      <c r="H2506" s="3" t="str">
        <f>VLOOKUP(B2506,LifeList!$E$2:$I$2038,5)</f>
        <v>Cardinalidae (Cardinals and Allies)</v>
      </c>
      <c r="I2506" s="3"/>
    </row>
    <row r="2507" spans="1:9" ht="10.5" customHeight="1">
      <c r="A2507" s="3" t="s">
        <v>3510</v>
      </c>
      <c r="B2507" s="3" t="s">
        <v>3506</v>
      </c>
      <c r="C2507" s="3">
        <f>VLOOKUP(B2507,LifeList!$E$2:$J$2038,6)</f>
        <v>34621</v>
      </c>
      <c r="D2507" s="3" t="str">
        <f>VLOOKUP(B2507,LifeList!$E$2:$G$2038,1)</f>
        <v>Painted Bunting</v>
      </c>
      <c r="E2507" s="3" t="str">
        <f>VLOOKUP(B2507,LifeList!$E$2:$G$2038,2)</f>
        <v>Passerin nonpareil</v>
      </c>
      <c r="F2507" s="3" t="str">
        <f>VLOOKUP(B2507,LifeList!$E$2:$G$2038,3)</f>
        <v>Passerina ciris</v>
      </c>
      <c r="G2507" s="3" t="str">
        <f>VLOOKUP(B2507,LifeList!$E$2:$I$2038,4)</f>
        <v>Passeriformes</v>
      </c>
      <c r="H2507" s="3" t="str">
        <f>VLOOKUP(B2507,LifeList!$E$2:$I$2038,5)</f>
        <v>Cardinalidae (Cardinals and Allies)</v>
      </c>
      <c r="I2507" s="3"/>
    </row>
    <row r="2508" spans="1:9" ht="10.5" customHeight="1">
      <c r="A2508" s="3" t="s">
        <v>3511</v>
      </c>
      <c r="B2508" s="3" t="s">
        <v>3506</v>
      </c>
      <c r="C2508" s="3">
        <f>VLOOKUP(B2508,LifeList!$E$2:$J$2038,6)</f>
        <v>34621</v>
      </c>
      <c r="D2508" s="3" t="str">
        <f>VLOOKUP(B2508,LifeList!$E$2:$G$2038,1)</f>
        <v>Painted Bunting</v>
      </c>
      <c r="E2508" s="3" t="str">
        <f>VLOOKUP(B2508,LifeList!$E$2:$G$2038,2)</f>
        <v>Passerin nonpareil</v>
      </c>
      <c r="F2508" s="3" t="str">
        <f>VLOOKUP(B2508,LifeList!$E$2:$G$2038,3)</f>
        <v>Passerina ciris</v>
      </c>
      <c r="G2508" s="3" t="str">
        <f>VLOOKUP(B2508,LifeList!$E$2:$I$2038,4)</f>
        <v>Passeriformes</v>
      </c>
      <c r="H2508" s="3" t="str">
        <f>VLOOKUP(B2508,LifeList!$E$2:$I$2038,5)</f>
        <v>Cardinalidae (Cardinals and Allies)</v>
      </c>
      <c r="I2508" s="3"/>
    </row>
    <row r="2509" spans="1:9" ht="10.5" customHeight="1">
      <c r="A2509" s="3" t="s">
        <v>3512</v>
      </c>
      <c r="B2509" s="3" t="s">
        <v>3506</v>
      </c>
      <c r="C2509" s="3">
        <f>VLOOKUP(B2509,LifeList!$E$2:$J$2038,6)</f>
        <v>34621</v>
      </c>
      <c r="D2509" s="3" t="str">
        <f>VLOOKUP(B2509,LifeList!$E$2:$G$2038,1)</f>
        <v>Painted Bunting</v>
      </c>
      <c r="E2509" s="3" t="str">
        <f>VLOOKUP(B2509,LifeList!$E$2:$G$2038,2)</f>
        <v>Passerin nonpareil</v>
      </c>
      <c r="F2509" s="3" t="str">
        <f>VLOOKUP(B2509,LifeList!$E$2:$G$2038,3)</f>
        <v>Passerina ciris</v>
      </c>
      <c r="G2509" s="3" t="str">
        <f>VLOOKUP(B2509,LifeList!$E$2:$I$2038,4)</f>
        <v>Passeriformes</v>
      </c>
      <c r="H2509" s="3" t="str">
        <f>VLOOKUP(B2509,LifeList!$E$2:$I$2038,5)</f>
        <v>Cardinalidae (Cardinals and Allies)</v>
      </c>
      <c r="I2509" s="3"/>
    </row>
    <row r="2510" spans="1:9" ht="10.5" customHeight="1">
      <c r="A2510" s="3" t="s">
        <v>3513</v>
      </c>
      <c r="B2510" s="3" t="s">
        <v>3506</v>
      </c>
      <c r="C2510" s="3">
        <f>VLOOKUP(B2510,LifeList!$E$2:$J$2038,6)</f>
        <v>34621</v>
      </c>
      <c r="D2510" s="3" t="str">
        <f>VLOOKUP(B2510,LifeList!$E$2:$G$2038,1)</f>
        <v>Painted Bunting</v>
      </c>
      <c r="E2510" s="3" t="str">
        <f>VLOOKUP(B2510,LifeList!$E$2:$G$2038,2)</f>
        <v>Passerin nonpareil</v>
      </c>
      <c r="F2510" s="3" t="str">
        <f>VLOOKUP(B2510,LifeList!$E$2:$G$2038,3)</f>
        <v>Passerina ciris</v>
      </c>
      <c r="G2510" s="3" t="str">
        <f>VLOOKUP(B2510,LifeList!$E$2:$I$2038,4)</f>
        <v>Passeriformes</v>
      </c>
      <c r="H2510" s="3" t="str">
        <f>VLOOKUP(B2510,LifeList!$E$2:$I$2038,5)</f>
        <v>Cardinalidae (Cardinals and Allies)</v>
      </c>
      <c r="I2510" s="3"/>
    </row>
    <row r="2511" spans="1:9" ht="10.5" customHeight="1">
      <c r="A2511" s="7" t="s">
        <v>3514</v>
      </c>
      <c r="B2511" s="9" t="s">
        <v>3515</v>
      </c>
      <c r="C2511" s="6">
        <f>VLOOKUP(B2511,LifeList!$E$2:$J$2038,6)</f>
        <v>18179</v>
      </c>
      <c r="D2511" s="3" t="str">
        <f>VLOOKUP(B2511,LifeList!$E$2:$G$2038,1)</f>
        <v>Painted Honeyeater</v>
      </c>
      <c r="E2511" s="3" t="str">
        <f>VLOOKUP(B2511,LifeList!$E$2:$G$2038,2)</f>
        <v>Méliphage peint</v>
      </c>
      <c r="F2511" s="3" t="str">
        <f>VLOOKUP(B2511,LifeList!$E$2:$G$2038,3)</f>
        <v>Grantiella picta</v>
      </c>
      <c r="G2511" s="3" t="str">
        <f>VLOOKUP(B2511,LifeList!$E$2:$I$2038,4)</f>
        <v>Passeriformes</v>
      </c>
      <c r="H2511" s="3" t="str">
        <f>VLOOKUP(B2511,LifeList!$E$2:$I$2038,5)</f>
        <v>Meliphagidae (Honeyeaters)</v>
      </c>
      <c r="I2511" s="3"/>
    </row>
    <row r="2512" spans="1:9" ht="10.5" customHeight="1">
      <c r="A2512" s="7" t="s">
        <v>3516</v>
      </c>
      <c r="B2512" s="9" t="s">
        <v>3515</v>
      </c>
      <c r="C2512" s="6">
        <f>VLOOKUP(B2512,LifeList!$E$2:$J$2038,6)</f>
        <v>18179</v>
      </c>
      <c r="D2512" s="3" t="str">
        <f>VLOOKUP(B2512,LifeList!$E$2:$G$2038,1)</f>
        <v>Painted Honeyeater</v>
      </c>
      <c r="E2512" s="3" t="str">
        <f>VLOOKUP(B2512,LifeList!$E$2:$G$2038,2)</f>
        <v>Méliphage peint</v>
      </c>
      <c r="F2512" s="3" t="str">
        <f>VLOOKUP(B2512,LifeList!$E$2:$G$2038,3)</f>
        <v>Grantiella picta</v>
      </c>
      <c r="G2512" s="3" t="str">
        <f>VLOOKUP(B2512,LifeList!$E$2:$I$2038,4)</f>
        <v>Passeriformes</v>
      </c>
      <c r="H2512" s="3" t="str">
        <f>VLOOKUP(B2512,LifeList!$E$2:$I$2038,5)</f>
        <v>Meliphagidae (Honeyeaters)</v>
      </c>
      <c r="I2512" s="3"/>
    </row>
    <row r="2513" spans="1:9" ht="10.5" customHeight="1">
      <c r="A2513" s="5" t="s">
        <v>3517</v>
      </c>
      <c r="B2513" s="3" t="s">
        <v>3518</v>
      </c>
      <c r="C2513" s="6">
        <f>VLOOKUP(B2513,LifeList!$E$2:$J$2038,6)</f>
        <v>28862</v>
      </c>
      <c r="D2513" s="3" t="str">
        <f>VLOOKUP(B2513,LifeList!$E$2:$G$2038,1)</f>
        <v>Pale Flycatcher</v>
      </c>
      <c r="E2513" s="3" t="str">
        <f>VLOOKUP(B2513,LifeList!$E$2:$G$2038,2)</f>
        <v>Gobemouche pâle</v>
      </c>
      <c r="F2513" s="3" t="str">
        <f>VLOOKUP(B2513,LifeList!$E$2:$G$2038,3)</f>
        <v>Agricola pallidus</v>
      </c>
      <c r="G2513" s="3" t="str">
        <f>VLOOKUP(B2513,LifeList!$E$2:$I$2038,4)</f>
        <v>Passeriformes</v>
      </c>
      <c r="H2513" s="3" t="str">
        <f>VLOOKUP(B2513,LifeList!$E$2:$I$2038,5)</f>
        <v>Muscicapidae (Old World Flycatchers)</v>
      </c>
      <c r="I2513" s="3"/>
    </row>
    <row r="2514" spans="1:9" ht="10.5" customHeight="1">
      <c r="A2514" s="3" t="s">
        <v>3519</v>
      </c>
      <c r="B2514" s="3" t="s">
        <v>3520</v>
      </c>
      <c r="C2514" s="3">
        <f>VLOOKUP(B2514,LifeList!$E$2:$J$2038,6)</f>
        <v>8111</v>
      </c>
      <c r="D2514" s="3" t="str">
        <f>VLOOKUP(B2514,LifeList!$E$2:$G$2038,1)</f>
        <v>Pale Chanting-Goshawk</v>
      </c>
      <c r="E2514" s="3" t="str">
        <f>VLOOKUP(B2514,LifeList!$E$2:$G$2038,2)</f>
        <v>Autour chanteur</v>
      </c>
      <c r="F2514" s="3" t="str">
        <f>VLOOKUP(B2514,LifeList!$E$2:$G$2038,3)</f>
        <v>Melierax canorus</v>
      </c>
      <c r="G2514" s="3" t="str">
        <f>VLOOKUP(B2514,LifeList!$E$2:$I$2038,4)</f>
        <v>Accipitriformes</v>
      </c>
      <c r="H2514" s="3" t="str">
        <f>VLOOKUP(B2514,LifeList!$E$2:$I$2038,5)</f>
        <v>Accipitridae (Hawks, Eagles, and Kites)</v>
      </c>
      <c r="I2514" s="3"/>
    </row>
    <row r="2515" spans="1:9" ht="10.5" customHeight="1">
      <c r="A2515" s="3" t="s">
        <v>3521</v>
      </c>
      <c r="B2515" s="3" t="s">
        <v>3520</v>
      </c>
      <c r="C2515" s="3">
        <f>VLOOKUP(B2515,LifeList!$E$2:$J$2038,6)</f>
        <v>8111</v>
      </c>
      <c r="D2515" s="3" t="str">
        <f>VLOOKUP(B2515,LifeList!$E$2:$G$2038,1)</f>
        <v>Pale Chanting-Goshawk</v>
      </c>
      <c r="E2515" s="3" t="str">
        <f>VLOOKUP(B2515,LifeList!$E$2:$G$2038,2)</f>
        <v>Autour chanteur</v>
      </c>
      <c r="F2515" s="3" t="str">
        <f>VLOOKUP(B2515,LifeList!$E$2:$G$2038,3)</f>
        <v>Melierax canorus</v>
      </c>
      <c r="G2515" s="3" t="str">
        <f>VLOOKUP(B2515,LifeList!$E$2:$I$2038,4)</f>
        <v>Accipitriformes</v>
      </c>
      <c r="H2515" s="3" t="str">
        <f>VLOOKUP(B2515,LifeList!$E$2:$I$2038,5)</f>
        <v>Accipitridae (Hawks, Eagles, and Kites)</v>
      </c>
      <c r="I2515" s="3"/>
    </row>
    <row r="2516" spans="1:9" ht="10.5" customHeight="1">
      <c r="A2516" s="3" t="s">
        <v>3522</v>
      </c>
      <c r="B2516" s="3" t="s">
        <v>3520</v>
      </c>
      <c r="C2516" s="3">
        <f>VLOOKUP(B2516,LifeList!$E$2:$J$2038,6)</f>
        <v>8111</v>
      </c>
      <c r="D2516" s="3" t="str">
        <f>VLOOKUP(B2516,LifeList!$E$2:$G$2038,1)</f>
        <v>Pale Chanting-Goshawk</v>
      </c>
      <c r="E2516" s="3" t="str">
        <f>VLOOKUP(B2516,LifeList!$E$2:$G$2038,2)</f>
        <v>Autour chanteur</v>
      </c>
      <c r="F2516" s="3" t="str">
        <f>VLOOKUP(B2516,LifeList!$E$2:$G$2038,3)</f>
        <v>Melierax canorus</v>
      </c>
      <c r="G2516" s="3" t="str">
        <f>VLOOKUP(B2516,LifeList!$E$2:$I$2038,4)</f>
        <v>Accipitriformes</v>
      </c>
      <c r="H2516" s="3" t="str">
        <f>VLOOKUP(B2516,LifeList!$E$2:$I$2038,5)</f>
        <v>Accipitridae (Hawks, Eagles, and Kites)</v>
      </c>
      <c r="I2516" s="3"/>
    </row>
    <row r="2517" spans="1:9" ht="10.5" customHeight="1">
      <c r="A2517" s="3" t="s">
        <v>3523</v>
      </c>
      <c r="B2517" s="3" t="s">
        <v>3524</v>
      </c>
      <c r="C2517" s="3">
        <f>VLOOKUP(B2517,LifeList!$E$2:$J$2038,6)</f>
        <v>11562</v>
      </c>
      <c r="D2517" s="3" t="str">
        <f>VLOOKUP(B2517,LifeList!$E$2:$G$2038,1)</f>
        <v>Pale-billed Woodpecker</v>
      </c>
      <c r="E2517" s="3" t="str">
        <f>VLOOKUP(B2517,LifeList!$E$2:$G$2038,2)</f>
        <v>Pic à bec clair</v>
      </c>
      <c r="F2517" s="3" t="str">
        <f>VLOOKUP(B2517,LifeList!$E$2:$G$2038,3)</f>
        <v>Campephilus guatemalensis</v>
      </c>
      <c r="G2517" s="3" t="str">
        <f>VLOOKUP(B2517,LifeList!$E$2:$I$2038,4)</f>
        <v>Piciformes</v>
      </c>
      <c r="H2517" s="3" t="str">
        <f>VLOOKUP(B2517,LifeList!$E$2:$I$2038,5)</f>
        <v>Picidae (Woodpeckers)</v>
      </c>
      <c r="I2517" s="3"/>
    </row>
    <row r="2518" spans="1:9" ht="10.5" customHeight="1">
      <c r="A2518" s="3" t="s">
        <v>3525</v>
      </c>
      <c r="B2518" s="3" t="s">
        <v>3524</v>
      </c>
      <c r="C2518" s="3">
        <f>VLOOKUP(B2518,LifeList!$E$2:$J$2038,6)</f>
        <v>11562</v>
      </c>
      <c r="D2518" s="3" t="str">
        <f>VLOOKUP(B2518,LifeList!$E$2:$G$2038,1)</f>
        <v>Pale-billed Woodpecker</v>
      </c>
      <c r="E2518" s="3" t="str">
        <f>VLOOKUP(B2518,LifeList!$E$2:$G$2038,2)</f>
        <v>Pic à bec clair</v>
      </c>
      <c r="F2518" s="3" t="str">
        <f>VLOOKUP(B2518,LifeList!$E$2:$G$2038,3)</f>
        <v>Campephilus guatemalensis</v>
      </c>
      <c r="G2518" s="3" t="str">
        <f>VLOOKUP(B2518,LifeList!$E$2:$I$2038,4)</f>
        <v>Piciformes</v>
      </c>
      <c r="H2518" s="3" t="str">
        <f>VLOOKUP(B2518,LifeList!$E$2:$I$2038,5)</f>
        <v>Picidae (Woodpeckers)</v>
      </c>
      <c r="I2518" s="3"/>
    </row>
    <row r="2519" spans="1:9" ht="10.5" customHeight="1">
      <c r="A2519" s="3" t="s">
        <v>3526</v>
      </c>
      <c r="B2519" s="3" t="s">
        <v>3527</v>
      </c>
      <c r="C2519" s="3">
        <f>VLOOKUP(B2519,LifeList!$E$2:$J$2038,6)</f>
        <v>15617</v>
      </c>
      <c r="D2519" s="3" t="str">
        <f>VLOOKUP(B2519,LifeList!$E$2:$G$2038,1)</f>
        <v>Pale-breasted Spinetail</v>
      </c>
      <c r="E2519" s="3" t="str">
        <f>VLOOKUP(B2519,LifeList!$E$2:$G$2038,2)</f>
        <v>Synallaxe albane</v>
      </c>
      <c r="F2519" s="3" t="str">
        <f>VLOOKUP(B2519,LifeList!$E$2:$G$2038,3)</f>
        <v>Synallaxis albescens</v>
      </c>
      <c r="G2519" s="3" t="str">
        <f>VLOOKUP(B2519,LifeList!$E$2:$I$2038,4)</f>
        <v>Passeriformes</v>
      </c>
      <c r="H2519" s="3" t="str">
        <f>VLOOKUP(B2519,LifeList!$E$2:$I$2038,5)</f>
        <v>Furnariidae (Ovenbirds and Woodcreepers)</v>
      </c>
      <c r="I2519" s="3"/>
    </row>
    <row r="2520" spans="1:9" ht="10.5" customHeight="1">
      <c r="A2520" s="3" t="s">
        <v>3528</v>
      </c>
      <c r="B2520" s="3" t="s">
        <v>3527</v>
      </c>
      <c r="C2520" s="3">
        <f>VLOOKUP(B2520,LifeList!$E$2:$J$2038,6)</f>
        <v>15617</v>
      </c>
      <c r="D2520" s="3" t="str">
        <f>VLOOKUP(B2520,LifeList!$E$2:$G$2038,1)</f>
        <v>Pale-breasted Spinetail</v>
      </c>
      <c r="E2520" s="3" t="str">
        <f>VLOOKUP(B2520,LifeList!$E$2:$G$2038,2)</f>
        <v>Synallaxe albane</v>
      </c>
      <c r="F2520" s="3" t="str">
        <f>VLOOKUP(B2520,LifeList!$E$2:$G$2038,3)</f>
        <v>Synallaxis albescens</v>
      </c>
      <c r="G2520" s="3" t="str">
        <f>VLOOKUP(B2520,LifeList!$E$2:$I$2038,4)</f>
        <v>Passeriformes</v>
      </c>
      <c r="H2520" s="3" t="str">
        <f>VLOOKUP(B2520,LifeList!$E$2:$I$2038,5)</f>
        <v>Furnariidae (Ovenbirds and Woodcreepers)</v>
      </c>
      <c r="I2520" s="3"/>
    </row>
    <row r="2521" spans="1:9" ht="10.5" customHeight="1">
      <c r="A2521" s="3" t="s">
        <v>3529</v>
      </c>
      <c r="B2521" s="3" t="s">
        <v>3530</v>
      </c>
      <c r="C2521" s="3">
        <f>VLOOKUP(B2521,LifeList!$E$2:$J$2038,6)</f>
        <v>28745</v>
      </c>
      <c r="D2521" s="3" t="str">
        <f>VLOOKUP(B2521,LifeList!$E$2:$G$2038,1)</f>
        <v>Pale-breasted Thrush</v>
      </c>
      <c r="E2521" s="3" t="str">
        <f>VLOOKUP(B2521,LifeList!$E$2:$G$2038,2)</f>
        <v>Merle leucomèle</v>
      </c>
      <c r="F2521" s="3" t="str">
        <f>VLOOKUP(B2521,LifeList!$E$2:$G$2038,3)</f>
        <v>Turdus leucomelas</v>
      </c>
      <c r="G2521" s="3" t="str">
        <f>VLOOKUP(B2521,LifeList!$E$2:$I$2038,4)</f>
        <v>Passeriformes</v>
      </c>
      <c r="H2521" s="3" t="str">
        <f>VLOOKUP(B2521,LifeList!$E$2:$I$2038,5)</f>
        <v>Turdidae (Thrushes and Allies)</v>
      </c>
      <c r="I2521" s="3"/>
    </row>
    <row r="2522" spans="1:9" ht="10.5" customHeight="1">
      <c r="A2522" s="3" t="s">
        <v>3531</v>
      </c>
      <c r="B2522" s="3" t="s">
        <v>3530</v>
      </c>
      <c r="C2522" s="3">
        <f>VLOOKUP(B2522,LifeList!$E$2:$J$2038,6)</f>
        <v>28745</v>
      </c>
      <c r="D2522" s="3" t="str">
        <f>VLOOKUP(B2522,LifeList!$E$2:$G$2038,1)</f>
        <v>Pale-breasted Thrush</v>
      </c>
      <c r="E2522" s="3" t="str">
        <f>VLOOKUP(B2522,LifeList!$E$2:$G$2038,2)</f>
        <v>Merle leucomèle</v>
      </c>
      <c r="F2522" s="3" t="str">
        <f>VLOOKUP(B2522,LifeList!$E$2:$G$2038,3)</f>
        <v>Turdus leucomelas</v>
      </c>
      <c r="G2522" s="3" t="str">
        <f>VLOOKUP(B2522,LifeList!$E$2:$I$2038,4)</f>
        <v>Passeriformes</v>
      </c>
      <c r="H2522" s="3" t="str">
        <f>VLOOKUP(B2522,LifeList!$E$2:$I$2038,5)</f>
        <v>Turdidae (Thrushes and Allies)</v>
      </c>
      <c r="I2522" s="3"/>
    </row>
    <row r="2523" spans="1:9" ht="10.5" customHeight="1">
      <c r="A2523" s="3" t="s">
        <v>3532</v>
      </c>
      <c r="B2523" s="3" t="s">
        <v>3530</v>
      </c>
      <c r="C2523" s="3">
        <f>VLOOKUP(B2523,LifeList!$E$2:$J$2038,6)</f>
        <v>28745</v>
      </c>
      <c r="D2523" s="3" t="str">
        <f>VLOOKUP(B2523,LifeList!$E$2:$G$2038,1)</f>
        <v>Pale-breasted Thrush</v>
      </c>
      <c r="E2523" s="3" t="str">
        <f>VLOOKUP(B2523,LifeList!$E$2:$G$2038,2)</f>
        <v>Merle leucomèle</v>
      </c>
      <c r="F2523" s="3" t="str">
        <f>VLOOKUP(B2523,LifeList!$E$2:$G$2038,3)</f>
        <v>Turdus leucomelas</v>
      </c>
      <c r="G2523" s="3" t="str">
        <f>VLOOKUP(B2523,LifeList!$E$2:$I$2038,4)</f>
        <v>Passeriformes</v>
      </c>
      <c r="H2523" s="3" t="str">
        <f>VLOOKUP(B2523,LifeList!$E$2:$I$2038,5)</f>
        <v>Turdidae (Thrushes and Allies)</v>
      </c>
      <c r="I2523" s="3"/>
    </row>
    <row r="2524" spans="1:9" ht="10.5" customHeight="1">
      <c r="A2524" s="3" t="s">
        <v>3533</v>
      </c>
      <c r="B2524" s="3" t="s">
        <v>3530</v>
      </c>
      <c r="C2524" s="3">
        <f>VLOOKUP(B2524,LifeList!$E$2:$J$2038,6)</f>
        <v>28745</v>
      </c>
      <c r="D2524" s="3" t="str">
        <f>VLOOKUP(B2524,LifeList!$E$2:$G$2038,1)</f>
        <v>Pale-breasted Thrush</v>
      </c>
      <c r="E2524" s="3" t="str">
        <f>VLOOKUP(B2524,LifeList!$E$2:$G$2038,2)</f>
        <v>Merle leucomèle</v>
      </c>
      <c r="F2524" s="3" t="str">
        <f>VLOOKUP(B2524,LifeList!$E$2:$G$2038,3)</f>
        <v>Turdus leucomelas</v>
      </c>
      <c r="G2524" s="3" t="str">
        <f>VLOOKUP(B2524,LifeList!$E$2:$I$2038,4)</f>
        <v>Passeriformes</v>
      </c>
      <c r="H2524" s="3" t="str">
        <f>VLOOKUP(B2524,LifeList!$E$2:$I$2038,5)</f>
        <v>Turdidae (Thrushes and Allies)</v>
      </c>
      <c r="I2524" s="3"/>
    </row>
    <row r="2525" spans="1:9" ht="10.5" customHeight="1">
      <c r="A2525" s="3" t="s">
        <v>3534</v>
      </c>
      <c r="B2525" s="3" t="s">
        <v>3530</v>
      </c>
      <c r="C2525" s="3">
        <f>VLOOKUP(B2525,LifeList!$E$2:$J$2038,6)</f>
        <v>28745</v>
      </c>
      <c r="D2525" s="3" t="str">
        <f>VLOOKUP(B2525,LifeList!$E$2:$G$2038,1)</f>
        <v>Pale-breasted Thrush</v>
      </c>
      <c r="E2525" s="3" t="str">
        <f>VLOOKUP(B2525,LifeList!$E$2:$G$2038,2)</f>
        <v>Merle leucomèle</v>
      </c>
      <c r="F2525" s="3" t="str">
        <f>VLOOKUP(B2525,LifeList!$E$2:$G$2038,3)</f>
        <v>Turdus leucomelas</v>
      </c>
      <c r="G2525" s="3" t="str">
        <f>VLOOKUP(B2525,LifeList!$E$2:$I$2038,4)</f>
        <v>Passeriformes</v>
      </c>
      <c r="H2525" s="3" t="str">
        <f>VLOOKUP(B2525,LifeList!$E$2:$I$2038,5)</f>
        <v>Turdidae (Thrushes and Allies)</v>
      </c>
      <c r="I2525" s="3"/>
    </row>
    <row r="2526" spans="1:9" ht="10.5" customHeight="1">
      <c r="A2526" s="7" t="s">
        <v>3535</v>
      </c>
      <c r="B2526" s="8" t="s">
        <v>3536</v>
      </c>
      <c r="C2526" s="6">
        <f>VLOOKUP(B2526,LifeList!$E$2:$J$2038,6)</f>
        <v>10889</v>
      </c>
      <c r="D2526" s="3" t="str">
        <f>VLOOKUP(B2526,LifeList!$E$2:$G$2038,1)</f>
        <v>Pale-mandibled Aracari</v>
      </c>
      <c r="E2526" s="3" t="str">
        <f>VLOOKUP(B2526,LifeList!$E$2:$G$2038,2)</f>
        <v>Araçari à bec clair</v>
      </c>
      <c r="F2526" s="3" t="str">
        <f>VLOOKUP(B2526,LifeList!$E$2:$G$2038,3)</f>
        <v>Pteroglossus erythropygius</v>
      </c>
      <c r="G2526" s="3" t="str">
        <f>VLOOKUP(B2526,LifeList!$E$2:$I$2038,4)</f>
        <v>Piciformes</v>
      </c>
      <c r="H2526" s="3" t="str">
        <f>VLOOKUP(B2526,LifeList!$E$2:$I$2038,5)</f>
        <v>Ramphastidae (Toucans)</v>
      </c>
      <c r="I2526" s="3"/>
    </row>
    <row r="2527" spans="1:9" ht="10.5" customHeight="1">
      <c r="A2527" s="3" t="s">
        <v>3537</v>
      </c>
      <c r="B2527" s="3" t="s">
        <v>3538</v>
      </c>
      <c r="C2527" s="3">
        <f>VLOOKUP(B2527,LifeList!$E$2:$J$2038,6)</f>
        <v>1940</v>
      </c>
      <c r="D2527" s="3" t="str">
        <f>VLOOKUP(B2527,LifeList!$E$2:$G$2038,1)</f>
        <v>Pale-vented Pigeon</v>
      </c>
      <c r="E2527" s="3" t="str">
        <f>VLOOKUP(B2527,LifeList!$E$2:$G$2038,2)</f>
        <v>Pigeon rousset</v>
      </c>
      <c r="F2527" s="3" t="str">
        <f>VLOOKUP(B2527,LifeList!$E$2:$G$2038,3)</f>
        <v>Patagioenas cayennensis</v>
      </c>
      <c r="G2527" s="3" t="str">
        <f>VLOOKUP(B2527,LifeList!$E$2:$I$2038,4)</f>
        <v>Columbiformes</v>
      </c>
      <c r="H2527" s="3" t="str">
        <f>VLOOKUP(B2527,LifeList!$E$2:$I$2038,5)</f>
        <v>Columbidae (Pigeons and Doves)</v>
      </c>
      <c r="I2527" s="3"/>
    </row>
    <row r="2528" spans="1:9" ht="10.5" customHeight="1">
      <c r="A2528" s="3" t="s">
        <v>3539</v>
      </c>
      <c r="B2528" s="3" t="s">
        <v>3538</v>
      </c>
      <c r="C2528" s="3">
        <f>VLOOKUP(B2528,LifeList!$E$2:$J$2038,6)</f>
        <v>1940</v>
      </c>
      <c r="D2528" s="3" t="str">
        <f>VLOOKUP(B2528,LifeList!$E$2:$G$2038,1)</f>
        <v>Pale-vented Pigeon</v>
      </c>
      <c r="E2528" s="3" t="str">
        <f>VLOOKUP(B2528,LifeList!$E$2:$G$2038,2)</f>
        <v>Pigeon rousset</v>
      </c>
      <c r="F2528" s="3" t="str">
        <f>VLOOKUP(B2528,LifeList!$E$2:$G$2038,3)</f>
        <v>Patagioenas cayennensis</v>
      </c>
      <c r="G2528" s="3" t="str">
        <f>VLOOKUP(B2528,LifeList!$E$2:$I$2038,4)</f>
        <v>Columbiformes</v>
      </c>
      <c r="H2528" s="3" t="str">
        <f>VLOOKUP(B2528,LifeList!$E$2:$I$2038,5)</f>
        <v>Columbidae (Pigeons and Doves)</v>
      </c>
      <c r="I2528" s="3"/>
    </row>
    <row r="2529" spans="1:9" ht="10.5" customHeight="1">
      <c r="A2529" s="3" t="s">
        <v>3540</v>
      </c>
      <c r="B2529" s="3" t="s">
        <v>3538</v>
      </c>
      <c r="C2529" s="3">
        <f>VLOOKUP(B2529,LifeList!$E$2:$J$2038,6)</f>
        <v>1940</v>
      </c>
      <c r="D2529" s="3" t="str">
        <f>VLOOKUP(B2529,LifeList!$E$2:$G$2038,1)</f>
        <v>Pale-vented Pigeon</v>
      </c>
      <c r="E2529" s="3" t="str">
        <f>VLOOKUP(B2529,LifeList!$E$2:$G$2038,2)</f>
        <v>Pigeon rousset</v>
      </c>
      <c r="F2529" s="3" t="str">
        <f>VLOOKUP(B2529,LifeList!$E$2:$G$2038,3)</f>
        <v>Patagioenas cayennensis</v>
      </c>
      <c r="G2529" s="3" t="str">
        <f>VLOOKUP(B2529,LifeList!$E$2:$I$2038,4)</f>
        <v>Columbiformes</v>
      </c>
      <c r="H2529" s="3" t="str">
        <f>VLOOKUP(B2529,LifeList!$E$2:$I$2038,5)</f>
        <v>Columbidae (Pigeons and Doves)</v>
      </c>
      <c r="I2529" s="3"/>
    </row>
    <row r="2530" spans="1:9" ht="10.5" customHeight="1">
      <c r="A2530" s="3" t="s">
        <v>3541</v>
      </c>
      <c r="B2530" s="3" t="s">
        <v>3542</v>
      </c>
      <c r="C2530" s="3">
        <f>VLOOKUP(B2530,LifeList!$E$2:$J$2038,6)</f>
        <v>27907</v>
      </c>
      <c r="D2530" s="3" t="str">
        <f>VLOOKUP(B2530,LifeList!$E$2:$G$2038,1)</f>
        <v>Pale-winged Starling</v>
      </c>
      <c r="E2530" s="3" t="str">
        <f>VLOOKUP(B2530,LifeList!$E$2:$G$2038,2)</f>
        <v>Rufipenne nabouroup</v>
      </c>
      <c r="F2530" s="3" t="str">
        <f>VLOOKUP(B2530,LifeList!$E$2:$G$2038,3)</f>
        <v>Onychognathus nabouroup</v>
      </c>
      <c r="G2530" s="3" t="str">
        <f>VLOOKUP(B2530,LifeList!$E$2:$I$2038,4)</f>
        <v>Passeriformes</v>
      </c>
      <c r="H2530" s="3" t="str">
        <f>VLOOKUP(B2530,LifeList!$E$2:$I$2038,5)</f>
        <v>Sturnidae (Starlings)</v>
      </c>
      <c r="I2530" s="3"/>
    </row>
    <row r="2531" spans="1:9" ht="10.5" customHeight="1">
      <c r="A2531" s="3" t="s">
        <v>3543</v>
      </c>
      <c r="B2531" s="3" t="s">
        <v>3544</v>
      </c>
      <c r="C2531" s="3">
        <f>VLOOKUP(B2531,LifeList!$E$2:$J$2038,6)</f>
        <v>32108</v>
      </c>
      <c r="D2531" s="3" t="str">
        <f>VLOOKUP(B2531,LifeList!$E$2:$G$2038,1)</f>
        <v>Palila</v>
      </c>
      <c r="E2531" s="3" t="str">
        <f>VLOOKUP(B2531,LifeList!$E$2:$G$2038,2)</f>
        <v>Psittirostre palila</v>
      </c>
      <c r="F2531" s="3" t="str">
        <f>VLOOKUP(B2531,LifeList!$E$2:$G$2038,3)</f>
        <v>Loxioides bailleui</v>
      </c>
      <c r="G2531" s="3" t="str">
        <f>VLOOKUP(B2531,LifeList!$E$2:$I$2038,4)</f>
        <v>Passeriformes</v>
      </c>
      <c r="H2531" s="3" t="str">
        <f>VLOOKUP(B2531,LifeList!$E$2:$I$2038,5)</f>
        <v>Fringillidae (Finches, Euphonias, and Allies)</v>
      </c>
      <c r="I2531" s="3"/>
    </row>
    <row r="2532" spans="1:9" ht="10.5" customHeight="1">
      <c r="A2532" s="3" t="s">
        <v>3545</v>
      </c>
      <c r="B2532" s="3" t="s">
        <v>3546</v>
      </c>
      <c r="C2532" s="3">
        <f>VLOOKUP(B2532,LifeList!$E$2:$J$2038,6)</f>
        <v>3345</v>
      </c>
      <c r="D2532" s="3" t="str">
        <f>VLOOKUP(B2532,LifeList!$E$2:$G$2038,1)</f>
        <v>Pallid Cuckoo</v>
      </c>
      <c r="E2532" s="3" t="str">
        <f>VLOOKUP(B2532,LifeList!$E$2:$G$2038,2)</f>
        <v>Coucou pâle</v>
      </c>
      <c r="F2532" s="3" t="str">
        <f>VLOOKUP(B2532,LifeList!$E$2:$G$2038,3)</f>
        <v>Heteroscenes pallidus</v>
      </c>
      <c r="G2532" s="3" t="str">
        <f>VLOOKUP(B2532,LifeList!$E$2:$I$2038,4)</f>
        <v>Cuculiformes</v>
      </c>
      <c r="H2532" s="3" t="str">
        <f>VLOOKUP(B2532,LifeList!$E$2:$I$2038,5)</f>
        <v>Cuculidae (Cuckoos)</v>
      </c>
      <c r="I2532" s="3"/>
    </row>
    <row r="2533" spans="1:9" ht="10.5" customHeight="1">
      <c r="A2533" s="3" t="s">
        <v>3547</v>
      </c>
      <c r="B2533" s="3" t="s">
        <v>3548</v>
      </c>
      <c r="C2533" s="3">
        <f>VLOOKUP(B2533,LifeList!$E$2:$J$2038,6)</f>
        <v>34148</v>
      </c>
      <c r="D2533" s="3" t="str">
        <f>VLOOKUP(B2533,LifeList!$E$2:$G$2038,1)</f>
        <v>Palm Warbler</v>
      </c>
      <c r="E2533" s="3" t="str">
        <f>VLOOKUP(B2533,LifeList!$E$2:$G$2038,2)</f>
        <v>Paruline à couronne rousse</v>
      </c>
      <c r="F2533" s="3" t="str">
        <f>VLOOKUP(B2533,LifeList!$E$2:$G$2038,3)</f>
        <v>Setophaga palmarum</v>
      </c>
      <c r="G2533" s="3" t="str">
        <f>VLOOKUP(B2533,LifeList!$E$2:$I$2038,4)</f>
        <v>Passeriformes</v>
      </c>
      <c r="H2533" s="3" t="str">
        <f>VLOOKUP(B2533,LifeList!$E$2:$I$2038,5)</f>
        <v>Parulidae (New World Warblers)</v>
      </c>
      <c r="I2533" s="3"/>
    </row>
    <row r="2534" spans="1:9" ht="10.5" customHeight="1">
      <c r="A2534" s="3" t="s">
        <v>3549</v>
      </c>
      <c r="B2534" s="3" t="s">
        <v>3550</v>
      </c>
      <c r="C2534" s="3">
        <f>VLOOKUP(B2534,LifeList!$E$2:$J$2038,6)</f>
        <v>34957</v>
      </c>
      <c r="D2534" s="3" t="str">
        <f>VLOOKUP(B2534,LifeList!$E$2:$G$2038,1)</f>
        <v>Palm Tanager</v>
      </c>
      <c r="E2534" s="3" t="str">
        <f>VLOOKUP(B2534,LifeList!$E$2:$G$2038,2)</f>
        <v>Tangara des palmiers</v>
      </c>
      <c r="F2534" s="3" t="str">
        <f>VLOOKUP(B2534,LifeList!$E$2:$G$2038,3)</f>
        <v>Thraupis palmarum</v>
      </c>
      <c r="G2534" s="3" t="str">
        <f>VLOOKUP(B2534,LifeList!$E$2:$I$2038,4)</f>
        <v>Passeriformes</v>
      </c>
      <c r="H2534" s="3" t="str">
        <f>VLOOKUP(B2534,LifeList!$E$2:$I$2038,5)</f>
        <v>Thraupidae (Tanagers and Allies)</v>
      </c>
      <c r="I2534" s="3"/>
    </row>
    <row r="2535" spans="1:9" ht="10.5" customHeight="1">
      <c r="A2535" s="3" t="s">
        <v>3551</v>
      </c>
      <c r="B2535" s="3" t="s">
        <v>3550</v>
      </c>
      <c r="C2535" s="3">
        <f>VLOOKUP(B2535,LifeList!$E$2:$J$2038,6)</f>
        <v>34957</v>
      </c>
      <c r="D2535" s="3" t="str">
        <f>VLOOKUP(B2535,LifeList!$E$2:$G$2038,1)</f>
        <v>Palm Tanager</v>
      </c>
      <c r="E2535" s="3" t="str">
        <f>VLOOKUP(B2535,LifeList!$E$2:$G$2038,2)</f>
        <v>Tangara des palmiers</v>
      </c>
      <c r="F2535" s="3" t="str">
        <f>VLOOKUP(B2535,LifeList!$E$2:$G$2038,3)</f>
        <v>Thraupis palmarum</v>
      </c>
      <c r="G2535" s="3" t="str">
        <f>VLOOKUP(B2535,LifeList!$E$2:$I$2038,4)</f>
        <v>Passeriformes</v>
      </c>
      <c r="H2535" s="3" t="str">
        <f>VLOOKUP(B2535,LifeList!$E$2:$I$2038,5)</f>
        <v>Thraupidae (Tanagers and Allies)</v>
      </c>
      <c r="I2535" s="3"/>
    </row>
    <row r="2536" spans="1:9" ht="10.5" customHeight="1">
      <c r="A2536" s="3" t="s">
        <v>3552</v>
      </c>
      <c r="B2536" s="3" t="s">
        <v>3550</v>
      </c>
      <c r="C2536" s="3">
        <f>VLOOKUP(B2536,LifeList!$E$2:$J$2038,6)</f>
        <v>34957</v>
      </c>
      <c r="D2536" s="3" t="str">
        <f>VLOOKUP(B2536,LifeList!$E$2:$G$2038,1)</f>
        <v>Palm Tanager</v>
      </c>
      <c r="E2536" s="3" t="str">
        <f>VLOOKUP(B2536,LifeList!$E$2:$G$2038,2)</f>
        <v>Tangara des palmiers</v>
      </c>
      <c r="F2536" s="3" t="str">
        <f>VLOOKUP(B2536,LifeList!$E$2:$G$2038,3)</f>
        <v>Thraupis palmarum</v>
      </c>
      <c r="G2536" s="3" t="str">
        <f>VLOOKUP(B2536,LifeList!$E$2:$I$2038,4)</f>
        <v>Passeriformes</v>
      </c>
      <c r="H2536" s="3" t="str">
        <f>VLOOKUP(B2536,LifeList!$E$2:$I$2038,5)</f>
        <v>Thraupidae (Tanagers and Allies)</v>
      </c>
      <c r="I2536" s="3"/>
    </row>
    <row r="2537" spans="1:9" ht="10.5" customHeight="1">
      <c r="A2537" s="3" t="s">
        <v>3553</v>
      </c>
      <c r="B2537" s="3" t="s">
        <v>3554</v>
      </c>
      <c r="C2537" s="3">
        <f>VLOOKUP(B2537,LifeList!$E$2:$J$2038,6)</f>
        <v>34148</v>
      </c>
      <c r="D2537" s="3" t="str">
        <f>VLOOKUP(B2537,LifeList!$E$2:$G$2038,1)</f>
        <v>Palm Warbler</v>
      </c>
      <c r="E2537" s="3" t="str">
        <f>VLOOKUP(B2537,LifeList!$E$2:$G$2038,2)</f>
        <v>Paruline à couronne rousse</v>
      </c>
      <c r="F2537" s="3" t="str">
        <f>VLOOKUP(B2537,LifeList!$E$2:$G$2038,3)</f>
        <v>Setophaga palmarum</v>
      </c>
      <c r="G2537" s="3" t="str">
        <f>VLOOKUP(B2537,LifeList!$E$2:$I$2038,4)</f>
        <v>Passeriformes</v>
      </c>
      <c r="H2537" s="3" t="str">
        <f>VLOOKUP(B2537,LifeList!$E$2:$I$2038,5)</f>
        <v>Parulidae (New World Warblers)</v>
      </c>
      <c r="I2537" s="3"/>
    </row>
    <row r="2538" spans="1:9" ht="10.5" customHeight="1">
      <c r="A2538" s="3" t="s">
        <v>3555</v>
      </c>
      <c r="B2538" s="3" t="s">
        <v>3554</v>
      </c>
      <c r="C2538" s="3">
        <f>VLOOKUP(B2538,LifeList!$E$2:$J$2038,6)</f>
        <v>34148</v>
      </c>
      <c r="D2538" s="3" t="str">
        <f>VLOOKUP(B2538,LifeList!$E$2:$G$2038,1)</f>
        <v>Palm Warbler</v>
      </c>
      <c r="E2538" s="3" t="str">
        <f>VLOOKUP(B2538,LifeList!$E$2:$G$2038,2)</f>
        <v>Paruline à couronne rousse</v>
      </c>
      <c r="F2538" s="3" t="str">
        <f>VLOOKUP(B2538,LifeList!$E$2:$G$2038,3)</f>
        <v>Setophaga palmarum</v>
      </c>
      <c r="G2538" s="3" t="str">
        <f>VLOOKUP(B2538,LifeList!$E$2:$I$2038,4)</f>
        <v>Passeriformes</v>
      </c>
      <c r="H2538" s="3" t="str">
        <f>VLOOKUP(B2538,LifeList!$E$2:$I$2038,5)</f>
        <v>Parulidae (New World Warblers)</v>
      </c>
      <c r="I2538" s="3"/>
    </row>
    <row r="2539" spans="1:9" ht="10.5" customHeight="1">
      <c r="A2539" s="3" t="s">
        <v>3556</v>
      </c>
      <c r="B2539" s="3" t="s">
        <v>3554</v>
      </c>
      <c r="C2539" s="3">
        <f>VLOOKUP(B2539,LifeList!$E$2:$J$2038,6)</f>
        <v>34148</v>
      </c>
      <c r="D2539" s="3" t="str">
        <f>VLOOKUP(B2539,LifeList!$E$2:$G$2038,1)</f>
        <v>Palm Warbler</v>
      </c>
      <c r="E2539" s="3" t="str">
        <f>VLOOKUP(B2539,LifeList!$E$2:$G$2038,2)</f>
        <v>Paruline à couronne rousse</v>
      </c>
      <c r="F2539" s="3" t="str">
        <f>VLOOKUP(B2539,LifeList!$E$2:$G$2038,3)</f>
        <v>Setophaga palmarum</v>
      </c>
      <c r="G2539" s="3" t="str">
        <f>VLOOKUP(B2539,LifeList!$E$2:$I$2038,4)</f>
        <v>Passeriformes</v>
      </c>
      <c r="H2539" s="3" t="str">
        <f>VLOOKUP(B2539,LifeList!$E$2:$I$2038,5)</f>
        <v>Parulidae (New World Warblers)</v>
      </c>
      <c r="I2539" s="3"/>
    </row>
    <row r="2540" spans="1:9" ht="10.5" customHeight="1">
      <c r="A2540" s="3" t="s">
        <v>3557</v>
      </c>
      <c r="B2540" s="3" t="s">
        <v>3554</v>
      </c>
      <c r="C2540" s="3">
        <f>VLOOKUP(B2540,LifeList!$E$2:$J$2038,6)</f>
        <v>34148</v>
      </c>
      <c r="D2540" s="3" t="str">
        <f>VLOOKUP(B2540,LifeList!$E$2:$G$2038,1)</f>
        <v>Palm Warbler</v>
      </c>
      <c r="E2540" s="3" t="str">
        <f>VLOOKUP(B2540,LifeList!$E$2:$G$2038,2)</f>
        <v>Paruline à couronne rousse</v>
      </c>
      <c r="F2540" s="3" t="str">
        <f>VLOOKUP(B2540,LifeList!$E$2:$G$2038,3)</f>
        <v>Setophaga palmarum</v>
      </c>
      <c r="G2540" s="3" t="str">
        <f>VLOOKUP(B2540,LifeList!$E$2:$I$2038,4)</f>
        <v>Passeriformes</v>
      </c>
      <c r="H2540" s="3" t="str">
        <f>VLOOKUP(B2540,LifeList!$E$2:$I$2038,5)</f>
        <v>Parulidae (New World Warblers)</v>
      </c>
      <c r="I2540" s="3"/>
    </row>
    <row r="2541" spans="1:9" ht="10.5" customHeight="1">
      <c r="A2541" s="3" t="s">
        <v>3558</v>
      </c>
      <c r="B2541" s="3" t="s">
        <v>3554</v>
      </c>
      <c r="C2541" s="3">
        <f>VLOOKUP(B2541,LifeList!$E$2:$J$2038,6)</f>
        <v>34148</v>
      </c>
      <c r="D2541" s="3" t="str">
        <f>VLOOKUP(B2541,LifeList!$E$2:$G$2038,1)</f>
        <v>Palm Warbler</v>
      </c>
      <c r="E2541" s="3" t="str">
        <f>VLOOKUP(B2541,LifeList!$E$2:$G$2038,2)</f>
        <v>Paruline à couronne rousse</v>
      </c>
      <c r="F2541" s="3" t="str">
        <f>VLOOKUP(B2541,LifeList!$E$2:$G$2038,3)</f>
        <v>Setophaga palmarum</v>
      </c>
      <c r="G2541" s="3" t="str">
        <f>VLOOKUP(B2541,LifeList!$E$2:$I$2038,4)</f>
        <v>Passeriformes</v>
      </c>
      <c r="H2541" s="3" t="str">
        <f>VLOOKUP(B2541,LifeList!$E$2:$I$2038,5)</f>
        <v>Parulidae (New World Warblers)</v>
      </c>
      <c r="I2541" s="3"/>
    </row>
    <row r="2542" spans="1:9" ht="10.5" customHeight="1">
      <c r="A2542" s="3" t="s">
        <v>3559</v>
      </c>
      <c r="B2542" s="3" t="s">
        <v>3554</v>
      </c>
      <c r="C2542" s="3">
        <f>VLOOKUP(B2542,LifeList!$E$2:$J$2038,6)</f>
        <v>34148</v>
      </c>
      <c r="D2542" s="3" t="str">
        <f>VLOOKUP(B2542,LifeList!$E$2:$G$2038,1)</f>
        <v>Palm Warbler</v>
      </c>
      <c r="E2542" s="3" t="str">
        <f>VLOOKUP(B2542,LifeList!$E$2:$G$2038,2)</f>
        <v>Paruline à couronne rousse</v>
      </c>
      <c r="F2542" s="3" t="str">
        <f>VLOOKUP(B2542,LifeList!$E$2:$G$2038,3)</f>
        <v>Setophaga palmarum</v>
      </c>
      <c r="G2542" s="3" t="str">
        <f>VLOOKUP(B2542,LifeList!$E$2:$I$2038,4)</f>
        <v>Passeriformes</v>
      </c>
      <c r="H2542" s="3" t="str">
        <f>VLOOKUP(B2542,LifeList!$E$2:$I$2038,5)</f>
        <v>Parulidae (New World Warblers)</v>
      </c>
      <c r="I2542" s="3"/>
    </row>
    <row r="2543" spans="1:9" ht="10.5" customHeight="1">
      <c r="A2543" s="3" t="s">
        <v>3560</v>
      </c>
      <c r="B2543" s="3" t="s">
        <v>3554</v>
      </c>
      <c r="C2543" s="3">
        <f>VLOOKUP(B2543,LifeList!$E$2:$J$2038,6)</f>
        <v>34148</v>
      </c>
      <c r="D2543" s="3" t="str">
        <f>VLOOKUP(B2543,LifeList!$E$2:$G$2038,1)</f>
        <v>Palm Warbler</v>
      </c>
      <c r="E2543" s="3" t="str">
        <f>VLOOKUP(B2543,LifeList!$E$2:$G$2038,2)</f>
        <v>Paruline à couronne rousse</v>
      </c>
      <c r="F2543" s="3" t="str">
        <f>VLOOKUP(B2543,LifeList!$E$2:$G$2038,3)</f>
        <v>Setophaga palmarum</v>
      </c>
      <c r="G2543" s="3" t="str">
        <f>VLOOKUP(B2543,LifeList!$E$2:$I$2038,4)</f>
        <v>Passeriformes</v>
      </c>
      <c r="H2543" s="3" t="str">
        <f>VLOOKUP(B2543,LifeList!$E$2:$I$2038,5)</f>
        <v>Parulidae (New World Warblers)</v>
      </c>
      <c r="I2543" s="3"/>
    </row>
    <row r="2544" spans="1:9" ht="10.5" customHeight="1">
      <c r="A2544" s="3" t="s">
        <v>3561</v>
      </c>
      <c r="B2544" s="3" t="s">
        <v>3554</v>
      </c>
      <c r="C2544" s="3">
        <f>VLOOKUP(B2544,LifeList!$E$2:$J$2038,6)</f>
        <v>34148</v>
      </c>
      <c r="D2544" s="3" t="str">
        <f>VLOOKUP(B2544,LifeList!$E$2:$G$2038,1)</f>
        <v>Palm Warbler</v>
      </c>
      <c r="E2544" s="3" t="str">
        <f>VLOOKUP(B2544,LifeList!$E$2:$G$2038,2)</f>
        <v>Paruline à couronne rousse</v>
      </c>
      <c r="F2544" s="3" t="str">
        <f>VLOOKUP(B2544,LifeList!$E$2:$G$2038,3)</f>
        <v>Setophaga palmarum</v>
      </c>
      <c r="G2544" s="3" t="str">
        <f>VLOOKUP(B2544,LifeList!$E$2:$I$2038,4)</f>
        <v>Passeriformes</v>
      </c>
      <c r="H2544" s="3" t="str">
        <f>VLOOKUP(B2544,LifeList!$E$2:$I$2038,5)</f>
        <v>Parulidae (New World Warblers)</v>
      </c>
      <c r="I2544" s="3"/>
    </row>
    <row r="2545" spans="1:9" ht="10.5" customHeight="1">
      <c r="A2545" s="3" t="s">
        <v>3562</v>
      </c>
      <c r="B2545" s="3" t="s">
        <v>3554</v>
      </c>
      <c r="C2545" s="3">
        <f>VLOOKUP(B2545,LifeList!$E$2:$J$2038,6)</f>
        <v>34148</v>
      </c>
      <c r="D2545" s="3" t="str">
        <f>VLOOKUP(B2545,LifeList!$E$2:$G$2038,1)</f>
        <v>Palm Warbler</v>
      </c>
      <c r="E2545" s="3" t="str">
        <f>VLOOKUP(B2545,LifeList!$E$2:$G$2038,2)</f>
        <v>Paruline à couronne rousse</v>
      </c>
      <c r="F2545" s="3" t="str">
        <f>VLOOKUP(B2545,LifeList!$E$2:$G$2038,3)</f>
        <v>Setophaga palmarum</v>
      </c>
      <c r="G2545" s="3" t="str">
        <f>VLOOKUP(B2545,LifeList!$E$2:$I$2038,4)</f>
        <v>Passeriformes</v>
      </c>
      <c r="H2545" s="3" t="str">
        <f>VLOOKUP(B2545,LifeList!$E$2:$I$2038,5)</f>
        <v>Parulidae (New World Warblers)</v>
      </c>
      <c r="I2545" s="3"/>
    </row>
    <row r="2546" spans="1:9" ht="10.5" customHeight="1">
      <c r="A2546" s="3" t="s">
        <v>3563</v>
      </c>
      <c r="B2546" s="3" t="s">
        <v>3554</v>
      </c>
      <c r="C2546" s="3">
        <f>VLOOKUP(B2546,LifeList!$E$2:$J$2038,6)</f>
        <v>34148</v>
      </c>
      <c r="D2546" s="3" t="str">
        <f>VLOOKUP(B2546,LifeList!$E$2:$G$2038,1)</f>
        <v>Palm Warbler</v>
      </c>
      <c r="E2546" s="3" t="str">
        <f>VLOOKUP(B2546,LifeList!$E$2:$G$2038,2)</f>
        <v>Paruline à couronne rousse</v>
      </c>
      <c r="F2546" s="3" t="str">
        <f>VLOOKUP(B2546,LifeList!$E$2:$G$2038,3)</f>
        <v>Setophaga palmarum</v>
      </c>
      <c r="G2546" s="3" t="str">
        <f>VLOOKUP(B2546,LifeList!$E$2:$I$2038,4)</f>
        <v>Passeriformes</v>
      </c>
      <c r="H2546" s="3" t="str">
        <f>VLOOKUP(B2546,LifeList!$E$2:$I$2038,5)</f>
        <v>Parulidae (New World Warblers)</v>
      </c>
      <c r="I2546" s="3"/>
    </row>
    <row r="2547" spans="1:9" ht="10.5" customHeight="1">
      <c r="A2547" s="3" t="s">
        <v>3564</v>
      </c>
      <c r="B2547" s="3" t="s">
        <v>3554</v>
      </c>
      <c r="C2547" s="3">
        <f>VLOOKUP(B2547,LifeList!$E$2:$J$2038,6)</f>
        <v>34148</v>
      </c>
      <c r="D2547" s="3" t="str">
        <f>VLOOKUP(B2547,LifeList!$E$2:$G$2038,1)</f>
        <v>Palm Warbler</v>
      </c>
      <c r="E2547" s="3" t="str">
        <f>VLOOKUP(B2547,LifeList!$E$2:$G$2038,2)</f>
        <v>Paruline à couronne rousse</v>
      </c>
      <c r="F2547" s="3" t="str">
        <f>VLOOKUP(B2547,LifeList!$E$2:$G$2038,3)</f>
        <v>Setophaga palmarum</v>
      </c>
      <c r="G2547" s="3" t="str">
        <f>VLOOKUP(B2547,LifeList!$E$2:$I$2038,4)</f>
        <v>Passeriformes</v>
      </c>
      <c r="H2547" s="3" t="str">
        <f>VLOOKUP(B2547,LifeList!$E$2:$I$2038,5)</f>
        <v>Parulidae (New World Warblers)</v>
      </c>
      <c r="I2547" s="3"/>
    </row>
    <row r="2548" spans="1:9" ht="10.5" customHeight="1">
      <c r="A2548" s="3" t="s">
        <v>3565</v>
      </c>
      <c r="B2548" s="3" t="s">
        <v>3554</v>
      </c>
      <c r="C2548" s="3">
        <f>VLOOKUP(B2548,LifeList!$E$2:$J$2038,6)</f>
        <v>34148</v>
      </c>
      <c r="D2548" s="3" t="str">
        <f>VLOOKUP(B2548,LifeList!$E$2:$G$2038,1)</f>
        <v>Palm Warbler</v>
      </c>
      <c r="E2548" s="3" t="str">
        <f>VLOOKUP(B2548,LifeList!$E$2:$G$2038,2)</f>
        <v>Paruline à couronne rousse</v>
      </c>
      <c r="F2548" s="3" t="str">
        <f>VLOOKUP(B2548,LifeList!$E$2:$G$2038,3)</f>
        <v>Setophaga palmarum</v>
      </c>
      <c r="G2548" s="3" t="str">
        <f>VLOOKUP(B2548,LifeList!$E$2:$I$2038,4)</f>
        <v>Passeriformes</v>
      </c>
      <c r="H2548" s="3" t="str">
        <f>VLOOKUP(B2548,LifeList!$E$2:$I$2038,5)</f>
        <v>Parulidae (New World Warblers)</v>
      </c>
      <c r="I2548" s="3"/>
    </row>
    <row r="2549" spans="1:9" ht="10.5" customHeight="1">
      <c r="A2549" s="3" t="s">
        <v>3566</v>
      </c>
      <c r="B2549" s="3" t="s">
        <v>3554</v>
      </c>
      <c r="C2549" s="3">
        <f>VLOOKUP(B2549,LifeList!$E$2:$J$2038,6)</f>
        <v>34148</v>
      </c>
      <c r="D2549" s="3" t="str">
        <f>VLOOKUP(B2549,LifeList!$E$2:$G$2038,1)</f>
        <v>Palm Warbler</v>
      </c>
      <c r="E2549" s="3" t="str">
        <f>VLOOKUP(B2549,LifeList!$E$2:$G$2038,2)</f>
        <v>Paruline à couronne rousse</v>
      </c>
      <c r="F2549" s="3" t="str">
        <f>VLOOKUP(B2549,LifeList!$E$2:$G$2038,3)</f>
        <v>Setophaga palmarum</v>
      </c>
      <c r="G2549" s="3" t="str">
        <f>VLOOKUP(B2549,LifeList!$E$2:$I$2038,4)</f>
        <v>Passeriformes</v>
      </c>
      <c r="H2549" s="3" t="str">
        <f>VLOOKUP(B2549,LifeList!$E$2:$I$2038,5)</f>
        <v>Parulidae (New World Warblers)</v>
      </c>
      <c r="I2549" s="3"/>
    </row>
    <row r="2550" spans="1:9" ht="10.5" customHeight="1">
      <c r="A2550" s="3" t="s">
        <v>3567</v>
      </c>
      <c r="B2550" s="3" t="s">
        <v>3554</v>
      </c>
      <c r="C2550" s="3">
        <f>VLOOKUP(B2550,LifeList!$E$2:$J$2038,6)</f>
        <v>34148</v>
      </c>
      <c r="D2550" s="3" t="str">
        <f>VLOOKUP(B2550,LifeList!$E$2:$G$2038,1)</f>
        <v>Palm Warbler</v>
      </c>
      <c r="E2550" s="3" t="str">
        <f>VLOOKUP(B2550,LifeList!$E$2:$G$2038,2)</f>
        <v>Paruline à couronne rousse</v>
      </c>
      <c r="F2550" s="3" t="str">
        <f>VLOOKUP(B2550,LifeList!$E$2:$G$2038,3)</f>
        <v>Setophaga palmarum</v>
      </c>
      <c r="G2550" s="3" t="str">
        <f>VLOOKUP(B2550,LifeList!$E$2:$I$2038,4)</f>
        <v>Passeriformes</v>
      </c>
      <c r="H2550" s="3" t="str">
        <f>VLOOKUP(B2550,LifeList!$E$2:$I$2038,5)</f>
        <v>Parulidae (New World Warblers)</v>
      </c>
      <c r="I2550" s="3"/>
    </row>
    <row r="2551" spans="1:9" ht="10.5" customHeight="1">
      <c r="A2551" s="3" t="s">
        <v>3568</v>
      </c>
      <c r="B2551" s="3" t="s">
        <v>3554</v>
      </c>
      <c r="C2551" s="3">
        <f>VLOOKUP(B2551,LifeList!$E$2:$J$2038,6)</f>
        <v>34148</v>
      </c>
      <c r="D2551" s="3" t="str">
        <f>VLOOKUP(B2551,LifeList!$E$2:$G$2038,1)</f>
        <v>Palm Warbler</v>
      </c>
      <c r="E2551" s="3" t="str">
        <f>VLOOKUP(B2551,LifeList!$E$2:$G$2038,2)</f>
        <v>Paruline à couronne rousse</v>
      </c>
      <c r="F2551" s="3" t="str">
        <f>VLOOKUP(B2551,LifeList!$E$2:$G$2038,3)</f>
        <v>Setophaga palmarum</v>
      </c>
      <c r="G2551" s="3" t="str">
        <f>VLOOKUP(B2551,LifeList!$E$2:$I$2038,4)</f>
        <v>Passeriformes</v>
      </c>
      <c r="H2551" s="3" t="str">
        <f>VLOOKUP(B2551,LifeList!$E$2:$I$2038,5)</f>
        <v>Parulidae (New World Warblers)</v>
      </c>
      <c r="I2551" s="3"/>
    </row>
    <row r="2552" spans="1:9" ht="10.5" customHeight="1">
      <c r="A2552" s="3" t="s">
        <v>3569</v>
      </c>
      <c r="B2552" s="3" t="s">
        <v>3554</v>
      </c>
      <c r="C2552" s="3">
        <f>VLOOKUP(B2552,LifeList!$E$2:$J$2038,6)</f>
        <v>34148</v>
      </c>
      <c r="D2552" s="3" t="str">
        <f>VLOOKUP(B2552,LifeList!$E$2:$G$2038,1)</f>
        <v>Palm Warbler</v>
      </c>
      <c r="E2552" s="3" t="str">
        <f>VLOOKUP(B2552,LifeList!$E$2:$G$2038,2)</f>
        <v>Paruline à couronne rousse</v>
      </c>
      <c r="F2552" s="3" t="str">
        <f>VLOOKUP(B2552,LifeList!$E$2:$G$2038,3)</f>
        <v>Setophaga palmarum</v>
      </c>
      <c r="G2552" s="3" t="str">
        <f>VLOOKUP(B2552,LifeList!$E$2:$I$2038,4)</f>
        <v>Passeriformes</v>
      </c>
      <c r="H2552" s="3" t="str">
        <f>VLOOKUP(B2552,LifeList!$E$2:$I$2038,5)</f>
        <v>Parulidae (New World Warblers)</v>
      </c>
      <c r="I2552" s="3"/>
    </row>
    <row r="2553" spans="1:9" ht="10.5" customHeight="1">
      <c r="A2553" s="3" t="s">
        <v>3570</v>
      </c>
      <c r="B2553" s="3" t="s">
        <v>3554</v>
      </c>
      <c r="C2553" s="3">
        <f>VLOOKUP(B2553,LifeList!$E$2:$J$2038,6)</f>
        <v>34148</v>
      </c>
      <c r="D2553" s="3" t="str">
        <f>VLOOKUP(B2553,LifeList!$E$2:$G$2038,1)</f>
        <v>Palm Warbler</v>
      </c>
      <c r="E2553" s="3" t="str">
        <f>VLOOKUP(B2553,LifeList!$E$2:$G$2038,2)</f>
        <v>Paruline à couronne rousse</v>
      </c>
      <c r="F2553" s="3" t="str">
        <f>VLOOKUP(B2553,LifeList!$E$2:$G$2038,3)</f>
        <v>Setophaga palmarum</v>
      </c>
      <c r="G2553" s="3" t="str">
        <f>VLOOKUP(B2553,LifeList!$E$2:$I$2038,4)</f>
        <v>Passeriformes</v>
      </c>
      <c r="H2553" s="3" t="str">
        <f>VLOOKUP(B2553,LifeList!$E$2:$I$2038,5)</f>
        <v>Parulidae (New World Warblers)</v>
      </c>
      <c r="I2553" s="3"/>
    </row>
    <row r="2554" spans="1:9" ht="10.5" customHeight="1">
      <c r="A2554" s="3" t="s">
        <v>3571</v>
      </c>
      <c r="B2554" s="3" t="s">
        <v>3554</v>
      </c>
      <c r="C2554" s="3">
        <f>VLOOKUP(B2554,LifeList!$E$2:$J$2038,6)</f>
        <v>34148</v>
      </c>
      <c r="D2554" s="3" t="str">
        <f>VLOOKUP(B2554,LifeList!$E$2:$G$2038,1)</f>
        <v>Palm Warbler</v>
      </c>
      <c r="E2554" s="3" t="str">
        <f>VLOOKUP(B2554,LifeList!$E$2:$G$2038,2)</f>
        <v>Paruline à couronne rousse</v>
      </c>
      <c r="F2554" s="3" t="str">
        <f>VLOOKUP(B2554,LifeList!$E$2:$G$2038,3)</f>
        <v>Setophaga palmarum</v>
      </c>
      <c r="G2554" s="3" t="str">
        <f>VLOOKUP(B2554,LifeList!$E$2:$I$2038,4)</f>
        <v>Passeriformes</v>
      </c>
      <c r="H2554" s="3" t="str">
        <f>VLOOKUP(B2554,LifeList!$E$2:$I$2038,5)</f>
        <v>Parulidae (New World Warblers)</v>
      </c>
      <c r="I2554" s="3"/>
    </row>
    <row r="2555" spans="1:9" ht="10.5" customHeight="1">
      <c r="A2555" s="3" t="s">
        <v>3572</v>
      </c>
      <c r="B2555" s="3" t="s">
        <v>3554</v>
      </c>
      <c r="C2555" s="3">
        <f>VLOOKUP(B2555,LifeList!$E$2:$J$2038,6)</f>
        <v>34148</v>
      </c>
      <c r="D2555" s="3" t="str">
        <f>VLOOKUP(B2555,LifeList!$E$2:$G$2038,1)</f>
        <v>Palm Warbler</v>
      </c>
      <c r="E2555" s="3" t="str">
        <f>VLOOKUP(B2555,LifeList!$E$2:$G$2038,2)</f>
        <v>Paruline à couronne rousse</v>
      </c>
      <c r="F2555" s="3" t="str">
        <f>VLOOKUP(B2555,LifeList!$E$2:$G$2038,3)</f>
        <v>Setophaga palmarum</v>
      </c>
      <c r="G2555" s="3" t="str">
        <f>VLOOKUP(B2555,LifeList!$E$2:$I$2038,4)</f>
        <v>Passeriformes</v>
      </c>
      <c r="H2555" s="3" t="str">
        <f>VLOOKUP(B2555,LifeList!$E$2:$I$2038,5)</f>
        <v>Parulidae (New World Warblers)</v>
      </c>
      <c r="I2555" s="3"/>
    </row>
    <row r="2556" spans="1:9" ht="10.5" customHeight="1">
      <c r="A2556" s="3" t="s">
        <v>3573</v>
      </c>
      <c r="B2556" s="3" t="s">
        <v>3574</v>
      </c>
      <c r="C2556" s="3">
        <f>VLOOKUP(B2556,LifeList!$E$2:$J$2038,6)</f>
        <v>17308</v>
      </c>
      <c r="D2556" s="3" t="str">
        <f>VLOOKUP(B2556,LifeList!$E$2:$G$2038,1)</f>
        <v>Panama Flycatcher</v>
      </c>
      <c r="E2556" s="3" t="str">
        <f>VLOOKUP(B2556,LifeList!$E$2:$G$2038,2)</f>
        <v>Tyran du Panama</v>
      </c>
      <c r="F2556" s="3" t="str">
        <f>VLOOKUP(B2556,LifeList!$E$2:$G$2038,3)</f>
        <v>Myiarchus panamensis</v>
      </c>
      <c r="G2556" s="3" t="str">
        <f>VLOOKUP(B2556,LifeList!$E$2:$I$2038,4)</f>
        <v>Passeriformes</v>
      </c>
      <c r="H2556" s="3" t="str">
        <f>VLOOKUP(B2556,LifeList!$E$2:$I$2038,5)</f>
        <v>Tyrannidae (Tyrant Flycatchers)</v>
      </c>
      <c r="I2556" s="3"/>
    </row>
    <row r="2557" spans="1:9" ht="10.5" customHeight="1">
      <c r="A2557" s="3" t="s">
        <v>3575</v>
      </c>
      <c r="B2557" s="3" t="s">
        <v>3574</v>
      </c>
      <c r="C2557" s="3">
        <f>VLOOKUP(B2557,LifeList!$E$2:$J$2038,6)</f>
        <v>17308</v>
      </c>
      <c r="D2557" s="3" t="str">
        <f>VLOOKUP(B2557,LifeList!$E$2:$G$2038,1)</f>
        <v>Panama Flycatcher</v>
      </c>
      <c r="E2557" s="3" t="str">
        <f>VLOOKUP(B2557,LifeList!$E$2:$G$2038,2)</f>
        <v>Tyran du Panama</v>
      </c>
      <c r="F2557" s="3" t="str">
        <f>VLOOKUP(B2557,LifeList!$E$2:$G$2038,3)</f>
        <v>Myiarchus panamensis</v>
      </c>
      <c r="G2557" s="3" t="str">
        <f>VLOOKUP(B2557,LifeList!$E$2:$I$2038,4)</f>
        <v>Passeriformes</v>
      </c>
      <c r="H2557" s="3" t="str">
        <f>VLOOKUP(B2557,LifeList!$E$2:$I$2038,5)</f>
        <v>Tyrannidae (Tyrant Flycatchers)</v>
      </c>
      <c r="I2557" s="3"/>
    </row>
    <row r="2558" spans="1:9" ht="10.5" customHeight="1">
      <c r="A2558" s="3" t="s">
        <v>3576</v>
      </c>
      <c r="B2558" s="3" t="s">
        <v>3574</v>
      </c>
      <c r="C2558" s="3">
        <f>VLOOKUP(B2558,LifeList!$E$2:$J$2038,6)</f>
        <v>17308</v>
      </c>
      <c r="D2558" s="3" t="str">
        <f>VLOOKUP(B2558,LifeList!$E$2:$G$2038,1)</f>
        <v>Panama Flycatcher</v>
      </c>
      <c r="E2558" s="3" t="str">
        <f>VLOOKUP(B2558,LifeList!$E$2:$G$2038,2)</f>
        <v>Tyran du Panama</v>
      </c>
      <c r="F2558" s="3" t="str">
        <f>VLOOKUP(B2558,LifeList!$E$2:$G$2038,3)</f>
        <v>Myiarchus panamensis</v>
      </c>
      <c r="G2558" s="3" t="str">
        <f>VLOOKUP(B2558,LifeList!$E$2:$I$2038,4)</f>
        <v>Passeriformes</v>
      </c>
      <c r="H2558" s="3" t="str">
        <f>VLOOKUP(B2558,LifeList!$E$2:$I$2038,5)</f>
        <v>Tyrannidae (Tyrant Flycatchers)</v>
      </c>
      <c r="I2558" s="3"/>
    </row>
    <row r="2559" spans="1:9" ht="10.5" customHeight="1">
      <c r="A2559" s="3" t="s">
        <v>3577</v>
      </c>
      <c r="B2559" s="3" t="s">
        <v>3578</v>
      </c>
      <c r="C2559" s="3">
        <f>VLOOKUP(B2559,LifeList!$E$2:$J$2038,6)</f>
        <v>35624</v>
      </c>
      <c r="D2559" s="3" t="str">
        <f>VLOOKUP(B2559,LifeList!$E$2:$G$2038,1)</f>
        <v>Paramo Seedeater</v>
      </c>
      <c r="E2559" s="3" t="str">
        <f>VLOOKUP(B2559,LifeList!$E$2:$G$2038,2)</f>
        <v>Cataménie du paramo</v>
      </c>
      <c r="F2559" s="3" t="str">
        <f>VLOOKUP(B2559,LifeList!$E$2:$G$2038,3)</f>
        <v>Catamenia homochroa</v>
      </c>
      <c r="G2559" s="3" t="str">
        <f>VLOOKUP(B2559,LifeList!$E$2:$I$2038,4)</f>
        <v>Passeriformes</v>
      </c>
      <c r="H2559" s="3" t="str">
        <f>VLOOKUP(B2559,LifeList!$E$2:$I$2038,5)</f>
        <v>Thraupidae (Tanagers and Allies)</v>
      </c>
      <c r="I2559" s="3"/>
    </row>
    <row r="2560" spans="1:9" ht="10.5" customHeight="1">
      <c r="A2560" s="7" t="s">
        <v>3579</v>
      </c>
      <c r="B2560" s="9" t="s">
        <v>3580</v>
      </c>
      <c r="C2560" s="6">
        <f>VLOOKUP(B2560,LifeList!$E$2:$J$2038,6)</f>
        <v>6361</v>
      </c>
      <c r="D2560" s="3" t="str">
        <f>VLOOKUP(B2560,LifeList!$E$2:$G$2038,1)</f>
        <v>Parasitic Jaeger</v>
      </c>
      <c r="E2560" s="3" t="str">
        <f>VLOOKUP(B2560,LifeList!$E$2:$G$2038,2)</f>
        <v>Labbe parasite</v>
      </c>
      <c r="F2560" s="3" t="str">
        <f>VLOOKUP(B2560,LifeList!$E$2:$G$2038,3)</f>
        <v>Stercorarius parasiticus</v>
      </c>
      <c r="G2560" s="3" t="str">
        <f>VLOOKUP(B2560,LifeList!$E$2:$I$2038,4)</f>
        <v>Charadriiformes</v>
      </c>
      <c r="H2560" s="3" t="str">
        <f>VLOOKUP(B2560,LifeList!$E$2:$I$2038,5)</f>
        <v>Stercorariidae (Skuas and Jaegers)</v>
      </c>
      <c r="I2560" s="3"/>
    </row>
    <row r="2561" spans="1:9" ht="10.5" customHeight="1">
      <c r="A2561" s="7" t="s">
        <v>3581</v>
      </c>
      <c r="B2561" s="9" t="s">
        <v>3582</v>
      </c>
      <c r="C2561" s="6">
        <f>VLOOKUP(B2561,LifeList!$E$2:$J$2038,6)</f>
        <v>2233</v>
      </c>
      <c r="D2561" s="3" t="str">
        <f>VLOOKUP(B2561,LifeList!$E$2:$G$2038,1)</f>
        <v>Peaceful Dove</v>
      </c>
      <c r="E2561" s="3" t="str">
        <f>VLOOKUP(B2561,LifeList!$E$2:$G$2038,2)</f>
        <v>Géopélie placide</v>
      </c>
      <c r="F2561" s="3" t="str">
        <f>VLOOKUP(B2561,LifeList!$E$2:$G$2038,3)</f>
        <v>Geopelia placida</v>
      </c>
      <c r="G2561" s="3" t="str">
        <f>VLOOKUP(B2561,LifeList!$E$2:$I$2038,4)</f>
        <v>Columbiformes</v>
      </c>
      <c r="H2561" s="3" t="str">
        <f>VLOOKUP(B2561,LifeList!$E$2:$I$2038,5)</f>
        <v>Columbidae (Pigeons and Doves)</v>
      </c>
      <c r="I2561" s="3"/>
    </row>
    <row r="2562" spans="1:9" ht="10.5" customHeight="1">
      <c r="A2562" s="3" t="s">
        <v>3583</v>
      </c>
      <c r="B2562" s="3" t="s">
        <v>3584</v>
      </c>
      <c r="C2562" s="3">
        <f>VLOOKUP(B2562,LifeList!$E$2:$J$2038,6)</f>
        <v>7838</v>
      </c>
      <c r="D2562" s="3" t="str">
        <f>VLOOKUP(B2562,LifeList!$E$2:$G$2038,1)</f>
        <v>Pearl Kite</v>
      </c>
      <c r="E2562" s="3" t="str">
        <f>VLOOKUP(B2562,LifeList!$E$2:$G$2038,2)</f>
        <v>Élanion perle</v>
      </c>
      <c r="F2562" s="3" t="str">
        <f>VLOOKUP(B2562,LifeList!$E$2:$G$2038,3)</f>
        <v>Gampsonyx swainsonii</v>
      </c>
      <c r="G2562" s="3" t="str">
        <f>VLOOKUP(B2562,LifeList!$E$2:$I$2038,4)</f>
        <v>Accipitriformes</v>
      </c>
      <c r="H2562" s="3" t="str">
        <f>VLOOKUP(B2562,LifeList!$E$2:$I$2038,5)</f>
        <v>Accipitridae (Hawks, Eagles, and Kites)</v>
      </c>
      <c r="I2562" s="3"/>
    </row>
    <row r="2563" spans="1:9" ht="10.5" customHeight="1">
      <c r="A2563" s="7" t="s">
        <v>3585</v>
      </c>
      <c r="B2563" s="8" t="s">
        <v>3586</v>
      </c>
      <c r="C2563" s="6">
        <f>VLOOKUP(B2563,LifeList!$E$2:$J$2038,6)</f>
        <v>9007</v>
      </c>
      <c r="D2563" s="3" t="str">
        <f>VLOOKUP(B2563,LifeList!$E$2:$G$2038,1)</f>
        <v>Pearl-spotted Owlet</v>
      </c>
      <c r="E2563" s="3" t="str">
        <f>VLOOKUP(B2563,LifeList!$E$2:$G$2038,2)</f>
        <v>Chevêchette perlée</v>
      </c>
      <c r="F2563" s="3" t="str">
        <f>VLOOKUP(B2563,LifeList!$E$2:$G$2038,3)</f>
        <v>Glaucidium perlatum</v>
      </c>
      <c r="G2563" s="3" t="str">
        <f>VLOOKUP(B2563,LifeList!$E$2:$I$2038,4)</f>
        <v>Strigiformes</v>
      </c>
      <c r="H2563" s="3" t="str">
        <f>VLOOKUP(B2563,LifeList!$E$2:$I$2038,5)</f>
        <v>Strigidae (Owls)</v>
      </c>
      <c r="I2563" s="3"/>
    </row>
    <row r="2564" spans="1:9" ht="10.5" customHeight="1">
      <c r="A2564" s="3" t="s">
        <v>3587</v>
      </c>
      <c r="B2564" s="3" t="s">
        <v>3588</v>
      </c>
      <c r="C2564" s="3">
        <f>VLOOKUP(B2564,LifeList!$E$2:$J$2038,6)</f>
        <v>15304</v>
      </c>
      <c r="D2564" s="3" t="str">
        <f>VLOOKUP(B2564,LifeList!$E$2:$G$2038,1)</f>
        <v>Pearled Treerunner</v>
      </c>
      <c r="E2564" s="3" t="str">
        <f>VLOOKUP(B2564,LifeList!$E$2:$G$2038,2)</f>
        <v>Anabasitte perlée</v>
      </c>
      <c r="F2564" s="3" t="str">
        <f>VLOOKUP(B2564,LifeList!$E$2:$G$2038,3)</f>
        <v>Margarornis squamiger</v>
      </c>
      <c r="G2564" s="3" t="str">
        <f>VLOOKUP(B2564,LifeList!$E$2:$I$2038,4)</f>
        <v>Passeriformes</v>
      </c>
      <c r="H2564" s="3" t="str">
        <f>VLOOKUP(B2564,LifeList!$E$2:$I$2038,5)</f>
        <v>Furnariidae (Ovenbirds and Woodcreepers)</v>
      </c>
      <c r="I2564" s="3"/>
    </row>
    <row r="2565" spans="1:9" ht="10.5" customHeight="1">
      <c r="A2565" s="3" t="s">
        <v>3589</v>
      </c>
      <c r="B2565" s="3" t="s">
        <v>3590</v>
      </c>
      <c r="C2565" s="3">
        <f>VLOOKUP(B2565,LifeList!$E$2:$J$2038,6)</f>
        <v>16358</v>
      </c>
      <c r="D2565" s="3" t="str">
        <f>VLOOKUP(B2565,LifeList!$E$2:$G$2038,1)</f>
        <v>Pearly-vented Tody-Tyrant</v>
      </c>
      <c r="E2565" s="3" t="str">
        <f>VLOOKUP(B2565,LifeList!$E$2:$G$2038,2)</f>
        <v>Todirostre à ventre perle</v>
      </c>
      <c r="F2565" s="3" t="str">
        <f>VLOOKUP(B2565,LifeList!$E$2:$G$2038,3)</f>
        <v>Hemitriccus margaritaceiventer</v>
      </c>
      <c r="G2565" s="3" t="str">
        <f>VLOOKUP(B2565,LifeList!$E$2:$I$2038,4)</f>
        <v>Passeriformes</v>
      </c>
      <c r="H2565" s="3" t="str">
        <f>VLOOKUP(B2565,LifeList!$E$2:$I$2038,5)</f>
        <v>Tyrannidae (Tyrant Flycatchers)</v>
      </c>
      <c r="I2565" s="3"/>
    </row>
    <row r="2566" spans="1:9" ht="10.5" customHeight="1">
      <c r="A2566" s="3" t="s">
        <v>3591</v>
      </c>
      <c r="B2566" s="3" t="s">
        <v>3590</v>
      </c>
      <c r="C2566" s="3">
        <f>VLOOKUP(B2566,LifeList!$E$2:$J$2038,6)</f>
        <v>16358</v>
      </c>
      <c r="D2566" s="3" t="str">
        <f>VLOOKUP(B2566,LifeList!$E$2:$G$2038,1)</f>
        <v>Pearly-vented Tody-Tyrant</v>
      </c>
      <c r="E2566" s="3" t="str">
        <f>VLOOKUP(B2566,LifeList!$E$2:$G$2038,2)</f>
        <v>Todirostre à ventre perle</v>
      </c>
      <c r="F2566" s="3" t="str">
        <f>VLOOKUP(B2566,LifeList!$E$2:$G$2038,3)</f>
        <v>Hemitriccus margaritaceiventer</v>
      </c>
      <c r="G2566" s="3" t="str">
        <f>VLOOKUP(B2566,LifeList!$E$2:$I$2038,4)</f>
        <v>Passeriformes</v>
      </c>
      <c r="H2566" s="3" t="str">
        <f>VLOOKUP(B2566,LifeList!$E$2:$I$2038,5)</f>
        <v>Tyrannidae (Tyrant Flycatchers)</v>
      </c>
      <c r="I2566" s="3"/>
    </row>
    <row r="2567" spans="1:9" ht="10.5" customHeight="1">
      <c r="A2567" s="3" t="s">
        <v>3592</v>
      </c>
      <c r="B2567" s="3" t="s">
        <v>3590</v>
      </c>
      <c r="C2567" s="3">
        <f>VLOOKUP(B2567,LifeList!$E$2:$J$2038,6)</f>
        <v>16358</v>
      </c>
      <c r="D2567" s="3" t="str">
        <f>VLOOKUP(B2567,LifeList!$E$2:$G$2038,1)</f>
        <v>Pearly-vented Tody-Tyrant</v>
      </c>
      <c r="E2567" s="3" t="str">
        <f>VLOOKUP(B2567,LifeList!$E$2:$G$2038,2)</f>
        <v>Todirostre à ventre perle</v>
      </c>
      <c r="F2567" s="3" t="str">
        <f>VLOOKUP(B2567,LifeList!$E$2:$G$2038,3)</f>
        <v>Hemitriccus margaritaceiventer</v>
      </c>
      <c r="G2567" s="3" t="str">
        <f>VLOOKUP(B2567,LifeList!$E$2:$I$2038,4)</f>
        <v>Passeriformes</v>
      </c>
      <c r="H2567" s="3" t="str">
        <f>VLOOKUP(B2567,LifeList!$E$2:$I$2038,5)</f>
        <v>Tyrannidae (Tyrant Flycatchers)</v>
      </c>
      <c r="I2567" s="3"/>
    </row>
    <row r="2568" spans="1:9" ht="10.5" customHeight="1">
      <c r="A2568" s="3" t="s">
        <v>3593</v>
      </c>
      <c r="B2568" s="3" t="s">
        <v>3594</v>
      </c>
      <c r="C2568" s="3">
        <f>VLOOKUP(B2568,LifeList!$E$2:$J$2038,6)</f>
        <v>6227</v>
      </c>
      <c r="D2568" s="3" t="str">
        <f>VLOOKUP(B2568,LifeList!$E$2:$G$2038,1)</f>
        <v>Pectoral Sandpiper</v>
      </c>
      <c r="E2568" s="3" t="str">
        <f>VLOOKUP(B2568,LifeList!$E$2:$G$2038,2)</f>
        <v>Bécasseau à poitrine cendrée</v>
      </c>
      <c r="F2568" s="3" t="str">
        <f>VLOOKUP(B2568,LifeList!$E$2:$G$2038,3)</f>
        <v>Calidris melanotos</v>
      </c>
      <c r="G2568" s="3" t="str">
        <f>VLOOKUP(B2568,LifeList!$E$2:$I$2038,4)</f>
        <v>Charadriiformes</v>
      </c>
      <c r="H2568" s="3" t="str">
        <f>VLOOKUP(B2568,LifeList!$E$2:$I$2038,5)</f>
        <v>Scolopacidae (Sandpipers and Allies)</v>
      </c>
      <c r="I2568" s="3"/>
    </row>
    <row r="2569" spans="1:9" ht="10.5" customHeight="1">
      <c r="A2569" s="3" t="s">
        <v>3595</v>
      </c>
      <c r="B2569" s="3" t="s">
        <v>3594</v>
      </c>
      <c r="C2569" s="3">
        <f>VLOOKUP(B2569,LifeList!$E$2:$J$2038,6)</f>
        <v>6227</v>
      </c>
      <c r="D2569" s="3" t="str">
        <f>VLOOKUP(B2569,LifeList!$E$2:$G$2038,1)</f>
        <v>Pectoral Sandpiper</v>
      </c>
      <c r="E2569" s="3" t="str">
        <f>VLOOKUP(B2569,LifeList!$E$2:$G$2038,2)</f>
        <v>Bécasseau à poitrine cendrée</v>
      </c>
      <c r="F2569" s="3" t="str">
        <f>VLOOKUP(B2569,LifeList!$E$2:$G$2038,3)</f>
        <v>Calidris melanotos</v>
      </c>
      <c r="G2569" s="3" t="str">
        <f>VLOOKUP(B2569,LifeList!$E$2:$I$2038,4)</f>
        <v>Charadriiformes</v>
      </c>
      <c r="H2569" s="3" t="str">
        <f>VLOOKUP(B2569,LifeList!$E$2:$I$2038,5)</f>
        <v>Scolopacidae (Sandpipers and Allies)</v>
      </c>
      <c r="I2569" s="3"/>
    </row>
    <row r="2570" spans="1:9" ht="10.5" customHeight="1">
      <c r="A2570" s="3" t="s">
        <v>3596</v>
      </c>
      <c r="B2570" s="3" t="s">
        <v>3594</v>
      </c>
      <c r="C2570" s="3">
        <f>VLOOKUP(B2570,LifeList!$E$2:$J$2038,6)</f>
        <v>6227</v>
      </c>
      <c r="D2570" s="3" t="str">
        <f>VLOOKUP(B2570,LifeList!$E$2:$G$2038,1)</f>
        <v>Pectoral Sandpiper</v>
      </c>
      <c r="E2570" s="3" t="str">
        <f>VLOOKUP(B2570,LifeList!$E$2:$G$2038,2)</f>
        <v>Bécasseau à poitrine cendrée</v>
      </c>
      <c r="F2570" s="3" t="str">
        <f>VLOOKUP(B2570,LifeList!$E$2:$G$2038,3)</f>
        <v>Calidris melanotos</v>
      </c>
      <c r="G2570" s="3" t="str">
        <f>VLOOKUP(B2570,LifeList!$E$2:$I$2038,4)</f>
        <v>Charadriiformes</v>
      </c>
      <c r="H2570" s="3" t="str">
        <f>VLOOKUP(B2570,LifeList!$E$2:$I$2038,5)</f>
        <v>Scolopacidae (Sandpipers and Allies)</v>
      </c>
      <c r="I2570" s="3"/>
    </row>
    <row r="2571" spans="1:9" ht="10.5" customHeight="1">
      <c r="A2571" s="3" t="s">
        <v>3597</v>
      </c>
      <c r="B2571" s="3" t="s">
        <v>3594</v>
      </c>
      <c r="C2571" s="3">
        <f>VLOOKUP(B2571,LifeList!$E$2:$J$2038,6)</f>
        <v>6227</v>
      </c>
      <c r="D2571" s="3" t="str">
        <f>VLOOKUP(B2571,LifeList!$E$2:$G$2038,1)</f>
        <v>Pectoral Sandpiper</v>
      </c>
      <c r="E2571" s="3" t="str">
        <f>VLOOKUP(B2571,LifeList!$E$2:$G$2038,2)</f>
        <v>Bécasseau à poitrine cendrée</v>
      </c>
      <c r="F2571" s="3" t="str">
        <f>VLOOKUP(B2571,LifeList!$E$2:$G$2038,3)</f>
        <v>Calidris melanotos</v>
      </c>
      <c r="G2571" s="3" t="str">
        <f>VLOOKUP(B2571,LifeList!$E$2:$I$2038,4)</f>
        <v>Charadriiformes</v>
      </c>
      <c r="H2571" s="3" t="str">
        <f>VLOOKUP(B2571,LifeList!$E$2:$I$2038,5)</f>
        <v>Scolopacidae (Sandpipers and Allies)</v>
      </c>
      <c r="I2571" s="3"/>
    </row>
    <row r="2572" spans="1:9" ht="10.5" customHeight="1">
      <c r="A2572" s="3" t="s">
        <v>3598</v>
      </c>
      <c r="B2572" s="3" t="s">
        <v>3594</v>
      </c>
      <c r="C2572" s="3">
        <f>VLOOKUP(B2572,LifeList!$E$2:$J$2038,6)</f>
        <v>6227</v>
      </c>
      <c r="D2572" s="3" t="str">
        <f>VLOOKUP(B2572,LifeList!$E$2:$G$2038,1)</f>
        <v>Pectoral Sandpiper</v>
      </c>
      <c r="E2572" s="3" t="str">
        <f>VLOOKUP(B2572,LifeList!$E$2:$G$2038,2)</f>
        <v>Bécasseau à poitrine cendrée</v>
      </c>
      <c r="F2572" s="3" t="str">
        <f>VLOOKUP(B2572,LifeList!$E$2:$G$2038,3)</f>
        <v>Calidris melanotos</v>
      </c>
      <c r="G2572" s="3" t="str">
        <f>VLOOKUP(B2572,LifeList!$E$2:$I$2038,4)</f>
        <v>Charadriiformes</v>
      </c>
      <c r="H2572" s="3" t="str">
        <f>VLOOKUP(B2572,LifeList!$E$2:$I$2038,5)</f>
        <v>Scolopacidae (Sandpipers and Allies)</v>
      </c>
      <c r="I2572" s="3"/>
    </row>
    <row r="2573" spans="1:9" ht="10.5" customHeight="1">
      <c r="A2573" s="3" t="s">
        <v>3599</v>
      </c>
      <c r="B2573" s="3" t="s">
        <v>3594</v>
      </c>
      <c r="C2573" s="3">
        <f>VLOOKUP(B2573,LifeList!$E$2:$J$2038,6)</f>
        <v>6227</v>
      </c>
      <c r="D2573" s="3" t="str">
        <f>VLOOKUP(B2573,LifeList!$E$2:$G$2038,1)</f>
        <v>Pectoral Sandpiper</v>
      </c>
      <c r="E2573" s="3" t="str">
        <f>VLOOKUP(B2573,LifeList!$E$2:$G$2038,2)</f>
        <v>Bécasseau à poitrine cendrée</v>
      </c>
      <c r="F2573" s="3" t="str">
        <f>VLOOKUP(B2573,LifeList!$E$2:$G$2038,3)</f>
        <v>Calidris melanotos</v>
      </c>
      <c r="G2573" s="3" t="str">
        <f>VLOOKUP(B2573,LifeList!$E$2:$I$2038,4)</f>
        <v>Charadriiformes</v>
      </c>
      <c r="H2573" s="3" t="str">
        <f>VLOOKUP(B2573,LifeList!$E$2:$I$2038,5)</f>
        <v>Scolopacidae (Sandpipers and Allies)</v>
      </c>
      <c r="I2573" s="3"/>
    </row>
    <row r="2574" spans="1:9" ht="10.5" customHeight="1">
      <c r="A2574" s="3" t="s">
        <v>3600</v>
      </c>
      <c r="B2574" s="3" t="s">
        <v>3601</v>
      </c>
      <c r="C2574" s="3">
        <f>VLOOKUP(B2574,LifeList!$E$2:$J$2038,6)</f>
        <v>7391</v>
      </c>
      <c r="D2574" s="3" t="str">
        <f>VLOOKUP(B2574,LifeList!$E$2:$G$2038,1)</f>
        <v>Pelagic Cormorant</v>
      </c>
      <c r="E2574" s="3" t="str">
        <f>VLOOKUP(B2574,LifeList!$E$2:$G$2038,2)</f>
        <v>Cormoran pélagique</v>
      </c>
      <c r="F2574" s="3" t="str">
        <f>VLOOKUP(B2574,LifeList!$E$2:$G$2038,3)</f>
        <v>Urile pelagicus</v>
      </c>
      <c r="G2574" s="3" t="str">
        <f>VLOOKUP(B2574,LifeList!$E$2:$I$2038,4)</f>
        <v>Suliformes</v>
      </c>
      <c r="H2574" s="3" t="str">
        <f>VLOOKUP(B2574,LifeList!$E$2:$I$2038,5)</f>
        <v>Phalacrocoracidae (Cormorants and Shags)</v>
      </c>
      <c r="I2574" s="3"/>
    </row>
    <row r="2575" spans="1:9" ht="10.5" customHeight="1">
      <c r="A2575" s="3" t="s">
        <v>3602</v>
      </c>
      <c r="B2575" s="3" t="s">
        <v>3603</v>
      </c>
      <c r="C2575" s="3">
        <f>VLOOKUP(B2575,LifeList!$E$2:$J$2038,6)</f>
        <v>12114</v>
      </c>
      <c r="D2575" s="3" t="str">
        <f>VLOOKUP(B2575,LifeList!$E$2:$G$2038,1)</f>
        <v>Peregrine Falcon</v>
      </c>
      <c r="E2575" s="3" t="str">
        <f>VLOOKUP(B2575,LifeList!$E$2:$G$2038,2)</f>
        <v>Faucon pèlerin</v>
      </c>
      <c r="F2575" s="3" t="str">
        <f>VLOOKUP(B2575,LifeList!$E$2:$G$2038,3)</f>
        <v>Falco peregrinus</v>
      </c>
      <c r="G2575" s="3" t="str">
        <f>VLOOKUP(B2575,LifeList!$E$2:$I$2038,4)</f>
        <v>Falconiformes</v>
      </c>
      <c r="H2575" s="3" t="str">
        <f>VLOOKUP(B2575,LifeList!$E$2:$I$2038,5)</f>
        <v>Falconidae (Falcons and Caracaras)</v>
      </c>
      <c r="I2575" s="3"/>
    </row>
    <row r="2576" spans="1:9" ht="10.5" customHeight="1">
      <c r="A2576" s="3" t="s">
        <v>3604</v>
      </c>
      <c r="B2576" s="3" t="s">
        <v>3603</v>
      </c>
      <c r="C2576" s="3">
        <f>VLOOKUP(B2576,LifeList!$E$2:$J$2038,6)</f>
        <v>12114</v>
      </c>
      <c r="D2576" s="3" t="str">
        <f>VLOOKUP(B2576,LifeList!$E$2:$G$2038,1)</f>
        <v>Peregrine Falcon</v>
      </c>
      <c r="E2576" s="3" t="str">
        <f>VLOOKUP(B2576,LifeList!$E$2:$G$2038,2)</f>
        <v>Faucon pèlerin</v>
      </c>
      <c r="F2576" s="3" t="str">
        <f>VLOOKUP(B2576,LifeList!$E$2:$G$2038,3)</f>
        <v>Falco peregrinus</v>
      </c>
      <c r="G2576" s="3" t="str">
        <f>VLOOKUP(B2576,LifeList!$E$2:$I$2038,4)</f>
        <v>Falconiformes</v>
      </c>
      <c r="H2576" s="3" t="str">
        <f>VLOOKUP(B2576,LifeList!$E$2:$I$2038,5)</f>
        <v>Falconidae (Falcons and Caracaras)</v>
      </c>
      <c r="I2576" s="3"/>
    </row>
    <row r="2577" spans="1:9" ht="10.5" customHeight="1">
      <c r="A2577" s="3" t="s">
        <v>3605</v>
      </c>
      <c r="B2577" s="3" t="s">
        <v>3603</v>
      </c>
      <c r="C2577" s="3">
        <f>VLOOKUP(B2577,LifeList!$E$2:$J$2038,6)</f>
        <v>12114</v>
      </c>
      <c r="D2577" s="3" t="str">
        <f>VLOOKUP(B2577,LifeList!$E$2:$G$2038,1)</f>
        <v>Peregrine Falcon</v>
      </c>
      <c r="E2577" s="3" t="str">
        <f>VLOOKUP(B2577,LifeList!$E$2:$G$2038,2)</f>
        <v>Faucon pèlerin</v>
      </c>
      <c r="F2577" s="3" t="str">
        <f>VLOOKUP(B2577,LifeList!$E$2:$G$2038,3)</f>
        <v>Falco peregrinus</v>
      </c>
      <c r="G2577" s="3" t="str">
        <f>VLOOKUP(B2577,LifeList!$E$2:$I$2038,4)</f>
        <v>Falconiformes</v>
      </c>
      <c r="H2577" s="3" t="str">
        <f>VLOOKUP(B2577,LifeList!$E$2:$I$2038,5)</f>
        <v>Falconidae (Falcons and Caracaras)</v>
      </c>
      <c r="I2577" s="3"/>
    </row>
    <row r="2578" spans="1:9" ht="10.5" customHeight="1">
      <c r="A2578" s="3" t="s">
        <v>3606</v>
      </c>
      <c r="B2578" s="3" t="s">
        <v>3603</v>
      </c>
      <c r="C2578" s="3">
        <f>VLOOKUP(B2578,LifeList!$E$2:$J$2038,6)</f>
        <v>12114</v>
      </c>
      <c r="D2578" s="3" t="str">
        <f>VLOOKUP(B2578,LifeList!$E$2:$G$2038,1)</f>
        <v>Peregrine Falcon</v>
      </c>
      <c r="E2578" s="3" t="str">
        <f>VLOOKUP(B2578,LifeList!$E$2:$G$2038,2)</f>
        <v>Faucon pèlerin</v>
      </c>
      <c r="F2578" s="3" t="str">
        <f>VLOOKUP(B2578,LifeList!$E$2:$G$2038,3)</f>
        <v>Falco peregrinus</v>
      </c>
      <c r="G2578" s="3" t="str">
        <f>VLOOKUP(B2578,LifeList!$E$2:$I$2038,4)</f>
        <v>Falconiformes</v>
      </c>
      <c r="H2578" s="3" t="str">
        <f>VLOOKUP(B2578,LifeList!$E$2:$I$2038,5)</f>
        <v>Falconidae (Falcons and Caracaras)</v>
      </c>
      <c r="I2578" s="3"/>
    </row>
    <row r="2579" spans="1:9" ht="10.5" customHeight="1">
      <c r="A2579" s="3" t="s">
        <v>3607</v>
      </c>
      <c r="B2579" s="3" t="s">
        <v>3603</v>
      </c>
      <c r="C2579" s="3">
        <f>VLOOKUP(B2579,LifeList!$E$2:$J$2038,6)</f>
        <v>12114</v>
      </c>
      <c r="D2579" s="3" t="str">
        <f>VLOOKUP(B2579,LifeList!$E$2:$G$2038,1)</f>
        <v>Peregrine Falcon</v>
      </c>
      <c r="E2579" s="3" t="str">
        <f>VLOOKUP(B2579,LifeList!$E$2:$G$2038,2)</f>
        <v>Faucon pèlerin</v>
      </c>
      <c r="F2579" s="3" t="str">
        <f>VLOOKUP(B2579,LifeList!$E$2:$G$2038,3)</f>
        <v>Falco peregrinus</v>
      </c>
      <c r="G2579" s="3" t="str">
        <f>VLOOKUP(B2579,LifeList!$E$2:$I$2038,4)</f>
        <v>Falconiformes</v>
      </c>
      <c r="H2579" s="3" t="str">
        <f>VLOOKUP(B2579,LifeList!$E$2:$I$2038,5)</f>
        <v>Falconidae (Falcons and Caracaras)</v>
      </c>
      <c r="I2579" s="3"/>
    </row>
    <row r="2580" spans="1:9" ht="10.5" customHeight="1">
      <c r="A2580" s="3" t="s">
        <v>3608</v>
      </c>
      <c r="B2580" s="3" t="s">
        <v>3603</v>
      </c>
      <c r="C2580" s="3">
        <f>VLOOKUP(B2580,LifeList!$E$2:$J$2038,6)</f>
        <v>12114</v>
      </c>
      <c r="D2580" s="3" t="str">
        <f>VLOOKUP(B2580,LifeList!$E$2:$G$2038,1)</f>
        <v>Peregrine Falcon</v>
      </c>
      <c r="E2580" s="3" t="str">
        <f>VLOOKUP(B2580,LifeList!$E$2:$G$2038,2)</f>
        <v>Faucon pèlerin</v>
      </c>
      <c r="F2580" s="3" t="str">
        <f>VLOOKUP(B2580,LifeList!$E$2:$G$2038,3)</f>
        <v>Falco peregrinus</v>
      </c>
      <c r="G2580" s="3" t="str">
        <f>VLOOKUP(B2580,LifeList!$E$2:$I$2038,4)</f>
        <v>Falconiformes</v>
      </c>
      <c r="H2580" s="3" t="str">
        <f>VLOOKUP(B2580,LifeList!$E$2:$I$2038,5)</f>
        <v>Falconidae (Falcons and Caracaras)</v>
      </c>
      <c r="I2580" s="3"/>
    </row>
    <row r="2581" spans="1:9" ht="10.5" customHeight="1">
      <c r="A2581" s="3" t="s">
        <v>3609</v>
      </c>
      <c r="B2581" s="3" t="s">
        <v>3603</v>
      </c>
      <c r="C2581" s="3">
        <f>VLOOKUP(B2581,LifeList!$E$2:$J$2038,6)</f>
        <v>12114</v>
      </c>
      <c r="D2581" s="3" t="str">
        <f>VLOOKUP(B2581,LifeList!$E$2:$G$2038,1)</f>
        <v>Peregrine Falcon</v>
      </c>
      <c r="E2581" s="3" t="str">
        <f>VLOOKUP(B2581,LifeList!$E$2:$G$2038,2)</f>
        <v>Faucon pèlerin</v>
      </c>
      <c r="F2581" s="3" t="str">
        <f>VLOOKUP(B2581,LifeList!$E$2:$G$2038,3)</f>
        <v>Falco peregrinus</v>
      </c>
      <c r="G2581" s="3" t="str">
        <f>VLOOKUP(B2581,LifeList!$E$2:$I$2038,4)</f>
        <v>Falconiformes</v>
      </c>
      <c r="H2581" s="3" t="str">
        <f>VLOOKUP(B2581,LifeList!$E$2:$I$2038,5)</f>
        <v>Falconidae (Falcons and Caracaras)</v>
      </c>
      <c r="I2581" s="3"/>
    </row>
    <row r="2582" spans="1:9" ht="10.5" customHeight="1">
      <c r="A2582" s="3" t="s">
        <v>3610</v>
      </c>
      <c r="B2582" s="3" t="s">
        <v>3603</v>
      </c>
      <c r="C2582" s="3">
        <f>VLOOKUP(B2582,LifeList!$E$2:$J$2038,6)</f>
        <v>12114</v>
      </c>
      <c r="D2582" s="3" t="str">
        <f>VLOOKUP(B2582,LifeList!$E$2:$G$2038,1)</f>
        <v>Peregrine Falcon</v>
      </c>
      <c r="E2582" s="3" t="str">
        <f>VLOOKUP(B2582,LifeList!$E$2:$G$2038,2)</f>
        <v>Faucon pèlerin</v>
      </c>
      <c r="F2582" s="3" t="str">
        <f>VLOOKUP(B2582,LifeList!$E$2:$G$2038,3)</f>
        <v>Falco peregrinus</v>
      </c>
      <c r="G2582" s="3" t="str">
        <f>VLOOKUP(B2582,LifeList!$E$2:$I$2038,4)</f>
        <v>Falconiformes</v>
      </c>
      <c r="H2582" s="3" t="str">
        <f>VLOOKUP(B2582,LifeList!$E$2:$I$2038,5)</f>
        <v>Falconidae (Falcons and Caracaras)</v>
      </c>
      <c r="I2582" s="3"/>
    </row>
    <row r="2583" spans="1:9" ht="10.5" customHeight="1">
      <c r="A2583" s="3" t="s">
        <v>3611</v>
      </c>
      <c r="B2583" s="3" t="s">
        <v>3603</v>
      </c>
      <c r="C2583" s="3">
        <f>VLOOKUP(B2583,LifeList!$E$2:$J$2038,6)</f>
        <v>12114</v>
      </c>
      <c r="D2583" s="3" t="str">
        <f>VLOOKUP(B2583,LifeList!$E$2:$G$2038,1)</f>
        <v>Peregrine Falcon</v>
      </c>
      <c r="E2583" s="3" t="str">
        <f>VLOOKUP(B2583,LifeList!$E$2:$G$2038,2)</f>
        <v>Faucon pèlerin</v>
      </c>
      <c r="F2583" s="3" t="str">
        <f>VLOOKUP(B2583,LifeList!$E$2:$G$2038,3)</f>
        <v>Falco peregrinus</v>
      </c>
      <c r="G2583" s="3" t="str">
        <f>VLOOKUP(B2583,LifeList!$E$2:$I$2038,4)</f>
        <v>Falconiformes</v>
      </c>
      <c r="H2583" s="3" t="str">
        <f>VLOOKUP(B2583,LifeList!$E$2:$I$2038,5)</f>
        <v>Falconidae (Falcons and Caracaras)</v>
      </c>
      <c r="I2583" s="3"/>
    </row>
    <row r="2584" spans="1:9" ht="10.5" customHeight="1">
      <c r="A2584" s="3" t="s">
        <v>3612</v>
      </c>
      <c r="B2584" s="3" t="s">
        <v>3603</v>
      </c>
      <c r="C2584" s="3">
        <f>VLOOKUP(B2584,LifeList!$E$2:$J$2038,6)</f>
        <v>12114</v>
      </c>
      <c r="D2584" s="3" t="str">
        <f>VLOOKUP(B2584,LifeList!$E$2:$G$2038,1)</f>
        <v>Peregrine Falcon</v>
      </c>
      <c r="E2584" s="3" t="str">
        <f>VLOOKUP(B2584,LifeList!$E$2:$G$2038,2)</f>
        <v>Faucon pèlerin</v>
      </c>
      <c r="F2584" s="3" t="str">
        <f>VLOOKUP(B2584,LifeList!$E$2:$G$2038,3)</f>
        <v>Falco peregrinus</v>
      </c>
      <c r="G2584" s="3" t="str">
        <f>VLOOKUP(B2584,LifeList!$E$2:$I$2038,4)</f>
        <v>Falconiformes</v>
      </c>
      <c r="H2584" s="3" t="str">
        <f>VLOOKUP(B2584,LifeList!$E$2:$I$2038,5)</f>
        <v>Falconidae (Falcons and Caracaras)</v>
      </c>
      <c r="I2584" s="3"/>
    </row>
    <row r="2585" spans="1:9" ht="10.5" customHeight="1">
      <c r="A2585" s="3" t="s">
        <v>3613</v>
      </c>
      <c r="B2585" s="3" t="s">
        <v>3603</v>
      </c>
      <c r="C2585" s="3">
        <f>VLOOKUP(B2585,LifeList!$E$2:$J$2038,6)</f>
        <v>12114</v>
      </c>
      <c r="D2585" s="3" t="str">
        <f>VLOOKUP(B2585,LifeList!$E$2:$G$2038,1)</f>
        <v>Peregrine Falcon</v>
      </c>
      <c r="E2585" s="3" t="str">
        <f>VLOOKUP(B2585,LifeList!$E$2:$G$2038,2)</f>
        <v>Faucon pèlerin</v>
      </c>
      <c r="F2585" s="3" t="str">
        <f>VLOOKUP(B2585,LifeList!$E$2:$G$2038,3)</f>
        <v>Falco peregrinus</v>
      </c>
      <c r="G2585" s="3" t="str">
        <f>VLOOKUP(B2585,LifeList!$E$2:$I$2038,4)</f>
        <v>Falconiformes</v>
      </c>
      <c r="H2585" s="3" t="str">
        <f>VLOOKUP(B2585,LifeList!$E$2:$I$2038,5)</f>
        <v>Falconidae (Falcons and Caracaras)</v>
      </c>
      <c r="I2585" s="3"/>
    </row>
    <row r="2586" spans="1:9" ht="10.5" customHeight="1">
      <c r="A2586" s="3" t="s">
        <v>3614</v>
      </c>
      <c r="B2586" s="3" t="s">
        <v>3603</v>
      </c>
      <c r="C2586" s="3">
        <f>VLOOKUP(B2586,LifeList!$E$2:$J$2038,6)</f>
        <v>12114</v>
      </c>
      <c r="D2586" s="3" t="str">
        <f>VLOOKUP(B2586,LifeList!$E$2:$G$2038,1)</f>
        <v>Peregrine Falcon</v>
      </c>
      <c r="E2586" s="3" t="str">
        <f>VLOOKUP(B2586,LifeList!$E$2:$G$2038,2)</f>
        <v>Faucon pèlerin</v>
      </c>
      <c r="F2586" s="3" t="str">
        <f>VLOOKUP(B2586,LifeList!$E$2:$G$2038,3)</f>
        <v>Falco peregrinus</v>
      </c>
      <c r="G2586" s="3" t="str">
        <f>VLOOKUP(B2586,LifeList!$E$2:$I$2038,4)</f>
        <v>Falconiformes</v>
      </c>
      <c r="H2586" s="3" t="str">
        <f>VLOOKUP(B2586,LifeList!$E$2:$I$2038,5)</f>
        <v>Falconidae (Falcons and Caracaras)</v>
      </c>
      <c r="I2586" s="3"/>
    </row>
    <row r="2587" spans="1:9" ht="10.5" customHeight="1">
      <c r="A2587" s="3" t="s">
        <v>3615</v>
      </c>
      <c r="B2587" s="3" t="s">
        <v>3616</v>
      </c>
      <c r="C2587" s="3">
        <f>VLOOKUP(B2587,LifeList!$E$2:$J$2038,6)</f>
        <v>3032</v>
      </c>
      <c r="D2587" s="3" t="str">
        <f>VLOOKUP(B2587,LifeList!$E$2:$G$2038,1)</f>
        <v>Pheasant Cuckoo</v>
      </c>
      <c r="E2587" s="3" t="str">
        <f>VLOOKUP(B2587,LifeList!$E$2:$G$2038,2)</f>
        <v>Géocoucou faisan</v>
      </c>
      <c r="F2587" s="3" t="str">
        <f>VLOOKUP(B2587,LifeList!$E$2:$G$2038,3)</f>
        <v>Dromococcyx phasianellus</v>
      </c>
      <c r="G2587" s="3" t="str">
        <f>VLOOKUP(B2587,LifeList!$E$2:$I$2038,4)</f>
        <v>Cuculiformes</v>
      </c>
      <c r="H2587" s="3" t="str">
        <f>VLOOKUP(B2587,LifeList!$E$2:$I$2038,5)</f>
        <v>Cuculidae (Cuckoos)</v>
      </c>
      <c r="I2587" s="3"/>
    </row>
    <row r="2588" spans="1:9" ht="10.5" customHeight="1">
      <c r="A2588" s="3" t="s">
        <v>3617</v>
      </c>
      <c r="B2588" s="3" t="s">
        <v>3616</v>
      </c>
      <c r="C2588" s="3">
        <f>VLOOKUP(B2588,LifeList!$E$2:$J$2038,6)</f>
        <v>3032</v>
      </c>
      <c r="D2588" s="3" t="str">
        <f>VLOOKUP(B2588,LifeList!$E$2:$G$2038,1)</f>
        <v>Pheasant Cuckoo</v>
      </c>
      <c r="E2588" s="3" t="str">
        <f>VLOOKUP(B2588,LifeList!$E$2:$G$2038,2)</f>
        <v>Géocoucou faisan</v>
      </c>
      <c r="F2588" s="3" t="str">
        <f>VLOOKUP(B2588,LifeList!$E$2:$G$2038,3)</f>
        <v>Dromococcyx phasianellus</v>
      </c>
      <c r="G2588" s="3" t="str">
        <f>VLOOKUP(B2588,LifeList!$E$2:$I$2038,4)</f>
        <v>Cuculiformes</v>
      </c>
      <c r="H2588" s="3" t="str">
        <f>VLOOKUP(B2588,LifeList!$E$2:$I$2038,5)</f>
        <v>Cuculidae (Cuckoos)</v>
      </c>
      <c r="I2588" s="3"/>
    </row>
    <row r="2589" spans="1:9" ht="10.5" customHeight="1">
      <c r="A2589" s="3" t="s">
        <v>3618</v>
      </c>
      <c r="B2589" s="3" t="s">
        <v>3619</v>
      </c>
      <c r="C2589" s="3">
        <f>VLOOKUP(B2589,LifeList!$E$2:$J$2038,6)</f>
        <v>19244</v>
      </c>
      <c r="D2589" s="3" t="str">
        <f>VLOOKUP(B2589,LifeList!$E$2:$G$2038,1)</f>
        <v>Philadelphia Vireo</v>
      </c>
      <c r="E2589" s="3" t="str">
        <f>VLOOKUP(B2589,LifeList!$E$2:$G$2038,2)</f>
        <v>Viréo de Philadelphie</v>
      </c>
      <c r="F2589" s="3" t="str">
        <f>VLOOKUP(B2589,LifeList!$E$2:$G$2038,3)</f>
        <v>Vireo philadelphicus</v>
      </c>
      <c r="G2589" s="3" t="str">
        <f>VLOOKUP(B2589,LifeList!$E$2:$I$2038,4)</f>
        <v>Passeriformes</v>
      </c>
      <c r="H2589" s="3" t="str">
        <f>VLOOKUP(B2589,LifeList!$E$2:$I$2038,5)</f>
        <v>Vireonidae (Vireos, Shrike-Babblers, and Erpornis)</v>
      </c>
      <c r="I2589" s="3"/>
    </row>
    <row r="2590" spans="1:9" ht="10.5" customHeight="1">
      <c r="A2590" s="3" t="s">
        <v>3620</v>
      </c>
      <c r="B2590" s="3" t="s">
        <v>3619</v>
      </c>
      <c r="C2590" s="3">
        <f>VLOOKUP(B2590,LifeList!$E$2:$J$2038,6)</f>
        <v>19244</v>
      </c>
      <c r="D2590" s="3" t="str">
        <f>VLOOKUP(B2590,LifeList!$E$2:$G$2038,1)</f>
        <v>Philadelphia Vireo</v>
      </c>
      <c r="E2590" s="3" t="str">
        <f>VLOOKUP(B2590,LifeList!$E$2:$G$2038,2)</f>
        <v>Viréo de Philadelphie</v>
      </c>
      <c r="F2590" s="3" t="str">
        <f>VLOOKUP(B2590,LifeList!$E$2:$G$2038,3)</f>
        <v>Vireo philadelphicus</v>
      </c>
      <c r="G2590" s="3" t="str">
        <f>VLOOKUP(B2590,LifeList!$E$2:$I$2038,4)</f>
        <v>Passeriformes</v>
      </c>
      <c r="H2590" s="3" t="str">
        <f>VLOOKUP(B2590,LifeList!$E$2:$I$2038,5)</f>
        <v>Vireonidae (Vireos, Shrike-Babblers, and Erpornis)</v>
      </c>
      <c r="I2590" s="3"/>
    </row>
    <row r="2591" spans="1:9" ht="10.5" customHeight="1">
      <c r="A2591" s="3" t="s">
        <v>3621</v>
      </c>
      <c r="B2591" s="3" t="s">
        <v>3619</v>
      </c>
      <c r="C2591" s="3">
        <f>VLOOKUP(B2591,LifeList!$E$2:$J$2038,6)</f>
        <v>19244</v>
      </c>
      <c r="D2591" s="3" t="str">
        <f>VLOOKUP(B2591,LifeList!$E$2:$G$2038,1)</f>
        <v>Philadelphia Vireo</v>
      </c>
      <c r="E2591" s="3" t="str">
        <f>VLOOKUP(B2591,LifeList!$E$2:$G$2038,2)</f>
        <v>Viréo de Philadelphie</v>
      </c>
      <c r="F2591" s="3" t="str">
        <f>VLOOKUP(B2591,LifeList!$E$2:$G$2038,3)</f>
        <v>Vireo philadelphicus</v>
      </c>
      <c r="G2591" s="3" t="str">
        <f>VLOOKUP(B2591,LifeList!$E$2:$I$2038,4)</f>
        <v>Passeriformes</v>
      </c>
      <c r="H2591" s="3" t="str">
        <f>VLOOKUP(B2591,LifeList!$E$2:$I$2038,5)</f>
        <v>Vireonidae (Vireos, Shrike-Babblers, and Erpornis)</v>
      </c>
      <c r="I2591" s="3"/>
    </row>
    <row r="2592" spans="1:9" ht="10.5" customHeight="1">
      <c r="A2592" s="5" t="s">
        <v>3622</v>
      </c>
      <c r="B2592" s="3" t="s">
        <v>3623</v>
      </c>
      <c r="C2592" s="3">
        <f>VLOOKUP(B2592,LifeList!$E$2:$J$2038,6)</f>
        <v>21616</v>
      </c>
      <c r="D2592" s="3" t="str">
        <f>VLOOKUP(B2592,LifeList!$E$2:$G$2038,1)</f>
        <v>Pied Crow</v>
      </c>
      <c r="E2592" s="3" t="str">
        <f>VLOOKUP(B2592,LifeList!$E$2:$G$2038,2)</f>
        <v>Corbeau pie</v>
      </c>
      <c r="F2592" s="3" t="str">
        <f>VLOOKUP(B2592,LifeList!$E$2:$G$2038,3)</f>
        <v>Corvus albus</v>
      </c>
      <c r="G2592" s="3" t="str">
        <f>VLOOKUP(B2592,LifeList!$E$2:$I$2038,4)</f>
        <v>Passeriformes</v>
      </c>
      <c r="H2592" s="3" t="str">
        <f>VLOOKUP(B2592,LifeList!$E$2:$I$2038,5)</f>
        <v>Corvidae (Crows, Jays, and Magpies)</v>
      </c>
      <c r="I2592" s="3"/>
    </row>
    <row r="2593" spans="1:9" ht="10.5" customHeight="1">
      <c r="A2593" s="3" t="s">
        <v>3624</v>
      </c>
      <c r="B2593" s="3" t="s">
        <v>3625</v>
      </c>
      <c r="C2593" s="3">
        <f>VLOOKUP(B2593,LifeList!$E$2:$J$2038,6)</f>
        <v>5777</v>
      </c>
      <c r="D2593" s="3" t="str">
        <f>VLOOKUP(B2593,LifeList!$E$2:$G$2038,1)</f>
        <v>Pied Avocet</v>
      </c>
      <c r="E2593" s="3" t="str">
        <f>VLOOKUP(B2593,LifeList!$E$2:$G$2038,2)</f>
        <v>Avocette élégante</v>
      </c>
      <c r="F2593" s="3" t="str">
        <f>VLOOKUP(B2593,LifeList!$E$2:$G$2038,3)</f>
        <v>Recurvirostra avosetta</v>
      </c>
      <c r="G2593" s="3" t="str">
        <f>VLOOKUP(B2593,LifeList!$E$2:$I$2038,4)</f>
        <v>Charadriiformes</v>
      </c>
      <c r="H2593" s="3" t="str">
        <f>VLOOKUP(B2593,LifeList!$E$2:$I$2038,5)</f>
        <v>Recurvirostridae (Stilts and Avocets)</v>
      </c>
      <c r="I2593" s="3"/>
    </row>
    <row r="2594" spans="1:9" ht="10.5" customHeight="1">
      <c r="A2594" s="3" t="s">
        <v>3626</v>
      </c>
      <c r="B2594" s="3" t="s">
        <v>3627</v>
      </c>
      <c r="C2594" s="3">
        <f>VLOOKUP(B2594,LifeList!$E$2:$J$2038,6)</f>
        <v>10632</v>
      </c>
      <c r="D2594" s="3" t="str">
        <f>VLOOKUP(B2594,LifeList!$E$2:$G$2038,1)</f>
        <v>Pied Barbet</v>
      </c>
      <c r="E2594" s="3" t="str">
        <f>VLOOKUP(B2594,LifeList!$E$2:$G$2038,2)</f>
        <v>Barbican pie</v>
      </c>
      <c r="F2594" s="3" t="str">
        <f>VLOOKUP(B2594,LifeList!$E$2:$G$2038,3)</f>
        <v>Tricholaema leucomelas</v>
      </c>
      <c r="G2594" s="3" t="str">
        <f>VLOOKUP(B2594,LifeList!$E$2:$I$2038,4)</f>
        <v>Piciformes</v>
      </c>
      <c r="H2594" s="3" t="str">
        <f>VLOOKUP(B2594,LifeList!$E$2:$I$2038,5)</f>
        <v>Lybiidae (African Barbets)</v>
      </c>
      <c r="I2594" s="3"/>
    </row>
    <row r="2595" spans="1:9" ht="10.5" customHeight="1">
      <c r="A2595" s="3" t="s">
        <v>3628</v>
      </c>
      <c r="B2595" s="3" t="s">
        <v>3627</v>
      </c>
      <c r="C2595" s="3">
        <f>VLOOKUP(B2595,LifeList!$E$2:$J$2038,6)</f>
        <v>10632</v>
      </c>
      <c r="D2595" s="3" t="str">
        <f>VLOOKUP(B2595,LifeList!$E$2:$G$2038,1)</f>
        <v>Pied Barbet</v>
      </c>
      <c r="E2595" s="3" t="str">
        <f>VLOOKUP(B2595,LifeList!$E$2:$G$2038,2)</f>
        <v>Barbican pie</v>
      </c>
      <c r="F2595" s="3" t="str">
        <f>VLOOKUP(B2595,LifeList!$E$2:$G$2038,3)</f>
        <v>Tricholaema leucomelas</v>
      </c>
      <c r="G2595" s="3" t="str">
        <f>VLOOKUP(B2595,LifeList!$E$2:$I$2038,4)</f>
        <v>Piciformes</v>
      </c>
      <c r="H2595" s="3" t="str">
        <f>VLOOKUP(B2595,LifeList!$E$2:$I$2038,5)</f>
        <v>Lybiidae (African Barbets)</v>
      </c>
      <c r="I2595" s="3"/>
    </row>
    <row r="2596" spans="1:9" ht="10.5" customHeight="1">
      <c r="A2596" s="7" t="s">
        <v>3629</v>
      </c>
      <c r="B2596" s="9" t="s">
        <v>3630</v>
      </c>
      <c r="C2596" s="6">
        <f>VLOOKUP(B2596,LifeList!$E$2:$J$2038,6)</f>
        <v>7414</v>
      </c>
      <c r="D2596" s="3" t="str">
        <f>VLOOKUP(B2596,LifeList!$E$2:$G$2038,1)</f>
        <v>Pied Cormorant</v>
      </c>
      <c r="E2596" s="3" t="str">
        <f>VLOOKUP(B2596,LifeList!$E$2:$G$2038,2)</f>
        <v>Cormoran varié</v>
      </c>
      <c r="F2596" s="3" t="str">
        <f>VLOOKUP(B2596,LifeList!$E$2:$G$2038,3)</f>
        <v>Phalacrocorax varius</v>
      </c>
      <c r="G2596" s="3" t="str">
        <f>VLOOKUP(B2596,LifeList!$E$2:$I$2038,4)</f>
        <v>Suliformes</v>
      </c>
      <c r="H2596" s="3" t="str">
        <f>VLOOKUP(B2596,LifeList!$E$2:$I$2038,5)</f>
        <v>Phalacrocoracidae (Cormorants and Shags)</v>
      </c>
      <c r="I2596" s="3"/>
    </row>
    <row r="2597" spans="1:9" ht="10.5" customHeight="1">
      <c r="A2597" s="3" t="s">
        <v>3631</v>
      </c>
      <c r="B2597" s="3" t="s">
        <v>3632</v>
      </c>
      <c r="C2597" s="3">
        <f>VLOOKUP(B2597,LifeList!$E$2:$J$2038,6)</f>
        <v>21616</v>
      </c>
      <c r="D2597" s="3" t="str">
        <f>VLOOKUP(B2597,LifeList!$E$2:$G$2038,1)</f>
        <v>Pied Crow</v>
      </c>
      <c r="E2597" s="3" t="str">
        <f>VLOOKUP(B2597,LifeList!$E$2:$G$2038,2)</f>
        <v>Corbeau pie</v>
      </c>
      <c r="F2597" s="3" t="str">
        <f>VLOOKUP(B2597,LifeList!$E$2:$G$2038,3)</f>
        <v>Corvus albus</v>
      </c>
      <c r="G2597" s="3" t="str">
        <f>VLOOKUP(B2597,LifeList!$E$2:$I$2038,4)</f>
        <v>Passeriformes</v>
      </c>
      <c r="H2597" s="3" t="str">
        <f>VLOOKUP(B2597,LifeList!$E$2:$I$2038,5)</f>
        <v>Corvidae (Crows, Jays, and Magpies)</v>
      </c>
      <c r="I2597" s="3"/>
    </row>
    <row r="2598" spans="1:9" ht="10.5" customHeight="1">
      <c r="A2598" s="3" t="s">
        <v>3633</v>
      </c>
      <c r="B2598" s="3" t="s">
        <v>3634</v>
      </c>
      <c r="C2598" s="3">
        <f>VLOOKUP(B2598,LifeList!$E$2:$J$2038,6)</f>
        <v>19807</v>
      </c>
      <c r="D2598" s="3" t="str">
        <f>VLOOKUP(B2598,LifeList!$E$2:$G$2038,1)</f>
        <v>Pied Currawong</v>
      </c>
      <c r="E2598" s="3" t="str">
        <f>VLOOKUP(B2598,LifeList!$E$2:$G$2038,2)</f>
        <v>Grand Réveilleur</v>
      </c>
      <c r="F2598" s="3" t="str">
        <f>VLOOKUP(B2598,LifeList!$E$2:$G$2038,3)</f>
        <v>Strepera graculina</v>
      </c>
      <c r="G2598" s="3" t="str">
        <f>VLOOKUP(B2598,LifeList!$E$2:$I$2038,4)</f>
        <v>Passeriformes</v>
      </c>
      <c r="H2598" s="3" t="str">
        <f>VLOOKUP(B2598,LifeList!$E$2:$I$2038,5)</f>
        <v>Artamidae (Woodswallows, Bellmagpies, and Allies)</v>
      </c>
      <c r="I2598" s="3"/>
    </row>
    <row r="2599" spans="1:9" ht="10.5" customHeight="1">
      <c r="A2599" s="3" t="s">
        <v>3635</v>
      </c>
      <c r="B2599" s="3" t="s">
        <v>3634</v>
      </c>
      <c r="C2599" s="3">
        <f>VLOOKUP(B2599,LifeList!$E$2:$J$2038,6)</f>
        <v>19807</v>
      </c>
      <c r="D2599" s="3" t="str">
        <f>VLOOKUP(B2599,LifeList!$E$2:$G$2038,1)</f>
        <v>Pied Currawong</v>
      </c>
      <c r="E2599" s="3" t="str">
        <f>VLOOKUP(B2599,LifeList!$E$2:$G$2038,2)</f>
        <v>Grand Réveilleur</v>
      </c>
      <c r="F2599" s="3" t="str">
        <f>VLOOKUP(B2599,LifeList!$E$2:$G$2038,3)</f>
        <v>Strepera graculina</v>
      </c>
      <c r="G2599" s="3" t="str">
        <f>VLOOKUP(B2599,LifeList!$E$2:$I$2038,4)</f>
        <v>Passeriformes</v>
      </c>
      <c r="H2599" s="3" t="str">
        <f>VLOOKUP(B2599,LifeList!$E$2:$I$2038,5)</f>
        <v>Artamidae (Woodswallows, Bellmagpies, and Allies)</v>
      </c>
      <c r="I2599" s="3"/>
    </row>
    <row r="2600" spans="1:9" ht="10.5" customHeight="1">
      <c r="A2600" s="3" t="s">
        <v>3636</v>
      </c>
      <c r="B2600" s="3" t="s">
        <v>3637</v>
      </c>
      <c r="C2600" s="3">
        <f>VLOOKUP(B2600,LifeList!$E$2:$J$2038,6)</f>
        <v>10307</v>
      </c>
      <c r="D2600" s="3" t="str">
        <f>VLOOKUP(B2600,LifeList!$E$2:$G$2038,1)</f>
        <v>Pied Kingfisher</v>
      </c>
      <c r="E2600" s="3" t="str">
        <f>VLOOKUP(B2600,LifeList!$E$2:$G$2038,2)</f>
        <v>Martin-pêcheur pie</v>
      </c>
      <c r="F2600" s="3" t="str">
        <f>VLOOKUP(B2600,LifeList!$E$2:$G$2038,3)</f>
        <v>Ceryle rudis</v>
      </c>
      <c r="G2600" s="3" t="str">
        <f>VLOOKUP(B2600,LifeList!$E$2:$I$2038,4)</f>
        <v>Coraciiformes</v>
      </c>
      <c r="H2600" s="3" t="str">
        <f>VLOOKUP(B2600,LifeList!$E$2:$I$2038,5)</f>
        <v>Alcedinidae (Kingfishers)</v>
      </c>
      <c r="I2600" s="3"/>
    </row>
    <row r="2601" spans="1:9" ht="10.5" customHeight="1">
      <c r="A2601" s="3" t="s">
        <v>3638</v>
      </c>
      <c r="B2601" s="3" t="s">
        <v>3639</v>
      </c>
      <c r="C2601" s="3">
        <f>VLOOKUP(B2601,LifeList!$E$2:$J$2038,6)</f>
        <v>5791</v>
      </c>
      <c r="D2601" s="3" t="str">
        <f>VLOOKUP(B2601,LifeList!$E$2:$G$2038,1)</f>
        <v>Pied Oystercatcher</v>
      </c>
      <c r="E2601" s="3" t="str">
        <f>VLOOKUP(B2601,LifeList!$E$2:$G$2038,2)</f>
        <v>Huîtrier à long bec</v>
      </c>
      <c r="F2601" s="3" t="str">
        <f>VLOOKUP(B2601,LifeList!$E$2:$G$2038,3)</f>
        <v>Haematopus longirostris</v>
      </c>
      <c r="G2601" s="3" t="str">
        <f>VLOOKUP(B2601,LifeList!$E$2:$I$2038,4)</f>
        <v>Charadriiformes</v>
      </c>
      <c r="H2601" s="3" t="str">
        <f>VLOOKUP(B2601,LifeList!$E$2:$I$2038,5)</f>
        <v>Haematopodidae (Oystercatchers)</v>
      </c>
      <c r="I2601" s="3"/>
    </row>
    <row r="2602" spans="1:9" ht="10.5" customHeight="1">
      <c r="A2602" s="3" t="s">
        <v>3640</v>
      </c>
      <c r="B2602" s="3" t="s">
        <v>3639</v>
      </c>
      <c r="C2602" s="3">
        <f>VLOOKUP(B2602,LifeList!$E$2:$J$2038,6)</f>
        <v>5791</v>
      </c>
      <c r="D2602" s="3" t="str">
        <f>VLOOKUP(B2602,LifeList!$E$2:$G$2038,1)</f>
        <v>Pied Oystercatcher</v>
      </c>
      <c r="E2602" s="3" t="str">
        <f>VLOOKUP(B2602,LifeList!$E$2:$G$2038,2)</f>
        <v>Huîtrier à long bec</v>
      </c>
      <c r="F2602" s="3" t="str">
        <f>VLOOKUP(B2602,LifeList!$E$2:$G$2038,3)</f>
        <v>Haematopus longirostris</v>
      </c>
      <c r="G2602" s="3" t="str">
        <f>VLOOKUP(B2602,LifeList!$E$2:$I$2038,4)</f>
        <v>Charadriiformes</v>
      </c>
      <c r="H2602" s="3" t="str">
        <f>VLOOKUP(B2602,LifeList!$E$2:$I$2038,5)</f>
        <v>Haematopodidae (Oystercatchers)</v>
      </c>
      <c r="I2602" s="3"/>
    </row>
    <row r="2603" spans="1:9" ht="10.5" customHeight="1">
      <c r="A2603" s="3" t="s">
        <v>3641</v>
      </c>
      <c r="B2603" s="3" t="s">
        <v>3642</v>
      </c>
      <c r="C2603" s="3">
        <f>VLOOKUP(B2603,LifeList!$E$2:$J$2038,6)</f>
        <v>10384</v>
      </c>
      <c r="D2603" s="3" t="str">
        <f>VLOOKUP(B2603,LifeList!$E$2:$G$2038,1)</f>
        <v>Pied Puffbird</v>
      </c>
      <c r="E2603" s="3" t="str">
        <f>VLOOKUP(B2603,LifeList!$E$2:$G$2038,2)</f>
        <v>Tamatia pie</v>
      </c>
      <c r="F2603" s="3" t="str">
        <f>VLOOKUP(B2603,LifeList!$E$2:$G$2038,3)</f>
        <v>Notharchus tectus</v>
      </c>
      <c r="G2603" s="3" t="str">
        <f>VLOOKUP(B2603,LifeList!$E$2:$I$2038,4)</f>
        <v>Piciformes</v>
      </c>
      <c r="H2603" s="3" t="str">
        <f>VLOOKUP(B2603,LifeList!$E$2:$I$2038,5)</f>
        <v>Bucconidae (Puffbirds)</v>
      </c>
      <c r="I2603" s="3"/>
    </row>
    <row r="2604" spans="1:9" ht="10.5" customHeight="1">
      <c r="A2604" s="3" t="s">
        <v>3643</v>
      </c>
      <c r="B2604" s="3" t="s">
        <v>3642</v>
      </c>
      <c r="C2604" s="3">
        <f>VLOOKUP(B2604,LifeList!$E$2:$J$2038,6)</f>
        <v>10384</v>
      </c>
      <c r="D2604" s="3" t="str">
        <f>VLOOKUP(B2604,LifeList!$E$2:$G$2038,1)</f>
        <v>Pied Puffbird</v>
      </c>
      <c r="E2604" s="3" t="str">
        <f>VLOOKUP(B2604,LifeList!$E$2:$G$2038,2)</f>
        <v>Tamatia pie</v>
      </c>
      <c r="F2604" s="3" t="str">
        <f>VLOOKUP(B2604,LifeList!$E$2:$G$2038,3)</f>
        <v>Notharchus tectus</v>
      </c>
      <c r="G2604" s="3" t="str">
        <f>VLOOKUP(B2604,LifeList!$E$2:$I$2038,4)</f>
        <v>Piciformes</v>
      </c>
      <c r="H2604" s="3" t="str">
        <f>VLOOKUP(B2604,LifeList!$E$2:$I$2038,5)</f>
        <v>Bucconidae (Puffbirds)</v>
      </c>
      <c r="I2604" s="3"/>
    </row>
    <row r="2605" spans="1:9" ht="10.5" customHeight="1">
      <c r="A2605" s="3" t="s">
        <v>3644</v>
      </c>
      <c r="B2605" s="3" t="s">
        <v>3642</v>
      </c>
      <c r="C2605" s="3">
        <f>VLOOKUP(B2605,LifeList!$E$2:$J$2038,6)</f>
        <v>10384</v>
      </c>
      <c r="D2605" s="3" t="str">
        <f>VLOOKUP(B2605,LifeList!$E$2:$G$2038,1)</f>
        <v>Pied Puffbird</v>
      </c>
      <c r="E2605" s="3" t="str">
        <f>VLOOKUP(B2605,LifeList!$E$2:$G$2038,2)</f>
        <v>Tamatia pie</v>
      </c>
      <c r="F2605" s="3" t="str">
        <f>VLOOKUP(B2605,LifeList!$E$2:$G$2038,3)</f>
        <v>Notharchus tectus</v>
      </c>
      <c r="G2605" s="3" t="str">
        <f>VLOOKUP(B2605,LifeList!$E$2:$I$2038,4)</f>
        <v>Piciformes</v>
      </c>
      <c r="H2605" s="3" t="str">
        <f>VLOOKUP(B2605,LifeList!$E$2:$I$2038,5)</f>
        <v>Bucconidae (Puffbirds)</v>
      </c>
      <c r="I2605" s="3"/>
    </row>
    <row r="2606" spans="1:9" ht="10.5" customHeight="1">
      <c r="A2606" s="3" t="s">
        <v>3645</v>
      </c>
      <c r="B2606" s="3" t="s">
        <v>3646</v>
      </c>
      <c r="C2606" s="3">
        <f>VLOOKUP(B2606,LifeList!$E$2:$J$2038,6)</f>
        <v>5764</v>
      </c>
      <c r="D2606" s="3" t="str">
        <f>VLOOKUP(B2606,LifeList!$E$2:$G$2038,1)</f>
        <v>Pied Stilt</v>
      </c>
      <c r="E2606" s="3" t="str">
        <f>VLOOKUP(B2606,LifeList!$E$2:$G$2038,2)</f>
        <v>Échasse d'Australie</v>
      </c>
      <c r="F2606" s="3" t="str">
        <f>VLOOKUP(B2606,LifeList!$E$2:$G$2038,3)</f>
        <v>Himantopus leucocephalus</v>
      </c>
      <c r="G2606" s="3" t="str">
        <f>VLOOKUP(B2606,LifeList!$E$2:$I$2038,4)</f>
        <v>Charadriiformes</v>
      </c>
      <c r="H2606" s="3" t="str">
        <f>VLOOKUP(B2606,LifeList!$E$2:$I$2038,5)</f>
        <v>Recurvirostridae (Stilts and Avocets)</v>
      </c>
      <c r="I2606" s="3"/>
    </row>
    <row r="2607" spans="1:9" ht="10.5" customHeight="1">
      <c r="A2607" s="3" t="s">
        <v>3647</v>
      </c>
      <c r="B2607" s="3" t="s">
        <v>3646</v>
      </c>
      <c r="C2607" s="3">
        <f>VLOOKUP(B2607,LifeList!$E$2:$J$2038,6)</f>
        <v>5764</v>
      </c>
      <c r="D2607" s="3" t="str">
        <f>VLOOKUP(B2607,LifeList!$E$2:$G$2038,1)</f>
        <v>Pied Stilt</v>
      </c>
      <c r="E2607" s="3" t="str">
        <f>VLOOKUP(B2607,LifeList!$E$2:$G$2038,2)</f>
        <v>Échasse d'Australie</v>
      </c>
      <c r="F2607" s="3" t="str">
        <f>VLOOKUP(B2607,LifeList!$E$2:$G$2038,3)</f>
        <v>Himantopus leucocephalus</v>
      </c>
      <c r="G2607" s="3" t="str">
        <f>VLOOKUP(B2607,LifeList!$E$2:$I$2038,4)</f>
        <v>Charadriiformes</v>
      </c>
      <c r="H2607" s="3" t="str">
        <f>VLOOKUP(B2607,LifeList!$E$2:$I$2038,5)</f>
        <v>Recurvirostridae (Stilts and Avocets)</v>
      </c>
      <c r="I2607" s="3"/>
    </row>
    <row r="2608" spans="1:9" ht="10.5" customHeight="1">
      <c r="A2608" s="3" t="s">
        <v>3648</v>
      </c>
      <c r="B2608" s="3" t="s">
        <v>3646</v>
      </c>
      <c r="C2608" s="3">
        <f>VLOOKUP(B2608,LifeList!$E$2:$J$2038,6)</f>
        <v>5764</v>
      </c>
      <c r="D2608" s="3" t="str">
        <f>VLOOKUP(B2608,LifeList!$E$2:$G$2038,1)</f>
        <v>Pied Stilt</v>
      </c>
      <c r="E2608" s="3" t="str">
        <f>VLOOKUP(B2608,LifeList!$E$2:$G$2038,2)</f>
        <v>Échasse d'Australie</v>
      </c>
      <c r="F2608" s="3" t="str">
        <f>VLOOKUP(B2608,LifeList!$E$2:$G$2038,3)</f>
        <v>Himantopus leucocephalus</v>
      </c>
      <c r="G2608" s="3" t="str">
        <f>VLOOKUP(B2608,LifeList!$E$2:$I$2038,4)</f>
        <v>Charadriiformes</v>
      </c>
      <c r="H2608" s="3" t="str">
        <f>VLOOKUP(B2608,LifeList!$E$2:$I$2038,5)</f>
        <v>Recurvirostridae (Stilts and Avocets)</v>
      </c>
      <c r="I2608" s="3"/>
    </row>
    <row r="2609" spans="1:9" ht="10.5" customHeight="1">
      <c r="A2609" s="3" t="s">
        <v>3649</v>
      </c>
      <c r="B2609" s="3" t="s">
        <v>3650</v>
      </c>
      <c r="C2609" s="3">
        <f>VLOOKUP(B2609,LifeList!$E$2:$J$2038,6)</f>
        <v>17160</v>
      </c>
      <c r="D2609" s="3" t="str">
        <f>VLOOKUP(B2609,LifeList!$E$2:$G$2038,1)</f>
        <v>Pied Water-Tyrant</v>
      </c>
      <c r="E2609" s="3" t="str">
        <f>VLOOKUP(B2609,LifeList!$E$2:$G$2038,2)</f>
        <v>Moucherolle pie</v>
      </c>
      <c r="F2609" s="3" t="str">
        <f>VLOOKUP(B2609,LifeList!$E$2:$G$2038,3)</f>
        <v>Fluvicola pica</v>
      </c>
      <c r="G2609" s="3" t="str">
        <f>VLOOKUP(B2609,LifeList!$E$2:$I$2038,4)</f>
        <v>Passeriformes</v>
      </c>
      <c r="H2609" s="3" t="str">
        <f>VLOOKUP(B2609,LifeList!$E$2:$I$2038,5)</f>
        <v>Tyrannidae (Tyrant Flycatchers)</v>
      </c>
      <c r="I2609" s="3"/>
    </row>
    <row r="2610" spans="1:9" ht="10.5" customHeight="1">
      <c r="A2610" s="3" t="s">
        <v>3651</v>
      </c>
      <c r="B2610" s="3" t="s">
        <v>3650</v>
      </c>
      <c r="C2610" s="3">
        <f>VLOOKUP(B2610,LifeList!$E$2:$J$2038,6)</f>
        <v>17160</v>
      </c>
      <c r="D2610" s="3" t="str">
        <f>VLOOKUP(B2610,LifeList!$E$2:$G$2038,1)</f>
        <v>Pied Water-Tyrant</v>
      </c>
      <c r="E2610" s="3" t="str">
        <f>VLOOKUP(B2610,LifeList!$E$2:$G$2038,2)</f>
        <v>Moucherolle pie</v>
      </c>
      <c r="F2610" s="3" t="str">
        <f>VLOOKUP(B2610,LifeList!$E$2:$G$2038,3)</f>
        <v>Fluvicola pica</v>
      </c>
      <c r="G2610" s="3" t="str">
        <f>VLOOKUP(B2610,LifeList!$E$2:$I$2038,4)</f>
        <v>Passeriformes</v>
      </c>
      <c r="H2610" s="3" t="str">
        <f>VLOOKUP(B2610,LifeList!$E$2:$I$2038,5)</f>
        <v>Tyrannidae (Tyrant Flycatchers)</v>
      </c>
      <c r="I2610" s="3"/>
    </row>
    <row r="2611" spans="1:9" ht="10.5" customHeight="1">
      <c r="A2611" s="3" t="s">
        <v>3652</v>
      </c>
      <c r="B2611" s="3" t="s">
        <v>3650</v>
      </c>
      <c r="C2611" s="3">
        <f>VLOOKUP(B2611,LifeList!$E$2:$J$2038,6)</f>
        <v>17160</v>
      </c>
      <c r="D2611" s="3" t="str">
        <f>VLOOKUP(B2611,LifeList!$E$2:$G$2038,1)</f>
        <v>Pied Water-Tyrant</v>
      </c>
      <c r="E2611" s="3" t="str">
        <f>VLOOKUP(B2611,LifeList!$E$2:$G$2038,2)</f>
        <v>Moucherolle pie</v>
      </c>
      <c r="F2611" s="3" t="str">
        <f>VLOOKUP(B2611,LifeList!$E$2:$G$2038,3)</f>
        <v>Fluvicola pica</v>
      </c>
      <c r="G2611" s="3" t="str">
        <f>VLOOKUP(B2611,LifeList!$E$2:$I$2038,4)</f>
        <v>Passeriformes</v>
      </c>
      <c r="H2611" s="3" t="str">
        <f>VLOOKUP(B2611,LifeList!$E$2:$I$2038,5)</f>
        <v>Tyrannidae (Tyrant Flycatchers)</v>
      </c>
      <c r="I2611" s="3"/>
    </row>
    <row r="2612" spans="1:9" ht="10.5" customHeight="1">
      <c r="A2612" s="3" t="s">
        <v>3653</v>
      </c>
      <c r="B2612" s="3" t="s">
        <v>3650</v>
      </c>
      <c r="C2612" s="3">
        <f>VLOOKUP(B2612,LifeList!$E$2:$J$2038,6)</f>
        <v>17160</v>
      </c>
      <c r="D2612" s="3" t="str">
        <f>VLOOKUP(B2612,LifeList!$E$2:$G$2038,1)</f>
        <v>Pied Water-Tyrant</v>
      </c>
      <c r="E2612" s="3" t="str">
        <f>VLOOKUP(B2612,LifeList!$E$2:$G$2038,2)</f>
        <v>Moucherolle pie</v>
      </c>
      <c r="F2612" s="3" t="str">
        <f>VLOOKUP(B2612,LifeList!$E$2:$G$2038,3)</f>
        <v>Fluvicola pica</v>
      </c>
      <c r="G2612" s="3" t="str">
        <f>VLOOKUP(B2612,LifeList!$E$2:$I$2038,4)</f>
        <v>Passeriformes</v>
      </c>
      <c r="H2612" s="3" t="str">
        <f>VLOOKUP(B2612,LifeList!$E$2:$I$2038,5)</f>
        <v>Tyrannidae (Tyrant Flycatchers)</v>
      </c>
      <c r="I2612" s="3"/>
    </row>
    <row r="2613" spans="1:9" ht="10.5" customHeight="1">
      <c r="A2613" s="3" t="s">
        <v>3654</v>
      </c>
      <c r="B2613" s="3" t="s">
        <v>3655</v>
      </c>
      <c r="C2613" s="3">
        <f>VLOOKUP(B2613,LifeList!$E$2:$J$2038,6)</f>
        <v>6855</v>
      </c>
      <c r="D2613" s="3" t="str">
        <f>VLOOKUP(B2613,LifeList!$E$2:$G$2038,1)</f>
        <v>Pied-billed Grebe</v>
      </c>
      <c r="E2613" s="3" t="str">
        <f>VLOOKUP(B2613,LifeList!$E$2:$G$2038,2)</f>
        <v>Grèbe à bec bigarré</v>
      </c>
      <c r="F2613" s="3" t="str">
        <f>VLOOKUP(B2613,LifeList!$E$2:$G$2038,3)</f>
        <v>Podilymbus podiceps</v>
      </c>
      <c r="G2613" s="3" t="str">
        <f>VLOOKUP(B2613,LifeList!$E$2:$I$2038,4)</f>
        <v>Podicipediformes</v>
      </c>
      <c r="H2613" s="3" t="str">
        <f>VLOOKUP(B2613,LifeList!$E$2:$I$2038,5)</f>
        <v>Podicipedidae (Grebes)</v>
      </c>
      <c r="I2613" s="3"/>
    </row>
    <row r="2614" spans="1:9" ht="10.5" customHeight="1">
      <c r="A2614" s="3" t="s">
        <v>3656</v>
      </c>
      <c r="B2614" s="3" t="s">
        <v>3655</v>
      </c>
      <c r="C2614" s="3">
        <f>VLOOKUP(B2614,LifeList!$E$2:$J$2038,6)</f>
        <v>6855</v>
      </c>
      <c r="D2614" s="3" t="str">
        <f>VLOOKUP(B2614,LifeList!$E$2:$G$2038,1)</f>
        <v>Pied-billed Grebe</v>
      </c>
      <c r="E2614" s="3" t="str">
        <f>VLOOKUP(B2614,LifeList!$E$2:$G$2038,2)</f>
        <v>Grèbe à bec bigarré</v>
      </c>
      <c r="F2614" s="3" t="str">
        <f>VLOOKUP(B2614,LifeList!$E$2:$G$2038,3)</f>
        <v>Podilymbus podiceps</v>
      </c>
      <c r="G2614" s="3" t="str">
        <f>VLOOKUP(B2614,LifeList!$E$2:$I$2038,4)</f>
        <v>Podicipediformes</v>
      </c>
      <c r="H2614" s="3" t="str">
        <f>VLOOKUP(B2614,LifeList!$E$2:$I$2038,5)</f>
        <v>Podicipedidae (Grebes)</v>
      </c>
      <c r="I2614" s="3"/>
    </row>
    <row r="2615" spans="1:9" ht="10.5" customHeight="1">
      <c r="A2615" s="3" t="s">
        <v>3657</v>
      </c>
      <c r="B2615" s="3" t="s">
        <v>3655</v>
      </c>
      <c r="C2615" s="3">
        <f>VLOOKUP(B2615,LifeList!$E$2:$J$2038,6)</f>
        <v>6855</v>
      </c>
      <c r="D2615" s="3" t="str">
        <f>VLOOKUP(B2615,LifeList!$E$2:$G$2038,1)</f>
        <v>Pied-billed Grebe</v>
      </c>
      <c r="E2615" s="3" t="str">
        <f>VLOOKUP(B2615,LifeList!$E$2:$G$2038,2)</f>
        <v>Grèbe à bec bigarré</v>
      </c>
      <c r="F2615" s="3" t="str">
        <f>VLOOKUP(B2615,LifeList!$E$2:$G$2038,3)</f>
        <v>Podilymbus podiceps</v>
      </c>
      <c r="G2615" s="3" t="str">
        <f>VLOOKUP(B2615,LifeList!$E$2:$I$2038,4)</f>
        <v>Podicipediformes</v>
      </c>
      <c r="H2615" s="3" t="str">
        <f>VLOOKUP(B2615,LifeList!$E$2:$I$2038,5)</f>
        <v>Podicipedidae (Grebes)</v>
      </c>
      <c r="I2615" s="3"/>
    </row>
    <row r="2616" spans="1:9" ht="10.5" customHeight="1">
      <c r="A2616" s="3" t="s">
        <v>3658</v>
      </c>
      <c r="B2616" s="3" t="s">
        <v>3655</v>
      </c>
      <c r="C2616" s="3">
        <f>VLOOKUP(B2616,LifeList!$E$2:$J$2038,6)</f>
        <v>6855</v>
      </c>
      <c r="D2616" s="3" t="str">
        <f>VLOOKUP(B2616,LifeList!$E$2:$G$2038,1)</f>
        <v>Pied-billed Grebe</v>
      </c>
      <c r="E2616" s="3" t="str">
        <f>VLOOKUP(B2616,LifeList!$E$2:$G$2038,2)</f>
        <v>Grèbe à bec bigarré</v>
      </c>
      <c r="F2616" s="3" t="str">
        <f>VLOOKUP(B2616,LifeList!$E$2:$G$2038,3)</f>
        <v>Podilymbus podiceps</v>
      </c>
      <c r="G2616" s="3" t="str">
        <f>VLOOKUP(B2616,LifeList!$E$2:$I$2038,4)</f>
        <v>Podicipediformes</v>
      </c>
      <c r="H2616" s="3" t="str">
        <f>VLOOKUP(B2616,LifeList!$E$2:$I$2038,5)</f>
        <v>Podicipedidae (Grebes)</v>
      </c>
      <c r="I2616" s="3"/>
    </row>
    <row r="2617" spans="1:9" ht="10.5" customHeight="1">
      <c r="A2617" s="3" t="s">
        <v>3659</v>
      </c>
      <c r="B2617" s="3" t="s">
        <v>3655</v>
      </c>
      <c r="C2617" s="3">
        <f>VLOOKUP(B2617,LifeList!$E$2:$J$2038,6)</f>
        <v>6855</v>
      </c>
      <c r="D2617" s="3" t="str">
        <f>VLOOKUP(B2617,LifeList!$E$2:$G$2038,1)</f>
        <v>Pied-billed Grebe</v>
      </c>
      <c r="E2617" s="3" t="str">
        <f>VLOOKUP(B2617,LifeList!$E$2:$G$2038,2)</f>
        <v>Grèbe à bec bigarré</v>
      </c>
      <c r="F2617" s="3" t="str">
        <f>VLOOKUP(B2617,LifeList!$E$2:$G$2038,3)</f>
        <v>Podilymbus podiceps</v>
      </c>
      <c r="G2617" s="3" t="str">
        <f>VLOOKUP(B2617,LifeList!$E$2:$I$2038,4)</f>
        <v>Podicipediformes</v>
      </c>
      <c r="H2617" s="3" t="str">
        <f>VLOOKUP(B2617,LifeList!$E$2:$I$2038,5)</f>
        <v>Podicipedidae (Grebes)</v>
      </c>
      <c r="I2617" s="3"/>
    </row>
    <row r="2618" spans="1:9" ht="10.5" customHeight="1">
      <c r="A2618" s="3" t="s">
        <v>3660</v>
      </c>
      <c r="B2618" s="3" t="s">
        <v>3655</v>
      </c>
      <c r="C2618" s="3">
        <f>VLOOKUP(B2618,LifeList!$E$2:$J$2038,6)</f>
        <v>6855</v>
      </c>
      <c r="D2618" s="3" t="str">
        <f>VLOOKUP(B2618,LifeList!$E$2:$G$2038,1)</f>
        <v>Pied-billed Grebe</v>
      </c>
      <c r="E2618" s="3" t="str">
        <f>VLOOKUP(B2618,LifeList!$E$2:$G$2038,2)</f>
        <v>Grèbe à bec bigarré</v>
      </c>
      <c r="F2618" s="3" t="str">
        <f>VLOOKUP(B2618,LifeList!$E$2:$G$2038,3)</f>
        <v>Podilymbus podiceps</v>
      </c>
      <c r="G2618" s="3" t="str">
        <f>VLOOKUP(B2618,LifeList!$E$2:$I$2038,4)</f>
        <v>Podicipediformes</v>
      </c>
      <c r="H2618" s="3" t="str">
        <f>VLOOKUP(B2618,LifeList!$E$2:$I$2038,5)</f>
        <v>Podicipedidae (Grebes)</v>
      </c>
      <c r="I2618" s="3"/>
    </row>
    <row r="2619" spans="1:9" ht="10.5" customHeight="1">
      <c r="A2619" s="3" t="s">
        <v>3661</v>
      </c>
      <c r="B2619" s="3" t="s">
        <v>3655</v>
      </c>
      <c r="C2619" s="3">
        <f>VLOOKUP(B2619,LifeList!$E$2:$J$2038,6)</f>
        <v>6855</v>
      </c>
      <c r="D2619" s="3" t="str">
        <f>VLOOKUP(B2619,LifeList!$E$2:$G$2038,1)</f>
        <v>Pied-billed Grebe</v>
      </c>
      <c r="E2619" s="3" t="str">
        <f>VLOOKUP(B2619,LifeList!$E$2:$G$2038,2)</f>
        <v>Grèbe à bec bigarré</v>
      </c>
      <c r="F2619" s="3" t="str">
        <f>VLOOKUP(B2619,LifeList!$E$2:$G$2038,3)</f>
        <v>Podilymbus podiceps</v>
      </c>
      <c r="G2619" s="3" t="str">
        <f>VLOOKUP(B2619,LifeList!$E$2:$I$2038,4)</f>
        <v>Podicipediformes</v>
      </c>
      <c r="H2619" s="3" t="str">
        <f>VLOOKUP(B2619,LifeList!$E$2:$I$2038,5)</f>
        <v>Podicipedidae (Grebes)</v>
      </c>
      <c r="I2619" s="3"/>
    </row>
    <row r="2620" spans="1:9" ht="10.5" customHeight="1">
      <c r="A2620" s="3" t="s">
        <v>3662</v>
      </c>
      <c r="B2620" s="3" t="s">
        <v>3655</v>
      </c>
      <c r="C2620" s="3">
        <f>VLOOKUP(B2620,LifeList!$E$2:$J$2038,6)</f>
        <v>6855</v>
      </c>
      <c r="D2620" s="3" t="str">
        <f>VLOOKUP(B2620,LifeList!$E$2:$G$2038,1)</f>
        <v>Pied-billed Grebe</v>
      </c>
      <c r="E2620" s="3" t="str">
        <f>VLOOKUP(B2620,LifeList!$E$2:$G$2038,2)</f>
        <v>Grèbe à bec bigarré</v>
      </c>
      <c r="F2620" s="3" t="str">
        <f>VLOOKUP(B2620,LifeList!$E$2:$G$2038,3)</f>
        <v>Podilymbus podiceps</v>
      </c>
      <c r="G2620" s="3" t="str">
        <f>VLOOKUP(B2620,LifeList!$E$2:$I$2038,4)</f>
        <v>Podicipediformes</v>
      </c>
      <c r="H2620" s="3" t="str">
        <f>VLOOKUP(B2620,LifeList!$E$2:$I$2038,5)</f>
        <v>Podicipedidae (Grebes)</v>
      </c>
      <c r="I2620" s="3"/>
    </row>
    <row r="2621" spans="1:9" ht="10.5" customHeight="1">
      <c r="A2621" s="3" t="s">
        <v>3663</v>
      </c>
      <c r="B2621" s="3" t="s">
        <v>3655</v>
      </c>
      <c r="C2621" s="3">
        <f>VLOOKUP(B2621,LifeList!$E$2:$J$2038,6)</f>
        <v>6855</v>
      </c>
      <c r="D2621" s="3" t="str">
        <f>VLOOKUP(B2621,LifeList!$E$2:$G$2038,1)</f>
        <v>Pied-billed Grebe</v>
      </c>
      <c r="E2621" s="3" t="str">
        <f>VLOOKUP(B2621,LifeList!$E$2:$G$2038,2)</f>
        <v>Grèbe à bec bigarré</v>
      </c>
      <c r="F2621" s="3" t="str">
        <f>VLOOKUP(B2621,LifeList!$E$2:$G$2038,3)</f>
        <v>Podilymbus podiceps</v>
      </c>
      <c r="G2621" s="3" t="str">
        <f>VLOOKUP(B2621,LifeList!$E$2:$I$2038,4)</f>
        <v>Podicipediformes</v>
      </c>
      <c r="H2621" s="3" t="str">
        <f>VLOOKUP(B2621,LifeList!$E$2:$I$2038,5)</f>
        <v>Podicipedidae (Grebes)</v>
      </c>
      <c r="I2621" s="3"/>
    </row>
    <row r="2622" spans="1:9" ht="10.5" customHeight="1">
      <c r="A2622" s="3" t="s">
        <v>3664</v>
      </c>
      <c r="B2622" s="3" t="s">
        <v>3655</v>
      </c>
      <c r="C2622" s="3">
        <f>VLOOKUP(B2622,LifeList!$E$2:$J$2038,6)</f>
        <v>6855</v>
      </c>
      <c r="D2622" s="3" t="str">
        <f>VLOOKUP(B2622,LifeList!$E$2:$G$2038,1)</f>
        <v>Pied-billed Grebe</v>
      </c>
      <c r="E2622" s="3" t="str">
        <f>VLOOKUP(B2622,LifeList!$E$2:$G$2038,2)</f>
        <v>Grèbe à bec bigarré</v>
      </c>
      <c r="F2622" s="3" t="str">
        <f>VLOOKUP(B2622,LifeList!$E$2:$G$2038,3)</f>
        <v>Podilymbus podiceps</v>
      </c>
      <c r="G2622" s="3" t="str">
        <f>VLOOKUP(B2622,LifeList!$E$2:$I$2038,4)</f>
        <v>Podicipediformes</v>
      </c>
      <c r="H2622" s="3" t="str">
        <f>VLOOKUP(B2622,LifeList!$E$2:$I$2038,5)</f>
        <v>Podicipedidae (Grebes)</v>
      </c>
      <c r="I2622" s="3"/>
    </row>
    <row r="2623" spans="1:9" ht="10.5" customHeight="1">
      <c r="A2623" s="3" t="s">
        <v>3665</v>
      </c>
      <c r="B2623" s="3" t="s">
        <v>3655</v>
      </c>
      <c r="C2623" s="3">
        <f>VLOOKUP(B2623,LifeList!$E$2:$J$2038,6)</f>
        <v>6855</v>
      </c>
      <c r="D2623" s="3" t="str">
        <f>VLOOKUP(B2623,LifeList!$E$2:$G$2038,1)</f>
        <v>Pied-billed Grebe</v>
      </c>
      <c r="E2623" s="3" t="str">
        <f>VLOOKUP(B2623,LifeList!$E$2:$G$2038,2)</f>
        <v>Grèbe à bec bigarré</v>
      </c>
      <c r="F2623" s="3" t="str">
        <f>VLOOKUP(B2623,LifeList!$E$2:$G$2038,3)</f>
        <v>Podilymbus podiceps</v>
      </c>
      <c r="G2623" s="3" t="str">
        <f>VLOOKUP(B2623,LifeList!$E$2:$I$2038,4)</f>
        <v>Podicipediformes</v>
      </c>
      <c r="H2623" s="3" t="str">
        <f>VLOOKUP(B2623,LifeList!$E$2:$I$2038,5)</f>
        <v>Podicipedidae (Grebes)</v>
      </c>
      <c r="I2623" s="3"/>
    </row>
    <row r="2624" spans="1:9" ht="10.5" customHeight="1">
      <c r="A2624" s="3" t="s">
        <v>3666</v>
      </c>
      <c r="B2624" s="3" t="s">
        <v>3667</v>
      </c>
      <c r="C2624" s="3">
        <f>VLOOKUP(B2624,LifeList!$E$2:$J$2038,6)</f>
        <v>35633</v>
      </c>
      <c r="D2624" s="3" t="str">
        <f>VLOOKUP(B2624,LifeList!$E$2:$G$2038,1)</f>
        <v>Pileated Finch</v>
      </c>
      <c r="E2624" s="3" t="str">
        <f>VLOOKUP(B2624,LifeList!$E$2:$G$2038,2)</f>
        <v>Araguira gris</v>
      </c>
      <c r="F2624" s="3" t="str">
        <f>VLOOKUP(B2624,LifeList!$E$2:$G$2038,3)</f>
        <v>Coryphospingus pileatus</v>
      </c>
      <c r="G2624" s="3" t="str">
        <f>VLOOKUP(B2624,LifeList!$E$2:$I$2038,4)</f>
        <v>Passeriformes</v>
      </c>
      <c r="H2624" s="3" t="str">
        <f>VLOOKUP(B2624,LifeList!$E$2:$I$2038,5)</f>
        <v>Thraupidae (Tanagers and Allies)</v>
      </c>
      <c r="I2624" s="3"/>
    </row>
    <row r="2625" spans="1:9" ht="10.5" customHeight="1">
      <c r="A2625" s="3" t="s">
        <v>3668</v>
      </c>
      <c r="B2625" s="3" t="s">
        <v>3667</v>
      </c>
      <c r="C2625" s="3">
        <f>VLOOKUP(B2625,LifeList!$E$2:$J$2038,6)</f>
        <v>35633</v>
      </c>
      <c r="D2625" s="3" t="str">
        <f>VLOOKUP(B2625,LifeList!$E$2:$G$2038,1)</f>
        <v>Pileated Finch</v>
      </c>
      <c r="E2625" s="3" t="str">
        <f>VLOOKUP(B2625,LifeList!$E$2:$G$2038,2)</f>
        <v>Araguira gris</v>
      </c>
      <c r="F2625" s="3" t="str">
        <f>VLOOKUP(B2625,LifeList!$E$2:$G$2038,3)</f>
        <v>Coryphospingus pileatus</v>
      </c>
      <c r="G2625" s="3" t="str">
        <f>VLOOKUP(B2625,LifeList!$E$2:$I$2038,4)</f>
        <v>Passeriformes</v>
      </c>
      <c r="H2625" s="3" t="str">
        <f>VLOOKUP(B2625,LifeList!$E$2:$I$2038,5)</f>
        <v>Thraupidae (Tanagers and Allies)</v>
      </c>
      <c r="I2625" s="3"/>
    </row>
    <row r="2626" spans="1:9" ht="10.5" customHeight="1">
      <c r="A2626" s="3" t="s">
        <v>3669</v>
      </c>
      <c r="B2626" s="3" t="s">
        <v>3670</v>
      </c>
      <c r="C2626" s="3">
        <f>VLOOKUP(B2626,LifeList!$E$2:$J$2038,6)</f>
        <v>11762</v>
      </c>
      <c r="D2626" s="3" t="str">
        <f>VLOOKUP(B2626,LifeList!$E$2:$G$2038,1)</f>
        <v>Pileated Woodpecker</v>
      </c>
      <c r="E2626" s="3" t="str">
        <f>VLOOKUP(B2626,LifeList!$E$2:$G$2038,2)</f>
        <v>Grand Pic</v>
      </c>
      <c r="F2626" s="3" t="str">
        <f>VLOOKUP(B2626,LifeList!$E$2:$G$2038,3)</f>
        <v>Dryocopus pileatus</v>
      </c>
      <c r="G2626" s="3" t="str">
        <f>VLOOKUP(B2626,LifeList!$E$2:$I$2038,4)</f>
        <v>Piciformes</v>
      </c>
      <c r="H2626" s="3" t="str">
        <f>VLOOKUP(B2626,LifeList!$E$2:$I$2038,5)</f>
        <v>Picidae (Woodpeckers)</v>
      </c>
      <c r="I2626" s="3"/>
    </row>
    <row r="2627" spans="1:9" ht="10.5" customHeight="1">
      <c r="A2627" s="3" t="s">
        <v>3671</v>
      </c>
      <c r="B2627" s="3" t="s">
        <v>3670</v>
      </c>
      <c r="C2627" s="3">
        <f>VLOOKUP(B2627,LifeList!$E$2:$J$2038,6)</f>
        <v>11762</v>
      </c>
      <c r="D2627" s="3" t="str">
        <f>VLOOKUP(B2627,LifeList!$E$2:$G$2038,1)</f>
        <v>Pileated Woodpecker</v>
      </c>
      <c r="E2627" s="3" t="str">
        <f>VLOOKUP(B2627,LifeList!$E$2:$G$2038,2)</f>
        <v>Grand Pic</v>
      </c>
      <c r="F2627" s="3" t="str">
        <f>VLOOKUP(B2627,LifeList!$E$2:$G$2038,3)</f>
        <v>Dryocopus pileatus</v>
      </c>
      <c r="G2627" s="3" t="str">
        <f>VLOOKUP(B2627,LifeList!$E$2:$I$2038,4)</f>
        <v>Piciformes</v>
      </c>
      <c r="H2627" s="3" t="str">
        <f>VLOOKUP(B2627,LifeList!$E$2:$I$2038,5)</f>
        <v>Picidae (Woodpeckers)</v>
      </c>
      <c r="I2627" s="3"/>
    </row>
    <row r="2628" spans="1:9" ht="10.5" customHeight="1">
      <c r="A2628" s="3" t="s">
        <v>3672</v>
      </c>
      <c r="B2628" s="3" t="s">
        <v>3670</v>
      </c>
      <c r="C2628" s="3">
        <f>VLOOKUP(B2628,LifeList!$E$2:$J$2038,6)</f>
        <v>11762</v>
      </c>
      <c r="D2628" s="3" t="str">
        <f>VLOOKUP(B2628,LifeList!$E$2:$G$2038,1)</f>
        <v>Pileated Woodpecker</v>
      </c>
      <c r="E2628" s="3" t="str">
        <f>VLOOKUP(B2628,LifeList!$E$2:$G$2038,2)</f>
        <v>Grand Pic</v>
      </c>
      <c r="F2628" s="3" t="str">
        <f>VLOOKUP(B2628,LifeList!$E$2:$G$2038,3)</f>
        <v>Dryocopus pileatus</v>
      </c>
      <c r="G2628" s="3" t="str">
        <f>VLOOKUP(B2628,LifeList!$E$2:$I$2038,4)</f>
        <v>Piciformes</v>
      </c>
      <c r="H2628" s="3" t="str">
        <f>VLOOKUP(B2628,LifeList!$E$2:$I$2038,5)</f>
        <v>Picidae (Woodpeckers)</v>
      </c>
      <c r="I2628" s="3"/>
    </row>
    <row r="2629" spans="1:9" ht="10.5" customHeight="1">
      <c r="A2629" s="3" t="s">
        <v>3673</v>
      </c>
      <c r="B2629" s="3" t="s">
        <v>3670</v>
      </c>
      <c r="C2629" s="3">
        <f>VLOOKUP(B2629,LifeList!$E$2:$J$2038,6)</f>
        <v>11762</v>
      </c>
      <c r="D2629" s="3" t="str">
        <f>VLOOKUP(B2629,LifeList!$E$2:$G$2038,1)</f>
        <v>Pileated Woodpecker</v>
      </c>
      <c r="E2629" s="3" t="str">
        <f>VLOOKUP(B2629,LifeList!$E$2:$G$2038,2)</f>
        <v>Grand Pic</v>
      </c>
      <c r="F2629" s="3" t="str">
        <f>VLOOKUP(B2629,LifeList!$E$2:$G$2038,3)</f>
        <v>Dryocopus pileatus</v>
      </c>
      <c r="G2629" s="3" t="str">
        <f>VLOOKUP(B2629,LifeList!$E$2:$I$2038,4)</f>
        <v>Piciformes</v>
      </c>
      <c r="H2629" s="3" t="str">
        <f>VLOOKUP(B2629,LifeList!$E$2:$I$2038,5)</f>
        <v>Picidae (Woodpeckers)</v>
      </c>
      <c r="I2629" s="3"/>
    </row>
    <row r="2630" spans="1:9" ht="10.5" customHeight="1">
      <c r="A2630" s="5" t="s">
        <v>3674</v>
      </c>
      <c r="B2630" s="3" t="s">
        <v>3675</v>
      </c>
      <c r="C2630" s="3">
        <f>VLOOKUP(B2630,LifeList!$E$2:$J$2038,6)</f>
        <v>18252</v>
      </c>
      <c r="D2630" s="3" t="str">
        <f>VLOOKUP(B2630,LifeList!$E$2:$G$2038,1)</f>
        <v>Pilotbird</v>
      </c>
      <c r="E2630" s="3" t="str">
        <f>VLOOKUP(B2630,LifeList!$E$2:$G$2038,2)</f>
        <v>Pycnoptile compagnon</v>
      </c>
      <c r="F2630" s="3" t="str">
        <f>VLOOKUP(B2630,LifeList!$E$2:$G$2038,3)</f>
        <v>Pycnoptilus floccosus</v>
      </c>
      <c r="G2630" s="3" t="str">
        <f>VLOOKUP(B2630,LifeList!$E$2:$I$2038,4)</f>
        <v>Passeriformes</v>
      </c>
      <c r="H2630" s="3" t="str">
        <f>VLOOKUP(B2630,LifeList!$E$2:$I$2038,5)</f>
        <v>Acanthizidae (Thornbills and Allies)</v>
      </c>
      <c r="I2630" s="3"/>
    </row>
    <row r="2631" spans="1:9" ht="10.5" customHeight="1">
      <c r="A2631" s="3" t="s">
        <v>3676</v>
      </c>
      <c r="B2631" s="3" t="s">
        <v>3677</v>
      </c>
      <c r="C2631" s="3">
        <f>VLOOKUP(B2631,LifeList!$E$2:$J$2038,6)</f>
        <v>31443</v>
      </c>
      <c r="D2631" s="3" t="str">
        <f>VLOOKUP(B2631,LifeList!$E$2:$G$2038,1)</f>
        <v>Pin-tailed Whydah</v>
      </c>
      <c r="E2631" s="3" t="str">
        <f>VLOOKUP(B2631,LifeList!$E$2:$G$2038,2)</f>
        <v>Veuve dominicaine</v>
      </c>
      <c r="F2631" s="3" t="str">
        <f>VLOOKUP(B2631,LifeList!$E$2:$G$2038,3)</f>
        <v>Vidua macroura</v>
      </c>
      <c r="G2631" s="3" t="str">
        <f>VLOOKUP(B2631,LifeList!$E$2:$I$2038,4)</f>
        <v>Passeriformes</v>
      </c>
      <c r="H2631" s="3" t="str">
        <f>VLOOKUP(B2631,LifeList!$E$2:$I$2038,5)</f>
        <v>Viduidae (Whydahs and Indigobirds)</v>
      </c>
      <c r="I2631" s="3"/>
    </row>
    <row r="2632" spans="1:9" ht="10.5" customHeight="1">
      <c r="A2632" s="3" t="s">
        <v>3678</v>
      </c>
      <c r="B2632" s="3" t="s">
        <v>3679</v>
      </c>
      <c r="C2632" s="3">
        <f>VLOOKUP(B2632,LifeList!$E$2:$J$2038,6)</f>
        <v>32221</v>
      </c>
      <c r="D2632" s="3" t="str">
        <f>VLOOKUP(B2632,LifeList!$E$2:$G$2038,1)</f>
        <v>Pine Grosbeak</v>
      </c>
      <c r="E2632" s="3" t="str">
        <f>VLOOKUP(B2632,LifeList!$E$2:$G$2038,2)</f>
        <v>Durbec des sapins</v>
      </c>
      <c r="F2632" s="3" t="str">
        <f>VLOOKUP(B2632,LifeList!$E$2:$G$2038,3)</f>
        <v>Pinicola enucleator</v>
      </c>
      <c r="G2632" s="3" t="str">
        <f>VLOOKUP(B2632,LifeList!$E$2:$I$2038,4)</f>
        <v>Passeriformes</v>
      </c>
      <c r="H2632" s="3" t="str">
        <f>VLOOKUP(B2632,LifeList!$E$2:$I$2038,5)</f>
        <v>Fringillidae (Finches, Euphonias, and Allies)</v>
      </c>
      <c r="I2632" s="3"/>
    </row>
    <row r="2633" spans="1:9" ht="10.5" customHeight="1">
      <c r="A2633" s="3" t="s">
        <v>3680</v>
      </c>
      <c r="B2633" s="3" t="s">
        <v>3679</v>
      </c>
      <c r="C2633" s="3">
        <f>VLOOKUP(B2633,LifeList!$E$2:$J$2038,6)</f>
        <v>32221</v>
      </c>
      <c r="D2633" s="3" t="str">
        <f>VLOOKUP(B2633,LifeList!$E$2:$G$2038,1)</f>
        <v>Pine Grosbeak</v>
      </c>
      <c r="E2633" s="3" t="str">
        <f>VLOOKUP(B2633,LifeList!$E$2:$G$2038,2)</f>
        <v>Durbec des sapins</v>
      </c>
      <c r="F2633" s="3" t="str">
        <f>VLOOKUP(B2633,LifeList!$E$2:$G$2038,3)</f>
        <v>Pinicola enucleator</v>
      </c>
      <c r="G2633" s="3" t="str">
        <f>VLOOKUP(B2633,LifeList!$E$2:$I$2038,4)</f>
        <v>Passeriformes</v>
      </c>
      <c r="H2633" s="3" t="str">
        <f>VLOOKUP(B2633,LifeList!$E$2:$I$2038,5)</f>
        <v>Fringillidae (Finches, Euphonias, and Allies)</v>
      </c>
      <c r="I2633" s="3"/>
    </row>
    <row r="2634" spans="1:9" ht="10.5" customHeight="1">
      <c r="A2634" s="3" t="s">
        <v>3681</v>
      </c>
      <c r="B2634" s="3" t="s">
        <v>3682</v>
      </c>
      <c r="C2634" s="3">
        <f>VLOOKUP(B2634,LifeList!$E$2:$J$2038,6)</f>
        <v>32595</v>
      </c>
      <c r="D2634" s="3" t="str">
        <f>VLOOKUP(B2634,LifeList!$E$2:$G$2038,1)</f>
        <v>Pine Siskin</v>
      </c>
      <c r="E2634" s="3" t="str">
        <f>VLOOKUP(B2634,LifeList!$E$2:$G$2038,2)</f>
        <v>Tarin des pins</v>
      </c>
      <c r="F2634" s="3" t="str">
        <f>VLOOKUP(B2634,LifeList!$E$2:$G$2038,3)</f>
        <v>Spinus pinus</v>
      </c>
      <c r="G2634" s="3" t="str">
        <f>VLOOKUP(B2634,LifeList!$E$2:$I$2038,4)</f>
        <v>Passeriformes</v>
      </c>
      <c r="H2634" s="3" t="str">
        <f>VLOOKUP(B2634,LifeList!$E$2:$I$2038,5)</f>
        <v>Fringillidae (Finches, Euphonias, and Allies)</v>
      </c>
      <c r="I2634" s="3"/>
    </row>
    <row r="2635" spans="1:9" ht="10.5" customHeight="1">
      <c r="A2635" s="3" t="s">
        <v>3683</v>
      </c>
      <c r="B2635" s="3" t="s">
        <v>3682</v>
      </c>
      <c r="C2635" s="3">
        <f>VLOOKUP(B2635,LifeList!$E$2:$J$2038,6)</f>
        <v>32595</v>
      </c>
      <c r="D2635" s="3" t="str">
        <f>VLOOKUP(B2635,LifeList!$E$2:$G$2038,1)</f>
        <v>Pine Siskin</v>
      </c>
      <c r="E2635" s="3" t="str">
        <f>VLOOKUP(B2635,LifeList!$E$2:$G$2038,2)</f>
        <v>Tarin des pins</v>
      </c>
      <c r="F2635" s="3" t="str">
        <f>VLOOKUP(B2635,LifeList!$E$2:$G$2038,3)</f>
        <v>Spinus pinus</v>
      </c>
      <c r="G2635" s="3" t="str">
        <f>VLOOKUP(B2635,LifeList!$E$2:$I$2038,4)</f>
        <v>Passeriformes</v>
      </c>
      <c r="H2635" s="3" t="str">
        <f>VLOOKUP(B2635,LifeList!$E$2:$I$2038,5)</f>
        <v>Fringillidae (Finches, Euphonias, and Allies)</v>
      </c>
      <c r="I2635" s="3"/>
    </row>
    <row r="2636" spans="1:9" ht="10.5" customHeight="1">
      <c r="A2636" s="3" t="s">
        <v>3684</v>
      </c>
      <c r="B2636" s="3" t="s">
        <v>3682</v>
      </c>
      <c r="C2636" s="3">
        <f>VLOOKUP(B2636,LifeList!$E$2:$J$2038,6)</f>
        <v>32595</v>
      </c>
      <c r="D2636" s="3" t="str">
        <f>VLOOKUP(B2636,LifeList!$E$2:$G$2038,1)</f>
        <v>Pine Siskin</v>
      </c>
      <c r="E2636" s="3" t="str">
        <f>VLOOKUP(B2636,LifeList!$E$2:$G$2038,2)</f>
        <v>Tarin des pins</v>
      </c>
      <c r="F2636" s="3" t="str">
        <f>VLOOKUP(B2636,LifeList!$E$2:$G$2038,3)</f>
        <v>Spinus pinus</v>
      </c>
      <c r="G2636" s="3" t="str">
        <f>VLOOKUP(B2636,LifeList!$E$2:$I$2038,4)</f>
        <v>Passeriformes</v>
      </c>
      <c r="H2636" s="3" t="str">
        <f>VLOOKUP(B2636,LifeList!$E$2:$I$2038,5)</f>
        <v>Fringillidae (Finches, Euphonias, and Allies)</v>
      </c>
      <c r="I2636" s="3"/>
    </row>
    <row r="2637" spans="1:9" ht="10.5" customHeight="1">
      <c r="A2637" s="3" t="s">
        <v>3685</v>
      </c>
      <c r="B2637" s="3" t="s">
        <v>3686</v>
      </c>
      <c r="C2637" s="3">
        <f>VLOOKUP(B2637,LifeList!$E$2:$J$2038,6)</f>
        <v>34153</v>
      </c>
      <c r="D2637" s="3" t="str">
        <f>VLOOKUP(B2637,LifeList!$E$2:$G$2038,1)</f>
        <v>Pine Warbler</v>
      </c>
      <c r="E2637" s="3" t="str">
        <f>VLOOKUP(B2637,LifeList!$E$2:$G$2038,2)</f>
        <v>Paruline des pins</v>
      </c>
      <c r="F2637" s="3" t="str">
        <f>VLOOKUP(B2637,LifeList!$E$2:$G$2038,3)</f>
        <v>Setophaga pinus</v>
      </c>
      <c r="G2637" s="3" t="str">
        <f>VLOOKUP(B2637,LifeList!$E$2:$I$2038,4)</f>
        <v>Passeriformes</v>
      </c>
      <c r="H2637" s="3" t="str">
        <f>VLOOKUP(B2637,LifeList!$E$2:$I$2038,5)</f>
        <v>Parulidae (New World Warblers)</v>
      </c>
      <c r="I2637" s="3"/>
    </row>
    <row r="2638" spans="1:9" ht="10.5" customHeight="1">
      <c r="A2638" s="3" t="s">
        <v>3687</v>
      </c>
      <c r="B2638" s="3" t="s">
        <v>3686</v>
      </c>
      <c r="C2638" s="3">
        <f>VLOOKUP(B2638,LifeList!$E$2:$J$2038,6)</f>
        <v>34153</v>
      </c>
      <c r="D2638" s="3" t="str">
        <f>VLOOKUP(B2638,LifeList!$E$2:$G$2038,1)</f>
        <v>Pine Warbler</v>
      </c>
      <c r="E2638" s="3" t="str">
        <f>VLOOKUP(B2638,LifeList!$E$2:$G$2038,2)</f>
        <v>Paruline des pins</v>
      </c>
      <c r="F2638" s="3" t="str">
        <f>VLOOKUP(B2638,LifeList!$E$2:$G$2038,3)</f>
        <v>Setophaga pinus</v>
      </c>
      <c r="G2638" s="3" t="str">
        <f>VLOOKUP(B2638,LifeList!$E$2:$I$2038,4)</f>
        <v>Passeriformes</v>
      </c>
      <c r="H2638" s="3" t="str">
        <f>VLOOKUP(B2638,LifeList!$E$2:$I$2038,5)</f>
        <v>Parulidae (New World Warblers)</v>
      </c>
      <c r="I2638" s="3"/>
    </row>
    <row r="2639" spans="1:9" ht="10.5" customHeight="1">
      <c r="A2639" s="3" t="s">
        <v>3688</v>
      </c>
      <c r="B2639" s="3" t="s">
        <v>3686</v>
      </c>
      <c r="C2639" s="3">
        <f>VLOOKUP(B2639,LifeList!$E$2:$J$2038,6)</f>
        <v>34153</v>
      </c>
      <c r="D2639" s="3" t="str">
        <f>VLOOKUP(B2639,LifeList!$E$2:$G$2038,1)</f>
        <v>Pine Warbler</v>
      </c>
      <c r="E2639" s="3" t="str">
        <f>VLOOKUP(B2639,LifeList!$E$2:$G$2038,2)</f>
        <v>Paruline des pins</v>
      </c>
      <c r="F2639" s="3" t="str">
        <f>VLOOKUP(B2639,LifeList!$E$2:$G$2038,3)</f>
        <v>Setophaga pinus</v>
      </c>
      <c r="G2639" s="3" t="str">
        <f>VLOOKUP(B2639,LifeList!$E$2:$I$2038,4)</f>
        <v>Passeriformes</v>
      </c>
      <c r="H2639" s="3" t="str">
        <f>VLOOKUP(B2639,LifeList!$E$2:$I$2038,5)</f>
        <v>Parulidae (New World Warblers)</v>
      </c>
      <c r="I2639" s="3"/>
    </row>
    <row r="2640" spans="1:9" ht="10.5" customHeight="1">
      <c r="A2640" s="3" t="s">
        <v>3689</v>
      </c>
      <c r="B2640" s="3" t="s">
        <v>3686</v>
      </c>
      <c r="C2640" s="3">
        <f>VLOOKUP(B2640,LifeList!$E$2:$J$2038,6)</f>
        <v>34153</v>
      </c>
      <c r="D2640" s="3" t="str">
        <f>VLOOKUP(B2640,LifeList!$E$2:$G$2038,1)</f>
        <v>Pine Warbler</v>
      </c>
      <c r="E2640" s="3" t="str">
        <f>VLOOKUP(B2640,LifeList!$E$2:$G$2038,2)</f>
        <v>Paruline des pins</v>
      </c>
      <c r="F2640" s="3" t="str">
        <f>VLOOKUP(B2640,LifeList!$E$2:$G$2038,3)</f>
        <v>Setophaga pinus</v>
      </c>
      <c r="G2640" s="3" t="str">
        <f>VLOOKUP(B2640,LifeList!$E$2:$I$2038,4)</f>
        <v>Passeriformes</v>
      </c>
      <c r="H2640" s="3" t="str">
        <f>VLOOKUP(B2640,LifeList!$E$2:$I$2038,5)</f>
        <v>Parulidae (New World Warblers)</v>
      </c>
      <c r="I2640" s="3"/>
    </row>
    <row r="2641" spans="1:9" ht="10.5" customHeight="1">
      <c r="A2641" s="3" t="s">
        <v>3690</v>
      </c>
      <c r="B2641" s="3" t="s">
        <v>3686</v>
      </c>
      <c r="C2641" s="3">
        <f>VLOOKUP(B2641,LifeList!$E$2:$J$2038,6)</f>
        <v>34153</v>
      </c>
      <c r="D2641" s="3" t="str">
        <f>VLOOKUP(B2641,LifeList!$E$2:$G$2038,1)</f>
        <v>Pine Warbler</v>
      </c>
      <c r="E2641" s="3" t="str">
        <f>VLOOKUP(B2641,LifeList!$E$2:$G$2038,2)</f>
        <v>Paruline des pins</v>
      </c>
      <c r="F2641" s="3" t="str">
        <f>VLOOKUP(B2641,LifeList!$E$2:$G$2038,3)</f>
        <v>Setophaga pinus</v>
      </c>
      <c r="G2641" s="3" t="str">
        <f>VLOOKUP(B2641,LifeList!$E$2:$I$2038,4)</f>
        <v>Passeriformes</v>
      </c>
      <c r="H2641" s="3" t="str">
        <f>VLOOKUP(B2641,LifeList!$E$2:$I$2038,5)</f>
        <v>Parulidae (New World Warblers)</v>
      </c>
      <c r="I2641" s="3"/>
    </row>
    <row r="2642" spans="1:9" ht="10.5" customHeight="1">
      <c r="A2642" s="3" t="s">
        <v>3691</v>
      </c>
      <c r="B2642" s="3" t="s">
        <v>3686</v>
      </c>
      <c r="C2642" s="3">
        <f>VLOOKUP(B2642,LifeList!$E$2:$J$2038,6)</f>
        <v>34153</v>
      </c>
      <c r="D2642" s="3" t="str">
        <f>VLOOKUP(B2642,LifeList!$E$2:$G$2038,1)</f>
        <v>Pine Warbler</v>
      </c>
      <c r="E2642" s="3" t="str">
        <f>VLOOKUP(B2642,LifeList!$E$2:$G$2038,2)</f>
        <v>Paruline des pins</v>
      </c>
      <c r="F2642" s="3" t="str">
        <f>VLOOKUP(B2642,LifeList!$E$2:$G$2038,3)</f>
        <v>Setophaga pinus</v>
      </c>
      <c r="G2642" s="3" t="str">
        <f>VLOOKUP(B2642,LifeList!$E$2:$I$2038,4)</f>
        <v>Passeriformes</v>
      </c>
      <c r="H2642" s="3" t="str">
        <f>VLOOKUP(B2642,LifeList!$E$2:$I$2038,5)</f>
        <v>Parulidae (New World Warblers)</v>
      </c>
      <c r="I2642" s="3"/>
    </row>
    <row r="2643" spans="1:9" ht="10.5" customHeight="1">
      <c r="A2643" s="3" t="s">
        <v>3692</v>
      </c>
      <c r="B2643" s="3" t="s">
        <v>3693</v>
      </c>
      <c r="C2643" s="3">
        <f>VLOOKUP(B2643,LifeList!$E$2:$J$2038,6)</f>
        <v>21766</v>
      </c>
      <c r="D2643" s="3" t="str">
        <f>VLOOKUP(B2643,LifeList!$E$2:$G$2038,1)</f>
        <v>Pink Robin</v>
      </c>
      <c r="E2643" s="3" t="str">
        <f>VLOOKUP(B2643,LifeList!$E$2:$G$2038,2)</f>
        <v>Miro incarnat</v>
      </c>
      <c r="F2643" s="3" t="str">
        <f>VLOOKUP(B2643,LifeList!$E$2:$G$2038,3)</f>
        <v>Petroica rodinogaster</v>
      </c>
      <c r="G2643" s="3" t="str">
        <f>VLOOKUP(B2643,LifeList!$E$2:$I$2038,4)</f>
        <v>Passeriformes</v>
      </c>
      <c r="H2643" s="3" t="str">
        <f>VLOOKUP(B2643,LifeList!$E$2:$I$2038,5)</f>
        <v>Petroicidae (Australasian Robins)</v>
      </c>
      <c r="I2643" s="3"/>
    </row>
    <row r="2644" spans="1:9" ht="10.5" customHeight="1">
      <c r="A2644" s="3" t="s">
        <v>3694</v>
      </c>
      <c r="B2644" s="3" t="s">
        <v>3695</v>
      </c>
      <c r="C2644" s="3">
        <f>VLOOKUP(B2644,LifeList!$E$2:$J$2038,6)</f>
        <v>35432</v>
      </c>
      <c r="D2644" s="3" t="str">
        <f>VLOOKUP(B2644,LifeList!$E$2:$G$2038,1)</f>
        <v>Pink-billed Cnemoscopus</v>
      </c>
      <c r="E2644" s="3" t="str">
        <f>VLOOKUP(B2644,LifeList!$E$2:$G$2038,2)</f>
        <v>Tangara capucin</v>
      </c>
      <c r="F2644" s="3" t="str">
        <f>VLOOKUP(B2644,LifeList!$E$2:$G$2038,3)</f>
        <v>Cnemoscopus rubrirostris</v>
      </c>
      <c r="G2644" s="3" t="str">
        <f>VLOOKUP(B2644,LifeList!$E$2:$I$2038,4)</f>
        <v>Passeriformes</v>
      </c>
      <c r="H2644" s="3" t="str">
        <f>VLOOKUP(B2644,LifeList!$E$2:$I$2038,5)</f>
        <v>Thraupidae (Tanagers and Allies)</v>
      </c>
      <c r="I2644" s="3"/>
    </row>
    <row r="2645" spans="1:9" ht="10.5" customHeight="1">
      <c r="A2645" s="3" t="s">
        <v>3696</v>
      </c>
      <c r="B2645" s="3" t="s">
        <v>3697</v>
      </c>
      <c r="C2645" s="3">
        <f>VLOOKUP(B2645,LifeList!$E$2:$J$2038,6)</f>
        <v>656</v>
      </c>
      <c r="D2645" s="3" t="str">
        <f>VLOOKUP(B2645,LifeList!$E$2:$G$2038,1)</f>
        <v>Pink-eared Duck</v>
      </c>
      <c r="E2645" s="3" t="str">
        <f>VLOOKUP(B2645,LifeList!$E$2:$G$2038,2)</f>
        <v>Malacorhynque à oreilles roses</v>
      </c>
      <c r="F2645" s="3" t="str">
        <f>VLOOKUP(B2645,LifeList!$E$2:$G$2038,3)</f>
        <v>Malacorhynchus membranaceus</v>
      </c>
      <c r="G2645" s="3" t="str">
        <f>VLOOKUP(B2645,LifeList!$E$2:$I$2038,4)</f>
        <v>Anseriformes</v>
      </c>
      <c r="H2645" s="3" t="str">
        <f>VLOOKUP(B2645,LifeList!$E$2:$I$2038,5)</f>
        <v>Anatidae (Ducks, Geese, and Waterfowl)</v>
      </c>
      <c r="I2645" s="3"/>
    </row>
    <row r="2646" spans="1:9" ht="10.5" customHeight="1">
      <c r="A2646" s="3" t="s">
        <v>3698</v>
      </c>
      <c r="B2646" s="3" t="s">
        <v>3697</v>
      </c>
      <c r="C2646" s="3">
        <f>VLOOKUP(B2646,LifeList!$E$2:$J$2038,6)</f>
        <v>656</v>
      </c>
      <c r="D2646" s="3" t="str">
        <f>VLOOKUP(B2646,LifeList!$E$2:$G$2038,1)</f>
        <v>Pink-eared Duck</v>
      </c>
      <c r="E2646" s="3" t="str">
        <f>VLOOKUP(B2646,LifeList!$E$2:$G$2038,2)</f>
        <v>Malacorhynque à oreilles roses</v>
      </c>
      <c r="F2646" s="3" t="str">
        <f>VLOOKUP(B2646,LifeList!$E$2:$G$2038,3)</f>
        <v>Malacorhynchus membranaceus</v>
      </c>
      <c r="G2646" s="3" t="str">
        <f>VLOOKUP(B2646,LifeList!$E$2:$I$2038,4)</f>
        <v>Anseriformes</v>
      </c>
      <c r="H2646" s="3" t="str">
        <f>VLOOKUP(B2646,LifeList!$E$2:$I$2038,5)</f>
        <v>Anatidae (Ducks, Geese, and Waterfowl)</v>
      </c>
      <c r="I2646" s="3"/>
    </row>
    <row r="2647" spans="1:9" ht="10.5" customHeight="1">
      <c r="A2647" s="5" t="s">
        <v>3699</v>
      </c>
      <c r="B2647" s="3" t="s">
        <v>3700</v>
      </c>
      <c r="C2647" s="3">
        <f>VLOOKUP(B2647,LifeList!$E$2:$J$2038,6)</f>
        <v>7205</v>
      </c>
      <c r="D2647" s="3" t="str">
        <f>VLOOKUP(B2647,LifeList!$E$2:$G$2038,1)</f>
        <v>Pink-footed Shearwater</v>
      </c>
      <c r="E2647" s="3" t="str">
        <f>VLOOKUP(B2647,LifeList!$E$2:$G$2038,2)</f>
        <v>Puffin à pieds roses</v>
      </c>
      <c r="F2647" s="3" t="str">
        <f>VLOOKUP(B2647,LifeList!$E$2:$G$2038,3)</f>
        <v>Ardenna creatopus</v>
      </c>
      <c r="G2647" s="3" t="str">
        <f>VLOOKUP(B2647,LifeList!$E$2:$I$2038,4)</f>
        <v>Procellariiformes</v>
      </c>
      <c r="H2647" s="3" t="str">
        <f>VLOOKUP(B2647,LifeList!$E$2:$I$2038,5)</f>
        <v>Procellariidae (Shearwaters and Petrels)</v>
      </c>
      <c r="I2647" s="3"/>
    </row>
    <row r="2648" spans="1:9" ht="10.5" customHeight="1">
      <c r="A2648" s="3" t="s">
        <v>3701</v>
      </c>
      <c r="B2648" s="3" t="s">
        <v>3702</v>
      </c>
      <c r="C2648" s="3">
        <f>VLOOKUP(B2648,LifeList!$E$2:$J$2038,6)</f>
        <v>17440</v>
      </c>
      <c r="D2648" s="3" t="str">
        <f>VLOOKUP(B2648,LifeList!$E$2:$G$2038,1)</f>
        <v>Piratic Flycatcher</v>
      </c>
      <c r="E2648" s="3" t="str">
        <f>VLOOKUP(B2648,LifeList!$E$2:$G$2038,2)</f>
        <v>Tyran pirate</v>
      </c>
      <c r="F2648" s="3" t="str">
        <f>VLOOKUP(B2648,LifeList!$E$2:$G$2038,3)</f>
        <v>Legatus leucophaius</v>
      </c>
      <c r="G2648" s="3" t="str">
        <f>VLOOKUP(B2648,LifeList!$E$2:$I$2038,4)</f>
        <v>Passeriformes</v>
      </c>
      <c r="H2648" s="3" t="str">
        <f>VLOOKUP(B2648,LifeList!$E$2:$I$2038,5)</f>
        <v>Tyrannidae (Tyrant Flycatchers)</v>
      </c>
      <c r="I2648" s="3"/>
    </row>
    <row r="2649" spans="1:9" ht="10.5" customHeight="1">
      <c r="A2649" s="3" t="s">
        <v>3703</v>
      </c>
      <c r="B2649" s="3" t="s">
        <v>3704</v>
      </c>
      <c r="C2649" s="3">
        <f>VLOOKUP(B2649,LifeList!$E$2:$J$2038,6)</f>
        <v>13627</v>
      </c>
      <c r="D2649" s="3" t="str">
        <f>VLOOKUP(B2649,LifeList!$E$2:$G$2038,1)</f>
        <v>Plain Antvireo</v>
      </c>
      <c r="E2649" s="3" t="str">
        <f>VLOOKUP(B2649,LifeList!$E$2:$G$2038,2)</f>
        <v>Batara gorgeret</v>
      </c>
      <c r="F2649" s="3" t="str">
        <f>VLOOKUP(B2649,LifeList!$E$2:$G$2038,3)</f>
        <v>Dysithamnus mentalis</v>
      </c>
      <c r="G2649" s="3" t="str">
        <f>VLOOKUP(B2649,LifeList!$E$2:$I$2038,4)</f>
        <v>Passeriformes</v>
      </c>
      <c r="H2649" s="3" t="str">
        <f>VLOOKUP(B2649,LifeList!$E$2:$I$2038,5)</f>
        <v>Thamnophilidae (Typical Antbirds)</v>
      </c>
      <c r="I2649" s="3"/>
    </row>
    <row r="2650" spans="1:9" ht="10.5" customHeight="1">
      <c r="A2650" s="3" t="s">
        <v>3705</v>
      </c>
      <c r="B2650" s="3" t="s">
        <v>3706</v>
      </c>
      <c r="C2650" s="3">
        <f>VLOOKUP(B2650,LifeList!$E$2:$J$2038,6)</f>
        <v>945</v>
      </c>
      <c r="D2650" s="3" t="str">
        <f>VLOOKUP(B2650,LifeList!$E$2:$G$2038,1)</f>
        <v>Plain Chachalaca</v>
      </c>
      <c r="E2650" s="3" t="str">
        <f>VLOOKUP(B2650,LifeList!$E$2:$G$2038,2)</f>
        <v>Ortalide chacamel</v>
      </c>
      <c r="F2650" s="3" t="str">
        <f>VLOOKUP(B2650,LifeList!$E$2:$G$2038,3)</f>
        <v>Ortalis vetula</v>
      </c>
      <c r="G2650" s="3" t="str">
        <f>VLOOKUP(B2650,LifeList!$E$2:$I$2038,4)</f>
        <v>Galliformes</v>
      </c>
      <c r="H2650" s="3" t="str">
        <f>VLOOKUP(B2650,LifeList!$E$2:$I$2038,5)</f>
        <v>Cracidae (Guans, Chachalacas, and Curassows)</v>
      </c>
      <c r="I2650" s="3"/>
    </row>
    <row r="2651" spans="1:9" ht="10.5" customHeight="1">
      <c r="A2651" s="3" t="s">
        <v>3707</v>
      </c>
      <c r="B2651" s="3" t="s">
        <v>3708</v>
      </c>
      <c r="C2651" s="3">
        <f>VLOOKUP(B2651,LifeList!$E$2:$J$2038,6)</f>
        <v>14664</v>
      </c>
      <c r="D2651" s="3" t="str">
        <f>VLOOKUP(B2651,LifeList!$E$2:$G$2038,1)</f>
        <v>Plain-brown Woodcreeper</v>
      </c>
      <c r="E2651" s="3" t="str">
        <f>VLOOKUP(B2651,LifeList!$E$2:$G$2038,2)</f>
        <v>Grimpar enfumé</v>
      </c>
      <c r="F2651" s="3" t="str">
        <f>VLOOKUP(B2651,LifeList!$E$2:$G$2038,3)</f>
        <v>Dendrocincla fuliginosa</v>
      </c>
      <c r="G2651" s="3" t="str">
        <f>VLOOKUP(B2651,LifeList!$E$2:$I$2038,4)</f>
        <v>Passeriformes</v>
      </c>
      <c r="H2651" s="3" t="str">
        <f>VLOOKUP(B2651,LifeList!$E$2:$I$2038,5)</f>
        <v>Furnariidae (Ovenbirds and Woodcreepers)</v>
      </c>
      <c r="I2651" s="3"/>
    </row>
    <row r="2652" spans="1:9" ht="10.5" customHeight="1">
      <c r="A2652" s="3" t="s">
        <v>3709</v>
      </c>
      <c r="B2652" s="3" t="s">
        <v>3708</v>
      </c>
      <c r="C2652" s="3">
        <f>VLOOKUP(B2652,LifeList!$E$2:$J$2038,6)</f>
        <v>14664</v>
      </c>
      <c r="D2652" s="3" t="str">
        <f>VLOOKUP(B2652,LifeList!$E$2:$G$2038,1)</f>
        <v>Plain-brown Woodcreeper</v>
      </c>
      <c r="E2652" s="3" t="str">
        <f>VLOOKUP(B2652,LifeList!$E$2:$G$2038,2)</f>
        <v>Grimpar enfumé</v>
      </c>
      <c r="F2652" s="3" t="str">
        <f>VLOOKUP(B2652,LifeList!$E$2:$G$2038,3)</f>
        <v>Dendrocincla fuliginosa</v>
      </c>
      <c r="G2652" s="3" t="str">
        <f>VLOOKUP(B2652,LifeList!$E$2:$I$2038,4)</f>
        <v>Passeriformes</v>
      </c>
      <c r="H2652" s="3" t="str">
        <f>VLOOKUP(B2652,LifeList!$E$2:$I$2038,5)</f>
        <v>Furnariidae (Ovenbirds and Woodcreepers)</v>
      </c>
      <c r="I2652" s="3"/>
    </row>
    <row r="2653" spans="1:9" ht="10.5" customHeight="1">
      <c r="A2653" s="3" t="s">
        <v>3710</v>
      </c>
      <c r="B2653" s="3" t="s">
        <v>3708</v>
      </c>
      <c r="C2653" s="3">
        <f>VLOOKUP(B2653,LifeList!$E$2:$J$2038,6)</f>
        <v>14664</v>
      </c>
      <c r="D2653" s="3" t="str">
        <f>VLOOKUP(B2653,LifeList!$E$2:$G$2038,1)</f>
        <v>Plain-brown Woodcreeper</v>
      </c>
      <c r="E2653" s="3" t="str">
        <f>VLOOKUP(B2653,LifeList!$E$2:$G$2038,2)</f>
        <v>Grimpar enfumé</v>
      </c>
      <c r="F2653" s="3" t="str">
        <f>VLOOKUP(B2653,LifeList!$E$2:$G$2038,3)</f>
        <v>Dendrocincla fuliginosa</v>
      </c>
      <c r="G2653" s="3" t="str">
        <f>VLOOKUP(B2653,LifeList!$E$2:$I$2038,4)</f>
        <v>Passeriformes</v>
      </c>
      <c r="H2653" s="3" t="str">
        <f>VLOOKUP(B2653,LifeList!$E$2:$I$2038,5)</f>
        <v>Furnariidae (Ovenbirds and Woodcreepers)</v>
      </c>
      <c r="I2653" s="3"/>
    </row>
    <row r="2654" spans="1:9" ht="10.5" customHeight="1">
      <c r="A2654" s="3" t="s">
        <v>3711</v>
      </c>
      <c r="B2654" s="3" t="s">
        <v>3708</v>
      </c>
      <c r="C2654" s="3">
        <f>VLOOKUP(B2654,LifeList!$E$2:$J$2038,6)</f>
        <v>14664</v>
      </c>
      <c r="D2654" s="3" t="str">
        <f>VLOOKUP(B2654,LifeList!$E$2:$G$2038,1)</f>
        <v>Plain-brown Woodcreeper</v>
      </c>
      <c r="E2654" s="3" t="str">
        <f>VLOOKUP(B2654,LifeList!$E$2:$G$2038,2)</f>
        <v>Grimpar enfumé</v>
      </c>
      <c r="F2654" s="3" t="str">
        <f>VLOOKUP(B2654,LifeList!$E$2:$G$2038,3)</f>
        <v>Dendrocincla fuliginosa</v>
      </c>
      <c r="G2654" s="3" t="str">
        <f>VLOOKUP(B2654,LifeList!$E$2:$I$2038,4)</f>
        <v>Passeriformes</v>
      </c>
      <c r="H2654" s="3" t="str">
        <f>VLOOKUP(B2654,LifeList!$E$2:$I$2038,5)</f>
        <v>Furnariidae (Ovenbirds and Woodcreepers)</v>
      </c>
      <c r="I2654" s="3"/>
    </row>
    <row r="2655" spans="1:9" ht="10.5" customHeight="1">
      <c r="A2655" s="3" t="s">
        <v>3712</v>
      </c>
      <c r="B2655" s="3" t="s">
        <v>3713</v>
      </c>
      <c r="C2655" s="3">
        <f>VLOOKUP(B2655,LifeList!$E$2:$J$2038,6)</f>
        <v>35054</v>
      </c>
      <c r="D2655" s="3" t="str">
        <f>VLOOKUP(B2655,LifeList!$E$2:$G$2038,1)</f>
        <v>Plain-colored Tanager</v>
      </c>
      <c r="E2655" s="3" t="str">
        <f>VLOOKUP(B2655,LifeList!$E$2:$G$2038,2)</f>
        <v>Calliste gris</v>
      </c>
      <c r="F2655" s="3" t="str">
        <f>VLOOKUP(B2655,LifeList!$E$2:$G$2038,3)</f>
        <v>Tangara inornata</v>
      </c>
      <c r="G2655" s="3" t="str">
        <f>VLOOKUP(B2655,LifeList!$E$2:$I$2038,4)</f>
        <v>Passeriformes</v>
      </c>
      <c r="H2655" s="3" t="str">
        <f>VLOOKUP(B2655,LifeList!$E$2:$I$2038,5)</f>
        <v>Thraupidae (Tanagers and Allies)</v>
      </c>
      <c r="I2655" s="3"/>
    </row>
    <row r="2656" spans="1:9" ht="10.5" customHeight="1">
      <c r="A2656" s="3" t="s">
        <v>3714</v>
      </c>
      <c r="B2656" s="3" t="s">
        <v>3713</v>
      </c>
      <c r="C2656" s="3">
        <f>VLOOKUP(B2656,LifeList!$E$2:$J$2038,6)</f>
        <v>35054</v>
      </c>
      <c r="D2656" s="3" t="str">
        <f>VLOOKUP(B2656,LifeList!$E$2:$G$2038,1)</f>
        <v>Plain-colored Tanager</v>
      </c>
      <c r="E2656" s="3" t="str">
        <f>VLOOKUP(B2656,LifeList!$E$2:$G$2038,2)</f>
        <v>Calliste gris</v>
      </c>
      <c r="F2656" s="3" t="str">
        <f>VLOOKUP(B2656,LifeList!$E$2:$G$2038,3)</f>
        <v>Tangara inornata</v>
      </c>
      <c r="G2656" s="3" t="str">
        <f>VLOOKUP(B2656,LifeList!$E$2:$I$2038,4)</f>
        <v>Passeriformes</v>
      </c>
      <c r="H2656" s="3" t="str">
        <f>VLOOKUP(B2656,LifeList!$E$2:$I$2038,5)</f>
        <v>Thraupidae (Tanagers and Allies)</v>
      </c>
      <c r="I2656" s="3"/>
    </row>
    <row r="2657" spans="1:9" ht="10.5" customHeight="1">
      <c r="A2657" s="7" t="s">
        <v>3715</v>
      </c>
      <c r="B2657" s="8" t="s">
        <v>3716</v>
      </c>
      <c r="C2657" s="6">
        <f>VLOOKUP(B2657,LifeList!$E$2:$J$2038,6)</f>
        <v>5966</v>
      </c>
      <c r="D2657" s="3" t="str">
        <f>VLOOKUP(B2657,LifeList!$E$2:$G$2038,1)</f>
        <v>Plains-wanderer</v>
      </c>
      <c r="E2657" s="3" t="str">
        <f>VLOOKUP(B2657,LifeList!$E$2:$G$2038,2)</f>
        <v>Pédionome errant</v>
      </c>
      <c r="F2657" s="3" t="str">
        <f>VLOOKUP(B2657,LifeList!$E$2:$G$2038,3)</f>
        <v>Pedionomus torquatus</v>
      </c>
      <c r="G2657" s="3" t="str">
        <f>VLOOKUP(B2657,LifeList!$E$2:$I$2038,4)</f>
        <v>Charadriiformes</v>
      </c>
      <c r="H2657" s="3" t="str">
        <f>VLOOKUP(B2657,LifeList!$E$2:$I$2038,5)</f>
        <v>Pedionomidae (Plains-wanderer)</v>
      </c>
      <c r="I2657" s="3"/>
    </row>
    <row r="2658" spans="1:9" ht="10.5" customHeight="1">
      <c r="A2658" s="3" t="s">
        <v>3717</v>
      </c>
      <c r="B2658" s="3" t="s">
        <v>3718</v>
      </c>
      <c r="C2658" s="3">
        <f>VLOOKUP(B2658,LifeList!$E$2:$J$2038,6)</f>
        <v>8389</v>
      </c>
      <c r="D2658" s="3" t="str">
        <f>VLOOKUP(B2658,LifeList!$E$2:$G$2038,1)</f>
        <v>Plumbeous Kite</v>
      </c>
      <c r="E2658" s="3" t="str">
        <f>VLOOKUP(B2658,LifeList!$E$2:$G$2038,2)</f>
        <v>Milan bleuâtre</v>
      </c>
      <c r="F2658" s="3" t="str">
        <f>VLOOKUP(B2658,LifeList!$E$2:$G$2038,3)</f>
        <v>Ictinia plumbea</v>
      </c>
      <c r="G2658" s="3" t="str">
        <f>VLOOKUP(B2658,LifeList!$E$2:$I$2038,4)</f>
        <v>Accipitriformes</v>
      </c>
      <c r="H2658" s="3" t="str">
        <f>VLOOKUP(B2658,LifeList!$E$2:$I$2038,5)</f>
        <v>Accipitridae (Hawks, Eagles, and Kites)</v>
      </c>
      <c r="I2658" s="3"/>
    </row>
    <row r="2659" spans="1:9" ht="10.5" customHeight="1">
      <c r="A2659" s="3" t="s">
        <v>3719</v>
      </c>
      <c r="B2659" s="3" t="s">
        <v>3718</v>
      </c>
      <c r="C2659" s="3">
        <f>VLOOKUP(B2659,LifeList!$E$2:$J$2038,6)</f>
        <v>8389</v>
      </c>
      <c r="D2659" s="3" t="str">
        <f>VLOOKUP(B2659,LifeList!$E$2:$G$2038,1)</f>
        <v>Plumbeous Kite</v>
      </c>
      <c r="E2659" s="3" t="str">
        <f>VLOOKUP(B2659,LifeList!$E$2:$G$2038,2)</f>
        <v>Milan bleuâtre</v>
      </c>
      <c r="F2659" s="3" t="str">
        <f>VLOOKUP(B2659,LifeList!$E$2:$G$2038,3)</f>
        <v>Ictinia plumbea</v>
      </c>
      <c r="G2659" s="3" t="str">
        <f>VLOOKUP(B2659,LifeList!$E$2:$I$2038,4)</f>
        <v>Accipitriformes</v>
      </c>
      <c r="H2659" s="3" t="str">
        <f>VLOOKUP(B2659,LifeList!$E$2:$I$2038,5)</f>
        <v>Accipitridae (Hawks, Eagles, and Kites)</v>
      </c>
      <c r="I2659" s="3"/>
    </row>
    <row r="2660" spans="1:9" ht="10.5" customHeight="1">
      <c r="A2660" s="3" t="s">
        <v>3720</v>
      </c>
      <c r="B2660" s="3" t="s">
        <v>3721</v>
      </c>
      <c r="C2660" s="3">
        <f>VLOOKUP(B2660,LifeList!$E$2:$J$2038,6)</f>
        <v>35376</v>
      </c>
      <c r="D2660" s="3" t="str">
        <f>VLOOKUP(B2660,LifeList!$E$2:$G$2038,1)</f>
        <v>Plumbeous Sierra Finch</v>
      </c>
      <c r="E2660" s="3" t="str">
        <f>VLOOKUP(B2660,LifeList!$E$2:$G$2038,2)</f>
        <v>Haplospize gris-de-plomb</v>
      </c>
      <c r="F2660" s="3" t="str">
        <f>VLOOKUP(B2660,LifeList!$E$2:$G$2038,3)</f>
        <v>Geospizopsis unicolor</v>
      </c>
      <c r="G2660" s="3" t="str">
        <f>VLOOKUP(B2660,LifeList!$E$2:$I$2038,4)</f>
        <v>Passeriformes</v>
      </c>
      <c r="H2660" s="3" t="str">
        <f>VLOOKUP(B2660,LifeList!$E$2:$I$2038,5)</f>
        <v>Thraupidae (Tanagers and Allies)</v>
      </c>
      <c r="I2660" s="3"/>
    </row>
    <row r="2661" spans="1:9" ht="10.5" customHeight="1">
      <c r="A2661" s="3" t="s">
        <v>3722</v>
      </c>
      <c r="B2661" s="3" t="s">
        <v>3721</v>
      </c>
      <c r="C2661" s="3">
        <f>VLOOKUP(B2661,LifeList!$E$2:$J$2038,6)</f>
        <v>35376</v>
      </c>
      <c r="D2661" s="3" t="str">
        <f>VLOOKUP(B2661,LifeList!$E$2:$G$2038,1)</f>
        <v>Plumbeous Sierra Finch</v>
      </c>
      <c r="E2661" s="3" t="str">
        <f>VLOOKUP(B2661,LifeList!$E$2:$G$2038,2)</f>
        <v>Haplospize gris-de-plomb</v>
      </c>
      <c r="F2661" s="3" t="str">
        <f>VLOOKUP(B2661,LifeList!$E$2:$G$2038,3)</f>
        <v>Geospizopsis unicolor</v>
      </c>
      <c r="G2661" s="3" t="str">
        <f>VLOOKUP(B2661,LifeList!$E$2:$I$2038,4)</f>
        <v>Passeriformes</v>
      </c>
      <c r="H2661" s="3" t="str">
        <f>VLOOKUP(B2661,LifeList!$E$2:$I$2038,5)</f>
        <v>Thraupidae (Tanagers and Allies)</v>
      </c>
      <c r="I2661" s="3"/>
    </row>
    <row r="2662" spans="1:9" ht="10.5" customHeight="1">
      <c r="A2662" s="3" t="s">
        <v>3723</v>
      </c>
      <c r="B2662" s="3" t="s">
        <v>3721</v>
      </c>
      <c r="C2662" s="3">
        <f>VLOOKUP(B2662,LifeList!$E$2:$J$2038,6)</f>
        <v>35376</v>
      </c>
      <c r="D2662" s="3" t="str">
        <f>VLOOKUP(B2662,LifeList!$E$2:$G$2038,1)</f>
        <v>Plumbeous Sierra Finch</v>
      </c>
      <c r="E2662" s="3" t="str">
        <f>VLOOKUP(B2662,LifeList!$E$2:$G$2038,2)</f>
        <v>Haplospize gris-de-plomb</v>
      </c>
      <c r="F2662" s="3" t="str">
        <f>VLOOKUP(B2662,LifeList!$E$2:$G$2038,3)</f>
        <v>Geospizopsis unicolor</v>
      </c>
      <c r="G2662" s="3" t="str">
        <f>VLOOKUP(B2662,LifeList!$E$2:$I$2038,4)</f>
        <v>Passeriformes</v>
      </c>
      <c r="H2662" s="3" t="str">
        <f>VLOOKUP(B2662,LifeList!$E$2:$I$2038,5)</f>
        <v>Thraupidae (Tanagers and Allies)</v>
      </c>
      <c r="I2662" s="3"/>
    </row>
    <row r="2663" spans="1:9" ht="10.5" customHeight="1">
      <c r="A2663" s="7" t="s">
        <v>3724</v>
      </c>
      <c r="B2663" s="9" t="s">
        <v>3725</v>
      </c>
      <c r="C2663" s="6">
        <f>VLOOKUP(B2663,LifeList!$E$2:$J$2038,6)</f>
        <v>9323</v>
      </c>
      <c r="D2663" s="3" t="str">
        <f>VLOOKUP(B2663,LifeList!$E$2:$G$2038,1)</f>
        <v>Powerful Owl</v>
      </c>
      <c r="E2663" s="3" t="str">
        <f>VLOOKUP(B2663,LifeList!$E$2:$G$2038,2)</f>
        <v>Ninoxe puissante</v>
      </c>
      <c r="F2663" s="3" t="str">
        <f>VLOOKUP(B2663,LifeList!$E$2:$G$2038,3)</f>
        <v>Ninox strenua</v>
      </c>
      <c r="G2663" s="3" t="str">
        <f>VLOOKUP(B2663,LifeList!$E$2:$I$2038,4)</f>
        <v>Strigiformes</v>
      </c>
      <c r="H2663" s="3" t="str">
        <f>VLOOKUP(B2663,LifeList!$E$2:$I$2038,5)</f>
        <v>Strigidae (Owls)</v>
      </c>
      <c r="I2663" s="3"/>
    </row>
    <row r="2664" spans="1:9" ht="10.5" customHeight="1">
      <c r="A2664" s="3" t="s">
        <v>3726</v>
      </c>
      <c r="B2664" s="3" t="s">
        <v>3727</v>
      </c>
      <c r="C2664" s="3">
        <f>VLOOKUP(B2664,LifeList!$E$2:$J$2038,6)</f>
        <v>11547</v>
      </c>
      <c r="D2664" s="3" t="str">
        <f>VLOOKUP(B2664,LifeList!$E$2:$G$2038,1)</f>
        <v>Powerful Woodpecker</v>
      </c>
      <c r="E2664" s="3" t="str">
        <f>VLOOKUP(B2664,LifeList!$E$2:$G$2038,2)</f>
        <v>Pic puissant</v>
      </c>
      <c r="F2664" s="3" t="str">
        <f>VLOOKUP(B2664,LifeList!$E$2:$G$2038,3)</f>
        <v>Campephilus pollens</v>
      </c>
      <c r="G2664" s="3" t="str">
        <f>VLOOKUP(B2664,LifeList!$E$2:$I$2038,4)</f>
        <v>Piciformes</v>
      </c>
      <c r="H2664" s="3" t="str">
        <f>VLOOKUP(B2664,LifeList!$E$2:$I$2038,5)</f>
        <v>Picidae (Woodpeckers)</v>
      </c>
      <c r="I2664" s="3"/>
    </row>
    <row r="2665" spans="1:9" ht="10.5" customHeight="1">
      <c r="A2665" s="3" t="s">
        <v>3728</v>
      </c>
      <c r="B2665" s="3" t="s">
        <v>3729</v>
      </c>
      <c r="C2665" s="3">
        <f>VLOOKUP(B2665,LifeList!$E$2:$J$2038,6)</f>
        <v>34185</v>
      </c>
      <c r="D2665" s="3" t="str">
        <f>VLOOKUP(B2665,LifeList!$E$2:$G$2038,1)</f>
        <v>Prairie Warbler</v>
      </c>
      <c r="E2665" s="3" t="str">
        <f>VLOOKUP(B2665,LifeList!$E$2:$G$2038,2)</f>
        <v>Paruline des prés</v>
      </c>
      <c r="F2665" s="3" t="str">
        <f>VLOOKUP(B2665,LifeList!$E$2:$G$2038,3)</f>
        <v>Setophaga discolor</v>
      </c>
      <c r="G2665" s="3" t="str">
        <f>VLOOKUP(B2665,LifeList!$E$2:$I$2038,4)</f>
        <v>Passeriformes</v>
      </c>
      <c r="H2665" s="3" t="str">
        <f>VLOOKUP(B2665,LifeList!$E$2:$I$2038,5)</f>
        <v>Parulidae (New World Warblers)</v>
      </c>
      <c r="I2665" s="3"/>
    </row>
    <row r="2666" spans="1:9" ht="10.5" customHeight="1">
      <c r="A2666" s="3" t="s">
        <v>3730</v>
      </c>
      <c r="B2666" s="3" t="s">
        <v>3729</v>
      </c>
      <c r="C2666" s="3">
        <f>VLOOKUP(B2666,LifeList!$E$2:$J$2038,6)</f>
        <v>34185</v>
      </c>
      <c r="D2666" s="3" t="str">
        <f>VLOOKUP(B2666,LifeList!$E$2:$G$2038,1)</f>
        <v>Prairie Warbler</v>
      </c>
      <c r="E2666" s="3" t="str">
        <f>VLOOKUP(B2666,LifeList!$E$2:$G$2038,2)</f>
        <v>Paruline des prés</v>
      </c>
      <c r="F2666" s="3" t="str">
        <f>VLOOKUP(B2666,LifeList!$E$2:$G$2038,3)</f>
        <v>Setophaga discolor</v>
      </c>
      <c r="G2666" s="3" t="str">
        <f>VLOOKUP(B2666,LifeList!$E$2:$I$2038,4)</f>
        <v>Passeriformes</v>
      </c>
      <c r="H2666" s="3" t="str">
        <f>VLOOKUP(B2666,LifeList!$E$2:$I$2038,5)</f>
        <v>Parulidae (New World Warblers)</v>
      </c>
      <c r="I2666" s="3"/>
    </row>
    <row r="2667" spans="1:9" ht="10.5" customHeight="1">
      <c r="A2667" s="3" t="s">
        <v>3731</v>
      </c>
      <c r="B2667" s="3" t="s">
        <v>3729</v>
      </c>
      <c r="C2667" s="3">
        <f>VLOOKUP(B2667,LifeList!$E$2:$J$2038,6)</f>
        <v>34185</v>
      </c>
      <c r="D2667" s="3" t="str">
        <f>VLOOKUP(B2667,LifeList!$E$2:$G$2038,1)</f>
        <v>Prairie Warbler</v>
      </c>
      <c r="E2667" s="3" t="str">
        <f>VLOOKUP(B2667,LifeList!$E$2:$G$2038,2)</f>
        <v>Paruline des prés</v>
      </c>
      <c r="F2667" s="3" t="str">
        <f>VLOOKUP(B2667,LifeList!$E$2:$G$2038,3)</f>
        <v>Setophaga discolor</v>
      </c>
      <c r="G2667" s="3" t="str">
        <f>VLOOKUP(B2667,LifeList!$E$2:$I$2038,4)</f>
        <v>Passeriformes</v>
      </c>
      <c r="H2667" s="3" t="str">
        <f>VLOOKUP(B2667,LifeList!$E$2:$I$2038,5)</f>
        <v>Parulidae (New World Warblers)</v>
      </c>
      <c r="I2667" s="3"/>
    </row>
    <row r="2668" spans="1:9" ht="10.5" customHeight="1">
      <c r="A2668" s="3" t="s">
        <v>3732</v>
      </c>
      <c r="B2668" s="3" t="s">
        <v>3729</v>
      </c>
      <c r="C2668" s="3">
        <f>VLOOKUP(B2668,LifeList!$E$2:$J$2038,6)</f>
        <v>34185</v>
      </c>
      <c r="D2668" s="3" t="str">
        <f>VLOOKUP(B2668,LifeList!$E$2:$G$2038,1)</f>
        <v>Prairie Warbler</v>
      </c>
      <c r="E2668" s="3" t="str">
        <f>VLOOKUP(B2668,LifeList!$E$2:$G$2038,2)</f>
        <v>Paruline des prés</v>
      </c>
      <c r="F2668" s="3" t="str">
        <f>VLOOKUP(B2668,LifeList!$E$2:$G$2038,3)</f>
        <v>Setophaga discolor</v>
      </c>
      <c r="G2668" s="3" t="str">
        <f>VLOOKUP(B2668,LifeList!$E$2:$I$2038,4)</f>
        <v>Passeriformes</v>
      </c>
      <c r="H2668" s="3" t="str">
        <f>VLOOKUP(B2668,LifeList!$E$2:$I$2038,5)</f>
        <v>Parulidae (New World Warblers)</v>
      </c>
      <c r="I2668" s="3"/>
    </row>
    <row r="2669" spans="1:9" ht="10.5" customHeight="1">
      <c r="A2669" s="3" t="s">
        <v>3733</v>
      </c>
      <c r="B2669" s="3" t="s">
        <v>3729</v>
      </c>
      <c r="C2669" s="3">
        <f>VLOOKUP(B2669,LifeList!$E$2:$J$2038,6)</f>
        <v>34185</v>
      </c>
      <c r="D2669" s="3" t="str">
        <f>VLOOKUP(B2669,LifeList!$E$2:$G$2038,1)</f>
        <v>Prairie Warbler</v>
      </c>
      <c r="E2669" s="3" t="str">
        <f>VLOOKUP(B2669,LifeList!$E$2:$G$2038,2)</f>
        <v>Paruline des prés</v>
      </c>
      <c r="F2669" s="3" t="str">
        <f>VLOOKUP(B2669,LifeList!$E$2:$G$2038,3)</f>
        <v>Setophaga discolor</v>
      </c>
      <c r="G2669" s="3" t="str">
        <f>VLOOKUP(B2669,LifeList!$E$2:$I$2038,4)</f>
        <v>Passeriformes</v>
      </c>
      <c r="H2669" s="3" t="str">
        <f>VLOOKUP(B2669,LifeList!$E$2:$I$2038,5)</f>
        <v>Parulidae (New World Warblers)</v>
      </c>
      <c r="I2669" s="3"/>
    </row>
    <row r="2670" spans="1:9" ht="10.5" customHeight="1">
      <c r="A2670" s="3" t="s">
        <v>3734</v>
      </c>
      <c r="B2670" s="3" t="s">
        <v>3729</v>
      </c>
      <c r="C2670" s="3">
        <f>VLOOKUP(B2670,LifeList!$E$2:$J$2038,6)</f>
        <v>34185</v>
      </c>
      <c r="D2670" s="3" t="str">
        <f>VLOOKUP(B2670,LifeList!$E$2:$G$2038,1)</f>
        <v>Prairie Warbler</v>
      </c>
      <c r="E2670" s="3" t="str">
        <f>VLOOKUP(B2670,LifeList!$E$2:$G$2038,2)</f>
        <v>Paruline des prés</v>
      </c>
      <c r="F2670" s="3" t="str">
        <f>VLOOKUP(B2670,LifeList!$E$2:$G$2038,3)</f>
        <v>Setophaga discolor</v>
      </c>
      <c r="G2670" s="3" t="str">
        <f>VLOOKUP(B2670,LifeList!$E$2:$I$2038,4)</f>
        <v>Passeriformes</v>
      </c>
      <c r="H2670" s="3" t="str">
        <f>VLOOKUP(B2670,LifeList!$E$2:$I$2038,5)</f>
        <v>Parulidae (New World Warblers)</v>
      </c>
      <c r="I2670" s="3"/>
    </row>
    <row r="2671" spans="1:9" ht="10.5" customHeight="1">
      <c r="A2671" s="3" t="s">
        <v>3735</v>
      </c>
      <c r="B2671" s="3" t="s">
        <v>3729</v>
      </c>
      <c r="C2671" s="3">
        <f>VLOOKUP(B2671,LifeList!$E$2:$J$2038,6)</f>
        <v>34185</v>
      </c>
      <c r="D2671" s="3" t="str">
        <f>VLOOKUP(B2671,LifeList!$E$2:$G$2038,1)</f>
        <v>Prairie Warbler</v>
      </c>
      <c r="E2671" s="3" t="str">
        <f>VLOOKUP(B2671,LifeList!$E$2:$G$2038,2)</f>
        <v>Paruline des prés</v>
      </c>
      <c r="F2671" s="3" t="str">
        <f>VLOOKUP(B2671,LifeList!$E$2:$G$2038,3)</f>
        <v>Setophaga discolor</v>
      </c>
      <c r="G2671" s="3" t="str">
        <f>VLOOKUP(B2671,LifeList!$E$2:$I$2038,4)</f>
        <v>Passeriformes</v>
      </c>
      <c r="H2671" s="3" t="str">
        <f>VLOOKUP(B2671,LifeList!$E$2:$I$2038,5)</f>
        <v>Parulidae (New World Warblers)</v>
      </c>
      <c r="I2671" s="3"/>
    </row>
    <row r="2672" spans="1:9" ht="10.5" customHeight="1">
      <c r="A2672" s="3" t="s">
        <v>3736</v>
      </c>
      <c r="B2672" s="3" t="s">
        <v>3737</v>
      </c>
      <c r="C2672" s="3">
        <f>VLOOKUP(B2672,LifeList!$E$2:$J$2038,6)</f>
        <v>10831</v>
      </c>
      <c r="D2672" s="3" t="str">
        <f>VLOOKUP(B2672,LifeList!$E$2:$G$2038,1)</f>
        <v>Prong-billed Barbet</v>
      </c>
      <c r="E2672" s="3" t="str">
        <f>VLOOKUP(B2672,LifeList!$E$2:$G$2038,2)</f>
        <v>Cabézon de Frantzius</v>
      </c>
      <c r="F2672" s="3" t="str">
        <f>VLOOKUP(B2672,LifeList!$E$2:$G$2038,3)</f>
        <v>Semnornis frantzii</v>
      </c>
      <c r="G2672" s="3" t="str">
        <f>VLOOKUP(B2672,LifeList!$E$2:$I$2038,4)</f>
        <v>Piciformes</v>
      </c>
      <c r="H2672" s="3" t="str">
        <f>VLOOKUP(B2672,LifeList!$E$2:$I$2038,5)</f>
        <v>Semnornithidae (Toucan-Barbets)</v>
      </c>
      <c r="I2672" s="3"/>
    </row>
    <row r="2673" spans="1:9" ht="10.5" customHeight="1">
      <c r="A2673" s="3" t="s">
        <v>3738</v>
      </c>
      <c r="B2673" s="3" t="s">
        <v>3739</v>
      </c>
      <c r="C2673" s="3">
        <f>VLOOKUP(B2673,LifeList!$E$2:$J$2038,6)</f>
        <v>33963</v>
      </c>
      <c r="D2673" s="3" t="str">
        <f>VLOOKUP(B2673,LifeList!$E$2:$G$2038,1)</f>
        <v>Prothonotary Warbler</v>
      </c>
      <c r="E2673" s="3" t="str">
        <f>VLOOKUP(B2673,LifeList!$E$2:$G$2038,2)</f>
        <v>Paruline orangée</v>
      </c>
      <c r="F2673" s="3" t="str">
        <f>VLOOKUP(B2673,LifeList!$E$2:$G$2038,3)</f>
        <v>Protonotaria citrea</v>
      </c>
      <c r="G2673" s="3" t="str">
        <f>VLOOKUP(B2673,LifeList!$E$2:$I$2038,4)</f>
        <v>Passeriformes</v>
      </c>
      <c r="H2673" s="3" t="str">
        <f>VLOOKUP(B2673,LifeList!$E$2:$I$2038,5)</f>
        <v>Parulidae (New World Warblers)</v>
      </c>
      <c r="I2673" s="3"/>
    </row>
    <row r="2674" spans="1:9" ht="10.5" customHeight="1">
      <c r="A2674" s="3" t="s">
        <v>3740</v>
      </c>
      <c r="B2674" s="3" t="s">
        <v>3739</v>
      </c>
      <c r="C2674" s="3">
        <f>VLOOKUP(B2674,LifeList!$E$2:$J$2038,6)</f>
        <v>33963</v>
      </c>
      <c r="D2674" s="3" t="str">
        <f>VLOOKUP(B2674,LifeList!$E$2:$G$2038,1)</f>
        <v>Prothonotary Warbler</v>
      </c>
      <c r="E2674" s="3" t="str">
        <f>VLOOKUP(B2674,LifeList!$E$2:$G$2038,2)</f>
        <v>Paruline orangée</v>
      </c>
      <c r="F2674" s="3" t="str">
        <f>VLOOKUP(B2674,LifeList!$E$2:$G$2038,3)</f>
        <v>Protonotaria citrea</v>
      </c>
      <c r="G2674" s="3" t="str">
        <f>VLOOKUP(B2674,LifeList!$E$2:$I$2038,4)</f>
        <v>Passeriformes</v>
      </c>
      <c r="H2674" s="3" t="str">
        <f>VLOOKUP(B2674,LifeList!$E$2:$I$2038,5)</f>
        <v>Parulidae (New World Warblers)</v>
      </c>
      <c r="I2674" s="3"/>
    </row>
    <row r="2675" spans="1:9" ht="10.5" customHeight="1">
      <c r="A2675" s="3" t="s">
        <v>3741</v>
      </c>
      <c r="B2675" s="3" t="s">
        <v>3739</v>
      </c>
      <c r="C2675" s="3">
        <f>VLOOKUP(B2675,LifeList!$E$2:$J$2038,6)</f>
        <v>33963</v>
      </c>
      <c r="D2675" s="3" t="str">
        <f>VLOOKUP(B2675,LifeList!$E$2:$G$2038,1)</f>
        <v>Prothonotary Warbler</v>
      </c>
      <c r="E2675" s="3" t="str">
        <f>VLOOKUP(B2675,LifeList!$E$2:$G$2038,2)</f>
        <v>Paruline orangée</v>
      </c>
      <c r="F2675" s="3" t="str">
        <f>VLOOKUP(B2675,LifeList!$E$2:$G$2038,3)</f>
        <v>Protonotaria citrea</v>
      </c>
      <c r="G2675" s="3" t="str">
        <f>VLOOKUP(B2675,LifeList!$E$2:$I$2038,4)</f>
        <v>Passeriformes</v>
      </c>
      <c r="H2675" s="3" t="str">
        <f>VLOOKUP(B2675,LifeList!$E$2:$I$2038,5)</f>
        <v>Parulidae (New World Warblers)</v>
      </c>
      <c r="I2675" s="3"/>
    </row>
    <row r="2676" spans="1:9" ht="10.5" customHeight="1">
      <c r="A2676" s="3" t="s">
        <v>3742</v>
      </c>
      <c r="B2676" s="3" t="s">
        <v>3739</v>
      </c>
      <c r="C2676" s="3">
        <f>VLOOKUP(B2676,LifeList!$E$2:$J$2038,6)</f>
        <v>33963</v>
      </c>
      <c r="D2676" s="3" t="str">
        <f>VLOOKUP(B2676,LifeList!$E$2:$G$2038,1)</f>
        <v>Prothonotary Warbler</v>
      </c>
      <c r="E2676" s="3" t="str">
        <f>VLOOKUP(B2676,LifeList!$E$2:$G$2038,2)</f>
        <v>Paruline orangée</v>
      </c>
      <c r="F2676" s="3" t="str">
        <f>VLOOKUP(B2676,LifeList!$E$2:$G$2038,3)</f>
        <v>Protonotaria citrea</v>
      </c>
      <c r="G2676" s="3" t="str">
        <f>VLOOKUP(B2676,LifeList!$E$2:$I$2038,4)</f>
        <v>Passeriformes</v>
      </c>
      <c r="H2676" s="3" t="str">
        <f>VLOOKUP(B2676,LifeList!$E$2:$I$2038,5)</f>
        <v>Parulidae (New World Warblers)</v>
      </c>
      <c r="I2676" s="3"/>
    </row>
    <row r="2677" spans="1:9" ht="10.5" customHeight="1">
      <c r="A2677" s="3" t="s">
        <v>3743</v>
      </c>
      <c r="B2677" s="3" t="s">
        <v>3739</v>
      </c>
      <c r="C2677" s="3">
        <f>VLOOKUP(B2677,LifeList!$E$2:$J$2038,6)</f>
        <v>33963</v>
      </c>
      <c r="D2677" s="3" t="str">
        <f>VLOOKUP(B2677,LifeList!$E$2:$G$2038,1)</f>
        <v>Prothonotary Warbler</v>
      </c>
      <c r="E2677" s="3" t="str">
        <f>VLOOKUP(B2677,LifeList!$E$2:$G$2038,2)</f>
        <v>Paruline orangée</v>
      </c>
      <c r="F2677" s="3" t="str">
        <f>VLOOKUP(B2677,LifeList!$E$2:$G$2038,3)</f>
        <v>Protonotaria citrea</v>
      </c>
      <c r="G2677" s="3" t="str">
        <f>VLOOKUP(B2677,LifeList!$E$2:$I$2038,4)</f>
        <v>Passeriformes</v>
      </c>
      <c r="H2677" s="3" t="str">
        <f>VLOOKUP(B2677,LifeList!$E$2:$I$2038,5)</f>
        <v>Parulidae (New World Warblers)</v>
      </c>
      <c r="I2677" s="3"/>
    </row>
    <row r="2678" spans="1:9" ht="10.5" customHeight="1">
      <c r="A2678" s="3" t="s">
        <v>3744</v>
      </c>
      <c r="B2678" s="3" t="s">
        <v>3739</v>
      </c>
      <c r="C2678" s="3">
        <f>VLOOKUP(B2678,LifeList!$E$2:$J$2038,6)</f>
        <v>33963</v>
      </c>
      <c r="D2678" s="3" t="str">
        <f>VLOOKUP(B2678,LifeList!$E$2:$G$2038,1)</f>
        <v>Prothonotary Warbler</v>
      </c>
      <c r="E2678" s="3" t="str">
        <f>VLOOKUP(B2678,LifeList!$E$2:$G$2038,2)</f>
        <v>Paruline orangée</v>
      </c>
      <c r="F2678" s="3" t="str">
        <f>VLOOKUP(B2678,LifeList!$E$2:$G$2038,3)</f>
        <v>Protonotaria citrea</v>
      </c>
      <c r="G2678" s="3" t="str">
        <f>VLOOKUP(B2678,LifeList!$E$2:$I$2038,4)</f>
        <v>Passeriformes</v>
      </c>
      <c r="H2678" s="3" t="str">
        <f>VLOOKUP(B2678,LifeList!$E$2:$I$2038,5)</f>
        <v>Parulidae (New World Warblers)</v>
      </c>
      <c r="I2678" s="3"/>
    </row>
    <row r="2679" spans="1:9" ht="10.5" customHeight="1">
      <c r="A2679" s="3" t="s">
        <v>3745</v>
      </c>
      <c r="B2679" s="3" t="s">
        <v>3739</v>
      </c>
      <c r="C2679" s="3">
        <f>VLOOKUP(B2679,LifeList!$E$2:$J$2038,6)</f>
        <v>33963</v>
      </c>
      <c r="D2679" s="3" t="str">
        <f>VLOOKUP(B2679,LifeList!$E$2:$G$2038,1)</f>
        <v>Prothonotary Warbler</v>
      </c>
      <c r="E2679" s="3" t="str">
        <f>VLOOKUP(B2679,LifeList!$E$2:$G$2038,2)</f>
        <v>Paruline orangée</v>
      </c>
      <c r="F2679" s="3" t="str">
        <f>VLOOKUP(B2679,LifeList!$E$2:$G$2038,3)</f>
        <v>Protonotaria citrea</v>
      </c>
      <c r="G2679" s="3" t="str">
        <f>VLOOKUP(B2679,LifeList!$E$2:$I$2038,4)</f>
        <v>Passeriformes</v>
      </c>
      <c r="H2679" s="3" t="str">
        <f>VLOOKUP(B2679,LifeList!$E$2:$I$2038,5)</f>
        <v>Parulidae (New World Warblers)</v>
      </c>
      <c r="I2679" s="3"/>
    </row>
    <row r="2680" spans="1:9" ht="10.5" customHeight="1">
      <c r="A2680" s="3" t="s">
        <v>3746</v>
      </c>
      <c r="B2680" s="3" t="s">
        <v>3739</v>
      </c>
      <c r="C2680" s="3">
        <f>VLOOKUP(B2680,LifeList!$E$2:$J$2038,6)</f>
        <v>33963</v>
      </c>
      <c r="D2680" s="3" t="str">
        <f>VLOOKUP(B2680,LifeList!$E$2:$G$2038,1)</f>
        <v>Prothonotary Warbler</v>
      </c>
      <c r="E2680" s="3" t="str">
        <f>VLOOKUP(B2680,LifeList!$E$2:$G$2038,2)</f>
        <v>Paruline orangée</v>
      </c>
      <c r="F2680" s="3" t="str">
        <f>VLOOKUP(B2680,LifeList!$E$2:$G$2038,3)</f>
        <v>Protonotaria citrea</v>
      </c>
      <c r="G2680" s="3" t="str">
        <f>VLOOKUP(B2680,LifeList!$E$2:$I$2038,4)</f>
        <v>Passeriformes</v>
      </c>
      <c r="H2680" s="3" t="str">
        <f>VLOOKUP(B2680,LifeList!$E$2:$I$2038,5)</f>
        <v>Parulidae (New World Warblers)</v>
      </c>
      <c r="I2680" s="3"/>
    </row>
    <row r="2681" spans="1:9" ht="10.5" customHeight="1">
      <c r="A2681" s="3" t="s">
        <v>3747</v>
      </c>
      <c r="B2681" s="3" t="s">
        <v>3739</v>
      </c>
      <c r="C2681" s="3">
        <f>VLOOKUP(B2681,LifeList!$E$2:$J$2038,6)</f>
        <v>33963</v>
      </c>
      <c r="D2681" s="3" t="str">
        <f>VLOOKUP(B2681,LifeList!$E$2:$G$2038,1)</f>
        <v>Prothonotary Warbler</v>
      </c>
      <c r="E2681" s="3" t="str">
        <f>VLOOKUP(B2681,LifeList!$E$2:$G$2038,2)</f>
        <v>Paruline orangée</v>
      </c>
      <c r="F2681" s="3" t="str">
        <f>VLOOKUP(B2681,LifeList!$E$2:$G$2038,3)</f>
        <v>Protonotaria citrea</v>
      </c>
      <c r="G2681" s="3" t="str">
        <f>VLOOKUP(B2681,LifeList!$E$2:$I$2038,4)</f>
        <v>Passeriformes</v>
      </c>
      <c r="H2681" s="3" t="str">
        <f>VLOOKUP(B2681,LifeList!$E$2:$I$2038,5)</f>
        <v>Parulidae (New World Warblers)</v>
      </c>
      <c r="I2681" s="3"/>
    </row>
    <row r="2682" spans="1:9" ht="10.5" customHeight="1">
      <c r="A2682" s="3" t="s">
        <v>3748</v>
      </c>
      <c r="B2682" s="3" t="s">
        <v>3739</v>
      </c>
      <c r="C2682" s="3">
        <f>VLOOKUP(B2682,LifeList!$E$2:$J$2038,6)</f>
        <v>33963</v>
      </c>
      <c r="D2682" s="3" t="str">
        <f>VLOOKUP(B2682,LifeList!$E$2:$G$2038,1)</f>
        <v>Prothonotary Warbler</v>
      </c>
      <c r="E2682" s="3" t="str">
        <f>VLOOKUP(B2682,LifeList!$E$2:$G$2038,2)</f>
        <v>Paruline orangée</v>
      </c>
      <c r="F2682" s="3" t="str">
        <f>VLOOKUP(B2682,LifeList!$E$2:$G$2038,3)</f>
        <v>Protonotaria citrea</v>
      </c>
      <c r="G2682" s="3" t="str">
        <f>VLOOKUP(B2682,LifeList!$E$2:$I$2038,4)</f>
        <v>Passeriformes</v>
      </c>
      <c r="H2682" s="3" t="str">
        <f>VLOOKUP(B2682,LifeList!$E$2:$I$2038,5)</f>
        <v>Parulidae (New World Warblers)</v>
      </c>
      <c r="I2682" s="3"/>
    </row>
    <row r="2683" spans="1:9" ht="10.5" customHeight="1">
      <c r="A2683" s="3" t="s">
        <v>3749</v>
      </c>
      <c r="B2683" s="3" t="s">
        <v>3739</v>
      </c>
      <c r="C2683" s="3">
        <f>VLOOKUP(B2683,LifeList!$E$2:$J$2038,6)</f>
        <v>33963</v>
      </c>
      <c r="D2683" s="3" t="str">
        <f>VLOOKUP(B2683,LifeList!$E$2:$G$2038,1)</f>
        <v>Prothonotary Warbler</v>
      </c>
      <c r="E2683" s="3" t="str">
        <f>VLOOKUP(B2683,LifeList!$E$2:$G$2038,2)</f>
        <v>Paruline orangée</v>
      </c>
      <c r="F2683" s="3" t="str">
        <f>VLOOKUP(B2683,LifeList!$E$2:$G$2038,3)</f>
        <v>Protonotaria citrea</v>
      </c>
      <c r="G2683" s="3" t="str">
        <f>VLOOKUP(B2683,LifeList!$E$2:$I$2038,4)</f>
        <v>Passeriformes</v>
      </c>
      <c r="H2683" s="3" t="str">
        <f>VLOOKUP(B2683,LifeList!$E$2:$I$2038,5)</f>
        <v>Parulidae (New World Warblers)</v>
      </c>
      <c r="I2683" s="3"/>
    </row>
    <row r="2684" spans="1:9" ht="10.5" customHeight="1">
      <c r="A2684" s="3" t="s">
        <v>3750</v>
      </c>
      <c r="B2684" s="3" t="s">
        <v>3739</v>
      </c>
      <c r="C2684" s="3">
        <f>VLOOKUP(B2684,LifeList!$E$2:$J$2038,6)</f>
        <v>33963</v>
      </c>
      <c r="D2684" s="3" t="str">
        <f>VLOOKUP(B2684,LifeList!$E$2:$G$2038,1)</f>
        <v>Prothonotary Warbler</v>
      </c>
      <c r="E2684" s="3" t="str">
        <f>VLOOKUP(B2684,LifeList!$E$2:$G$2038,2)</f>
        <v>Paruline orangée</v>
      </c>
      <c r="F2684" s="3" t="str">
        <f>VLOOKUP(B2684,LifeList!$E$2:$G$2038,3)</f>
        <v>Protonotaria citrea</v>
      </c>
      <c r="G2684" s="3" t="str">
        <f>VLOOKUP(B2684,LifeList!$E$2:$I$2038,4)</f>
        <v>Passeriformes</v>
      </c>
      <c r="H2684" s="3" t="str">
        <f>VLOOKUP(B2684,LifeList!$E$2:$I$2038,5)</f>
        <v>Parulidae (New World Warblers)</v>
      </c>
      <c r="I2684" s="3"/>
    </row>
    <row r="2685" spans="1:9" ht="10.5" customHeight="1">
      <c r="A2685" s="3" t="s">
        <v>3751</v>
      </c>
      <c r="B2685" s="3" t="s">
        <v>3739</v>
      </c>
      <c r="C2685" s="3">
        <f>VLOOKUP(B2685,LifeList!$E$2:$J$2038,6)</f>
        <v>33963</v>
      </c>
      <c r="D2685" s="3" t="str">
        <f>VLOOKUP(B2685,LifeList!$E$2:$G$2038,1)</f>
        <v>Prothonotary Warbler</v>
      </c>
      <c r="E2685" s="3" t="str">
        <f>VLOOKUP(B2685,LifeList!$E$2:$G$2038,2)</f>
        <v>Paruline orangée</v>
      </c>
      <c r="F2685" s="3" t="str">
        <f>VLOOKUP(B2685,LifeList!$E$2:$G$2038,3)</f>
        <v>Protonotaria citrea</v>
      </c>
      <c r="G2685" s="3" t="str">
        <f>VLOOKUP(B2685,LifeList!$E$2:$I$2038,4)</f>
        <v>Passeriformes</v>
      </c>
      <c r="H2685" s="3" t="str">
        <f>VLOOKUP(B2685,LifeList!$E$2:$I$2038,5)</f>
        <v>Parulidae (New World Warblers)</v>
      </c>
      <c r="I2685" s="3"/>
    </row>
    <row r="2686" spans="1:9" ht="10.5" customHeight="1">
      <c r="A2686" s="3" t="s">
        <v>3752</v>
      </c>
      <c r="B2686" s="3" t="s">
        <v>3739</v>
      </c>
      <c r="C2686" s="3">
        <f>VLOOKUP(B2686,LifeList!$E$2:$J$2038,6)</f>
        <v>33963</v>
      </c>
      <c r="D2686" s="3" t="str">
        <f>VLOOKUP(B2686,LifeList!$E$2:$G$2038,1)</f>
        <v>Prothonotary Warbler</v>
      </c>
      <c r="E2686" s="3" t="str">
        <f>VLOOKUP(B2686,LifeList!$E$2:$G$2038,2)</f>
        <v>Paruline orangée</v>
      </c>
      <c r="F2686" s="3" t="str">
        <f>VLOOKUP(B2686,LifeList!$E$2:$G$2038,3)</f>
        <v>Protonotaria citrea</v>
      </c>
      <c r="G2686" s="3" t="str">
        <f>VLOOKUP(B2686,LifeList!$E$2:$I$2038,4)</f>
        <v>Passeriformes</v>
      </c>
      <c r="H2686" s="3" t="str">
        <f>VLOOKUP(B2686,LifeList!$E$2:$I$2038,5)</f>
        <v>Parulidae (New World Warblers)</v>
      </c>
      <c r="I2686" s="3"/>
    </row>
    <row r="2687" spans="1:9" ht="10.5" customHeight="1">
      <c r="A2687" s="3" t="s">
        <v>3753</v>
      </c>
      <c r="B2687" s="3" t="s">
        <v>3739</v>
      </c>
      <c r="C2687" s="3">
        <f>VLOOKUP(B2687,LifeList!$E$2:$J$2038,6)</f>
        <v>33963</v>
      </c>
      <c r="D2687" s="3" t="str">
        <f>VLOOKUP(B2687,LifeList!$E$2:$G$2038,1)</f>
        <v>Prothonotary Warbler</v>
      </c>
      <c r="E2687" s="3" t="str">
        <f>VLOOKUP(B2687,LifeList!$E$2:$G$2038,2)</f>
        <v>Paruline orangée</v>
      </c>
      <c r="F2687" s="3" t="str">
        <f>VLOOKUP(B2687,LifeList!$E$2:$G$2038,3)</f>
        <v>Protonotaria citrea</v>
      </c>
      <c r="G2687" s="3" t="str">
        <f>VLOOKUP(B2687,LifeList!$E$2:$I$2038,4)</f>
        <v>Passeriformes</v>
      </c>
      <c r="H2687" s="3" t="str">
        <f>VLOOKUP(B2687,LifeList!$E$2:$I$2038,5)</f>
        <v>Parulidae (New World Warblers)</v>
      </c>
      <c r="I2687" s="3"/>
    </row>
    <row r="2688" spans="1:9" ht="10.5" customHeight="1">
      <c r="A2688" s="3" t="s">
        <v>3754</v>
      </c>
      <c r="B2688" s="3" t="s">
        <v>3739</v>
      </c>
      <c r="C2688" s="3">
        <f>VLOOKUP(B2688,LifeList!$E$2:$J$2038,6)</f>
        <v>33963</v>
      </c>
      <c r="D2688" s="3" t="str">
        <f>VLOOKUP(B2688,LifeList!$E$2:$G$2038,1)</f>
        <v>Prothonotary Warbler</v>
      </c>
      <c r="E2688" s="3" t="str">
        <f>VLOOKUP(B2688,LifeList!$E$2:$G$2038,2)</f>
        <v>Paruline orangée</v>
      </c>
      <c r="F2688" s="3" t="str">
        <f>VLOOKUP(B2688,LifeList!$E$2:$G$2038,3)</f>
        <v>Protonotaria citrea</v>
      </c>
      <c r="G2688" s="3" t="str">
        <f>VLOOKUP(B2688,LifeList!$E$2:$I$2038,4)</f>
        <v>Passeriformes</v>
      </c>
      <c r="H2688" s="3" t="str">
        <f>VLOOKUP(B2688,LifeList!$E$2:$I$2038,5)</f>
        <v>Parulidae (New World Warblers)</v>
      </c>
      <c r="I2688" s="3"/>
    </row>
    <row r="2689" spans="1:9" ht="10.5" customHeight="1">
      <c r="A2689" s="3" t="s">
        <v>3755</v>
      </c>
      <c r="B2689" s="3" t="s">
        <v>3739</v>
      </c>
      <c r="C2689" s="3">
        <f>VLOOKUP(B2689,LifeList!$E$2:$J$2038,6)</f>
        <v>33963</v>
      </c>
      <c r="D2689" s="3" t="str">
        <f>VLOOKUP(B2689,LifeList!$E$2:$G$2038,1)</f>
        <v>Prothonotary Warbler</v>
      </c>
      <c r="E2689" s="3" t="str">
        <f>VLOOKUP(B2689,LifeList!$E$2:$G$2038,2)</f>
        <v>Paruline orangée</v>
      </c>
      <c r="F2689" s="3" t="str">
        <f>VLOOKUP(B2689,LifeList!$E$2:$G$2038,3)</f>
        <v>Protonotaria citrea</v>
      </c>
      <c r="G2689" s="3" t="str">
        <f>VLOOKUP(B2689,LifeList!$E$2:$I$2038,4)</f>
        <v>Passeriformes</v>
      </c>
      <c r="H2689" s="3" t="str">
        <f>VLOOKUP(B2689,LifeList!$E$2:$I$2038,5)</f>
        <v>Parulidae (New World Warblers)</v>
      </c>
      <c r="I2689" s="3"/>
    </row>
    <row r="2690" spans="1:9" ht="10.5" customHeight="1">
      <c r="A2690" s="5" t="s">
        <v>3756</v>
      </c>
      <c r="B2690" s="3" t="s">
        <v>3757</v>
      </c>
      <c r="C2690" s="3">
        <f>VLOOKUP(B2690,LifeList!$E$2:$J$2038,6)</f>
        <v>32324</v>
      </c>
      <c r="D2690" s="3" t="str">
        <f>VLOOKUP(B2690,LifeList!$E$2:$G$2038,1)</f>
        <v>Purple Finch</v>
      </c>
      <c r="E2690" s="3" t="str">
        <f>VLOOKUP(B2690,LifeList!$E$2:$G$2038,2)</f>
        <v>Roselin pourpré</v>
      </c>
      <c r="F2690" s="3" t="str">
        <f>VLOOKUP(B2690,LifeList!$E$2:$G$2038,3)</f>
        <v>Haemorhous purpureus</v>
      </c>
      <c r="G2690" s="3" t="str">
        <f>VLOOKUP(B2690,LifeList!$E$2:$I$2038,4)</f>
        <v>Passeriformes</v>
      </c>
      <c r="H2690" s="3" t="str">
        <f>VLOOKUP(B2690,LifeList!$E$2:$I$2038,5)</f>
        <v>Fringillidae (Finches, Euphonias, and Allies)</v>
      </c>
      <c r="I2690" s="3"/>
    </row>
    <row r="2691" spans="1:9" ht="10.5" customHeight="1">
      <c r="A2691" s="3" t="s">
        <v>3758</v>
      </c>
      <c r="B2691" s="3" t="s">
        <v>3759</v>
      </c>
      <c r="C2691" s="3">
        <f>VLOOKUP(B2691,LifeList!$E$2:$J$2038,6)</f>
        <v>32324</v>
      </c>
      <c r="D2691" s="3" t="str">
        <f>VLOOKUP(B2691,LifeList!$E$2:$G$2038,1)</f>
        <v>Purple Finch</v>
      </c>
      <c r="E2691" s="3" t="str">
        <f>VLOOKUP(B2691,LifeList!$E$2:$G$2038,2)</f>
        <v>Roselin pourpré</v>
      </c>
      <c r="F2691" s="3" t="str">
        <f>VLOOKUP(B2691,LifeList!$E$2:$G$2038,3)</f>
        <v>Haemorhous purpureus</v>
      </c>
      <c r="G2691" s="3" t="str">
        <f>VLOOKUP(B2691,LifeList!$E$2:$I$2038,4)</f>
        <v>Passeriformes</v>
      </c>
      <c r="H2691" s="3" t="str">
        <f>VLOOKUP(B2691,LifeList!$E$2:$I$2038,5)</f>
        <v>Fringillidae (Finches, Euphonias, and Allies)</v>
      </c>
      <c r="I2691" s="3"/>
    </row>
    <row r="2692" spans="1:9" ht="10.5" customHeight="1">
      <c r="A2692" s="3" t="s">
        <v>3760</v>
      </c>
      <c r="B2692" s="3" t="s">
        <v>3759</v>
      </c>
      <c r="C2692" s="3">
        <f>VLOOKUP(B2692,LifeList!$E$2:$J$2038,6)</f>
        <v>32324</v>
      </c>
      <c r="D2692" s="3" t="str">
        <f>VLOOKUP(B2692,LifeList!$E$2:$G$2038,1)</f>
        <v>Purple Finch</v>
      </c>
      <c r="E2692" s="3" t="str">
        <f>VLOOKUP(B2692,LifeList!$E$2:$G$2038,2)</f>
        <v>Roselin pourpré</v>
      </c>
      <c r="F2692" s="3" t="str">
        <f>VLOOKUP(B2692,LifeList!$E$2:$G$2038,3)</f>
        <v>Haemorhous purpureus</v>
      </c>
      <c r="G2692" s="3" t="str">
        <f>VLOOKUP(B2692,LifeList!$E$2:$I$2038,4)</f>
        <v>Passeriformes</v>
      </c>
      <c r="H2692" s="3" t="str">
        <f>VLOOKUP(B2692,LifeList!$E$2:$I$2038,5)</f>
        <v>Fringillidae (Finches, Euphonias, and Allies)</v>
      </c>
      <c r="I2692" s="3"/>
    </row>
    <row r="2693" spans="1:9" ht="10.5" customHeight="1">
      <c r="A2693" s="3" t="s">
        <v>3761</v>
      </c>
      <c r="B2693" s="3" t="s">
        <v>3759</v>
      </c>
      <c r="C2693" s="3">
        <f>VLOOKUP(B2693,LifeList!$E$2:$J$2038,6)</f>
        <v>32324</v>
      </c>
      <c r="D2693" s="3" t="str">
        <f>VLOOKUP(B2693,LifeList!$E$2:$G$2038,1)</f>
        <v>Purple Finch</v>
      </c>
      <c r="E2693" s="3" t="str">
        <f>VLOOKUP(B2693,LifeList!$E$2:$G$2038,2)</f>
        <v>Roselin pourpré</v>
      </c>
      <c r="F2693" s="3" t="str">
        <f>VLOOKUP(B2693,LifeList!$E$2:$G$2038,3)</f>
        <v>Haemorhous purpureus</v>
      </c>
      <c r="G2693" s="3" t="str">
        <f>VLOOKUP(B2693,LifeList!$E$2:$I$2038,4)</f>
        <v>Passeriformes</v>
      </c>
      <c r="H2693" s="3" t="str">
        <f>VLOOKUP(B2693,LifeList!$E$2:$I$2038,5)</f>
        <v>Fringillidae (Finches, Euphonias, and Allies)</v>
      </c>
      <c r="I2693" s="3"/>
    </row>
    <row r="2694" spans="1:9" ht="10.5" customHeight="1">
      <c r="A2694" s="3" t="s">
        <v>3762</v>
      </c>
      <c r="B2694" s="3" t="s">
        <v>3759</v>
      </c>
      <c r="C2694" s="3">
        <f>VLOOKUP(B2694,LifeList!$E$2:$J$2038,6)</f>
        <v>32324</v>
      </c>
      <c r="D2694" s="3" t="str">
        <f>VLOOKUP(B2694,LifeList!$E$2:$G$2038,1)</f>
        <v>Purple Finch</v>
      </c>
      <c r="E2694" s="3" t="str">
        <f>VLOOKUP(B2694,LifeList!$E$2:$G$2038,2)</f>
        <v>Roselin pourpré</v>
      </c>
      <c r="F2694" s="3" t="str">
        <f>VLOOKUP(B2694,LifeList!$E$2:$G$2038,3)</f>
        <v>Haemorhous purpureus</v>
      </c>
      <c r="G2694" s="3" t="str">
        <f>VLOOKUP(B2694,LifeList!$E$2:$I$2038,4)</f>
        <v>Passeriformes</v>
      </c>
      <c r="H2694" s="3" t="str">
        <f>VLOOKUP(B2694,LifeList!$E$2:$I$2038,5)</f>
        <v>Fringillidae (Finches, Euphonias, and Allies)</v>
      </c>
      <c r="I2694" s="3"/>
    </row>
    <row r="2695" spans="1:9" ht="10.5" customHeight="1">
      <c r="A2695" s="3" t="s">
        <v>3763</v>
      </c>
      <c r="B2695" s="3" t="s">
        <v>3759</v>
      </c>
      <c r="C2695" s="3">
        <f>VLOOKUP(B2695,LifeList!$E$2:$J$2038,6)</f>
        <v>32324</v>
      </c>
      <c r="D2695" s="3" t="str">
        <f>VLOOKUP(B2695,LifeList!$E$2:$G$2038,1)</f>
        <v>Purple Finch</v>
      </c>
      <c r="E2695" s="3" t="str">
        <f>VLOOKUP(B2695,LifeList!$E$2:$G$2038,2)</f>
        <v>Roselin pourpré</v>
      </c>
      <c r="F2695" s="3" t="str">
        <f>VLOOKUP(B2695,LifeList!$E$2:$G$2038,3)</f>
        <v>Haemorhous purpureus</v>
      </c>
      <c r="G2695" s="3" t="str">
        <f>VLOOKUP(B2695,LifeList!$E$2:$I$2038,4)</f>
        <v>Passeriformes</v>
      </c>
      <c r="H2695" s="3" t="str">
        <f>VLOOKUP(B2695,LifeList!$E$2:$I$2038,5)</f>
        <v>Fringillidae (Finches, Euphonias, and Allies)</v>
      </c>
      <c r="I2695" s="3"/>
    </row>
    <row r="2696" spans="1:9" ht="10.5" customHeight="1">
      <c r="A2696" s="3" t="s">
        <v>3764</v>
      </c>
      <c r="B2696" s="3" t="s">
        <v>3759</v>
      </c>
      <c r="C2696" s="3">
        <f>VLOOKUP(B2696,LifeList!$E$2:$J$2038,6)</f>
        <v>32324</v>
      </c>
      <c r="D2696" s="3" t="str">
        <f>VLOOKUP(B2696,LifeList!$E$2:$G$2038,1)</f>
        <v>Purple Finch</v>
      </c>
      <c r="E2696" s="3" t="str">
        <f>VLOOKUP(B2696,LifeList!$E$2:$G$2038,2)</f>
        <v>Roselin pourpré</v>
      </c>
      <c r="F2696" s="3" t="str">
        <f>VLOOKUP(B2696,LifeList!$E$2:$G$2038,3)</f>
        <v>Haemorhous purpureus</v>
      </c>
      <c r="G2696" s="3" t="str">
        <f>VLOOKUP(B2696,LifeList!$E$2:$I$2038,4)</f>
        <v>Passeriformes</v>
      </c>
      <c r="H2696" s="3" t="str">
        <f>VLOOKUP(B2696,LifeList!$E$2:$I$2038,5)</f>
        <v>Fringillidae (Finches, Euphonias, and Allies)</v>
      </c>
      <c r="I2696" s="3"/>
    </row>
    <row r="2697" spans="1:9" ht="10.5" customHeight="1">
      <c r="A2697" s="3" t="s">
        <v>3765</v>
      </c>
      <c r="B2697" s="3" t="s">
        <v>3766</v>
      </c>
      <c r="C2697" s="3">
        <f>VLOOKUP(B2697,LifeList!$E$2:$J$2038,6)</f>
        <v>5515</v>
      </c>
      <c r="D2697" s="3" t="str">
        <f>VLOOKUP(B2697,LifeList!$E$2:$G$2038,1)</f>
        <v>Purple Gallinule</v>
      </c>
      <c r="E2697" s="3" t="str">
        <f>VLOOKUP(B2697,LifeList!$E$2:$G$2038,2)</f>
        <v>Talève violacée</v>
      </c>
      <c r="F2697" s="3" t="str">
        <f>VLOOKUP(B2697,LifeList!$E$2:$G$2038,3)</f>
        <v>Porphyrio martinica</v>
      </c>
      <c r="G2697" s="3" t="str">
        <f>VLOOKUP(B2697,LifeList!$E$2:$I$2038,4)</f>
        <v>Gruiformes</v>
      </c>
      <c r="H2697" s="3" t="str">
        <f>VLOOKUP(B2697,LifeList!$E$2:$I$2038,5)</f>
        <v>Rallidae (Rails, Gallinules, and Coots)</v>
      </c>
      <c r="I2697" s="3"/>
    </row>
    <row r="2698" spans="1:9" ht="10.5" customHeight="1">
      <c r="A2698" s="3" t="s">
        <v>3767</v>
      </c>
      <c r="B2698" s="3" t="s">
        <v>3766</v>
      </c>
      <c r="C2698" s="3">
        <f>VLOOKUP(B2698,LifeList!$E$2:$J$2038,6)</f>
        <v>5515</v>
      </c>
      <c r="D2698" s="3" t="str">
        <f>VLOOKUP(B2698,LifeList!$E$2:$G$2038,1)</f>
        <v>Purple Gallinule</v>
      </c>
      <c r="E2698" s="3" t="str">
        <f>VLOOKUP(B2698,LifeList!$E$2:$G$2038,2)</f>
        <v>Talève violacée</v>
      </c>
      <c r="F2698" s="3" t="str">
        <f>VLOOKUP(B2698,LifeList!$E$2:$G$2038,3)</f>
        <v>Porphyrio martinica</v>
      </c>
      <c r="G2698" s="3" t="str">
        <f>VLOOKUP(B2698,LifeList!$E$2:$I$2038,4)</f>
        <v>Gruiformes</v>
      </c>
      <c r="H2698" s="3" t="str">
        <f>VLOOKUP(B2698,LifeList!$E$2:$I$2038,5)</f>
        <v>Rallidae (Rails, Gallinules, and Coots)</v>
      </c>
      <c r="I2698" s="3"/>
    </row>
    <row r="2699" spans="1:9" ht="10.5" customHeight="1">
      <c r="A2699" s="3" t="s">
        <v>3768</v>
      </c>
      <c r="B2699" s="3" t="s">
        <v>3766</v>
      </c>
      <c r="C2699" s="3">
        <f>VLOOKUP(B2699,LifeList!$E$2:$J$2038,6)</f>
        <v>5515</v>
      </c>
      <c r="D2699" s="3" t="str">
        <f>VLOOKUP(B2699,LifeList!$E$2:$G$2038,1)</f>
        <v>Purple Gallinule</v>
      </c>
      <c r="E2699" s="3" t="str">
        <f>VLOOKUP(B2699,LifeList!$E$2:$G$2038,2)</f>
        <v>Talève violacée</v>
      </c>
      <c r="F2699" s="3" t="str">
        <f>VLOOKUP(B2699,LifeList!$E$2:$G$2038,3)</f>
        <v>Porphyrio martinica</v>
      </c>
      <c r="G2699" s="3" t="str">
        <f>VLOOKUP(B2699,LifeList!$E$2:$I$2038,4)</f>
        <v>Gruiformes</v>
      </c>
      <c r="H2699" s="3" t="str">
        <f>VLOOKUP(B2699,LifeList!$E$2:$I$2038,5)</f>
        <v>Rallidae (Rails, Gallinules, and Coots)</v>
      </c>
      <c r="I2699" s="3"/>
    </row>
    <row r="2700" spans="1:9" ht="10.5" customHeight="1">
      <c r="A2700" s="3" t="s">
        <v>3769</v>
      </c>
      <c r="B2700" s="3" t="s">
        <v>3766</v>
      </c>
      <c r="C2700" s="3">
        <f>VLOOKUP(B2700,LifeList!$E$2:$J$2038,6)</f>
        <v>5515</v>
      </c>
      <c r="D2700" s="3" t="str">
        <f>VLOOKUP(B2700,LifeList!$E$2:$G$2038,1)</f>
        <v>Purple Gallinule</v>
      </c>
      <c r="E2700" s="3" t="str">
        <f>VLOOKUP(B2700,LifeList!$E$2:$G$2038,2)</f>
        <v>Talève violacée</v>
      </c>
      <c r="F2700" s="3" t="str">
        <f>VLOOKUP(B2700,LifeList!$E$2:$G$2038,3)</f>
        <v>Porphyrio martinica</v>
      </c>
      <c r="G2700" s="3" t="str">
        <f>VLOOKUP(B2700,LifeList!$E$2:$I$2038,4)</f>
        <v>Gruiformes</v>
      </c>
      <c r="H2700" s="3" t="str">
        <f>VLOOKUP(B2700,LifeList!$E$2:$I$2038,5)</f>
        <v>Rallidae (Rails, Gallinules, and Coots)</v>
      </c>
      <c r="I2700" s="3"/>
    </row>
    <row r="2701" spans="1:9" ht="10.5" customHeight="1">
      <c r="A2701" s="3" t="s">
        <v>3770</v>
      </c>
      <c r="B2701" s="3" t="s">
        <v>3766</v>
      </c>
      <c r="C2701" s="3">
        <f>VLOOKUP(B2701,LifeList!$E$2:$J$2038,6)</f>
        <v>5515</v>
      </c>
      <c r="D2701" s="3" t="str">
        <f>VLOOKUP(B2701,LifeList!$E$2:$G$2038,1)</f>
        <v>Purple Gallinule</v>
      </c>
      <c r="E2701" s="3" t="str">
        <f>VLOOKUP(B2701,LifeList!$E$2:$G$2038,2)</f>
        <v>Talève violacée</v>
      </c>
      <c r="F2701" s="3" t="str">
        <f>VLOOKUP(B2701,LifeList!$E$2:$G$2038,3)</f>
        <v>Porphyrio martinica</v>
      </c>
      <c r="G2701" s="3" t="str">
        <f>VLOOKUP(B2701,LifeList!$E$2:$I$2038,4)</f>
        <v>Gruiformes</v>
      </c>
      <c r="H2701" s="3" t="str">
        <f>VLOOKUP(B2701,LifeList!$E$2:$I$2038,5)</f>
        <v>Rallidae (Rails, Gallinules, and Coots)</v>
      </c>
      <c r="I2701" s="3"/>
    </row>
    <row r="2702" spans="1:9" ht="10.5" customHeight="1">
      <c r="A2702" s="3" t="s">
        <v>3771</v>
      </c>
      <c r="B2702" s="3" t="s">
        <v>3766</v>
      </c>
      <c r="C2702" s="3">
        <f>VLOOKUP(B2702,LifeList!$E$2:$J$2038,6)</f>
        <v>5515</v>
      </c>
      <c r="D2702" s="3" t="str">
        <f>VLOOKUP(B2702,LifeList!$E$2:$G$2038,1)</f>
        <v>Purple Gallinule</v>
      </c>
      <c r="E2702" s="3" t="str">
        <f>VLOOKUP(B2702,LifeList!$E$2:$G$2038,2)</f>
        <v>Talève violacée</v>
      </c>
      <c r="F2702" s="3" t="str">
        <f>VLOOKUP(B2702,LifeList!$E$2:$G$2038,3)</f>
        <v>Porphyrio martinica</v>
      </c>
      <c r="G2702" s="3" t="str">
        <f>VLOOKUP(B2702,LifeList!$E$2:$I$2038,4)</f>
        <v>Gruiformes</v>
      </c>
      <c r="H2702" s="3" t="str">
        <f>VLOOKUP(B2702,LifeList!$E$2:$I$2038,5)</f>
        <v>Rallidae (Rails, Gallinules, and Coots)</v>
      </c>
      <c r="I2702" s="3"/>
    </row>
    <row r="2703" spans="1:9" ht="10.5" customHeight="1">
      <c r="A2703" s="3" t="s">
        <v>3772</v>
      </c>
      <c r="B2703" s="3" t="s">
        <v>3766</v>
      </c>
      <c r="C2703" s="3">
        <f>VLOOKUP(B2703,LifeList!$E$2:$J$2038,6)</f>
        <v>5515</v>
      </c>
      <c r="D2703" s="3" t="str">
        <f>VLOOKUP(B2703,LifeList!$E$2:$G$2038,1)</f>
        <v>Purple Gallinule</v>
      </c>
      <c r="E2703" s="3" t="str">
        <f>VLOOKUP(B2703,LifeList!$E$2:$G$2038,2)</f>
        <v>Talève violacée</v>
      </c>
      <c r="F2703" s="3" t="str">
        <f>VLOOKUP(B2703,LifeList!$E$2:$G$2038,3)</f>
        <v>Porphyrio martinica</v>
      </c>
      <c r="G2703" s="3" t="str">
        <f>VLOOKUP(B2703,LifeList!$E$2:$I$2038,4)</f>
        <v>Gruiformes</v>
      </c>
      <c r="H2703" s="3" t="str">
        <f>VLOOKUP(B2703,LifeList!$E$2:$I$2038,5)</f>
        <v>Rallidae (Rails, Gallinules, and Coots)</v>
      </c>
      <c r="I2703" s="3"/>
    </row>
    <row r="2704" spans="1:9" ht="10.5" customHeight="1">
      <c r="A2704" s="3" t="s">
        <v>3773</v>
      </c>
      <c r="B2704" s="3" t="s">
        <v>3766</v>
      </c>
      <c r="C2704" s="3">
        <f>VLOOKUP(B2704,LifeList!$E$2:$J$2038,6)</f>
        <v>5515</v>
      </c>
      <c r="D2704" s="3" t="str">
        <f>VLOOKUP(B2704,LifeList!$E$2:$G$2038,1)</f>
        <v>Purple Gallinule</v>
      </c>
      <c r="E2704" s="3" t="str">
        <f>VLOOKUP(B2704,LifeList!$E$2:$G$2038,2)</f>
        <v>Talève violacée</v>
      </c>
      <c r="F2704" s="3" t="str">
        <f>VLOOKUP(B2704,LifeList!$E$2:$G$2038,3)</f>
        <v>Porphyrio martinica</v>
      </c>
      <c r="G2704" s="3" t="str">
        <f>VLOOKUP(B2704,LifeList!$E$2:$I$2038,4)</f>
        <v>Gruiformes</v>
      </c>
      <c r="H2704" s="3" t="str">
        <f>VLOOKUP(B2704,LifeList!$E$2:$I$2038,5)</f>
        <v>Rallidae (Rails, Gallinules, and Coots)</v>
      </c>
      <c r="I2704" s="3"/>
    </row>
    <row r="2705" spans="1:9" ht="10.5" customHeight="1">
      <c r="A2705" s="3" t="s">
        <v>3774</v>
      </c>
      <c r="B2705" s="3" t="s">
        <v>3775</v>
      </c>
      <c r="C2705" s="3">
        <f>VLOOKUP(B2705,LifeList!$E$2:$J$2038,6)</f>
        <v>7766</v>
      </c>
      <c r="D2705" s="3" t="str">
        <f>VLOOKUP(B2705,LifeList!$E$2:$G$2038,1)</f>
        <v>Purple Heron</v>
      </c>
      <c r="E2705" s="3" t="str">
        <f>VLOOKUP(B2705,LifeList!$E$2:$G$2038,2)</f>
        <v>Héron pourpré</v>
      </c>
      <c r="F2705" s="3" t="str">
        <f>VLOOKUP(B2705,LifeList!$E$2:$G$2038,3)</f>
        <v>Ardea purpurea</v>
      </c>
      <c r="G2705" s="3" t="str">
        <f>VLOOKUP(B2705,LifeList!$E$2:$I$2038,4)</f>
        <v>Pelecaniformes</v>
      </c>
      <c r="H2705" s="3" t="str">
        <f>VLOOKUP(B2705,LifeList!$E$2:$I$2038,5)</f>
        <v>Ardeidae (Herons, Egrets, and Bitterns)</v>
      </c>
      <c r="I2705" s="3"/>
    </row>
    <row r="2706" spans="1:9" ht="10.5" customHeight="1">
      <c r="A2706" s="3" t="s">
        <v>3776</v>
      </c>
      <c r="B2706" s="3" t="s">
        <v>3777</v>
      </c>
      <c r="C2706" s="3">
        <f>VLOOKUP(B2706,LifeList!$E$2:$J$2038,6)</f>
        <v>35168</v>
      </c>
      <c r="D2706" s="3" t="str">
        <f>VLOOKUP(B2706,LifeList!$E$2:$G$2038,1)</f>
        <v>Purple Honeycreeper</v>
      </c>
      <c r="E2706" s="3" t="str">
        <f>VLOOKUP(B2706,LifeList!$E$2:$G$2038,2)</f>
        <v>Guit-guit céruléen</v>
      </c>
      <c r="F2706" s="3" t="str">
        <f>VLOOKUP(B2706,LifeList!$E$2:$G$2038,3)</f>
        <v>Cyanerpes caeruleus</v>
      </c>
      <c r="G2706" s="3" t="str">
        <f>VLOOKUP(B2706,LifeList!$E$2:$I$2038,4)</f>
        <v>Passeriformes</v>
      </c>
      <c r="H2706" s="3" t="str">
        <f>VLOOKUP(B2706,LifeList!$E$2:$I$2038,5)</f>
        <v>Thraupidae (Tanagers and Allies)</v>
      </c>
      <c r="I2706" s="3"/>
    </row>
    <row r="2707" spans="1:9" ht="10.5" customHeight="1">
      <c r="A2707" s="3" t="s">
        <v>3778</v>
      </c>
      <c r="B2707" s="3" t="s">
        <v>3779</v>
      </c>
      <c r="C2707" s="3">
        <f>VLOOKUP(B2707,LifeList!$E$2:$J$2038,6)</f>
        <v>24081</v>
      </c>
      <c r="D2707" s="3" t="str">
        <f>VLOOKUP(B2707,LifeList!$E$2:$G$2038,1)</f>
        <v>Purple Martin</v>
      </c>
      <c r="E2707" s="3" t="str">
        <f>VLOOKUP(B2707,LifeList!$E$2:$G$2038,2)</f>
        <v>Hirondelle noire</v>
      </c>
      <c r="F2707" s="3" t="str">
        <f>VLOOKUP(B2707,LifeList!$E$2:$G$2038,3)</f>
        <v>Progne subis</v>
      </c>
      <c r="G2707" s="3" t="str">
        <f>VLOOKUP(B2707,LifeList!$E$2:$I$2038,4)</f>
        <v>Passeriformes</v>
      </c>
      <c r="H2707" s="3" t="str">
        <f>VLOOKUP(B2707,LifeList!$E$2:$I$2038,5)</f>
        <v>Hirundinidae (Swallows)</v>
      </c>
      <c r="I2707" s="3"/>
    </row>
    <row r="2708" spans="1:9" ht="10.5" customHeight="1">
      <c r="A2708" s="7" t="s">
        <v>3780</v>
      </c>
      <c r="B2708" s="9" t="s">
        <v>3781</v>
      </c>
      <c r="C2708" s="6">
        <f>VLOOKUP(B2708,LifeList!$E$2:$J$2038,6)</f>
        <v>17654</v>
      </c>
      <c r="D2708" s="3" t="str">
        <f>VLOOKUP(B2708,LifeList!$E$2:$G$2038,1)</f>
        <v>Purple-backed Fairywren</v>
      </c>
      <c r="E2708" s="3" t="str">
        <f>VLOOKUP(B2708,LifeList!$E$2:$G$2038,2)</f>
        <v>Mérion violacé</v>
      </c>
      <c r="F2708" s="3" t="str">
        <f>VLOOKUP(B2708,LifeList!$E$2:$G$2038,3)</f>
        <v>Malurus assimilis</v>
      </c>
      <c r="G2708" s="3" t="str">
        <f>VLOOKUP(B2708,LifeList!$E$2:$I$2038,4)</f>
        <v>Passeriformes</v>
      </c>
      <c r="H2708" s="3" t="str">
        <f>VLOOKUP(B2708,LifeList!$E$2:$I$2038,5)</f>
        <v>Maluridae (Fairywrens)</v>
      </c>
      <c r="I2708" s="3"/>
    </row>
    <row r="2709" spans="1:9" ht="10.5" customHeight="1">
      <c r="A2709" s="3" t="s">
        <v>3782</v>
      </c>
      <c r="B2709" s="3" t="s">
        <v>3783</v>
      </c>
      <c r="C2709" s="3">
        <f>VLOOKUP(B2709,LifeList!$E$2:$J$2038,6)</f>
        <v>4516</v>
      </c>
      <c r="D2709" s="3" t="str">
        <f>VLOOKUP(B2709,LifeList!$E$2:$G$2038,1)</f>
        <v>Purple-backed Thornbill</v>
      </c>
      <c r="E2709" s="3" t="str">
        <f>VLOOKUP(B2709,LifeList!$E$2:$G$2038,2)</f>
        <v>Colibri à petit bec</v>
      </c>
      <c r="F2709" s="3" t="str">
        <f>VLOOKUP(B2709,LifeList!$E$2:$G$2038,3)</f>
        <v>Ramphomicron microrhynchum</v>
      </c>
      <c r="G2709" s="3" t="str">
        <f>VLOOKUP(B2709,LifeList!$E$2:$I$2038,4)</f>
        <v>Apodiformes</v>
      </c>
      <c r="H2709" s="3" t="str">
        <f>VLOOKUP(B2709,LifeList!$E$2:$I$2038,5)</f>
        <v>Trochilidae (Hummingbirds)</v>
      </c>
      <c r="I2709" s="3"/>
    </row>
    <row r="2710" spans="1:9" ht="10.5" customHeight="1">
      <c r="A2710" s="5" t="s">
        <v>3784</v>
      </c>
      <c r="B2710" s="3" t="s">
        <v>3785</v>
      </c>
      <c r="C2710" s="6">
        <f>VLOOKUP(B2710,LifeList!$E$2:$J$2038,6)</f>
        <v>30405</v>
      </c>
      <c r="D2710" s="3" t="str">
        <f>VLOOKUP(B2710,LifeList!$E$2:$G$2038,1)</f>
        <v>Purple-banded Sunbird</v>
      </c>
      <c r="E2710" s="3" t="str">
        <f>VLOOKUP(B2710,LifeList!$E$2:$G$2038,2)</f>
        <v>Souimanga bifascié</v>
      </c>
      <c r="F2710" s="3" t="str">
        <f>VLOOKUP(B2710,LifeList!$E$2:$G$2038,3)</f>
        <v>Cinnyris bifasciatus</v>
      </c>
      <c r="G2710" s="3" t="str">
        <f>VLOOKUP(B2710,LifeList!$E$2:$I$2038,4)</f>
        <v>Passeriformes</v>
      </c>
      <c r="H2710" s="3" t="str">
        <f>VLOOKUP(B2710,LifeList!$E$2:$I$2038,5)</f>
        <v>Nectariniidae (Sunbirds and Spiderhunters)</v>
      </c>
      <c r="I2710" s="3"/>
    </row>
    <row r="2711" spans="1:9" ht="10.5" customHeight="1">
      <c r="A2711" s="3" t="s">
        <v>3786</v>
      </c>
      <c r="B2711" s="3" t="s">
        <v>3787</v>
      </c>
      <c r="C2711" s="3">
        <f>VLOOKUP(B2711,LifeList!$E$2:$J$2038,6)</f>
        <v>4691</v>
      </c>
      <c r="D2711" s="3" t="str">
        <f>VLOOKUP(B2711,LifeList!$E$2:$G$2038,1)</f>
        <v>Purple-bibbed Whitetip</v>
      </c>
      <c r="E2711" s="3" t="str">
        <f>VLOOKUP(B2711,LifeList!$E$2:$G$2038,2)</f>
        <v>Colibri de Benjamin</v>
      </c>
      <c r="F2711" s="3" t="str">
        <f>VLOOKUP(B2711,LifeList!$E$2:$G$2038,3)</f>
        <v>Urosticte benjamini</v>
      </c>
      <c r="G2711" s="3" t="str">
        <f>VLOOKUP(B2711,LifeList!$E$2:$I$2038,4)</f>
        <v>Apodiformes</v>
      </c>
      <c r="H2711" s="3" t="str">
        <f>VLOOKUP(B2711,LifeList!$E$2:$I$2038,5)</f>
        <v>Trochilidae (Hummingbirds)</v>
      </c>
      <c r="I2711" s="3"/>
    </row>
    <row r="2712" spans="1:9" ht="10.5" customHeight="1">
      <c r="A2712" s="5" t="s">
        <v>3788</v>
      </c>
      <c r="B2712" s="3" t="s">
        <v>3789</v>
      </c>
      <c r="C2712" s="6">
        <f>VLOOKUP(B2712,LifeList!$E$2:$J$2038,6)</f>
        <v>2985</v>
      </c>
      <c r="D2712" s="3" t="str">
        <f>VLOOKUP(B2712,LifeList!$E$2:$G$2038,1)</f>
        <v>Purple-crested Turaco</v>
      </c>
      <c r="E2712" s="3" t="str">
        <f>VLOOKUP(B2712,LifeList!$E$2:$G$2038,2)</f>
        <v>Touraco à huppe splendide</v>
      </c>
      <c r="F2712" s="3" t="str">
        <f>VLOOKUP(B2712,LifeList!$E$2:$G$2038,3)</f>
        <v>Gallirex porphyreolophus</v>
      </c>
      <c r="G2712" s="3" t="str">
        <f>VLOOKUP(B2712,LifeList!$E$2:$I$2038,4)</f>
        <v>Musophagiformes</v>
      </c>
      <c r="H2712" s="3" t="str">
        <f>VLOOKUP(B2712,LifeList!$E$2:$I$2038,5)</f>
        <v>Musophagidae (Turacos)</v>
      </c>
      <c r="I2712" s="3"/>
    </row>
    <row r="2713" spans="1:9" ht="10.5" customHeight="1">
      <c r="A2713" s="3" t="s">
        <v>3790</v>
      </c>
      <c r="B2713" s="3" t="s">
        <v>3791</v>
      </c>
      <c r="C2713" s="3">
        <f>VLOOKUP(B2713,LifeList!$E$2:$J$2038,6)</f>
        <v>4368</v>
      </c>
      <c r="D2713" s="3" t="str">
        <f>VLOOKUP(B2713,LifeList!$E$2:$G$2038,1)</f>
        <v>Purple-crowned Fairy</v>
      </c>
      <c r="E2713" s="3" t="str">
        <f>VLOOKUP(B2713,LifeList!$E$2:$G$2038,2)</f>
        <v>Colibri féérique</v>
      </c>
      <c r="F2713" s="3" t="str">
        <f>VLOOKUP(B2713,LifeList!$E$2:$G$2038,3)</f>
        <v>Heliothryx barroti</v>
      </c>
      <c r="G2713" s="3" t="str">
        <f>VLOOKUP(B2713,LifeList!$E$2:$I$2038,4)</f>
        <v>Apodiformes</v>
      </c>
      <c r="H2713" s="3" t="str">
        <f>VLOOKUP(B2713,LifeList!$E$2:$I$2038,5)</f>
        <v>Trochilidae (Hummingbirds)</v>
      </c>
      <c r="I2713" s="3"/>
    </row>
    <row r="2714" spans="1:9" ht="10.5" customHeight="1">
      <c r="A2714" s="3" t="s">
        <v>3792</v>
      </c>
      <c r="B2714" s="3" t="s">
        <v>3791</v>
      </c>
      <c r="C2714" s="3">
        <f>VLOOKUP(B2714,LifeList!$E$2:$J$2038,6)</f>
        <v>4368</v>
      </c>
      <c r="D2714" s="3" t="str">
        <f>VLOOKUP(B2714,LifeList!$E$2:$G$2038,1)</f>
        <v>Purple-crowned Fairy</v>
      </c>
      <c r="E2714" s="3" t="str">
        <f>VLOOKUP(B2714,LifeList!$E$2:$G$2038,2)</f>
        <v>Colibri féérique</v>
      </c>
      <c r="F2714" s="3" t="str">
        <f>VLOOKUP(B2714,LifeList!$E$2:$G$2038,3)</f>
        <v>Heliothryx barroti</v>
      </c>
      <c r="G2714" s="3" t="str">
        <f>VLOOKUP(B2714,LifeList!$E$2:$I$2038,4)</f>
        <v>Apodiformes</v>
      </c>
      <c r="H2714" s="3" t="str">
        <f>VLOOKUP(B2714,LifeList!$E$2:$I$2038,5)</f>
        <v>Trochilidae (Hummingbirds)</v>
      </c>
      <c r="I2714" s="3"/>
    </row>
    <row r="2715" spans="1:9" ht="10.5" customHeight="1">
      <c r="A2715" s="3" t="s">
        <v>3793</v>
      </c>
      <c r="B2715" s="3" t="s">
        <v>3791</v>
      </c>
      <c r="C2715" s="3">
        <f>VLOOKUP(B2715,LifeList!$E$2:$J$2038,6)</f>
        <v>4368</v>
      </c>
      <c r="D2715" s="3" t="str">
        <f>VLOOKUP(B2715,LifeList!$E$2:$G$2038,1)</f>
        <v>Purple-crowned Fairy</v>
      </c>
      <c r="E2715" s="3" t="str">
        <f>VLOOKUP(B2715,LifeList!$E$2:$G$2038,2)</f>
        <v>Colibri féérique</v>
      </c>
      <c r="F2715" s="3" t="str">
        <f>VLOOKUP(B2715,LifeList!$E$2:$G$2038,3)</f>
        <v>Heliothryx barroti</v>
      </c>
      <c r="G2715" s="3" t="str">
        <f>VLOOKUP(B2715,LifeList!$E$2:$I$2038,4)</f>
        <v>Apodiformes</v>
      </c>
      <c r="H2715" s="3" t="str">
        <f>VLOOKUP(B2715,LifeList!$E$2:$I$2038,5)</f>
        <v>Trochilidae (Hummingbirds)</v>
      </c>
      <c r="I2715" s="3"/>
    </row>
    <row r="2716" spans="1:9" ht="10.5" customHeight="1">
      <c r="A2716" s="3" t="s">
        <v>3794</v>
      </c>
      <c r="B2716" s="3" t="s">
        <v>3791</v>
      </c>
      <c r="C2716" s="3">
        <f>VLOOKUP(B2716,LifeList!$E$2:$J$2038,6)</f>
        <v>4368</v>
      </c>
      <c r="D2716" s="3" t="str">
        <f>VLOOKUP(B2716,LifeList!$E$2:$G$2038,1)</f>
        <v>Purple-crowned Fairy</v>
      </c>
      <c r="E2716" s="3" t="str">
        <f>VLOOKUP(B2716,LifeList!$E$2:$G$2038,2)</f>
        <v>Colibri féérique</v>
      </c>
      <c r="F2716" s="3" t="str">
        <f>VLOOKUP(B2716,LifeList!$E$2:$G$2038,3)</f>
        <v>Heliothryx barroti</v>
      </c>
      <c r="G2716" s="3" t="str">
        <f>VLOOKUP(B2716,LifeList!$E$2:$I$2038,4)</f>
        <v>Apodiformes</v>
      </c>
      <c r="H2716" s="3" t="str">
        <f>VLOOKUP(B2716,LifeList!$E$2:$I$2038,5)</f>
        <v>Trochilidae (Hummingbirds)</v>
      </c>
      <c r="I2716" s="3"/>
    </row>
    <row r="2717" spans="1:9" ht="10.5" customHeight="1">
      <c r="A2717" s="3" t="s">
        <v>3795</v>
      </c>
      <c r="B2717" s="3" t="s">
        <v>3796</v>
      </c>
      <c r="C2717" s="3">
        <f>VLOOKUP(B2717,LifeList!$E$2:$J$2038,6)</f>
        <v>15910</v>
      </c>
      <c r="D2717" s="3" t="str">
        <f>VLOOKUP(B2717,LifeList!$E$2:$G$2038,1)</f>
        <v>Purple-throated Fruitcrow</v>
      </c>
      <c r="E2717" s="3" t="str">
        <f>VLOOKUP(B2717,LifeList!$E$2:$G$2038,2)</f>
        <v>Coracine noire</v>
      </c>
      <c r="F2717" s="3" t="str">
        <f>VLOOKUP(B2717,LifeList!$E$2:$G$2038,3)</f>
        <v>Querula purpurata</v>
      </c>
      <c r="G2717" s="3" t="str">
        <f>VLOOKUP(B2717,LifeList!$E$2:$I$2038,4)</f>
        <v>Passeriformes</v>
      </c>
      <c r="H2717" s="3" t="str">
        <f>VLOOKUP(B2717,LifeList!$E$2:$I$2038,5)</f>
        <v>Cotingidae (Cotingas)</v>
      </c>
      <c r="I2717" s="3"/>
    </row>
    <row r="2718" spans="1:9" ht="10.5" customHeight="1">
      <c r="A2718" s="3" t="s">
        <v>3797</v>
      </c>
      <c r="B2718" s="3" t="s">
        <v>3796</v>
      </c>
      <c r="C2718" s="3">
        <f>VLOOKUP(B2718,LifeList!$E$2:$J$2038,6)</f>
        <v>15910</v>
      </c>
      <c r="D2718" s="3" t="str">
        <f>VLOOKUP(B2718,LifeList!$E$2:$G$2038,1)</f>
        <v>Purple-throated Fruitcrow</v>
      </c>
      <c r="E2718" s="3" t="str">
        <f>VLOOKUP(B2718,LifeList!$E$2:$G$2038,2)</f>
        <v>Coracine noire</v>
      </c>
      <c r="F2718" s="3" t="str">
        <f>VLOOKUP(B2718,LifeList!$E$2:$G$2038,3)</f>
        <v>Querula purpurata</v>
      </c>
      <c r="G2718" s="3" t="str">
        <f>VLOOKUP(B2718,LifeList!$E$2:$I$2038,4)</f>
        <v>Passeriformes</v>
      </c>
      <c r="H2718" s="3" t="str">
        <f>VLOOKUP(B2718,LifeList!$E$2:$I$2038,5)</f>
        <v>Cotingidae (Cotingas)</v>
      </c>
      <c r="I2718" s="3"/>
    </row>
    <row r="2719" spans="1:9" ht="10.5" customHeight="1">
      <c r="A2719" s="3" t="s">
        <v>3798</v>
      </c>
      <c r="B2719" s="3" t="s">
        <v>3799</v>
      </c>
      <c r="C2719" s="3">
        <f>VLOOKUP(B2719,LifeList!$E$2:$J$2038,6)</f>
        <v>4757</v>
      </c>
      <c r="D2719" s="3" t="str">
        <f>VLOOKUP(B2719,LifeList!$E$2:$G$2038,1)</f>
        <v>Purple-throated Mountain-gem</v>
      </c>
      <c r="E2719" s="3" t="str">
        <f>VLOOKUP(B2719,LifeList!$E$2:$G$2038,2)</f>
        <v>Colibri à gorge pourprée</v>
      </c>
      <c r="F2719" s="3" t="str">
        <f>VLOOKUP(B2719,LifeList!$E$2:$G$2038,3)</f>
        <v>Lampornis calolaemus</v>
      </c>
      <c r="G2719" s="3" t="str">
        <f>VLOOKUP(B2719,LifeList!$E$2:$I$2038,4)</f>
        <v>Apodiformes</v>
      </c>
      <c r="H2719" s="3" t="str">
        <f>VLOOKUP(B2719,LifeList!$E$2:$I$2038,5)</f>
        <v>Trochilidae (Hummingbirds)</v>
      </c>
      <c r="I2719" s="3"/>
    </row>
    <row r="2720" spans="1:9" ht="10.5" customHeight="1">
      <c r="A2720" s="3" t="s">
        <v>3800</v>
      </c>
      <c r="B2720" s="3" t="s">
        <v>3799</v>
      </c>
      <c r="C2720" s="3">
        <f>VLOOKUP(B2720,LifeList!$E$2:$J$2038,6)</f>
        <v>4757</v>
      </c>
      <c r="D2720" s="3" t="str">
        <f>VLOOKUP(B2720,LifeList!$E$2:$G$2038,1)</f>
        <v>Purple-throated Mountain-gem</v>
      </c>
      <c r="E2720" s="3" t="str">
        <f>VLOOKUP(B2720,LifeList!$E$2:$G$2038,2)</f>
        <v>Colibri à gorge pourprée</v>
      </c>
      <c r="F2720" s="3" t="str">
        <f>VLOOKUP(B2720,LifeList!$E$2:$G$2038,3)</f>
        <v>Lampornis calolaemus</v>
      </c>
      <c r="G2720" s="3" t="str">
        <f>VLOOKUP(B2720,LifeList!$E$2:$I$2038,4)</f>
        <v>Apodiformes</v>
      </c>
      <c r="H2720" s="3" t="str">
        <f>VLOOKUP(B2720,LifeList!$E$2:$I$2038,5)</f>
        <v>Trochilidae (Hummingbirds)</v>
      </c>
      <c r="I2720" s="3"/>
    </row>
    <row r="2721" spans="1:9" ht="10.5" customHeight="1">
      <c r="A2721" s="3" t="s">
        <v>3801</v>
      </c>
      <c r="B2721" s="3" t="s">
        <v>3802</v>
      </c>
      <c r="C2721" s="3">
        <f>VLOOKUP(B2721,LifeList!$E$2:$J$2038,6)</f>
        <v>4795</v>
      </c>
      <c r="D2721" s="3" t="str">
        <f>VLOOKUP(B2721,LifeList!$E$2:$G$2038,1)</f>
        <v>Purple-throated Woodstar</v>
      </c>
      <c r="E2721" s="3" t="str">
        <f>VLOOKUP(B2721,LifeList!$E$2:$G$2038,2)</f>
        <v>Colibri de Mitchell</v>
      </c>
      <c r="F2721" s="3" t="str">
        <f>VLOOKUP(B2721,LifeList!$E$2:$G$2038,3)</f>
        <v>Philodice mitchellii</v>
      </c>
      <c r="G2721" s="3" t="str">
        <f>VLOOKUP(B2721,LifeList!$E$2:$I$2038,4)</f>
        <v>Apodiformes</v>
      </c>
      <c r="H2721" s="3" t="str">
        <f>VLOOKUP(B2721,LifeList!$E$2:$I$2038,5)</f>
        <v>Trochilidae (Hummingbirds)</v>
      </c>
      <c r="I2721" s="3"/>
    </row>
    <row r="2722" spans="1:9" ht="10.5" customHeight="1">
      <c r="A2722" s="3" t="s">
        <v>3803</v>
      </c>
      <c r="B2722" s="3" t="s">
        <v>3804</v>
      </c>
      <c r="C2722" s="3">
        <f>VLOOKUP(B2722,LifeList!$E$2:$J$2038,6)</f>
        <v>11978</v>
      </c>
      <c r="D2722" s="3" t="str">
        <f>VLOOKUP(B2722,LifeList!$E$2:$G$2038,1)</f>
        <v>Pygmy Falcon</v>
      </c>
      <c r="E2722" s="3" t="str">
        <f>VLOOKUP(B2722,LifeList!$E$2:$G$2038,2)</f>
        <v>Fauconnet d'Afrique</v>
      </c>
      <c r="F2722" s="3" t="str">
        <f>VLOOKUP(B2722,LifeList!$E$2:$G$2038,3)</f>
        <v>Polihierax semitorquatus</v>
      </c>
      <c r="G2722" s="3" t="str">
        <f>VLOOKUP(B2722,LifeList!$E$2:$I$2038,4)</f>
        <v>Falconiformes</v>
      </c>
      <c r="H2722" s="3" t="str">
        <f>VLOOKUP(B2722,LifeList!$E$2:$I$2038,5)</f>
        <v>Falconidae (Falcons and Caracaras)</v>
      </c>
      <c r="I2722" s="3"/>
    </row>
    <row r="2723" spans="1:9" ht="10.5" customHeight="1">
      <c r="A2723" s="3" t="s">
        <v>3805</v>
      </c>
      <c r="B2723" s="3" t="s">
        <v>3804</v>
      </c>
      <c r="C2723" s="3">
        <f>VLOOKUP(B2723,LifeList!$E$2:$J$2038,6)</f>
        <v>11978</v>
      </c>
      <c r="D2723" s="3" t="str">
        <f>VLOOKUP(B2723,LifeList!$E$2:$G$2038,1)</f>
        <v>Pygmy Falcon</v>
      </c>
      <c r="E2723" s="3" t="str">
        <f>VLOOKUP(B2723,LifeList!$E$2:$G$2038,2)</f>
        <v>Fauconnet d'Afrique</v>
      </c>
      <c r="F2723" s="3" t="str">
        <f>VLOOKUP(B2723,LifeList!$E$2:$G$2038,3)</f>
        <v>Polihierax semitorquatus</v>
      </c>
      <c r="G2723" s="3" t="str">
        <f>VLOOKUP(B2723,LifeList!$E$2:$I$2038,4)</f>
        <v>Falconiformes</v>
      </c>
      <c r="H2723" s="3" t="str">
        <f>VLOOKUP(B2723,LifeList!$E$2:$I$2038,5)</f>
        <v>Falconidae (Falcons and Caracaras)</v>
      </c>
      <c r="I2723" s="3"/>
    </row>
    <row r="2724" spans="1:9" ht="10.5" customHeight="1">
      <c r="A2724" s="7" t="s">
        <v>3806</v>
      </c>
      <c r="B2724" s="9" t="s">
        <v>3807</v>
      </c>
      <c r="C2724" s="6">
        <f>VLOOKUP(B2724,LifeList!$E$2:$J$2038,6)</f>
        <v>9828</v>
      </c>
      <c r="D2724" s="3" t="str">
        <f>VLOOKUP(B2724,LifeList!$E$2:$G$2038,1)</f>
        <v>Rainbow Bee-eater</v>
      </c>
      <c r="E2724" s="3" t="str">
        <f>VLOOKUP(B2724,LifeList!$E$2:$G$2038,2)</f>
        <v>Guêpier arc-en-ciel</v>
      </c>
      <c r="F2724" s="3" t="str">
        <f>VLOOKUP(B2724,LifeList!$E$2:$G$2038,3)</f>
        <v>Merops ornatus</v>
      </c>
      <c r="G2724" s="3" t="str">
        <f>VLOOKUP(B2724,LifeList!$E$2:$I$2038,4)</f>
        <v>Coraciiformes</v>
      </c>
      <c r="H2724" s="3" t="str">
        <f>VLOOKUP(B2724,LifeList!$E$2:$I$2038,5)</f>
        <v>Meropidae (Bee-eaters)</v>
      </c>
      <c r="I2724" s="3"/>
    </row>
    <row r="2725" spans="1:9" ht="10.5" customHeight="1">
      <c r="A2725" s="7" t="s">
        <v>3808</v>
      </c>
      <c r="B2725" s="9" t="s">
        <v>3807</v>
      </c>
      <c r="C2725" s="6">
        <f>VLOOKUP(B2725,LifeList!$E$2:$J$2038,6)</f>
        <v>9828</v>
      </c>
      <c r="D2725" s="3" t="str">
        <f>VLOOKUP(B2725,LifeList!$E$2:$G$2038,1)</f>
        <v>Rainbow Bee-eater</v>
      </c>
      <c r="E2725" s="3" t="str">
        <f>VLOOKUP(B2725,LifeList!$E$2:$G$2038,2)</f>
        <v>Guêpier arc-en-ciel</v>
      </c>
      <c r="F2725" s="3" t="str">
        <f>VLOOKUP(B2725,LifeList!$E$2:$G$2038,3)</f>
        <v>Merops ornatus</v>
      </c>
      <c r="G2725" s="3" t="str">
        <f>VLOOKUP(B2725,LifeList!$E$2:$I$2038,4)</f>
        <v>Coraciiformes</v>
      </c>
      <c r="H2725" s="3" t="str">
        <f>VLOOKUP(B2725,LifeList!$E$2:$I$2038,5)</f>
        <v>Meropidae (Bee-eaters)</v>
      </c>
      <c r="I2725" s="3"/>
    </row>
    <row r="2726" spans="1:9" ht="10.5" customHeight="1">
      <c r="A2726" s="3" t="s">
        <v>3809</v>
      </c>
      <c r="B2726" s="3" t="s">
        <v>3810</v>
      </c>
      <c r="C2726" s="3">
        <f>VLOOKUP(B2726,LifeList!$E$2:$J$2038,6)</f>
        <v>12680</v>
      </c>
      <c r="D2726" s="3" t="str">
        <f>VLOOKUP(B2726,LifeList!$E$2:$G$2038,1)</f>
        <v>Rainbow Lorikeet</v>
      </c>
      <c r="E2726" s="3" t="str">
        <f>VLOOKUP(B2726,LifeList!$E$2:$G$2038,2)</f>
        <v>Loriquet arc-en-ciel</v>
      </c>
      <c r="F2726" s="3" t="str">
        <f>VLOOKUP(B2726,LifeList!$E$2:$G$2038,3)</f>
        <v>Trichoglossus moluccanus</v>
      </c>
      <c r="G2726" s="3" t="str">
        <f>VLOOKUP(B2726,LifeList!$E$2:$I$2038,4)</f>
        <v>Psittaciformes</v>
      </c>
      <c r="H2726" s="3" t="str">
        <f>VLOOKUP(B2726,LifeList!$E$2:$I$2038,5)</f>
        <v>Psittaculidae (Old World Parrots)</v>
      </c>
      <c r="I2726" s="3"/>
    </row>
    <row r="2727" spans="1:9" ht="10.5" customHeight="1">
      <c r="A2727" s="3" t="s">
        <v>3811</v>
      </c>
      <c r="B2727" s="3" t="s">
        <v>3810</v>
      </c>
      <c r="C2727" s="3">
        <f>VLOOKUP(B2727,LifeList!$E$2:$J$2038,6)</f>
        <v>12680</v>
      </c>
      <c r="D2727" s="3" t="str">
        <f>VLOOKUP(B2727,LifeList!$E$2:$G$2038,1)</f>
        <v>Rainbow Lorikeet</v>
      </c>
      <c r="E2727" s="3" t="str">
        <f>VLOOKUP(B2727,LifeList!$E$2:$G$2038,2)</f>
        <v>Loriquet arc-en-ciel</v>
      </c>
      <c r="F2727" s="3" t="str">
        <f>VLOOKUP(B2727,LifeList!$E$2:$G$2038,3)</f>
        <v>Trichoglossus moluccanus</v>
      </c>
      <c r="G2727" s="3" t="str">
        <f>VLOOKUP(B2727,LifeList!$E$2:$I$2038,4)</f>
        <v>Psittaciformes</v>
      </c>
      <c r="H2727" s="3" t="str">
        <f>VLOOKUP(B2727,LifeList!$E$2:$I$2038,5)</f>
        <v>Psittaculidae (Old World Parrots)</v>
      </c>
      <c r="I2727" s="3"/>
    </row>
    <row r="2728" spans="1:9" ht="10.5" customHeight="1">
      <c r="A2728" s="3" t="s">
        <v>3812</v>
      </c>
      <c r="B2728" s="3" t="s">
        <v>3810</v>
      </c>
      <c r="C2728" s="3">
        <f>VLOOKUP(B2728,LifeList!$E$2:$J$2038,6)</f>
        <v>12680</v>
      </c>
      <c r="D2728" s="3" t="str">
        <f>VLOOKUP(B2728,LifeList!$E$2:$G$2038,1)</f>
        <v>Rainbow Lorikeet</v>
      </c>
      <c r="E2728" s="3" t="str">
        <f>VLOOKUP(B2728,LifeList!$E$2:$G$2038,2)</f>
        <v>Loriquet arc-en-ciel</v>
      </c>
      <c r="F2728" s="3" t="str">
        <f>VLOOKUP(B2728,LifeList!$E$2:$G$2038,3)</f>
        <v>Trichoglossus moluccanus</v>
      </c>
      <c r="G2728" s="3" t="str">
        <f>VLOOKUP(B2728,LifeList!$E$2:$I$2038,4)</f>
        <v>Psittaciformes</v>
      </c>
      <c r="H2728" s="3" t="str">
        <f>VLOOKUP(B2728,LifeList!$E$2:$I$2038,5)</f>
        <v>Psittaculidae (Old World Parrots)</v>
      </c>
      <c r="I2728" s="3"/>
    </row>
    <row r="2729" spans="1:9" ht="10.5" customHeight="1">
      <c r="A2729" s="5" t="s">
        <v>3813</v>
      </c>
      <c r="B2729" s="3" t="s">
        <v>3814</v>
      </c>
      <c r="C2729" s="6">
        <f>VLOOKUP(B2729,LifeList!$E$2:$J$2038,6)</f>
        <v>23405</v>
      </c>
      <c r="D2729" s="3" t="str">
        <f>VLOOKUP(B2729,LifeList!$E$2:$G$2038,1)</f>
        <v>Rattling Cisticola</v>
      </c>
      <c r="E2729" s="3" t="str">
        <f>VLOOKUP(B2729,LifeList!$E$2:$G$2038,2)</f>
        <v>Cisticole grinçante</v>
      </c>
      <c r="F2729" s="3" t="str">
        <f>VLOOKUP(B2729,LifeList!$E$2:$G$2038,3)</f>
        <v>Cisticola chiniana</v>
      </c>
      <c r="G2729" s="3" t="str">
        <f>VLOOKUP(B2729,LifeList!$E$2:$I$2038,4)</f>
        <v>Passeriformes</v>
      </c>
      <c r="H2729" s="3" t="str">
        <f>VLOOKUP(B2729,LifeList!$E$2:$I$2038,5)</f>
        <v>Cisticolidae (Cisticolas and Allies)</v>
      </c>
      <c r="I2729" s="3"/>
    </row>
    <row r="2730" spans="1:9" ht="10.5" customHeight="1">
      <c r="A2730" s="3" t="s">
        <v>3815</v>
      </c>
      <c r="B2730" s="3" t="s">
        <v>3816</v>
      </c>
      <c r="C2730" s="3">
        <f>VLOOKUP(B2730,LifeList!$E$2:$J$2038,6)</f>
        <v>30929</v>
      </c>
      <c r="D2730" s="3" t="str">
        <f>VLOOKUP(B2730,LifeList!$E$2:$G$2038,1)</f>
        <v>Red Fody</v>
      </c>
      <c r="E2730" s="3" t="str">
        <f>VLOOKUP(B2730,LifeList!$E$2:$G$2038,2)</f>
        <v>Foudi rouge</v>
      </c>
      <c r="F2730" s="3" t="str">
        <f>VLOOKUP(B2730,LifeList!$E$2:$G$2038,3)</f>
        <v>Foudia madagascariensis</v>
      </c>
      <c r="G2730" s="3" t="str">
        <f>VLOOKUP(B2730,LifeList!$E$2:$I$2038,4)</f>
        <v>Passeriformes</v>
      </c>
      <c r="H2730" s="3" t="str">
        <f>VLOOKUP(B2730,LifeList!$E$2:$I$2038,5)</f>
        <v>Ploceidae (Weavers and Allies)</v>
      </c>
      <c r="I2730" s="3"/>
    </row>
    <row r="2731" spans="1:9" ht="10.5" customHeight="1">
      <c r="A2731" s="3" t="s">
        <v>3817</v>
      </c>
      <c r="B2731" s="3" t="s">
        <v>3816</v>
      </c>
      <c r="C2731" s="3">
        <f>VLOOKUP(B2731,LifeList!$E$2:$J$2038,6)</f>
        <v>30929</v>
      </c>
      <c r="D2731" s="3" t="str">
        <f>VLOOKUP(B2731,LifeList!$E$2:$G$2038,1)</f>
        <v>Red Fody</v>
      </c>
      <c r="E2731" s="3" t="str">
        <f>VLOOKUP(B2731,LifeList!$E$2:$G$2038,2)</f>
        <v>Foudi rouge</v>
      </c>
      <c r="F2731" s="3" t="str">
        <f>VLOOKUP(B2731,LifeList!$E$2:$G$2038,3)</f>
        <v>Foudia madagascariensis</v>
      </c>
      <c r="G2731" s="3" t="str">
        <f>VLOOKUP(B2731,LifeList!$E$2:$I$2038,4)</f>
        <v>Passeriformes</v>
      </c>
      <c r="H2731" s="3" t="str">
        <f>VLOOKUP(B2731,LifeList!$E$2:$I$2038,5)</f>
        <v>Ploceidae (Weavers and Allies)</v>
      </c>
      <c r="I2731" s="3"/>
    </row>
    <row r="2732" spans="1:9" ht="10.5" customHeight="1">
      <c r="A2732" s="3" t="s">
        <v>3818</v>
      </c>
      <c r="B2732" s="3" t="s">
        <v>3816</v>
      </c>
      <c r="C2732" s="3">
        <f>VLOOKUP(B2732,LifeList!$E$2:$J$2038,6)</f>
        <v>30929</v>
      </c>
      <c r="D2732" s="3" t="str">
        <f>VLOOKUP(B2732,LifeList!$E$2:$G$2038,1)</f>
        <v>Red Fody</v>
      </c>
      <c r="E2732" s="3" t="str">
        <f>VLOOKUP(B2732,LifeList!$E$2:$G$2038,2)</f>
        <v>Foudi rouge</v>
      </c>
      <c r="F2732" s="3" t="str">
        <f>VLOOKUP(B2732,LifeList!$E$2:$G$2038,3)</f>
        <v>Foudia madagascariensis</v>
      </c>
      <c r="G2732" s="3" t="str">
        <f>VLOOKUP(B2732,LifeList!$E$2:$I$2038,4)</f>
        <v>Passeriformes</v>
      </c>
      <c r="H2732" s="3" t="str">
        <f>VLOOKUP(B2732,LifeList!$E$2:$I$2038,5)</f>
        <v>Ploceidae (Weavers and Allies)</v>
      </c>
      <c r="I2732" s="3"/>
    </row>
    <row r="2733" spans="1:9" ht="10.5" customHeight="1">
      <c r="A2733" s="3" t="s">
        <v>3819</v>
      </c>
      <c r="B2733" s="3" t="s">
        <v>3816</v>
      </c>
      <c r="C2733" s="3">
        <f>VLOOKUP(B2733,LifeList!$E$2:$J$2038,6)</f>
        <v>30929</v>
      </c>
      <c r="D2733" s="3" t="str">
        <f>VLOOKUP(B2733,LifeList!$E$2:$G$2038,1)</f>
        <v>Red Fody</v>
      </c>
      <c r="E2733" s="3" t="str">
        <f>VLOOKUP(B2733,LifeList!$E$2:$G$2038,2)</f>
        <v>Foudi rouge</v>
      </c>
      <c r="F2733" s="3" t="str">
        <f>VLOOKUP(B2733,LifeList!$E$2:$G$2038,3)</f>
        <v>Foudia madagascariensis</v>
      </c>
      <c r="G2733" s="3" t="str">
        <f>VLOOKUP(B2733,LifeList!$E$2:$I$2038,4)</f>
        <v>Passeriformes</v>
      </c>
      <c r="H2733" s="3" t="str">
        <f>VLOOKUP(B2733,LifeList!$E$2:$I$2038,5)</f>
        <v>Ploceidae (Weavers and Allies)</v>
      </c>
      <c r="I2733" s="3"/>
    </row>
    <row r="2734" spans="1:9" ht="10.5" customHeight="1">
      <c r="A2734" s="3" t="s">
        <v>3820</v>
      </c>
      <c r="B2734" s="3" t="s">
        <v>3816</v>
      </c>
      <c r="C2734" s="3">
        <f>VLOOKUP(B2734,LifeList!$E$2:$J$2038,6)</f>
        <v>30929</v>
      </c>
      <c r="D2734" s="3" t="str">
        <f>VLOOKUP(B2734,LifeList!$E$2:$G$2038,1)</f>
        <v>Red Fody</v>
      </c>
      <c r="E2734" s="3" t="str">
        <f>VLOOKUP(B2734,LifeList!$E$2:$G$2038,2)</f>
        <v>Foudi rouge</v>
      </c>
      <c r="F2734" s="3" t="str">
        <f>VLOOKUP(B2734,LifeList!$E$2:$G$2038,3)</f>
        <v>Foudia madagascariensis</v>
      </c>
      <c r="G2734" s="3" t="str">
        <f>VLOOKUP(B2734,LifeList!$E$2:$I$2038,4)</f>
        <v>Passeriformes</v>
      </c>
      <c r="H2734" s="3" t="str">
        <f>VLOOKUP(B2734,LifeList!$E$2:$I$2038,5)</f>
        <v>Ploceidae (Weavers and Allies)</v>
      </c>
      <c r="I2734" s="3"/>
    </row>
    <row r="2735" spans="1:9" ht="10.5" customHeight="1">
      <c r="A2735" s="3" t="s">
        <v>3821</v>
      </c>
      <c r="B2735" s="3" t="s">
        <v>3816</v>
      </c>
      <c r="C2735" s="3">
        <f>VLOOKUP(B2735,LifeList!$E$2:$J$2038,6)</f>
        <v>30929</v>
      </c>
      <c r="D2735" s="3" t="str">
        <f>VLOOKUP(B2735,LifeList!$E$2:$G$2038,1)</f>
        <v>Red Fody</v>
      </c>
      <c r="E2735" s="3" t="str">
        <f>VLOOKUP(B2735,LifeList!$E$2:$G$2038,2)</f>
        <v>Foudi rouge</v>
      </c>
      <c r="F2735" s="3" t="str">
        <f>VLOOKUP(B2735,LifeList!$E$2:$G$2038,3)</f>
        <v>Foudia madagascariensis</v>
      </c>
      <c r="G2735" s="3" t="str">
        <f>VLOOKUP(B2735,LifeList!$E$2:$I$2038,4)</f>
        <v>Passeriformes</v>
      </c>
      <c r="H2735" s="3" t="str">
        <f>VLOOKUP(B2735,LifeList!$E$2:$I$2038,5)</f>
        <v>Ploceidae (Weavers and Allies)</v>
      </c>
      <c r="I2735" s="3"/>
    </row>
    <row r="2736" spans="1:9" ht="10.5" customHeight="1">
      <c r="A2736" s="3" t="s">
        <v>3822</v>
      </c>
      <c r="B2736" s="3" t="s">
        <v>3816</v>
      </c>
      <c r="C2736" s="3">
        <f>VLOOKUP(B2736,LifeList!$E$2:$J$2038,6)</f>
        <v>30929</v>
      </c>
      <c r="D2736" s="3" t="str">
        <f>VLOOKUP(B2736,LifeList!$E$2:$G$2038,1)</f>
        <v>Red Fody</v>
      </c>
      <c r="E2736" s="3" t="str">
        <f>VLOOKUP(B2736,LifeList!$E$2:$G$2038,2)</f>
        <v>Foudi rouge</v>
      </c>
      <c r="F2736" s="3" t="str">
        <f>VLOOKUP(B2736,LifeList!$E$2:$G$2038,3)</f>
        <v>Foudia madagascariensis</v>
      </c>
      <c r="G2736" s="3" t="str">
        <f>VLOOKUP(B2736,LifeList!$E$2:$I$2038,4)</f>
        <v>Passeriformes</v>
      </c>
      <c r="H2736" s="3" t="str">
        <f>VLOOKUP(B2736,LifeList!$E$2:$I$2038,5)</f>
        <v>Ploceidae (Weavers and Allies)</v>
      </c>
      <c r="I2736" s="3"/>
    </row>
    <row r="2737" spans="1:9" ht="10.5" customHeight="1">
      <c r="A2737" s="3" t="s">
        <v>3823</v>
      </c>
      <c r="B2737" s="3" t="s">
        <v>3816</v>
      </c>
      <c r="C2737" s="3">
        <f>VLOOKUP(B2737,LifeList!$E$2:$J$2038,6)</f>
        <v>30929</v>
      </c>
      <c r="D2737" s="3" t="str">
        <f>VLOOKUP(B2737,LifeList!$E$2:$G$2038,1)</f>
        <v>Red Fody</v>
      </c>
      <c r="E2737" s="3" t="str">
        <f>VLOOKUP(B2737,LifeList!$E$2:$G$2038,2)</f>
        <v>Foudi rouge</v>
      </c>
      <c r="F2737" s="3" t="str">
        <f>VLOOKUP(B2737,LifeList!$E$2:$G$2038,3)</f>
        <v>Foudia madagascariensis</v>
      </c>
      <c r="G2737" s="3" t="str">
        <f>VLOOKUP(B2737,LifeList!$E$2:$I$2038,4)</f>
        <v>Passeriformes</v>
      </c>
      <c r="H2737" s="3" t="str">
        <f>VLOOKUP(B2737,LifeList!$E$2:$I$2038,5)</f>
        <v>Ploceidae (Weavers and Allies)</v>
      </c>
      <c r="I2737" s="3"/>
    </row>
    <row r="2738" spans="1:9" ht="10.5" customHeight="1">
      <c r="A2738" s="3" t="s">
        <v>3824</v>
      </c>
      <c r="B2738" s="3" t="s">
        <v>3816</v>
      </c>
      <c r="C2738" s="3">
        <f>VLOOKUP(B2738,LifeList!$E$2:$J$2038,6)</f>
        <v>30929</v>
      </c>
      <c r="D2738" s="3" t="str">
        <f>VLOOKUP(B2738,LifeList!$E$2:$G$2038,1)</f>
        <v>Red Fody</v>
      </c>
      <c r="E2738" s="3" t="str">
        <f>VLOOKUP(B2738,LifeList!$E$2:$G$2038,2)</f>
        <v>Foudi rouge</v>
      </c>
      <c r="F2738" s="3" t="str">
        <f>VLOOKUP(B2738,LifeList!$E$2:$G$2038,3)</f>
        <v>Foudia madagascariensis</v>
      </c>
      <c r="G2738" s="3" t="str">
        <f>VLOOKUP(B2738,LifeList!$E$2:$I$2038,4)</f>
        <v>Passeriformes</v>
      </c>
      <c r="H2738" s="3" t="str">
        <f>VLOOKUP(B2738,LifeList!$E$2:$I$2038,5)</f>
        <v>Ploceidae (Weavers and Allies)</v>
      </c>
      <c r="I2738" s="3"/>
    </row>
    <row r="2739" spans="1:9" ht="10.5" customHeight="1">
      <c r="A2739" s="3" t="s">
        <v>3825</v>
      </c>
      <c r="B2739" s="3" t="s">
        <v>3826</v>
      </c>
      <c r="C2739" s="3">
        <f>VLOOKUP(B2739,LifeList!$E$2:$J$2038,6)</f>
        <v>17865</v>
      </c>
      <c r="D2739" s="3" t="str">
        <f>VLOOKUP(B2739,LifeList!$E$2:$G$2038,1)</f>
        <v>Red Wattlebird</v>
      </c>
      <c r="E2739" s="3" t="str">
        <f>VLOOKUP(B2739,LifeList!$E$2:$G$2038,2)</f>
        <v>Méliphage barbe-rouge</v>
      </c>
      <c r="F2739" s="3" t="str">
        <f>VLOOKUP(B2739,LifeList!$E$2:$G$2038,3)</f>
        <v>Anthochaera carunculata</v>
      </c>
      <c r="G2739" s="3" t="str">
        <f>VLOOKUP(B2739,LifeList!$E$2:$I$2038,4)</f>
        <v>Passeriformes</v>
      </c>
      <c r="H2739" s="3" t="str">
        <f>VLOOKUP(B2739,LifeList!$E$2:$I$2038,5)</f>
        <v>Meliphagidae (Honeyeaters)</v>
      </c>
      <c r="I2739" s="3"/>
    </row>
    <row r="2740" spans="1:9" ht="10.5" customHeight="1">
      <c r="A2740" s="3" t="s">
        <v>3827</v>
      </c>
      <c r="B2740" s="3" t="s">
        <v>3826</v>
      </c>
      <c r="C2740" s="3">
        <f>VLOOKUP(B2740,LifeList!$E$2:$J$2038,6)</f>
        <v>17865</v>
      </c>
      <c r="D2740" s="3" t="str">
        <f>VLOOKUP(B2740,LifeList!$E$2:$G$2038,1)</f>
        <v>Red Wattlebird</v>
      </c>
      <c r="E2740" s="3" t="str">
        <f>VLOOKUP(B2740,LifeList!$E$2:$G$2038,2)</f>
        <v>Méliphage barbe-rouge</v>
      </c>
      <c r="F2740" s="3" t="str">
        <f>VLOOKUP(B2740,LifeList!$E$2:$G$2038,3)</f>
        <v>Anthochaera carunculata</v>
      </c>
      <c r="G2740" s="3" t="str">
        <f>VLOOKUP(B2740,LifeList!$E$2:$I$2038,4)</f>
        <v>Passeriformes</v>
      </c>
      <c r="H2740" s="3" t="str">
        <f>VLOOKUP(B2740,LifeList!$E$2:$I$2038,5)</f>
        <v>Meliphagidae (Honeyeaters)</v>
      </c>
      <c r="I2740" s="3"/>
    </row>
    <row r="2741" spans="1:9" ht="10.5" customHeight="1">
      <c r="A2741" s="3" t="s">
        <v>3828</v>
      </c>
      <c r="B2741" s="3" t="s">
        <v>3826</v>
      </c>
      <c r="C2741" s="3">
        <f>VLOOKUP(B2741,LifeList!$E$2:$J$2038,6)</f>
        <v>17865</v>
      </c>
      <c r="D2741" s="3" t="str">
        <f>VLOOKUP(B2741,LifeList!$E$2:$G$2038,1)</f>
        <v>Red Wattlebird</v>
      </c>
      <c r="E2741" s="3" t="str">
        <f>VLOOKUP(B2741,LifeList!$E$2:$G$2038,2)</f>
        <v>Méliphage barbe-rouge</v>
      </c>
      <c r="F2741" s="3" t="str">
        <f>VLOOKUP(B2741,LifeList!$E$2:$G$2038,3)</f>
        <v>Anthochaera carunculata</v>
      </c>
      <c r="G2741" s="3" t="str">
        <f>VLOOKUP(B2741,LifeList!$E$2:$I$2038,4)</f>
        <v>Passeriformes</v>
      </c>
      <c r="H2741" s="3" t="str">
        <f>VLOOKUP(B2741,LifeList!$E$2:$I$2038,5)</f>
        <v>Meliphagidae (Honeyeaters)</v>
      </c>
      <c r="I2741" s="3"/>
    </row>
    <row r="2742" spans="1:9" ht="10.5" customHeight="1">
      <c r="A2742" s="3" t="s">
        <v>3829</v>
      </c>
      <c r="B2742" s="3" t="s">
        <v>3830</v>
      </c>
      <c r="C2742" s="3">
        <f>VLOOKUP(B2742,LifeList!$E$2:$J$2038,6)</f>
        <v>10538</v>
      </c>
      <c r="D2742" s="3" t="str">
        <f>VLOOKUP(B2742,LifeList!$E$2:$G$2038,1)</f>
        <v>Red-and-yellow Barbet</v>
      </c>
      <c r="E2742" s="3" t="str">
        <f>VLOOKUP(B2742,LifeList!$E$2:$G$2038,2)</f>
        <v>Barbican à tête rouge</v>
      </c>
      <c r="F2742" s="3" t="str">
        <f>VLOOKUP(B2742,LifeList!$E$2:$G$2038,3)</f>
        <v>Trachyphonus erythrocephalus</v>
      </c>
      <c r="G2742" s="3" t="str">
        <f>VLOOKUP(B2742,LifeList!$E$2:$I$2038,4)</f>
        <v>Piciformes</v>
      </c>
      <c r="H2742" s="3" t="str">
        <f>VLOOKUP(B2742,LifeList!$E$2:$I$2038,5)</f>
        <v>Lybiidae (African Barbets)</v>
      </c>
      <c r="I2742" s="3"/>
    </row>
    <row r="2743" spans="1:9" ht="10.5" customHeight="1">
      <c r="A2743" s="3" t="s">
        <v>3831</v>
      </c>
      <c r="B2743" s="3" t="s">
        <v>3830</v>
      </c>
      <c r="C2743" s="3">
        <f>VLOOKUP(B2743,LifeList!$E$2:$J$2038,6)</f>
        <v>10538</v>
      </c>
      <c r="D2743" s="3" t="str">
        <f>VLOOKUP(B2743,LifeList!$E$2:$G$2038,1)</f>
        <v>Red-and-yellow Barbet</v>
      </c>
      <c r="E2743" s="3" t="str">
        <f>VLOOKUP(B2743,LifeList!$E$2:$G$2038,2)</f>
        <v>Barbican à tête rouge</v>
      </c>
      <c r="F2743" s="3" t="str">
        <f>VLOOKUP(B2743,LifeList!$E$2:$G$2038,3)</f>
        <v>Trachyphonus erythrocephalus</v>
      </c>
      <c r="G2743" s="3" t="str">
        <f>VLOOKUP(B2743,LifeList!$E$2:$I$2038,4)</f>
        <v>Piciformes</v>
      </c>
      <c r="H2743" s="3" t="str">
        <f>VLOOKUP(B2743,LifeList!$E$2:$I$2038,5)</f>
        <v>Lybiidae (African Barbets)</v>
      </c>
      <c r="I2743" s="3"/>
    </row>
    <row r="2744" spans="1:9" ht="10.5" customHeight="1">
      <c r="A2744" s="7" t="s">
        <v>3832</v>
      </c>
      <c r="B2744" s="9" t="s">
        <v>3833</v>
      </c>
      <c r="C2744" s="6">
        <f>VLOOKUP(B2744,LifeList!$E$2:$J$2038,6)</f>
        <v>10123</v>
      </c>
      <c r="D2744" s="3" t="str">
        <f>VLOOKUP(B2744,LifeList!$E$2:$G$2038,1)</f>
        <v>Red-backed Kingfisher</v>
      </c>
      <c r="E2744" s="3" t="str">
        <f>VLOOKUP(B2744,LifeList!$E$2:$G$2038,2)</f>
        <v>Martin-chasseur à dos de feu</v>
      </c>
      <c r="F2744" s="3" t="str">
        <f>VLOOKUP(B2744,LifeList!$E$2:$G$2038,3)</f>
        <v>Todiramphus pyrrhopygius</v>
      </c>
      <c r="G2744" s="3" t="str">
        <f>VLOOKUP(B2744,LifeList!$E$2:$I$2038,4)</f>
        <v>Coraciiformes</v>
      </c>
      <c r="H2744" s="3" t="str">
        <f>VLOOKUP(B2744,LifeList!$E$2:$I$2038,5)</f>
        <v>Alcedinidae (Kingfishers)</v>
      </c>
      <c r="I2744" s="3"/>
    </row>
    <row r="2745" spans="1:9" ht="10.5" customHeight="1">
      <c r="A2745" s="3" t="s">
        <v>3834</v>
      </c>
      <c r="B2745" s="3" t="s">
        <v>3835</v>
      </c>
      <c r="C2745" s="3">
        <f>VLOOKUP(B2745,LifeList!$E$2:$J$2038,6)</f>
        <v>11199</v>
      </c>
      <c r="D2745" s="3" t="str">
        <f>VLOOKUP(B2745,LifeList!$E$2:$G$2038,1)</f>
        <v>Red-bellied Woodpecker</v>
      </c>
      <c r="E2745" s="3" t="str">
        <f>VLOOKUP(B2745,LifeList!$E$2:$G$2038,2)</f>
        <v>Pic à ventre roux</v>
      </c>
      <c r="F2745" s="3" t="str">
        <f>VLOOKUP(B2745,LifeList!$E$2:$G$2038,3)</f>
        <v>Melanerpes carolinus</v>
      </c>
      <c r="G2745" s="3" t="str">
        <f>VLOOKUP(B2745,LifeList!$E$2:$I$2038,4)</f>
        <v>Piciformes</v>
      </c>
      <c r="H2745" s="3" t="str">
        <f>VLOOKUP(B2745,LifeList!$E$2:$I$2038,5)</f>
        <v>Picidae (Woodpeckers)</v>
      </c>
      <c r="I2745" s="3"/>
    </row>
    <row r="2746" spans="1:9" ht="10.5" customHeight="1">
      <c r="A2746" s="3" t="s">
        <v>3836</v>
      </c>
      <c r="B2746" s="3" t="s">
        <v>3837</v>
      </c>
      <c r="C2746" s="3">
        <f>VLOOKUP(B2746,LifeList!$E$2:$J$2038,6)</f>
        <v>11199</v>
      </c>
      <c r="D2746" s="3" t="str">
        <f>VLOOKUP(B2746,LifeList!$E$2:$G$2038,1)</f>
        <v>Red-bellied Woodpecker</v>
      </c>
      <c r="E2746" s="3" t="str">
        <f>VLOOKUP(B2746,LifeList!$E$2:$G$2038,2)</f>
        <v>Pic à ventre roux</v>
      </c>
      <c r="F2746" s="3" t="str">
        <f>VLOOKUP(B2746,LifeList!$E$2:$G$2038,3)</f>
        <v>Melanerpes carolinus</v>
      </c>
      <c r="G2746" s="3" t="str">
        <f>VLOOKUP(B2746,LifeList!$E$2:$I$2038,4)</f>
        <v>Piciformes</v>
      </c>
      <c r="H2746" s="3" t="str">
        <f>VLOOKUP(B2746,LifeList!$E$2:$I$2038,5)</f>
        <v>Picidae (Woodpeckers)</v>
      </c>
      <c r="I2746" s="3"/>
    </row>
    <row r="2747" spans="1:9" ht="10.5" customHeight="1">
      <c r="A2747" s="3" t="s">
        <v>3838</v>
      </c>
      <c r="B2747" s="3" t="s">
        <v>3837</v>
      </c>
      <c r="C2747" s="3">
        <f>VLOOKUP(B2747,LifeList!$E$2:$J$2038,6)</f>
        <v>11199</v>
      </c>
      <c r="D2747" s="3" t="str">
        <f>VLOOKUP(B2747,LifeList!$E$2:$G$2038,1)</f>
        <v>Red-bellied Woodpecker</v>
      </c>
      <c r="E2747" s="3" t="str">
        <f>VLOOKUP(B2747,LifeList!$E$2:$G$2038,2)</f>
        <v>Pic à ventre roux</v>
      </c>
      <c r="F2747" s="3" t="str">
        <f>VLOOKUP(B2747,LifeList!$E$2:$G$2038,3)</f>
        <v>Melanerpes carolinus</v>
      </c>
      <c r="G2747" s="3" t="str">
        <f>VLOOKUP(B2747,LifeList!$E$2:$I$2038,4)</f>
        <v>Piciformes</v>
      </c>
      <c r="H2747" s="3" t="str">
        <f>VLOOKUP(B2747,LifeList!$E$2:$I$2038,5)</f>
        <v>Picidae (Woodpeckers)</v>
      </c>
      <c r="I2747" s="3"/>
    </row>
    <row r="2748" spans="1:9" ht="10.5" customHeight="1">
      <c r="A2748" s="3" t="s">
        <v>3839</v>
      </c>
      <c r="B2748" s="3" t="s">
        <v>3837</v>
      </c>
      <c r="C2748" s="3">
        <f>VLOOKUP(B2748,LifeList!$E$2:$J$2038,6)</f>
        <v>11199</v>
      </c>
      <c r="D2748" s="3" t="str">
        <f>VLOOKUP(B2748,LifeList!$E$2:$G$2038,1)</f>
        <v>Red-bellied Woodpecker</v>
      </c>
      <c r="E2748" s="3" t="str">
        <f>VLOOKUP(B2748,LifeList!$E$2:$G$2038,2)</f>
        <v>Pic à ventre roux</v>
      </c>
      <c r="F2748" s="3" t="str">
        <f>VLOOKUP(B2748,LifeList!$E$2:$G$2038,3)</f>
        <v>Melanerpes carolinus</v>
      </c>
      <c r="G2748" s="3" t="str">
        <f>VLOOKUP(B2748,LifeList!$E$2:$I$2038,4)</f>
        <v>Piciformes</v>
      </c>
      <c r="H2748" s="3" t="str">
        <f>VLOOKUP(B2748,LifeList!$E$2:$I$2038,5)</f>
        <v>Picidae (Woodpeckers)</v>
      </c>
      <c r="I2748" s="3"/>
    </row>
    <row r="2749" spans="1:9" ht="10.5" customHeight="1">
      <c r="A2749" s="3" t="s">
        <v>3840</v>
      </c>
      <c r="B2749" s="3" t="s">
        <v>3837</v>
      </c>
      <c r="C2749" s="3">
        <f>VLOOKUP(B2749,LifeList!$E$2:$J$2038,6)</f>
        <v>11199</v>
      </c>
      <c r="D2749" s="3" t="str">
        <f>VLOOKUP(B2749,LifeList!$E$2:$G$2038,1)</f>
        <v>Red-bellied Woodpecker</v>
      </c>
      <c r="E2749" s="3" t="str">
        <f>VLOOKUP(B2749,LifeList!$E$2:$G$2038,2)</f>
        <v>Pic à ventre roux</v>
      </c>
      <c r="F2749" s="3" t="str">
        <f>VLOOKUP(B2749,LifeList!$E$2:$G$2038,3)</f>
        <v>Melanerpes carolinus</v>
      </c>
      <c r="G2749" s="3" t="str">
        <f>VLOOKUP(B2749,LifeList!$E$2:$I$2038,4)</f>
        <v>Piciformes</v>
      </c>
      <c r="H2749" s="3" t="str">
        <f>VLOOKUP(B2749,LifeList!$E$2:$I$2038,5)</f>
        <v>Picidae (Woodpeckers)</v>
      </c>
      <c r="I2749" s="3"/>
    </row>
    <row r="2750" spans="1:9" ht="10.5" customHeight="1">
      <c r="A2750" s="3" t="s">
        <v>3841</v>
      </c>
      <c r="B2750" s="3" t="s">
        <v>3837</v>
      </c>
      <c r="C2750" s="3">
        <f>VLOOKUP(B2750,LifeList!$E$2:$J$2038,6)</f>
        <v>11199</v>
      </c>
      <c r="D2750" s="3" t="str">
        <f>VLOOKUP(B2750,LifeList!$E$2:$G$2038,1)</f>
        <v>Red-bellied Woodpecker</v>
      </c>
      <c r="E2750" s="3" t="str">
        <f>VLOOKUP(B2750,LifeList!$E$2:$G$2038,2)</f>
        <v>Pic à ventre roux</v>
      </c>
      <c r="F2750" s="3" t="str">
        <f>VLOOKUP(B2750,LifeList!$E$2:$G$2038,3)</f>
        <v>Melanerpes carolinus</v>
      </c>
      <c r="G2750" s="3" t="str">
        <f>VLOOKUP(B2750,LifeList!$E$2:$I$2038,4)</f>
        <v>Piciformes</v>
      </c>
      <c r="H2750" s="3" t="str">
        <f>VLOOKUP(B2750,LifeList!$E$2:$I$2038,5)</f>
        <v>Picidae (Woodpeckers)</v>
      </c>
      <c r="I2750" s="3"/>
    </row>
    <row r="2751" spans="1:9" ht="10.5" customHeight="1">
      <c r="A2751" s="3" t="s">
        <v>3842</v>
      </c>
      <c r="B2751" s="3" t="s">
        <v>3837</v>
      </c>
      <c r="C2751" s="3">
        <f>VLOOKUP(B2751,LifeList!$E$2:$J$2038,6)</f>
        <v>11199</v>
      </c>
      <c r="D2751" s="3" t="str">
        <f>VLOOKUP(B2751,LifeList!$E$2:$G$2038,1)</f>
        <v>Red-bellied Woodpecker</v>
      </c>
      <c r="E2751" s="3" t="str">
        <f>VLOOKUP(B2751,LifeList!$E$2:$G$2038,2)</f>
        <v>Pic à ventre roux</v>
      </c>
      <c r="F2751" s="3" t="str">
        <f>VLOOKUP(B2751,LifeList!$E$2:$G$2038,3)</f>
        <v>Melanerpes carolinus</v>
      </c>
      <c r="G2751" s="3" t="str">
        <f>VLOOKUP(B2751,LifeList!$E$2:$I$2038,4)</f>
        <v>Piciformes</v>
      </c>
      <c r="H2751" s="3" t="str">
        <f>VLOOKUP(B2751,LifeList!$E$2:$I$2038,5)</f>
        <v>Picidae (Woodpeckers)</v>
      </c>
      <c r="I2751" s="3"/>
    </row>
    <row r="2752" spans="1:9" ht="10.5" customHeight="1">
      <c r="A2752" s="3" t="s">
        <v>3843</v>
      </c>
      <c r="B2752" s="3" t="s">
        <v>3837</v>
      </c>
      <c r="C2752" s="3">
        <f>VLOOKUP(B2752,LifeList!$E$2:$J$2038,6)</f>
        <v>11199</v>
      </c>
      <c r="D2752" s="3" t="str">
        <f>VLOOKUP(B2752,LifeList!$E$2:$G$2038,1)</f>
        <v>Red-bellied Woodpecker</v>
      </c>
      <c r="E2752" s="3" t="str">
        <f>VLOOKUP(B2752,LifeList!$E$2:$G$2038,2)</f>
        <v>Pic à ventre roux</v>
      </c>
      <c r="F2752" s="3" t="str">
        <f>VLOOKUP(B2752,LifeList!$E$2:$G$2038,3)</f>
        <v>Melanerpes carolinus</v>
      </c>
      <c r="G2752" s="3" t="str">
        <f>VLOOKUP(B2752,LifeList!$E$2:$I$2038,4)</f>
        <v>Piciformes</v>
      </c>
      <c r="H2752" s="3" t="str">
        <f>VLOOKUP(B2752,LifeList!$E$2:$I$2038,5)</f>
        <v>Picidae (Woodpeckers)</v>
      </c>
      <c r="I2752" s="3"/>
    </row>
    <row r="2753" spans="1:9" ht="10.5" customHeight="1">
      <c r="A2753" s="3" t="s">
        <v>3844</v>
      </c>
      <c r="B2753" s="3" t="s">
        <v>3837</v>
      </c>
      <c r="C2753" s="3">
        <f>VLOOKUP(B2753,LifeList!$E$2:$J$2038,6)</f>
        <v>11199</v>
      </c>
      <c r="D2753" s="3" t="str">
        <f>VLOOKUP(B2753,LifeList!$E$2:$G$2038,1)</f>
        <v>Red-bellied Woodpecker</v>
      </c>
      <c r="E2753" s="3" t="str">
        <f>VLOOKUP(B2753,LifeList!$E$2:$G$2038,2)</f>
        <v>Pic à ventre roux</v>
      </c>
      <c r="F2753" s="3" t="str">
        <f>VLOOKUP(B2753,LifeList!$E$2:$G$2038,3)</f>
        <v>Melanerpes carolinus</v>
      </c>
      <c r="G2753" s="3" t="str">
        <f>VLOOKUP(B2753,LifeList!$E$2:$I$2038,4)</f>
        <v>Piciformes</v>
      </c>
      <c r="H2753" s="3" t="str">
        <f>VLOOKUP(B2753,LifeList!$E$2:$I$2038,5)</f>
        <v>Picidae (Woodpeckers)</v>
      </c>
      <c r="I2753" s="3"/>
    </row>
    <row r="2754" spans="1:9" ht="10.5" customHeight="1">
      <c r="A2754" s="5" t="s">
        <v>3845</v>
      </c>
      <c r="B2754" s="3" t="s">
        <v>3846</v>
      </c>
      <c r="C2754" s="3">
        <f>VLOOKUP(B2754,LifeList!$E$2:$J$2038,6)</f>
        <v>30923</v>
      </c>
      <c r="D2754" s="3" t="str">
        <f>VLOOKUP(B2754,LifeList!$E$2:$G$2038,1)</f>
        <v>Red-billed Quelea</v>
      </c>
      <c r="E2754" s="3" t="str">
        <f>VLOOKUP(B2754,LifeList!$E$2:$G$2038,2)</f>
        <v>Travailleur à bec rouge</v>
      </c>
      <c r="F2754" s="3" t="str">
        <f>VLOOKUP(B2754,LifeList!$E$2:$G$2038,3)</f>
        <v>Quelea quelea</v>
      </c>
      <c r="G2754" s="3" t="str">
        <f>VLOOKUP(B2754,LifeList!$E$2:$I$2038,4)</f>
        <v>Passeriformes</v>
      </c>
      <c r="H2754" s="3" t="str">
        <f>VLOOKUP(B2754,LifeList!$E$2:$I$2038,5)</f>
        <v>Ploceidae (Weavers and Allies)</v>
      </c>
      <c r="I2754" s="3"/>
    </row>
    <row r="2755" spans="1:9" ht="10.5" customHeight="1">
      <c r="A2755" s="3" t="s">
        <v>3847</v>
      </c>
      <c r="B2755" s="3" t="s">
        <v>3848</v>
      </c>
      <c r="C2755" s="3">
        <f>VLOOKUP(B2755,LifeList!$E$2:$J$2038,6)</f>
        <v>30706</v>
      </c>
      <c r="D2755" s="3" t="str">
        <f>VLOOKUP(B2755,LifeList!$E$2:$G$2038,1)</f>
        <v>Red-billed Buffalo-Weaver</v>
      </c>
      <c r="E2755" s="3" t="str">
        <f>VLOOKUP(B2755,LifeList!$E$2:$G$2038,2)</f>
        <v>Alecto à bec rouge</v>
      </c>
      <c r="F2755" s="3" t="str">
        <f>VLOOKUP(B2755,LifeList!$E$2:$G$2038,3)</f>
        <v>Bubalornis niger</v>
      </c>
      <c r="G2755" s="3" t="str">
        <f>VLOOKUP(B2755,LifeList!$E$2:$I$2038,4)</f>
        <v>Passeriformes</v>
      </c>
      <c r="H2755" s="3" t="str">
        <f>VLOOKUP(B2755,LifeList!$E$2:$I$2038,5)</f>
        <v>Ploceidae (Weavers and Allies)</v>
      </c>
      <c r="I2755" s="3"/>
    </row>
    <row r="2756" spans="1:9" ht="10.5" customHeight="1">
      <c r="A2756" s="3" t="s">
        <v>3849</v>
      </c>
      <c r="B2756" s="3" t="s">
        <v>3848</v>
      </c>
      <c r="C2756" s="3">
        <f>VLOOKUP(B2756,LifeList!$E$2:$J$2038,6)</f>
        <v>30706</v>
      </c>
      <c r="D2756" s="3" t="str">
        <f>VLOOKUP(B2756,LifeList!$E$2:$G$2038,1)</f>
        <v>Red-billed Buffalo-Weaver</v>
      </c>
      <c r="E2756" s="3" t="str">
        <f>VLOOKUP(B2756,LifeList!$E$2:$G$2038,2)</f>
        <v>Alecto à bec rouge</v>
      </c>
      <c r="F2756" s="3" t="str">
        <f>VLOOKUP(B2756,LifeList!$E$2:$G$2038,3)</f>
        <v>Bubalornis niger</v>
      </c>
      <c r="G2756" s="3" t="str">
        <f>VLOOKUP(B2756,LifeList!$E$2:$I$2038,4)</f>
        <v>Passeriformes</v>
      </c>
      <c r="H2756" s="3" t="str">
        <f>VLOOKUP(B2756,LifeList!$E$2:$I$2038,5)</f>
        <v>Ploceidae (Weavers and Allies)</v>
      </c>
      <c r="I2756" s="3"/>
    </row>
    <row r="2757" spans="1:9" ht="10.5" customHeight="1">
      <c r="A2757" s="3" t="s">
        <v>3850</v>
      </c>
      <c r="B2757" s="3" t="s">
        <v>3851</v>
      </c>
      <c r="C2757" s="3">
        <f>VLOOKUP(B2757,LifeList!$E$2:$J$2038,6)</f>
        <v>591</v>
      </c>
      <c r="D2757" s="3" t="str">
        <f>VLOOKUP(B2757,LifeList!$E$2:$G$2038,1)</f>
        <v>Red-billed Duck</v>
      </c>
      <c r="E2757" s="3" t="str">
        <f>VLOOKUP(B2757,LifeList!$E$2:$G$2038,2)</f>
        <v>Canard à bec rouge</v>
      </c>
      <c r="F2757" s="3" t="str">
        <f>VLOOKUP(B2757,LifeList!$E$2:$G$2038,3)</f>
        <v>Anas erythrorhyncha</v>
      </c>
      <c r="G2757" s="3" t="str">
        <f>VLOOKUP(B2757,LifeList!$E$2:$I$2038,4)</f>
        <v>Anseriformes</v>
      </c>
      <c r="H2757" s="3" t="str">
        <f>VLOOKUP(B2757,LifeList!$E$2:$I$2038,5)</f>
        <v>Anatidae (Ducks, Geese, and Waterfowl)</v>
      </c>
      <c r="I2757" s="3"/>
    </row>
    <row r="2758" spans="1:9" ht="10.5" customHeight="1">
      <c r="A2758" s="3" t="s">
        <v>3852</v>
      </c>
      <c r="B2758" s="3" t="s">
        <v>3853</v>
      </c>
      <c r="C2758" s="3">
        <f>VLOOKUP(B2758,LifeList!$E$2:$J$2038,6)</f>
        <v>4896</v>
      </c>
      <c r="D2758" s="3" t="str">
        <f>VLOOKUP(B2758,LifeList!$E$2:$G$2038,1)</f>
        <v>Red-billed Emerald</v>
      </c>
      <c r="E2758" s="3" t="str">
        <f>VLOOKUP(B2758,LifeList!$E$2:$G$2038,2)</f>
        <v>Émeraude de Gibson</v>
      </c>
      <c r="F2758" s="3" t="str">
        <f>VLOOKUP(B2758,LifeList!$E$2:$G$2038,3)</f>
        <v>Chlorostilbon gibsoni</v>
      </c>
      <c r="G2758" s="3" t="str">
        <f>VLOOKUP(B2758,LifeList!$E$2:$I$2038,4)</f>
        <v>Apodiformes</v>
      </c>
      <c r="H2758" s="3" t="str">
        <f>VLOOKUP(B2758,LifeList!$E$2:$I$2038,5)</f>
        <v>Trochilidae (Hummingbirds)</v>
      </c>
      <c r="I2758" s="3"/>
    </row>
    <row r="2759" spans="1:9" ht="10.5" customHeight="1">
      <c r="A2759" s="3" t="s">
        <v>3854</v>
      </c>
      <c r="B2759" s="3" t="s">
        <v>3855</v>
      </c>
      <c r="C2759" s="3">
        <f>VLOOKUP(B2759,LifeList!$E$2:$J$2038,6)</f>
        <v>26565</v>
      </c>
      <c r="D2759" s="3" t="str">
        <f>VLOOKUP(B2759,LifeList!$E$2:$G$2038,1)</f>
        <v>Red-billed Leiothrix</v>
      </c>
      <c r="E2759" s="3" t="str">
        <f>VLOOKUP(B2759,LifeList!$E$2:$G$2038,2)</f>
        <v>Léiothrix jaune</v>
      </c>
      <c r="F2759" s="3" t="str">
        <f>VLOOKUP(B2759,LifeList!$E$2:$G$2038,3)</f>
        <v>Leiothrix lutea</v>
      </c>
      <c r="G2759" s="3" t="str">
        <f>VLOOKUP(B2759,LifeList!$E$2:$I$2038,4)</f>
        <v>Passeriformes</v>
      </c>
      <c r="H2759" s="3" t="str">
        <f>VLOOKUP(B2759,LifeList!$E$2:$I$2038,5)</f>
        <v>Leiothrichidae (Laughingthrushes and Allies)</v>
      </c>
      <c r="I2759" s="3"/>
    </row>
    <row r="2760" spans="1:9" ht="10.5" customHeight="1">
      <c r="A2760" s="7" t="s">
        <v>3856</v>
      </c>
      <c r="B2760" s="9" t="s">
        <v>3857</v>
      </c>
      <c r="C2760" s="6">
        <f>VLOOKUP(B2760,LifeList!$E$2:$J$2038,6)</f>
        <v>27680</v>
      </c>
      <c r="D2760" s="3" t="str">
        <f>VLOOKUP(B2760,LifeList!$E$2:$G$2038,1)</f>
        <v>Red-billed Oxpecker</v>
      </c>
      <c r="E2760" s="3" t="str">
        <f>VLOOKUP(B2760,LifeList!$E$2:$G$2038,2)</f>
        <v>Piqueboeuf à bec rouge</v>
      </c>
      <c r="F2760" s="3" t="str">
        <f>VLOOKUP(B2760,LifeList!$E$2:$G$2038,3)</f>
        <v>Buphagus erythroryncha</v>
      </c>
      <c r="G2760" s="3" t="str">
        <f>VLOOKUP(B2760,LifeList!$E$2:$I$2038,4)</f>
        <v>Passeriformes</v>
      </c>
      <c r="H2760" s="3" t="str">
        <f>VLOOKUP(B2760,LifeList!$E$2:$I$2038,5)</f>
        <v>Buphagidae (Oxpeckers)</v>
      </c>
      <c r="I2760" s="3"/>
    </row>
    <row r="2761" spans="1:9" ht="10.5" customHeight="1">
      <c r="A2761" s="3" t="s">
        <v>3858</v>
      </c>
      <c r="B2761" s="3" t="s">
        <v>3859</v>
      </c>
      <c r="C2761" s="3">
        <f>VLOOKUP(B2761,LifeList!$E$2:$J$2038,6)</f>
        <v>12874</v>
      </c>
      <c r="D2761" s="3" t="str">
        <f>VLOOKUP(B2761,LifeList!$E$2:$G$2038,1)</f>
        <v>Red-billed Parrot</v>
      </c>
      <c r="E2761" s="3" t="str">
        <f>VLOOKUP(B2761,LifeList!$E$2:$G$2038,2)</f>
        <v>Pione à bec rouge</v>
      </c>
      <c r="F2761" s="3" t="str">
        <f>VLOOKUP(B2761,LifeList!$E$2:$G$2038,3)</f>
        <v>Pionus sordidus</v>
      </c>
      <c r="G2761" s="3" t="str">
        <f>VLOOKUP(B2761,LifeList!$E$2:$I$2038,4)</f>
        <v>Psittaciformes</v>
      </c>
      <c r="H2761" s="3" t="str">
        <f>VLOOKUP(B2761,LifeList!$E$2:$I$2038,5)</f>
        <v>Psittacidae (New World and African Parrots)</v>
      </c>
      <c r="I2761" s="3"/>
    </row>
    <row r="2762" spans="1:9" ht="10.5" customHeight="1">
      <c r="A2762" s="3" t="s">
        <v>3860</v>
      </c>
      <c r="B2762" s="3" t="s">
        <v>3859</v>
      </c>
      <c r="C2762" s="3">
        <f>VLOOKUP(B2762,LifeList!$E$2:$J$2038,6)</f>
        <v>12874</v>
      </c>
      <c r="D2762" s="3" t="str">
        <f>VLOOKUP(B2762,LifeList!$E$2:$G$2038,1)</f>
        <v>Red-billed Parrot</v>
      </c>
      <c r="E2762" s="3" t="str">
        <f>VLOOKUP(B2762,LifeList!$E$2:$G$2038,2)</f>
        <v>Pione à bec rouge</v>
      </c>
      <c r="F2762" s="3" t="str">
        <f>VLOOKUP(B2762,LifeList!$E$2:$G$2038,3)</f>
        <v>Pionus sordidus</v>
      </c>
      <c r="G2762" s="3" t="str">
        <f>VLOOKUP(B2762,LifeList!$E$2:$I$2038,4)</f>
        <v>Psittaciformes</v>
      </c>
      <c r="H2762" s="3" t="str">
        <f>VLOOKUP(B2762,LifeList!$E$2:$I$2038,5)</f>
        <v>Psittacidae (New World and African Parrots)</v>
      </c>
      <c r="I2762" s="3"/>
    </row>
    <row r="2763" spans="1:9" ht="10.5" customHeight="1">
      <c r="A2763" s="3" t="s">
        <v>3861</v>
      </c>
      <c r="B2763" s="3" t="s">
        <v>3862</v>
      </c>
      <c r="C2763" s="3">
        <f>VLOOKUP(B2763,LifeList!$E$2:$J$2038,6)</f>
        <v>1957</v>
      </c>
      <c r="D2763" s="3" t="str">
        <f>VLOOKUP(B2763,LifeList!$E$2:$G$2038,1)</f>
        <v>Red-billed Pigeon</v>
      </c>
      <c r="E2763" s="3" t="str">
        <f>VLOOKUP(B2763,LifeList!$E$2:$G$2038,2)</f>
        <v>Pigeon à bec rouge</v>
      </c>
      <c r="F2763" s="3" t="str">
        <f>VLOOKUP(B2763,LifeList!$E$2:$G$2038,3)</f>
        <v>Patagioenas flavirostris</v>
      </c>
      <c r="G2763" s="3" t="str">
        <f>VLOOKUP(B2763,LifeList!$E$2:$I$2038,4)</f>
        <v>Columbiformes</v>
      </c>
      <c r="H2763" s="3" t="str">
        <f>VLOOKUP(B2763,LifeList!$E$2:$I$2038,5)</f>
        <v>Columbidae (Pigeons and Doves)</v>
      </c>
      <c r="I2763" s="3"/>
    </row>
    <row r="2764" spans="1:9" ht="10.5" customHeight="1">
      <c r="A2764" s="3" t="s">
        <v>3863</v>
      </c>
      <c r="B2764" s="3" t="s">
        <v>3864</v>
      </c>
      <c r="C2764" s="3">
        <f>VLOOKUP(B2764,LifeList!$E$2:$J$2038,6)</f>
        <v>1822</v>
      </c>
      <c r="D2764" s="3" t="str">
        <f>VLOOKUP(B2764,LifeList!$E$2:$G$2038,1)</f>
        <v>Red-billed Spurfowl</v>
      </c>
      <c r="E2764" s="3" t="str">
        <f>VLOOKUP(B2764,LifeList!$E$2:$G$2038,2)</f>
        <v>Francolin à bec rouge</v>
      </c>
      <c r="F2764" s="3" t="str">
        <f>VLOOKUP(B2764,LifeList!$E$2:$G$2038,3)</f>
        <v>Pternistis adspersus</v>
      </c>
      <c r="G2764" s="3" t="str">
        <f>VLOOKUP(B2764,LifeList!$E$2:$I$2038,4)</f>
        <v>Galliformes</v>
      </c>
      <c r="H2764" s="3" t="str">
        <f>VLOOKUP(B2764,LifeList!$E$2:$I$2038,5)</f>
        <v>Phasianidae (Pheasants, Grouse, and Allies)</v>
      </c>
      <c r="I2764" s="3"/>
    </row>
    <row r="2765" spans="1:9" ht="10.5" customHeight="1">
      <c r="A2765" s="3" t="s">
        <v>3865</v>
      </c>
      <c r="B2765" s="3" t="s">
        <v>3866</v>
      </c>
      <c r="C2765" s="3">
        <f>VLOOKUP(B2765,LifeList!$E$2:$J$2038,6)</f>
        <v>6915</v>
      </c>
      <c r="D2765" s="3" t="str">
        <f>VLOOKUP(B2765,LifeList!$E$2:$G$2038,1)</f>
        <v>Red-billed Tropicbird</v>
      </c>
      <c r="E2765" s="3" t="str">
        <f>VLOOKUP(B2765,LifeList!$E$2:$G$2038,2)</f>
        <v>Phaéton à bec rouge</v>
      </c>
      <c r="F2765" s="3" t="str">
        <f>VLOOKUP(B2765,LifeList!$E$2:$G$2038,3)</f>
        <v>Phaethon aethereus</v>
      </c>
      <c r="G2765" s="3" t="str">
        <f>VLOOKUP(B2765,LifeList!$E$2:$I$2038,4)</f>
        <v>Phaethontiformes</v>
      </c>
      <c r="H2765" s="3" t="str">
        <f>VLOOKUP(B2765,LifeList!$E$2:$I$2038,5)</f>
        <v>Phaethontidae (Tropicbirds)</v>
      </c>
      <c r="I2765" s="3"/>
    </row>
    <row r="2766" spans="1:9" ht="10.5" customHeight="1">
      <c r="A2766" s="3" t="s">
        <v>3867</v>
      </c>
      <c r="B2766" s="3" t="s">
        <v>3866</v>
      </c>
      <c r="C2766" s="3">
        <f>VLOOKUP(B2766,LifeList!$E$2:$J$2038,6)</f>
        <v>6915</v>
      </c>
      <c r="D2766" s="3" t="str">
        <f>VLOOKUP(B2766,LifeList!$E$2:$G$2038,1)</f>
        <v>Red-billed Tropicbird</v>
      </c>
      <c r="E2766" s="3" t="str">
        <f>VLOOKUP(B2766,LifeList!$E$2:$G$2038,2)</f>
        <v>Phaéton à bec rouge</v>
      </c>
      <c r="F2766" s="3" t="str">
        <f>VLOOKUP(B2766,LifeList!$E$2:$G$2038,3)</f>
        <v>Phaethon aethereus</v>
      </c>
      <c r="G2766" s="3" t="str">
        <f>VLOOKUP(B2766,LifeList!$E$2:$I$2038,4)</f>
        <v>Phaethontiformes</v>
      </c>
      <c r="H2766" s="3" t="str">
        <f>VLOOKUP(B2766,LifeList!$E$2:$I$2038,5)</f>
        <v>Phaethontidae (Tropicbirds)</v>
      </c>
      <c r="I2766" s="3"/>
    </row>
    <row r="2767" spans="1:9" ht="10.5" customHeight="1">
      <c r="A2767" s="3" t="s">
        <v>3868</v>
      </c>
      <c r="B2767" s="3" t="s">
        <v>3869</v>
      </c>
      <c r="C2767" s="3">
        <f>VLOOKUP(B2767,LifeList!$E$2:$J$2038,6)</f>
        <v>3074</v>
      </c>
      <c r="D2767" s="3" t="str">
        <f>VLOOKUP(B2767,LifeList!$E$2:$G$2038,1)</f>
        <v>Red-breasted Coua</v>
      </c>
      <c r="E2767" s="3" t="str">
        <f>VLOOKUP(B2767,LifeList!$E$2:$G$2038,2)</f>
        <v>Coua de Serrès</v>
      </c>
      <c r="F2767" s="3" t="str">
        <f>VLOOKUP(B2767,LifeList!$E$2:$G$2038,3)</f>
        <v>Coua serriana</v>
      </c>
      <c r="G2767" s="3" t="str">
        <f>VLOOKUP(B2767,LifeList!$E$2:$I$2038,4)</f>
        <v>Cuculiformes</v>
      </c>
      <c r="H2767" s="3" t="str">
        <f>VLOOKUP(B2767,LifeList!$E$2:$I$2038,5)</f>
        <v>Cuculidae (Cuckoos)</v>
      </c>
      <c r="I2767" s="3"/>
    </row>
    <row r="2768" spans="1:9" ht="10.5" customHeight="1">
      <c r="A2768" s="3" t="s">
        <v>3870</v>
      </c>
      <c r="B2768" s="3" t="s">
        <v>3871</v>
      </c>
      <c r="C2768" s="3">
        <f>VLOOKUP(B2768,LifeList!$E$2:$J$2038,6)</f>
        <v>33594</v>
      </c>
      <c r="D2768" s="3" t="str">
        <f>VLOOKUP(B2768,LifeList!$E$2:$G$2038,1)</f>
        <v>Red-breasted Meadowlark</v>
      </c>
      <c r="E2768" s="3" t="str">
        <f>VLOOKUP(B2768,LifeList!$E$2:$G$2038,2)</f>
        <v>Sturnelle militaire</v>
      </c>
      <c r="F2768" s="3" t="str">
        <f>VLOOKUP(B2768,LifeList!$E$2:$G$2038,3)</f>
        <v>Leistes militaris</v>
      </c>
      <c r="G2768" s="3" t="str">
        <f>VLOOKUP(B2768,LifeList!$E$2:$I$2038,4)</f>
        <v>Passeriformes</v>
      </c>
      <c r="H2768" s="3" t="str">
        <f>VLOOKUP(B2768,LifeList!$E$2:$I$2038,5)</f>
        <v>Icteridae (Troupials and Allies)</v>
      </c>
      <c r="I2768" s="3"/>
    </row>
    <row r="2769" spans="1:9" ht="10.5" customHeight="1">
      <c r="A2769" s="3" t="s">
        <v>3872</v>
      </c>
      <c r="B2769" s="3" t="s">
        <v>3873</v>
      </c>
      <c r="C2769" s="3">
        <f>VLOOKUP(B2769,LifeList!$E$2:$J$2038,6)</f>
        <v>770</v>
      </c>
      <c r="D2769" s="3" t="str">
        <f>VLOOKUP(B2769,LifeList!$E$2:$G$2038,1)</f>
        <v>Red-breasted Merganser</v>
      </c>
      <c r="E2769" s="3" t="str">
        <f>VLOOKUP(B2769,LifeList!$E$2:$G$2038,2)</f>
        <v>Harle huppé</v>
      </c>
      <c r="F2769" s="3" t="str">
        <f>VLOOKUP(B2769,LifeList!$E$2:$G$2038,3)</f>
        <v>Mergus serrator</v>
      </c>
      <c r="G2769" s="3" t="str">
        <f>VLOOKUP(B2769,LifeList!$E$2:$I$2038,4)</f>
        <v>Anseriformes</v>
      </c>
      <c r="H2769" s="3" t="str">
        <f>VLOOKUP(B2769,LifeList!$E$2:$I$2038,5)</f>
        <v>Anatidae (Ducks, Geese, and Waterfowl)</v>
      </c>
      <c r="I2769" s="3"/>
    </row>
    <row r="2770" spans="1:9" ht="10.5" customHeight="1">
      <c r="A2770" s="3" t="s">
        <v>3874</v>
      </c>
      <c r="B2770" s="3" t="s">
        <v>3873</v>
      </c>
      <c r="C2770" s="3">
        <f>VLOOKUP(B2770,LifeList!$E$2:$J$2038,6)</f>
        <v>770</v>
      </c>
      <c r="D2770" s="3" t="str">
        <f>VLOOKUP(B2770,LifeList!$E$2:$G$2038,1)</f>
        <v>Red-breasted Merganser</v>
      </c>
      <c r="E2770" s="3" t="str">
        <f>VLOOKUP(B2770,LifeList!$E$2:$G$2038,2)</f>
        <v>Harle huppé</v>
      </c>
      <c r="F2770" s="3" t="str">
        <f>VLOOKUP(B2770,LifeList!$E$2:$G$2038,3)</f>
        <v>Mergus serrator</v>
      </c>
      <c r="G2770" s="3" t="str">
        <f>VLOOKUP(B2770,LifeList!$E$2:$I$2038,4)</f>
        <v>Anseriformes</v>
      </c>
      <c r="H2770" s="3" t="str">
        <f>VLOOKUP(B2770,LifeList!$E$2:$I$2038,5)</f>
        <v>Anatidae (Ducks, Geese, and Waterfowl)</v>
      </c>
      <c r="I2770" s="3"/>
    </row>
    <row r="2771" spans="1:9" ht="10.5" customHeight="1">
      <c r="A2771" s="3" t="s">
        <v>3875</v>
      </c>
      <c r="B2771" s="3" t="s">
        <v>3873</v>
      </c>
      <c r="C2771" s="3">
        <f>VLOOKUP(B2771,LifeList!$E$2:$J$2038,6)</f>
        <v>770</v>
      </c>
      <c r="D2771" s="3" t="str">
        <f>VLOOKUP(B2771,LifeList!$E$2:$G$2038,1)</f>
        <v>Red-breasted Merganser</v>
      </c>
      <c r="E2771" s="3" t="str">
        <f>VLOOKUP(B2771,LifeList!$E$2:$G$2038,2)</f>
        <v>Harle huppé</v>
      </c>
      <c r="F2771" s="3" t="str">
        <f>VLOOKUP(B2771,LifeList!$E$2:$G$2038,3)</f>
        <v>Mergus serrator</v>
      </c>
      <c r="G2771" s="3" t="str">
        <f>VLOOKUP(B2771,LifeList!$E$2:$I$2038,4)</f>
        <v>Anseriformes</v>
      </c>
      <c r="H2771" s="3" t="str">
        <f>VLOOKUP(B2771,LifeList!$E$2:$I$2038,5)</f>
        <v>Anatidae (Ducks, Geese, and Waterfowl)</v>
      </c>
      <c r="I2771" s="3"/>
    </row>
    <row r="2772" spans="1:9" ht="10.5" customHeight="1">
      <c r="A2772" s="3" t="s">
        <v>3876</v>
      </c>
      <c r="B2772" s="3" t="s">
        <v>3873</v>
      </c>
      <c r="C2772" s="3">
        <f>VLOOKUP(B2772,LifeList!$E$2:$J$2038,6)</f>
        <v>770</v>
      </c>
      <c r="D2772" s="3" t="str">
        <f>VLOOKUP(B2772,LifeList!$E$2:$G$2038,1)</f>
        <v>Red-breasted Merganser</v>
      </c>
      <c r="E2772" s="3" t="str">
        <f>VLOOKUP(B2772,LifeList!$E$2:$G$2038,2)</f>
        <v>Harle huppé</v>
      </c>
      <c r="F2772" s="3" t="str">
        <f>VLOOKUP(B2772,LifeList!$E$2:$G$2038,3)</f>
        <v>Mergus serrator</v>
      </c>
      <c r="G2772" s="3" t="str">
        <f>VLOOKUP(B2772,LifeList!$E$2:$I$2038,4)</f>
        <v>Anseriformes</v>
      </c>
      <c r="H2772" s="3" t="str">
        <f>VLOOKUP(B2772,LifeList!$E$2:$I$2038,5)</f>
        <v>Anatidae (Ducks, Geese, and Waterfowl)</v>
      </c>
      <c r="I2772" s="3"/>
    </row>
    <row r="2773" spans="1:9" ht="10.5" customHeight="1">
      <c r="A2773" s="3" t="s">
        <v>3877</v>
      </c>
      <c r="B2773" s="3" t="s">
        <v>3873</v>
      </c>
      <c r="C2773" s="3">
        <f>VLOOKUP(B2773,LifeList!$E$2:$J$2038,6)</f>
        <v>770</v>
      </c>
      <c r="D2773" s="3" t="str">
        <f>VLOOKUP(B2773,LifeList!$E$2:$G$2038,1)</f>
        <v>Red-breasted Merganser</v>
      </c>
      <c r="E2773" s="3" t="str">
        <f>VLOOKUP(B2773,LifeList!$E$2:$G$2038,2)</f>
        <v>Harle huppé</v>
      </c>
      <c r="F2773" s="3" t="str">
        <f>VLOOKUP(B2773,LifeList!$E$2:$G$2038,3)</f>
        <v>Mergus serrator</v>
      </c>
      <c r="G2773" s="3" t="str">
        <f>VLOOKUP(B2773,LifeList!$E$2:$I$2038,4)</f>
        <v>Anseriformes</v>
      </c>
      <c r="H2773" s="3" t="str">
        <f>VLOOKUP(B2773,LifeList!$E$2:$I$2038,5)</f>
        <v>Anatidae (Ducks, Geese, and Waterfowl)</v>
      </c>
      <c r="I2773" s="3"/>
    </row>
    <row r="2774" spans="1:9" ht="10.5" customHeight="1">
      <c r="A2774" s="3" t="s">
        <v>3878</v>
      </c>
      <c r="B2774" s="3" t="s">
        <v>3873</v>
      </c>
      <c r="C2774" s="3">
        <f>VLOOKUP(B2774,LifeList!$E$2:$J$2038,6)</f>
        <v>770</v>
      </c>
      <c r="D2774" s="3" t="str">
        <f>VLOOKUP(B2774,LifeList!$E$2:$G$2038,1)</f>
        <v>Red-breasted Merganser</v>
      </c>
      <c r="E2774" s="3" t="str">
        <f>VLOOKUP(B2774,LifeList!$E$2:$G$2038,2)</f>
        <v>Harle huppé</v>
      </c>
      <c r="F2774" s="3" t="str">
        <f>VLOOKUP(B2774,LifeList!$E$2:$G$2038,3)</f>
        <v>Mergus serrator</v>
      </c>
      <c r="G2774" s="3" t="str">
        <f>VLOOKUP(B2774,LifeList!$E$2:$I$2038,4)</f>
        <v>Anseriformes</v>
      </c>
      <c r="H2774" s="3" t="str">
        <f>VLOOKUP(B2774,LifeList!$E$2:$I$2038,5)</f>
        <v>Anatidae (Ducks, Geese, and Waterfowl)</v>
      </c>
      <c r="I2774" s="3"/>
    </row>
    <row r="2775" spans="1:9" ht="10.5" customHeight="1">
      <c r="A2775" s="3" t="s">
        <v>3879</v>
      </c>
      <c r="B2775" s="3" t="s">
        <v>3873</v>
      </c>
      <c r="C2775" s="3">
        <f>VLOOKUP(B2775,LifeList!$E$2:$J$2038,6)</f>
        <v>770</v>
      </c>
      <c r="D2775" s="3" t="str">
        <f>VLOOKUP(B2775,LifeList!$E$2:$G$2038,1)</f>
        <v>Red-breasted Merganser</v>
      </c>
      <c r="E2775" s="3" t="str">
        <f>VLOOKUP(B2775,LifeList!$E$2:$G$2038,2)</f>
        <v>Harle huppé</v>
      </c>
      <c r="F2775" s="3" t="str">
        <f>VLOOKUP(B2775,LifeList!$E$2:$G$2038,3)</f>
        <v>Mergus serrator</v>
      </c>
      <c r="G2775" s="3" t="str">
        <f>VLOOKUP(B2775,LifeList!$E$2:$I$2038,4)</f>
        <v>Anseriformes</v>
      </c>
      <c r="H2775" s="3" t="str">
        <f>VLOOKUP(B2775,LifeList!$E$2:$I$2038,5)</f>
        <v>Anatidae (Ducks, Geese, and Waterfowl)</v>
      </c>
      <c r="I2775" s="3"/>
    </row>
    <row r="2776" spans="1:9" ht="10.5" customHeight="1">
      <c r="A2776" s="3" t="s">
        <v>3880</v>
      </c>
      <c r="B2776" s="3" t="s">
        <v>3881</v>
      </c>
      <c r="C2776" s="3">
        <f>VLOOKUP(B2776,LifeList!$E$2:$J$2038,6)</f>
        <v>26937</v>
      </c>
      <c r="D2776" s="3" t="str">
        <f>VLOOKUP(B2776,LifeList!$E$2:$G$2038,1)</f>
        <v>Red-breasted Nuthatch</v>
      </c>
      <c r="E2776" s="3" t="str">
        <f>VLOOKUP(B2776,LifeList!$E$2:$G$2038,2)</f>
        <v>Sittelle à poitrine rousse</v>
      </c>
      <c r="F2776" s="3" t="str">
        <f>VLOOKUP(B2776,LifeList!$E$2:$G$2038,3)</f>
        <v>Sitta canadensis</v>
      </c>
      <c r="G2776" s="3" t="str">
        <f>VLOOKUP(B2776,LifeList!$E$2:$I$2038,4)</f>
        <v>Passeriformes</v>
      </c>
      <c r="H2776" s="3" t="str">
        <f>VLOOKUP(B2776,LifeList!$E$2:$I$2038,5)</f>
        <v>Sittidae (Nuthatches)</v>
      </c>
      <c r="I2776" s="3"/>
    </row>
    <row r="2777" spans="1:9" ht="10.5" customHeight="1">
      <c r="A2777" s="3" t="s">
        <v>3882</v>
      </c>
      <c r="B2777" s="3" t="s">
        <v>3881</v>
      </c>
      <c r="C2777" s="3">
        <f>VLOOKUP(B2777,LifeList!$E$2:$J$2038,6)</f>
        <v>26937</v>
      </c>
      <c r="D2777" s="3" t="str">
        <f>VLOOKUP(B2777,LifeList!$E$2:$G$2038,1)</f>
        <v>Red-breasted Nuthatch</v>
      </c>
      <c r="E2777" s="3" t="str">
        <f>VLOOKUP(B2777,LifeList!$E$2:$G$2038,2)</f>
        <v>Sittelle à poitrine rousse</v>
      </c>
      <c r="F2777" s="3" t="str">
        <f>VLOOKUP(B2777,LifeList!$E$2:$G$2038,3)</f>
        <v>Sitta canadensis</v>
      </c>
      <c r="G2777" s="3" t="str">
        <f>VLOOKUP(B2777,LifeList!$E$2:$I$2038,4)</f>
        <v>Passeriformes</v>
      </c>
      <c r="H2777" s="3" t="str">
        <f>VLOOKUP(B2777,LifeList!$E$2:$I$2038,5)</f>
        <v>Sittidae (Nuthatches)</v>
      </c>
      <c r="I2777" s="3"/>
    </row>
    <row r="2778" spans="1:9" ht="10.5" customHeight="1">
      <c r="A2778" s="3" t="s">
        <v>3883</v>
      </c>
      <c r="B2778" s="3" t="s">
        <v>3881</v>
      </c>
      <c r="C2778" s="3">
        <f>VLOOKUP(B2778,LifeList!$E$2:$J$2038,6)</f>
        <v>26937</v>
      </c>
      <c r="D2778" s="3" t="str">
        <f>VLOOKUP(B2778,LifeList!$E$2:$G$2038,1)</f>
        <v>Red-breasted Nuthatch</v>
      </c>
      <c r="E2778" s="3" t="str">
        <f>VLOOKUP(B2778,LifeList!$E$2:$G$2038,2)</f>
        <v>Sittelle à poitrine rousse</v>
      </c>
      <c r="F2778" s="3" t="str">
        <f>VLOOKUP(B2778,LifeList!$E$2:$G$2038,3)</f>
        <v>Sitta canadensis</v>
      </c>
      <c r="G2778" s="3" t="str">
        <f>VLOOKUP(B2778,LifeList!$E$2:$I$2038,4)</f>
        <v>Passeriformes</v>
      </c>
      <c r="H2778" s="3" t="str">
        <f>VLOOKUP(B2778,LifeList!$E$2:$I$2038,5)</f>
        <v>Sittidae (Nuthatches)</v>
      </c>
      <c r="I2778" s="3"/>
    </row>
    <row r="2779" spans="1:9" ht="10.5" customHeight="1">
      <c r="A2779" s="3" t="s">
        <v>3884</v>
      </c>
      <c r="B2779" s="3" t="s">
        <v>3881</v>
      </c>
      <c r="C2779" s="3">
        <f>VLOOKUP(B2779,LifeList!$E$2:$J$2038,6)</f>
        <v>26937</v>
      </c>
      <c r="D2779" s="3" t="str">
        <f>VLOOKUP(B2779,LifeList!$E$2:$G$2038,1)</f>
        <v>Red-breasted Nuthatch</v>
      </c>
      <c r="E2779" s="3" t="str">
        <f>VLOOKUP(B2779,LifeList!$E$2:$G$2038,2)</f>
        <v>Sittelle à poitrine rousse</v>
      </c>
      <c r="F2779" s="3" t="str">
        <f>VLOOKUP(B2779,LifeList!$E$2:$G$2038,3)</f>
        <v>Sitta canadensis</v>
      </c>
      <c r="G2779" s="3" t="str">
        <f>VLOOKUP(B2779,LifeList!$E$2:$I$2038,4)</f>
        <v>Passeriformes</v>
      </c>
      <c r="H2779" s="3" t="str">
        <f>VLOOKUP(B2779,LifeList!$E$2:$I$2038,5)</f>
        <v>Sittidae (Nuthatches)</v>
      </c>
      <c r="I2779" s="3"/>
    </row>
    <row r="2780" spans="1:9" ht="10.5" customHeight="1">
      <c r="A2780" s="7" t="s">
        <v>3885</v>
      </c>
      <c r="B2780" s="9" t="s">
        <v>3886</v>
      </c>
      <c r="C2780" s="6">
        <f>VLOOKUP(B2780,LifeList!$E$2:$J$2038,6)</f>
        <v>11130</v>
      </c>
      <c r="D2780" s="3" t="str">
        <f>VLOOKUP(B2780,LifeList!$E$2:$G$2038,1)</f>
        <v>Red-breasted Sapsucker</v>
      </c>
      <c r="E2780" s="3" t="str">
        <f>VLOOKUP(B2780,LifeList!$E$2:$G$2038,2)</f>
        <v>Pic à poitrine rouge</v>
      </c>
      <c r="F2780" s="3" t="str">
        <f>VLOOKUP(B2780,LifeList!$E$2:$G$2038,3)</f>
        <v>Sphyrapicus ruber</v>
      </c>
      <c r="G2780" s="3" t="str">
        <f>VLOOKUP(B2780,LifeList!$E$2:$I$2038,4)</f>
        <v>Piciformes</v>
      </c>
      <c r="H2780" s="3" t="str">
        <f>VLOOKUP(B2780,LifeList!$E$2:$I$2038,5)</f>
        <v>Picidae (Woodpeckers)</v>
      </c>
      <c r="I2780" s="3"/>
    </row>
    <row r="2781" spans="1:9" ht="10.5" customHeight="1">
      <c r="A2781" s="3" t="s">
        <v>3887</v>
      </c>
      <c r="B2781" s="3" t="s">
        <v>3888</v>
      </c>
      <c r="C2781" s="3">
        <f>VLOOKUP(B2781,LifeList!$E$2:$J$2038,6)</f>
        <v>31023</v>
      </c>
      <c r="D2781" s="3" t="str">
        <f>VLOOKUP(B2781,LifeList!$E$2:$G$2038,1)</f>
        <v>Red-browed Firetail</v>
      </c>
      <c r="E2781" s="3" t="str">
        <f>VLOOKUP(B2781,LifeList!$E$2:$G$2038,2)</f>
        <v>Diamant à cinq couleurs</v>
      </c>
      <c r="F2781" s="3" t="str">
        <f>VLOOKUP(B2781,LifeList!$E$2:$G$2038,3)</f>
        <v>Neochmia temporalis</v>
      </c>
      <c r="G2781" s="3" t="str">
        <f>VLOOKUP(B2781,LifeList!$E$2:$I$2038,4)</f>
        <v>Passeriformes</v>
      </c>
      <c r="H2781" s="3" t="str">
        <f>VLOOKUP(B2781,LifeList!$E$2:$I$2038,5)</f>
        <v>Estrildidae (Waxbills and Allies)</v>
      </c>
      <c r="I2781" s="3"/>
    </row>
    <row r="2782" spans="1:9" ht="10.5" customHeight="1">
      <c r="A2782" s="3" t="s">
        <v>3889</v>
      </c>
      <c r="B2782" s="3" t="s">
        <v>3888</v>
      </c>
      <c r="C2782" s="3">
        <f>VLOOKUP(B2782,LifeList!$E$2:$J$2038,6)</f>
        <v>31023</v>
      </c>
      <c r="D2782" s="3" t="str">
        <f>VLOOKUP(B2782,LifeList!$E$2:$G$2038,1)</f>
        <v>Red-browed Firetail</v>
      </c>
      <c r="E2782" s="3" t="str">
        <f>VLOOKUP(B2782,LifeList!$E$2:$G$2038,2)</f>
        <v>Diamant à cinq couleurs</v>
      </c>
      <c r="F2782" s="3" t="str">
        <f>VLOOKUP(B2782,LifeList!$E$2:$G$2038,3)</f>
        <v>Neochmia temporalis</v>
      </c>
      <c r="G2782" s="3" t="str">
        <f>VLOOKUP(B2782,LifeList!$E$2:$I$2038,4)</f>
        <v>Passeriformes</v>
      </c>
      <c r="H2782" s="3" t="str">
        <f>VLOOKUP(B2782,LifeList!$E$2:$I$2038,5)</f>
        <v>Estrildidae (Waxbills and Allies)</v>
      </c>
      <c r="I2782" s="3"/>
    </row>
    <row r="2783" spans="1:9" ht="10.5" customHeight="1">
      <c r="A2783" s="3" t="s">
        <v>3890</v>
      </c>
      <c r="B2783" s="3" t="s">
        <v>3891</v>
      </c>
      <c r="C2783" s="3">
        <f>VLOOKUP(B2783,LifeList!$E$2:$J$2038,6)</f>
        <v>22775</v>
      </c>
      <c r="D2783" s="3" t="str">
        <f>VLOOKUP(B2783,LifeList!$E$2:$G$2038,1)</f>
        <v>Red-capped Lark</v>
      </c>
      <c r="E2783" s="3" t="str">
        <f>VLOOKUP(B2783,LifeList!$E$2:$G$2038,2)</f>
        <v>Alouette cendrille</v>
      </c>
      <c r="F2783" s="3" t="str">
        <f>VLOOKUP(B2783,LifeList!$E$2:$G$2038,3)</f>
        <v>Calandrella cinerea</v>
      </c>
      <c r="G2783" s="3" t="str">
        <f>VLOOKUP(B2783,LifeList!$E$2:$I$2038,4)</f>
        <v>Passeriformes</v>
      </c>
      <c r="H2783" s="3" t="str">
        <f>VLOOKUP(B2783,LifeList!$E$2:$I$2038,5)</f>
        <v>Alaudidae (Larks)</v>
      </c>
      <c r="I2783" s="3"/>
    </row>
    <row r="2784" spans="1:9" ht="10.5" customHeight="1">
      <c r="A2784" s="3" t="s">
        <v>3892</v>
      </c>
      <c r="B2784" s="3" t="s">
        <v>3893</v>
      </c>
      <c r="C2784" s="3">
        <f>VLOOKUP(B2784,LifeList!$E$2:$J$2038,6)</f>
        <v>15836</v>
      </c>
      <c r="D2784" s="3" t="str">
        <f>VLOOKUP(B2784,LifeList!$E$2:$G$2038,1)</f>
        <v>Red-capped Manakin</v>
      </c>
      <c r="E2784" s="3" t="str">
        <f>VLOOKUP(B2784,LifeList!$E$2:$G$2038,2)</f>
        <v>Manakin à cuisses jaunes</v>
      </c>
      <c r="F2784" s="3" t="str">
        <f>VLOOKUP(B2784,LifeList!$E$2:$G$2038,3)</f>
        <v>Ceratopipra mentalis</v>
      </c>
      <c r="G2784" s="3" t="str">
        <f>VLOOKUP(B2784,LifeList!$E$2:$I$2038,4)</f>
        <v>Passeriformes</v>
      </c>
      <c r="H2784" s="3" t="str">
        <f>VLOOKUP(B2784,LifeList!$E$2:$I$2038,5)</f>
        <v>Pipridae (Manakins)</v>
      </c>
      <c r="I2784" s="3"/>
    </row>
    <row r="2785" spans="1:9" ht="10.5" customHeight="1">
      <c r="A2785" s="3" t="s">
        <v>3894</v>
      </c>
      <c r="B2785" s="3" t="s">
        <v>3893</v>
      </c>
      <c r="C2785" s="3">
        <f>VLOOKUP(B2785,LifeList!$E$2:$J$2038,6)</f>
        <v>15836</v>
      </c>
      <c r="D2785" s="3" t="str">
        <f>VLOOKUP(B2785,LifeList!$E$2:$G$2038,1)</f>
        <v>Red-capped Manakin</v>
      </c>
      <c r="E2785" s="3" t="str">
        <f>VLOOKUP(B2785,LifeList!$E$2:$G$2038,2)</f>
        <v>Manakin à cuisses jaunes</v>
      </c>
      <c r="F2785" s="3" t="str">
        <f>VLOOKUP(B2785,LifeList!$E$2:$G$2038,3)</f>
        <v>Ceratopipra mentalis</v>
      </c>
      <c r="G2785" s="3" t="str">
        <f>VLOOKUP(B2785,LifeList!$E$2:$I$2038,4)</f>
        <v>Passeriformes</v>
      </c>
      <c r="H2785" s="3" t="str">
        <f>VLOOKUP(B2785,LifeList!$E$2:$I$2038,5)</f>
        <v>Pipridae (Manakins)</v>
      </c>
      <c r="I2785" s="3"/>
    </row>
    <row r="2786" spans="1:9" ht="10.5" customHeight="1">
      <c r="A2786" s="3" t="s">
        <v>3895</v>
      </c>
      <c r="B2786" s="3" t="s">
        <v>3896</v>
      </c>
      <c r="C2786" s="3">
        <f>VLOOKUP(B2786,LifeList!$E$2:$J$2038,6)</f>
        <v>5940</v>
      </c>
      <c r="D2786" s="3" t="str">
        <f>VLOOKUP(B2786,LifeList!$E$2:$G$2038,1)</f>
        <v>Red-capped Plover</v>
      </c>
      <c r="E2786" s="3" t="str">
        <f>VLOOKUP(B2786,LifeList!$E$2:$G$2038,2)</f>
        <v>Pluvier à tête rousse</v>
      </c>
      <c r="F2786" s="3" t="str">
        <f>VLOOKUP(B2786,LifeList!$E$2:$G$2038,3)</f>
        <v>Anarhynchus ruficapillus</v>
      </c>
      <c r="G2786" s="3" t="str">
        <f>VLOOKUP(B2786,LifeList!$E$2:$I$2038,4)</f>
        <v>Charadriiformes</v>
      </c>
      <c r="H2786" s="3" t="str">
        <f>VLOOKUP(B2786,LifeList!$E$2:$I$2038,5)</f>
        <v>Charadriidae (Plovers and Lapwings)</v>
      </c>
      <c r="I2786" s="3"/>
    </row>
    <row r="2787" spans="1:9" ht="10.5" customHeight="1">
      <c r="A2787" s="7" t="s">
        <v>3897</v>
      </c>
      <c r="B2787" s="9" t="s">
        <v>3898</v>
      </c>
      <c r="C2787" s="6">
        <f>VLOOKUP(B2787,LifeList!$E$2:$J$2038,6)</f>
        <v>21747</v>
      </c>
      <c r="D2787" s="3" t="str">
        <f>VLOOKUP(B2787,LifeList!$E$2:$G$2038,1)</f>
        <v>Red-capped Robin</v>
      </c>
      <c r="E2787" s="3" t="str">
        <f>VLOOKUP(B2787,LifeList!$E$2:$G$2038,2)</f>
        <v>Miro à front rouge</v>
      </c>
      <c r="F2787" s="3" t="str">
        <f>VLOOKUP(B2787,LifeList!$E$2:$G$2038,3)</f>
        <v>Petroica goodenovii</v>
      </c>
      <c r="G2787" s="3" t="str">
        <f>VLOOKUP(B2787,LifeList!$E$2:$I$2038,4)</f>
        <v>Passeriformes</v>
      </c>
      <c r="H2787" s="3" t="str">
        <f>VLOOKUP(B2787,LifeList!$E$2:$I$2038,5)</f>
        <v>Petroicidae (Australasian Robins)</v>
      </c>
      <c r="I2787" s="3"/>
    </row>
    <row r="2788" spans="1:9" ht="10.5" customHeight="1">
      <c r="A2788" s="7" t="s">
        <v>3899</v>
      </c>
      <c r="B2788" s="9" t="s">
        <v>3898</v>
      </c>
      <c r="C2788" s="6">
        <f>VLOOKUP(B2788,LifeList!$E$2:$J$2038,6)</f>
        <v>21747</v>
      </c>
      <c r="D2788" s="3" t="str">
        <f>VLOOKUP(B2788,LifeList!$E$2:$G$2038,1)</f>
        <v>Red-capped Robin</v>
      </c>
      <c r="E2788" s="3" t="str">
        <f>VLOOKUP(B2788,LifeList!$E$2:$G$2038,2)</f>
        <v>Miro à front rouge</v>
      </c>
      <c r="F2788" s="3" t="str">
        <f>VLOOKUP(B2788,LifeList!$E$2:$G$2038,3)</f>
        <v>Petroica goodenovii</v>
      </c>
      <c r="G2788" s="3" t="str">
        <f>VLOOKUP(B2788,LifeList!$E$2:$I$2038,4)</f>
        <v>Passeriformes</v>
      </c>
      <c r="H2788" s="3" t="str">
        <f>VLOOKUP(B2788,LifeList!$E$2:$I$2038,5)</f>
        <v>Petroicidae (Australasian Robins)</v>
      </c>
      <c r="I2788" s="3"/>
    </row>
    <row r="2789" spans="1:9" ht="10.5" customHeight="1">
      <c r="A2789" s="7" t="s">
        <v>3900</v>
      </c>
      <c r="B2789" s="9" t="s">
        <v>3898</v>
      </c>
      <c r="C2789" s="6">
        <f>VLOOKUP(B2789,LifeList!$E$2:$J$2038,6)</f>
        <v>21747</v>
      </c>
      <c r="D2789" s="3" t="str">
        <f>VLOOKUP(B2789,LifeList!$E$2:$G$2038,1)</f>
        <v>Red-capped Robin</v>
      </c>
      <c r="E2789" s="3" t="str">
        <f>VLOOKUP(B2789,LifeList!$E$2:$G$2038,2)</f>
        <v>Miro à front rouge</v>
      </c>
      <c r="F2789" s="3" t="str">
        <f>VLOOKUP(B2789,LifeList!$E$2:$G$2038,3)</f>
        <v>Petroica goodenovii</v>
      </c>
      <c r="G2789" s="3" t="str">
        <f>VLOOKUP(B2789,LifeList!$E$2:$I$2038,4)</f>
        <v>Passeriformes</v>
      </c>
      <c r="H2789" s="3" t="str">
        <f>VLOOKUP(B2789,LifeList!$E$2:$I$2038,5)</f>
        <v>Petroicidae (Australasian Robins)</v>
      </c>
      <c r="I2789" s="3"/>
    </row>
    <row r="2790" spans="1:9" ht="10.5" customHeight="1">
      <c r="A2790" s="3" t="s">
        <v>3901</v>
      </c>
      <c r="B2790" s="3" t="s">
        <v>3902</v>
      </c>
      <c r="C2790" s="3">
        <f>VLOOKUP(B2790,LifeList!$E$2:$J$2038,6)</f>
        <v>29229</v>
      </c>
      <c r="D2790" s="3" t="str">
        <f>VLOOKUP(B2790,LifeList!$E$2:$G$2038,1)</f>
        <v>Red-capped Robin-Chat</v>
      </c>
      <c r="E2790" s="3" t="str">
        <f>VLOOKUP(B2790,LifeList!$E$2:$G$2038,2)</f>
        <v>Cossyphe à calotte rousse</v>
      </c>
      <c r="F2790" s="3" t="str">
        <f>VLOOKUP(B2790,LifeList!$E$2:$G$2038,3)</f>
        <v>Cossypha natalensis</v>
      </c>
      <c r="G2790" s="3" t="str">
        <f>VLOOKUP(B2790,LifeList!$E$2:$I$2038,4)</f>
        <v>Passeriformes</v>
      </c>
      <c r="H2790" s="3" t="str">
        <f>VLOOKUP(B2790,LifeList!$E$2:$I$2038,5)</f>
        <v>Muscicapidae (Old World Flycatchers)</v>
      </c>
      <c r="I2790" s="3"/>
    </row>
    <row r="2791" spans="1:9" ht="10.5" customHeight="1">
      <c r="A2791" s="5" t="s">
        <v>3903</v>
      </c>
      <c r="B2791" s="3" t="s">
        <v>3904</v>
      </c>
      <c r="C2791" s="3">
        <f>VLOOKUP(B2791,LifeList!$E$2:$J$2038,6)</f>
        <v>31362</v>
      </c>
      <c r="D2791" s="3" t="str">
        <f>VLOOKUP(B2791,LifeList!$E$2:$G$2038,1)</f>
        <v>Red-cheeked Cordonbleu</v>
      </c>
      <c r="E2791" s="3" t="str">
        <f>VLOOKUP(B2791,LifeList!$E$2:$G$2038,2)</f>
        <v>Cordonbleu à joues rouges</v>
      </c>
      <c r="F2791" s="3" t="str">
        <f>VLOOKUP(B2791,LifeList!$E$2:$G$2038,3)</f>
        <v>Uraeginthus bengalus</v>
      </c>
      <c r="G2791" s="3" t="str">
        <f>VLOOKUP(B2791,LifeList!$E$2:$I$2038,4)</f>
        <v>Passeriformes</v>
      </c>
      <c r="H2791" s="3" t="str">
        <f>VLOOKUP(B2791,LifeList!$E$2:$I$2038,5)</f>
        <v>Estrildidae (Waxbills and Allies)</v>
      </c>
      <c r="I2791" s="3"/>
    </row>
    <row r="2792" spans="1:9" ht="10.5" customHeight="1">
      <c r="A2792" s="3" t="s">
        <v>3905</v>
      </c>
      <c r="B2792" s="3" t="s">
        <v>3906</v>
      </c>
      <c r="C2792" s="3">
        <f>VLOOKUP(B2792,LifeList!$E$2:$J$2038,6)</f>
        <v>2952</v>
      </c>
      <c r="D2792" s="3" t="str">
        <f>VLOOKUP(B2792,LifeList!$E$2:$G$2038,1)</f>
        <v>Red-crested Bustard</v>
      </c>
      <c r="E2792" s="3" t="str">
        <f>VLOOKUP(B2792,LifeList!$E$2:$G$2038,2)</f>
        <v>Outarde houppette</v>
      </c>
      <c r="F2792" s="3" t="str">
        <f>VLOOKUP(B2792,LifeList!$E$2:$G$2038,3)</f>
        <v>Lophotis ruficrista</v>
      </c>
      <c r="G2792" s="3" t="str">
        <f>VLOOKUP(B2792,LifeList!$E$2:$I$2038,4)</f>
        <v>Otidiformes</v>
      </c>
      <c r="H2792" s="3" t="str">
        <f>VLOOKUP(B2792,LifeList!$E$2:$I$2038,5)</f>
        <v>Otididae (Bustards)</v>
      </c>
      <c r="I2792" s="3"/>
    </row>
    <row r="2793" spans="1:9" ht="10.5" customHeight="1">
      <c r="A2793" s="3" t="s">
        <v>3907</v>
      </c>
      <c r="B2793" s="3" t="s">
        <v>3908</v>
      </c>
      <c r="C2793" s="3">
        <f>VLOOKUP(B2793,LifeList!$E$2:$J$2038,6)</f>
        <v>34459</v>
      </c>
      <c r="D2793" s="3" t="str">
        <f>VLOOKUP(B2793,LifeList!$E$2:$G$2038,1)</f>
        <v>Red-crowned Ant-Tanager</v>
      </c>
      <c r="E2793" s="3" t="str">
        <f>VLOOKUP(B2793,LifeList!$E$2:$G$2038,2)</f>
        <v>Habia à couronne rouge</v>
      </c>
      <c r="F2793" s="3" t="str">
        <f>VLOOKUP(B2793,LifeList!$E$2:$G$2038,3)</f>
        <v>Habia rubica</v>
      </c>
      <c r="G2793" s="3" t="str">
        <f>VLOOKUP(B2793,LifeList!$E$2:$I$2038,4)</f>
        <v>Passeriformes</v>
      </c>
      <c r="H2793" s="3" t="str">
        <f>VLOOKUP(B2793,LifeList!$E$2:$I$2038,5)</f>
        <v>Cardinalidae (Cardinals and Allies)</v>
      </c>
      <c r="I2793" s="3"/>
    </row>
    <row r="2794" spans="1:9" ht="10.5" customHeight="1">
      <c r="A2794" s="3" t="s">
        <v>3909</v>
      </c>
      <c r="B2794" s="3" t="s">
        <v>3910</v>
      </c>
      <c r="C2794" s="3">
        <f>VLOOKUP(B2794,LifeList!$E$2:$J$2038,6)</f>
        <v>11171</v>
      </c>
      <c r="D2794" s="3" t="str">
        <f>VLOOKUP(B2794,LifeList!$E$2:$G$2038,1)</f>
        <v>Red-crowned Woodpecker</v>
      </c>
      <c r="E2794" s="3" t="str">
        <f>VLOOKUP(B2794,LifeList!$E$2:$G$2038,2)</f>
        <v>Pic à couronne rouge</v>
      </c>
      <c r="F2794" s="3" t="str">
        <f>VLOOKUP(B2794,LifeList!$E$2:$G$2038,3)</f>
        <v>Melanerpes rubricapillus</v>
      </c>
      <c r="G2794" s="3" t="str">
        <f>VLOOKUP(B2794,LifeList!$E$2:$I$2038,4)</f>
        <v>Piciformes</v>
      </c>
      <c r="H2794" s="3" t="str">
        <f>VLOOKUP(B2794,LifeList!$E$2:$I$2038,5)</f>
        <v>Picidae (Woodpeckers)</v>
      </c>
      <c r="I2794" s="3"/>
    </row>
    <row r="2795" spans="1:9" ht="10.5" customHeight="1">
      <c r="A2795" s="3" t="s">
        <v>3911</v>
      </c>
      <c r="B2795" s="3" t="s">
        <v>3910</v>
      </c>
      <c r="C2795" s="3">
        <f>VLOOKUP(B2795,LifeList!$E$2:$J$2038,6)</f>
        <v>11171</v>
      </c>
      <c r="D2795" s="3" t="str">
        <f>VLOOKUP(B2795,LifeList!$E$2:$G$2038,1)</f>
        <v>Red-crowned Woodpecker</v>
      </c>
      <c r="E2795" s="3" t="str">
        <f>VLOOKUP(B2795,LifeList!$E$2:$G$2038,2)</f>
        <v>Pic à couronne rouge</v>
      </c>
      <c r="F2795" s="3" t="str">
        <f>VLOOKUP(B2795,LifeList!$E$2:$G$2038,3)</f>
        <v>Melanerpes rubricapillus</v>
      </c>
      <c r="G2795" s="3" t="str">
        <f>VLOOKUP(B2795,LifeList!$E$2:$I$2038,4)</f>
        <v>Piciformes</v>
      </c>
      <c r="H2795" s="3" t="str">
        <f>VLOOKUP(B2795,LifeList!$E$2:$I$2038,5)</f>
        <v>Picidae (Woodpeckers)</v>
      </c>
      <c r="I2795" s="3"/>
    </row>
    <row r="2796" spans="1:9" ht="10.5" customHeight="1">
      <c r="A2796" s="3" t="s">
        <v>3912</v>
      </c>
      <c r="B2796" s="3" t="s">
        <v>3910</v>
      </c>
      <c r="C2796" s="3">
        <f>VLOOKUP(B2796,LifeList!$E$2:$J$2038,6)</f>
        <v>11171</v>
      </c>
      <c r="D2796" s="3" t="str">
        <f>VLOOKUP(B2796,LifeList!$E$2:$G$2038,1)</f>
        <v>Red-crowned Woodpecker</v>
      </c>
      <c r="E2796" s="3" t="str">
        <f>VLOOKUP(B2796,LifeList!$E$2:$G$2038,2)</f>
        <v>Pic à couronne rouge</v>
      </c>
      <c r="F2796" s="3" t="str">
        <f>VLOOKUP(B2796,LifeList!$E$2:$G$2038,3)</f>
        <v>Melanerpes rubricapillus</v>
      </c>
      <c r="G2796" s="3" t="str">
        <f>VLOOKUP(B2796,LifeList!$E$2:$I$2038,4)</f>
        <v>Piciformes</v>
      </c>
      <c r="H2796" s="3" t="str">
        <f>VLOOKUP(B2796,LifeList!$E$2:$I$2038,5)</f>
        <v>Picidae (Woodpeckers)</v>
      </c>
      <c r="I2796" s="3"/>
    </row>
    <row r="2797" spans="1:9" ht="10.5" customHeight="1">
      <c r="A2797" s="3" t="s">
        <v>3913</v>
      </c>
      <c r="B2797" s="3" t="s">
        <v>3910</v>
      </c>
      <c r="C2797" s="3">
        <f>VLOOKUP(B2797,LifeList!$E$2:$J$2038,6)</f>
        <v>11171</v>
      </c>
      <c r="D2797" s="3" t="str">
        <f>VLOOKUP(B2797,LifeList!$E$2:$G$2038,1)</f>
        <v>Red-crowned Woodpecker</v>
      </c>
      <c r="E2797" s="3" t="str">
        <f>VLOOKUP(B2797,LifeList!$E$2:$G$2038,2)</f>
        <v>Pic à couronne rouge</v>
      </c>
      <c r="F2797" s="3" t="str">
        <f>VLOOKUP(B2797,LifeList!$E$2:$G$2038,3)</f>
        <v>Melanerpes rubricapillus</v>
      </c>
      <c r="G2797" s="3" t="str">
        <f>VLOOKUP(B2797,LifeList!$E$2:$I$2038,4)</f>
        <v>Piciformes</v>
      </c>
      <c r="H2797" s="3" t="str">
        <f>VLOOKUP(B2797,LifeList!$E$2:$I$2038,5)</f>
        <v>Picidae (Woodpeckers)</v>
      </c>
      <c r="I2797" s="3"/>
    </row>
    <row r="2798" spans="1:9" ht="10.5" customHeight="1">
      <c r="A2798" s="3" t="s">
        <v>3914</v>
      </c>
      <c r="B2798" s="3" t="s">
        <v>3910</v>
      </c>
      <c r="C2798" s="3">
        <f>VLOOKUP(B2798,LifeList!$E$2:$J$2038,6)</f>
        <v>11171</v>
      </c>
      <c r="D2798" s="3" t="str">
        <f>VLOOKUP(B2798,LifeList!$E$2:$G$2038,1)</f>
        <v>Red-crowned Woodpecker</v>
      </c>
      <c r="E2798" s="3" t="str">
        <f>VLOOKUP(B2798,LifeList!$E$2:$G$2038,2)</f>
        <v>Pic à couronne rouge</v>
      </c>
      <c r="F2798" s="3" t="str">
        <f>VLOOKUP(B2798,LifeList!$E$2:$G$2038,3)</f>
        <v>Melanerpes rubricapillus</v>
      </c>
      <c r="G2798" s="3" t="str">
        <f>VLOOKUP(B2798,LifeList!$E$2:$I$2038,4)</f>
        <v>Piciformes</v>
      </c>
      <c r="H2798" s="3" t="str">
        <f>VLOOKUP(B2798,LifeList!$E$2:$I$2038,5)</f>
        <v>Picidae (Woodpeckers)</v>
      </c>
      <c r="I2798" s="3"/>
    </row>
    <row r="2799" spans="1:9" ht="10.5" customHeight="1">
      <c r="A2799" s="3" t="s">
        <v>3915</v>
      </c>
      <c r="B2799" s="3" t="s">
        <v>3910</v>
      </c>
      <c r="C2799" s="3">
        <f>VLOOKUP(B2799,LifeList!$E$2:$J$2038,6)</f>
        <v>11171</v>
      </c>
      <c r="D2799" s="3" t="str">
        <f>VLOOKUP(B2799,LifeList!$E$2:$G$2038,1)</f>
        <v>Red-crowned Woodpecker</v>
      </c>
      <c r="E2799" s="3" t="str">
        <f>VLOOKUP(B2799,LifeList!$E$2:$G$2038,2)</f>
        <v>Pic à couronne rouge</v>
      </c>
      <c r="F2799" s="3" t="str">
        <f>VLOOKUP(B2799,LifeList!$E$2:$G$2038,3)</f>
        <v>Melanerpes rubricapillus</v>
      </c>
      <c r="G2799" s="3" t="str">
        <f>VLOOKUP(B2799,LifeList!$E$2:$I$2038,4)</f>
        <v>Piciformes</v>
      </c>
      <c r="H2799" s="3" t="str">
        <f>VLOOKUP(B2799,LifeList!$E$2:$I$2038,5)</f>
        <v>Picidae (Woodpeckers)</v>
      </c>
      <c r="I2799" s="3"/>
    </row>
    <row r="2800" spans="1:9" ht="10.5" customHeight="1">
      <c r="A2800" s="3" t="s">
        <v>3916</v>
      </c>
      <c r="B2800" s="3" t="s">
        <v>3917</v>
      </c>
      <c r="C2800" s="3">
        <f>VLOOKUP(B2800,LifeList!$E$2:$J$2038,6)</f>
        <v>2050</v>
      </c>
      <c r="D2800" s="3" t="str">
        <f>VLOOKUP(B2800,LifeList!$E$2:$G$2038,1)</f>
        <v>Red-eyed Dove</v>
      </c>
      <c r="E2800" s="3" t="str">
        <f>VLOOKUP(B2800,LifeList!$E$2:$G$2038,2)</f>
        <v>Tourterelle à collier</v>
      </c>
      <c r="F2800" s="3" t="str">
        <f>VLOOKUP(B2800,LifeList!$E$2:$G$2038,3)</f>
        <v>Streptopelia semitorquata</v>
      </c>
      <c r="G2800" s="3" t="str">
        <f>VLOOKUP(B2800,LifeList!$E$2:$I$2038,4)</f>
        <v>Columbiformes</v>
      </c>
      <c r="H2800" s="3" t="str">
        <f>VLOOKUP(B2800,LifeList!$E$2:$I$2038,5)</f>
        <v>Columbidae (Pigeons and Doves)</v>
      </c>
      <c r="I2800" s="3"/>
    </row>
    <row r="2801" spans="1:9" ht="10.5" customHeight="1">
      <c r="A2801" s="3" t="s">
        <v>3918</v>
      </c>
      <c r="B2801" s="3" t="s">
        <v>3917</v>
      </c>
      <c r="C2801" s="3">
        <f>VLOOKUP(B2801,LifeList!$E$2:$J$2038,6)</f>
        <v>2050</v>
      </c>
      <c r="D2801" s="3" t="str">
        <f>VLOOKUP(B2801,LifeList!$E$2:$G$2038,1)</f>
        <v>Red-eyed Dove</v>
      </c>
      <c r="E2801" s="3" t="str">
        <f>VLOOKUP(B2801,LifeList!$E$2:$G$2038,2)</f>
        <v>Tourterelle à collier</v>
      </c>
      <c r="F2801" s="3" t="str">
        <f>VLOOKUP(B2801,LifeList!$E$2:$G$2038,3)</f>
        <v>Streptopelia semitorquata</v>
      </c>
      <c r="G2801" s="3" t="str">
        <f>VLOOKUP(B2801,LifeList!$E$2:$I$2038,4)</f>
        <v>Columbiformes</v>
      </c>
      <c r="H2801" s="3" t="str">
        <f>VLOOKUP(B2801,LifeList!$E$2:$I$2038,5)</f>
        <v>Columbidae (Pigeons and Doves)</v>
      </c>
      <c r="I2801" s="3"/>
    </row>
    <row r="2802" spans="1:9" ht="10.5" customHeight="1">
      <c r="A2802" s="3" t="s">
        <v>3919</v>
      </c>
      <c r="B2802" s="3" t="s">
        <v>3920</v>
      </c>
      <c r="C2802" s="3">
        <f>VLOOKUP(B2802,LifeList!$E$2:$J$2038,6)</f>
        <v>19267</v>
      </c>
      <c r="D2802" s="3" t="str">
        <f>VLOOKUP(B2802,LifeList!$E$2:$G$2038,1)</f>
        <v>Red-eyed Vireo</v>
      </c>
      <c r="E2802" s="3" t="str">
        <f>VLOOKUP(B2802,LifeList!$E$2:$G$2038,2)</f>
        <v>Viréo aux yeux rouges</v>
      </c>
      <c r="F2802" s="3" t="str">
        <f>VLOOKUP(B2802,LifeList!$E$2:$G$2038,3)</f>
        <v>Vireo olivaceus</v>
      </c>
      <c r="G2802" s="3" t="str">
        <f>VLOOKUP(B2802,LifeList!$E$2:$I$2038,4)</f>
        <v>Passeriformes</v>
      </c>
      <c r="H2802" s="3" t="str">
        <f>VLOOKUP(B2802,LifeList!$E$2:$I$2038,5)</f>
        <v>Vireonidae (Vireos, Shrike-Babblers, and Erpornis)</v>
      </c>
      <c r="I2802" s="3"/>
    </row>
    <row r="2803" spans="1:9" ht="10.5" customHeight="1">
      <c r="A2803" s="3" t="s">
        <v>3921</v>
      </c>
      <c r="B2803" s="3" t="s">
        <v>3920</v>
      </c>
      <c r="C2803" s="3">
        <f>VLOOKUP(B2803,LifeList!$E$2:$J$2038,6)</f>
        <v>19267</v>
      </c>
      <c r="D2803" s="3" t="str">
        <f>VLOOKUP(B2803,LifeList!$E$2:$G$2038,1)</f>
        <v>Red-eyed Vireo</v>
      </c>
      <c r="E2803" s="3" t="str">
        <f>VLOOKUP(B2803,LifeList!$E$2:$G$2038,2)</f>
        <v>Viréo aux yeux rouges</v>
      </c>
      <c r="F2803" s="3" t="str">
        <f>VLOOKUP(B2803,LifeList!$E$2:$G$2038,3)</f>
        <v>Vireo olivaceus</v>
      </c>
      <c r="G2803" s="3" t="str">
        <f>VLOOKUP(B2803,LifeList!$E$2:$I$2038,4)</f>
        <v>Passeriformes</v>
      </c>
      <c r="H2803" s="3" t="str">
        <f>VLOOKUP(B2803,LifeList!$E$2:$I$2038,5)</f>
        <v>Vireonidae (Vireos, Shrike-Babblers, and Erpornis)</v>
      </c>
      <c r="I2803" s="3"/>
    </row>
    <row r="2804" spans="1:9" ht="10.5" customHeight="1">
      <c r="A2804" s="3" t="s">
        <v>3922</v>
      </c>
      <c r="B2804" s="3" t="s">
        <v>3920</v>
      </c>
      <c r="C2804" s="3">
        <f>VLOOKUP(B2804,LifeList!$E$2:$J$2038,6)</f>
        <v>19267</v>
      </c>
      <c r="D2804" s="3" t="str">
        <f>VLOOKUP(B2804,LifeList!$E$2:$G$2038,1)</f>
        <v>Red-eyed Vireo</v>
      </c>
      <c r="E2804" s="3" t="str">
        <f>VLOOKUP(B2804,LifeList!$E$2:$G$2038,2)</f>
        <v>Viréo aux yeux rouges</v>
      </c>
      <c r="F2804" s="3" t="str">
        <f>VLOOKUP(B2804,LifeList!$E$2:$G$2038,3)</f>
        <v>Vireo olivaceus</v>
      </c>
      <c r="G2804" s="3" t="str">
        <f>VLOOKUP(B2804,LifeList!$E$2:$I$2038,4)</f>
        <v>Passeriformes</v>
      </c>
      <c r="H2804" s="3" t="str">
        <f>VLOOKUP(B2804,LifeList!$E$2:$I$2038,5)</f>
        <v>Vireonidae (Vireos, Shrike-Babblers, and Erpornis)</v>
      </c>
      <c r="I2804" s="3"/>
    </row>
    <row r="2805" spans="1:9" ht="10.5" customHeight="1">
      <c r="A2805" s="3" t="s">
        <v>3923</v>
      </c>
      <c r="B2805" s="3" t="s">
        <v>3920</v>
      </c>
      <c r="C2805" s="3">
        <f>VLOOKUP(B2805,LifeList!$E$2:$J$2038,6)</f>
        <v>19267</v>
      </c>
      <c r="D2805" s="3" t="str">
        <f>VLOOKUP(B2805,LifeList!$E$2:$G$2038,1)</f>
        <v>Red-eyed Vireo</v>
      </c>
      <c r="E2805" s="3" t="str">
        <f>VLOOKUP(B2805,LifeList!$E$2:$G$2038,2)</f>
        <v>Viréo aux yeux rouges</v>
      </c>
      <c r="F2805" s="3" t="str">
        <f>VLOOKUP(B2805,LifeList!$E$2:$G$2038,3)</f>
        <v>Vireo olivaceus</v>
      </c>
      <c r="G2805" s="3" t="str">
        <f>VLOOKUP(B2805,LifeList!$E$2:$I$2038,4)</f>
        <v>Passeriformes</v>
      </c>
      <c r="H2805" s="3" t="str">
        <f>VLOOKUP(B2805,LifeList!$E$2:$I$2038,5)</f>
        <v>Vireonidae (Vireos, Shrike-Babblers, and Erpornis)</v>
      </c>
      <c r="I2805" s="3"/>
    </row>
    <row r="2806" spans="1:9" ht="10.5" customHeight="1">
      <c r="A2806" s="3" t="s">
        <v>3924</v>
      </c>
      <c r="B2806" s="3" t="s">
        <v>3920</v>
      </c>
      <c r="C2806" s="3">
        <f>VLOOKUP(B2806,LifeList!$E$2:$J$2038,6)</f>
        <v>19267</v>
      </c>
      <c r="D2806" s="3" t="str">
        <f>VLOOKUP(B2806,LifeList!$E$2:$G$2038,1)</f>
        <v>Red-eyed Vireo</v>
      </c>
      <c r="E2806" s="3" t="str">
        <f>VLOOKUP(B2806,LifeList!$E$2:$G$2038,2)</f>
        <v>Viréo aux yeux rouges</v>
      </c>
      <c r="F2806" s="3" t="str">
        <f>VLOOKUP(B2806,LifeList!$E$2:$G$2038,3)</f>
        <v>Vireo olivaceus</v>
      </c>
      <c r="G2806" s="3" t="str">
        <f>VLOOKUP(B2806,LifeList!$E$2:$I$2038,4)</f>
        <v>Passeriformes</v>
      </c>
      <c r="H2806" s="3" t="str">
        <f>VLOOKUP(B2806,LifeList!$E$2:$I$2038,5)</f>
        <v>Vireonidae (Vireos, Shrike-Babblers, and Erpornis)</v>
      </c>
      <c r="I2806" s="3"/>
    </row>
    <row r="2807" spans="1:9" ht="10.5" customHeight="1">
      <c r="A2807" s="3" t="s">
        <v>3925</v>
      </c>
      <c r="B2807" s="3" t="s">
        <v>3920</v>
      </c>
      <c r="C2807" s="3">
        <f>VLOOKUP(B2807,LifeList!$E$2:$J$2038,6)</f>
        <v>19267</v>
      </c>
      <c r="D2807" s="3" t="str">
        <f>VLOOKUP(B2807,LifeList!$E$2:$G$2038,1)</f>
        <v>Red-eyed Vireo</v>
      </c>
      <c r="E2807" s="3" t="str">
        <f>VLOOKUP(B2807,LifeList!$E$2:$G$2038,2)</f>
        <v>Viréo aux yeux rouges</v>
      </c>
      <c r="F2807" s="3" t="str">
        <f>VLOOKUP(B2807,LifeList!$E$2:$G$2038,3)</f>
        <v>Vireo olivaceus</v>
      </c>
      <c r="G2807" s="3" t="str">
        <f>VLOOKUP(B2807,LifeList!$E$2:$I$2038,4)</f>
        <v>Passeriformes</v>
      </c>
      <c r="H2807" s="3" t="str">
        <f>VLOOKUP(B2807,LifeList!$E$2:$I$2038,5)</f>
        <v>Vireonidae (Vireos, Shrike-Babblers, and Erpornis)</v>
      </c>
      <c r="I2807" s="3"/>
    </row>
    <row r="2808" spans="1:9" ht="10.5" customHeight="1">
      <c r="A2808" s="3" t="s">
        <v>3926</v>
      </c>
      <c r="B2808" s="3" t="s">
        <v>3920</v>
      </c>
      <c r="C2808" s="3">
        <f>VLOOKUP(B2808,LifeList!$E$2:$J$2038,6)</f>
        <v>19267</v>
      </c>
      <c r="D2808" s="3" t="str">
        <f>VLOOKUP(B2808,LifeList!$E$2:$G$2038,1)</f>
        <v>Red-eyed Vireo</v>
      </c>
      <c r="E2808" s="3" t="str">
        <f>VLOOKUP(B2808,LifeList!$E$2:$G$2038,2)</f>
        <v>Viréo aux yeux rouges</v>
      </c>
      <c r="F2808" s="3" t="str">
        <f>VLOOKUP(B2808,LifeList!$E$2:$G$2038,3)</f>
        <v>Vireo olivaceus</v>
      </c>
      <c r="G2808" s="3" t="str">
        <f>VLOOKUP(B2808,LifeList!$E$2:$I$2038,4)</f>
        <v>Passeriformes</v>
      </c>
      <c r="H2808" s="3" t="str">
        <f>VLOOKUP(B2808,LifeList!$E$2:$I$2038,5)</f>
        <v>Vireonidae (Vireos, Shrike-Babblers, and Erpornis)</v>
      </c>
      <c r="I2808" s="3"/>
    </row>
    <row r="2809" spans="1:9" ht="10.5" customHeight="1">
      <c r="A2809" s="3" t="s">
        <v>3927</v>
      </c>
      <c r="B2809" s="3" t="s">
        <v>3920</v>
      </c>
      <c r="C2809" s="3">
        <f>VLOOKUP(B2809,LifeList!$E$2:$J$2038,6)</f>
        <v>19267</v>
      </c>
      <c r="D2809" s="3" t="str">
        <f>VLOOKUP(B2809,LifeList!$E$2:$G$2038,1)</f>
        <v>Red-eyed Vireo</v>
      </c>
      <c r="E2809" s="3" t="str">
        <f>VLOOKUP(B2809,LifeList!$E$2:$G$2038,2)</f>
        <v>Viréo aux yeux rouges</v>
      </c>
      <c r="F2809" s="3" t="str">
        <f>VLOOKUP(B2809,LifeList!$E$2:$G$2038,3)</f>
        <v>Vireo olivaceus</v>
      </c>
      <c r="G2809" s="3" t="str">
        <f>VLOOKUP(B2809,LifeList!$E$2:$I$2038,4)</f>
        <v>Passeriformes</v>
      </c>
      <c r="H2809" s="3" t="str">
        <f>VLOOKUP(B2809,LifeList!$E$2:$I$2038,5)</f>
        <v>Vireonidae (Vireos, Shrike-Babblers, and Erpornis)</v>
      </c>
      <c r="I2809" s="3"/>
    </row>
    <row r="2810" spans="1:9" ht="10.5" customHeight="1">
      <c r="A2810" s="3" t="s">
        <v>3928</v>
      </c>
      <c r="B2810" s="3" t="s">
        <v>3920</v>
      </c>
      <c r="C2810" s="3">
        <f>VLOOKUP(B2810,LifeList!$E$2:$J$2038,6)</f>
        <v>19267</v>
      </c>
      <c r="D2810" s="3" t="str">
        <f>VLOOKUP(B2810,LifeList!$E$2:$G$2038,1)</f>
        <v>Red-eyed Vireo</v>
      </c>
      <c r="E2810" s="3" t="str">
        <f>VLOOKUP(B2810,LifeList!$E$2:$G$2038,2)</f>
        <v>Viréo aux yeux rouges</v>
      </c>
      <c r="F2810" s="3" t="str">
        <f>VLOOKUP(B2810,LifeList!$E$2:$G$2038,3)</f>
        <v>Vireo olivaceus</v>
      </c>
      <c r="G2810" s="3" t="str">
        <f>VLOOKUP(B2810,LifeList!$E$2:$I$2038,4)</f>
        <v>Passeriformes</v>
      </c>
      <c r="H2810" s="3" t="str">
        <f>VLOOKUP(B2810,LifeList!$E$2:$I$2038,5)</f>
        <v>Vireonidae (Vireos, Shrike-Babblers, and Erpornis)</v>
      </c>
      <c r="I2810" s="3"/>
    </row>
    <row r="2811" spans="1:9" ht="10.5" customHeight="1">
      <c r="A2811" s="3" t="s">
        <v>3929</v>
      </c>
      <c r="B2811" s="3" t="s">
        <v>3920</v>
      </c>
      <c r="C2811" s="3">
        <f>VLOOKUP(B2811,LifeList!$E$2:$J$2038,6)</f>
        <v>19267</v>
      </c>
      <c r="D2811" s="3" t="str">
        <f>VLOOKUP(B2811,LifeList!$E$2:$G$2038,1)</f>
        <v>Red-eyed Vireo</v>
      </c>
      <c r="E2811" s="3" t="str">
        <f>VLOOKUP(B2811,LifeList!$E$2:$G$2038,2)</f>
        <v>Viréo aux yeux rouges</v>
      </c>
      <c r="F2811" s="3" t="str">
        <f>VLOOKUP(B2811,LifeList!$E$2:$G$2038,3)</f>
        <v>Vireo olivaceus</v>
      </c>
      <c r="G2811" s="3" t="str">
        <f>VLOOKUP(B2811,LifeList!$E$2:$I$2038,4)</f>
        <v>Passeriformes</v>
      </c>
      <c r="H2811" s="3" t="str">
        <f>VLOOKUP(B2811,LifeList!$E$2:$I$2038,5)</f>
        <v>Vireonidae (Vireos, Shrike-Babblers, and Erpornis)</v>
      </c>
      <c r="I2811" s="3"/>
    </row>
    <row r="2812" spans="1:9" ht="10.5" customHeight="1">
      <c r="A2812" s="3" t="s">
        <v>3930</v>
      </c>
      <c r="B2812" s="3" t="s">
        <v>3920</v>
      </c>
      <c r="C2812" s="3">
        <f>VLOOKUP(B2812,LifeList!$E$2:$J$2038,6)</f>
        <v>19267</v>
      </c>
      <c r="D2812" s="3" t="str">
        <f>VLOOKUP(B2812,LifeList!$E$2:$G$2038,1)</f>
        <v>Red-eyed Vireo</v>
      </c>
      <c r="E2812" s="3" t="str">
        <f>VLOOKUP(B2812,LifeList!$E$2:$G$2038,2)</f>
        <v>Viréo aux yeux rouges</v>
      </c>
      <c r="F2812" s="3" t="str">
        <f>VLOOKUP(B2812,LifeList!$E$2:$G$2038,3)</f>
        <v>Vireo olivaceus</v>
      </c>
      <c r="G2812" s="3" t="str">
        <f>VLOOKUP(B2812,LifeList!$E$2:$I$2038,4)</f>
        <v>Passeriformes</v>
      </c>
      <c r="H2812" s="3" t="str">
        <f>VLOOKUP(B2812,LifeList!$E$2:$I$2038,5)</f>
        <v>Vireonidae (Vireos, Shrike-Babblers, and Erpornis)</v>
      </c>
      <c r="I2812" s="3"/>
    </row>
    <row r="2813" spans="1:9" ht="10.5" customHeight="1">
      <c r="A2813" s="3" t="s">
        <v>3931</v>
      </c>
      <c r="B2813" s="3" t="s">
        <v>3920</v>
      </c>
      <c r="C2813" s="3">
        <f>VLOOKUP(B2813,LifeList!$E$2:$J$2038,6)</f>
        <v>19267</v>
      </c>
      <c r="D2813" s="3" t="str">
        <f>VLOOKUP(B2813,LifeList!$E$2:$G$2038,1)</f>
        <v>Red-eyed Vireo</v>
      </c>
      <c r="E2813" s="3" t="str">
        <f>VLOOKUP(B2813,LifeList!$E$2:$G$2038,2)</f>
        <v>Viréo aux yeux rouges</v>
      </c>
      <c r="F2813" s="3" t="str">
        <f>VLOOKUP(B2813,LifeList!$E$2:$G$2038,3)</f>
        <v>Vireo olivaceus</v>
      </c>
      <c r="G2813" s="3" t="str">
        <f>VLOOKUP(B2813,LifeList!$E$2:$I$2038,4)</f>
        <v>Passeriformes</v>
      </c>
      <c r="H2813" s="3" t="str">
        <f>VLOOKUP(B2813,LifeList!$E$2:$I$2038,5)</f>
        <v>Vireonidae (Vireos, Shrike-Babblers, and Erpornis)</v>
      </c>
      <c r="I2813" s="3"/>
    </row>
    <row r="2814" spans="1:9" ht="10.5" customHeight="1">
      <c r="A2814" s="3" t="s">
        <v>3932</v>
      </c>
      <c r="B2814" s="3" t="s">
        <v>3920</v>
      </c>
      <c r="C2814" s="3">
        <f>VLOOKUP(B2814,LifeList!$E$2:$J$2038,6)</f>
        <v>19267</v>
      </c>
      <c r="D2814" s="3" t="str">
        <f>VLOOKUP(B2814,LifeList!$E$2:$G$2038,1)</f>
        <v>Red-eyed Vireo</v>
      </c>
      <c r="E2814" s="3" t="str">
        <f>VLOOKUP(B2814,LifeList!$E$2:$G$2038,2)</f>
        <v>Viréo aux yeux rouges</v>
      </c>
      <c r="F2814" s="3" t="str">
        <f>VLOOKUP(B2814,LifeList!$E$2:$G$2038,3)</f>
        <v>Vireo olivaceus</v>
      </c>
      <c r="G2814" s="3" t="str">
        <f>VLOOKUP(B2814,LifeList!$E$2:$I$2038,4)</f>
        <v>Passeriformes</v>
      </c>
      <c r="H2814" s="3" t="str">
        <f>VLOOKUP(B2814,LifeList!$E$2:$I$2038,5)</f>
        <v>Vireonidae (Vireos, Shrike-Babblers, and Erpornis)</v>
      </c>
      <c r="I2814" s="3"/>
    </row>
    <row r="2815" spans="1:9" ht="10.5" customHeight="1">
      <c r="A2815" s="3" t="s">
        <v>3933</v>
      </c>
      <c r="B2815" s="3" t="s">
        <v>3920</v>
      </c>
      <c r="C2815" s="3">
        <f>VLOOKUP(B2815,LifeList!$E$2:$J$2038,6)</f>
        <v>19267</v>
      </c>
      <c r="D2815" s="3" t="str">
        <f>VLOOKUP(B2815,LifeList!$E$2:$G$2038,1)</f>
        <v>Red-eyed Vireo</v>
      </c>
      <c r="E2815" s="3" t="str">
        <f>VLOOKUP(B2815,LifeList!$E$2:$G$2038,2)</f>
        <v>Viréo aux yeux rouges</v>
      </c>
      <c r="F2815" s="3" t="str">
        <f>VLOOKUP(B2815,LifeList!$E$2:$G$2038,3)</f>
        <v>Vireo olivaceus</v>
      </c>
      <c r="G2815" s="3" t="str">
        <f>VLOOKUP(B2815,LifeList!$E$2:$I$2038,4)</f>
        <v>Passeriformes</v>
      </c>
      <c r="H2815" s="3" t="str">
        <f>VLOOKUP(B2815,LifeList!$E$2:$I$2038,5)</f>
        <v>Vireonidae (Vireos, Shrike-Babblers, and Erpornis)</v>
      </c>
      <c r="I2815" s="3"/>
    </row>
    <row r="2816" spans="1:9" ht="10.5" customHeight="1">
      <c r="A2816" s="3" t="s">
        <v>3934</v>
      </c>
      <c r="B2816" s="3" t="s">
        <v>3935</v>
      </c>
      <c r="C2816" s="3">
        <f>VLOOKUP(B2816,LifeList!$E$2:$J$2038,6)</f>
        <v>15514</v>
      </c>
      <c r="D2816" s="3" t="str">
        <f>VLOOKUP(B2816,LifeList!$E$2:$G$2038,1)</f>
        <v>Red-faced Spinetail</v>
      </c>
      <c r="E2816" s="3" t="str">
        <f>VLOOKUP(B2816,LifeList!$E$2:$G$2038,2)</f>
        <v>Synallaxe à face rouge</v>
      </c>
      <c r="F2816" s="3" t="str">
        <f>VLOOKUP(B2816,LifeList!$E$2:$G$2038,3)</f>
        <v>Cranioleuca erythrops</v>
      </c>
      <c r="G2816" s="3" t="str">
        <f>VLOOKUP(B2816,LifeList!$E$2:$I$2038,4)</f>
        <v>Passeriformes</v>
      </c>
      <c r="H2816" s="3" t="str">
        <f>VLOOKUP(B2816,LifeList!$E$2:$I$2038,5)</f>
        <v>Furnariidae (Ovenbirds and Woodcreepers)</v>
      </c>
      <c r="I2816" s="3"/>
    </row>
    <row r="2817" spans="1:9" ht="10.5" customHeight="1">
      <c r="A2817" s="3" t="s">
        <v>3936</v>
      </c>
      <c r="B2817" s="3" t="s">
        <v>3937</v>
      </c>
      <c r="C2817" s="3">
        <f>VLOOKUP(B2817,LifeList!$E$2:$J$2038,6)</f>
        <v>7338</v>
      </c>
      <c r="D2817" s="3" t="str">
        <f>VLOOKUP(B2817,LifeList!$E$2:$G$2038,1)</f>
        <v>Red-footed Booby</v>
      </c>
      <c r="E2817" s="3" t="str">
        <f>VLOOKUP(B2817,LifeList!$E$2:$G$2038,2)</f>
        <v>Fou à pieds rouges</v>
      </c>
      <c r="F2817" s="3" t="str">
        <f>VLOOKUP(B2817,LifeList!$E$2:$G$2038,3)</f>
        <v>Sula sula</v>
      </c>
      <c r="G2817" s="3" t="str">
        <f>VLOOKUP(B2817,LifeList!$E$2:$I$2038,4)</f>
        <v>Suliformes</v>
      </c>
      <c r="H2817" s="3" t="str">
        <f>VLOOKUP(B2817,LifeList!$E$2:$I$2038,5)</f>
        <v>Sulidae (Boobies and Gannets)</v>
      </c>
      <c r="I2817" s="3"/>
    </row>
    <row r="2818" spans="1:9" ht="10.5" customHeight="1">
      <c r="A2818" s="3" t="s">
        <v>3938</v>
      </c>
      <c r="B2818" s="3" t="s">
        <v>3939</v>
      </c>
      <c r="C2818" s="3">
        <f>VLOOKUP(B2818,LifeList!$E$2:$J$2038,6)</f>
        <v>3069</v>
      </c>
      <c r="D2818" s="3" t="str">
        <f>VLOOKUP(B2818,LifeList!$E$2:$G$2038,1)</f>
        <v>Red-fronted Coua</v>
      </c>
      <c r="E2818" s="3" t="str">
        <f>VLOOKUP(B2818,LifeList!$E$2:$G$2038,2)</f>
        <v>Coua de Reynaud</v>
      </c>
      <c r="F2818" s="3" t="str">
        <f>VLOOKUP(B2818,LifeList!$E$2:$G$2038,3)</f>
        <v>Coua reynaudii</v>
      </c>
      <c r="G2818" s="3" t="str">
        <f>VLOOKUP(B2818,LifeList!$E$2:$I$2038,4)</f>
        <v>Cuculiformes</v>
      </c>
      <c r="H2818" s="3" t="str">
        <f>VLOOKUP(B2818,LifeList!$E$2:$I$2038,5)</f>
        <v>Cuculidae (Cuckoos)</v>
      </c>
      <c r="I2818" s="3"/>
    </row>
    <row r="2819" spans="1:9" ht="10.5" customHeight="1">
      <c r="A2819" s="5" t="s">
        <v>3940</v>
      </c>
      <c r="B2819" s="3" t="s">
        <v>3941</v>
      </c>
      <c r="C2819" s="3">
        <f>VLOOKUP(B2819,LifeList!$E$2:$J$2038,6)</f>
        <v>31344</v>
      </c>
      <c r="D2819" s="3" t="str">
        <f>VLOOKUP(B2819,LifeList!$E$2:$G$2038,1)</f>
        <v>Red-headed Finch</v>
      </c>
      <c r="E2819" s="3" t="str">
        <f>VLOOKUP(B2819,LifeList!$E$2:$G$2038,2)</f>
        <v>Amadine à tête rouge</v>
      </c>
      <c r="F2819" s="3" t="str">
        <f>VLOOKUP(B2819,LifeList!$E$2:$G$2038,3)</f>
        <v>Amadina erythrocephala</v>
      </c>
      <c r="G2819" s="3" t="str">
        <f>VLOOKUP(B2819,LifeList!$E$2:$I$2038,4)</f>
        <v>Passeriformes</v>
      </c>
      <c r="H2819" s="3" t="str">
        <f>VLOOKUP(B2819,LifeList!$E$2:$I$2038,5)</f>
        <v>Estrildidae (Waxbills and Allies)</v>
      </c>
      <c r="I2819" s="3"/>
    </row>
    <row r="2820" spans="1:9" ht="10.5" customHeight="1">
      <c r="A2820" s="3" t="s">
        <v>3942</v>
      </c>
      <c r="B2820" s="3" t="s">
        <v>3943</v>
      </c>
      <c r="C2820" s="3">
        <f>VLOOKUP(B2820,LifeList!$E$2:$J$2038,6)</f>
        <v>11145</v>
      </c>
      <c r="D2820" s="3" t="str">
        <f>VLOOKUP(B2820,LifeList!$E$2:$G$2038,1)</f>
        <v>Red-headed Woodpecker</v>
      </c>
      <c r="E2820" s="3" t="str">
        <f>VLOOKUP(B2820,LifeList!$E$2:$G$2038,2)</f>
        <v>Pic à tête rouge</v>
      </c>
      <c r="F2820" s="3" t="str">
        <f>VLOOKUP(B2820,LifeList!$E$2:$G$2038,3)</f>
        <v>Melanerpes erythrocephalus</v>
      </c>
      <c r="G2820" s="3" t="str">
        <f>VLOOKUP(B2820,LifeList!$E$2:$I$2038,4)</f>
        <v>Piciformes</v>
      </c>
      <c r="H2820" s="3" t="str">
        <f>VLOOKUP(B2820,LifeList!$E$2:$I$2038,5)</f>
        <v>Picidae (Woodpeckers)</v>
      </c>
      <c r="I2820" s="3"/>
    </row>
    <row r="2821" spans="1:9" ht="10.5" customHeight="1">
      <c r="A2821" s="3" t="s">
        <v>3944</v>
      </c>
      <c r="B2821" s="3" t="s">
        <v>3945</v>
      </c>
      <c r="C2821" s="3">
        <f>VLOOKUP(B2821,LifeList!$E$2:$J$2038,6)</f>
        <v>10818</v>
      </c>
      <c r="D2821" s="3" t="str">
        <f>VLOOKUP(B2821,LifeList!$E$2:$G$2038,1)</f>
        <v>Red-headed Barbet</v>
      </c>
      <c r="E2821" s="3" t="str">
        <f>VLOOKUP(B2821,LifeList!$E$2:$G$2038,2)</f>
        <v>Cabézon à tête rouge</v>
      </c>
      <c r="F2821" s="3" t="str">
        <f>VLOOKUP(B2821,LifeList!$E$2:$G$2038,3)</f>
        <v>Eubucco bourcierii</v>
      </c>
      <c r="G2821" s="3" t="str">
        <f>VLOOKUP(B2821,LifeList!$E$2:$I$2038,4)</f>
        <v>Piciformes</v>
      </c>
      <c r="H2821" s="3" t="str">
        <f>VLOOKUP(B2821,LifeList!$E$2:$I$2038,5)</f>
        <v>Capitonidae (New World Barbets)</v>
      </c>
      <c r="I2821" s="3"/>
    </row>
    <row r="2822" spans="1:9" ht="10.5" customHeight="1">
      <c r="A2822" s="3" t="s">
        <v>3946</v>
      </c>
      <c r="B2822" s="3" t="s">
        <v>3945</v>
      </c>
      <c r="C2822" s="3">
        <f>VLOOKUP(B2822,LifeList!$E$2:$J$2038,6)</f>
        <v>10818</v>
      </c>
      <c r="D2822" s="3" t="str">
        <f>VLOOKUP(B2822,LifeList!$E$2:$G$2038,1)</f>
        <v>Red-headed Barbet</v>
      </c>
      <c r="E2822" s="3" t="str">
        <f>VLOOKUP(B2822,LifeList!$E$2:$G$2038,2)</f>
        <v>Cabézon à tête rouge</v>
      </c>
      <c r="F2822" s="3" t="str">
        <f>VLOOKUP(B2822,LifeList!$E$2:$G$2038,3)</f>
        <v>Eubucco bourcierii</v>
      </c>
      <c r="G2822" s="3" t="str">
        <f>VLOOKUP(B2822,LifeList!$E$2:$I$2038,4)</f>
        <v>Piciformes</v>
      </c>
      <c r="H2822" s="3" t="str">
        <f>VLOOKUP(B2822,LifeList!$E$2:$I$2038,5)</f>
        <v>Capitonidae (New World Barbets)</v>
      </c>
      <c r="I2822" s="3"/>
    </row>
    <row r="2823" spans="1:9" ht="10.5" customHeight="1">
      <c r="A2823" s="3" t="s">
        <v>3947</v>
      </c>
      <c r="B2823" s="3" t="s">
        <v>3948</v>
      </c>
      <c r="C2823" s="3">
        <f>VLOOKUP(B2823,LifeList!$E$2:$J$2038,6)</f>
        <v>31344</v>
      </c>
      <c r="D2823" s="3" t="str">
        <f>VLOOKUP(B2823,LifeList!$E$2:$G$2038,1)</f>
        <v>Red-headed Finch</v>
      </c>
      <c r="E2823" s="3" t="str">
        <f>VLOOKUP(B2823,LifeList!$E$2:$G$2038,2)</f>
        <v>Amadine à tête rouge</v>
      </c>
      <c r="F2823" s="3" t="str">
        <f>VLOOKUP(B2823,LifeList!$E$2:$G$2038,3)</f>
        <v>Amadina erythrocephala</v>
      </c>
      <c r="G2823" s="3" t="str">
        <f>VLOOKUP(B2823,LifeList!$E$2:$I$2038,4)</f>
        <v>Passeriformes</v>
      </c>
      <c r="H2823" s="3" t="str">
        <f>VLOOKUP(B2823,LifeList!$E$2:$I$2038,5)</f>
        <v>Estrildidae (Waxbills and Allies)</v>
      </c>
      <c r="I2823" s="3"/>
    </row>
    <row r="2824" spans="1:9" ht="10.5" customHeight="1">
      <c r="A2824" s="7" t="s">
        <v>3949</v>
      </c>
      <c r="B2824" s="9" t="s">
        <v>3950</v>
      </c>
      <c r="C2824" s="6">
        <f>VLOOKUP(B2824,LifeList!$E$2:$J$2038,6)</f>
        <v>30754</v>
      </c>
      <c r="D2824" s="3" t="str">
        <f>VLOOKUP(B2824,LifeList!$E$2:$G$2038,1)</f>
        <v>Red-headed Weaver</v>
      </c>
      <c r="E2824" s="3" t="str">
        <f>VLOOKUP(B2824,LifeList!$E$2:$G$2038,2)</f>
        <v>Anaplecte écarlate</v>
      </c>
      <c r="F2824" s="3" t="str">
        <f>VLOOKUP(B2824,LifeList!$E$2:$G$2038,3)</f>
        <v>Anaplectes rubriceps</v>
      </c>
      <c r="G2824" s="3" t="str">
        <f>VLOOKUP(B2824,LifeList!$E$2:$I$2038,4)</f>
        <v>Passeriformes</v>
      </c>
      <c r="H2824" s="3" t="str">
        <f>VLOOKUP(B2824,LifeList!$E$2:$I$2038,5)</f>
        <v>Ploceidae (Weavers and Allies)</v>
      </c>
      <c r="I2824" s="3"/>
    </row>
    <row r="2825" spans="1:9" ht="10.5" customHeight="1">
      <c r="A2825" s="7" t="s">
        <v>3951</v>
      </c>
      <c r="B2825" s="9" t="s">
        <v>3950</v>
      </c>
      <c r="C2825" s="6">
        <f>VLOOKUP(B2825,LifeList!$E$2:$J$2038,6)</f>
        <v>30754</v>
      </c>
      <c r="D2825" s="3" t="str">
        <f>VLOOKUP(B2825,LifeList!$E$2:$G$2038,1)</f>
        <v>Red-headed Weaver</v>
      </c>
      <c r="E2825" s="3" t="str">
        <f>VLOOKUP(B2825,LifeList!$E$2:$G$2038,2)</f>
        <v>Anaplecte écarlate</v>
      </c>
      <c r="F2825" s="3" t="str">
        <f>VLOOKUP(B2825,LifeList!$E$2:$G$2038,3)</f>
        <v>Anaplectes rubriceps</v>
      </c>
      <c r="G2825" s="3" t="str">
        <f>VLOOKUP(B2825,LifeList!$E$2:$I$2038,4)</f>
        <v>Passeriformes</v>
      </c>
      <c r="H2825" s="3" t="str">
        <f>VLOOKUP(B2825,LifeList!$E$2:$I$2038,5)</f>
        <v>Ploceidae (Weavers and Allies)</v>
      </c>
      <c r="I2825" s="3"/>
    </row>
    <row r="2826" spans="1:9" ht="10.5" customHeight="1">
      <c r="A2826" s="3" t="s">
        <v>3952</v>
      </c>
      <c r="B2826" s="3" t="s">
        <v>3953</v>
      </c>
      <c r="C2826" s="3">
        <f>VLOOKUP(B2826,LifeList!$E$2:$J$2038,6)</f>
        <v>11145</v>
      </c>
      <c r="D2826" s="3" t="str">
        <f>VLOOKUP(B2826,LifeList!$E$2:$G$2038,1)</f>
        <v>Red-headed Woodpecker</v>
      </c>
      <c r="E2826" s="3" t="str">
        <f>VLOOKUP(B2826,LifeList!$E$2:$G$2038,2)</f>
        <v>Pic à tête rouge</v>
      </c>
      <c r="F2826" s="3" t="str">
        <f>VLOOKUP(B2826,LifeList!$E$2:$G$2038,3)</f>
        <v>Melanerpes erythrocephalus</v>
      </c>
      <c r="G2826" s="3" t="str">
        <f>VLOOKUP(B2826,LifeList!$E$2:$I$2038,4)</f>
        <v>Piciformes</v>
      </c>
      <c r="H2826" s="3" t="str">
        <f>VLOOKUP(B2826,LifeList!$E$2:$I$2038,5)</f>
        <v>Picidae (Woodpeckers)</v>
      </c>
      <c r="I2826" s="3"/>
    </row>
    <row r="2827" spans="1:9" ht="10.5" customHeight="1">
      <c r="A2827" s="3" t="s">
        <v>3954</v>
      </c>
      <c r="B2827" s="3" t="s">
        <v>3953</v>
      </c>
      <c r="C2827" s="3">
        <f>VLOOKUP(B2827,LifeList!$E$2:$J$2038,6)</f>
        <v>11145</v>
      </c>
      <c r="D2827" s="3" t="str">
        <f>VLOOKUP(B2827,LifeList!$E$2:$G$2038,1)</f>
        <v>Red-headed Woodpecker</v>
      </c>
      <c r="E2827" s="3" t="str">
        <f>VLOOKUP(B2827,LifeList!$E$2:$G$2038,2)</f>
        <v>Pic à tête rouge</v>
      </c>
      <c r="F2827" s="3" t="str">
        <f>VLOOKUP(B2827,LifeList!$E$2:$G$2038,3)</f>
        <v>Melanerpes erythrocephalus</v>
      </c>
      <c r="G2827" s="3" t="str">
        <f>VLOOKUP(B2827,LifeList!$E$2:$I$2038,4)</f>
        <v>Piciformes</v>
      </c>
      <c r="H2827" s="3" t="str">
        <f>VLOOKUP(B2827,LifeList!$E$2:$I$2038,5)</f>
        <v>Picidae (Woodpeckers)</v>
      </c>
      <c r="I2827" s="3"/>
    </row>
    <row r="2828" spans="1:9" ht="10.5" customHeight="1">
      <c r="A2828" s="3" t="s">
        <v>3955</v>
      </c>
      <c r="B2828" s="3" t="s">
        <v>3953</v>
      </c>
      <c r="C2828" s="3">
        <f>VLOOKUP(B2828,LifeList!$E$2:$J$2038,6)</f>
        <v>11145</v>
      </c>
      <c r="D2828" s="3" t="str">
        <f>VLOOKUP(B2828,LifeList!$E$2:$G$2038,1)</f>
        <v>Red-headed Woodpecker</v>
      </c>
      <c r="E2828" s="3" t="str">
        <f>VLOOKUP(B2828,LifeList!$E$2:$G$2038,2)</f>
        <v>Pic à tête rouge</v>
      </c>
      <c r="F2828" s="3" t="str">
        <f>VLOOKUP(B2828,LifeList!$E$2:$G$2038,3)</f>
        <v>Melanerpes erythrocephalus</v>
      </c>
      <c r="G2828" s="3" t="str">
        <f>VLOOKUP(B2828,LifeList!$E$2:$I$2038,4)</f>
        <v>Piciformes</v>
      </c>
      <c r="H2828" s="3" t="str">
        <f>VLOOKUP(B2828,LifeList!$E$2:$I$2038,5)</f>
        <v>Picidae (Woodpeckers)</v>
      </c>
      <c r="I2828" s="3"/>
    </row>
    <row r="2829" spans="1:9" ht="10.5" customHeight="1">
      <c r="A2829" s="3" t="s">
        <v>3956</v>
      </c>
      <c r="B2829" s="3" t="s">
        <v>3953</v>
      </c>
      <c r="C2829" s="3">
        <f>VLOOKUP(B2829,LifeList!$E$2:$J$2038,6)</f>
        <v>11145</v>
      </c>
      <c r="D2829" s="3" t="str">
        <f>VLOOKUP(B2829,LifeList!$E$2:$G$2038,1)</f>
        <v>Red-headed Woodpecker</v>
      </c>
      <c r="E2829" s="3" t="str">
        <f>VLOOKUP(B2829,LifeList!$E$2:$G$2038,2)</f>
        <v>Pic à tête rouge</v>
      </c>
      <c r="F2829" s="3" t="str">
        <f>VLOOKUP(B2829,LifeList!$E$2:$G$2038,3)</f>
        <v>Melanerpes erythrocephalus</v>
      </c>
      <c r="G2829" s="3" t="str">
        <f>VLOOKUP(B2829,LifeList!$E$2:$I$2038,4)</f>
        <v>Piciformes</v>
      </c>
      <c r="H2829" s="3" t="str">
        <f>VLOOKUP(B2829,LifeList!$E$2:$I$2038,5)</f>
        <v>Picidae (Woodpeckers)</v>
      </c>
      <c r="I2829" s="3"/>
    </row>
    <row r="2830" spans="1:9" ht="10.5" customHeight="1">
      <c r="A2830" s="3" t="s">
        <v>3957</v>
      </c>
      <c r="B2830" s="3" t="s">
        <v>3953</v>
      </c>
      <c r="C2830" s="3">
        <f>VLOOKUP(B2830,LifeList!$E$2:$J$2038,6)</f>
        <v>11145</v>
      </c>
      <c r="D2830" s="3" t="str">
        <f>VLOOKUP(B2830,LifeList!$E$2:$G$2038,1)</f>
        <v>Red-headed Woodpecker</v>
      </c>
      <c r="E2830" s="3" t="str">
        <f>VLOOKUP(B2830,LifeList!$E$2:$G$2038,2)</f>
        <v>Pic à tête rouge</v>
      </c>
      <c r="F2830" s="3" t="str">
        <f>VLOOKUP(B2830,LifeList!$E$2:$G$2038,3)</f>
        <v>Melanerpes erythrocephalus</v>
      </c>
      <c r="G2830" s="3" t="str">
        <f>VLOOKUP(B2830,LifeList!$E$2:$I$2038,4)</f>
        <v>Piciformes</v>
      </c>
      <c r="H2830" s="3" t="str">
        <f>VLOOKUP(B2830,LifeList!$E$2:$I$2038,5)</f>
        <v>Picidae (Woodpeckers)</v>
      </c>
      <c r="I2830" s="3"/>
    </row>
    <row r="2831" spans="1:9" ht="10.5" customHeight="1">
      <c r="A2831" s="3" t="s">
        <v>3958</v>
      </c>
      <c r="B2831" s="3" t="s">
        <v>3953</v>
      </c>
      <c r="C2831" s="3">
        <f>VLOOKUP(B2831,LifeList!$E$2:$J$2038,6)</f>
        <v>11145</v>
      </c>
      <c r="D2831" s="3" t="str">
        <f>VLOOKUP(B2831,LifeList!$E$2:$G$2038,1)</f>
        <v>Red-headed Woodpecker</v>
      </c>
      <c r="E2831" s="3" t="str">
        <f>VLOOKUP(B2831,LifeList!$E$2:$G$2038,2)</f>
        <v>Pic à tête rouge</v>
      </c>
      <c r="F2831" s="3" t="str">
        <f>VLOOKUP(B2831,LifeList!$E$2:$G$2038,3)</f>
        <v>Melanerpes erythrocephalus</v>
      </c>
      <c r="G2831" s="3" t="str">
        <f>VLOOKUP(B2831,LifeList!$E$2:$I$2038,4)</f>
        <v>Piciformes</v>
      </c>
      <c r="H2831" s="3" t="str">
        <f>VLOOKUP(B2831,LifeList!$E$2:$I$2038,5)</f>
        <v>Picidae (Woodpeckers)</v>
      </c>
      <c r="I2831" s="3"/>
    </row>
    <row r="2832" spans="1:9" ht="10.5" customHeight="1">
      <c r="A2832" s="3" t="s">
        <v>3959</v>
      </c>
      <c r="B2832" s="3" t="s">
        <v>3953</v>
      </c>
      <c r="C2832" s="3">
        <f>VLOOKUP(B2832,LifeList!$E$2:$J$2038,6)</f>
        <v>11145</v>
      </c>
      <c r="D2832" s="3" t="str">
        <f>VLOOKUP(B2832,LifeList!$E$2:$G$2038,1)</f>
        <v>Red-headed Woodpecker</v>
      </c>
      <c r="E2832" s="3" t="str">
        <f>VLOOKUP(B2832,LifeList!$E$2:$G$2038,2)</f>
        <v>Pic à tête rouge</v>
      </c>
      <c r="F2832" s="3" t="str">
        <f>VLOOKUP(B2832,LifeList!$E$2:$G$2038,3)</f>
        <v>Melanerpes erythrocephalus</v>
      </c>
      <c r="G2832" s="3" t="str">
        <f>VLOOKUP(B2832,LifeList!$E$2:$I$2038,4)</f>
        <v>Piciformes</v>
      </c>
      <c r="H2832" s="3" t="str">
        <f>VLOOKUP(B2832,LifeList!$E$2:$I$2038,5)</f>
        <v>Picidae (Woodpeckers)</v>
      </c>
      <c r="I2832" s="3"/>
    </row>
    <row r="2833" spans="1:9" ht="10.5" customHeight="1">
      <c r="A2833" s="3" t="s">
        <v>3960</v>
      </c>
      <c r="B2833" s="3" t="s">
        <v>3953</v>
      </c>
      <c r="C2833" s="3">
        <f>VLOOKUP(B2833,LifeList!$E$2:$J$2038,6)</f>
        <v>11145</v>
      </c>
      <c r="D2833" s="3" t="str">
        <f>VLOOKUP(B2833,LifeList!$E$2:$G$2038,1)</f>
        <v>Red-headed Woodpecker</v>
      </c>
      <c r="E2833" s="3" t="str">
        <f>VLOOKUP(B2833,LifeList!$E$2:$G$2038,2)</f>
        <v>Pic à tête rouge</v>
      </c>
      <c r="F2833" s="3" t="str">
        <f>VLOOKUP(B2833,LifeList!$E$2:$G$2038,3)</f>
        <v>Melanerpes erythrocephalus</v>
      </c>
      <c r="G2833" s="3" t="str">
        <f>VLOOKUP(B2833,LifeList!$E$2:$I$2038,4)</f>
        <v>Piciformes</v>
      </c>
      <c r="H2833" s="3" t="str">
        <f>VLOOKUP(B2833,LifeList!$E$2:$I$2038,5)</f>
        <v>Picidae (Woodpeckers)</v>
      </c>
      <c r="I2833" s="3"/>
    </row>
    <row r="2834" spans="1:9" ht="10.5" customHeight="1">
      <c r="A2834" s="3" t="s">
        <v>3961</v>
      </c>
      <c r="B2834" s="3" t="s">
        <v>3953</v>
      </c>
      <c r="C2834" s="3">
        <f>VLOOKUP(B2834,LifeList!$E$2:$J$2038,6)</f>
        <v>11145</v>
      </c>
      <c r="D2834" s="3" t="str">
        <f>VLOOKUP(B2834,LifeList!$E$2:$G$2038,1)</f>
        <v>Red-headed Woodpecker</v>
      </c>
      <c r="E2834" s="3" t="str">
        <f>VLOOKUP(B2834,LifeList!$E$2:$G$2038,2)</f>
        <v>Pic à tête rouge</v>
      </c>
      <c r="F2834" s="3" t="str">
        <f>VLOOKUP(B2834,LifeList!$E$2:$G$2038,3)</f>
        <v>Melanerpes erythrocephalus</v>
      </c>
      <c r="G2834" s="3" t="str">
        <f>VLOOKUP(B2834,LifeList!$E$2:$I$2038,4)</f>
        <v>Piciformes</v>
      </c>
      <c r="H2834" s="3" t="str">
        <f>VLOOKUP(B2834,LifeList!$E$2:$I$2038,5)</f>
        <v>Picidae (Woodpeckers)</v>
      </c>
      <c r="I2834" s="3"/>
    </row>
    <row r="2835" spans="1:9" ht="10.5" customHeight="1">
      <c r="A2835" s="3" t="s">
        <v>3962</v>
      </c>
      <c r="B2835" s="3" t="s">
        <v>3953</v>
      </c>
      <c r="C2835" s="3">
        <f>VLOOKUP(B2835,LifeList!$E$2:$J$2038,6)</f>
        <v>11145</v>
      </c>
      <c r="D2835" s="3" t="str">
        <f>VLOOKUP(B2835,LifeList!$E$2:$G$2038,1)</f>
        <v>Red-headed Woodpecker</v>
      </c>
      <c r="E2835" s="3" t="str">
        <f>VLOOKUP(B2835,LifeList!$E$2:$G$2038,2)</f>
        <v>Pic à tête rouge</v>
      </c>
      <c r="F2835" s="3" t="str">
        <f>VLOOKUP(B2835,LifeList!$E$2:$G$2038,3)</f>
        <v>Melanerpes erythrocephalus</v>
      </c>
      <c r="G2835" s="3" t="str">
        <f>VLOOKUP(B2835,LifeList!$E$2:$I$2038,4)</f>
        <v>Piciformes</v>
      </c>
      <c r="H2835" s="3" t="str">
        <f>VLOOKUP(B2835,LifeList!$E$2:$I$2038,5)</f>
        <v>Picidae (Woodpeckers)</v>
      </c>
      <c r="I2835" s="3"/>
    </row>
    <row r="2836" spans="1:9" ht="10.5" customHeight="1">
      <c r="A2836" s="3" t="s">
        <v>3963</v>
      </c>
      <c r="B2836" s="3" t="s">
        <v>3953</v>
      </c>
      <c r="C2836" s="3">
        <f>VLOOKUP(B2836,LifeList!$E$2:$J$2038,6)</f>
        <v>11145</v>
      </c>
      <c r="D2836" s="3" t="str">
        <f>VLOOKUP(B2836,LifeList!$E$2:$G$2038,1)</f>
        <v>Red-headed Woodpecker</v>
      </c>
      <c r="E2836" s="3" t="str">
        <f>VLOOKUP(B2836,LifeList!$E$2:$G$2038,2)</f>
        <v>Pic à tête rouge</v>
      </c>
      <c r="F2836" s="3" t="str">
        <f>VLOOKUP(B2836,LifeList!$E$2:$G$2038,3)</f>
        <v>Melanerpes erythrocephalus</v>
      </c>
      <c r="G2836" s="3" t="str">
        <f>VLOOKUP(B2836,LifeList!$E$2:$I$2038,4)</f>
        <v>Piciformes</v>
      </c>
      <c r="H2836" s="3" t="str">
        <f>VLOOKUP(B2836,LifeList!$E$2:$I$2038,5)</f>
        <v>Picidae (Woodpeckers)</v>
      </c>
      <c r="I2836" s="3"/>
    </row>
    <row r="2837" spans="1:9" ht="10.5" customHeight="1">
      <c r="A2837" s="3" t="s">
        <v>3964</v>
      </c>
      <c r="B2837" s="3" t="s">
        <v>3953</v>
      </c>
      <c r="C2837" s="3">
        <f>VLOOKUP(B2837,LifeList!$E$2:$J$2038,6)</f>
        <v>11145</v>
      </c>
      <c r="D2837" s="3" t="str">
        <f>VLOOKUP(B2837,LifeList!$E$2:$G$2038,1)</f>
        <v>Red-headed Woodpecker</v>
      </c>
      <c r="E2837" s="3" t="str">
        <f>VLOOKUP(B2837,LifeList!$E$2:$G$2038,2)</f>
        <v>Pic à tête rouge</v>
      </c>
      <c r="F2837" s="3" t="str">
        <f>VLOOKUP(B2837,LifeList!$E$2:$G$2038,3)</f>
        <v>Melanerpes erythrocephalus</v>
      </c>
      <c r="G2837" s="3" t="str">
        <f>VLOOKUP(B2837,LifeList!$E$2:$I$2038,4)</f>
        <v>Piciformes</v>
      </c>
      <c r="H2837" s="3" t="str">
        <f>VLOOKUP(B2837,LifeList!$E$2:$I$2038,5)</f>
        <v>Picidae (Woodpeckers)</v>
      </c>
      <c r="I2837" s="3"/>
    </row>
    <row r="2838" spans="1:9" ht="10.5" customHeight="1">
      <c r="A2838" s="3" t="s">
        <v>3965</v>
      </c>
      <c r="B2838" s="3" t="s">
        <v>3953</v>
      </c>
      <c r="C2838" s="3">
        <f>VLOOKUP(B2838,LifeList!$E$2:$J$2038,6)</f>
        <v>11145</v>
      </c>
      <c r="D2838" s="3" t="str">
        <f>VLOOKUP(B2838,LifeList!$E$2:$G$2038,1)</f>
        <v>Red-headed Woodpecker</v>
      </c>
      <c r="E2838" s="3" t="str">
        <f>VLOOKUP(B2838,LifeList!$E$2:$G$2038,2)</f>
        <v>Pic à tête rouge</v>
      </c>
      <c r="F2838" s="3" t="str">
        <f>VLOOKUP(B2838,LifeList!$E$2:$G$2038,3)</f>
        <v>Melanerpes erythrocephalus</v>
      </c>
      <c r="G2838" s="3" t="str">
        <f>VLOOKUP(B2838,LifeList!$E$2:$I$2038,4)</f>
        <v>Piciformes</v>
      </c>
      <c r="H2838" s="3" t="str">
        <f>VLOOKUP(B2838,LifeList!$E$2:$I$2038,5)</f>
        <v>Picidae (Woodpeckers)</v>
      </c>
      <c r="I2838" s="3"/>
    </row>
    <row r="2839" spans="1:9" ht="10.5" customHeight="1">
      <c r="A2839" s="5" t="s">
        <v>3966</v>
      </c>
      <c r="B2839" s="3" t="s">
        <v>3967</v>
      </c>
      <c r="C2839" s="6">
        <f>VLOOKUP(B2839,LifeList!$E$2:$J$2038,6)</f>
        <v>5494</v>
      </c>
      <c r="D2839" s="3" t="str">
        <f>VLOOKUP(B2839,LifeList!$E$2:$G$2038,1)</f>
        <v>Red-knobbed Coot</v>
      </c>
      <c r="E2839" s="3" t="str">
        <f>VLOOKUP(B2839,LifeList!$E$2:$G$2038,2)</f>
        <v>Foulque à crête</v>
      </c>
      <c r="F2839" s="3" t="str">
        <f>VLOOKUP(B2839,LifeList!$E$2:$G$2038,3)</f>
        <v>Fulica cristata</v>
      </c>
      <c r="G2839" s="3" t="str">
        <f>VLOOKUP(B2839,LifeList!$E$2:$I$2038,4)</f>
        <v>Gruiformes</v>
      </c>
      <c r="H2839" s="3" t="str">
        <f>VLOOKUP(B2839,LifeList!$E$2:$I$2038,5)</f>
        <v>Rallidae (Rails, Gallinules, and Coots)</v>
      </c>
      <c r="I2839" s="3"/>
    </row>
    <row r="2840" spans="1:9" ht="10.5" customHeight="1">
      <c r="A2840" s="3" t="s">
        <v>3968</v>
      </c>
      <c r="B2840" s="3" t="s">
        <v>3969</v>
      </c>
      <c r="C2840" s="3">
        <f>VLOOKUP(B2840,LifeList!$E$2:$J$2038,6)</f>
        <v>35174</v>
      </c>
      <c r="D2840" s="3" t="str">
        <f>VLOOKUP(B2840,LifeList!$E$2:$G$2038,1)</f>
        <v>Red-legged Honeycreeper</v>
      </c>
      <c r="E2840" s="3" t="str">
        <f>VLOOKUP(B2840,LifeList!$E$2:$G$2038,2)</f>
        <v>Guit-guit saï</v>
      </c>
      <c r="F2840" s="3" t="str">
        <f>VLOOKUP(B2840,LifeList!$E$2:$G$2038,3)</f>
        <v>Cyanerpes cyaneus</v>
      </c>
      <c r="G2840" s="3" t="str">
        <f>VLOOKUP(B2840,LifeList!$E$2:$I$2038,4)</f>
        <v>Passeriformes</v>
      </c>
      <c r="H2840" s="3" t="str">
        <f>VLOOKUP(B2840,LifeList!$E$2:$I$2038,5)</f>
        <v>Thraupidae (Tanagers and Allies)</v>
      </c>
      <c r="I2840" s="3"/>
    </row>
    <row r="2841" spans="1:9" ht="10.5" customHeight="1">
      <c r="A2841" s="3" t="s">
        <v>3970</v>
      </c>
      <c r="B2841" s="3" t="s">
        <v>3969</v>
      </c>
      <c r="C2841" s="3">
        <f>VLOOKUP(B2841,LifeList!$E$2:$J$2038,6)</f>
        <v>35174</v>
      </c>
      <c r="D2841" s="3" t="str">
        <f>VLOOKUP(B2841,LifeList!$E$2:$G$2038,1)</f>
        <v>Red-legged Honeycreeper</v>
      </c>
      <c r="E2841" s="3" t="str">
        <f>VLOOKUP(B2841,LifeList!$E$2:$G$2038,2)</f>
        <v>Guit-guit saï</v>
      </c>
      <c r="F2841" s="3" t="str">
        <f>VLOOKUP(B2841,LifeList!$E$2:$G$2038,3)</f>
        <v>Cyanerpes cyaneus</v>
      </c>
      <c r="G2841" s="3" t="str">
        <f>VLOOKUP(B2841,LifeList!$E$2:$I$2038,4)</f>
        <v>Passeriformes</v>
      </c>
      <c r="H2841" s="3" t="str">
        <f>VLOOKUP(B2841,LifeList!$E$2:$I$2038,5)</f>
        <v>Thraupidae (Tanagers and Allies)</v>
      </c>
      <c r="I2841" s="3"/>
    </row>
    <row r="2842" spans="1:9" ht="10.5" customHeight="1">
      <c r="A2842" s="3" t="s">
        <v>3971</v>
      </c>
      <c r="B2842" s="3" t="s">
        <v>3969</v>
      </c>
      <c r="C2842" s="3">
        <f>VLOOKUP(B2842,LifeList!$E$2:$J$2038,6)</f>
        <v>35174</v>
      </c>
      <c r="D2842" s="3" t="str">
        <f>VLOOKUP(B2842,LifeList!$E$2:$G$2038,1)</f>
        <v>Red-legged Honeycreeper</v>
      </c>
      <c r="E2842" s="3" t="str">
        <f>VLOOKUP(B2842,LifeList!$E$2:$G$2038,2)</f>
        <v>Guit-guit saï</v>
      </c>
      <c r="F2842" s="3" t="str">
        <f>VLOOKUP(B2842,LifeList!$E$2:$G$2038,3)</f>
        <v>Cyanerpes cyaneus</v>
      </c>
      <c r="G2842" s="3" t="str">
        <f>VLOOKUP(B2842,LifeList!$E$2:$I$2038,4)</f>
        <v>Passeriformes</v>
      </c>
      <c r="H2842" s="3" t="str">
        <f>VLOOKUP(B2842,LifeList!$E$2:$I$2038,5)</f>
        <v>Thraupidae (Tanagers and Allies)</v>
      </c>
      <c r="I2842" s="3"/>
    </row>
    <row r="2843" spans="1:9" ht="10.5" customHeight="1">
      <c r="A2843" s="3" t="s">
        <v>3972</v>
      </c>
      <c r="B2843" s="3" t="s">
        <v>3973</v>
      </c>
      <c r="C2843" s="3">
        <f>VLOOKUP(B2843,LifeList!$E$2:$J$2038,6)</f>
        <v>12909</v>
      </c>
      <c r="D2843" s="3" t="str">
        <f>VLOOKUP(B2843,LifeList!$E$2:$G$2038,1)</f>
        <v>Red-lored Amazon</v>
      </c>
      <c r="E2843" s="3" t="str">
        <f>VLOOKUP(B2843,LifeList!$E$2:$G$2038,2)</f>
        <v>Amazone diadème [autumnalis ou salvini]</v>
      </c>
      <c r="F2843" s="3" t="str">
        <f>VLOOKUP(B2843,LifeList!$E$2:$G$2038,3)</f>
        <v>Amazona autumnalis</v>
      </c>
      <c r="G2843" s="3" t="str">
        <f>VLOOKUP(B2843,LifeList!$E$2:$I$2038,4)</f>
        <v>Psittaciformes</v>
      </c>
      <c r="H2843" s="3" t="str">
        <f>VLOOKUP(B2843,LifeList!$E$2:$I$2038,5)</f>
        <v>Psittacidae (New World and African Parrots)</v>
      </c>
      <c r="I2843" s="3"/>
    </row>
    <row r="2844" spans="1:9" ht="10.5" customHeight="1">
      <c r="A2844" s="3" t="s">
        <v>3974</v>
      </c>
      <c r="B2844" s="3" t="s">
        <v>3973</v>
      </c>
      <c r="C2844" s="3">
        <f>VLOOKUP(B2844,LifeList!$E$2:$J$2038,6)</f>
        <v>12909</v>
      </c>
      <c r="D2844" s="3" t="str">
        <f>VLOOKUP(B2844,LifeList!$E$2:$G$2038,1)</f>
        <v>Red-lored Amazon</v>
      </c>
      <c r="E2844" s="3" t="str">
        <f>VLOOKUP(B2844,LifeList!$E$2:$G$2038,2)</f>
        <v>Amazone diadème [autumnalis ou salvini]</v>
      </c>
      <c r="F2844" s="3" t="str">
        <f>VLOOKUP(B2844,LifeList!$E$2:$G$2038,3)</f>
        <v>Amazona autumnalis</v>
      </c>
      <c r="G2844" s="3" t="str">
        <f>VLOOKUP(B2844,LifeList!$E$2:$I$2038,4)</f>
        <v>Psittaciformes</v>
      </c>
      <c r="H2844" s="3" t="str">
        <f>VLOOKUP(B2844,LifeList!$E$2:$I$2038,5)</f>
        <v>Psittacidae (New World and African Parrots)</v>
      </c>
      <c r="I2844" s="3"/>
    </row>
    <row r="2845" spans="1:9" ht="10.5" customHeight="1">
      <c r="A2845" s="3" t="s">
        <v>3975</v>
      </c>
      <c r="B2845" s="3" t="s">
        <v>3973</v>
      </c>
      <c r="C2845" s="3">
        <f>VLOOKUP(B2845,LifeList!$E$2:$J$2038,6)</f>
        <v>12909</v>
      </c>
      <c r="D2845" s="3" t="str">
        <f>VLOOKUP(B2845,LifeList!$E$2:$G$2038,1)</f>
        <v>Red-lored Amazon</v>
      </c>
      <c r="E2845" s="3" t="str">
        <f>VLOOKUP(B2845,LifeList!$E$2:$G$2038,2)</f>
        <v>Amazone diadème [autumnalis ou salvini]</v>
      </c>
      <c r="F2845" s="3" t="str">
        <f>VLOOKUP(B2845,LifeList!$E$2:$G$2038,3)</f>
        <v>Amazona autumnalis</v>
      </c>
      <c r="G2845" s="3" t="str">
        <f>VLOOKUP(B2845,LifeList!$E$2:$I$2038,4)</f>
        <v>Psittaciformes</v>
      </c>
      <c r="H2845" s="3" t="str">
        <f>VLOOKUP(B2845,LifeList!$E$2:$I$2038,5)</f>
        <v>Psittacidae (New World and African Parrots)</v>
      </c>
      <c r="I2845" s="3"/>
    </row>
    <row r="2846" spans="1:9" ht="10.5" customHeight="1">
      <c r="A2846" s="3" t="s">
        <v>3976</v>
      </c>
      <c r="B2846" s="3" t="s">
        <v>3973</v>
      </c>
      <c r="C2846" s="3">
        <f>VLOOKUP(B2846,LifeList!$E$2:$J$2038,6)</f>
        <v>12909</v>
      </c>
      <c r="D2846" s="3" t="str">
        <f>VLOOKUP(B2846,LifeList!$E$2:$G$2038,1)</f>
        <v>Red-lored Amazon</v>
      </c>
      <c r="E2846" s="3" t="str">
        <f>VLOOKUP(B2846,LifeList!$E$2:$G$2038,2)</f>
        <v>Amazone diadème [autumnalis ou salvini]</v>
      </c>
      <c r="F2846" s="3" t="str">
        <f>VLOOKUP(B2846,LifeList!$E$2:$G$2038,3)</f>
        <v>Amazona autumnalis</v>
      </c>
      <c r="G2846" s="3" t="str">
        <f>VLOOKUP(B2846,LifeList!$E$2:$I$2038,4)</f>
        <v>Psittaciformes</v>
      </c>
      <c r="H2846" s="3" t="str">
        <f>VLOOKUP(B2846,LifeList!$E$2:$I$2038,5)</f>
        <v>Psittacidae (New World and African Parrots)</v>
      </c>
      <c r="I2846" s="3"/>
    </row>
    <row r="2847" spans="1:9" ht="10.5" customHeight="1">
      <c r="A2847" s="3" t="s">
        <v>3977</v>
      </c>
      <c r="B2847" s="3" t="s">
        <v>3973</v>
      </c>
      <c r="C2847" s="3">
        <f>VLOOKUP(B2847,LifeList!$E$2:$J$2038,6)</f>
        <v>12909</v>
      </c>
      <c r="D2847" s="3" t="str">
        <f>VLOOKUP(B2847,LifeList!$E$2:$G$2038,1)</f>
        <v>Red-lored Amazon</v>
      </c>
      <c r="E2847" s="3" t="str">
        <f>VLOOKUP(B2847,LifeList!$E$2:$G$2038,2)</f>
        <v>Amazone diadème [autumnalis ou salvini]</v>
      </c>
      <c r="F2847" s="3" t="str">
        <f>VLOOKUP(B2847,LifeList!$E$2:$G$2038,3)</f>
        <v>Amazona autumnalis</v>
      </c>
      <c r="G2847" s="3" t="str">
        <f>VLOOKUP(B2847,LifeList!$E$2:$I$2038,4)</f>
        <v>Psittaciformes</v>
      </c>
      <c r="H2847" s="3" t="str">
        <f>VLOOKUP(B2847,LifeList!$E$2:$I$2038,5)</f>
        <v>Psittacidae (New World and African Parrots)</v>
      </c>
      <c r="I2847" s="3"/>
    </row>
    <row r="2848" spans="1:9" ht="10.5" customHeight="1">
      <c r="A2848" s="3" t="s">
        <v>3978</v>
      </c>
      <c r="B2848" s="3" t="s">
        <v>3973</v>
      </c>
      <c r="C2848" s="3">
        <f>VLOOKUP(B2848,LifeList!$E$2:$J$2038,6)</f>
        <v>12909</v>
      </c>
      <c r="D2848" s="3" t="str">
        <f>VLOOKUP(B2848,LifeList!$E$2:$G$2038,1)</f>
        <v>Red-lored Amazon</v>
      </c>
      <c r="E2848" s="3" t="str">
        <f>VLOOKUP(B2848,LifeList!$E$2:$G$2038,2)</f>
        <v>Amazone diadème [autumnalis ou salvini]</v>
      </c>
      <c r="F2848" s="3" t="str">
        <f>VLOOKUP(B2848,LifeList!$E$2:$G$2038,3)</f>
        <v>Amazona autumnalis</v>
      </c>
      <c r="G2848" s="3" t="str">
        <f>VLOOKUP(B2848,LifeList!$E$2:$I$2038,4)</f>
        <v>Psittaciformes</v>
      </c>
      <c r="H2848" s="3" t="str">
        <f>VLOOKUP(B2848,LifeList!$E$2:$I$2038,5)</f>
        <v>Psittacidae (New World and African Parrots)</v>
      </c>
      <c r="I2848" s="3"/>
    </row>
    <row r="2849" spans="1:9" ht="10.5" customHeight="1">
      <c r="A2849" s="7" t="s">
        <v>3979</v>
      </c>
      <c r="B2849" s="9" t="s">
        <v>3980</v>
      </c>
      <c r="C2849" s="6">
        <f>VLOOKUP(B2849,LifeList!$E$2:$J$2038,6)</f>
        <v>6869</v>
      </c>
      <c r="D2849" s="3" t="str">
        <f>VLOOKUP(B2849,LifeList!$E$2:$G$2038,1)</f>
        <v>Red-necked Grebe</v>
      </c>
      <c r="E2849" s="3" t="str">
        <f>VLOOKUP(B2849,LifeList!$E$2:$G$2038,2)</f>
        <v>Grèbe jougris</v>
      </c>
      <c r="F2849" s="3" t="str">
        <f>VLOOKUP(B2849,LifeList!$E$2:$G$2038,3)</f>
        <v>Podiceps grisegena</v>
      </c>
      <c r="G2849" s="3" t="str">
        <f>VLOOKUP(B2849,LifeList!$E$2:$I$2038,4)</f>
        <v>Podicipediformes</v>
      </c>
      <c r="H2849" s="3" t="str">
        <f>VLOOKUP(B2849,LifeList!$E$2:$I$2038,5)</f>
        <v>Podicipedidae (Grebes)</v>
      </c>
      <c r="I2849" s="3"/>
    </row>
    <row r="2850" spans="1:9" ht="10.5" customHeight="1">
      <c r="A2850" s="5" t="s">
        <v>3981</v>
      </c>
      <c r="B2850" s="3" t="s">
        <v>3982</v>
      </c>
      <c r="C2850" s="3">
        <f>VLOOKUP(B2850,LifeList!$E$2:$J$2038,6)</f>
        <v>6121</v>
      </c>
      <c r="D2850" s="3" t="str">
        <f>VLOOKUP(B2850,LifeList!$E$2:$G$2038,1)</f>
        <v>Red-necked Phalarope</v>
      </c>
      <c r="E2850" s="3" t="str">
        <f>VLOOKUP(B2850,LifeList!$E$2:$G$2038,2)</f>
        <v>Phalarope à bec étroit</v>
      </c>
      <c r="F2850" s="3" t="str">
        <f>VLOOKUP(B2850,LifeList!$E$2:$G$2038,3)</f>
        <v>Phalaropus lobatus</v>
      </c>
      <c r="G2850" s="3" t="str">
        <f>VLOOKUP(B2850,LifeList!$E$2:$I$2038,4)</f>
        <v>Charadriiformes</v>
      </c>
      <c r="H2850" s="3" t="str">
        <f>VLOOKUP(B2850,LifeList!$E$2:$I$2038,5)</f>
        <v>Scolopacidae (Sandpipers and Allies)</v>
      </c>
      <c r="I2850" s="3"/>
    </row>
    <row r="2851" spans="1:9" ht="10.5" customHeight="1">
      <c r="A2851" s="3" t="s">
        <v>3983</v>
      </c>
      <c r="B2851" s="3" t="s">
        <v>3984</v>
      </c>
      <c r="C2851" s="3">
        <f>VLOOKUP(B2851,LifeList!$E$2:$J$2038,6)</f>
        <v>5778</v>
      </c>
      <c r="D2851" s="3" t="str">
        <f>VLOOKUP(B2851,LifeList!$E$2:$G$2038,1)</f>
        <v>Red-necked Avocet</v>
      </c>
      <c r="E2851" s="3" t="str">
        <f>VLOOKUP(B2851,LifeList!$E$2:$G$2038,2)</f>
        <v>Avocette d'Australie</v>
      </c>
      <c r="F2851" s="3" t="str">
        <f>VLOOKUP(B2851,LifeList!$E$2:$G$2038,3)</f>
        <v>Recurvirostra novaehollandiae</v>
      </c>
      <c r="G2851" s="3" t="str">
        <f>VLOOKUP(B2851,LifeList!$E$2:$I$2038,4)</f>
        <v>Charadriiformes</v>
      </c>
      <c r="H2851" s="3" t="str">
        <f>VLOOKUP(B2851,LifeList!$E$2:$I$2038,5)</f>
        <v>Recurvirostridae (Stilts and Avocets)</v>
      </c>
      <c r="I2851" s="3"/>
    </row>
    <row r="2852" spans="1:9" ht="10.5" customHeight="1">
      <c r="A2852" s="3" t="s">
        <v>3985</v>
      </c>
      <c r="B2852" s="3" t="s">
        <v>3986</v>
      </c>
      <c r="C2852" s="3">
        <f>VLOOKUP(B2852,LifeList!$E$2:$J$2038,6)</f>
        <v>12052</v>
      </c>
      <c r="D2852" s="3" t="str">
        <f>VLOOKUP(B2852,LifeList!$E$2:$G$2038,1)</f>
        <v>Red-necked Falcon</v>
      </c>
      <c r="E2852" s="3" t="str">
        <f>VLOOKUP(B2852,LifeList!$E$2:$G$2038,2)</f>
        <v>Faucon chicquera</v>
      </c>
      <c r="F2852" s="3" t="str">
        <f>VLOOKUP(B2852,LifeList!$E$2:$G$2038,3)</f>
        <v>Falco chicquera</v>
      </c>
      <c r="G2852" s="3" t="str">
        <f>VLOOKUP(B2852,LifeList!$E$2:$I$2038,4)</f>
        <v>Falconiformes</v>
      </c>
      <c r="H2852" s="3" t="str">
        <f>VLOOKUP(B2852,LifeList!$E$2:$I$2038,5)</f>
        <v>Falconidae (Falcons and Caracaras)</v>
      </c>
      <c r="I2852" s="3"/>
    </row>
    <row r="2853" spans="1:9" ht="10.5" customHeight="1">
      <c r="A2853" s="3" t="s">
        <v>3987</v>
      </c>
      <c r="B2853" s="3" t="s">
        <v>3988</v>
      </c>
      <c r="C2853" s="3">
        <f>VLOOKUP(B2853,LifeList!$E$2:$J$2038,6)</f>
        <v>6121</v>
      </c>
      <c r="D2853" s="3" t="str">
        <f>VLOOKUP(B2853,LifeList!$E$2:$G$2038,1)</f>
        <v>Red-necked Phalarope</v>
      </c>
      <c r="E2853" s="3" t="str">
        <f>VLOOKUP(B2853,LifeList!$E$2:$G$2038,2)</f>
        <v>Phalarope à bec étroit</v>
      </c>
      <c r="F2853" s="3" t="str">
        <f>VLOOKUP(B2853,LifeList!$E$2:$G$2038,3)</f>
        <v>Phalaropus lobatus</v>
      </c>
      <c r="G2853" s="3" t="str">
        <f>VLOOKUP(B2853,LifeList!$E$2:$I$2038,4)</f>
        <v>Charadriiformes</v>
      </c>
      <c r="H2853" s="3" t="str">
        <f>VLOOKUP(B2853,LifeList!$E$2:$I$2038,5)</f>
        <v>Scolopacidae (Sandpipers and Allies)</v>
      </c>
      <c r="I2853" s="3"/>
    </row>
    <row r="2854" spans="1:9" ht="10.5" customHeight="1">
      <c r="A2854" s="3" t="s">
        <v>3989</v>
      </c>
      <c r="B2854" s="3" t="s">
        <v>3988</v>
      </c>
      <c r="C2854" s="3">
        <f>VLOOKUP(B2854,LifeList!$E$2:$J$2038,6)</f>
        <v>6121</v>
      </c>
      <c r="D2854" s="3" t="str">
        <f>VLOOKUP(B2854,LifeList!$E$2:$G$2038,1)</f>
        <v>Red-necked Phalarope</v>
      </c>
      <c r="E2854" s="3" t="str">
        <f>VLOOKUP(B2854,LifeList!$E$2:$G$2038,2)</f>
        <v>Phalarope à bec étroit</v>
      </c>
      <c r="F2854" s="3" t="str">
        <f>VLOOKUP(B2854,LifeList!$E$2:$G$2038,3)</f>
        <v>Phalaropus lobatus</v>
      </c>
      <c r="G2854" s="3" t="str">
        <f>VLOOKUP(B2854,LifeList!$E$2:$I$2038,4)</f>
        <v>Charadriiformes</v>
      </c>
      <c r="H2854" s="3" t="str">
        <f>VLOOKUP(B2854,LifeList!$E$2:$I$2038,5)</f>
        <v>Scolopacidae (Sandpipers and Allies)</v>
      </c>
      <c r="I2854" s="3"/>
    </row>
    <row r="2855" spans="1:9" ht="10.5" customHeight="1">
      <c r="A2855" s="3" t="s">
        <v>3990</v>
      </c>
      <c r="B2855" s="3" t="s">
        <v>3991</v>
      </c>
      <c r="C2855" s="3">
        <f>VLOOKUP(B2855,LifeList!$E$2:$J$2038,6)</f>
        <v>1841</v>
      </c>
      <c r="D2855" s="3" t="str">
        <f>VLOOKUP(B2855,LifeList!$E$2:$G$2038,1)</f>
        <v>Red-necked Spurfowl</v>
      </c>
      <c r="E2855" s="3" t="str">
        <f>VLOOKUP(B2855,LifeList!$E$2:$G$2038,2)</f>
        <v>Francolin à gorge rouge</v>
      </c>
      <c r="F2855" s="3" t="str">
        <f>VLOOKUP(B2855,LifeList!$E$2:$G$2038,3)</f>
        <v>Pternistis afer</v>
      </c>
      <c r="G2855" s="3" t="str">
        <f>VLOOKUP(B2855,LifeList!$E$2:$I$2038,4)</f>
        <v>Galliformes</v>
      </c>
      <c r="H2855" s="3" t="str">
        <f>VLOOKUP(B2855,LifeList!$E$2:$I$2038,5)</f>
        <v>Phasianidae (Pheasants, Grouse, and Allies)</v>
      </c>
      <c r="I2855" s="3"/>
    </row>
    <row r="2856" spans="1:9" ht="10.5" customHeight="1">
      <c r="A2856" s="3" t="s">
        <v>3992</v>
      </c>
      <c r="B2856" s="3" t="s">
        <v>3993</v>
      </c>
      <c r="C2856" s="3">
        <f>VLOOKUP(B2856,LifeList!$E$2:$J$2038,6)</f>
        <v>6186</v>
      </c>
      <c r="D2856" s="3" t="str">
        <f>VLOOKUP(B2856,LifeList!$E$2:$G$2038,1)</f>
        <v>Red-necked Stint</v>
      </c>
      <c r="E2856" s="3" t="str">
        <f>VLOOKUP(B2856,LifeList!$E$2:$G$2038,2)</f>
        <v>Bécasseau à col roux</v>
      </c>
      <c r="F2856" s="3" t="str">
        <f>VLOOKUP(B2856,LifeList!$E$2:$G$2038,3)</f>
        <v>Calidris ruficollis</v>
      </c>
      <c r="G2856" s="3" t="str">
        <f>VLOOKUP(B2856,LifeList!$E$2:$I$2038,4)</f>
        <v>Charadriiformes</v>
      </c>
      <c r="H2856" s="3" t="str">
        <f>VLOOKUP(B2856,LifeList!$E$2:$I$2038,5)</f>
        <v>Scolopacidae (Sandpipers and Allies)</v>
      </c>
      <c r="I2856" s="3"/>
    </row>
    <row r="2857" spans="1:9" ht="10.5" customHeight="1">
      <c r="A2857" s="3" t="s">
        <v>3994</v>
      </c>
      <c r="B2857" s="3" t="s">
        <v>3993</v>
      </c>
      <c r="C2857" s="3">
        <f>VLOOKUP(B2857,LifeList!$E$2:$J$2038,6)</f>
        <v>6186</v>
      </c>
      <c r="D2857" s="3" t="str">
        <f>VLOOKUP(B2857,LifeList!$E$2:$G$2038,1)</f>
        <v>Red-necked Stint</v>
      </c>
      <c r="E2857" s="3" t="str">
        <f>VLOOKUP(B2857,LifeList!$E$2:$G$2038,2)</f>
        <v>Bécasseau à col roux</v>
      </c>
      <c r="F2857" s="3" t="str">
        <f>VLOOKUP(B2857,LifeList!$E$2:$G$2038,3)</f>
        <v>Calidris ruficollis</v>
      </c>
      <c r="G2857" s="3" t="str">
        <f>VLOOKUP(B2857,LifeList!$E$2:$I$2038,4)</f>
        <v>Charadriiformes</v>
      </c>
      <c r="H2857" s="3" t="str">
        <f>VLOOKUP(B2857,LifeList!$E$2:$I$2038,5)</f>
        <v>Scolopacidae (Sandpipers and Allies)</v>
      </c>
      <c r="I2857" s="3"/>
    </row>
    <row r="2858" spans="1:9" ht="10.5" customHeight="1">
      <c r="A2858" s="3" t="s">
        <v>3995</v>
      </c>
      <c r="B2858" s="3" t="s">
        <v>3996</v>
      </c>
      <c r="C2858" s="3">
        <f>VLOOKUP(B2858,LifeList!$E$2:$J$2038,6)</f>
        <v>12514</v>
      </c>
      <c r="D2858" s="3" t="str">
        <f>VLOOKUP(B2858,LifeList!$E$2:$G$2038,1)</f>
        <v>Red-rumped Parrot</v>
      </c>
      <c r="E2858" s="3" t="str">
        <f>VLOOKUP(B2858,LifeList!$E$2:$G$2038,2)</f>
        <v>Perruche à croupion rouge</v>
      </c>
      <c r="F2858" s="3" t="str">
        <f>VLOOKUP(B2858,LifeList!$E$2:$G$2038,3)</f>
        <v>Psephotus haematonotus</v>
      </c>
      <c r="G2858" s="3" t="str">
        <f>VLOOKUP(B2858,LifeList!$E$2:$I$2038,4)</f>
        <v>Psittaciformes</v>
      </c>
      <c r="H2858" s="3" t="str">
        <f>VLOOKUP(B2858,LifeList!$E$2:$I$2038,5)</f>
        <v>Psittaculidae (Old World Parrots)</v>
      </c>
      <c r="I2858" s="3"/>
    </row>
    <row r="2859" spans="1:9" ht="10.5" customHeight="1">
      <c r="A2859" s="3" t="s">
        <v>3997</v>
      </c>
      <c r="B2859" s="3" t="s">
        <v>3996</v>
      </c>
      <c r="C2859" s="3">
        <f>VLOOKUP(B2859,LifeList!$E$2:$J$2038,6)</f>
        <v>12514</v>
      </c>
      <c r="D2859" s="3" t="str">
        <f>VLOOKUP(B2859,LifeList!$E$2:$G$2038,1)</f>
        <v>Red-rumped Parrot</v>
      </c>
      <c r="E2859" s="3" t="str">
        <f>VLOOKUP(B2859,LifeList!$E$2:$G$2038,2)</f>
        <v>Perruche à croupion rouge</v>
      </c>
      <c r="F2859" s="3" t="str">
        <f>VLOOKUP(B2859,LifeList!$E$2:$G$2038,3)</f>
        <v>Psephotus haematonotus</v>
      </c>
      <c r="G2859" s="3" t="str">
        <f>VLOOKUP(B2859,LifeList!$E$2:$I$2038,4)</f>
        <v>Psittaciformes</v>
      </c>
      <c r="H2859" s="3" t="str">
        <f>VLOOKUP(B2859,LifeList!$E$2:$I$2038,5)</f>
        <v>Psittaculidae (Old World Parrots)</v>
      </c>
      <c r="I2859" s="3"/>
    </row>
    <row r="2860" spans="1:9" ht="10.5" customHeight="1">
      <c r="A2860" s="3" t="s">
        <v>3998</v>
      </c>
      <c r="B2860" s="3" t="s">
        <v>3999</v>
      </c>
      <c r="C2860" s="3">
        <f>VLOOKUP(B2860,LifeList!$E$2:$J$2038,6)</f>
        <v>11467</v>
      </c>
      <c r="D2860" s="3" t="str">
        <f>VLOOKUP(B2860,LifeList!$E$2:$G$2038,1)</f>
        <v>Red-rumped Woodpecker</v>
      </c>
      <c r="E2860" s="3" t="str">
        <f>VLOOKUP(B2860,LifeList!$E$2:$G$2038,2)</f>
        <v>Pic à croupion rouge</v>
      </c>
      <c r="F2860" s="3" t="str">
        <f>VLOOKUP(B2860,LifeList!$E$2:$G$2038,3)</f>
        <v>Veniliornis kirkii</v>
      </c>
      <c r="G2860" s="3" t="str">
        <f>VLOOKUP(B2860,LifeList!$E$2:$I$2038,4)</f>
        <v>Piciformes</v>
      </c>
      <c r="H2860" s="3" t="str">
        <f>VLOOKUP(B2860,LifeList!$E$2:$I$2038,5)</f>
        <v>Picidae (Woodpeckers)</v>
      </c>
      <c r="I2860" s="3"/>
    </row>
    <row r="2861" spans="1:9" ht="10.5" customHeight="1">
      <c r="A2861" s="3" t="s">
        <v>4000</v>
      </c>
      <c r="B2861" s="3" t="s">
        <v>3999</v>
      </c>
      <c r="C2861" s="3">
        <f>VLOOKUP(B2861,LifeList!$E$2:$J$2038,6)</f>
        <v>11467</v>
      </c>
      <c r="D2861" s="3" t="str">
        <f>VLOOKUP(B2861,LifeList!$E$2:$G$2038,1)</f>
        <v>Red-rumped Woodpecker</v>
      </c>
      <c r="E2861" s="3" t="str">
        <f>VLOOKUP(B2861,LifeList!$E$2:$G$2038,2)</f>
        <v>Pic à croupion rouge</v>
      </c>
      <c r="F2861" s="3" t="str">
        <f>VLOOKUP(B2861,LifeList!$E$2:$G$2038,3)</f>
        <v>Veniliornis kirkii</v>
      </c>
      <c r="G2861" s="3" t="str">
        <f>VLOOKUP(B2861,LifeList!$E$2:$I$2038,4)</f>
        <v>Piciformes</v>
      </c>
      <c r="H2861" s="3" t="str">
        <f>VLOOKUP(B2861,LifeList!$E$2:$I$2038,5)</f>
        <v>Picidae (Woodpeckers)</v>
      </c>
      <c r="I2861" s="3"/>
    </row>
    <row r="2862" spans="1:9" ht="10.5" customHeight="1">
      <c r="A2862" s="3" t="s">
        <v>4001</v>
      </c>
      <c r="B2862" s="3" t="s">
        <v>3999</v>
      </c>
      <c r="C2862" s="3">
        <f>VLOOKUP(B2862,LifeList!$E$2:$J$2038,6)</f>
        <v>11467</v>
      </c>
      <c r="D2862" s="3" t="str">
        <f>VLOOKUP(B2862,LifeList!$E$2:$G$2038,1)</f>
        <v>Red-rumped Woodpecker</v>
      </c>
      <c r="E2862" s="3" t="str">
        <f>VLOOKUP(B2862,LifeList!$E$2:$G$2038,2)</f>
        <v>Pic à croupion rouge</v>
      </c>
      <c r="F2862" s="3" t="str">
        <f>VLOOKUP(B2862,LifeList!$E$2:$G$2038,3)</f>
        <v>Veniliornis kirkii</v>
      </c>
      <c r="G2862" s="3" t="str">
        <f>VLOOKUP(B2862,LifeList!$E$2:$I$2038,4)</f>
        <v>Piciformes</v>
      </c>
      <c r="H2862" s="3" t="str">
        <f>VLOOKUP(B2862,LifeList!$E$2:$I$2038,5)</f>
        <v>Picidae (Woodpeckers)</v>
      </c>
      <c r="I2862" s="3"/>
    </row>
    <row r="2863" spans="1:9" ht="10.5" customHeight="1">
      <c r="A2863" s="3" t="s">
        <v>4002</v>
      </c>
      <c r="B2863" s="3" t="s">
        <v>3999</v>
      </c>
      <c r="C2863" s="3">
        <f>VLOOKUP(B2863,LifeList!$E$2:$J$2038,6)</f>
        <v>11467</v>
      </c>
      <c r="D2863" s="3" t="str">
        <f>VLOOKUP(B2863,LifeList!$E$2:$G$2038,1)</f>
        <v>Red-rumped Woodpecker</v>
      </c>
      <c r="E2863" s="3" t="str">
        <f>VLOOKUP(B2863,LifeList!$E$2:$G$2038,2)</f>
        <v>Pic à croupion rouge</v>
      </c>
      <c r="F2863" s="3" t="str">
        <f>VLOOKUP(B2863,LifeList!$E$2:$G$2038,3)</f>
        <v>Veniliornis kirkii</v>
      </c>
      <c r="G2863" s="3" t="str">
        <f>VLOOKUP(B2863,LifeList!$E$2:$I$2038,4)</f>
        <v>Piciformes</v>
      </c>
      <c r="H2863" s="3" t="str">
        <f>VLOOKUP(B2863,LifeList!$E$2:$I$2038,5)</f>
        <v>Picidae (Woodpeckers)</v>
      </c>
      <c r="I2863" s="3"/>
    </row>
    <row r="2864" spans="1:9" ht="10.5" customHeight="1">
      <c r="A2864" s="3" t="s">
        <v>4003</v>
      </c>
      <c r="B2864" s="3" t="s">
        <v>4004</v>
      </c>
      <c r="C2864" s="3">
        <f>VLOOKUP(B2864,LifeList!$E$2:$J$2038,6)</f>
        <v>8487</v>
      </c>
      <c r="D2864" s="3" t="str">
        <f>VLOOKUP(B2864,LifeList!$E$2:$G$2038,1)</f>
        <v>Red-shouldered Hawk</v>
      </c>
      <c r="E2864" s="3" t="str">
        <f>VLOOKUP(B2864,LifeList!$E$2:$G$2038,2)</f>
        <v>Buse à épaulettes</v>
      </c>
      <c r="F2864" s="3" t="str">
        <f>VLOOKUP(B2864,LifeList!$E$2:$G$2038,3)</f>
        <v>Buteo lineatus</v>
      </c>
      <c r="G2864" s="3" t="str">
        <f>VLOOKUP(B2864,LifeList!$E$2:$I$2038,4)</f>
        <v>Accipitriformes</v>
      </c>
      <c r="H2864" s="3" t="str">
        <f>VLOOKUP(B2864,LifeList!$E$2:$I$2038,5)</f>
        <v>Accipitridae (Hawks, Eagles, and Kites)</v>
      </c>
      <c r="I2864" s="3"/>
    </row>
    <row r="2865" spans="1:9" ht="10.5" customHeight="1">
      <c r="A2865" s="3" t="s">
        <v>4005</v>
      </c>
      <c r="B2865" s="3" t="s">
        <v>4004</v>
      </c>
      <c r="C2865" s="3">
        <f>VLOOKUP(B2865,LifeList!$E$2:$J$2038,6)</f>
        <v>8487</v>
      </c>
      <c r="D2865" s="3" t="str">
        <f>VLOOKUP(B2865,LifeList!$E$2:$G$2038,1)</f>
        <v>Red-shouldered Hawk</v>
      </c>
      <c r="E2865" s="3" t="str">
        <f>VLOOKUP(B2865,LifeList!$E$2:$G$2038,2)</f>
        <v>Buse à épaulettes</v>
      </c>
      <c r="F2865" s="3" t="str">
        <f>VLOOKUP(B2865,LifeList!$E$2:$G$2038,3)</f>
        <v>Buteo lineatus</v>
      </c>
      <c r="G2865" s="3" t="str">
        <f>VLOOKUP(B2865,LifeList!$E$2:$I$2038,4)</f>
        <v>Accipitriformes</v>
      </c>
      <c r="H2865" s="3" t="str">
        <f>VLOOKUP(B2865,LifeList!$E$2:$I$2038,5)</f>
        <v>Accipitridae (Hawks, Eagles, and Kites)</v>
      </c>
      <c r="I2865" s="3"/>
    </row>
    <row r="2866" spans="1:9" ht="10.5" customHeight="1">
      <c r="A2866" s="3" t="s">
        <v>4006</v>
      </c>
      <c r="B2866" s="3" t="s">
        <v>4004</v>
      </c>
      <c r="C2866" s="3">
        <f>VLOOKUP(B2866,LifeList!$E$2:$J$2038,6)</f>
        <v>8487</v>
      </c>
      <c r="D2866" s="3" t="str">
        <f>VLOOKUP(B2866,LifeList!$E$2:$G$2038,1)</f>
        <v>Red-shouldered Hawk</v>
      </c>
      <c r="E2866" s="3" t="str">
        <f>VLOOKUP(B2866,LifeList!$E$2:$G$2038,2)</f>
        <v>Buse à épaulettes</v>
      </c>
      <c r="F2866" s="3" t="str">
        <f>VLOOKUP(B2866,LifeList!$E$2:$G$2038,3)</f>
        <v>Buteo lineatus</v>
      </c>
      <c r="G2866" s="3" t="str">
        <f>VLOOKUP(B2866,LifeList!$E$2:$I$2038,4)</f>
        <v>Accipitriformes</v>
      </c>
      <c r="H2866" s="3" t="str">
        <f>VLOOKUP(B2866,LifeList!$E$2:$I$2038,5)</f>
        <v>Accipitridae (Hawks, Eagles, and Kites)</v>
      </c>
      <c r="I2866" s="3"/>
    </row>
    <row r="2867" spans="1:9" ht="10.5" customHeight="1">
      <c r="A2867" s="3" t="s">
        <v>4007</v>
      </c>
      <c r="B2867" s="3" t="s">
        <v>4004</v>
      </c>
      <c r="C2867" s="3">
        <f>VLOOKUP(B2867,LifeList!$E$2:$J$2038,6)</f>
        <v>8487</v>
      </c>
      <c r="D2867" s="3" t="str">
        <f>VLOOKUP(B2867,LifeList!$E$2:$G$2038,1)</f>
        <v>Red-shouldered Hawk</v>
      </c>
      <c r="E2867" s="3" t="str">
        <f>VLOOKUP(B2867,LifeList!$E$2:$G$2038,2)</f>
        <v>Buse à épaulettes</v>
      </c>
      <c r="F2867" s="3" t="str">
        <f>VLOOKUP(B2867,LifeList!$E$2:$G$2038,3)</f>
        <v>Buteo lineatus</v>
      </c>
      <c r="G2867" s="3" t="str">
        <f>VLOOKUP(B2867,LifeList!$E$2:$I$2038,4)</f>
        <v>Accipitriformes</v>
      </c>
      <c r="H2867" s="3" t="str">
        <f>VLOOKUP(B2867,LifeList!$E$2:$I$2038,5)</f>
        <v>Accipitridae (Hawks, Eagles, and Kites)</v>
      </c>
      <c r="I2867" s="3"/>
    </row>
    <row r="2868" spans="1:9" ht="10.5" customHeight="1">
      <c r="A2868" s="3" t="s">
        <v>4008</v>
      </c>
      <c r="B2868" s="3" t="s">
        <v>4004</v>
      </c>
      <c r="C2868" s="3">
        <f>VLOOKUP(B2868,LifeList!$E$2:$J$2038,6)</f>
        <v>8487</v>
      </c>
      <c r="D2868" s="3" t="str">
        <f>VLOOKUP(B2868,LifeList!$E$2:$G$2038,1)</f>
        <v>Red-shouldered Hawk</v>
      </c>
      <c r="E2868" s="3" t="str">
        <f>VLOOKUP(B2868,LifeList!$E$2:$G$2038,2)</f>
        <v>Buse à épaulettes</v>
      </c>
      <c r="F2868" s="3" t="str">
        <f>VLOOKUP(B2868,LifeList!$E$2:$G$2038,3)</f>
        <v>Buteo lineatus</v>
      </c>
      <c r="G2868" s="3" t="str">
        <f>VLOOKUP(B2868,LifeList!$E$2:$I$2038,4)</f>
        <v>Accipitriformes</v>
      </c>
      <c r="H2868" s="3" t="str">
        <f>VLOOKUP(B2868,LifeList!$E$2:$I$2038,5)</f>
        <v>Accipitridae (Hawks, Eagles, and Kites)</v>
      </c>
      <c r="I2868" s="3"/>
    </row>
    <row r="2869" spans="1:9" ht="10.5" customHeight="1">
      <c r="A2869" s="3" t="s">
        <v>4009</v>
      </c>
      <c r="B2869" s="3" t="s">
        <v>4004</v>
      </c>
      <c r="C2869" s="3">
        <f>VLOOKUP(B2869,LifeList!$E$2:$J$2038,6)</f>
        <v>8487</v>
      </c>
      <c r="D2869" s="3" t="str">
        <f>VLOOKUP(B2869,LifeList!$E$2:$G$2038,1)</f>
        <v>Red-shouldered Hawk</v>
      </c>
      <c r="E2869" s="3" t="str">
        <f>VLOOKUP(B2869,LifeList!$E$2:$G$2038,2)</f>
        <v>Buse à épaulettes</v>
      </c>
      <c r="F2869" s="3" t="str">
        <f>VLOOKUP(B2869,LifeList!$E$2:$G$2038,3)</f>
        <v>Buteo lineatus</v>
      </c>
      <c r="G2869" s="3" t="str">
        <f>VLOOKUP(B2869,LifeList!$E$2:$I$2038,4)</f>
        <v>Accipitriformes</v>
      </c>
      <c r="H2869" s="3" t="str">
        <f>VLOOKUP(B2869,LifeList!$E$2:$I$2038,5)</f>
        <v>Accipitridae (Hawks, Eagles, and Kites)</v>
      </c>
      <c r="I2869" s="3"/>
    </row>
    <row r="2870" spans="1:9" ht="10.5" customHeight="1">
      <c r="A2870" s="3" t="s">
        <v>4010</v>
      </c>
      <c r="B2870" s="3" t="s">
        <v>4004</v>
      </c>
      <c r="C2870" s="3">
        <f>VLOOKUP(B2870,LifeList!$E$2:$J$2038,6)</f>
        <v>8487</v>
      </c>
      <c r="D2870" s="3" t="str">
        <f>VLOOKUP(B2870,LifeList!$E$2:$G$2038,1)</f>
        <v>Red-shouldered Hawk</v>
      </c>
      <c r="E2870" s="3" t="str">
        <f>VLOOKUP(B2870,LifeList!$E$2:$G$2038,2)</f>
        <v>Buse à épaulettes</v>
      </c>
      <c r="F2870" s="3" t="str">
        <f>VLOOKUP(B2870,LifeList!$E$2:$G$2038,3)</f>
        <v>Buteo lineatus</v>
      </c>
      <c r="G2870" s="3" t="str">
        <f>VLOOKUP(B2870,LifeList!$E$2:$I$2038,4)</f>
        <v>Accipitriformes</v>
      </c>
      <c r="H2870" s="3" t="str">
        <f>VLOOKUP(B2870,LifeList!$E$2:$I$2038,5)</f>
        <v>Accipitridae (Hawks, Eagles, and Kites)</v>
      </c>
      <c r="I2870" s="3"/>
    </row>
    <row r="2871" spans="1:9" ht="10.5" customHeight="1">
      <c r="A2871" s="3" t="s">
        <v>4011</v>
      </c>
      <c r="B2871" s="3" t="s">
        <v>4004</v>
      </c>
      <c r="C2871" s="3">
        <f>VLOOKUP(B2871,LifeList!$E$2:$J$2038,6)</f>
        <v>8487</v>
      </c>
      <c r="D2871" s="3" t="str">
        <f>VLOOKUP(B2871,LifeList!$E$2:$G$2038,1)</f>
        <v>Red-shouldered Hawk</v>
      </c>
      <c r="E2871" s="3" t="str">
        <f>VLOOKUP(B2871,LifeList!$E$2:$G$2038,2)</f>
        <v>Buse à épaulettes</v>
      </c>
      <c r="F2871" s="3" t="str">
        <f>VLOOKUP(B2871,LifeList!$E$2:$G$2038,3)</f>
        <v>Buteo lineatus</v>
      </c>
      <c r="G2871" s="3" t="str">
        <f>VLOOKUP(B2871,LifeList!$E$2:$I$2038,4)</f>
        <v>Accipitriformes</v>
      </c>
      <c r="H2871" s="3" t="str">
        <f>VLOOKUP(B2871,LifeList!$E$2:$I$2038,5)</f>
        <v>Accipitridae (Hawks, Eagles, and Kites)</v>
      </c>
      <c r="I2871" s="3"/>
    </row>
    <row r="2872" spans="1:9" ht="10.5" customHeight="1">
      <c r="A2872" s="3" t="s">
        <v>4012</v>
      </c>
      <c r="B2872" s="3" t="s">
        <v>4004</v>
      </c>
      <c r="C2872" s="3">
        <f>VLOOKUP(B2872,LifeList!$E$2:$J$2038,6)</f>
        <v>8487</v>
      </c>
      <c r="D2872" s="3" t="str">
        <f>VLOOKUP(B2872,LifeList!$E$2:$G$2038,1)</f>
        <v>Red-shouldered Hawk</v>
      </c>
      <c r="E2872" s="3" t="str">
        <f>VLOOKUP(B2872,LifeList!$E$2:$G$2038,2)</f>
        <v>Buse à épaulettes</v>
      </c>
      <c r="F2872" s="3" t="str">
        <f>VLOOKUP(B2872,LifeList!$E$2:$G$2038,3)</f>
        <v>Buteo lineatus</v>
      </c>
      <c r="G2872" s="3" t="str">
        <f>VLOOKUP(B2872,LifeList!$E$2:$I$2038,4)</f>
        <v>Accipitriformes</v>
      </c>
      <c r="H2872" s="3" t="str">
        <f>VLOOKUP(B2872,LifeList!$E$2:$I$2038,5)</f>
        <v>Accipitridae (Hawks, Eagles, and Kites)</v>
      </c>
      <c r="I2872" s="3"/>
    </row>
    <row r="2873" spans="1:9" ht="10.5" customHeight="1">
      <c r="A2873" s="3" t="s">
        <v>4013</v>
      </c>
      <c r="B2873" s="3" t="s">
        <v>4004</v>
      </c>
      <c r="C2873" s="3">
        <f>VLOOKUP(B2873,LifeList!$E$2:$J$2038,6)</f>
        <v>8487</v>
      </c>
      <c r="D2873" s="3" t="str">
        <f>VLOOKUP(B2873,LifeList!$E$2:$G$2038,1)</f>
        <v>Red-shouldered Hawk</v>
      </c>
      <c r="E2873" s="3" t="str">
        <f>VLOOKUP(B2873,LifeList!$E$2:$G$2038,2)</f>
        <v>Buse à épaulettes</v>
      </c>
      <c r="F2873" s="3" t="str">
        <f>VLOOKUP(B2873,LifeList!$E$2:$G$2038,3)</f>
        <v>Buteo lineatus</v>
      </c>
      <c r="G2873" s="3" t="str">
        <f>VLOOKUP(B2873,LifeList!$E$2:$I$2038,4)</f>
        <v>Accipitriformes</v>
      </c>
      <c r="H2873" s="3" t="str">
        <f>VLOOKUP(B2873,LifeList!$E$2:$I$2038,5)</f>
        <v>Accipitridae (Hawks, Eagles, and Kites)</v>
      </c>
      <c r="I2873" s="3"/>
    </row>
    <row r="2874" spans="1:9" ht="10.5" customHeight="1">
      <c r="A2874" s="3" t="s">
        <v>4014</v>
      </c>
      <c r="B2874" s="3" t="s">
        <v>4004</v>
      </c>
      <c r="C2874" s="3">
        <f>VLOOKUP(B2874,LifeList!$E$2:$J$2038,6)</f>
        <v>8487</v>
      </c>
      <c r="D2874" s="3" t="str">
        <f>VLOOKUP(B2874,LifeList!$E$2:$G$2038,1)</f>
        <v>Red-shouldered Hawk</v>
      </c>
      <c r="E2874" s="3" t="str">
        <f>VLOOKUP(B2874,LifeList!$E$2:$G$2038,2)</f>
        <v>Buse à épaulettes</v>
      </c>
      <c r="F2874" s="3" t="str">
        <f>VLOOKUP(B2874,LifeList!$E$2:$G$2038,3)</f>
        <v>Buteo lineatus</v>
      </c>
      <c r="G2874" s="3" t="str">
        <f>VLOOKUP(B2874,LifeList!$E$2:$I$2038,4)</f>
        <v>Accipitriformes</v>
      </c>
      <c r="H2874" s="3" t="str">
        <f>VLOOKUP(B2874,LifeList!$E$2:$I$2038,5)</f>
        <v>Accipitridae (Hawks, Eagles, and Kites)</v>
      </c>
      <c r="I2874" s="3"/>
    </row>
    <row r="2875" spans="1:9" ht="10.5" customHeight="1">
      <c r="A2875" s="3" t="s">
        <v>4015</v>
      </c>
      <c r="B2875" s="3" t="s">
        <v>4004</v>
      </c>
      <c r="C2875" s="3">
        <f>VLOOKUP(B2875,LifeList!$E$2:$J$2038,6)</f>
        <v>8487</v>
      </c>
      <c r="D2875" s="3" t="str">
        <f>VLOOKUP(B2875,LifeList!$E$2:$G$2038,1)</f>
        <v>Red-shouldered Hawk</v>
      </c>
      <c r="E2875" s="3" t="str">
        <f>VLOOKUP(B2875,LifeList!$E$2:$G$2038,2)</f>
        <v>Buse à épaulettes</v>
      </c>
      <c r="F2875" s="3" t="str">
        <f>VLOOKUP(B2875,LifeList!$E$2:$G$2038,3)</f>
        <v>Buteo lineatus</v>
      </c>
      <c r="G2875" s="3" t="str">
        <f>VLOOKUP(B2875,LifeList!$E$2:$I$2038,4)</f>
        <v>Accipitriformes</v>
      </c>
      <c r="H2875" s="3" t="str">
        <f>VLOOKUP(B2875,LifeList!$E$2:$I$2038,5)</f>
        <v>Accipitridae (Hawks, Eagles, and Kites)</v>
      </c>
      <c r="I2875" s="3"/>
    </row>
    <row r="2876" spans="1:9" ht="10.5" customHeight="1">
      <c r="A2876" s="3" t="s">
        <v>4016</v>
      </c>
      <c r="B2876" s="3" t="s">
        <v>4017</v>
      </c>
      <c r="C2876" s="3">
        <f>VLOOKUP(B2876,LifeList!$E$2:$J$2038,6)</f>
        <v>19981</v>
      </c>
      <c r="D2876" s="3" t="str">
        <f>VLOOKUP(B2876,LifeList!$E$2:$G$2038,1)</f>
        <v>Red-shouldered Vanga</v>
      </c>
      <c r="E2876" s="3" t="str">
        <f>VLOOKUP(B2876,LifeList!$E$2:$G$2038,2)</f>
        <v>Calicalic à épaulettes</v>
      </c>
      <c r="F2876" s="3" t="str">
        <f>VLOOKUP(B2876,LifeList!$E$2:$G$2038,3)</f>
        <v>Calicalicus rufocarpalis</v>
      </c>
      <c r="G2876" s="3" t="str">
        <f>VLOOKUP(B2876,LifeList!$E$2:$I$2038,4)</f>
        <v>Passeriformes</v>
      </c>
      <c r="H2876" s="3" t="str">
        <f>VLOOKUP(B2876,LifeList!$E$2:$I$2038,5)</f>
        <v>Vangidae (Vangas, Helmetshrikes, and Allies)</v>
      </c>
      <c r="I2876" s="3"/>
    </row>
    <row r="2877" spans="1:9" ht="10.5" customHeight="1">
      <c r="A2877" s="3" t="s">
        <v>4018</v>
      </c>
      <c r="B2877" s="3" t="s">
        <v>4017</v>
      </c>
      <c r="C2877" s="3">
        <f>VLOOKUP(B2877,LifeList!$E$2:$J$2038,6)</f>
        <v>19981</v>
      </c>
      <c r="D2877" s="3" t="str">
        <f>VLOOKUP(B2877,LifeList!$E$2:$G$2038,1)</f>
        <v>Red-shouldered Vanga</v>
      </c>
      <c r="E2877" s="3" t="str">
        <f>VLOOKUP(B2877,LifeList!$E$2:$G$2038,2)</f>
        <v>Calicalic à épaulettes</v>
      </c>
      <c r="F2877" s="3" t="str">
        <f>VLOOKUP(B2877,LifeList!$E$2:$G$2038,3)</f>
        <v>Calicalicus rufocarpalis</v>
      </c>
      <c r="G2877" s="3" t="str">
        <f>VLOOKUP(B2877,LifeList!$E$2:$I$2038,4)</f>
        <v>Passeriformes</v>
      </c>
      <c r="H2877" s="3" t="str">
        <f>VLOOKUP(B2877,LifeList!$E$2:$I$2038,5)</f>
        <v>Vangidae (Vangas, Helmetshrikes, and Allies)</v>
      </c>
      <c r="I2877" s="3"/>
    </row>
    <row r="2878" spans="1:9" ht="10.5" customHeight="1">
      <c r="A2878" s="3" t="s">
        <v>4019</v>
      </c>
      <c r="B2878" s="3" t="s">
        <v>4020</v>
      </c>
      <c r="C2878" s="3">
        <f>VLOOKUP(B2878,LifeList!$E$2:$J$2038,6)</f>
        <v>8506</v>
      </c>
      <c r="D2878" s="3" t="str">
        <f>VLOOKUP(B2878,LifeList!$E$2:$G$2038,1)</f>
        <v>Red-tailed Hawk</v>
      </c>
      <c r="E2878" s="3" t="str">
        <f>VLOOKUP(B2878,LifeList!$E$2:$G$2038,2)</f>
        <v>Buse à queue rousse</v>
      </c>
      <c r="F2878" s="3" t="str">
        <f>VLOOKUP(B2878,LifeList!$E$2:$G$2038,3)</f>
        <v>Buteo jamaicensis</v>
      </c>
      <c r="G2878" s="3" t="str">
        <f>VLOOKUP(B2878,LifeList!$E$2:$I$2038,4)</f>
        <v>Accipitriformes</v>
      </c>
      <c r="H2878" s="3" t="str">
        <f>VLOOKUP(B2878,LifeList!$E$2:$I$2038,5)</f>
        <v>Accipitridae (Hawks, Eagles, and Kites)</v>
      </c>
      <c r="I2878" s="3"/>
    </row>
    <row r="2879" spans="1:9" ht="10.5" customHeight="1">
      <c r="A2879" s="3" t="s">
        <v>4021</v>
      </c>
      <c r="B2879" s="3" t="s">
        <v>4020</v>
      </c>
      <c r="C2879" s="3">
        <f>VLOOKUP(B2879,LifeList!$E$2:$J$2038,6)</f>
        <v>8506</v>
      </c>
      <c r="D2879" s="3" t="str">
        <f>VLOOKUP(B2879,LifeList!$E$2:$G$2038,1)</f>
        <v>Red-tailed Hawk</v>
      </c>
      <c r="E2879" s="3" t="str">
        <f>VLOOKUP(B2879,LifeList!$E$2:$G$2038,2)</f>
        <v>Buse à queue rousse</v>
      </c>
      <c r="F2879" s="3" t="str">
        <f>VLOOKUP(B2879,LifeList!$E$2:$G$2038,3)</f>
        <v>Buteo jamaicensis</v>
      </c>
      <c r="G2879" s="3" t="str">
        <f>VLOOKUP(B2879,LifeList!$E$2:$I$2038,4)</f>
        <v>Accipitriformes</v>
      </c>
      <c r="H2879" s="3" t="str">
        <f>VLOOKUP(B2879,LifeList!$E$2:$I$2038,5)</f>
        <v>Accipitridae (Hawks, Eagles, and Kites)</v>
      </c>
      <c r="I2879" s="3"/>
    </row>
    <row r="2880" spans="1:9" ht="10.5" customHeight="1">
      <c r="A2880" s="3" t="s">
        <v>4022</v>
      </c>
      <c r="B2880" s="3" t="s">
        <v>4020</v>
      </c>
      <c r="C2880" s="3">
        <f>VLOOKUP(B2880,LifeList!$E$2:$J$2038,6)</f>
        <v>8506</v>
      </c>
      <c r="D2880" s="3" t="str">
        <f>VLOOKUP(B2880,LifeList!$E$2:$G$2038,1)</f>
        <v>Red-tailed Hawk</v>
      </c>
      <c r="E2880" s="3" t="str">
        <f>VLOOKUP(B2880,LifeList!$E$2:$G$2038,2)</f>
        <v>Buse à queue rousse</v>
      </c>
      <c r="F2880" s="3" t="str">
        <f>VLOOKUP(B2880,LifeList!$E$2:$G$2038,3)</f>
        <v>Buteo jamaicensis</v>
      </c>
      <c r="G2880" s="3" t="str">
        <f>VLOOKUP(B2880,LifeList!$E$2:$I$2038,4)</f>
        <v>Accipitriformes</v>
      </c>
      <c r="H2880" s="3" t="str">
        <f>VLOOKUP(B2880,LifeList!$E$2:$I$2038,5)</f>
        <v>Accipitridae (Hawks, Eagles, and Kites)</v>
      </c>
      <c r="I2880" s="3"/>
    </row>
    <row r="2881" spans="1:9" ht="10.5" customHeight="1">
      <c r="A2881" s="3" t="s">
        <v>4023</v>
      </c>
      <c r="B2881" s="3" t="s">
        <v>4024</v>
      </c>
      <c r="C2881" s="3">
        <f>VLOOKUP(B2881,LifeList!$E$2:$J$2038,6)</f>
        <v>6919</v>
      </c>
      <c r="D2881" s="3" t="str">
        <f>VLOOKUP(B2881,LifeList!$E$2:$G$2038,1)</f>
        <v>Red-tailed Tropicbird</v>
      </c>
      <c r="E2881" s="3" t="str">
        <f>VLOOKUP(B2881,LifeList!$E$2:$G$2038,2)</f>
        <v>Phaéton à brins rouges</v>
      </c>
      <c r="F2881" s="3" t="str">
        <f>VLOOKUP(B2881,LifeList!$E$2:$G$2038,3)</f>
        <v>Phaethon rubricauda</v>
      </c>
      <c r="G2881" s="3" t="str">
        <f>VLOOKUP(B2881,LifeList!$E$2:$I$2038,4)</f>
        <v>Phaethontiformes</v>
      </c>
      <c r="H2881" s="3" t="str">
        <f>VLOOKUP(B2881,LifeList!$E$2:$I$2038,5)</f>
        <v>Phaethontidae (Tropicbirds)</v>
      </c>
      <c r="I2881" s="3"/>
    </row>
    <row r="2882" spans="1:9" ht="10.5" customHeight="1">
      <c r="A2882" s="3" t="s">
        <v>4025</v>
      </c>
      <c r="B2882" s="3" t="s">
        <v>4024</v>
      </c>
      <c r="C2882" s="3">
        <f>VLOOKUP(B2882,LifeList!$E$2:$J$2038,6)</f>
        <v>6919</v>
      </c>
      <c r="D2882" s="3" t="str">
        <f>VLOOKUP(B2882,LifeList!$E$2:$G$2038,1)</f>
        <v>Red-tailed Tropicbird</v>
      </c>
      <c r="E2882" s="3" t="str">
        <f>VLOOKUP(B2882,LifeList!$E$2:$G$2038,2)</f>
        <v>Phaéton à brins rouges</v>
      </c>
      <c r="F2882" s="3" t="str">
        <f>VLOOKUP(B2882,LifeList!$E$2:$G$2038,3)</f>
        <v>Phaethon rubricauda</v>
      </c>
      <c r="G2882" s="3" t="str">
        <f>VLOOKUP(B2882,LifeList!$E$2:$I$2038,4)</f>
        <v>Phaethontiformes</v>
      </c>
      <c r="H2882" s="3" t="str">
        <f>VLOOKUP(B2882,LifeList!$E$2:$I$2038,5)</f>
        <v>Phaethontidae (Tropicbirds)</v>
      </c>
      <c r="I2882" s="3"/>
    </row>
    <row r="2883" spans="1:9" ht="10.5" customHeight="1">
      <c r="A2883" s="3" t="s">
        <v>4026</v>
      </c>
      <c r="B2883" s="3" t="s">
        <v>4024</v>
      </c>
      <c r="C2883" s="3">
        <f>VLOOKUP(B2883,LifeList!$E$2:$J$2038,6)</f>
        <v>6919</v>
      </c>
      <c r="D2883" s="3" t="str">
        <f>VLOOKUP(B2883,LifeList!$E$2:$G$2038,1)</f>
        <v>Red-tailed Tropicbird</v>
      </c>
      <c r="E2883" s="3" t="str">
        <f>VLOOKUP(B2883,LifeList!$E$2:$G$2038,2)</f>
        <v>Phaéton à brins rouges</v>
      </c>
      <c r="F2883" s="3" t="str">
        <f>VLOOKUP(B2883,LifeList!$E$2:$G$2038,3)</f>
        <v>Phaethon rubricauda</v>
      </c>
      <c r="G2883" s="3" t="str">
        <f>VLOOKUP(B2883,LifeList!$E$2:$I$2038,4)</f>
        <v>Phaethontiformes</v>
      </c>
      <c r="H2883" s="3" t="str">
        <f>VLOOKUP(B2883,LifeList!$E$2:$I$2038,5)</f>
        <v>Phaethontidae (Tropicbirds)</v>
      </c>
      <c r="I2883" s="3"/>
    </row>
    <row r="2884" spans="1:9" ht="10.5" customHeight="1">
      <c r="A2884" s="3" t="s">
        <v>4027</v>
      </c>
      <c r="B2884" s="3" t="s">
        <v>4028</v>
      </c>
      <c r="C2884" s="3">
        <f>VLOOKUP(B2884,LifeList!$E$2:$J$2038,6)</f>
        <v>19980</v>
      </c>
      <c r="D2884" s="3" t="str">
        <f>VLOOKUP(B2884,LifeList!$E$2:$G$2038,1)</f>
        <v>Red-tailed Vanga</v>
      </c>
      <c r="E2884" s="3" t="str">
        <f>VLOOKUP(B2884,LifeList!$E$2:$G$2038,2)</f>
        <v>Calicalic malgache</v>
      </c>
      <c r="F2884" s="3" t="str">
        <f>VLOOKUP(B2884,LifeList!$E$2:$G$2038,3)</f>
        <v>Calicalicus madagascariensis</v>
      </c>
      <c r="G2884" s="3" t="str">
        <f>VLOOKUP(B2884,LifeList!$E$2:$I$2038,4)</f>
        <v>Passeriformes</v>
      </c>
      <c r="H2884" s="3" t="str">
        <f>VLOOKUP(B2884,LifeList!$E$2:$I$2038,5)</f>
        <v>Vangidae (Vangas, Helmetshrikes, and Allies)</v>
      </c>
      <c r="I2884" s="3"/>
    </row>
    <row r="2885" spans="1:9" ht="10.5" customHeight="1">
      <c r="A2885" s="3" t="s">
        <v>4029</v>
      </c>
      <c r="B2885" s="3" t="s">
        <v>4028</v>
      </c>
      <c r="C2885" s="3">
        <f>VLOOKUP(B2885,LifeList!$E$2:$J$2038,6)</f>
        <v>19980</v>
      </c>
      <c r="D2885" s="3" t="str">
        <f>VLOOKUP(B2885,LifeList!$E$2:$G$2038,1)</f>
        <v>Red-tailed Vanga</v>
      </c>
      <c r="E2885" s="3" t="str">
        <f>VLOOKUP(B2885,LifeList!$E$2:$G$2038,2)</f>
        <v>Calicalic malgache</v>
      </c>
      <c r="F2885" s="3" t="str">
        <f>VLOOKUP(B2885,LifeList!$E$2:$G$2038,3)</f>
        <v>Calicalicus madagascariensis</v>
      </c>
      <c r="G2885" s="3" t="str">
        <f>VLOOKUP(B2885,LifeList!$E$2:$I$2038,4)</f>
        <v>Passeriformes</v>
      </c>
      <c r="H2885" s="3" t="str">
        <f>VLOOKUP(B2885,LifeList!$E$2:$I$2038,5)</f>
        <v>Vangidae (Vangas, Helmetshrikes, and Allies)</v>
      </c>
      <c r="I2885" s="3"/>
    </row>
    <row r="2886" spans="1:9" ht="10.5" customHeight="1">
      <c r="A2886" s="3" t="s">
        <v>4030</v>
      </c>
      <c r="B2886" s="3" t="s">
        <v>4031</v>
      </c>
      <c r="C2886" s="3">
        <f>VLOOKUP(B2886,LifeList!$E$2:$J$2038,6)</f>
        <v>34480</v>
      </c>
      <c r="D2886" s="3" t="str">
        <f>VLOOKUP(B2886,LifeList!$E$2:$G$2038,1)</f>
        <v>Red-throated Ant-Tanager</v>
      </c>
      <c r="E2886" s="3" t="str">
        <f>VLOOKUP(B2886,LifeList!$E$2:$G$2038,2)</f>
        <v>Habia à gorge rouge</v>
      </c>
      <c r="F2886" s="3" t="str">
        <f>VLOOKUP(B2886,LifeList!$E$2:$G$2038,3)</f>
        <v>Driophlox fuscicauda</v>
      </c>
      <c r="G2886" s="3" t="str">
        <f>VLOOKUP(B2886,LifeList!$E$2:$I$2038,4)</f>
        <v>Passeriformes</v>
      </c>
      <c r="H2886" s="3" t="str">
        <f>VLOOKUP(B2886,LifeList!$E$2:$I$2038,5)</f>
        <v>Cardinalidae (Cardinals and Allies)</v>
      </c>
      <c r="I2886" s="3"/>
    </row>
    <row r="2887" spans="1:9" ht="10.5" customHeight="1">
      <c r="A2887" s="3" t="s">
        <v>4032</v>
      </c>
      <c r="B2887" s="3" t="s">
        <v>4031</v>
      </c>
      <c r="C2887" s="3">
        <f>VLOOKUP(B2887,LifeList!$E$2:$J$2038,6)</f>
        <v>34480</v>
      </c>
      <c r="D2887" s="3" t="str">
        <f>VLOOKUP(B2887,LifeList!$E$2:$G$2038,1)</f>
        <v>Red-throated Ant-Tanager</v>
      </c>
      <c r="E2887" s="3" t="str">
        <f>VLOOKUP(B2887,LifeList!$E$2:$G$2038,2)</f>
        <v>Habia à gorge rouge</v>
      </c>
      <c r="F2887" s="3" t="str">
        <f>VLOOKUP(B2887,LifeList!$E$2:$G$2038,3)</f>
        <v>Driophlox fuscicauda</v>
      </c>
      <c r="G2887" s="3" t="str">
        <f>VLOOKUP(B2887,LifeList!$E$2:$I$2038,4)</f>
        <v>Passeriformes</v>
      </c>
      <c r="H2887" s="3" t="str">
        <f>VLOOKUP(B2887,LifeList!$E$2:$I$2038,5)</f>
        <v>Cardinalidae (Cardinals and Allies)</v>
      </c>
      <c r="I2887" s="3"/>
    </row>
    <row r="2888" spans="1:9" ht="10.5" customHeight="1">
      <c r="A2888" s="3" t="s">
        <v>4033</v>
      </c>
      <c r="B2888" s="3" t="s">
        <v>4031</v>
      </c>
      <c r="C2888" s="3">
        <f>VLOOKUP(B2888,LifeList!$E$2:$J$2038,6)</f>
        <v>34480</v>
      </c>
      <c r="D2888" s="3" t="str">
        <f>VLOOKUP(B2888,LifeList!$E$2:$G$2038,1)</f>
        <v>Red-throated Ant-Tanager</v>
      </c>
      <c r="E2888" s="3" t="str">
        <f>VLOOKUP(B2888,LifeList!$E$2:$G$2038,2)</f>
        <v>Habia à gorge rouge</v>
      </c>
      <c r="F2888" s="3" t="str">
        <f>VLOOKUP(B2888,LifeList!$E$2:$G$2038,3)</f>
        <v>Driophlox fuscicauda</v>
      </c>
      <c r="G2888" s="3" t="str">
        <f>VLOOKUP(B2888,LifeList!$E$2:$I$2038,4)</f>
        <v>Passeriformes</v>
      </c>
      <c r="H2888" s="3" t="str">
        <f>VLOOKUP(B2888,LifeList!$E$2:$I$2038,5)</f>
        <v>Cardinalidae (Cardinals and Allies)</v>
      </c>
      <c r="I2888" s="3"/>
    </row>
    <row r="2889" spans="1:9" ht="10.5" customHeight="1">
      <c r="A2889" s="3" t="s">
        <v>4034</v>
      </c>
      <c r="B2889" s="3" t="s">
        <v>4031</v>
      </c>
      <c r="C2889" s="3">
        <f>VLOOKUP(B2889,LifeList!$E$2:$J$2038,6)</f>
        <v>34480</v>
      </c>
      <c r="D2889" s="3" t="str">
        <f>VLOOKUP(B2889,LifeList!$E$2:$G$2038,1)</f>
        <v>Red-throated Ant-Tanager</v>
      </c>
      <c r="E2889" s="3" t="str">
        <f>VLOOKUP(B2889,LifeList!$E$2:$G$2038,2)</f>
        <v>Habia à gorge rouge</v>
      </c>
      <c r="F2889" s="3" t="str">
        <f>VLOOKUP(B2889,LifeList!$E$2:$G$2038,3)</f>
        <v>Driophlox fuscicauda</v>
      </c>
      <c r="G2889" s="3" t="str">
        <f>VLOOKUP(B2889,LifeList!$E$2:$I$2038,4)</f>
        <v>Passeriformes</v>
      </c>
      <c r="H2889" s="3" t="str">
        <f>VLOOKUP(B2889,LifeList!$E$2:$I$2038,5)</f>
        <v>Cardinalidae (Cardinals and Allies)</v>
      </c>
      <c r="I2889" s="3"/>
    </row>
    <row r="2890" spans="1:9" ht="10.5" customHeight="1">
      <c r="A2890" s="3" t="s">
        <v>4035</v>
      </c>
      <c r="B2890" s="3" t="s">
        <v>4036</v>
      </c>
      <c r="C2890" s="3">
        <f>VLOOKUP(B2890,LifeList!$E$2:$J$2038,6)</f>
        <v>6927</v>
      </c>
      <c r="D2890" s="3" t="str">
        <f>VLOOKUP(B2890,LifeList!$E$2:$G$2038,1)</f>
        <v>Red-throated Loon</v>
      </c>
      <c r="E2890" s="3" t="str">
        <f>VLOOKUP(B2890,LifeList!$E$2:$G$2038,2)</f>
        <v>Plongeon catmarin</v>
      </c>
      <c r="F2890" s="3" t="str">
        <f>VLOOKUP(B2890,LifeList!$E$2:$G$2038,3)</f>
        <v>Gavia stellata</v>
      </c>
      <c r="G2890" s="3" t="str">
        <f>VLOOKUP(B2890,LifeList!$E$2:$I$2038,4)</f>
        <v>Gaviiformes</v>
      </c>
      <c r="H2890" s="3" t="str">
        <f>VLOOKUP(B2890,LifeList!$E$2:$I$2038,5)</f>
        <v>Gaviidae (Loons)</v>
      </c>
      <c r="I2890" s="3"/>
    </row>
    <row r="2891" spans="1:9" ht="10.5" customHeight="1">
      <c r="A2891" s="3" t="s">
        <v>4037</v>
      </c>
      <c r="B2891" s="3" t="s">
        <v>4036</v>
      </c>
      <c r="C2891" s="3">
        <f>VLOOKUP(B2891,LifeList!$E$2:$J$2038,6)</f>
        <v>6927</v>
      </c>
      <c r="D2891" s="3" t="str">
        <f>VLOOKUP(B2891,LifeList!$E$2:$G$2038,1)</f>
        <v>Red-throated Loon</v>
      </c>
      <c r="E2891" s="3" t="str">
        <f>VLOOKUP(B2891,LifeList!$E$2:$G$2038,2)</f>
        <v>Plongeon catmarin</v>
      </c>
      <c r="F2891" s="3" t="str">
        <f>VLOOKUP(B2891,LifeList!$E$2:$G$2038,3)</f>
        <v>Gavia stellata</v>
      </c>
      <c r="G2891" s="3" t="str">
        <f>VLOOKUP(B2891,LifeList!$E$2:$I$2038,4)</f>
        <v>Gaviiformes</v>
      </c>
      <c r="H2891" s="3" t="str">
        <f>VLOOKUP(B2891,LifeList!$E$2:$I$2038,5)</f>
        <v>Gaviidae (Loons)</v>
      </c>
      <c r="I2891" s="3"/>
    </row>
    <row r="2892" spans="1:9" ht="10.5" customHeight="1">
      <c r="A2892" s="3" t="s">
        <v>4038</v>
      </c>
      <c r="B2892" s="3" t="s">
        <v>4039</v>
      </c>
      <c r="C2892" s="3">
        <f>VLOOKUP(B2892,LifeList!$E$2:$J$2038,6)</f>
        <v>11010</v>
      </c>
      <c r="D2892" s="3" t="str">
        <f>VLOOKUP(B2892,LifeList!$E$2:$G$2038,1)</f>
        <v>Red-throated Wryneck</v>
      </c>
      <c r="E2892" s="3" t="str">
        <f>VLOOKUP(B2892,LifeList!$E$2:$G$2038,2)</f>
        <v>Torcol à gorge rousse</v>
      </c>
      <c r="F2892" s="3" t="str">
        <f>VLOOKUP(B2892,LifeList!$E$2:$G$2038,3)</f>
        <v>Jynx ruficollis</v>
      </c>
      <c r="G2892" s="3" t="str">
        <f>VLOOKUP(B2892,LifeList!$E$2:$I$2038,4)</f>
        <v>Piciformes</v>
      </c>
      <c r="H2892" s="3" t="str">
        <f>VLOOKUP(B2892,LifeList!$E$2:$I$2038,5)</f>
        <v>Picidae (Woodpeckers)</v>
      </c>
      <c r="I2892" s="3"/>
    </row>
    <row r="2893" spans="1:9" ht="10.5" customHeight="1">
      <c r="A2893" s="3" t="s">
        <v>4040</v>
      </c>
      <c r="B2893" s="3" t="s">
        <v>4041</v>
      </c>
      <c r="C2893" s="3">
        <f>VLOOKUP(B2893,LifeList!$E$2:$J$2038,6)</f>
        <v>33779</v>
      </c>
      <c r="D2893" s="3" t="str">
        <f>VLOOKUP(B2893,LifeList!$E$2:$G$2038,1)</f>
        <v>Red-winged Blackbird</v>
      </c>
      <c r="E2893" s="3" t="str">
        <f>VLOOKUP(B2893,LifeList!$E$2:$G$2038,2)</f>
        <v>Carouge à épaulettes</v>
      </c>
      <c r="F2893" s="3" t="str">
        <f>VLOOKUP(B2893,LifeList!$E$2:$G$2038,3)</f>
        <v>Agelaius phoeniceus</v>
      </c>
      <c r="G2893" s="3" t="str">
        <f>VLOOKUP(B2893,LifeList!$E$2:$I$2038,4)</f>
        <v>Passeriformes</v>
      </c>
      <c r="H2893" s="3" t="str">
        <f>VLOOKUP(B2893,LifeList!$E$2:$I$2038,5)</f>
        <v>Icteridae (Troupials and Allies)</v>
      </c>
      <c r="I2893" s="3"/>
    </row>
    <row r="2894" spans="1:9" ht="10.5" customHeight="1">
      <c r="A2894" s="3" t="s">
        <v>4042</v>
      </c>
      <c r="B2894" s="3" t="s">
        <v>4041</v>
      </c>
      <c r="C2894" s="3">
        <f>VLOOKUP(B2894,LifeList!$E$2:$J$2038,6)</f>
        <v>33779</v>
      </c>
      <c r="D2894" s="3" t="str">
        <f>VLOOKUP(B2894,LifeList!$E$2:$G$2038,1)</f>
        <v>Red-winged Blackbird</v>
      </c>
      <c r="E2894" s="3" t="str">
        <f>VLOOKUP(B2894,LifeList!$E$2:$G$2038,2)</f>
        <v>Carouge à épaulettes</v>
      </c>
      <c r="F2894" s="3" t="str">
        <f>VLOOKUP(B2894,LifeList!$E$2:$G$2038,3)</f>
        <v>Agelaius phoeniceus</v>
      </c>
      <c r="G2894" s="3" t="str">
        <f>VLOOKUP(B2894,LifeList!$E$2:$I$2038,4)</f>
        <v>Passeriformes</v>
      </c>
      <c r="H2894" s="3" t="str">
        <f>VLOOKUP(B2894,LifeList!$E$2:$I$2038,5)</f>
        <v>Icteridae (Troupials and Allies)</v>
      </c>
      <c r="I2894" s="3"/>
    </row>
    <row r="2895" spans="1:9" ht="10.5" customHeight="1">
      <c r="A2895" s="3" t="s">
        <v>4043</v>
      </c>
      <c r="B2895" s="3" t="s">
        <v>4041</v>
      </c>
      <c r="C2895" s="3">
        <f>VLOOKUP(B2895,LifeList!$E$2:$J$2038,6)</f>
        <v>33779</v>
      </c>
      <c r="D2895" s="3" t="str">
        <f>VLOOKUP(B2895,LifeList!$E$2:$G$2038,1)</f>
        <v>Red-winged Blackbird</v>
      </c>
      <c r="E2895" s="3" t="str">
        <f>VLOOKUP(B2895,LifeList!$E$2:$G$2038,2)</f>
        <v>Carouge à épaulettes</v>
      </c>
      <c r="F2895" s="3" t="str">
        <f>VLOOKUP(B2895,LifeList!$E$2:$G$2038,3)</f>
        <v>Agelaius phoeniceus</v>
      </c>
      <c r="G2895" s="3" t="str">
        <f>VLOOKUP(B2895,LifeList!$E$2:$I$2038,4)</f>
        <v>Passeriformes</v>
      </c>
      <c r="H2895" s="3" t="str">
        <f>VLOOKUP(B2895,LifeList!$E$2:$I$2038,5)</f>
        <v>Icteridae (Troupials and Allies)</v>
      </c>
      <c r="I2895" s="3"/>
    </row>
    <row r="2896" spans="1:9" ht="10.5" customHeight="1">
      <c r="A2896" s="3" t="s">
        <v>4044</v>
      </c>
      <c r="B2896" s="3" t="s">
        <v>4041</v>
      </c>
      <c r="C2896" s="3">
        <f>VLOOKUP(B2896,LifeList!$E$2:$J$2038,6)</f>
        <v>33779</v>
      </c>
      <c r="D2896" s="3" t="str">
        <f>VLOOKUP(B2896,LifeList!$E$2:$G$2038,1)</f>
        <v>Red-winged Blackbird</v>
      </c>
      <c r="E2896" s="3" t="str">
        <f>VLOOKUP(B2896,LifeList!$E$2:$G$2038,2)</f>
        <v>Carouge à épaulettes</v>
      </c>
      <c r="F2896" s="3" t="str">
        <f>VLOOKUP(B2896,LifeList!$E$2:$G$2038,3)</f>
        <v>Agelaius phoeniceus</v>
      </c>
      <c r="G2896" s="3" t="str">
        <f>VLOOKUP(B2896,LifeList!$E$2:$I$2038,4)</f>
        <v>Passeriformes</v>
      </c>
      <c r="H2896" s="3" t="str">
        <f>VLOOKUP(B2896,LifeList!$E$2:$I$2038,5)</f>
        <v>Icteridae (Troupials and Allies)</v>
      </c>
      <c r="I2896" s="3"/>
    </row>
    <row r="2897" spans="1:9" ht="10.5" customHeight="1">
      <c r="A2897" s="3" t="s">
        <v>4045</v>
      </c>
      <c r="B2897" s="3" t="s">
        <v>4041</v>
      </c>
      <c r="C2897" s="3">
        <f>VLOOKUP(B2897,LifeList!$E$2:$J$2038,6)</f>
        <v>33779</v>
      </c>
      <c r="D2897" s="3" t="str">
        <f>VLOOKUP(B2897,LifeList!$E$2:$G$2038,1)</f>
        <v>Red-winged Blackbird</v>
      </c>
      <c r="E2897" s="3" t="str">
        <f>VLOOKUP(B2897,LifeList!$E$2:$G$2038,2)</f>
        <v>Carouge à épaulettes</v>
      </c>
      <c r="F2897" s="3" t="str">
        <f>VLOOKUP(B2897,LifeList!$E$2:$G$2038,3)</f>
        <v>Agelaius phoeniceus</v>
      </c>
      <c r="G2897" s="3" t="str">
        <f>VLOOKUP(B2897,LifeList!$E$2:$I$2038,4)</f>
        <v>Passeriformes</v>
      </c>
      <c r="H2897" s="3" t="str">
        <f>VLOOKUP(B2897,LifeList!$E$2:$I$2038,5)</f>
        <v>Icteridae (Troupials and Allies)</v>
      </c>
      <c r="I2897" s="3"/>
    </row>
    <row r="2898" spans="1:9" ht="10.5" customHeight="1">
      <c r="A2898" s="3" t="s">
        <v>4046</v>
      </c>
      <c r="B2898" s="3" t="s">
        <v>4041</v>
      </c>
      <c r="C2898" s="3">
        <f>VLOOKUP(B2898,LifeList!$E$2:$J$2038,6)</f>
        <v>33779</v>
      </c>
      <c r="D2898" s="3" t="str">
        <f>VLOOKUP(B2898,LifeList!$E$2:$G$2038,1)</f>
        <v>Red-winged Blackbird</v>
      </c>
      <c r="E2898" s="3" t="str">
        <f>VLOOKUP(B2898,LifeList!$E$2:$G$2038,2)</f>
        <v>Carouge à épaulettes</v>
      </c>
      <c r="F2898" s="3" t="str">
        <f>VLOOKUP(B2898,LifeList!$E$2:$G$2038,3)</f>
        <v>Agelaius phoeniceus</v>
      </c>
      <c r="G2898" s="3" t="str">
        <f>VLOOKUP(B2898,LifeList!$E$2:$I$2038,4)</f>
        <v>Passeriformes</v>
      </c>
      <c r="H2898" s="3" t="str">
        <f>VLOOKUP(B2898,LifeList!$E$2:$I$2038,5)</f>
        <v>Icteridae (Troupials and Allies)</v>
      </c>
      <c r="I2898" s="3"/>
    </row>
    <row r="2899" spans="1:9" ht="10.5" customHeight="1">
      <c r="A2899" s="3" t="s">
        <v>4047</v>
      </c>
      <c r="B2899" s="3" t="s">
        <v>4041</v>
      </c>
      <c r="C2899" s="3">
        <f>VLOOKUP(B2899,LifeList!$E$2:$J$2038,6)</f>
        <v>33779</v>
      </c>
      <c r="D2899" s="3" t="str">
        <f>VLOOKUP(B2899,LifeList!$E$2:$G$2038,1)</f>
        <v>Red-winged Blackbird</v>
      </c>
      <c r="E2899" s="3" t="str">
        <f>VLOOKUP(B2899,LifeList!$E$2:$G$2038,2)</f>
        <v>Carouge à épaulettes</v>
      </c>
      <c r="F2899" s="3" t="str">
        <f>VLOOKUP(B2899,LifeList!$E$2:$G$2038,3)</f>
        <v>Agelaius phoeniceus</v>
      </c>
      <c r="G2899" s="3" t="str">
        <f>VLOOKUP(B2899,LifeList!$E$2:$I$2038,4)</f>
        <v>Passeriformes</v>
      </c>
      <c r="H2899" s="3" t="str">
        <f>VLOOKUP(B2899,LifeList!$E$2:$I$2038,5)</f>
        <v>Icteridae (Troupials and Allies)</v>
      </c>
      <c r="I2899" s="3"/>
    </row>
    <row r="2900" spans="1:9" ht="10.5" customHeight="1">
      <c r="A2900" s="3" t="s">
        <v>4048</v>
      </c>
      <c r="B2900" s="3" t="s">
        <v>4041</v>
      </c>
      <c r="C2900" s="3">
        <f>VLOOKUP(B2900,LifeList!$E$2:$J$2038,6)</f>
        <v>33779</v>
      </c>
      <c r="D2900" s="3" t="str">
        <f>VLOOKUP(B2900,LifeList!$E$2:$G$2038,1)</f>
        <v>Red-winged Blackbird</v>
      </c>
      <c r="E2900" s="3" t="str">
        <f>VLOOKUP(B2900,LifeList!$E$2:$G$2038,2)</f>
        <v>Carouge à épaulettes</v>
      </c>
      <c r="F2900" s="3" t="str">
        <f>VLOOKUP(B2900,LifeList!$E$2:$G$2038,3)</f>
        <v>Agelaius phoeniceus</v>
      </c>
      <c r="G2900" s="3" t="str">
        <f>VLOOKUP(B2900,LifeList!$E$2:$I$2038,4)</f>
        <v>Passeriformes</v>
      </c>
      <c r="H2900" s="3" t="str">
        <f>VLOOKUP(B2900,LifeList!$E$2:$I$2038,5)</f>
        <v>Icteridae (Troupials and Allies)</v>
      </c>
      <c r="I2900" s="3"/>
    </row>
    <row r="2901" spans="1:9" ht="10.5" customHeight="1">
      <c r="A2901" s="3" t="s">
        <v>4049</v>
      </c>
      <c r="B2901" s="3" t="s">
        <v>4041</v>
      </c>
      <c r="C2901" s="3">
        <f>VLOOKUP(B2901,LifeList!$E$2:$J$2038,6)</f>
        <v>33779</v>
      </c>
      <c r="D2901" s="3" t="str">
        <f>VLOOKUP(B2901,LifeList!$E$2:$G$2038,1)</f>
        <v>Red-winged Blackbird</v>
      </c>
      <c r="E2901" s="3" t="str">
        <f>VLOOKUP(B2901,LifeList!$E$2:$G$2038,2)</f>
        <v>Carouge à épaulettes</v>
      </c>
      <c r="F2901" s="3" t="str">
        <f>VLOOKUP(B2901,LifeList!$E$2:$G$2038,3)</f>
        <v>Agelaius phoeniceus</v>
      </c>
      <c r="G2901" s="3" t="str">
        <f>VLOOKUP(B2901,LifeList!$E$2:$I$2038,4)</f>
        <v>Passeriformes</v>
      </c>
      <c r="H2901" s="3" t="str">
        <f>VLOOKUP(B2901,LifeList!$E$2:$I$2038,5)</f>
        <v>Icteridae (Troupials and Allies)</v>
      </c>
      <c r="I2901" s="3"/>
    </row>
    <row r="2902" spans="1:9" ht="10.5" customHeight="1">
      <c r="A2902" s="3" t="s">
        <v>4050</v>
      </c>
      <c r="B2902" s="3" t="s">
        <v>4041</v>
      </c>
      <c r="C2902" s="3">
        <f>VLOOKUP(B2902,LifeList!$E$2:$J$2038,6)</f>
        <v>33779</v>
      </c>
      <c r="D2902" s="3" t="str">
        <f>VLOOKUP(B2902,LifeList!$E$2:$G$2038,1)</f>
        <v>Red-winged Blackbird</v>
      </c>
      <c r="E2902" s="3" t="str">
        <f>VLOOKUP(B2902,LifeList!$E$2:$G$2038,2)</f>
        <v>Carouge à épaulettes</v>
      </c>
      <c r="F2902" s="3" t="str">
        <f>VLOOKUP(B2902,LifeList!$E$2:$G$2038,3)</f>
        <v>Agelaius phoeniceus</v>
      </c>
      <c r="G2902" s="3" t="str">
        <f>VLOOKUP(B2902,LifeList!$E$2:$I$2038,4)</f>
        <v>Passeriformes</v>
      </c>
      <c r="H2902" s="3" t="str">
        <f>VLOOKUP(B2902,LifeList!$E$2:$I$2038,5)</f>
        <v>Icteridae (Troupials and Allies)</v>
      </c>
      <c r="I2902" s="3"/>
    </row>
    <row r="2903" spans="1:9" ht="10.5" customHeight="1">
      <c r="A2903" s="3" t="s">
        <v>4051</v>
      </c>
      <c r="B2903" s="3" t="s">
        <v>4041</v>
      </c>
      <c r="C2903" s="3">
        <f>VLOOKUP(B2903,LifeList!$E$2:$J$2038,6)</f>
        <v>33779</v>
      </c>
      <c r="D2903" s="3" t="str">
        <f>VLOOKUP(B2903,LifeList!$E$2:$G$2038,1)</f>
        <v>Red-winged Blackbird</v>
      </c>
      <c r="E2903" s="3" t="str">
        <f>VLOOKUP(B2903,LifeList!$E$2:$G$2038,2)</f>
        <v>Carouge à épaulettes</v>
      </c>
      <c r="F2903" s="3" t="str">
        <f>VLOOKUP(B2903,LifeList!$E$2:$G$2038,3)</f>
        <v>Agelaius phoeniceus</v>
      </c>
      <c r="G2903" s="3" t="str">
        <f>VLOOKUP(B2903,LifeList!$E$2:$I$2038,4)</f>
        <v>Passeriformes</v>
      </c>
      <c r="H2903" s="3" t="str">
        <f>VLOOKUP(B2903,LifeList!$E$2:$I$2038,5)</f>
        <v>Icteridae (Troupials and Allies)</v>
      </c>
      <c r="I2903" s="3"/>
    </row>
    <row r="2904" spans="1:9" ht="10.5" customHeight="1">
      <c r="A2904" s="3" t="s">
        <v>4052</v>
      </c>
      <c r="B2904" s="3" t="s">
        <v>4041</v>
      </c>
      <c r="C2904" s="3">
        <f>VLOOKUP(B2904,LifeList!$E$2:$J$2038,6)</f>
        <v>33779</v>
      </c>
      <c r="D2904" s="3" t="str">
        <f>VLOOKUP(B2904,LifeList!$E$2:$G$2038,1)</f>
        <v>Red-winged Blackbird</v>
      </c>
      <c r="E2904" s="3" t="str">
        <f>VLOOKUP(B2904,LifeList!$E$2:$G$2038,2)</f>
        <v>Carouge à épaulettes</v>
      </c>
      <c r="F2904" s="3" t="str">
        <f>VLOOKUP(B2904,LifeList!$E$2:$G$2038,3)</f>
        <v>Agelaius phoeniceus</v>
      </c>
      <c r="G2904" s="3" t="str">
        <f>VLOOKUP(B2904,LifeList!$E$2:$I$2038,4)</f>
        <v>Passeriformes</v>
      </c>
      <c r="H2904" s="3" t="str">
        <f>VLOOKUP(B2904,LifeList!$E$2:$I$2038,5)</f>
        <v>Icteridae (Troupials and Allies)</v>
      </c>
      <c r="I2904" s="3"/>
    </row>
    <row r="2905" spans="1:9" ht="10.5" customHeight="1">
      <c r="A2905" s="3" t="s">
        <v>4053</v>
      </c>
      <c r="B2905" s="3" t="s">
        <v>4041</v>
      </c>
      <c r="C2905" s="3">
        <f>VLOOKUP(B2905,LifeList!$E$2:$J$2038,6)</f>
        <v>33779</v>
      </c>
      <c r="D2905" s="3" t="str">
        <f>VLOOKUP(B2905,LifeList!$E$2:$G$2038,1)</f>
        <v>Red-winged Blackbird</v>
      </c>
      <c r="E2905" s="3" t="str">
        <f>VLOOKUP(B2905,LifeList!$E$2:$G$2038,2)</f>
        <v>Carouge à épaulettes</v>
      </c>
      <c r="F2905" s="3" t="str">
        <f>VLOOKUP(B2905,LifeList!$E$2:$G$2038,3)</f>
        <v>Agelaius phoeniceus</v>
      </c>
      <c r="G2905" s="3" t="str">
        <f>VLOOKUP(B2905,LifeList!$E$2:$I$2038,4)</f>
        <v>Passeriformes</v>
      </c>
      <c r="H2905" s="3" t="str">
        <f>VLOOKUP(B2905,LifeList!$E$2:$I$2038,5)</f>
        <v>Icteridae (Troupials and Allies)</v>
      </c>
      <c r="I2905" s="3"/>
    </row>
    <row r="2906" spans="1:9" ht="10.5" customHeight="1">
      <c r="A2906" s="7" t="s">
        <v>4054</v>
      </c>
      <c r="B2906" s="9" t="s">
        <v>4055</v>
      </c>
      <c r="C2906" s="6">
        <f>VLOOKUP(B2906,LifeList!$E$2:$J$2038,6)</f>
        <v>27911</v>
      </c>
      <c r="D2906" s="3" t="str">
        <f>VLOOKUP(B2906,LifeList!$E$2:$G$2038,1)</f>
        <v>Red-winged Starling</v>
      </c>
      <c r="E2906" s="3" t="str">
        <f>VLOOKUP(B2906,LifeList!$E$2:$G$2038,2)</f>
        <v>Rufipenne morio</v>
      </c>
      <c r="F2906" s="3" t="str">
        <f>VLOOKUP(B2906,LifeList!$E$2:$G$2038,3)</f>
        <v>Onychognathus morio</v>
      </c>
      <c r="G2906" s="3" t="str">
        <f>VLOOKUP(B2906,LifeList!$E$2:$I$2038,4)</f>
        <v>Passeriformes</v>
      </c>
      <c r="H2906" s="3" t="str">
        <f>VLOOKUP(B2906,LifeList!$E$2:$I$2038,5)</f>
        <v>Sturnidae (Starlings)</v>
      </c>
      <c r="I2906" s="3"/>
    </row>
    <row r="2907" spans="1:9" ht="10.5" customHeight="1">
      <c r="A2907" s="3" t="s">
        <v>4056</v>
      </c>
      <c r="B2907" s="3" t="s">
        <v>4057</v>
      </c>
      <c r="C2907" s="3">
        <f>VLOOKUP(B2907,LifeList!$E$2:$J$2038,6)</f>
        <v>7634</v>
      </c>
      <c r="D2907" s="3" t="str">
        <f>VLOOKUP(B2907,LifeList!$E$2:$G$2038,1)</f>
        <v>Reddish Egret</v>
      </c>
      <c r="E2907" s="3" t="str">
        <f>VLOOKUP(B2907,LifeList!$E$2:$G$2038,2)</f>
        <v>Aigrette roussâtre</v>
      </c>
      <c r="F2907" s="3" t="str">
        <f>VLOOKUP(B2907,LifeList!$E$2:$G$2038,3)</f>
        <v>Egretta rufescens</v>
      </c>
      <c r="G2907" s="3" t="str">
        <f>VLOOKUP(B2907,LifeList!$E$2:$I$2038,4)</f>
        <v>Pelecaniformes</v>
      </c>
      <c r="H2907" s="3" t="str">
        <f>VLOOKUP(B2907,LifeList!$E$2:$I$2038,5)</f>
        <v>Ardeidae (Herons, Egrets, and Bitterns)</v>
      </c>
      <c r="I2907" s="3"/>
    </row>
    <row r="2908" spans="1:9" ht="10.5" customHeight="1">
      <c r="A2908" s="3" t="s">
        <v>4058</v>
      </c>
      <c r="B2908" s="3" t="s">
        <v>4057</v>
      </c>
      <c r="C2908" s="3">
        <f>VLOOKUP(B2908,LifeList!$E$2:$J$2038,6)</f>
        <v>7634</v>
      </c>
      <c r="D2908" s="3" t="str">
        <f>VLOOKUP(B2908,LifeList!$E$2:$G$2038,1)</f>
        <v>Reddish Egret</v>
      </c>
      <c r="E2908" s="3" t="str">
        <f>VLOOKUP(B2908,LifeList!$E$2:$G$2038,2)</f>
        <v>Aigrette roussâtre</v>
      </c>
      <c r="F2908" s="3" t="str">
        <f>VLOOKUP(B2908,LifeList!$E$2:$G$2038,3)</f>
        <v>Egretta rufescens</v>
      </c>
      <c r="G2908" s="3" t="str">
        <f>VLOOKUP(B2908,LifeList!$E$2:$I$2038,4)</f>
        <v>Pelecaniformes</v>
      </c>
      <c r="H2908" s="3" t="str">
        <f>VLOOKUP(B2908,LifeList!$E$2:$I$2038,5)</f>
        <v>Ardeidae (Herons, Egrets, and Bitterns)</v>
      </c>
      <c r="I2908" s="3"/>
    </row>
    <row r="2909" spans="1:9" ht="10.5" customHeight="1">
      <c r="A2909" s="3" t="s">
        <v>4059</v>
      </c>
      <c r="B2909" s="3" t="s">
        <v>4057</v>
      </c>
      <c r="C2909" s="3">
        <f>VLOOKUP(B2909,LifeList!$E$2:$J$2038,6)</f>
        <v>7634</v>
      </c>
      <c r="D2909" s="3" t="str">
        <f>VLOOKUP(B2909,LifeList!$E$2:$G$2038,1)</f>
        <v>Reddish Egret</v>
      </c>
      <c r="E2909" s="3" t="str">
        <f>VLOOKUP(B2909,LifeList!$E$2:$G$2038,2)</f>
        <v>Aigrette roussâtre</v>
      </c>
      <c r="F2909" s="3" t="str">
        <f>VLOOKUP(B2909,LifeList!$E$2:$G$2038,3)</f>
        <v>Egretta rufescens</v>
      </c>
      <c r="G2909" s="3" t="str">
        <f>VLOOKUP(B2909,LifeList!$E$2:$I$2038,4)</f>
        <v>Pelecaniformes</v>
      </c>
      <c r="H2909" s="3" t="str">
        <f>VLOOKUP(B2909,LifeList!$E$2:$I$2038,5)</f>
        <v>Ardeidae (Herons, Egrets, and Bitterns)</v>
      </c>
      <c r="I2909" s="3"/>
    </row>
    <row r="2910" spans="1:9" ht="10.5" customHeight="1">
      <c r="A2910" s="3" t="s">
        <v>4060</v>
      </c>
      <c r="B2910" s="3" t="s">
        <v>4057</v>
      </c>
      <c r="C2910" s="3">
        <f>VLOOKUP(B2910,LifeList!$E$2:$J$2038,6)</f>
        <v>7634</v>
      </c>
      <c r="D2910" s="3" t="str">
        <f>VLOOKUP(B2910,LifeList!$E$2:$G$2038,1)</f>
        <v>Reddish Egret</v>
      </c>
      <c r="E2910" s="3" t="str">
        <f>VLOOKUP(B2910,LifeList!$E$2:$G$2038,2)</f>
        <v>Aigrette roussâtre</v>
      </c>
      <c r="F2910" s="3" t="str">
        <f>VLOOKUP(B2910,LifeList!$E$2:$G$2038,3)</f>
        <v>Egretta rufescens</v>
      </c>
      <c r="G2910" s="3" t="str">
        <f>VLOOKUP(B2910,LifeList!$E$2:$I$2038,4)</f>
        <v>Pelecaniformes</v>
      </c>
      <c r="H2910" s="3" t="str">
        <f>VLOOKUP(B2910,LifeList!$E$2:$I$2038,5)</f>
        <v>Ardeidae (Herons, Egrets, and Bitterns)</v>
      </c>
      <c r="I2910" s="3"/>
    </row>
    <row r="2911" spans="1:9" ht="10.5" customHeight="1">
      <c r="A2911" s="3" t="s">
        <v>4061</v>
      </c>
      <c r="B2911" s="3" t="s">
        <v>4057</v>
      </c>
      <c r="C2911" s="3">
        <f>VLOOKUP(B2911,LifeList!$E$2:$J$2038,6)</f>
        <v>7634</v>
      </c>
      <c r="D2911" s="3" t="str">
        <f>VLOOKUP(B2911,LifeList!$E$2:$G$2038,1)</f>
        <v>Reddish Egret</v>
      </c>
      <c r="E2911" s="3" t="str">
        <f>VLOOKUP(B2911,LifeList!$E$2:$G$2038,2)</f>
        <v>Aigrette roussâtre</v>
      </c>
      <c r="F2911" s="3" t="str">
        <f>VLOOKUP(B2911,LifeList!$E$2:$G$2038,3)</f>
        <v>Egretta rufescens</v>
      </c>
      <c r="G2911" s="3" t="str">
        <f>VLOOKUP(B2911,LifeList!$E$2:$I$2038,4)</f>
        <v>Pelecaniformes</v>
      </c>
      <c r="H2911" s="3" t="str">
        <f>VLOOKUP(B2911,LifeList!$E$2:$I$2038,5)</f>
        <v>Ardeidae (Herons, Egrets, and Bitterns)</v>
      </c>
      <c r="I2911" s="3"/>
    </row>
    <row r="2912" spans="1:9" ht="10.5" customHeight="1">
      <c r="A2912" s="3" t="s">
        <v>4062</v>
      </c>
      <c r="B2912" s="3" t="s">
        <v>4057</v>
      </c>
      <c r="C2912" s="3">
        <f>VLOOKUP(B2912,LifeList!$E$2:$J$2038,6)</f>
        <v>7634</v>
      </c>
      <c r="D2912" s="3" t="str">
        <f>VLOOKUP(B2912,LifeList!$E$2:$G$2038,1)</f>
        <v>Reddish Egret</v>
      </c>
      <c r="E2912" s="3" t="str">
        <f>VLOOKUP(B2912,LifeList!$E$2:$G$2038,2)</f>
        <v>Aigrette roussâtre</v>
      </c>
      <c r="F2912" s="3" t="str">
        <f>VLOOKUP(B2912,LifeList!$E$2:$G$2038,3)</f>
        <v>Egretta rufescens</v>
      </c>
      <c r="G2912" s="3" t="str">
        <f>VLOOKUP(B2912,LifeList!$E$2:$I$2038,4)</f>
        <v>Pelecaniformes</v>
      </c>
      <c r="H2912" s="3" t="str">
        <f>VLOOKUP(B2912,LifeList!$E$2:$I$2038,5)</f>
        <v>Ardeidae (Herons, Egrets, and Bitterns)</v>
      </c>
      <c r="I2912" s="3"/>
    </row>
    <row r="2913" spans="1:9" ht="10.5" customHeight="1">
      <c r="A2913" s="3" t="s">
        <v>4063</v>
      </c>
      <c r="B2913" s="3" t="s">
        <v>4057</v>
      </c>
      <c r="C2913" s="3">
        <f>VLOOKUP(B2913,LifeList!$E$2:$J$2038,6)</f>
        <v>7634</v>
      </c>
      <c r="D2913" s="3" t="str">
        <f>VLOOKUP(B2913,LifeList!$E$2:$G$2038,1)</f>
        <v>Reddish Egret</v>
      </c>
      <c r="E2913" s="3" t="str">
        <f>VLOOKUP(B2913,LifeList!$E$2:$G$2038,2)</f>
        <v>Aigrette roussâtre</v>
      </c>
      <c r="F2913" s="3" t="str">
        <f>VLOOKUP(B2913,LifeList!$E$2:$G$2038,3)</f>
        <v>Egretta rufescens</v>
      </c>
      <c r="G2913" s="3" t="str">
        <f>VLOOKUP(B2913,LifeList!$E$2:$I$2038,4)</f>
        <v>Pelecaniformes</v>
      </c>
      <c r="H2913" s="3" t="str">
        <f>VLOOKUP(B2913,LifeList!$E$2:$I$2038,5)</f>
        <v>Ardeidae (Herons, Egrets, and Bitterns)</v>
      </c>
      <c r="I2913" s="3"/>
    </row>
    <row r="2914" spans="1:9" ht="10.5" customHeight="1">
      <c r="A2914" s="3" t="s">
        <v>4064</v>
      </c>
      <c r="B2914" s="3" t="s">
        <v>4057</v>
      </c>
      <c r="C2914" s="3">
        <f>VLOOKUP(B2914,LifeList!$E$2:$J$2038,6)</f>
        <v>7634</v>
      </c>
      <c r="D2914" s="3" t="str">
        <f>VLOOKUP(B2914,LifeList!$E$2:$G$2038,1)</f>
        <v>Reddish Egret</v>
      </c>
      <c r="E2914" s="3" t="str">
        <f>VLOOKUP(B2914,LifeList!$E$2:$G$2038,2)</f>
        <v>Aigrette roussâtre</v>
      </c>
      <c r="F2914" s="3" t="str">
        <f>VLOOKUP(B2914,LifeList!$E$2:$G$2038,3)</f>
        <v>Egretta rufescens</v>
      </c>
      <c r="G2914" s="3" t="str">
        <f>VLOOKUP(B2914,LifeList!$E$2:$I$2038,4)</f>
        <v>Pelecaniformes</v>
      </c>
      <c r="H2914" s="3" t="str">
        <f>VLOOKUP(B2914,LifeList!$E$2:$I$2038,5)</f>
        <v>Ardeidae (Herons, Egrets, and Bitterns)</v>
      </c>
      <c r="I2914" s="3"/>
    </row>
    <row r="2915" spans="1:9" ht="10.5" customHeight="1">
      <c r="A2915" s="3" t="s">
        <v>4065</v>
      </c>
      <c r="B2915" s="3" t="s">
        <v>4057</v>
      </c>
      <c r="C2915" s="3">
        <f>VLOOKUP(B2915,LifeList!$E$2:$J$2038,6)</f>
        <v>7634</v>
      </c>
      <c r="D2915" s="3" t="str">
        <f>VLOOKUP(B2915,LifeList!$E$2:$G$2038,1)</f>
        <v>Reddish Egret</v>
      </c>
      <c r="E2915" s="3" t="str">
        <f>VLOOKUP(B2915,LifeList!$E$2:$G$2038,2)</f>
        <v>Aigrette roussâtre</v>
      </c>
      <c r="F2915" s="3" t="str">
        <f>VLOOKUP(B2915,LifeList!$E$2:$G$2038,3)</f>
        <v>Egretta rufescens</v>
      </c>
      <c r="G2915" s="3" t="str">
        <f>VLOOKUP(B2915,LifeList!$E$2:$I$2038,4)</f>
        <v>Pelecaniformes</v>
      </c>
      <c r="H2915" s="3" t="str">
        <f>VLOOKUP(B2915,LifeList!$E$2:$I$2038,5)</f>
        <v>Ardeidae (Herons, Egrets, and Bitterns)</v>
      </c>
      <c r="I2915" s="3"/>
    </row>
    <row r="2916" spans="1:9" ht="10.5" customHeight="1">
      <c r="A2916" s="3" t="s">
        <v>4066</v>
      </c>
      <c r="B2916" s="3" t="s">
        <v>4067</v>
      </c>
      <c r="C2916" s="3">
        <f>VLOOKUP(B2916,LifeList!$E$2:$J$2038,6)</f>
        <v>667</v>
      </c>
      <c r="D2916" s="3" t="str">
        <f>VLOOKUP(B2916,LifeList!$E$2:$G$2038,1)</f>
        <v>Redhead</v>
      </c>
      <c r="E2916" s="3" t="str">
        <f>VLOOKUP(B2916,LifeList!$E$2:$G$2038,2)</f>
        <v>Fuligule à tête rouge</v>
      </c>
      <c r="F2916" s="3" t="str">
        <f>VLOOKUP(B2916,LifeList!$E$2:$G$2038,3)</f>
        <v>Aythya americana</v>
      </c>
      <c r="G2916" s="3" t="str">
        <f>VLOOKUP(B2916,LifeList!$E$2:$I$2038,4)</f>
        <v>Anseriformes</v>
      </c>
      <c r="H2916" s="3" t="str">
        <f>VLOOKUP(B2916,LifeList!$E$2:$I$2038,5)</f>
        <v>Anatidae (Ducks, Geese, and Waterfowl)</v>
      </c>
      <c r="I2916" s="3"/>
    </row>
    <row r="2917" spans="1:9" ht="10.5" customHeight="1">
      <c r="A2917" s="3" t="s">
        <v>4068</v>
      </c>
      <c r="B2917" s="3" t="s">
        <v>4067</v>
      </c>
      <c r="C2917" s="3">
        <f>VLOOKUP(B2917,LifeList!$E$2:$J$2038,6)</f>
        <v>667</v>
      </c>
      <c r="D2917" s="3" t="str">
        <f>VLOOKUP(B2917,LifeList!$E$2:$G$2038,1)</f>
        <v>Redhead</v>
      </c>
      <c r="E2917" s="3" t="str">
        <f>VLOOKUP(B2917,LifeList!$E$2:$G$2038,2)</f>
        <v>Fuligule à tête rouge</v>
      </c>
      <c r="F2917" s="3" t="str">
        <f>VLOOKUP(B2917,LifeList!$E$2:$G$2038,3)</f>
        <v>Aythya americana</v>
      </c>
      <c r="G2917" s="3" t="str">
        <f>VLOOKUP(B2917,LifeList!$E$2:$I$2038,4)</f>
        <v>Anseriformes</v>
      </c>
      <c r="H2917" s="3" t="str">
        <f>VLOOKUP(B2917,LifeList!$E$2:$I$2038,5)</f>
        <v>Anatidae (Ducks, Geese, and Waterfowl)</v>
      </c>
      <c r="I2917" s="3"/>
    </row>
    <row r="2918" spans="1:9" ht="10.5" customHeight="1">
      <c r="A2918" s="3" t="s">
        <v>4069</v>
      </c>
      <c r="B2918" s="3" t="s">
        <v>4067</v>
      </c>
      <c r="C2918" s="3">
        <f>VLOOKUP(B2918,LifeList!$E$2:$J$2038,6)</f>
        <v>667</v>
      </c>
      <c r="D2918" s="3" t="str">
        <f>VLOOKUP(B2918,LifeList!$E$2:$G$2038,1)</f>
        <v>Redhead</v>
      </c>
      <c r="E2918" s="3" t="str">
        <f>VLOOKUP(B2918,LifeList!$E$2:$G$2038,2)</f>
        <v>Fuligule à tête rouge</v>
      </c>
      <c r="F2918" s="3" t="str">
        <f>VLOOKUP(B2918,LifeList!$E$2:$G$2038,3)</f>
        <v>Aythya americana</v>
      </c>
      <c r="G2918" s="3" t="str">
        <f>VLOOKUP(B2918,LifeList!$E$2:$I$2038,4)</f>
        <v>Anseriformes</v>
      </c>
      <c r="H2918" s="3" t="str">
        <f>VLOOKUP(B2918,LifeList!$E$2:$I$2038,5)</f>
        <v>Anatidae (Ducks, Geese, and Waterfowl)</v>
      </c>
      <c r="I2918" s="3"/>
    </row>
    <row r="2919" spans="1:9" ht="10.5" customHeight="1">
      <c r="A2919" s="3" t="s">
        <v>4070</v>
      </c>
      <c r="B2919" s="3" t="s">
        <v>4067</v>
      </c>
      <c r="C2919" s="3">
        <f>VLOOKUP(B2919,LifeList!$E$2:$J$2038,6)</f>
        <v>667</v>
      </c>
      <c r="D2919" s="3" t="str">
        <f>VLOOKUP(B2919,LifeList!$E$2:$G$2038,1)</f>
        <v>Redhead</v>
      </c>
      <c r="E2919" s="3" t="str">
        <f>VLOOKUP(B2919,LifeList!$E$2:$G$2038,2)</f>
        <v>Fuligule à tête rouge</v>
      </c>
      <c r="F2919" s="3" t="str">
        <f>VLOOKUP(B2919,LifeList!$E$2:$G$2038,3)</f>
        <v>Aythya americana</v>
      </c>
      <c r="G2919" s="3" t="str">
        <f>VLOOKUP(B2919,LifeList!$E$2:$I$2038,4)</f>
        <v>Anseriformes</v>
      </c>
      <c r="H2919" s="3" t="str">
        <f>VLOOKUP(B2919,LifeList!$E$2:$I$2038,5)</f>
        <v>Anatidae (Ducks, Geese, and Waterfowl)</v>
      </c>
      <c r="I2919" s="3"/>
    </row>
    <row r="2920" spans="1:9" ht="10.5" customHeight="1">
      <c r="A2920" s="3" t="s">
        <v>4071</v>
      </c>
      <c r="B2920" s="3" t="s">
        <v>4067</v>
      </c>
      <c r="C2920" s="3">
        <f>VLOOKUP(B2920,LifeList!$E$2:$J$2038,6)</f>
        <v>667</v>
      </c>
      <c r="D2920" s="3" t="str">
        <f>VLOOKUP(B2920,LifeList!$E$2:$G$2038,1)</f>
        <v>Redhead</v>
      </c>
      <c r="E2920" s="3" t="str">
        <f>VLOOKUP(B2920,LifeList!$E$2:$G$2038,2)</f>
        <v>Fuligule à tête rouge</v>
      </c>
      <c r="F2920" s="3" t="str">
        <f>VLOOKUP(B2920,LifeList!$E$2:$G$2038,3)</f>
        <v>Aythya americana</v>
      </c>
      <c r="G2920" s="3" t="str">
        <f>VLOOKUP(B2920,LifeList!$E$2:$I$2038,4)</f>
        <v>Anseriformes</v>
      </c>
      <c r="H2920" s="3" t="str">
        <f>VLOOKUP(B2920,LifeList!$E$2:$I$2038,5)</f>
        <v>Anatidae (Ducks, Geese, and Waterfowl)</v>
      </c>
      <c r="I2920" s="3"/>
    </row>
    <row r="2921" spans="1:9" ht="10.5" customHeight="1">
      <c r="A2921" s="3" t="s">
        <v>4072</v>
      </c>
      <c r="B2921" s="3" t="s">
        <v>4067</v>
      </c>
      <c r="C2921" s="3">
        <f>VLOOKUP(B2921,LifeList!$E$2:$J$2038,6)</f>
        <v>667</v>
      </c>
      <c r="D2921" s="3" t="str">
        <f>VLOOKUP(B2921,LifeList!$E$2:$G$2038,1)</f>
        <v>Redhead</v>
      </c>
      <c r="E2921" s="3" t="str">
        <f>VLOOKUP(B2921,LifeList!$E$2:$G$2038,2)</f>
        <v>Fuligule à tête rouge</v>
      </c>
      <c r="F2921" s="3" t="str">
        <f>VLOOKUP(B2921,LifeList!$E$2:$G$2038,3)</f>
        <v>Aythya americana</v>
      </c>
      <c r="G2921" s="3" t="str">
        <f>VLOOKUP(B2921,LifeList!$E$2:$I$2038,4)</f>
        <v>Anseriformes</v>
      </c>
      <c r="H2921" s="3" t="str">
        <f>VLOOKUP(B2921,LifeList!$E$2:$I$2038,5)</f>
        <v>Anatidae (Ducks, Geese, and Waterfowl)</v>
      </c>
      <c r="I2921" s="3"/>
    </row>
    <row r="2922" spans="1:9" ht="10.5" customHeight="1">
      <c r="A2922" s="3" t="s">
        <v>4073</v>
      </c>
      <c r="B2922" s="3" t="s">
        <v>4067</v>
      </c>
      <c r="C2922" s="3">
        <f>VLOOKUP(B2922,LifeList!$E$2:$J$2038,6)</f>
        <v>667</v>
      </c>
      <c r="D2922" s="3" t="str">
        <f>VLOOKUP(B2922,LifeList!$E$2:$G$2038,1)</f>
        <v>Redhead</v>
      </c>
      <c r="E2922" s="3" t="str">
        <f>VLOOKUP(B2922,LifeList!$E$2:$G$2038,2)</f>
        <v>Fuligule à tête rouge</v>
      </c>
      <c r="F2922" s="3" t="str">
        <f>VLOOKUP(B2922,LifeList!$E$2:$G$2038,3)</f>
        <v>Aythya americana</v>
      </c>
      <c r="G2922" s="3" t="str">
        <f>VLOOKUP(B2922,LifeList!$E$2:$I$2038,4)</f>
        <v>Anseriformes</v>
      </c>
      <c r="H2922" s="3" t="str">
        <f>VLOOKUP(B2922,LifeList!$E$2:$I$2038,5)</f>
        <v>Anatidae (Ducks, Geese, and Waterfowl)</v>
      </c>
      <c r="I2922" s="3"/>
    </row>
    <row r="2923" spans="1:9" ht="10.5" customHeight="1">
      <c r="A2923" s="3" t="s">
        <v>4074</v>
      </c>
      <c r="B2923" s="3" t="s">
        <v>4075</v>
      </c>
      <c r="C2923" s="3">
        <f>VLOOKUP(B2923,LifeList!$E$2:$J$2038,6)</f>
        <v>32483</v>
      </c>
      <c r="D2923" s="3" t="str">
        <f>VLOOKUP(B2923,LifeList!$E$2:$G$2038,1)</f>
        <v>Redpoll</v>
      </c>
      <c r="E2923" s="3" t="str">
        <f>VLOOKUP(B2923,LifeList!$E$2:$G$2038,2)</f>
        <v>Sizerin flammé</v>
      </c>
      <c r="F2923" s="3" t="str">
        <f>VLOOKUP(B2923,LifeList!$E$2:$G$2038,3)</f>
        <v>Acanthis flammea</v>
      </c>
      <c r="G2923" s="3" t="str">
        <f>VLOOKUP(B2923,LifeList!$E$2:$I$2038,4)</f>
        <v>Passeriformes</v>
      </c>
      <c r="H2923" s="3" t="str">
        <f>VLOOKUP(B2923,LifeList!$E$2:$I$2038,5)</f>
        <v>Fringillidae (Finches, Euphonias, and Allies)</v>
      </c>
      <c r="I2923" s="3"/>
    </row>
    <row r="2924" spans="1:9" ht="10.5" customHeight="1">
      <c r="A2924" s="3" t="s">
        <v>4076</v>
      </c>
      <c r="B2924" s="3" t="s">
        <v>4075</v>
      </c>
      <c r="C2924" s="3">
        <f>VLOOKUP(B2924,LifeList!$E$2:$J$2038,6)</f>
        <v>32483</v>
      </c>
      <c r="D2924" s="3" t="str">
        <f>VLOOKUP(B2924,LifeList!$E$2:$G$2038,1)</f>
        <v>Redpoll</v>
      </c>
      <c r="E2924" s="3" t="str">
        <f>VLOOKUP(B2924,LifeList!$E$2:$G$2038,2)</f>
        <v>Sizerin flammé</v>
      </c>
      <c r="F2924" s="3" t="str">
        <f>VLOOKUP(B2924,LifeList!$E$2:$G$2038,3)</f>
        <v>Acanthis flammea</v>
      </c>
      <c r="G2924" s="3" t="str">
        <f>VLOOKUP(B2924,LifeList!$E$2:$I$2038,4)</f>
        <v>Passeriformes</v>
      </c>
      <c r="H2924" s="3" t="str">
        <f>VLOOKUP(B2924,LifeList!$E$2:$I$2038,5)</f>
        <v>Fringillidae (Finches, Euphonias, and Allies)</v>
      </c>
      <c r="I2924" s="3"/>
    </row>
    <row r="2925" spans="1:9" ht="10.5" customHeight="1">
      <c r="A2925" s="7" t="s">
        <v>4077</v>
      </c>
      <c r="B2925" s="8" t="s">
        <v>1322</v>
      </c>
      <c r="C2925" s="6">
        <f>VLOOKUP(B2925,LifeList!$E$2:$J$2038,6)</f>
        <v>32483</v>
      </c>
      <c r="D2925" s="3" t="str">
        <f>VLOOKUP(B2925,LifeList!$E$2:$G$2038,1)</f>
        <v>Redpoll</v>
      </c>
      <c r="E2925" s="3" t="str">
        <f>VLOOKUP(B2925,LifeList!$E$2:$G$2038,2)</f>
        <v>Sizerin flammé</v>
      </c>
      <c r="F2925" s="3" t="str">
        <f>VLOOKUP(B2925,LifeList!$E$2:$G$2038,3)</f>
        <v>Acanthis flammea</v>
      </c>
      <c r="G2925" s="3" t="str">
        <f>VLOOKUP(B2925,LifeList!$E$2:$I$2038,4)</f>
        <v>Passeriformes</v>
      </c>
      <c r="H2925" s="3" t="str">
        <f>VLOOKUP(B2925,LifeList!$E$2:$I$2038,5)</f>
        <v>Fringillidae (Finches, Euphonias, and Allies)</v>
      </c>
      <c r="I2925" s="3"/>
    </row>
    <row r="2926" spans="1:9" ht="10.5" customHeight="1">
      <c r="A2926" s="7" t="s">
        <v>4078</v>
      </c>
      <c r="B2926" s="8" t="s">
        <v>1322</v>
      </c>
      <c r="C2926" s="6">
        <f>VLOOKUP(B2926,LifeList!$E$2:$J$2038,6)</f>
        <v>32483</v>
      </c>
      <c r="D2926" s="3" t="str">
        <f>VLOOKUP(B2926,LifeList!$E$2:$G$2038,1)</f>
        <v>Redpoll</v>
      </c>
      <c r="E2926" s="3" t="str">
        <f>VLOOKUP(B2926,LifeList!$E$2:$G$2038,2)</f>
        <v>Sizerin flammé</v>
      </c>
      <c r="F2926" s="3" t="str">
        <f>VLOOKUP(B2926,LifeList!$E$2:$G$2038,3)</f>
        <v>Acanthis flammea</v>
      </c>
      <c r="G2926" s="3" t="str">
        <f>VLOOKUP(B2926,LifeList!$E$2:$I$2038,4)</f>
        <v>Passeriformes</v>
      </c>
      <c r="H2926" s="3" t="str">
        <f>VLOOKUP(B2926,LifeList!$E$2:$I$2038,5)</f>
        <v>Fringillidae (Finches, Euphonias, and Allies)</v>
      </c>
      <c r="I2926" s="3"/>
    </row>
    <row r="2927" spans="1:9" ht="10.5" customHeight="1">
      <c r="A2927" s="7" t="s">
        <v>4079</v>
      </c>
      <c r="B2927" s="8" t="s">
        <v>1322</v>
      </c>
      <c r="C2927" s="6">
        <f>VLOOKUP(B2927,LifeList!$E$2:$J$2038,6)</f>
        <v>32483</v>
      </c>
      <c r="D2927" s="3" t="str">
        <f>VLOOKUP(B2927,LifeList!$E$2:$G$2038,1)</f>
        <v>Redpoll</v>
      </c>
      <c r="E2927" s="3" t="str">
        <f>VLOOKUP(B2927,LifeList!$E$2:$G$2038,2)</f>
        <v>Sizerin flammé</v>
      </c>
      <c r="F2927" s="3" t="str">
        <f>VLOOKUP(B2927,LifeList!$E$2:$G$2038,3)</f>
        <v>Acanthis flammea</v>
      </c>
      <c r="G2927" s="3" t="str">
        <f>VLOOKUP(B2927,LifeList!$E$2:$I$2038,4)</f>
        <v>Passeriformes</v>
      </c>
      <c r="H2927" s="3" t="str">
        <f>VLOOKUP(B2927,LifeList!$E$2:$I$2038,5)</f>
        <v>Fringillidae (Finches, Euphonias, and Allies)</v>
      </c>
      <c r="I2927" s="3"/>
    </row>
    <row r="2928" spans="1:9" ht="10.5" customHeight="1">
      <c r="A2928" s="7" t="s">
        <v>4080</v>
      </c>
      <c r="B2928" s="9" t="s">
        <v>4081</v>
      </c>
      <c r="C2928" s="6">
        <f>VLOOKUP(B2928,LifeList!$E$2:$J$2038,6)</f>
        <v>18255</v>
      </c>
      <c r="D2928" s="3" t="str">
        <f>VLOOKUP(B2928,LifeList!$E$2:$G$2038,1)</f>
        <v>Redthroat</v>
      </c>
      <c r="E2928" s="3" t="str">
        <f>VLOOKUP(B2928,LifeList!$E$2:$G$2038,2)</f>
        <v>Séricorne rougegorge</v>
      </c>
      <c r="F2928" s="3" t="str">
        <f>VLOOKUP(B2928,LifeList!$E$2:$G$2038,3)</f>
        <v>Pyrrholaemus brunneus</v>
      </c>
      <c r="G2928" s="3" t="str">
        <f>VLOOKUP(B2928,LifeList!$E$2:$I$2038,4)</f>
        <v>Passeriformes</v>
      </c>
      <c r="H2928" s="3" t="str">
        <f>VLOOKUP(B2928,LifeList!$E$2:$I$2038,5)</f>
        <v>Acanthizidae (Thornbills and Allies)</v>
      </c>
      <c r="I2928" s="3"/>
    </row>
    <row r="2929" spans="1:9" ht="10.5" customHeight="1">
      <c r="A2929" s="7" t="s">
        <v>4082</v>
      </c>
      <c r="B2929" s="9" t="s">
        <v>4081</v>
      </c>
      <c r="C2929" s="6">
        <f>VLOOKUP(B2929,LifeList!$E$2:$J$2038,6)</f>
        <v>18255</v>
      </c>
      <c r="D2929" s="3" t="str">
        <f>VLOOKUP(B2929,LifeList!$E$2:$G$2038,1)</f>
        <v>Redthroat</v>
      </c>
      <c r="E2929" s="3" t="str">
        <f>VLOOKUP(B2929,LifeList!$E$2:$G$2038,2)</f>
        <v>Séricorne rougegorge</v>
      </c>
      <c r="F2929" s="3" t="str">
        <f>VLOOKUP(B2929,LifeList!$E$2:$G$2038,3)</f>
        <v>Pyrrholaemus brunneus</v>
      </c>
      <c r="G2929" s="3" t="str">
        <f>VLOOKUP(B2929,LifeList!$E$2:$I$2038,4)</f>
        <v>Passeriformes</v>
      </c>
      <c r="H2929" s="3" t="str">
        <f>VLOOKUP(B2929,LifeList!$E$2:$I$2038,5)</f>
        <v>Acanthizidae (Thornbills and Allies)</v>
      </c>
      <c r="I2929" s="3"/>
    </row>
    <row r="2930" spans="1:9" ht="10.5" customHeight="1">
      <c r="A2930" s="3" t="s">
        <v>4083</v>
      </c>
      <c r="B2930" s="3" t="s">
        <v>4084</v>
      </c>
      <c r="C2930" s="3">
        <f>VLOOKUP(B2930,LifeList!$E$2:$J$2038,6)</f>
        <v>7381</v>
      </c>
      <c r="D2930" s="3" t="str">
        <f>VLOOKUP(B2930,LifeList!$E$2:$G$2038,1)</f>
        <v>Reed Cormorant</v>
      </c>
      <c r="E2930" s="3" t="str">
        <f>VLOOKUP(B2930,LifeList!$E$2:$G$2038,2)</f>
        <v>Cormoran africain</v>
      </c>
      <c r="F2930" s="3" t="str">
        <f>VLOOKUP(B2930,LifeList!$E$2:$G$2038,3)</f>
        <v>Microcarbo africanus</v>
      </c>
      <c r="G2930" s="3" t="str">
        <f>VLOOKUP(B2930,LifeList!$E$2:$I$2038,4)</f>
        <v>Suliformes</v>
      </c>
      <c r="H2930" s="3" t="str">
        <f>VLOOKUP(B2930,LifeList!$E$2:$I$2038,5)</f>
        <v>Phalacrocoracidae (Cormorants and Shags)</v>
      </c>
      <c r="I2930" s="3"/>
    </row>
    <row r="2931" spans="1:9" ht="10.5" customHeight="1">
      <c r="A2931" s="7" t="s">
        <v>4085</v>
      </c>
      <c r="B2931" s="9" t="s">
        <v>4086</v>
      </c>
      <c r="C2931" s="6">
        <f>VLOOKUP(B2931,LifeList!$E$2:$J$2038,6)</f>
        <v>12261</v>
      </c>
      <c r="D2931" s="3" t="str">
        <f>VLOOKUP(B2931,LifeList!$E$2:$G$2038,1)</f>
        <v>Regent Parrot</v>
      </c>
      <c r="E2931" s="3" t="str">
        <f>VLOOKUP(B2931,LifeList!$E$2:$G$2038,2)</f>
        <v>Perruche mélanure</v>
      </c>
      <c r="F2931" s="3" t="str">
        <f>VLOOKUP(B2931,LifeList!$E$2:$G$2038,3)</f>
        <v>Polytelis anthopeplus</v>
      </c>
      <c r="G2931" s="3" t="str">
        <f>VLOOKUP(B2931,LifeList!$E$2:$I$2038,4)</f>
        <v>Psittaciformes</v>
      </c>
      <c r="H2931" s="3" t="str">
        <f>VLOOKUP(B2931,LifeList!$E$2:$I$2038,5)</f>
        <v>Psittaculidae (Old World Parrots)</v>
      </c>
      <c r="I2931" s="3"/>
    </row>
    <row r="2932" spans="1:9" ht="10.5" customHeight="1">
      <c r="A2932" s="3" t="s">
        <v>4087</v>
      </c>
      <c r="B2932" s="3" t="s">
        <v>4088</v>
      </c>
      <c r="C2932" s="3">
        <f>VLOOKUP(B2932,LifeList!$E$2:$J$2038,6)</f>
        <v>9508</v>
      </c>
      <c r="D2932" s="3" t="str">
        <f>VLOOKUP(B2932,LifeList!$E$2:$G$2038,1)</f>
        <v>Resplendent Quetzal</v>
      </c>
      <c r="E2932" s="3" t="str">
        <f>VLOOKUP(B2932,LifeList!$E$2:$G$2038,2)</f>
        <v>Quetzal resplendissant</v>
      </c>
      <c r="F2932" s="3" t="str">
        <f>VLOOKUP(B2932,LifeList!$E$2:$G$2038,3)</f>
        <v>Pharomachrus mocinno</v>
      </c>
      <c r="G2932" s="3" t="str">
        <f>VLOOKUP(B2932,LifeList!$E$2:$I$2038,4)</f>
        <v>Trogoniformes</v>
      </c>
      <c r="H2932" s="3" t="str">
        <f>VLOOKUP(B2932,LifeList!$E$2:$I$2038,5)</f>
        <v>Trogonidae (Trogons)</v>
      </c>
      <c r="I2932" s="3"/>
    </row>
    <row r="2933" spans="1:9" ht="10.5" customHeight="1">
      <c r="A2933" s="3" t="s">
        <v>4089</v>
      </c>
      <c r="B2933" s="3" t="s">
        <v>4088</v>
      </c>
      <c r="C2933" s="3">
        <f>VLOOKUP(B2933,LifeList!$E$2:$J$2038,6)</f>
        <v>9508</v>
      </c>
      <c r="D2933" s="3" t="str">
        <f>VLOOKUP(B2933,LifeList!$E$2:$G$2038,1)</f>
        <v>Resplendent Quetzal</v>
      </c>
      <c r="E2933" s="3" t="str">
        <f>VLOOKUP(B2933,LifeList!$E$2:$G$2038,2)</f>
        <v>Quetzal resplendissant</v>
      </c>
      <c r="F2933" s="3" t="str">
        <f>VLOOKUP(B2933,LifeList!$E$2:$G$2038,3)</f>
        <v>Pharomachrus mocinno</v>
      </c>
      <c r="G2933" s="3" t="str">
        <f>VLOOKUP(B2933,LifeList!$E$2:$I$2038,4)</f>
        <v>Trogoniformes</v>
      </c>
      <c r="H2933" s="3" t="str">
        <f>VLOOKUP(B2933,LifeList!$E$2:$I$2038,5)</f>
        <v>Trogonidae (Trogons)</v>
      </c>
      <c r="I2933" s="3"/>
    </row>
    <row r="2934" spans="1:9" ht="10.5" customHeight="1">
      <c r="A2934" s="3" t="s">
        <v>4090</v>
      </c>
      <c r="B2934" s="3" t="s">
        <v>4088</v>
      </c>
      <c r="C2934" s="3">
        <f>VLOOKUP(B2934,LifeList!$E$2:$J$2038,6)</f>
        <v>9508</v>
      </c>
      <c r="D2934" s="3" t="str">
        <f>VLOOKUP(B2934,LifeList!$E$2:$G$2038,1)</f>
        <v>Resplendent Quetzal</v>
      </c>
      <c r="E2934" s="3" t="str">
        <f>VLOOKUP(B2934,LifeList!$E$2:$G$2038,2)</f>
        <v>Quetzal resplendissant</v>
      </c>
      <c r="F2934" s="3" t="str">
        <f>VLOOKUP(B2934,LifeList!$E$2:$G$2038,3)</f>
        <v>Pharomachrus mocinno</v>
      </c>
      <c r="G2934" s="3" t="str">
        <f>VLOOKUP(B2934,LifeList!$E$2:$I$2038,4)</f>
        <v>Trogoniformes</v>
      </c>
      <c r="H2934" s="3" t="str">
        <f>VLOOKUP(B2934,LifeList!$E$2:$I$2038,5)</f>
        <v>Trogonidae (Trogons)</v>
      </c>
      <c r="I2934" s="3"/>
    </row>
    <row r="2935" spans="1:9" ht="10.5" customHeight="1">
      <c r="A2935" s="3" t="s">
        <v>4091</v>
      </c>
      <c r="B2935" s="3" t="s">
        <v>4088</v>
      </c>
      <c r="C2935" s="3">
        <f>VLOOKUP(B2935,LifeList!$E$2:$J$2038,6)</f>
        <v>9508</v>
      </c>
      <c r="D2935" s="3" t="str">
        <f>VLOOKUP(B2935,LifeList!$E$2:$G$2038,1)</f>
        <v>Resplendent Quetzal</v>
      </c>
      <c r="E2935" s="3" t="str">
        <f>VLOOKUP(B2935,LifeList!$E$2:$G$2038,2)</f>
        <v>Quetzal resplendissant</v>
      </c>
      <c r="F2935" s="3" t="str">
        <f>VLOOKUP(B2935,LifeList!$E$2:$G$2038,3)</f>
        <v>Pharomachrus mocinno</v>
      </c>
      <c r="G2935" s="3" t="str">
        <f>VLOOKUP(B2935,LifeList!$E$2:$I$2038,4)</f>
        <v>Trogoniformes</v>
      </c>
      <c r="H2935" s="3" t="str">
        <f>VLOOKUP(B2935,LifeList!$E$2:$I$2038,5)</f>
        <v>Trogonidae (Trogons)</v>
      </c>
      <c r="I2935" s="3"/>
    </row>
    <row r="2936" spans="1:9" ht="10.5" customHeight="1">
      <c r="A2936" s="3" t="s">
        <v>4092</v>
      </c>
      <c r="B2936" s="3" t="s">
        <v>4088</v>
      </c>
      <c r="C2936" s="3">
        <f>VLOOKUP(B2936,LifeList!$E$2:$J$2038,6)</f>
        <v>9508</v>
      </c>
      <c r="D2936" s="3" t="str">
        <f>VLOOKUP(B2936,LifeList!$E$2:$G$2038,1)</f>
        <v>Resplendent Quetzal</v>
      </c>
      <c r="E2936" s="3" t="str">
        <f>VLOOKUP(B2936,LifeList!$E$2:$G$2038,2)</f>
        <v>Quetzal resplendissant</v>
      </c>
      <c r="F2936" s="3" t="str">
        <f>VLOOKUP(B2936,LifeList!$E$2:$G$2038,3)</f>
        <v>Pharomachrus mocinno</v>
      </c>
      <c r="G2936" s="3" t="str">
        <f>VLOOKUP(B2936,LifeList!$E$2:$I$2038,4)</f>
        <v>Trogoniformes</v>
      </c>
      <c r="H2936" s="3" t="str">
        <f>VLOOKUP(B2936,LifeList!$E$2:$I$2038,5)</f>
        <v>Trogonidae (Trogons)</v>
      </c>
      <c r="I2936" s="3"/>
    </row>
    <row r="2937" spans="1:9" ht="10.5" customHeight="1">
      <c r="A2937" s="7" t="s">
        <v>4093</v>
      </c>
      <c r="B2937" s="9" t="s">
        <v>4094</v>
      </c>
      <c r="C2937" s="6">
        <f>VLOOKUP(B2937,LifeList!$E$2:$J$2038,6)</f>
        <v>19920</v>
      </c>
      <c r="D2937" s="3" t="str">
        <f>VLOOKUP(B2937,LifeList!$E$2:$G$2038,1)</f>
        <v>Retz's Helmetshrike</v>
      </c>
      <c r="E2937" s="3" t="str">
        <f>VLOOKUP(B2937,LifeList!$E$2:$G$2038,2)</f>
        <v>Bagadais de Retz</v>
      </c>
      <c r="F2937" s="3" t="str">
        <f>VLOOKUP(B2937,LifeList!$E$2:$G$2038,3)</f>
        <v>Prionops retzii</v>
      </c>
      <c r="G2937" s="3" t="str">
        <f>VLOOKUP(B2937,LifeList!$E$2:$I$2038,4)</f>
        <v>Passeriformes</v>
      </c>
      <c r="H2937" s="3" t="str">
        <f>VLOOKUP(B2937,LifeList!$E$2:$I$2038,5)</f>
        <v>Vangidae (Vangas, Helmetshrikes, and Allies)</v>
      </c>
      <c r="I2937" s="3"/>
    </row>
    <row r="2938" spans="1:9" ht="10.5" customHeight="1">
      <c r="A2938" s="5" t="s">
        <v>4095</v>
      </c>
      <c r="B2938" s="3" t="s">
        <v>4096</v>
      </c>
      <c r="C2938" s="3">
        <f>VLOOKUP(B2938,LifeList!$E$2:$J$2038,6)</f>
        <v>5256</v>
      </c>
      <c r="D2938" s="3" t="str">
        <f>VLOOKUP(B2938,LifeList!$E$2:$G$2038,1)</f>
        <v>Ridgway's Rail</v>
      </c>
      <c r="E2938" s="3" t="str">
        <f>VLOOKUP(B2938,LifeList!$E$2:$G$2038,2)</f>
        <v>Râle de Californie</v>
      </c>
      <c r="F2938" s="3" t="str">
        <f>VLOOKUP(B2938,LifeList!$E$2:$G$2038,3)</f>
        <v>Rallus obsoletus</v>
      </c>
      <c r="G2938" s="3" t="str">
        <f>VLOOKUP(B2938,LifeList!$E$2:$I$2038,4)</f>
        <v>Gruiformes</v>
      </c>
      <c r="H2938" s="3" t="str">
        <f>VLOOKUP(B2938,LifeList!$E$2:$I$2038,5)</f>
        <v>Rallidae (Rails, Gallinules, and Coots)</v>
      </c>
      <c r="I2938" s="3"/>
    </row>
    <row r="2939" spans="1:9" ht="10.5" customHeight="1">
      <c r="A2939" s="3" t="s">
        <v>4097</v>
      </c>
      <c r="B2939" s="3" t="s">
        <v>4098</v>
      </c>
      <c r="C2939" s="3">
        <f>VLOOKUP(B2939,LifeList!$E$2:$J$2038,6)</f>
        <v>6521</v>
      </c>
      <c r="D2939" s="3" t="str">
        <f>VLOOKUP(B2939,LifeList!$E$2:$G$2038,1)</f>
        <v>Ring-billed Gull</v>
      </c>
      <c r="E2939" s="3" t="str">
        <f>VLOOKUP(B2939,LifeList!$E$2:$G$2038,2)</f>
        <v>Goéland à bec cerclé</v>
      </c>
      <c r="F2939" s="3" t="str">
        <f>VLOOKUP(B2939,LifeList!$E$2:$G$2038,3)</f>
        <v>Larus delawarensis</v>
      </c>
      <c r="G2939" s="3" t="str">
        <f>VLOOKUP(B2939,LifeList!$E$2:$I$2038,4)</f>
        <v>Charadriiformes</v>
      </c>
      <c r="H2939" s="3" t="str">
        <f>VLOOKUP(B2939,LifeList!$E$2:$I$2038,5)</f>
        <v>Laridae (Gulls, Terns, and Skimmers)</v>
      </c>
      <c r="I2939" s="3"/>
    </row>
    <row r="2940" spans="1:9" ht="10.5" customHeight="1">
      <c r="A2940" s="3" t="s">
        <v>4099</v>
      </c>
      <c r="B2940" s="3" t="s">
        <v>4098</v>
      </c>
      <c r="C2940" s="3">
        <f>VLOOKUP(B2940,LifeList!$E$2:$J$2038,6)</f>
        <v>6521</v>
      </c>
      <c r="D2940" s="3" t="str">
        <f>VLOOKUP(B2940,LifeList!$E$2:$G$2038,1)</f>
        <v>Ring-billed Gull</v>
      </c>
      <c r="E2940" s="3" t="str">
        <f>VLOOKUP(B2940,LifeList!$E$2:$G$2038,2)</f>
        <v>Goéland à bec cerclé</v>
      </c>
      <c r="F2940" s="3" t="str">
        <f>VLOOKUP(B2940,LifeList!$E$2:$G$2038,3)</f>
        <v>Larus delawarensis</v>
      </c>
      <c r="G2940" s="3" t="str">
        <f>VLOOKUP(B2940,LifeList!$E$2:$I$2038,4)</f>
        <v>Charadriiformes</v>
      </c>
      <c r="H2940" s="3" t="str">
        <f>VLOOKUP(B2940,LifeList!$E$2:$I$2038,5)</f>
        <v>Laridae (Gulls, Terns, and Skimmers)</v>
      </c>
      <c r="I2940" s="3"/>
    </row>
    <row r="2941" spans="1:9" ht="10.5" customHeight="1">
      <c r="A2941" s="3" t="s">
        <v>4100</v>
      </c>
      <c r="B2941" s="3" t="s">
        <v>4098</v>
      </c>
      <c r="C2941" s="3">
        <f>VLOOKUP(B2941,LifeList!$E$2:$J$2038,6)</f>
        <v>6521</v>
      </c>
      <c r="D2941" s="3" t="str">
        <f>VLOOKUP(B2941,LifeList!$E$2:$G$2038,1)</f>
        <v>Ring-billed Gull</v>
      </c>
      <c r="E2941" s="3" t="str">
        <f>VLOOKUP(B2941,LifeList!$E$2:$G$2038,2)</f>
        <v>Goéland à bec cerclé</v>
      </c>
      <c r="F2941" s="3" t="str">
        <f>VLOOKUP(B2941,LifeList!$E$2:$G$2038,3)</f>
        <v>Larus delawarensis</v>
      </c>
      <c r="G2941" s="3" t="str">
        <f>VLOOKUP(B2941,LifeList!$E$2:$I$2038,4)</f>
        <v>Charadriiformes</v>
      </c>
      <c r="H2941" s="3" t="str">
        <f>VLOOKUP(B2941,LifeList!$E$2:$I$2038,5)</f>
        <v>Laridae (Gulls, Terns, and Skimmers)</v>
      </c>
      <c r="I2941" s="3"/>
    </row>
    <row r="2942" spans="1:9" ht="10.5" customHeight="1">
      <c r="A2942" s="3" t="s">
        <v>4101</v>
      </c>
      <c r="B2942" s="3" t="s">
        <v>4098</v>
      </c>
      <c r="C2942" s="3">
        <f>VLOOKUP(B2942,LifeList!$E$2:$J$2038,6)</f>
        <v>6521</v>
      </c>
      <c r="D2942" s="3" t="str">
        <f>VLOOKUP(B2942,LifeList!$E$2:$G$2038,1)</f>
        <v>Ring-billed Gull</v>
      </c>
      <c r="E2942" s="3" t="str">
        <f>VLOOKUP(B2942,LifeList!$E$2:$G$2038,2)</f>
        <v>Goéland à bec cerclé</v>
      </c>
      <c r="F2942" s="3" t="str">
        <f>VLOOKUP(B2942,LifeList!$E$2:$G$2038,3)</f>
        <v>Larus delawarensis</v>
      </c>
      <c r="G2942" s="3" t="str">
        <f>VLOOKUP(B2942,LifeList!$E$2:$I$2038,4)</f>
        <v>Charadriiformes</v>
      </c>
      <c r="H2942" s="3" t="str">
        <f>VLOOKUP(B2942,LifeList!$E$2:$I$2038,5)</f>
        <v>Laridae (Gulls, Terns, and Skimmers)</v>
      </c>
      <c r="I2942" s="3"/>
    </row>
    <row r="2943" spans="1:9" ht="10.5" customHeight="1">
      <c r="A2943" s="3" t="s">
        <v>4102</v>
      </c>
      <c r="B2943" s="3" t="s">
        <v>4098</v>
      </c>
      <c r="C2943" s="3">
        <f>VLOOKUP(B2943,LifeList!$E$2:$J$2038,6)</f>
        <v>6521</v>
      </c>
      <c r="D2943" s="3" t="str">
        <f>VLOOKUP(B2943,LifeList!$E$2:$G$2038,1)</f>
        <v>Ring-billed Gull</v>
      </c>
      <c r="E2943" s="3" t="str">
        <f>VLOOKUP(B2943,LifeList!$E$2:$G$2038,2)</f>
        <v>Goéland à bec cerclé</v>
      </c>
      <c r="F2943" s="3" t="str">
        <f>VLOOKUP(B2943,LifeList!$E$2:$G$2038,3)</f>
        <v>Larus delawarensis</v>
      </c>
      <c r="G2943" s="3" t="str">
        <f>VLOOKUP(B2943,LifeList!$E$2:$I$2038,4)</f>
        <v>Charadriiformes</v>
      </c>
      <c r="H2943" s="3" t="str">
        <f>VLOOKUP(B2943,LifeList!$E$2:$I$2038,5)</f>
        <v>Laridae (Gulls, Terns, and Skimmers)</v>
      </c>
      <c r="I2943" s="3"/>
    </row>
    <row r="2944" spans="1:9" ht="10.5" customHeight="1">
      <c r="A2944" s="5" t="s">
        <v>4103</v>
      </c>
      <c r="B2944" s="3" t="s">
        <v>4104</v>
      </c>
      <c r="C2944" s="3">
        <f>VLOOKUP(B2944,LifeList!$E$2:$J$2038,6)</f>
        <v>2051</v>
      </c>
      <c r="D2944" s="3" t="str">
        <f>VLOOKUP(B2944,LifeList!$E$2:$G$2038,1)</f>
        <v>Ring-necked Dove</v>
      </c>
      <c r="E2944" s="3" t="str">
        <f>VLOOKUP(B2944,LifeList!$E$2:$G$2038,2)</f>
        <v>Tourterelle du Cap</v>
      </c>
      <c r="F2944" s="3" t="str">
        <f>VLOOKUP(B2944,LifeList!$E$2:$G$2038,3)</f>
        <v>Streptopelia capicola</v>
      </c>
      <c r="G2944" s="3" t="str">
        <f>VLOOKUP(B2944,LifeList!$E$2:$I$2038,4)</f>
        <v>Columbiformes</v>
      </c>
      <c r="H2944" s="3" t="str">
        <f>VLOOKUP(B2944,LifeList!$E$2:$I$2038,5)</f>
        <v>Columbidae (Pigeons and Doves)</v>
      </c>
      <c r="I2944" s="3"/>
    </row>
    <row r="2945" spans="1:9" ht="10.5" customHeight="1">
      <c r="A2945" s="5" t="s">
        <v>4105</v>
      </c>
      <c r="B2945" s="3" t="s">
        <v>4106</v>
      </c>
      <c r="C2945" s="3">
        <f>VLOOKUP(B2945,LifeList!$E$2:$J$2038,6)</f>
        <v>673</v>
      </c>
      <c r="D2945" s="3" t="str">
        <f>VLOOKUP(B2945,LifeList!$E$2:$G$2038,1)</f>
        <v>Ring-necked Duck</v>
      </c>
      <c r="E2945" s="3" t="str">
        <f>VLOOKUP(B2945,LifeList!$E$2:$G$2038,2)</f>
        <v>Fuligule à collier</v>
      </c>
      <c r="F2945" s="3" t="str">
        <f>VLOOKUP(B2945,LifeList!$E$2:$G$2038,3)</f>
        <v>Aythya collaris</v>
      </c>
      <c r="G2945" s="3" t="str">
        <f>VLOOKUP(B2945,LifeList!$E$2:$I$2038,4)</f>
        <v>Anseriformes</v>
      </c>
      <c r="H2945" s="3" t="str">
        <f>VLOOKUP(B2945,LifeList!$E$2:$I$2038,5)</f>
        <v>Anatidae (Ducks, Geese, and Waterfowl)</v>
      </c>
      <c r="I2945" s="3"/>
    </row>
    <row r="2946" spans="1:9" ht="10.5" customHeight="1">
      <c r="A2946" s="3" t="s">
        <v>4107</v>
      </c>
      <c r="B2946" s="3" t="s">
        <v>4108</v>
      </c>
      <c r="C2946" s="3">
        <f>VLOOKUP(B2946,LifeList!$E$2:$J$2038,6)</f>
        <v>673</v>
      </c>
      <c r="D2946" s="3" t="str">
        <f>VLOOKUP(B2946,LifeList!$E$2:$G$2038,1)</f>
        <v>Ring-necked Duck</v>
      </c>
      <c r="E2946" s="3" t="str">
        <f>VLOOKUP(B2946,LifeList!$E$2:$G$2038,2)</f>
        <v>Fuligule à collier</v>
      </c>
      <c r="F2946" s="3" t="str">
        <f>VLOOKUP(B2946,LifeList!$E$2:$G$2038,3)</f>
        <v>Aythya collaris</v>
      </c>
      <c r="G2946" s="3" t="str">
        <f>VLOOKUP(B2946,LifeList!$E$2:$I$2038,4)</f>
        <v>Anseriformes</v>
      </c>
      <c r="H2946" s="3" t="str">
        <f>VLOOKUP(B2946,LifeList!$E$2:$I$2038,5)</f>
        <v>Anatidae (Ducks, Geese, and Waterfowl)</v>
      </c>
      <c r="I2946" s="3"/>
    </row>
    <row r="2947" spans="1:9" ht="10.5" customHeight="1">
      <c r="A2947" s="3" t="s">
        <v>4109</v>
      </c>
      <c r="B2947" s="3" t="s">
        <v>4108</v>
      </c>
      <c r="C2947" s="3">
        <f>VLOOKUP(B2947,LifeList!$E$2:$J$2038,6)</f>
        <v>673</v>
      </c>
      <c r="D2947" s="3" t="str">
        <f>VLOOKUP(B2947,LifeList!$E$2:$G$2038,1)</f>
        <v>Ring-necked Duck</v>
      </c>
      <c r="E2947" s="3" t="str">
        <f>VLOOKUP(B2947,LifeList!$E$2:$G$2038,2)</f>
        <v>Fuligule à collier</v>
      </c>
      <c r="F2947" s="3" t="str">
        <f>VLOOKUP(B2947,LifeList!$E$2:$G$2038,3)</f>
        <v>Aythya collaris</v>
      </c>
      <c r="G2947" s="3" t="str">
        <f>VLOOKUP(B2947,LifeList!$E$2:$I$2038,4)</f>
        <v>Anseriformes</v>
      </c>
      <c r="H2947" s="3" t="str">
        <f>VLOOKUP(B2947,LifeList!$E$2:$I$2038,5)</f>
        <v>Anatidae (Ducks, Geese, and Waterfowl)</v>
      </c>
      <c r="I2947" s="3"/>
    </row>
    <row r="2948" spans="1:9" ht="10.5" customHeight="1">
      <c r="A2948" s="3" t="s">
        <v>4110</v>
      </c>
      <c r="B2948" s="3" t="s">
        <v>4108</v>
      </c>
      <c r="C2948" s="3">
        <f>VLOOKUP(B2948,LifeList!$E$2:$J$2038,6)</f>
        <v>673</v>
      </c>
      <c r="D2948" s="3" t="str">
        <f>VLOOKUP(B2948,LifeList!$E$2:$G$2038,1)</f>
        <v>Ring-necked Duck</v>
      </c>
      <c r="E2948" s="3" t="str">
        <f>VLOOKUP(B2948,LifeList!$E$2:$G$2038,2)</f>
        <v>Fuligule à collier</v>
      </c>
      <c r="F2948" s="3" t="str">
        <f>VLOOKUP(B2948,LifeList!$E$2:$G$2038,3)</f>
        <v>Aythya collaris</v>
      </c>
      <c r="G2948" s="3" t="str">
        <f>VLOOKUP(B2948,LifeList!$E$2:$I$2038,4)</f>
        <v>Anseriformes</v>
      </c>
      <c r="H2948" s="3" t="str">
        <f>VLOOKUP(B2948,LifeList!$E$2:$I$2038,5)</f>
        <v>Anatidae (Ducks, Geese, and Waterfowl)</v>
      </c>
      <c r="I2948" s="3"/>
    </row>
    <row r="2949" spans="1:9" ht="10.5" customHeight="1">
      <c r="A2949" s="3" t="s">
        <v>4111</v>
      </c>
      <c r="B2949" s="3" t="s">
        <v>4108</v>
      </c>
      <c r="C2949" s="3">
        <f>VLOOKUP(B2949,LifeList!$E$2:$J$2038,6)</f>
        <v>673</v>
      </c>
      <c r="D2949" s="3" t="str">
        <f>VLOOKUP(B2949,LifeList!$E$2:$G$2038,1)</f>
        <v>Ring-necked Duck</v>
      </c>
      <c r="E2949" s="3" t="str">
        <f>VLOOKUP(B2949,LifeList!$E$2:$G$2038,2)</f>
        <v>Fuligule à collier</v>
      </c>
      <c r="F2949" s="3" t="str">
        <f>VLOOKUP(B2949,LifeList!$E$2:$G$2038,3)</f>
        <v>Aythya collaris</v>
      </c>
      <c r="G2949" s="3" t="str">
        <f>VLOOKUP(B2949,LifeList!$E$2:$I$2038,4)</f>
        <v>Anseriformes</v>
      </c>
      <c r="H2949" s="3" t="str">
        <f>VLOOKUP(B2949,LifeList!$E$2:$I$2038,5)</f>
        <v>Anatidae (Ducks, Geese, and Waterfowl)</v>
      </c>
      <c r="I2949" s="3"/>
    </row>
    <row r="2950" spans="1:9" ht="10.5" customHeight="1">
      <c r="A2950" s="3" t="s">
        <v>4112</v>
      </c>
      <c r="B2950" s="3" t="s">
        <v>4108</v>
      </c>
      <c r="C2950" s="3">
        <f>VLOOKUP(B2950,LifeList!$E$2:$J$2038,6)</f>
        <v>673</v>
      </c>
      <c r="D2950" s="3" t="str">
        <f>VLOOKUP(B2950,LifeList!$E$2:$G$2038,1)</f>
        <v>Ring-necked Duck</v>
      </c>
      <c r="E2950" s="3" t="str">
        <f>VLOOKUP(B2950,LifeList!$E$2:$G$2038,2)</f>
        <v>Fuligule à collier</v>
      </c>
      <c r="F2950" s="3" t="str">
        <f>VLOOKUP(B2950,LifeList!$E$2:$G$2038,3)</f>
        <v>Aythya collaris</v>
      </c>
      <c r="G2950" s="3" t="str">
        <f>VLOOKUP(B2950,LifeList!$E$2:$I$2038,4)</f>
        <v>Anseriformes</v>
      </c>
      <c r="H2950" s="3" t="str">
        <f>VLOOKUP(B2950,LifeList!$E$2:$I$2038,5)</f>
        <v>Anatidae (Ducks, Geese, and Waterfowl)</v>
      </c>
      <c r="I2950" s="3"/>
    </row>
    <row r="2951" spans="1:9" ht="10.5" customHeight="1">
      <c r="A2951" s="3" t="s">
        <v>4113</v>
      </c>
      <c r="B2951" s="3" t="s">
        <v>4108</v>
      </c>
      <c r="C2951" s="3">
        <f>VLOOKUP(B2951,LifeList!$E$2:$J$2038,6)</f>
        <v>673</v>
      </c>
      <c r="D2951" s="3" t="str">
        <f>VLOOKUP(B2951,LifeList!$E$2:$G$2038,1)</f>
        <v>Ring-necked Duck</v>
      </c>
      <c r="E2951" s="3" t="str">
        <f>VLOOKUP(B2951,LifeList!$E$2:$G$2038,2)</f>
        <v>Fuligule à collier</v>
      </c>
      <c r="F2951" s="3" t="str">
        <f>VLOOKUP(B2951,LifeList!$E$2:$G$2038,3)</f>
        <v>Aythya collaris</v>
      </c>
      <c r="G2951" s="3" t="str">
        <f>VLOOKUP(B2951,LifeList!$E$2:$I$2038,4)</f>
        <v>Anseriformes</v>
      </c>
      <c r="H2951" s="3" t="str">
        <f>VLOOKUP(B2951,LifeList!$E$2:$I$2038,5)</f>
        <v>Anatidae (Ducks, Geese, and Waterfowl)</v>
      </c>
      <c r="I2951" s="3"/>
    </row>
    <row r="2952" spans="1:9" ht="10.5" customHeight="1">
      <c r="A2952" s="3" t="s">
        <v>4114</v>
      </c>
      <c r="B2952" s="3" t="s">
        <v>4115</v>
      </c>
      <c r="C2952" s="3">
        <f>VLOOKUP(B2952,LifeList!$E$2:$J$2038,6)</f>
        <v>10301</v>
      </c>
      <c r="D2952" s="3" t="str">
        <f>VLOOKUP(B2952,LifeList!$E$2:$G$2038,1)</f>
        <v>Ringed Kingfisher</v>
      </c>
      <c r="E2952" s="3" t="str">
        <f>VLOOKUP(B2952,LifeList!$E$2:$G$2038,2)</f>
        <v>Martin-pêcheur à ventre roux</v>
      </c>
      <c r="F2952" s="3" t="str">
        <f>VLOOKUP(B2952,LifeList!$E$2:$G$2038,3)</f>
        <v>Megaceryle torquata</v>
      </c>
      <c r="G2952" s="3" t="str">
        <f>VLOOKUP(B2952,LifeList!$E$2:$I$2038,4)</f>
        <v>Coraciiformes</v>
      </c>
      <c r="H2952" s="3" t="str">
        <f>VLOOKUP(B2952,LifeList!$E$2:$I$2038,5)</f>
        <v>Alcedinidae (Kingfishers)</v>
      </c>
      <c r="I2952" s="3"/>
    </row>
    <row r="2953" spans="1:9" ht="10.5" customHeight="1">
      <c r="A2953" s="3" t="s">
        <v>4116</v>
      </c>
      <c r="B2953" s="3" t="s">
        <v>4115</v>
      </c>
      <c r="C2953" s="3">
        <f>VLOOKUP(B2953,LifeList!$E$2:$J$2038,6)</f>
        <v>10301</v>
      </c>
      <c r="D2953" s="3" t="str">
        <f>VLOOKUP(B2953,LifeList!$E$2:$G$2038,1)</f>
        <v>Ringed Kingfisher</v>
      </c>
      <c r="E2953" s="3" t="str">
        <f>VLOOKUP(B2953,LifeList!$E$2:$G$2038,2)</f>
        <v>Martin-pêcheur à ventre roux</v>
      </c>
      <c r="F2953" s="3" t="str">
        <f>VLOOKUP(B2953,LifeList!$E$2:$G$2038,3)</f>
        <v>Megaceryle torquata</v>
      </c>
      <c r="G2953" s="3" t="str">
        <f>VLOOKUP(B2953,LifeList!$E$2:$I$2038,4)</f>
        <v>Coraciiformes</v>
      </c>
      <c r="H2953" s="3" t="str">
        <f>VLOOKUP(B2953,LifeList!$E$2:$I$2038,5)</f>
        <v>Alcedinidae (Kingfishers)</v>
      </c>
      <c r="I2953" s="3"/>
    </row>
    <row r="2954" spans="1:9" ht="10.5" customHeight="1">
      <c r="A2954" s="3" t="s">
        <v>4117</v>
      </c>
      <c r="B2954" s="3" t="s">
        <v>4115</v>
      </c>
      <c r="C2954" s="3">
        <f>VLOOKUP(B2954,LifeList!$E$2:$J$2038,6)</f>
        <v>10301</v>
      </c>
      <c r="D2954" s="3" t="str">
        <f>VLOOKUP(B2954,LifeList!$E$2:$G$2038,1)</f>
        <v>Ringed Kingfisher</v>
      </c>
      <c r="E2954" s="3" t="str">
        <f>VLOOKUP(B2954,LifeList!$E$2:$G$2038,2)</f>
        <v>Martin-pêcheur à ventre roux</v>
      </c>
      <c r="F2954" s="3" t="str">
        <f>VLOOKUP(B2954,LifeList!$E$2:$G$2038,3)</f>
        <v>Megaceryle torquata</v>
      </c>
      <c r="G2954" s="3" t="str">
        <f>VLOOKUP(B2954,LifeList!$E$2:$I$2038,4)</f>
        <v>Coraciiformes</v>
      </c>
      <c r="H2954" s="3" t="str">
        <f>VLOOKUP(B2954,LifeList!$E$2:$I$2038,5)</f>
        <v>Alcedinidae (Kingfishers)</v>
      </c>
      <c r="I2954" s="3"/>
    </row>
    <row r="2955" spans="1:9" ht="10.5" customHeight="1">
      <c r="A2955" s="3" t="s">
        <v>4118</v>
      </c>
      <c r="B2955" s="3" t="s">
        <v>4115</v>
      </c>
      <c r="C2955" s="3">
        <f>VLOOKUP(B2955,LifeList!$E$2:$J$2038,6)</f>
        <v>10301</v>
      </c>
      <c r="D2955" s="3" t="str">
        <f>VLOOKUP(B2955,LifeList!$E$2:$G$2038,1)</f>
        <v>Ringed Kingfisher</v>
      </c>
      <c r="E2955" s="3" t="str">
        <f>VLOOKUP(B2955,LifeList!$E$2:$G$2038,2)</f>
        <v>Martin-pêcheur à ventre roux</v>
      </c>
      <c r="F2955" s="3" t="str">
        <f>VLOOKUP(B2955,LifeList!$E$2:$G$2038,3)</f>
        <v>Megaceryle torquata</v>
      </c>
      <c r="G2955" s="3" t="str">
        <f>VLOOKUP(B2955,LifeList!$E$2:$I$2038,4)</f>
        <v>Coraciiformes</v>
      </c>
      <c r="H2955" s="3" t="str">
        <f>VLOOKUP(B2955,LifeList!$E$2:$I$2038,5)</f>
        <v>Alcedinidae (Kingfishers)</v>
      </c>
      <c r="I2955" s="3"/>
    </row>
    <row r="2956" spans="1:9" ht="10.5" customHeight="1">
      <c r="A2956" s="3" t="s">
        <v>4119</v>
      </c>
      <c r="B2956" s="3" t="s">
        <v>4120</v>
      </c>
      <c r="C2956" s="3">
        <f>VLOOKUP(B2956,LifeList!$E$2:$J$2038,6)</f>
        <v>8430</v>
      </c>
      <c r="D2956" s="3" t="str">
        <f>VLOOKUP(B2956,LifeList!$E$2:$G$2038,1)</f>
        <v>Roadside Hawk</v>
      </c>
      <c r="E2956" s="3" t="str">
        <f>VLOOKUP(B2956,LifeList!$E$2:$G$2038,2)</f>
        <v>Buse à gros bec</v>
      </c>
      <c r="F2956" s="3" t="str">
        <f>VLOOKUP(B2956,LifeList!$E$2:$G$2038,3)</f>
        <v>Rupornis magnirostris</v>
      </c>
      <c r="G2956" s="3" t="str">
        <f>VLOOKUP(B2956,LifeList!$E$2:$I$2038,4)</f>
        <v>Accipitriformes</v>
      </c>
      <c r="H2956" s="3" t="str">
        <f>VLOOKUP(B2956,LifeList!$E$2:$I$2038,5)</f>
        <v>Accipitridae (Hawks, Eagles, and Kites)</v>
      </c>
      <c r="I2956" s="3"/>
    </row>
    <row r="2957" spans="1:9" ht="10.5" customHeight="1">
      <c r="A2957" s="3" t="s">
        <v>4121</v>
      </c>
      <c r="B2957" s="3" t="s">
        <v>4120</v>
      </c>
      <c r="C2957" s="3">
        <f>VLOOKUP(B2957,LifeList!$E$2:$J$2038,6)</f>
        <v>8430</v>
      </c>
      <c r="D2957" s="3" t="str">
        <f>VLOOKUP(B2957,LifeList!$E$2:$G$2038,1)</f>
        <v>Roadside Hawk</v>
      </c>
      <c r="E2957" s="3" t="str">
        <f>VLOOKUP(B2957,LifeList!$E$2:$G$2038,2)</f>
        <v>Buse à gros bec</v>
      </c>
      <c r="F2957" s="3" t="str">
        <f>VLOOKUP(B2957,LifeList!$E$2:$G$2038,3)</f>
        <v>Rupornis magnirostris</v>
      </c>
      <c r="G2957" s="3" t="str">
        <f>VLOOKUP(B2957,LifeList!$E$2:$I$2038,4)</f>
        <v>Accipitriformes</v>
      </c>
      <c r="H2957" s="3" t="str">
        <f>VLOOKUP(B2957,LifeList!$E$2:$I$2038,5)</f>
        <v>Accipitridae (Hawks, Eagles, and Kites)</v>
      </c>
      <c r="I2957" s="3"/>
    </row>
    <row r="2958" spans="1:9" ht="10.5" customHeight="1">
      <c r="A2958" s="3" t="s">
        <v>4122</v>
      </c>
      <c r="B2958" s="3" t="s">
        <v>4120</v>
      </c>
      <c r="C2958" s="3">
        <f>VLOOKUP(B2958,LifeList!$E$2:$J$2038,6)</f>
        <v>8430</v>
      </c>
      <c r="D2958" s="3" t="str">
        <f>VLOOKUP(B2958,LifeList!$E$2:$G$2038,1)</f>
        <v>Roadside Hawk</v>
      </c>
      <c r="E2958" s="3" t="str">
        <f>VLOOKUP(B2958,LifeList!$E$2:$G$2038,2)</f>
        <v>Buse à gros bec</v>
      </c>
      <c r="F2958" s="3" t="str">
        <f>VLOOKUP(B2958,LifeList!$E$2:$G$2038,3)</f>
        <v>Rupornis magnirostris</v>
      </c>
      <c r="G2958" s="3" t="str">
        <f>VLOOKUP(B2958,LifeList!$E$2:$I$2038,4)</f>
        <v>Accipitriformes</v>
      </c>
      <c r="H2958" s="3" t="str">
        <f>VLOOKUP(B2958,LifeList!$E$2:$I$2038,5)</f>
        <v>Accipitridae (Hawks, Eagles, and Kites)</v>
      </c>
      <c r="I2958" s="3"/>
    </row>
    <row r="2959" spans="1:9" ht="10.5" customHeight="1">
      <c r="A2959" s="3" t="s">
        <v>4123</v>
      </c>
      <c r="B2959" s="3" t="s">
        <v>4120</v>
      </c>
      <c r="C2959" s="3">
        <f>VLOOKUP(B2959,LifeList!$E$2:$J$2038,6)</f>
        <v>8430</v>
      </c>
      <c r="D2959" s="3" t="str">
        <f>VLOOKUP(B2959,LifeList!$E$2:$G$2038,1)</f>
        <v>Roadside Hawk</v>
      </c>
      <c r="E2959" s="3" t="str">
        <f>VLOOKUP(B2959,LifeList!$E$2:$G$2038,2)</f>
        <v>Buse à gros bec</v>
      </c>
      <c r="F2959" s="3" t="str">
        <f>VLOOKUP(B2959,LifeList!$E$2:$G$2038,3)</f>
        <v>Rupornis magnirostris</v>
      </c>
      <c r="G2959" s="3" t="str">
        <f>VLOOKUP(B2959,LifeList!$E$2:$I$2038,4)</f>
        <v>Accipitriformes</v>
      </c>
      <c r="H2959" s="3" t="str">
        <f>VLOOKUP(B2959,LifeList!$E$2:$I$2038,5)</f>
        <v>Accipitridae (Hawks, Eagles, and Kites)</v>
      </c>
      <c r="I2959" s="3"/>
    </row>
    <row r="2960" spans="1:9" ht="10.5" customHeight="1">
      <c r="A2960" s="5" t="s">
        <v>4124</v>
      </c>
      <c r="B2960" s="3" t="s">
        <v>4125</v>
      </c>
      <c r="C2960" s="3">
        <f>VLOOKUP(B2960,LifeList!$E$2:$J$2038,6)</f>
        <v>1853</v>
      </c>
      <c r="D2960" s="3" t="str">
        <f>VLOOKUP(B2960,LifeList!$E$2:$G$2038,1)</f>
        <v>Rock Pigeon</v>
      </c>
      <c r="E2960" s="3" t="str">
        <f>VLOOKUP(B2960,LifeList!$E$2:$G$2038,2)</f>
        <v>Pigeon biset</v>
      </c>
      <c r="F2960" s="3" t="str">
        <f>VLOOKUP(B2960,LifeList!$E$2:$G$2038,3)</f>
        <v>Columba livia</v>
      </c>
      <c r="G2960" s="3" t="str">
        <f>VLOOKUP(B2960,LifeList!$E$2:$I$2038,4)</f>
        <v>Columbiformes</v>
      </c>
      <c r="H2960" s="3" t="str">
        <f>VLOOKUP(B2960,LifeList!$E$2:$I$2038,5)</f>
        <v>Columbidae (Pigeons and Doves)</v>
      </c>
      <c r="I2960" s="3"/>
    </row>
    <row r="2961" spans="1:9" ht="10.5" customHeight="1">
      <c r="A2961" s="3" t="s">
        <v>4126</v>
      </c>
      <c r="B2961" s="3" t="s">
        <v>4127</v>
      </c>
      <c r="C2961" s="3">
        <f>VLOOKUP(B2961,LifeList!$E$2:$J$2038,6)</f>
        <v>12009</v>
      </c>
      <c r="D2961" s="3" t="str">
        <f>VLOOKUP(B2961,LifeList!$E$2:$G$2038,1)</f>
        <v>Rock Kestrel</v>
      </c>
      <c r="E2961" s="3" t="str">
        <f>VLOOKUP(B2961,LifeList!$E$2:$G$2038,2)</f>
        <v>Crécerelle des rochers</v>
      </c>
      <c r="F2961" s="3" t="str">
        <f>VLOOKUP(B2961,LifeList!$E$2:$G$2038,3)</f>
        <v>Falco rupicolus</v>
      </c>
      <c r="G2961" s="3" t="str">
        <f>VLOOKUP(B2961,LifeList!$E$2:$I$2038,4)</f>
        <v>Falconiformes</v>
      </c>
      <c r="H2961" s="3" t="str">
        <f>VLOOKUP(B2961,LifeList!$E$2:$I$2038,5)</f>
        <v>Falconidae (Falcons and Caracaras)</v>
      </c>
      <c r="I2961" s="3"/>
    </row>
    <row r="2962" spans="1:9" ht="10.5" customHeight="1">
      <c r="A2962" s="7" t="s">
        <v>4128</v>
      </c>
      <c r="B2962" s="9" t="s">
        <v>4125</v>
      </c>
      <c r="C2962" s="6">
        <f>VLOOKUP(B2962,LifeList!$E$2:$J$2038,6)</f>
        <v>1853</v>
      </c>
      <c r="D2962" s="3" t="str">
        <f>VLOOKUP(B2962,LifeList!$E$2:$G$2038,1)</f>
        <v>Rock Pigeon</v>
      </c>
      <c r="E2962" s="3" t="str">
        <f>VLOOKUP(B2962,LifeList!$E$2:$G$2038,2)</f>
        <v>Pigeon biset</v>
      </c>
      <c r="F2962" s="3" t="str">
        <f>VLOOKUP(B2962,LifeList!$E$2:$G$2038,3)</f>
        <v>Columba livia</v>
      </c>
      <c r="G2962" s="3" t="str">
        <f>VLOOKUP(B2962,LifeList!$E$2:$I$2038,4)</f>
        <v>Columbiformes</v>
      </c>
      <c r="H2962" s="3" t="str">
        <f>VLOOKUP(B2962,LifeList!$E$2:$I$2038,5)</f>
        <v>Columbidae (Pigeons and Doves)</v>
      </c>
      <c r="I2962" s="3"/>
    </row>
    <row r="2963" spans="1:9" ht="10.5" customHeight="1">
      <c r="A2963" s="3" t="s">
        <v>4129</v>
      </c>
      <c r="B2963" s="3" t="s">
        <v>4130</v>
      </c>
      <c r="C2963" s="3">
        <f>VLOOKUP(B2963,LifeList!$E$2:$J$2038,6)</f>
        <v>6340</v>
      </c>
      <c r="D2963" s="3" t="str">
        <f>VLOOKUP(B2963,LifeList!$E$2:$G$2038,1)</f>
        <v>Rock Pratincole</v>
      </c>
      <c r="E2963" s="3" t="str">
        <f>VLOOKUP(B2963,LifeList!$E$2:$G$2038,2)</f>
        <v>Glaréole auréolée</v>
      </c>
      <c r="F2963" s="3" t="str">
        <f>VLOOKUP(B2963,LifeList!$E$2:$G$2038,3)</f>
        <v>Glareola nuchalis</v>
      </c>
      <c r="G2963" s="3" t="str">
        <f>VLOOKUP(B2963,LifeList!$E$2:$I$2038,4)</f>
        <v>Charadriiformes</v>
      </c>
      <c r="H2963" s="3" t="str">
        <f>VLOOKUP(B2963,LifeList!$E$2:$I$2038,5)</f>
        <v>Glareolidae (Pratincoles and Coursers)</v>
      </c>
      <c r="I2963" s="3"/>
    </row>
    <row r="2964" spans="1:9" ht="10.5" customHeight="1">
      <c r="A2964" s="5" t="s">
        <v>4131</v>
      </c>
      <c r="B2964" s="3" t="s">
        <v>4132</v>
      </c>
      <c r="C2964" s="3">
        <f>VLOOKUP(B2964,LifeList!$E$2:$J$2038,6)</f>
        <v>34557</v>
      </c>
      <c r="D2964" s="3" t="str">
        <f>VLOOKUP(B2964,LifeList!$E$2:$G$2038,1)</f>
        <v>Rose-breasted Grosbeak</v>
      </c>
      <c r="E2964" s="3" t="str">
        <f>VLOOKUP(B2964,LifeList!$E$2:$G$2038,2)</f>
        <v>Cardinal à poitrine rose</v>
      </c>
      <c r="F2964" s="3" t="str">
        <f>VLOOKUP(B2964,LifeList!$E$2:$G$2038,3)</f>
        <v>Pheucticus ludovicianus</v>
      </c>
      <c r="G2964" s="3" t="str">
        <f>VLOOKUP(B2964,LifeList!$E$2:$I$2038,4)</f>
        <v>Passeriformes</v>
      </c>
      <c r="H2964" s="3" t="str">
        <f>VLOOKUP(B2964,LifeList!$E$2:$I$2038,5)</f>
        <v>Cardinalidae (Cardinals and Allies)</v>
      </c>
      <c r="I2964" s="3"/>
    </row>
    <row r="2965" spans="1:9" ht="10.5" customHeight="1">
      <c r="A2965" s="3" t="s">
        <v>4133</v>
      </c>
      <c r="B2965" s="3" t="s">
        <v>4134</v>
      </c>
      <c r="C2965" s="3">
        <f>VLOOKUP(B2965,LifeList!$E$2:$J$2038,6)</f>
        <v>34557</v>
      </c>
      <c r="D2965" s="3" t="str">
        <f>VLOOKUP(B2965,LifeList!$E$2:$G$2038,1)</f>
        <v>Rose-breasted Grosbeak</v>
      </c>
      <c r="E2965" s="3" t="str">
        <f>VLOOKUP(B2965,LifeList!$E$2:$G$2038,2)</f>
        <v>Cardinal à poitrine rose</v>
      </c>
      <c r="F2965" s="3" t="str">
        <f>VLOOKUP(B2965,LifeList!$E$2:$G$2038,3)</f>
        <v>Pheucticus ludovicianus</v>
      </c>
      <c r="G2965" s="3" t="str">
        <f>VLOOKUP(B2965,LifeList!$E$2:$I$2038,4)</f>
        <v>Passeriformes</v>
      </c>
      <c r="H2965" s="3" t="str">
        <f>VLOOKUP(B2965,LifeList!$E$2:$I$2038,5)</f>
        <v>Cardinalidae (Cardinals and Allies)</v>
      </c>
      <c r="I2965" s="3"/>
    </row>
    <row r="2966" spans="1:9" ht="10.5" customHeight="1">
      <c r="A2966" s="3" t="s">
        <v>4135</v>
      </c>
      <c r="B2966" s="3" t="s">
        <v>4134</v>
      </c>
      <c r="C2966" s="3">
        <f>VLOOKUP(B2966,LifeList!$E$2:$J$2038,6)</f>
        <v>34557</v>
      </c>
      <c r="D2966" s="3" t="str">
        <f>VLOOKUP(B2966,LifeList!$E$2:$G$2038,1)</f>
        <v>Rose-breasted Grosbeak</v>
      </c>
      <c r="E2966" s="3" t="str">
        <f>VLOOKUP(B2966,LifeList!$E$2:$G$2038,2)</f>
        <v>Cardinal à poitrine rose</v>
      </c>
      <c r="F2966" s="3" t="str">
        <f>VLOOKUP(B2966,LifeList!$E$2:$G$2038,3)</f>
        <v>Pheucticus ludovicianus</v>
      </c>
      <c r="G2966" s="3" t="str">
        <f>VLOOKUP(B2966,LifeList!$E$2:$I$2038,4)</f>
        <v>Passeriformes</v>
      </c>
      <c r="H2966" s="3" t="str">
        <f>VLOOKUP(B2966,LifeList!$E$2:$I$2038,5)</f>
        <v>Cardinalidae (Cardinals and Allies)</v>
      </c>
      <c r="I2966" s="3"/>
    </row>
    <row r="2967" spans="1:9" ht="10.5" customHeight="1">
      <c r="A2967" s="3" t="s">
        <v>4136</v>
      </c>
      <c r="B2967" s="3" t="s">
        <v>4134</v>
      </c>
      <c r="C2967" s="3">
        <f>VLOOKUP(B2967,LifeList!$E$2:$J$2038,6)</f>
        <v>34557</v>
      </c>
      <c r="D2967" s="3" t="str">
        <f>VLOOKUP(B2967,LifeList!$E$2:$G$2038,1)</f>
        <v>Rose-breasted Grosbeak</v>
      </c>
      <c r="E2967" s="3" t="str">
        <f>VLOOKUP(B2967,LifeList!$E$2:$G$2038,2)</f>
        <v>Cardinal à poitrine rose</v>
      </c>
      <c r="F2967" s="3" t="str">
        <f>VLOOKUP(B2967,LifeList!$E$2:$G$2038,3)</f>
        <v>Pheucticus ludovicianus</v>
      </c>
      <c r="G2967" s="3" t="str">
        <f>VLOOKUP(B2967,LifeList!$E$2:$I$2038,4)</f>
        <v>Passeriformes</v>
      </c>
      <c r="H2967" s="3" t="str">
        <f>VLOOKUP(B2967,LifeList!$E$2:$I$2038,5)</f>
        <v>Cardinalidae (Cardinals and Allies)</v>
      </c>
      <c r="I2967" s="3"/>
    </row>
    <row r="2968" spans="1:9" ht="10.5" customHeight="1">
      <c r="A2968" s="3" t="s">
        <v>4137</v>
      </c>
      <c r="B2968" s="3" t="s">
        <v>4134</v>
      </c>
      <c r="C2968" s="3">
        <f>VLOOKUP(B2968,LifeList!$E$2:$J$2038,6)</f>
        <v>34557</v>
      </c>
      <c r="D2968" s="3" t="str">
        <f>VLOOKUP(B2968,LifeList!$E$2:$G$2038,1)</f>
        <v>Rose-breasted Grosbeak</v>
      </c>
      <c r="E2968" s="3" t="str">
        <f>VLOOKUP(B2968,LifeList!$E$2:$G$2038,2)</f>
        <v>Cardinal à poitrine rose</v>
      </c>
      <c r="F2968" s="3" t="str">
        <f>VLOOKUP(B2968,LifeList!$E$2:$G$2038,3)</f>
        <v>Pheucticus ludovicianus</v>
      </c>
      <c r="G2968" s="3" t="str">
        <f>VLOOKUP(B2968,LifeList!$E$2:$I$2038,4)</f>
        <v>Passeriformes</v>
      </c>
      <c r="H2968" s="3" t="str">
        <f>VLOOKUP(B2968,LifeList!$E$2:$I$2038,5)</f>
        <v>Cardinalidae (Cardinals and Allies)</v>
      </c>
      <c r="I2968" s="3"/>
    </row>
    <row r="2969" spans="1:9" ht="10.5" customHeight="1">
      <c r="A2969" s="3" t="s">
        <v>4138</v>
      </c>
      <c r="B2969" s="3" t="s">
        <v>4134</v>
      </c>
      <c r="C2969" s="3">
        <f>VLOOKUP(B2969,LifeList!$E$2:$J$2038,6)</f>
        <v>34557</v>
      </c>
      <c r="D2969" s="3" t="str">
        <f>VLOOKUP(B2969,LifeList!$E$2:$G$2038,1)</f>
        <v>Rose-breasted Grosbeak</v>
      </c>
      <c r="E2969" s="3" t="str">
        <f>VLOOKUP(B2969,LifeList!$E$2:$G$2038,2)</f>
        <v>Cardinal à poitrine rose</v>
      </c>
      <c r="F2969" s="3" t="str">
        <f>VLOOKUP(B2969,LifeList!$E$2:$G$2038,3)</f>
        <v>Pheucticus ludovicianus</v>
      </c>
      <c r="G2969" s="3" t="str">
        <f>VLOOKUP(B2969,LifeList!$E$2:$I$2038,4)</f>
        <v>Passeriformes</v>
      </c>
      <c r="H2969" s="3" t="str">
        <f>VLOOKUP(B2969,LifeList!$E$2:$I$2038,5)</f>
        <v>Cardinalidae (Cardinals and Allies)</v>
      </c>
      <c r="I2969" s="3"/>
    </row>
    <row r="2970" spans="1:9" ht="10.5" customHeight="1">
      <c r="A2970" s="3" t="s">
        <v>4139</v>
      </c>
      <c r="B2970" s="3" t="s">
        <v>4134</v>
      </c>
      <c r="C2970" s="3">
        <f>VLOOKUP(B2970,LifeList!$E$2:$J$2038,6)</f>
        <v>34557</v>
      </c>
      <c r="D2970" s="3" t="str">
        <f>VLOOKUP(B2970,LifeList!$E$2:$G$2038,1)</f>
        <v>Rose-breasted Grosbeak</v>
      </c>
      <c r="E2970" s="3" t="str">
        <f>VLOOKUP(B2970,LifeList!$E$2:$G$2038,2)</f>
        <v>Cardinal à poitrine rose</v>
      </c>
      <c r="F2970" s="3" t="str">
        <f>VLOOKUP(B2970,LifeList!$E$2:$G$2038,3)</f>
        <v>Pheucticus ludovicianus</v>
      </c>
      <c r="G2970" s="3" t="str">
        <f>VLOOKUP(B2970,LifeList!$E$2:$I$2038,4)</f>
        <v>Passeriformes</v>
      </c>
      <c r="H2970" s="3" t="str">
        <f>VLOOKUP(B2970,LifeList!$E$2:$I$2038,5)</f>
        <v>Cardinalidae (Cardinals and Allies)</v>
      </c>
      <c r="I2970" s="3"/>
    </row>
    <row r="2971" spans="1:9" ht="10.5" customHeight="1">
      <c r="A2971" s="3" t="s">
        <v>4140</v>
      </c>
      <c r="B2971" s="3" t="s">
        <v>4134</v>
      </c>
      <c r="C2971" s="3">
        <f>VLOOKUP(B2971,LifeList!$E$2:$J$2038,6)</f>
        <v>34557</v>
      </c>
      <c r="D2971" s="3" t="str">
        <f>VLOOKUP(B2971,LifeList!$E$2:$G$2038,1)</f>
        <v>Rose-breasted Grosbeak</v>
      </c>
      <c r="E2971" s="3" t="str">
        <f>VLOOKUP(B2971,LifeList!$E$2:$G$2038,2)</f>
        <v>Cardinal à poitrine rose</v>
      </c>
      <c r="F2971" s="3" t="str">
        <f>VLOOKUP(B2971,LifeList!$E$2:$G$2038,3)</f>
        <v>Pheucticus ludovicianus</v>
      </c>
      <c r="G2971" s="3" t="str">
        <f>VLOOKUP(B2971,LifeList!$E$2:$I$2038,4)</f>
        <v>Passeriformes</v>
      </c>
      <c r="H2971" s="3" t="str">
        <f>VLOOKUP(B2971,LifeList!$E$2:$I$2038,5)</f>
        <v>Cardinalidae (Cardinals and Allies)</v>
      </c>
      <c r="I2971" s="3"/>
    </row>
    <row r="2972" spans="1:9" ht="10.5" customHeight="1">
      <c r="A2972" s="3" t="s">
        <v>4141</v>
      </c>
      <c r="B2972" s="3" t="s">
        <v>4142</v>
      </c>
      <c r="C2972" s="3">
        <f>VLOOKUP(B2972,LifeList!$E$2:$J$2038,6)</f>
        <v>16073</v>
      </c>
      <c r="D2972" s="3" t="str">
        <f>VLOOKUP(B2972,LifeList!$E$2:$G$2038,1)</f>
        <v>Rose-throated Becard</v>
      </c>
      <c r="E2972" s="3" t="str">
        <f>VLOOKUP(B2972,LifeList!$E$2:$G$2038,2)</f>
        <v>Bécarde à gorge rose</v>
      </c>
      <c r="F2972" s="3" t="str">
        <f>VLOOKUP(B2972,LifeList!$E$2:$G$2038,3)</f>
        <v>Pachyramphus aglaiae</v>
      </c>
      <c r="G2972" s="3" t="str">
        <f>VLOOKUP(B2972,LifeList!$E$2:$I$2038,4)</f>
        <v>Passeriformes</v>
      </c>
      <c r="H2972" s="3" t="str">
        <f>VLOOKUP(B2972,LifeList!$E$2:$I$2038,5)</f>
        <v>Tityridae (Tityras and Allies)</v>
      </c>
      <c r="I2972" s="3"/>
    </row>
    <row r="2973" spans="1:9" ht="10.5" customHeight="1">
      <c r="A2973" s="3" t="s">
        <v>4143</v>
      </c>
      <c r="B2973" s="3" t="s">
        <v>4142</v>
      </c>
      <c r="C2973" s="3">
        <f>VLOOKUP(B2973,LifeList!$E$2:$J$2038,6)</f>
        <v>16073</v>
      </c>
      <c r="D2973" s="3" t="str">
        <f>VLOOKUP(B2973,LifeList!$E$2:$G$2038,1)</f>
        <v>Rose-throated Becard</v>
      </c>
      <c r="E2973" s="3" t="str">
        <f>VLOOKUP(B2973,LifeList!$E$2:$G$2038,2)</f>
        <v>Bécarde à gorge rose</v>
      </c>
      <c r="F2973" s="3" t="str">
        <f>VLOOKUP(B2973,LifeList!$E$2:$G$2038,3)</f>
        <v>Pachyramphus aglaiae</v>
      </c>
      <c r="G2973" s="3" t="str">
        <f>VLOOKUP(B2973,LifeList!$E$2:$I$2038,4)</f>
        <v>Passeriformes</v>
      </c>
      <c r="H2973" s="3" t="str">
        <f>VLOOKUP(B2973,LifeList!$E$2:$I$2038,5)</f>
        <v>Tityridae (Tityras and Allies)</v>
      </c>
      <c r="I2973" s="3"/>
    </row>
    <row r="2974" spans="1:9" ht="10.5" customHeight="1">
      <c r="A2974" s="3" t="s">
        <v>4144</v>
      </c>
      <c r="B2974" s="3" t="s">
        <v>4145</v>
      </c>
      <c r="C2974" s="3">
        <f>VLOOKUP(B2974,LifeList!$E$2:$J$2038,6)</f>
        <v>7533</v>
      </c>
      <c r="D2974" s="3" t="str">
        <f>VLOOKUP(B2974,LifeList!$E$2:$G$2038,1)</f>
        <v>Roseate Spoonbill</v>
      </c>
      <c r="E2974" s="3" t="str">
        <f>VLOOKUP(B2974,LifeList!$E$2:$G$2038,2)</f>
        <v>Spatule rosée</v>
      </c>
      <c r="F2974" s="3" t="str">
        <f>VLOOKUP(B2974,LifeList!$E$2:$G$2038,3)</f>
        <v>Platalea ajaja</v>
      </c>
      <c r="G2974" s="3" t="str">
        <f>VLOOKUP(B2974,LifeList!$E$2:$I$2038,4)</f>
        <v>Pelecaniformes</v>
      </c>
      <c r="H2974" s="3" t="str">
        <f>VLOOKUP(B2974,LifeList!$E$2:$I$2038,5)</f>
        <v>Threskiornithidae (Ibises and Spoonbills)</v>
      </c>
      <c r="I2974" s="3"/>
    </row>
    <row r="2975" spans="1:9" ht="10.5" customHeight="1">
      <c r="A2975" s="3" t="s">
        <v>4146</v>
      </c>
      <c r="B2975" s="3" t="s">
        <v>4145</v>
      </c>
      <c r="C2975" s="3">
        <f>VLOOKUP(B2975,LifeList!$E$2:$J$2038,6)</f>
        <v>7533</v>
      </c>
      <c r="D2975" s="3" t="str">
        <f>VLOOKUP(B2975,LifeList!$E$2:$G$2038,1)</f>
        <v>Roseate Spoonbill</v>
      </c>
      <c r="E2975" s="3" t="str">
        <f>VLOOKUP(B2975,LifeList!$E$2:$G$2038,2)</f>
        <v>Spatule rosée</v>
      </c>
      <c r="F2975" s="3" t="str">
        <f>VLOOKUP(B2975,LifeList!$E$2:$G$2038,3)</f>
        <v>Platalea ajaja</v>
      </c>
      <c r="G2975" s="3" t="str">
        <f>VLOOKUP(B2975,LifeList!$E$2:$I$2038,4)</f>
        <v>Pelecaniformes</v>
      </c>
      <c r="H2975" s="3" t="str">
        <f>VLOOKUP(B2975,LifeList!$E$2:$I$2038,5)</f>
        <v>Threskiornithidae (Ibises and Spoonbills)</v>
      </c>
      <c r="I2975" s="3"/>
    </row>
    <row r="2976" spans="1:9" ht="10.5" customHeight="1">
      <c r="A2976" s="3" t="s">
        <v>4147</v>
      </c>
      <c r="B2976" s="3" t="s">
        <v>4145</v>
      </c>
      <c r="C2976" s="3">
        <f>VLOOKUP(B2976,LifeList!$E$2:$J$2038,6)</f>
        <v>7533</v>
      </c>
      <c r="D2976" s="3" t="str">
        <f>VLOOKUP(B2976,LifeList!$E$2:$G$2038,1)</f>
        <v>Roseate Spoonbill</v>
      </c>
      <c r="E2976" s="3" t="str">
        <f>VLOOKUP(B2976,LifeList!$E$2:$G$2038,2)</f>
        <v>Spatule rosée</v>
      </c>
      <c r="F2976" s="3" t="str">
        <f>VLOOKUP(B2976,LifeList!$E$2:$G$2038,3)</f>
        <v>Platalea ajaja</v>
      </c>
      <c r="G2976" s="3" t="str">
        <f>VLOOKUP(B2976,LifeList!$E$2:$I$2038,4)</f>
        <v>Pelecaniformes</v>
      </c>
      <c r="H2976" s="3" t="str">
        <f>VLOOKUP(B2976,LifeList!$E$2:$I$2038,5)</f>
        <v>Threskiornithidae (Ibises and Spoonbills)</v>
      </c>
      <c r="I2976" s="3"/>
    </row>
    <row r="2977" spans="1:9" ht="10.5" customHeight="1">
      <c r="A2977" s="3" t="s">
        <v>4148</v>
      </c>
      <c r="B2977" s="3" t="s">
        <v>4145</v>
      </c>
      <c r="C2977" s="3">
        <f>VLOOKUP(B2977,LifeList!$E$2:$J$2038,6)</f>
        <v>7533</v>
      </c>
      <c r="D2977" s="3" t="str">
        <f>VLOOKUP(B2977,LifeList!$E$2:$G$2038,1)</f>
        <v>Roseate Spoonbill</v>
      </c>
      <c r="E2977" s="3" t="str">
        <f>VLOOKUP(B2977,LifeList!$E$2:$G$2038,2)</f>
        <v>Spatule rosée</v>
      </c>
      <c r="F2977" s="3" t="str">
        <f>VLOOKUP(B2977,LifeList!$E$2:$G$2038,3)</f>
        <v>Platalea ajaja</v>
      </c>
      <c r="G2977" s="3" t="str">
        <f>VLOOKUP(B2977,LifeList!$E$2:$I$2038,4)</f>
        <v>Pelecaniformes</v>
      </c>
      <c r="H2977" s="3" t="str">
        <f>VLOOKUP(B2977,LifeList!$E$2:$I$2038,5)</f>
        <v>Threskiornithidae (Ibises and Spoonbills)</v>
      </c>
      <c r="I2977" s="3"/>
    </row>
    <row r="2978" spans="1:9" ht="10.5" customHeight="1">
      <c r="A2978" s="3" t="s">
        <v>4149</v>
      </c>
      <c r="B2978" s="3" t="s">
        <v>4145</v>
      </c>
      <c r="C2978" s="3">
        <f>VLOOKUP(B2978,LifeList!$E$2:$J$2038,6)</f>
        <v>7533</v>
      </c>
      <c r="D2978" s="3" t="str">
        <f>VLOOKUP(B2978,LifeList!$E$2:$G$2038,1)</f>
        <v>Roseate Spoonbill</v>
      </c>
      <c r="E2978" s="3" t="str">
        <f>VLOOKUP(B2978,LifeList!$E$2:$G$2038,2)</f>
        <v>Spatule rosée</v>
      </c>
      <c r="F2978" s="3" t="str">
        <f>VLOOKUP(B2978,LifeList!$E$2:$G$2038,3)</f>
        <v>Platalea ajaja</v>
      </c>
      <c r="G2978" s="3" t="str">
        <f>VLOOKUP(B2978,LifeList!$E$2:$I$2038,4)</f>
        <v>Pelecaniformes</v>
      </c>
      <c r="H2978" s="3" t="str">
        <f>VLOOKUP(B2978,LifeList!$E$2:$I$2038,5)</f>
        <v>Threskiornithidae (Ibises and Spoonbills)</v>
      </c>
      <c r="I2978" s="3"/>
    </row>
    <row r="2979" spans="1:9" ht="10.5" customHeight="1">
      <c r="A2979" s="3" t="s">
        <v>4150</v>
      </c>
      <c r="B2979" s="3" t="s">
        <v>4145</v>
      </c>
      <c r="C2979" s="3">
        <f>VLOOKUP(B2979,LifeList!$E$2:$J$2038,6)</f>
        <v>7533</v>
      </c>
      <c r="D2979" s="3" t="str">
        <f>VLOOKUP(B2979,LifeList!$E$2:$G$2038,1)</f>
        <v>Roseate Spoonbill</v>
      </c>
      <c r="E2979" s="3" t="str">
        <f>VLOOKUP(B2979,LifeList!$E$2:$G$2038,2)</f>
        <v>Spatule rosée</v>
      </c>
      <c r="F2979" s="3" t="str">
        <f>VLOOKUP(B2979,LifeList!$E$2:$G$2038,3)</f>
        <v>Platalea ajaja</v>
      </c>
      <c r="G2979" s="3" t="str">
        <f>VLOOKUP(B2979,LifeList!$E$2:$I$2038,4)</f>
        <v>Pelecaniformes</v>
      </c>
      <c r="H2979" s="3" t="str">
        <f>VLOOKUP(B2979,LifeList!$E$2:$I$2038,5)</f>
        <v>Threskiornithidae (Ibises and Spoonbills)</v>
      </c>
      <c r="I2979" s="3"/>
    </row>
    <row r="2980" spans="1:9" ht="10.5" customHeight="1">
      <c r="A2980" s="3" t="s">
        <v>4151</v>
      </c>
      <c r="B2980" s="3" t="s">
        <v>4145</v>
      </c>
      <c r="C2980" s="3">
        <f>VLOOKUP(B2980,LifeList!$E$2:$J$2038,6)</f>
        <v>7533</v>
      </c>
      <c r="D2980" s="3" t="str">
        <f>VLOOKUP(B2980,LifeList!$E$2:$G$2038,1)</f>
        <v>Roseate Spoonbill</v>
      </c>
      <c r="E2980" s="3" t="str">
        <f>VLOOKUP(B2980,LifeList!$E$2:$G$2038,2)</f>
        <v>Spatule rosée</v>
      </c>
      <c r="F2980" s="3" t="str">
        <f>VLOOKUP(B2980,LifeList!$E$2:$G$2038,3)</f>
        <v>Platalea ajaja</v>
      </c>
      <c r="G2980" s="3" t="str">
        <f>VLOOKUP(B2980,LifeList!$E$2:$I$2038,4)</f>
        <v>Pelecaniformes</v>
      </c>
      <c r="H2980" s="3" t="str">
        <f>VLOOKUP(B2980,LifeList!$E$2:$I$2038,5)</f>
        <v>Threskiornithidae (Ibises and Spoonbills)</v>
      </c>
      <c r="I2980" s="3"/>
    </row>
    <row r="2981" spans="1:9" ht="10.5" customHeight="1">
      <c r="A2981" s="3" t="s">
        <v>4152</v>
      </c>
      <c r="B2981" s="3" t="s">
        <v>4145</v>
      </c>
      <c r="C2981" s="3">
        <f>VLOOKUP(B2981,LifeList!$E$2:$J$2038,6)</f>
        <v>7533</v>
      </c>
      <c r="D2981" s="3" t="str">
        <f>VLOOKUP(B2981,LifeList!$E$2:$G$2038,1)</f>
        <v>Roseate Spoonbill</v>
      </c>
      <c r="E2981" s="3" t="str">
        <f>VLOOKUP(B2981,LifeList!$E$2:$G$2038,2)</f>
        <v>Spatule rosée</v>
      </c>
      <c r="F2981" s="3" t="str">
        <f>VLOOKUP(B2981,LifeList!$E$2:$G$2038,3)</f>
        <v>Platalea ajaja</v>
      </c>
      <c r="G2981" s="3" t="str">
        <f>VLOOKUP(B2981,LifeList!$E$2:$I$2038,4)</f>
        <v>Pelecaniformes</v>
      </c>
      <c r="H2981" s="3" t="str">
        <f>VLOOKUP(B2981,LifeList!$E$2:$I$2038,5)</f>
        <v>Threskiornithidae (Ibises and Spoonbills)</v>
      </c>
      <c r="I2981" s="3"/>
    </row>
    <row r="2982" spans="1:9" ht="10.5" customHeight="1">
      <c r="A2982" s="3" t="s">
        <v>4153</v>
      </c>
      <c r="B2982" s="3" t="s">
        <v>4145</v>
      </c>
      <c r="C2982" s="3">
        <f>VLOOKUP(B2982,LifeList!$E$2:$J$2038,6)</f>
        <v>7533</v>
      </c>
      <c r="D2982" s="3" t="str">
        <f>VLOOKUP(B2982,LifeList!$E$2:$G$2038,1)</f>
        <v>Roseate Spoonbill</v>
      </c>
      <c r="E2982" s="3" t="str">
        <f>VLOOKUP(B2982,LifeList!$E$2:$G$2038,2)</f>
        <v>Spatule rosée</v>
      </c>
      <c r="F2982" s="3" t="str">
        <f>VLOOKUP(B2982,LifeList!$E$2:$G$2038,3)</f>
        <v>Platalea ajaja</v>
      </c>
      <c r="G2982" s="3" t="str">
        <f>VLOOKUP(B2982,LifeList!$E$2:$I$2038,4)</f>
        <v>Pelecaniformes</v>
      </c>
      <c r="H2982" s="3" t="str">
        <f>VLOOKUP(B2982,LifeList!$E$2:$I$2038,5)</f>
        <v>Threskiornithidae (Ibises and Spoonbills)</v>
      </c>
      <c r="I2982" s="3"/>
    </row>
    <row r="2983" spans="1:9" ht="10.5" customHeight="1">
      <c r="A2983" s="3" t="s">
        <v>4154</v>
      </c>
      <c r="B2983" s="3" t="s">
        <v>4145</v>
      </c>
      <c r="C2983" s="3">
        <f>VLOOKUP(B2983,LifeList!$E$2:$J$2038,6)</f>
        <v>7533</v>
      </c>
      <c r="D2983" s="3" t="str">
        <f>VLOOKUP(B2983,LifeList!$E$2:$G$2038,1)</f>
        <v>Roseate Spoonbill</v>
      </c>
      <c r="E2983" s="3" t="str">
        <f>VLOOKUP(B2983,LifeList!$E$2:$G$2038,2)</f>
        <v>Spatule rosée</v>
      </c>
      <c r="F2983" s="3" t="str">
        <f>VLOOKUP(B2983,LifeList!$E$2:$G$2038,3)</f>
        <v>Platalea ajaja</v>
      </c>
      <c r="G2983" s="3" t="str">
        <f>VLOOKUP(B2983,LifeList!$E$2:$I$2038,4)</f>
        <v>Pelecaniformes</v>
      </c>
      <c r="H2983" s="3" t="str">
        <f>VLOOKUP(B2983,LifeList!$E$2:$I$2038,5)</f>
        <v>Threskiornithidae (Ibises and Spoonbills)</v>
      </c>
      <c r="I2983" s="3"/>
    </row>
    <row r="2984" spans="1:9" ht="10.5" customHeight="1">
      <c r="A2984" s="3" t="s">
        <v>4155</v>
      </c>
      <c r="B2984" s="3" t="s">
        <v>4145</v>
      </c>
      <c r="C2984" s="3">
        <f>VLOOKUP(B2984,LifeList!$E$2:$J$2038,6)</f>
        <v>7533</v>
      </c>
      <c r="D2984" s="3" t="str">
        <f>VLOOKUP(B2984,LifeList!$E$2:$G$2038,1)</f>
        <v>Roseate Spoonbill</v>
      </c>
      <c r="E2984" s="3" t="str">
        <f>VLOOKUP(B2984,LifeList!$E$2:$G$2038,2)</f>
        <v>Spatule rosée</v>
      </c>
      <c r="F2984" s="3" t="str">
        <f>VLOOKUP(B2984,LifeList!$E$2:$G$2038,3)</f>
        <v>Platalea ajaja</v>
      </c>
      <c r="G2984" s="3" t="str">
        <f>VLOOKUP(B2984,LifeList!$E$2:$I$2038,4)</f>
        <v>Pelecaniformes</v>
      </c>
      <c r="H2984" s="3" t="str">
        <f>VLOOKUP(B2984,LifeList!$E$2:$I$2038,5)</f>
        <v>Threskiornithidae (Ibises and Spoonbills)</v>
      </c>
      <c r="I2984" s="3"/>
    </row>
    <row r="2985" spans="1:9" ht="10.5" customHeight="1">
      <c r="A2985" s="3" t="s">
        <v>4156</v>
      </c>
      <c r="B2985" s="3" t="s">
        <v>4157</v>
      </c>
      <c r="C2985" s="3">
        <f>VLOOKUP(B2985,LifeList!$E$2:$J$2038,6)</f>
        <v>32684</v>
      </c>
      <c r="D2985" s="3" t="str">
        <f>VLOOKUP(B2985,LifeList!$E$2:$G$2038,1)</f>
        <v>Rosy Thrush-Tanager</v>
      </c>
      <c r="E2985" s="3" t="str">
        <f>VLOOKUP(B2985,LifeList!$E$2:$G$2038,2)</f>
        <v>Quéo rosalbin</v>
      </c>
      <c r="F2985" s="3" t="str">
        <f>VLOOKUP(B2985,LifeList!$E$2:$G$2038,3)</f>
        <v>Rhodinocichla rosea</v>
      </c>
      <c r="G2985" s="3" t="str">
        <f>VLOOKUP(B2985,LifeList!$E$2:$I$2038,4)</f>
        <v>Passeriformes</v>
      </c>
      <c r="H2985" s="3" t="str">
        <f>VLOOKUP(B2985,LifeList!$E$2:$I$2038,5)</f>
        <v>Rhodinocichlidae (Thrush-Tanager)</v>
      </c>
      <c r="I2985" s="3"/>
    </row>
    <row r="2986" spans="1:9" ht="10.5" customHeight="1">
      <c r="A2986" s="3" t="s">
        <v>4158</v>
      </c>
      <c r="B2986" s="3" t="s">
        <v>4159</v>
      </c>
      <c r="C2986" s="3">
        <f>VLOOKUP(B2986,LifeList!$E$2:$J$2038,6)</f>
        <v>12744</v>
      </c>
      <c r="D2986" s="3" t="str">
        <f>VLOOKUP(B2986,LifeList!$E$2:$G$2038,1)</f>
        <v>Rosy-faced Lovebird</v>
      </c>
      <c r="E2986" s="3" t="str">
        <f>VLOOKUP(B2986,LifeList!$E$2:$G$2038,2)</f>
        <v>Inséparable rosegorge</v>
      </c>
      <c r="F2986" s="3" t="str">
        <f>VLOOKUP(B2986,LifeList!$E$2:$G$2038,3)</f>
        <v>Agapornis roseicollis</v>
      </c>
      <c r="G2986" s="3" t="str">
        <f>VLOOKUP(B2986,LifeList!$E$2:$I$2038,4)</f>
        <v>Psittaciformes</v>
      </c>
      <c r="H2986" s="3" t="str">
        <f>VLOOKUP(B2986,LifeList!$E$2:$I$2038,5)</f>
        <v>Psittaculidae (Old World Parrots)</v>
      </c>
      <c r="I2986" s="3"/>
    </row>
    <row r="2987" spans="1:9" ht="10.5" customHeight="1">
      <c r="A2987" s="3" t="s">
        <v>4160</v>
      </c>
      <c r="B2987" s="3" t="s">
        <v>4159</v>
      </c>
      <c r="C2987" s="3">
        <f>VLOOKUP(B2987,LifeList!$E$2:$J$2038,6)</f>
        <v>12744</v>
      </c>
      <c r="D2987" s="3" t="str">
        <f>VLOOKUP(B2987,LifeList!$E$2:$G$2038,1)</f>
        <v>Rosy-faced Lovebird</v>
      </c>
      <c r="E2987" s="3" t="str">
        <f>VLOOKUP(B2987,LifeList!$E$2:$G$2038,2)</f>
        <v>Inséparable rosegorge</v>
      </c>
      <c r="F2987" s="3" t="str">
        <f>VLOOKUP(B2987,LifeList!$E$2:$G$2038,3)</f>
        <v>Agapornis roseicollis</v>
      </c>
      <c r="G2987" s="3" t="str">
        <f>VLOOKUP(B2987,LifeList!$E$2:$I$2038,4)</f>
        <v>Psittaciformes</v>
      </c>
      <c r="H2987" s="3" t="str">
        <f>VLOOKUP(B2987,LifeList!$E$2:$I$2038,5)</f>
        <v>Psittaculidae (Old World Parrots)</v>
      </c>
      <c r="I2987" s="3"/>
    </row>
    <row r="2988" spans="1:9" ht="10.5" customHeight="1">
      <c r="A2988" s="3" t="s">
        <v>4161</v>
      </c>
      <c r="B2988" s="3" t="s">
        <v>4162</v>
      </c>
      <c r="C2988" s="3">
        <f>VLOOKUP(B2988,LifeList!$E$2:$J$2038,6)</f>
        <v>8528</v>
      </c>
      <c r="D2988" s="3" t="str">
        <f>VLOOKUP(B2988,LifeList!$E$2:$G$2038,1)</f>
        <v>Rough-legged Hawk</v>
      </c>
      <c r="E2988" s="3" t="str">
        <f>VLOOKUP(B2988,LifeList!$E$2:$G$2038,2)</f>
        <v>Buse pattue</v>
      </c>
      <c r="F2988" s="3" t="str">
        <f>VLOOKUP(B2988,LifeList!$E$2:$G$2038,3)</f>
        <v>Buteo lagopus</v>
      </c>
      <c r="G2988" s="3" t="str">
        <f>VLOOKUP(B2988,LifeList!$E$2:$I$2038,4)</f>
        <v>Accipitriformes</v>
      </c>
      <c r="H2988" s="3" t="str">
        <f>VLOOKUP(B2988,LifeList!$E$2:$I$2038,5)</f>
        <v>Accipitridae (Hawks, Eagles, and Kites)</v>
      </c>
      <c r="I2988" s="3"/>
    </row>
    <row r="2989" spans="1:9" ht="10.5" customHeight="1">
      <c r="A2989" s="3" t="s">
        <v>4163</v>
      </c>
      <c r="B2989" s="3" t="s">
        <v>4162</v>
      </c>
      <c r="C2989" s="3">
        <f>VLOOKUP(B2989,LifeList!$E$2:$J$2038,6)</f>
        <v>8528</v>
      </c>
      <c r="D2989" s="3" t="str">
        <f>VLOOKUP(B2989,LifeList!$E$2:$G$2038,1)</f>
        <v>Rough-legged Hawk</v>
      </c>
      <c r="E2989" s="3" t="str">
        <f>VLOOKUP(B2989,LifeList!$E$2:$G$2038,2)</f>
        <v>Buse pattue</v>
      </c>
      <c r="F2989" s="3" t="str">
        <f>VLOOKUP(B2989,LifeList!$E$2:$G$2038,3)</f>
        <v>Buteo lagopus</v>
      </c>
      <c r="G2989" s="3" t="str">
        <f>VLOOKUP(B2989,LifeList!$E$2:$I$2038,4)</f>
        <v>Accipitriformes</v>
      </c>
      <c r="H2989" s="3" t="str">
        <f>VLOOKUP(B2989,LifeList!$E$2:$I$2038,5)</f>
        <v>Accipitridae (Hawks, Eagles, and Kites)</v>
      </c>
      <c r="I2989" s="3"/>
    </row>
    <row r="2990" spans="1:9" ht="10.5" customHeight="1">
      <c r="A2990" s="3" t="s">
        <v>4164</v>
      </c>
      <c r="B2990" s="3" t="s">
        <v>4165</v>
      </c>
      <c r="C2990" s="3">
        <f>VLOOKUP(B2990,LifeList!$E$2:$J$2038,6)</f>
        <v>7528</v>
      </c>
      <c r="D2990" s="3" t="str">
        <f>VLOOKUP(B2990,LifeList!$E$2:$G$2038,1)</f>
        <v>Royal Spoonbill</v>
      </c>
      <c r="E2990" s="3" t="str">
        <f>VLOOKUP(B2990,LifeList!$E$2:$G$2038,2)</f>
        <v>Spatule royale</v>
      </c>
      <c r="F2990" s="3" t="str">
        <f>VLOOKUP(B2990,LifeList!$E$2:$G$2038,3)</f>
        <v>Platalea regia</v>
      </c>
      <c r="G2990" s="3" t="str">
        <f>VLOOKUP(B2990,LifeList!$E$2:$I$2038,4)</f>
        <v>Pelecaniformes</v>
      </c>
      <c r="H2990" s="3" t="str">
        <f>VLOOKUP(B2990,LifeList!$E$2:$I$2038,5)</f>
        <v>Threskiornithidae (Ibises and Spoonbills)</v>
      </c>
      <c r="I2990" s="3"/>
    </row>
    <row r="2991" spans="1:9" ht="10.5" customHeight="1">
      <c r="A2991" s="3" t="s">
        <v>4166</v>
      </c>
      <c r="B2991" s="3" t="s">
        <v>4165</v>
      </c>
      <c r="C2991" s="3">
        <f>VLOOKUP(B2991,LifeList!$E$2:$J$2038,6)</f>
        <v>7528</v>
      </c>
      <c r="D2991" s="3" t="str">
        <f>VLOOKUP(B2991,LifeList!$E$2:$G$2038,1)</f>
        <v>Royal Spoonbill</v>
      </c>
      <c r="E2991" s="3" t="str">
        <f>VLOOKUP(B2991,LifeList!$E$2:$G$2038,2)</f>
        <v>Spatule royale</v>
      </c>
      <c r="F2991" s="3" t="str">
        <f>VLOOKUP(B2991,LifeList!$E$2:$G$2038,3)</f>
        <v>Platalea regia</v>
      </c>
      <c r="G2991" s="3" t="str">
        <f>VLOOKUP(B2991,LifeList!$E$2:$I$2038,4)</f>
        <v>Pelecaniformes</v>
      </c>
      <c r="H2991" s="3" t="str">
        <f>VLOOKUP(B2991,LifeList!$E$2:$I$2038,5)</f>
        <v>Threskiornithidae (Ibises and Spoonbills)</v>
      </c>
      <c r="I2991" s="3"/>
    </row>
    <row r="2992" spans="1:9" ht="10.5" customHeight="1">
      <c r="A2992" s="3" t="s">
        <v>4167</v>
      </c>
      <c r="B2992" s="3" t="s">
        <v>4168</v>
      </c>
      <c r="C2992" s="3">
        <f>VLOOKUP(B2992,LifeList!$E$2:$J$2038,6)</f>
        <v>6789</v>
      </c>
      <c r="D2992" s="3" t="str">
        <f>VLOOKUP(B2992,LifeList!$E$2:$G$2038,1)</f>
        <v>Royal Tern</v>
      </c>
      <c r="E2992" s="3" t="str">
        <f>VLOOKUP(B2992,LifeList!$E$2:$G$2038,2)</f>
        <v>Sterne royale</v>
      </c>
      <c r="F2992" s="3" t="str">
        <f>VLOOKUP(B2992,LifeList!$E$2:$G$2038,3)</f>
        <v>Thalasseus maximus</v>
      </c>
      <c r="G2992" s="3" t="str">
        <f>VLOOKUP(B2992,LifeList!$E$2:$I$2038,4)</f>
        <v>Charadriiformes</v>
      </c>
      <c r="H2992" s="3" t="str">
        <f>VLOOKUP(B2992,LifeList!$E$2:$I$2038,5)</f>
        <v>Laridae (Gulls, Terns, and Skimmers)</v>
      </c>
      <c r="I2992" s="3"/>
    </row>
    <row r="2993" spans="1:9" ht="10.5" customHeight="1">
      <c r="A2993" s="3" t="s">
        <v>4169</v>
      </c>
      <c r="B2993" s="3" t="s">
        <v>4168</v>
      </c>
      <c r="C2993" s="3">
        <f>VLOOKUP(B2993,LifeList!$E$2:$J$2038,6)</f>
        <v>6789</v>
      </c>
      <c r="D2993" s="3" t="str">
        <f>VLOOKUP(B2993,LifeList!$E$2:$G$2038,1)</f>
        <v>Royal Tern</v>
      </c>
      <c r="E2993" s="3" t="str">
        <f>VLOOKUP(B2993,LifeList!$E$2:$G$2038,2)</f>
        <v>Sterne royale</v>
      </c>
      <c r="F2993" s="3" t="str">
        <f>VLOOKUP(B2993,LifeList!$E$2:$G$2038,3)</f>
        <v>Thalasseus maximus</v>
      </c>
      <c r="G2993" s="3" t="str">
        <f>VLOOKUP(B2993,LifeList!$E$2:$I$2038,4)</f>
        <v>Charadriiformes</v>
      </c>
      <c r="H2993" s="3" t="str">
        <f>VLOOKUP(B2993,LifeList!$E$2:$I$2038,5)</f>
        <v>Laridae (Gulls, Terns, and Skimmers)</v>
      </c>
      <c r="I2993" s="3"/>
    </row>
    <row r="2994" spans="1:9" ht="10.5" customHeight="1">
      <c r="A2994" s="3" t="s">
        <v>4170</v>
      </c>
      <c r="B2994" s="3" t="s">
        <v>4168</v>
      </c>
      <c r="C2994" s="3">
        <f>VLOOKUP(B2994,LifeList!$E$2:$J$2038,6)</f>
        <v>6789</v>
      </c>
      <c r="D2994" s="3" t="str">
        <f>VLOOKUP(B2994,LifeList!$E$2:$G$2038,1)</f>
        <v>Royal Tern</v>
      </c>
      <c r="E2994" s="3" t="str">
        <f>VLOOKUP(B2994,LifeList!$E$2:$G$2038,2)</f>
        <v>Sterne royale</v>
      </c>
      <c r="F2994" s="3" t="str">
        <f>VLOOKUP(B2994,LifeList!$E$2:$G$2038,3)</f>
        <v>Thalasseus maximus</v>
      </c>
      <c r="G2994" s="3" t="str">
        <f>VLOOKUP(B2994,LifeList!$E$2:$I$2038,4)</f>
        <v>Charadriiformes</v>
      </c>
      <c r="H2994" s="3" t="str">
        <f>VLOOKUP(B2994,LifeList!$E$2:$I$2038,5)</f>
        <v>Laridae (Gulls, Terns, and Skimmers)</v>
      </c>
      <c r="I2994" s="3"/>
    </row>
    <row r="2995" spans="1:9" ht="10.5" customHeight="1">
      <c r="A2995" s="3" t="s">
        <v>4171</v>
      </c>
      <c r="B2995" s="3" t="s">
        <v>4168</v>
      </c>
      <c r="C2995" s="3">
        <f>VLOOKUP(B2995,LifeList!$E$2:$J$2038,6)</f>
        <v>6789</v>
      </c>
      <c r="D2995" s="3" t="str">
        <f>VLOOKUP(B2995,LifeList!$E$2:$G$2038,1)</f>
        <v>Royal Tern</v>
      </c>
      <c r="E2995" s="3" t="str">
        <f>VLOOKUP(B2995,LifeList!$E$2:$G$2038,2)</f>
        <v>Sterne royale</v>
      </c>
      <c r="F2995" s="3" t="str">
        <f>VLOOKUP(B2995,LifeList!$E$2:$G$2038,3)</f>
        <v>Thalasseus maximus</v>
      </c>
      <c r="G2995" s="3" t="str">
        <f>VLOOKUP(B2995,LifeList!$E$2:$I$2038,4)</f>
        <v>Charadriiformes</v>
      </c>
      <c r="H2995" s="3" t="str">
        <f>VLOOKUP(B2995,LifeList!$E$2:$I$2038,5)</f>
        <v>Laridae (Gulls, Terns, and Skimmers)</v>
      </c>
      <c r="I2995" s="3"/>
    </row>
    <row r="2996" spans="1:9" ht="10.5" customHeight="1">
      <c r="A2996" s="3" t="s">
        <v>4172</v>
      </c>
      <c r="B2996" s="3" t="s">
        <v>4168</v>
      </c>
      <c r="C2996" s="3">
        <f>VLOOKUP(B2996,LifeList!$E$2:$J$2038,6)</f>
        <v>6789</v>
      </c>
      <c r="D2996" s="3" t="str">
        <f>VLOOKUP(B2996,LifeList!$E$2:$G$2038,1)</f>
        <v>Royal Tern</v>
      </c>
      <c r="E2996" s="3" t="str">
        <f>VLOOKUP(B2996,LifeList!$E$2:$G$2038,2)</f>
        <v>Sterne royale</v>
      </c>
      <c r="F2996" s="3" t="str">
        <f>VLOOKUP(B2996,LifeList!$E$2:$G$2038,3)</f>
        <v>Thalasseus maximus</v>
      </c>
      <c r="G2996" s="3" t="str">
        <f>VLOOKUP(B2996,LifeList!$E$2:$I$2038,4)</f>
        <v>Charadriiformes</v>
      </c>
      <c r="H2996" s="3" t="str">
        <f>VLOOKUP(B2996,LifeList!$E$2:$I$2038,5)</f>
        <v>Laridae (Gulls, Terns, and Skimmers)</v>
      </c>
      <c r="I2996" s="3"/>
    </row>
    <row r="2997" spans="1:9" ht="10.5" customHeight="1">
      <c r="A2997" s="3" t="s">
        <v>4173</v>
      </c>
      <c r="B2997" s="5" t="s">
        <v>4174</v>
      </c>
      <c r="C2997" s="3">
        <f>VLOOKUP(B2997,LifeList!$E$2:$J$2038,6)</f>
        <v>26844</v>
      </c>
      <c r="D2997" s="3" t="str">
        <f>VLOOKUP(B2997,LifeList!$E$2:$G$2038,1)</f>
        <v>Ruby-crowned Kinglet</v>
      </c>
      <c r="E2997" s="3" t="str">
        <f>VLOOKUP(B2997,LifeList!$E$2:$G$2038,2)</f>
        <v>Roitelet à couronne rubis</v>
      </c>
      <c r="F2997" s="3" t="str">
        <f>VLOOKUP(B2997,LifeList!$E$2:$G$2038,3)</f>
        <v>Corthylio calendula</v>
      </c>
      <c r="G2997" s="3" t="str">
        <f>VLOOKUP(B2997,LifeList!$E$2:$I$2038,4)</f>
        <v>Passeriformes</v>
      </c>
      <c r="H2997" s="3" t="str">
        <f>VLOOKUP(B2997,LifeList!$E$2:$I$2038,5)</f>
        <v>Regulidae (Kinglets)</v>
      </c>
      <c r="I2997" s="3"/>
    </row>
    <row r="2998" spans="1:9" ht="10.5" customHeight="1">
      <c r="A2998" s="3" t="s">
        <v>4175</v>
      </c>
      <c r="B2998" s="3" t="s">
        <v>4176</v>
      </c>
      <c r="C2998" s="3">
        <f>VLOOKUP(B2998,LifeList!$E$2:$J$2038,6)</f>
        <v>26844</v>
      </c>
      <c r="D2998" s="3" t="str">
        <f>VLOOKUP(B2998,LifeList!$E$2:$G$2038,1)</f>
        <v>Ruby-crowned Kinglet</v>
      </c>
      <c r="E2998" s="3" t="str">
        <f>VLOOKUP(B2998,LifeList!$E$2:$G$2038,2)</f>
        <v>Roitelet à couronne rubis</v>
      </c>
      <c r="F2998" s="3" t="str">
        <f>VLOOKUP(B2998,LifeList!$E$2:$G$2038,3)</f>
        <v>Corthylio calendula</v>
      </c>
      <c r="G2998" s="3" t="str">
        <f>VLOOKUP(B2998,LifeList!$E$2:$I$2038,4)</f>
        <v>Passeriformes</v>
      </c>
      <c r="H2998" s="3" t="str">
        <f>VLOOKUP(B2998,LifeList!$E$2:$I$2038,5)</f>
        <v>Regulidae (Kinglets)</v>
      </c>
      <c r="I2998" s="3"/>
    </row>
    <row r="2999" spans="1:9" ht="10.5" customHeight="1">
      <c r="A2999" s="3" t="s">
        <v>4177</v>
      </c>
      <c r="B2999" s="3" t="s">
        <v>4176</v>
      </c>
      <c r="C2999" s="3">
        <f>VLOOKUP(B2999,LifeList!$E$2:$J$2038,6)</f>
        <v>26844</v>
      </c>
      <c r="D2999" s="3" t="str">
        <f>VLOOKUP(B2999,LifeList!$E$2:$G$2038,1)</f>
        <v>Ruby-crowned Kinglet</v>
      </c>
      <c r="E2999" s="3" t="str">
        <f>VLOOKUP(B2999,LifeList!$E$2:$G$2038,2)</f>
        <v>Roitelet à couronne rubis</v>
      </c>
      <c r="F2999" s="3" t="str">
        <f>VLOOKUP(B2999,LifeList!$E$2:$G$2038,3)</f>
        <v>Corthylio calendula</v>
      </c>
      <c r="G2999" s="3" t="str">
        <f>VLOOKUP(B2999,LifeList!$E$2:$I$2038,4)</f>
        <v>Passeriformes</v>
      </c>
      <c r="H2999" s="3" t="str">
        <f>VLOOKUP(B2999,LifeList!$E$2:$I$2038,5)</f>
        <v>Regulidae (Kinglets)</v>
      </c>
      <c r="I2999" s="3"/>
    </row>
    <row r="3000" spans="1:9" ht="10.5" customHeight="1">
      <c r="A3000" s="3" t="s">
        <v>4178</v>
      </c>
      <c r="B3000" s="3" t="s">
        <v>4176</v>
      </c>
      <c r="C3000" s="3">
        <f>VLOOKUP(B3000,LifeList!$E$2:$J$2038,6)</f>
        <v>26844</v>
      </c>
      <c r="D3000" s="3" t="str">
        <f>VLOOKUP(B3000,LifeList!$E$2:$G$2038,1)</f>
        <v>Ruby-crowned Kinglet</v>
      </c>
      <c r="E3000" s="3" t="str">
        <f>VLOOKUP(B3000,LifeList!$E$2:$G$2038,2)</f>
        <v>Roitelet à couronne rubis</v>
      </c>
      <c r="F3000" s="3" t="str">
        <f>VLOOKUP(B3000,LifeList!$E$2:$G$2038,3)</f>
        <v>Corthylio calendula</v>
      </c>
      <c r="G3000" s="3" t="str">
        <f>VLOOKUP(B3000,LifeList!$E$2:$I$2038,4)</f>
        <v>Passeriformes</v>
      </c>
      <c r="H3000" s="3" t="str">
        <f>VLOOKUP(B3000,LifeList!$E$2:$I$2038,5)</f>
        <v>Regulidae (Kinglets)</v>
      </c>
      <c r="I3000" s="3"/>
    </row>
    <row r="3001" spans="1:9" ht="10.5" customHeight="1">
      <c r="A3001" s="3" t="s">
        <v>4179</v>
      </c>
      <c r="B3001" s="3" t="s">
        <v>4176</v>
      </c>
      <c r="C3001" s="3">
        <f>VLOOKUP(B3001,LifeList!$E$2:$J$2038,6)</f>
        <v>26844</v>
      </c>
      <c r="D3001" s="3" t="str">
        <f>VLOOKUP(B3001,LifeList!$E$2:$G$2038,1)</f>
        <v>Ruby-crowned Kinglet</v>
      </c>
      <c r="E3001" s="3" t="str">
        <f>VLOOKUP(B3001,LifeList!$E$2:$G$2038,2)</f>
        <v>Roitelet à couronne rubis</v>
      </c>
      <c r="F3001" s="3" t="str">
        <f>VLOOKUP(B3001,LifeList!$E$2:$G$2038,3)</f>
        <v>Corthylio calendula</v>
      </c>
      <c r="G3001" s="3" t="str">
        <f>VLOOKUP(B3001,LifeList!$E$2:$I$2038,4)</f>
        <v>Passeriformes</v>
      </c>
      <c r="H3001" s="3" t="str">
        <f>VLOOKUP(B3001,LifeList!$E$2:$I$2038,5)</f>
        <v>Regulidae (Kinglets)</v>
      </c>
      <c r="I3001" s="3"/>
    </row>
    <row r="3002" spans="1:9" ht="10.5" customHeight="1">
      <c r="A3002" s="3" t="s">
        <v>4180</v>
      </c>
      <c r="B3002" s="3" t="s">
        <v>4176</v>
      </c>
      <c r="C3002" s="3">
        <f>VLOOKUP(B3002,LifeList!$E$2:$J$2038,6)</f>
        <v>26844</v>
      </c>
      <c r="D3002" s="3" t="str">
        <f>VLOOKUP(B3002,LifeList!$E$2:$G$2038,1)</f>
        <v>Ruby-crowned Kinglet</v>
      </c>
      <c r="E3002" s="3" t="str">
        <f>VLOOKUP(B3002,LifeList!$E$2:$G$2038,2)</f>
        <v>Roitelet à couronne rubis</v>
      </c>
      <c r="F3002" s="3" t="str">
        <f>VLOOKUP(B3002,LifeList!$E$2:$G$2038,3)</f>
        <v>Corthylio calendula</v>
      </c>
      <c r="G3002" s="3" t="str">
        <f>VLOOKUP(B3002,LifeList!$E$2:$I$2038,4)</f>
        <v>Passeriformes</v>
      </c>
      <c r="H3002" s="3" t="str">
        <f>VLOOKUP(B3002,LifeList!$E$2:$I$2038,5)</f>
        <v>Regulidae (Kinglets)</v>
      </c>
      <c r="I3002" s="3"/>
    </row>
    <row r="3003" spans="1:9" ht="10.5" customHeight="1">
      <c r="A3003" s="3" t="s">
        <v>4181</v>
      </c>
      <c r="B3003" s="3" t="s">
        <v>4176</v>
      </c>
      <c r="C3003" s="3">
        <f>VLOOKUP(B3003,LifeList!$E$2:$J$2038,6)</f>
        <v>26844</v>
      </c>
      <c r="D3003" s="3" t="str">
        <f>VLOOKUP(B3003,LifeList!$E$2:$G$2038,1)</f>
        <v>Ruby-crowned Kinglet</v>
      </c>
      <c r="E3003" s="3" t="str">
        <f>VLOOKUP(B3003,LifeList!$E$2:$G$2038,2)</f>
        <v>Roitelet à couronne rubis</v>
      </c>
      <c r="F3003" s="3" t="str">
        <f>VLOOKUP(B3003,LifeList!$E$2:$G$2038,3)</f>
        <v>Corthylio calendula</v>
      </c>
      <c r="G3003" s="3" t="str">
        <f>VLOOKUP(B3003,LifeList!$E$2:$I$2038,4)</f>
        <v>Passeriformes</v>
      </c>
      <c r="H3003" s="3" t="str">
        <f>VLOOKUP(B3003,LifeList!$E$2:$I$2038,5)</f>
        <v>Regulidae (Kinglets)</v>
      </c>
      <c r="I3003" s="3"/>
    </row>
    <row r="3004" spans="1:9" ht="10.5" customHeight="1">
      <c r="A3004" s="3" t="s">
        <v>4182</v>
      </c>
      <c r="B3004" s="3" t="s">
        <v>4176</v>
      </c>
      <c r="C3004" s="3">
        <f>VLOOKUP(B3004,LifeList!$E$2:$J$2038,6)</f>
        <v>26844</v>
      </c>
      <c r="D3004" s="3" t="str">
        <f>VLOOKUP(B3004,LifeList!$E$2:$G$2038,1)</f>
        <v>Ruby-crowned Kinglet</v>
      </c>
      <c r="E3004" s="3" t="str">
        <f>VLOOKUP(B3004,LifeList!$E$2:$G$2038,2)</f>
        <v>Roitelet à couronne rubis</v>
      </c>
      <c r="F3004" s="3" t="str">
        <f>VLOOKUP(B3004,LifeList!$E$2:$G$2038,3)</f>
        <v>Corthylio calendula</v>
      </c>
      <c r="G3004" s="3" t="str">
        <f>VLOOKUP(B3004,LifeList!$E$2:$I$2038,4)</f>
        <v>Passeriformes</v>
      </c>
      <c r="H3004" s="3" t="str">
        <f>VLOOKUP(B3004,LifeList!$E$2:$I$2038,5)</f>
        <v>Regulidae (Kinglets)</v>
      </c>
      <c r="I3004" s="3"/>
    </row>
    <row r="3005" spans="1:9" ht="10.5" customHeight="1">
      <c r="A3005" s="3" t="s">
        <v>4183</v>
      </c>
      <c r="B3005" s="3" t="s">
        <v>4184</v>
      </c>
      <c r="C3005" s="3">
        <f>VLOOKUP(B3005,LifeList!$E$2:$J$2038,6)</f>
        <v>4802</v>
      </c>
      <c r="D3005" s="3" t="str">
        <f>VLOOKUP(B3005,LifeList!$E$2:$G$2038,1)</f>
        <v>Ruby-throated Hummingbird</v>
      </c>
      <c r="E3005" s="3" t="str">
        <f>VLOOKUP(B3005,LifeList!$E$2:$G$2038,2)</f>
        <v>Colibri à gorge rubis</v>
      </c>
      <c r="F3005" s="3" t="str">
        <f>VLOOKUP(B3005,LifeList!$E$2:$G$2038,3)</f>
        <v>Archilochus colubris</v>
      </c>
      <c r="G3005" s="3" t="str">
        <f>VLOOKUP(B3005,LifeList!$E$2:$I$2038,4)</f>
        <v>Apodiformes</v>
      </c>
      <c r="H3005" s="3" t="str">
        <f>VLOOKUP(B3005,LifeList!$E$2:$I$2038,5)</f>
        <v>Trochilidae (Hummingbirds)</v>
      </c>
      <c r="I3005" s="3"/>
    </row>
    <row r="3006" spans="1:9" ht="10.5" customHeight="1">
      <c r="A3006" s="3" t="s">
        <v>4185</v>
      </c>
      <c r="B3006" s="3" t="s">
        <v>4184</v>
      </c>
      <c r="C3006" s="3">
        <f>VLOOKUP(B3006,LifeList!$E$2:$J$2038,6)</f>
        <v>4802</v>
      </c>
      <c r="D3006" s="3" t="str">
        <f>VLOOKUP(B3006,LifeList!$E$2:$G$2038,1)</f>
        <v>Ruby-throated Hummingbird</v>
      </c>
      <c r="E3006" s="3" t="str">
        <f>VLOOKUP(B3006,LifeList!$E$2:$G$2038,2)</f>
        <v>Colibri à gorge rubis</v>
      </c>
      <c r="F3006" s="3" t="str">
        <f>VLOOKUP(B3006,LifeList!$E$2:$G$2038,3)</f>
        <v>Archilochus colubris</v>
      </c>
      <c r="G3006" s="3" t="str">
        <f>VLOOKUP(B3006,LifeList!$E$2:$I$2038,4)</f>
        <v>Apodiformes</v>
      </c>
      <c r="H3006" s="3" t="str">
        <f>VLOOKUP(B3006,LifeList!$E$2:$I$2038,5)</f>
        <v>Trochilidae (Hummingbirds)</v>
      </c>
      <c r="I3006" s="3"/>
    </row>
    <row r="3007" spans="1:9" ht="10.5" customHeight="1">
      <c r="A3007" s="3" t="s">
        <v>4186</v>
      </c>
      <c r="B3007" s="3" t="s">
        <v>4184</v>
      </c>
      <c r="C3007" s="3">
        <f>VLOOKUP(B3007,LifeList!$E$2:$J$2038,6)</f>
        <v>4802</v>
      </c>
      <c r="D3007" s="3" t="str">
        <f>VLOOKUP(B3007,LifeList!$E$2:$G$2038,1)</f>
        <v>Ruby-throated Hummingbird</v>
      </c>
      <c r="E3007" s="3" t="str">
        <f>VLOOKUP(B3007,LifeList!$E$2:$G$2038,2)</f>
        <v>Colibri à gorge rubis</v>
      </c>
      <c r="F3007" s="3" t="str">
        <f>VLOOKUP(B3007,LifeList!$E$2:$G$2038,3)</f>
        <v>Archilochus colubris</v>
      </c>
      <c r="G3007" s="3" t="str">
        <f>VLOOKUP(B3007,LifeList!$E$2:$I$2038,4)</f>
        <v>Apodiformes</v>
      </c>
      <c r="H3007" s="3" t="str">
        <f>VLOOKUP(B3007,LifeList!$E$2:$I$2038,5)</f>
        <v>Trochilidae (Hummingbirds)</v>
      </c>
      <c r="I3007" s="3"/>
    </row>
    <row r="3008" spans="1:9" ht="10.5" customHeight="1">
      <c r="A3008" s="3" t="s">
        <v>4187</v>
      </c>
      <c r="B3008" s="3" t="s">
        <v>4184</v>
      </c>
      <c r="C3008" s="3">
        <f>VLOOKUP(B3008,LifeList!$E$2:$J$2038,6)</f>
        <v>4802</v>
      </c>
      <c r="D3008" s="3" t="str">
        <f>VLOOKUP(B3008,LifeList!$E$2:$G$2038,1)</f>
        <v>Ruby-throated Hummingbird</v>
      </c>
      <c r="E3008" s="3" t="str">
        <f>VLOOKUP(B3008,LifeList!$E$2:$G$2038,2)</f>
        <v>Colibri à gorge rubis</v>
      </c>
      <c r="F3008" s="3" t="str">
        <f>VLOOKUP(B3008,LifeList!$E$2:$G$2038,3)</f>
        <v>Archilochus colubris</v>
      </c>
      <c r="G3008" s="3" t="str">
        <f>VLOOKUP(B3008,LifeList!$E$2:$I$2038,4)</f>
        <v>Apodiformes</v>
      </c>
      <c r="H3008" s="3" t="str">
        <f>VLOOKUP(B3008,LifeList!$E$2:$I$2038,5)</f>
        <v>Trochilidae (Hummingbirds)</v>
      </c>
      <c r="I3008" s="3"/>
    </row>
    <row r="3009" spans="1:9" ht="10.5" customHeight="1">
      <c r="A3009" s="3" t="s">
        <v>4188</v>
      </c>
      <c r="B3009" s="3" t="s">
        <v>4189</v>
      </c>
      <c r="C3009" s="3">
        <f>VLOOKUP(B3009,LifeList!$E$2:$J$2038,6)</f>
        <v>4382</v>
      </c>
      <c r="D3009" s="3" t="str">
        <f>VLOOKUP(B3009,LifeList!$E$2:$G$2038,1)</f>
        <v>Ruby-topaz Hummingbird</v>
      </c>
      <c r="E3009" s="3" t="str">
        <f>VLOOKUP(B3009,LifeList!$E$2:$G$2038,2)</f>
        <v>Colibri rubis-topaze</v>
      </c>
      <c r="F3009" s="3" t="str">
        <f>VLOOKUP(B3009,LifeList!$E$2:$G$2038,3)</f>
        <v>Chrysolampis mosquitus</v>
      </c>
      <c r="G3009" s="3" t="str">
        <f>VLOOKUP(B3009,LifeList!$E$2:$I$2038,4)</f>
        <v>Apodiformes</v>
      </c>
      <c r="H3009" s="3" t="str">
        <f>VLOOKUP(B3009,LifeList!$E$2:$I$2038,5)</f>
        <v>Trochilidae (Hummingbirds)</v>
      </c>
      <c r="I3009" s="3"/>
    </row>
    <row r="3010" spans="1:9" ht="10.5" customHeight="1">
      <c r="A3010" s="3" t="s">
        <v>4190</v>
      </c>
      <c r="B3010" s="3" t="s">
        <v>4189</v>
      </c>
      <c r="C3010" s="3">
        <f>VLOOKUP(B3010,LifeList!$E$2:$J$2038,6)</f>
        <v>4382</v>
      </c>
      <c r="D3010" s="3" t="str">
        <f>VLOOKUP(B3010,LifeList!$E$2:$G$2038,1)</f>
        <v>Ruby-topaz Hummingbird</v>
      </c>
      <c r="E3010" s="3" t="str">
        <f>VLOOKUP(B3010,LifeList!$E$2:$G$2038,2)</f>
        <v>Colibri rubis-topaze</v>
      </c>
      <c r="F3010" s="3" t="str">
        <f>VLOOKUP(B3010,LifeList!$E$2:$G$2038,3)</f>
        <v>Chrysolampis mosquitus</v>
      </c>
      <c r="G3010" s="3" t="str">
        <f>VLOOKUP(B3010,LifeList!$E$2:$I$2038,4)</f>
        <v>Apodiformes</v>
      </c>
      <c r="H3010" s="3" t="str">
        <f>VLOOKUP(B3010,LifeList!$E$2:$I$2038,5)</f>
        <v>Trochilidae (Hummingbirds)</v>
      </c>
      <c r="I3010" s="3"/>
    </row>
    <row r="3011" spans="1:9" ht="10.5" customHeight="1">
      <c r="A3011" s="3" t="s">
        <v>4191</v>
      </c>
      <c r="B3011" s="3" t="s">
        <v>4192</v>
      </c>
      <c r="C3011" s="3">
        <f>VLOOKUP(B3011,LifeList!$E$2:$J$2038,6)</f>
        <v>778</v>
      </c>
      <c r="D3011" s="3" t="str">
        <f>VLOOKUP(B3011,LifeList!$E$2:$G$2038,1)</f>
        <v>Ruddy Duck</v>
      </c>
      <c r="E3011" s="3" t="str">
        <f>VLOOKUP(B3011,LifeList!$E$2:$G$2038,2)</f>
        <v>Érismature rousse</v>
      </c>
      <c r="F3011" s="3" t="str">
        <f>VLOOKUP(B3011,LifeList!$E$2:$G$2038,3)</f>
        <v>Oxyura jamaicensis</v>
      </c>
      <c r="G3011" s="3" t="str">
        <f>VLOOKUP(B3011,LifeList!$E$2:$I$2038,4)</f>
        <v>Anseriformes</v>
      </c>
      <c r="H3011" s="3" t="str">
        <f>VLOOKUP(B3011,LifeList!$E$2:$I$2038,5)</f>
        <v>Anatidae (Ducks, Geese, and Waterfowl)</v>
      </c>
      <c r="I3011" s="3"/>
    </row>
    <row r="3012" spans="1:9" ht="10.5" customHeight="1">
      <c r="A3012" s="3" t="s">
        <v>4193</v>
      </c>
      <c r="B3012" s="3" t="s">
        <v>4192</v>
      </c>
      <c r="C3012" s="3">
        <f>VLOOKUP(B3012,LifeList!$E$2:$J$2038,6)</f>
        <v>778</v>
      </c>
      <c r="D3012" s="3" t="str">
        <f>VLOOKUP(B3012,LifeList!$E$2:$G$2038,1)</f>
        <v>Ruddy Duck</v>
      </c>
      <c r="E3012" s="3" t="str">
        <f>VLOOKUP(B3012,LifeList!$E$2:$G$2038,2)</f>
        <v>Érismature rousse</v>
      </c>
      <c r="F3012" s="3" t="str">
        <f>VLOOKUP(B3012,LifeList!$E$2:$G$2038,3)</f>
        <v>Oxyura jamaicensis</v>
      </c>
      <c r="G3012" s="3" t="str">
        <f>VLOOKUP(B3012,LifeList!$E$2:$I$2038,4)</f>
        <v>Anseriformes</v>
      </c>
      <c r="H3012" s="3" t="str">
        <f>VLOOKUP(B3012,LifeList!$E$2:$I$2038,5)</f>
        <v>Anatidae (Ducks, Geese, and Waterfowl)</v>
      </c>
      <c r="I3012" s="3"/>
    </row>
    <row r="3013" spans="1:9" ht="10.5" customHeight="1">
      <c r="A3013" s="3" t="s">
        <v>4194</v>
      </c>
      <c r="B3013" s="3" t="s">
        <v>4195</v>
      </c>
      <c r="C3013" s="3">
        <f>VLOOKUP(B3013,LifeList!$E$2:$J$2038,6)</f>
        <v>2268</v>
      </c>
      <c r="D3013" s="3" t="str">
        <f>VLOOKUP(B3013,LifeList!$E$2:$G$2038,1)</f>
        <v>Ruddy Ground Dove</v>
      </c>
      <c r="E3013" s="3" t="str">
        <f>VLOOKUP(B3013,LifeList!$E$2:$G$2038,2)</f>
        <v>Colombe rousse</v>
      </c>
      <c r="F3013" s="3" t="str">
        <f>VLOOKUP(B3013,LifeList!$E$2:$G$2038,3)</f>
        <v>Columbina talpacoti</v>
      </c>
      <c r="G3013" s="3" t="str">
        <f>VLOOKUP(B3013,LifeList!$E$2:$I$2038,4)</f>
        <v>Columbiformes</v>
      </c>
      <c r="H3013" s="3" t="str">
        <f>VLOOKUP(B3013,LifeList!$E$2:$I$2038,5)</f>
        <v>Columbidae (Pigeons and Doves)</v>
      </c>
      <c r="I3013" s="3"/>
    </row>
    <row r="3014" spans="1:9" ht="10.5" customHeight="1">
      <c r="A3014" s="3" t="s">
        <v>4196</v>
      </c>
      <c r="B3014" s="3" t="s">
        <v>4195</v>
      </c>
      <c r="C3014" s="3">
        <f>VLOOKUP(B3014,LifeList!$E$2:$J$2038,6)</f>
        <v>2268</v>
      </c>
      <c r="D3014" s="3" t="str">
        <f>VLOOKUP(B3014,LifeList!$E$2:$G$2038,1)</f>
        <v>Ruddy Ground Dove</v>
      </c>
      <c r="E3014" s="3" t="str">
        <f>VLOOKUP(B3014,LifeList!$E$2:$G$2038,2)</f>
        <v>Colombe rousse</v>
      </c>
      <c r="F3014" s="3" t="str">
        <f>VLOOKUP(B3014,LifeList!$E$2:$G$2038,3)</f>
        <v>Columbina talpacoti</v>
      </c>
      <c r="G3014" s="3" t="str">
        <f>VLOOKUP(B3014,LifeList!$E$2:$I$2038,4)</f>
        <v>Columbiformes</v>
      </c>
      <c r="H3014" s="3" t="str">
        <f>VLOOKUP(B3014,LifeList!$E$2:$I$2038,5)</f>
        <v>Columbidae (Pigeons and Doves)</v>
      </c>
      <c r="I3014" s="3"/>
    </row>
    <row r="3015" spans="1:9" ht="10.5" customHeight="1">
      <c r="A3015" s="3" t="s">
        <v>4197</v>
      </c>
      <c r="B3015" s="3" t="s">
        <v>4198</v>
      </c>
      <c r="C3015" s="3">
        <f>VLOOKUP(B3015,LifeList!$E$2:$J$2038,6)</f>
        <v>15300</v>
      </c>
      <c r="D3015" s="3" t="str">
        <f>VLOOKUP(B3015,LifeList!$E$2:$G$2038,1)</f>
        <v>Ruddy Treerunner</v>
      </c>
      <c r="E3015" s="3" t="str">
        <f>VLOOKUP(B3015,LifeList!$E$2:$G$2038,2)</f>
        <v>Anabasitte rousse</v>
      </c>
      <c r="F3015" s="3" t="str">
        <f>VLOOKUP(B3015,LifeList!$E$2:$G$2038,3)</f>
        <v>Margarornis rubiginosus</v>
      </c>
      <c r="G3015" s="3" t="str">
        <f>VLOOKUP(B3015,LifeList!$E$2:$I$2038,4)</f>
        <v>Passeriformes</v>
      </c>
      <c r="H3015" s="3" t="str">
        <f>VLOOKUP(B3015,LifeList!$E$2:$I$2038,5)</f>
        <v>Furnariidae (Ovenbirds and Woodcreepers)</v>
      </c>
      <c r="I3015" s="3"/>
    </row>
    <row r="3016" spans="1:9" ht="10.5" customHeight="1">
      <c r="A3016" s="3" t="s">
        <v>4199</v>
      </c>
      <c r="B3016" s="3" t="s">
        <v>4200</v>
      </c>
      <c r="C3016" s="3">
        <f>VLOOKUP(B3016,LifeList!$E$2:$J$2038,6)</f>
        <v>6161</v>
      </c>
      <c r="D3016" s="3" t="str">
        <f>VLOOKUP(B3016,LifeList!$E$2:$G$2038,1)</f>
        <v>Ruddy Turnstone</v>
      </c>
      <c r="E3016" s="3" t="str">
        <f>VLOOKUP(B3016,LifeList!$E$2:$G$2038,2)</f>
        <v>Tournepierre à collier</v>
      </c>
      <c r="F3016" s="3" t="str">
        <f>VLOOKUP(B3016,LifeList!$E$2:$G$2038,3)</f>
        <v>Arenaria interpres</v>
      </c>
      <c r="G3016" s="3" t="str">
        <f>VLOOKUP(B3016,LifeList!$E$2:$I$2038,4)</f>
        <v>Charadriiformes</v>
      </c>
      <c r="H3016" s="3" t="str">
        <f>VLOOKUP(B3016,LifeList!$E$2:$I$2038,5)</f>
        <v>Scolopacidae (Sandpipers and Allies)</v>
      </c>
      <c r="I3016" s="3"/>
    </row>
    <row r="3017" spans="1:9" ht="10.5" customHeight="1">
      <c r="A3017" s="3" t="s">
        <v>4201</v>
      </c>
      <c r="B3017" s="3" t="s">
        <v>4200</v>
      </c>
      <c r="C3017" s="3">
        <f>VLOOKUP(B3017,LifeList!$E$2:$J$2038,6)</f>
        <v>6161</v>
      </c>
      <c r="D3017" s="3" t="str">
        <f>VLOOKUP(B3017,LifeList!$E$2:$G$2038,1)</f>
        <v>Ruddy Turnstone</v>
      </c>
      <c r="E3017" s="3" t="str">
        <f>VLOOKUP(B3017,LifeList!$E$2:$G$2038,2)</f>
        <v>Tournepierre à collier</v>
      </c>
      <c r="F3017" s="3" t="str">
        <f>VLOOKUP(B3017,LifeList!$E$2:$G$2038,3)</f>
        <v>Arenaria interpres</v>
      </c>
      <c r="G3017" s="3" t="str">
        <f>VLOOKUP(B3017,LifeList!$E$2:$I$2038,4)</f>
        <v>Charadriiformes</v>
      </c>
      <c r="H3017" s="3" t="str">
        <f>VLOOKUP(B3017,LifeList!$E$2:$I$2038,5)</f>
        <v>Scolopacidae (Sandpipers and Allies)</v>
      </c>
      <c r="I3017" s="3"/>
    </row>
    <row r="3018" spans="1:9" ht="10.5" customHeight="1">
      <c r="A3018" s="3" t="s">
        <v>4202</v>
      </c>
      <c r="B3018" s="3" t="s">
        <v>4200</v>
      </c>
      <c r="C3018" s="3">
        <f>VLOOKUP(B3018,LifeList!$E$2:$J$2038,6)</f>
        <v>6161</v>
      </c>
      <c r="D3018" s="3" t="str">
        <f>VLOOKUP(B3018,LifeList!$E$2:$G$2038,1)</f>
        <v>Ruddy Turnstone</v>
      </c>
      <c r="E3018" s="3" t="str">
        <f>VLOOKUP(B3018,LifeList!$E$2:$G$2038,2)</f>
        <v>Tournepierre à collier</v>
      </c>
      <c r="F3018" s="3" t="str">
        <f>VLOOKUP(B3018,LifeList!$E$2:$G$2038,3)</f>
        <v>Arenaria interpres</v>
      </c>
      <c r="G3018" s="3" t="str">
        <f>VLOOKUP(B3018,LifeList!$E$2:$I$2038,4)</f>
        <v>Charadriiformes</v>
      </c>
      <c r="H3018" s="3" t="str">
        <f>VLOOKUP(B3018,LifeList!$E$2:$I$2038,5)</f>
        <v>Scolopacidae (Sandpipers and Allies)</v>
      </c>
      <c r="I3018" s="3"/>
    </row>
    <row r="3019" spans="1:9" ht="10.5" customHeight="1">
      <c r="A3019" s="3" t="s">
        <v>4203</v>
      </c>
      <c r="B3019" s="3" t="s">
        <v>4200</v>
      </c>
      <c r="C3019" s="3">
        <f>VLOOKUP(B3019,LifeList!$E$2:$J$2038,6)</f>
        <v>6161</v>
      </c>
      <c r="D3019" s="3" t="str">
        <f>VLOOKUP(B3019,LifeList!$E$2:$G$2038,1)</f>
        <v>Ruddy Turnstone</v>
      </c>
      <c r="E3019" s="3" t="str">
        <f>VLOOKUP(B3019,LifeList!$E$2:$G$2038,2)</f>
        <v>Tournepierre à collier</v>
      </c>
      <c r="F3019" s="3" t="str">
        <f>VLOOKUP(B3019,LifeList!$E$2:$G$2038,3)</f>
        <v>Arenaria interpres</v>
      </c>
      <c r="G3019" s="3" t="str">
        <f>VLOOKUP(B3019,LifeList!$E$2:$I$2038,4)</f>
        <v>Charadriiformes</v>
      </c>
      <c r="H3019" s="3" t="str">
        <f>VLOOKUP(B3019,LifeList!$E$2:$I$2038,5)</f>
        <v>Scolopacidae (Sandpipers and Allies)</v>
      </c>
      <c r="I3019" s="3"/>
    </row>
    <row r="3020" spans="1:9" ht="10.5" customHeight="1">
      <c r="A3020" s="3" t="s">
        <v>4204</v>
      </c>
      <c r="B3020" s="3" t="s">
        <v>4200</v>
      </c>
      <c r="C3020" s="3">
        <f>VLOOKUP(B3020,LifeList!$E$2:$J$2038,6)</f>
        <v>6161</v>
      </c>
      <c r="D3020" s="3" t="str">
        <f>VLOOKUP(B3020,LifeList!$E$2:$G$2038,1)</f>
        <v>Ruddy Turnstone</v>
      </c>
      <c r="E3020" s="3" t="str">
        <f>VLOOKUP(B3020,LifeList!$E$2:$G$2038,2)</f>
        <v>Tournepierre à collier</v>
      </c>
      <c r="F3020" s="3" t="str">
        <f>VLOOKUP(B3020,LifeList!$E$2:$G$2038,3)</f>
        <v>Arenaria interpres</v>
      </c>
      <c r="G3020" s="3" t="str">
        <f>VLOOKUP(B3020,LifeList!$E$2:$I$2038,4)</f>
        <v>Charadriiformes</v>
      </c>
      <c r="H3020" s="3" t="str">
        <f>VLOOKUP(B3020,LifeList!$E$2:$I$2038,5)</f>
        <v>Scolopacidae (Sandpipers and Allies)</v>
      </c>
      <c r="I3020" s="3"/>
    </row>
    <row r="3021" spans="1:9" ht="10.5" customHeight="1">
      <c r="A3021" s="3" t="s">
        <v>4205</v>
      </c>
      <c r="B3021" s="3" t="s">
        <v>4200</v>
      </c>
      <c r="C3021" s="3">
        <f>VLOOKUP(B3021,LifeList!$E$2:$J$2038,6)</f>
        <v>6161</v>
      </c>
      <c r="D3021" s="3" t="str">
        <f>VLOOKUP(B3021,LifeList!$E$2:$G$2038,1)</f>
        <v>Ruddy Turnstone</v>
      </c>
      <c r="E3021" s="3" t="str">
        <f>VLOOKUP(B3021,LifeList!$E$2:$G$2038,2)</f>
        <v>Tournepierre à collier</v>
      </c>
      <c r="F3021" s="3" t="str">
        <f>VLOOKUP(B3021,LifeList!$E$2:$G$2038,3)</f>
        <v>Arenaria interpres</v>
      </c>
      <c r="G3021" s="3" t="str">
        <f>VLOOKUP(B3021,LifeList!$E$2:$I$2038,4)</f>
        <v>Charadriiformes</v>
      </c>
      <c r="H3021" s="3" t="str">
        <f>VLOOKUP(B3021,LifeList!$E$2:$I$2038,5)</f>
        <v>Scolopacidae (Sandpipers and Allies)</v>
      </c>
      <c r="I3021" s="3"/>
    </row>
    <row r="3022" spans="1:9" ht="10.5" customHeight="1">
      <c r="A3022" s="3" t="s">
        <v>4206</v>
      </c>
      <c r="B3022" s="3" t="s">
        <v>4200</v>
      </c>
      <c r="C3022" s="3">
        <f>VLOOKUP(B3022,LifeList!$E$2:$J$2038,6)</f>
        <v>6161</v>
      </c>
      <c r="D3022" s="3" t="str">
        <f>VLOOKUP(B3022,LifeList!$E$2:$G$2038,1)</f>
        <v>Ruddy Turnstone</v>
      </c>
      <c r="E3022" s="3" t="str">
        <f>VLOOKUP(B3022,LifeList!$E$2:$G$2038,2)</f>
        <v>Tournepierre à collier</v>
      </c>
      <c r="F3022" s="3" t="str">
        <f>VLOOKUP(B3022,LifeList!$E$2:$G$2038,3)</f>
        <v>Arenaria interpres</v>
      </c>
      <c r="G3022" s="3" t="str">
        <f>VLOOKUP(B3022,LifeList!$E$2:$I$2038,4)</f>
        <v>Charadriiformes</v>
      </c>
      <c r="H3022" s="3" t="str">
        <f>VLOOKUP(B3022,LifeList!$E$2:$I$2038,5)</f>
        <v>Scolopacidae (Sandpipers and Allies)</v>
      </c>
      <c r="I3022" s="3"/>
    </row>
    <row r="3023" spans="1:9" ht="10.5" customHeight="1">
      <c r="A3023" s="3" t="s">
        <v>4207</v>
      </c>
      <c r="B3023" s="3" t="s">
        <v>4200</v>
      </c>
      <c r="C3023" s="3">
        <f>VLOOKUP(B3023,LifeList!$E$2:$J$2038,6)</f>
        <v>6161</v>
      </c>
      <c r="D3023" s="3" t="str">
        <f>VLOOKUP(B3023,LifeList!$E$2:$G$2038,1)</f>
        <v>Ruddy Turnstone</v>
      </c>
      <c r="E3023" s="3" t="str">
        <f>VLOOKUP(B3023,LifeList!$E$2:$G$2038,2)</f>
        <v>Tournepierre à collier</v>
      </c>
      <c r="F3023" s="3" t="str">
        <f>VLOOKUP(B3023,LifeList!$E$2:$G$2038,3)</f>
        <v>Arenaria interpres</v>
      </c>
      <c r="G3023" s="3" t="str">
        <f>VLOOKUP(B3023,LifeList!$E$2:$I$2038,4)</f>
        <v>Charadriiformes</v>
      </c>
      <c r="H3023" s="3" t="str">
        <f>VLOOKUP(B3023,LifeList!$E$2:$I$2038,5)</f>
        <v>Scolopacidae (Sandpipers and Allies)</v>
      </c>
      <c r="I3023" s="3"/>
    </row>
    <row r="3024" spans="1:9" ht="10.5" customHeight="1">
      <c r="A3024" s="3" t="s">
        <v>4208</v>
      </c>
      <c r="B3024" s="3" t="s">
        <v>4209</v>
      </c>
      <c r="C3024" s="3">
        <f>VLOOKUP(B3024,LifeList!$E$2:$J$2038,6)</f>
        <v>14655</v>
      </c>
      <c r="D3024" s="3" t="str">
        <f>VLOOKUP(B3024,LifeList!$E$2:$G$2038,1)</f>
        <v>Ruddy Woodcreeper</v>
      </c>
      <c r="E3024" s="3" t="str">
        <f>VLOOKUP(B3024,LifeList!$E$2:$G$2038,2)</f>
        <v>Grimpar roux</v>
      </c>
      <c r="F3024" s="3" t="str">
        <f>VLOOKUP(B3024,LifeList!$E$2:$G$2038,3)</f>
        <v>Dendrocincla homochroa</v>
      </c>
      <c r="G3024" s="3" t="str">
        <f>VLOOKUP(B3024,LifeList!$E$2:$I$2038,4)</f>
        <v>Passeriformes</v>
      </c>
      <c r="H3024" s="3" t="str">
        <f>VLOOKUP(B3024,LifeList!$E$2:$I$2038,5)</f>
        <v>Furnariidae (Ovenbirds and Woodcreepers)</v>
      </c>
      <c r="I3024" s="3"/>
    </row>
    <row r="3025" spans="1:9" ht="10.5" customHeight="1">
      <c r="A3025" s="3" t="s">
        <v>4210</v>
      </c>
      <c r="B3025" s="3" t="s">
        <v>4211</v>
      </c>
      <c r="C3025" s="3">
        <f>VLOOKUP(B3025,LifeList!$E$2:$J$2038,6)</f>
        <v>28294</v>
      </c>
      <c r="D3025" s="3" t="str">
        <f>VLOOKUP(B3025,LifeList!$E$2:$G$2038,1)</f>
        <v>Ruddy-capped Nightingale-Thrush</v>
      </c>
      <c r="E3025" s="3" t="str">
        <f>VLOOKUP(B3025,LifeList!$E$2:$G$2038,2)</f>
        <v>Grive à calotte rousse</v>
      </c>
      <c r="F3025" s="3" t="str">
        <f>VLOOKUP(B3025,LifeList!$E$2:$G$2038,3)</f>
        <v>Catharus frantzii</v>
      </c>
      <c r="G3025" s="3" t="str">
        <f>VLOOKUP(B3025,LifeList!$E$2:$I$2038,4)</f>
        <v>Passeriformes</v>
      </c>
      <c r="H3025" s="3" t="str">
        <f>VLOOKUP(B3025,LifeList!$E$2:$I$2038,5)</f>
        <v>Turdidae (Thrushes and Allies)</v>
      </c>
      <c r="I3025" s="3"/>
    </row>
    <row r="3026" spans="1:9" ht="10.5" customHeight="1">
      <c r="A3026" s="3" t="s">
        <v>4212</v>
      </c>
      <c r="B3026" s="3" t="s">
        <v>4211</v>
      </c>
      <c r="C3026" s="3">
        <f>VLOOKUP(B3026,LifeList!$E$2:$J$2038,6)</f>
        <v>28294</v>
      </c>
      <c r="D3026" s="3" t="str">
        <f>VLOOKUP(B3026,LifeList!$E$2:$G$2038,1)</f>
        <v>Ruddy-capped Nightingale-Thrush</v>
      </c>
      <c r="E3026" s="3" t="str">
        <f>VLOOKUP(B3026,LifeList!$E$2:$G$2038,2)</f>
        <v>Grive à calotte rousse</v>
      </c>
      <c r="F3026" s="3" t="str">
        <f>VLOOKUP(B3026,LifeList!$E$2:$G$2038,3)</f>
        <v>Catharus frantzii</v>
      </c>
      <c r="G3026" s="3" t="str">
        <f>VLOOKUP(B3026,LifeList!$E$2:$I$2038,4)</f>
        <v>Passeriformes</v>
      </c>
      <c r="H3026" s="3" t="str">
        <f>VLOOKUP(B3026,LifeList!$E$2:$I$2038,5)</f>
        <v>Turdidae (Thrushes and Allies)</v>
      </c>
      <c r="I3026" s="3"/>
    </row>
    <row r="3027" spans="1:9" ht="10.5" customHeight="1">
      <c r="A3027" s="3" t="s">
        <v>4213</v>
      </c>
      <c r="B3027" s="3" t="s">
        <v>4211</v>
      </c>
      <c r="C3027" s="3">
        <f>VLOOKUP(B3027,LifeList!$E$2:$J$2038,6)</f>
        <v>28294</v>
      </c>
      <c r="D3027" s="3" t="str">
        <f>VLOOKUP(B3027,LifeList!$E$2:$G$2038,1)</f>
        <v>Ruddy-capped Nightingale-Thrush</v>
      </c>
      <c r="E3027" s="3" t="str">
        <f>VLOOKUP(B3027,LifeList!$E$2:$G$2038,2)</f>
        <v>Grive à calotte rousse</v>
      </c>
      <c r="F3027" s="3" t="str">
        <f>VLOOKUP(B3027,LifeList!$E$2:$G$2038,3)</f>
        <v>Catharus frantzii</v>
      </c>
      <c r="G3027" s="3" t="str">
        <f>VLOOKUP(B3027,LifeList!$E$2:$I$2038,4)</f>
        <v>Passeriformes</v>
      </c>
      <c r="H3027" s="3" t="str">
        <f>VLOOKUP(B3027,LifeList!$E$2:$I$2038,5)</f>
        <v>Turdidae (Thrushes and Allies)</v>
      </c>
      <c r="I3027" s="3"/>
    </row>
    <row r="3028" spans="1:9" ht="10.5" customHeight="1">
      <c r="A3028" s="3" t="s">
        <v>4214</v>
      </c>
      <c r="B3028" s="3" t="s">
        <v>4215</v>
      </c>
      <c r="C3028" s="3">
        <f>VLOOKUP(B3028,LifeList!$E$2:$J$2038,6)</f>
        <v>16110</v>
      </c>
      <c r="D3028" s="3" t="str">
        <f>VLOOKUP(B3028,LifeList!$E$2:$G$2038,1)</f>
        <v>Ruddy-tailed Flycatcher</v>
      </c>
      <c r="E3028" s="3" t="str">
        <f>VLOOKUP(B3028,LifeList!$E$2:$G$2038,2)</f>
        <v>Barbichon rougequeue</v>
      </c>
      <c r="F3028" s="3" t="str">
        <f>VLOOKUP(B3028,LifeList!$E$2:$G$2038,3)</f>
        <v>Terenotriccus erythrurus</v>
      </c>
      <c r="G3028" s="3" t="str">
        <f>VLOOKUP(B3028,LifeList!$E$2:$I$2038,4)</f>
        <v>Passeriformes</v>
      </c>
      <c r="H3028" s="3" t="str">
        <f>VLOOKUP(B3028,LifeList!$E$2:$I$2038,5)</f>
        <v>Onychorhynchidae (Royal Flycatchers and Allies)</v>
      </c>
      <c r="I3028" s="3"/>
    </row>
    <row r="3029" spans="1:9" ht="10.5" customHeight="1">
      <c r="A3029" s="3" t="s">
        <v>4216</v>
      </c>
      <c r="B3029" s="3" t="s">
        <v>4215</v>
      </c>
      <c r="C3029" s="3">
        <f>VLOOKUP(B3029,LifeList!$E$2:$J$2038,6)</f>
        <v>16110</v>
      </c>
      <c r="D3029" s="3" t="str">
        <f>VLOOKUP(B3029,LifeList!$E$2:$G$2038,1)</f>
        <v>Ruddy-tailed Flycatcher</v>
      </c>
      <c r="E3029" s="3" t="str">
        <f>VLOOKUP(B3029,LifeList!$E$2:$G$2038,2)</f>
        <v>Barbichon rougequeue</v>
      </c>
      <c r="F3029" s="3" t="str">
        <f>VLOOKUP(B3029,LifeList!$E$2:$G$2038,3)</f>
        <v>Terenotriccus erythrurus</v>
      </c>
      <c r="G3029" s="3" t="str">
        <f>VLOOKUP(B3029,LifeList!$E$2:$I$2038,4)</f>
        <v>Passeriformes</v>
      </c>
      <c r="H3029" s="3" t="str">
        <f>VLOOKUP(B3029,LifeList!$E$2:$I$2038,5)</f>
        <v>Onychorhynchidae (Royal Flycatchers and Allies)</v>
      </c>
      <c r="I3029" s="3"/>
    </row>
    <row r="3030" spans="1:9" ht="10.5" customHeight="1">
      <c r="A3030" s="3" t="s">
        <v>4217</v>
      </c>
      <c r="B3030" s="3" t="s">
        <v>4215</v>
      </c>
      <c r="C3030" s="3">
        <f>VLOOKUP(B3030,LifeList!$E$2:$J$2038,6)</f>
        <v>16110</v>
      </c>
      <c r="D3030" s="3" t="str">
        <f>VLOOKUP(B3030,LifeList!$E$2:$G$2038,1)</f>
        <v>Ruddy-tailed Flycatcher</v>
      </c>
      <c r="E3030" s="3" t="str">
        <f>VLOOKUP(B3030,LifeList!$E$2:$G$2038,2)</f>
        <v>Barbichon rougequeue</v>
      </c>
      <c r="F3030" s="3" t="str">
        <f>VLOOKUP(B3030,LifeList!$E$2:$G$2038,3)</f>
        <v>Terenotriccus erythrurus</v>
      </c>
      <c r="G3030" s="3" t="str">
        <f>VLOOKUP(B3030,LifeList!$E$2:$I$2038,4)</f>
        <v>Passeriformes</v>
      </c>
      <c r="H3030" s="3" t="str">
        <f>VLOOKUP(B3030,LifeList!$E$2:$I$2038,5)</f>
        <v>Onychorhynchidae (Royal Flycatchers and Allies)</v>
      </c>
      <c r="I3030" s="3"/>
    </row>
    <row r="3031" spans="1:9" ht="10.5" customHeight="1">
      <c r="A3031" s="3" t="s">
        <v>4218</v>
      </c>
      <c r="B3031" s="3" t="s">
        <v>4219</v>
      </c>
      <c r="C3031" s="3">
        <f>VLOOKUP(B3031,LifeList!$E$2:$J$2038,6)</f>
        <v>7537</v>
      </c>
      <c r="D3031" s="3" t="str">
        <f>VLOOKUP(B3031,LifeList!$E$2:$G$2038,1)</f>
        <v>Rufescent Tiger-Heron</v>
      </c>
      <c r="E3031" s="3" t="str">
        <f>VLOOKUP(B3031,LifeList!$E$2:$G$2038,2)</f>
        <v>Onoré rayé</v>
      </c>
      <c r="F3031" s="3" t="str">
        <f>VLOOKUP(B3031,LifeList!$E$2:$G$2038,3)</f>
        <v>Tigrisoma lineatum</v>
      </c>
      <c r="G3031" s="3" t="str">
        <f>VLOOKUP(B3031,LifeList!$E$2:$I$2038,4)</f>
        <v>Pelecaniformes</v>
      </c>
      <c r="H3031" s="3" t="str">
        <f>VLOOKUP(B3031,LifeList!$E$2:$I$2038,5)</f>
        <v>Ardeidae (Herons, Egrets, and Bitterns)</v>
      </c>
      <c r="I3031" s="3"/>
    </row>
    <row r="3032" spans="1:9" ht="10.5" customHeight="1">
      <c r="A3032" s="3" t="s">
        <v>4220</v>
      </c>
      <c r="B3032" s="3" t="s">
        <v>4219</v>
      </c>
      <c r="C3032" s="3">
        <f>VLOOKUP(B3032,LifeList!$E$2:$J$2038,6)</f>
        <v>7537</v>
      </c>
      <c r="D3032" s="3" t="str">
        <f>VLOOKUP(B3032,LifeList!$E$2:$G$2038,1)</f>
        <v>Rufescent Tiger-Heron</v>
      </c>
      <c r="E3032" s="3" t="str">
        <f>VLOOKUP(B3032,LifeList!$E$2:$G$2038,2)</f>
        <v>Onoré rayé</v>
      </c>
      <c r="F3032" s="3" t="str">
        <f>VLOOKUP(B3032,LifeList!$E$2:$G$2038,3)</f>
        <v>Tigrisoma lineatum</v>
      </c>
      <c r="G3032" s="3" t="str">
        <f>VLOOKUP(B3032,LifeList!$E$2:$I$2038,4)</f>
        <v>Pelecaniformes</v>
      </c>
      <c r="H3032" s="3" t="str">
        <f>VLOOKUP(B3032,LifeList!$E$2:$I$2038,5)</f>
        <v>Ardeidae (Herons, Egrets, and Bitterns)</v>
      </c>
      <c r="I3032" s="3"/>
    </row>
    <row r="3033" spans="1:9" ht="10.5" customHeight="1">
      <c r="A3033" s="3" t="s">
        <v>4221</v>
      </c>
      <c r="B3033" s="3" t="s">
        <v>4219</v>
      </c>
      <c r="C3033" s="3">
        <f>VLOOKUP(B3033,LifeList!$E$2:$J$2038,6)</f>
        <v>7537</v>
      </c>
      <c r="D3033" s="3" t="str">
        <f>VLOOKUP(B3033,LifeList!$E$2:$G$2038,1)</f>
        <v>Rufescent Tiger-Heron</v>
      </c>
      <c r="E3033" s="3" t="str">
        <f>VLOOKUP(B3033,LifeList!$E$2:$G$2038,2)</f>
        <v>Onoré rayé</v>
      </c>
      <c r="F3033" s="3" t="str">
        <f>VLOOKUP(B3033,LifeList!$E$2:$G$2038,3)</f>
        <v>Tigrisoma lineatum</v>
      </c>
      <c r="G3033" s="3" t="str">
        <f>VLOOKUP(B3033,LifeList!$E$2:$I$2038,4)</f>
        <v>Pelecaniformes</v>
      </c>
      <c r="H3033" s="3" t="str">
        <f>VLOOKUP(B3033,LifeList!$E$2:$I$2038,5)</f>
        <v>Ardeidae (Herons, Egrets, and Bitterns)</v>
      </c>
      <c r="I3033" s="3"/>
    </row>
    <row r="3034" spans="1:9" ht="10.5" customHeight="1">
      <c r="A3034" s="3" t="s">
        <v>4222</v>
      </c>
      <c r="B3034" s="3" t="s">
        <v>4219</v>
      </c>
      <c r="C3034" s="3">
        <f>VLOOKUP(B3034,LifeList!$E$2:$J$2038,6)</f>
        <v>7537</v>
      </c>
      <c r="D3034" s="3" t="str">
        <f>VLOOKUP(B3034,LifeList!$E$2:$G$2038,1)</f>
        <v>Rufescent Tiger-Heron</v>
      </c>
      <c r="E3034" s="3" t="str">
        <f>VLOOKUP(B3034,LifeList!$E$2:$G$2038,2)</f>
        <v>Onoré rayé</v>
      </c>
      <c r="F3034" s="3" t="str">
        <f>VLOOKUP(B3034,LifeList!$E$2:$G$2038,3)</f>
        <v>Tigrisoma lineatum</v>
      </c>
      <c r="G3034" s="3" t="str">
        <f>VLOOKUP(B3034,LifeList!$E$2:$I$2038,4)</f>
        <v>Pelecaniformes</v>
      </c>
      <c r="H3034" s="3" t="str">
        <f>VLOOKUP(B3034,LifeList!$E$2:$I$2038,5)</f>
        <v>Ardeidae (Herons, Egrets, and Bitterns)</v>
      </c>
      <c r="I3034" s="3"/>
    </row>
    <row r="3035" spans="1:9" ht="10.5" customHeight="1">
      <c r="A3035" s="5" t="s">
        <v>4223</v>
      </c>
      <c r="B3035" s="3" t="s">
        <v>4224</v>
      </c>
      <c r="C3035" s="3">
        <f>VLOOKUP(B3035,LifeList!$E$2:$J$2038,6)</f>
        <v>6177</v>
      </c>
      <c r="D3035" s="3" t="str">
        <f>VLOOKUP(B3035,LifeList!$E$2:$G$2038,1)</f>
        <v>Ruff</v>
      </c>
      <c r="E3035" s="3" t="str">
        <f>VLOOKUP(B3035,LifeList!$E$2:$G$2038,2)</f>
        <v>Combattant varié</v>
      </c>
      <c r="F3035" s="3" t="str">
        <f>VLOOKUP(B3035,LifeList!$E$2:$G$2038,3)</f>
        <v>Calidris pugnax</v>
      </c>
      <c r="G3035" s="3" t="str">
        <f>VLOOKUP(B3035,LifeList!$E$2:$I$2038,4)</f>
        <v>Charadriiformes</v>
      </c>
      <c r="H3035" s="3" t="str">
        <f>VLOOKUP(B3035,LifeList!$E$2:$I$2038,5)</f>
        <v>Scolopacidae (Sandpipers and Allies)</v>
      </c>
      <c r="I3035" s="3"/>
    </row>
    <row r="3036" spans="1:9" ht="10.5" customHeight="1">
      <c r="A3036" s="5" t="s">
        <v>4225</v>
      </c>
      <c r="B3036" s="3" t="s">
        <v>4226</v>
      </c>
      <c r="C3036" s="3">
        <f>VLOOKUP(B3036,LifeList!$E$2:$J$2038,6)</f>
        <v>1283</v>
      </c>
      <c r="D3036" s="3" t="str">
        <f>VLOOKUP(B3036,LifeList!$E$2:$G$2038,1)</f>
        <v>Ruffed Grouse</v>
      </c>
      <c r="E3036" s="3" t="str">
        <f>VLOOKUP(B3036,LifeList!$E$2:$G$2038,2)</f>
        <v>Gélinotte huppée</v>
      </c>
      <c r="F3036" s="3" t="str">
        <f>VLOOKUP(B3036,LifeList!$E$2:$G$2038,3)</f>
        <v>Bonasa umbellus</v>
      </c>
      <c r="G3036" s="3" t="str">
        <f>VLOOKUP(B3036,LifeList!$E$2:$I$2038,4)</f>
        <v>Galliformes</v>
      </c>
      <c r="H3036" s="3" t="str">
        <f>VLOOKUP(B3036,LifeList!$E$2:$I$2038,5)</f>
        <v>Phasianidae (Pheasants, Grouse, and Allies)</v>
      </c>
      <c r="I3036" s="3"/>
    </row>
    <row r="3037" spans="1:9" ht="10.5" customHeight="1">
      <c r="A3037" s="3" t="s">
        <v>4227</v>
      </c>
      <c r="B3037" s="3" t="s">
        <v>4228</v>
      </c>
      <c r="C3037" s="3">
        <f>VLOOKUP(B3037,LifeList!$E$2:$J$2038,6)</f>
        <v>1283</v>
      </c>
      <c r="D3037" s="3" t="str">
        <f>VLOOKUP(B3037,LifeList!$E$2:$G$2038,1)</f>
        <v>Ruffed Grouse</v>
      </c>
      <c r="E3037" s="3" t="str">
        <f>VLOOKUP(B3037,LifeList!$E$2:$G$2038,2)</f>
        <v>Gélinotte huppée</v>
      </c>
      <c r="F3037" s="3" t="str">
        <f>VLOOKUP(B3037,LifeList!$E$2:$G$2038,3)</f>
        <v>Bonasa umbellus</v>
      </c>
      <c r="G3037" s="3" t="str">
        <f>VLOOKUP(B3037,LifeList!$E$2:$I$2038,4)</f>
        <v>Galliformes</v>
      </c>
      <c r="H3037" s="3" t="str">
        <f>VLOOKUP(B3037,LifeList!$E$2:$I$2038,5)</f>
        <v>Phasianidae (Pheasants, Grouse, and Allies)</v>
      </c>
      <c r="I3037" s="3"/>
    </row>
    <row r="3038" spans="1:9" ht="10.5" customHeight="1">
      <c r="A3038" s="3" t="s">
        <v>4229</v>
      </c>
      <c r="B3038" s="3" t="s">
        <v>4228</v>
      </c>
      <c r="C3038" s="3">
        <f>VLOOKUP(B3038,LifeList!$E$2:$J$2038,6)</f>
        <v>1283</v>
      </c>
      <c r="D3038" s="3" t="str">
        <f>VLOOKUP(B3038,LifeList!$E$2:$G$2038,1)</f>
        <v>Ruffed Grouse</v>
      </c>
      <c r="E3038" s="3" t="str">
        <f>VLOOKUP(B3038,LifeList!$E$2:$G$2038,2)</f>
        <v>Gélinotte huppée</v>
      </c>
      <c r="F3038" s="3" t="str">
        <f>VLOOKUP(B3038,LifeList!$E$2:$G$2038,3)</f>
        <v>Bonasa umbellus</v>
      </c>
      <c r="G3038" s="3" t="str">
        <f>VLOOKUP(B3038,LifeList!$E$2:$I$2038,4)</f>
        <v>Galliformes</v>
      </c>
      <c r="H3038" s="3" t="str">
        <f>VLOOKUP(B3038,LifeList!$E$2:$I$2038,5)</f>
        <v>Phasianidae (Pheasants, Grouse, and Allies)</v>
      </c>
      <c r="I3038" s="3"/>
    </row>
    <row r="3039" spans="1:9" ht="10.5" customHeight="1">
      <c r="A3039" s="5" t="s">
        <v>4230</v>
      </c>
      <c r="B3039" s="3" t="s">
        <v>4231</v>
      </c>
      <c r="C3039" s="3">
        <f>VLOOKUP(B3039,LifeList!$E$2:$J$2038,6)</f>
        <v>18271</v>
      </c>
      <c r="D3039" s="3" t="str">
        <f>VLOOKUP(B3039,LifeList!$E$2:$G$2038,1)</f>
        <v>Rufous Fieldwren</v>
      </c>
      <c r="E3039" s="3" t="str">
        <f>VLOOKUP(B3039,LifeList!$E$2:$G$2038,2)</f>
        <v>Séricorne roussâtre</v>
      </c>
      <c r="F3039" s="3" t="str">
        <f>VLOOKUP(B3039,LifeList!$E$2:$G$2038,3)</f>
        <v>Calamanthus campestris</v>
      </c>
      <c r="G3039" s="3" t="str">
        <f>VLOOKUP(B3039,LifeList!$E$2:$I$2038,4)</f>
        <v>Passeriformes</v>
      </c>
      <c r="H3039" s="3" t="str">
        <f>VLOOKUP(B3039,LifeList!$E$2:$I$2038,5)</f>
        <v>Acanthizidae (Thornbills and Allies)</v>
      </c>
      <c r="I3039" s="3"/>
    </row>
    <row r="3040" spans="1:9" ht="10.5" customHeight="1">
      <c r="A3040" s="3" t="s">
        <v>4232</v>
      </c>
      <c r="B3040" s="3" t="s">
        <v>4233</v>
      </c>
      <c r="C3040" s="3">
        <f>VLOOKUP(B3040,LifeList!$E$2:$J$2038,6)</f>
        <v>18222</v>
      </c>
      <c r="D3040" s="3" t="str">
        <f>VLOOKUP(B3040,LifeList!$E$2:$G$2038,1)</f>
        <v>Rufous Bristlebird</v>
      </c>
      <c r="E3040" s="3" t="str">
        <f>VLOOKUP(B3040,LifeList!$E$2:$G$2038,2)</f>
        <v>Dasyorne roux</v>
      </c>
      <c r="F3040" s="3" t="str">
        <f>VLOOKUP(B3040,LifeList!$E$2:$G$2038,3)</f>
        <v>Dasyornis broadbenti</v>
      </c>
      <c r="G3040" s="3" t="str">
        <f>VLOOKUP(B3040,LifeList!$E$2:$I$2038,4)</f>
        <v>Passeriformes</v>
      </c>
      <c r="H3040" s="3" t="str">
        <f>VLOOKUP(B3040,LifeList!$E$2:$I$2038,5)</f>
        <v>Dasyornithidae (Bristlebirds)</v>
      </c>
      <c r="I3040" s="3"/>
    </row>
    <row r="3041" spans="1:9" ht="10.5" customHeight="1">
      <c r="A3041" s="3" t="s">
        <v>4234</v>
      </c>
      <c r="B3041" s="3" t="s">
        <v>4233</v>
      </c>
      <c r="C3041" s="3">
        <f>VLOOKUP(B3041,LifeList!$E$2:$J$2038,6)</f>
        <v>18222</v>
      </c>
      <c r="D3041" s="3" t="str">
        <f>VLOOKUP(B3041,LifeList!$E$2:$G$2038,1)</f>
        <v>Rufous Bristlebird</v>
      </c>
      <c r="E3041" s="3" t="str">
        <f>VLOOKUP(B3041,LifeList!$E$2:$G$2038,2)</f>
        <v>Dasyorne roux</v>
      </c>
      <c r="F3041" s="3" t="str">
        <f>VLOOKUP(B3041,LifeList!$E$2:$G$2038,3)</f>
        <v>Dasyornis broadbenti</v>
      </c>
      <c r="G3041" s="3" t="str">
        <f>VLOOKUP(B3041,LifeList!$E$2:$I$2038,4)</f>
        <v>Passeriformes</v>
      </c>
      <c r="H3041" s="3" t="str">
        <f>VLOOKUP(B3041,LifeList!$E$2:$I$2038,5)</f>
        <v>Dasyornithidae (Bristlebirds)</v>
      </c>
      <c r="I3041" s="3"/>
    </row>
    <row r="3042" spans="1:9" ht="10.5" customHeight="1">
      <c r="A3042" s="3" t="s">
        <v>4235</v>
      </c>
      <c r="B3042" s="3" t="s">
        <v>4236</v>
      </c>
      <c r="C3042" s="3">
        <f>VLOOKUP(B3042,LifeList!$E$2:$J$2038,6)</f>
        <v>9883</v>
      </c>
      <c r="D3042" s="3" t="str">
        <f>VLOOKUP(B3042,LifeList!$E$2:$G$2038,1)</f>
        <v>Rufous Motmot</v>
      </c>
      <c r="E3042" s="3" t="str">
        <f>VLOOKUP(B3042,LifeList!$E$2:$G$2038,2)</f>
        <v>Motmot roux</v>
      </c>
      <c r="F3042" s="3" t="str">
        <f>VLOOKUP(B3042,LifeList!$E$2:$G$2038,3)</f>
        <v>Baryphthengus martii</v>
      </c>
      <c r="G3042" s="3" t="str">
        <f>VLOOKUP(B3042,LifeList!$E$2:$I$2038,4)</f>
        <v>Coraciiformes</v>
      </c>
      <c r="H3042" s="3" t="str">
        <f>VLOOKUP(B3042,LifeList!$E$2:$I$2038,5)</f>
        <v>Momotidae (Motmots)</v>
      </c>
      <c r="I3042" s="3"/>
    </row>
    <row r="3043" spans="1:9" ht="10.5" customHeight="1">
      <c r="A3043" s="3" t="s">
        <v>4237</v>
      </c>
      <c r="B3043" s="3" t="s">
        <v>4236</v>
      </c>
      <c r="C3043" s="3">
        <f>VLOOKUP(B3043,LifeList!$E$2:$J$2038,6)</f>
        <v>9883</v>
      </c>
      <c r="D3043" s="3" t="str">
        <f>VLOOKUP(B3043,LifeList!$E$2:$G$2038,1)</f>
        <v>Rufous Motmot</v>
      </c>
      <c r="E3043" s="3" t="str">
        <f>VLOOKUP(B3043,LifeList!$E$2:$G$2038,2)</f>
        <v>Motmot roux</v>
      </c>
      <c r="F3043" s="3" t="str">
        <f>VLOOKUP(B3043,LifeList!$E$2:$G$2038,3)</f>
        <v>Baryphthengus martii</v>
      </c>
      <c r="G3043" s="3" t="str">
        <f>VLOOKUP(B3043,LifeList!$E$2:$I$2038,4)</f>
        <v>Coraciiformes</v>
      </c>
      <c r="H3043" s="3" t="str">
        <f>VLOOKUP(B3043,LifeList!$E$2:$I$2038,5)</f>
        <v>Momotidae (Motmots)</v>
      </c>
      <c r="I3043" s="3"/>
    </row>
    <row r="3044" spans="1:9" ht="10.5" customHeight="1">
      <c r="A3044" s="7" t="s">
        <v>4238</v>
      </c>
      <c r="B3044" s="9" t="s">
        <v>4239</v>
      </c>
      <c r="C3044" s="6">
        <f>VLOOKUP(B3044,LifeList!$E$2:$J$2038,6)</f>
        <v>19558</v>
      </c>
      <c r="D3044" s="3" t="str">
        <f>VLOOKUP(B3044,LifeList!$E$2:$G$2038,1)</f>
        <v>Rufous Whistler</v>
      </c>
      <c r="E3044" s="3" t="str">
        <f>VLOOKUP(B3044,LifeList!$E$2:$G$2038,2)</f>
        <v>Siffleur itchong</v>
      </c>
      <c r="F3044" s="3" t="str">
        <f>VLOOKUP(B3044,LifeList!$E$2:$G$2038,3)</f>
        <v>Pachycephala rufiventris</v>
      </c>
      <c r="G3044" s="3" t="str">
        <f>VLOOKUP(B3044,LifeList!$E$2:$I$2038,4)</f>
        <v>Passeriformes</v>
      </c>
      <c r="H3044" s="3" t="str">
        <f>VLOOKUP(B3044,LifeList!$E$2:$I$2038,5)</f>
        <v>Pachycephalidae (Whistlers and Allies)</v>
      </c>
      <c r="I3044" s="3"/>
    </row>
    <row r="3045" spans="1:9" ht="10.5" customHeight="1">
      <c r="A3045" s="7" t="s">
        <v>4240</v>
      </c>
      <c r="B3045" s="9" t="s">
        <v>4239</v>
      </c>
      <c r="C3045" s="6">
        <f>VLOOKUP(B3045,LifeList!$E$2:$J$2038,6)</f>
        <v>19558</v>
      </c>
      <c r="D3045" s="3" t="str">
        <f>VLOOKUP(B3045,LifeList!$E$2:$G$2038,1)</f>
        <v>Rufous Whistler</v>
      </c>
      <c r="E3045" s="3" t="str">
        <f>VLOOKUP(B3045,LifeList!$E$2:$G$2038,2)</f>
        <v>Siffleur itchong</v>
      </c>
      <c r="F3045" s="3" t="str">
        <f>VLOOKUP(B3045,LifeList!$E$2:$G$2038,3)</f>
        <v>Pachycephala rufiventris</v>
      </c>
      <c r="G3045" s="3" t="str">
        <f>VLOOKUP(B3045,LifeList!$E$2:$I$2038,4)</f>
        <v>Passeriformes</v>
      </c>
      <c r="H3045" s="3" t="str">
        <f>VLOOKUP(B3045,LifeList!$E$2:$I$2038,5)</f>
        <v>Pachycephalidae (Whistlers and Allies)</v>
      </c>
      <c r="I3045" s="3"/>
    </row>
    <row r="3046" spans="1:9" ht="10.5" customHeight="1">
      <c r="A3046" s="3" t="s">
        <v>4241</v>
      </c>
      <c r="B3046" s="3" t="s">
        <v>4242</v>
      </c>
      <c r="C3046" s="3">
        <f>VLOOKUP(B3046,LifeList!$E$2:$J$2038,6)</f>
        <v>27401</v>
      </c>
      <c r="D3046" s="3" t="str">
        <f>VLOOKUP(B3046,LifeList!$E$2:$G$2038,1)</f>
        <v>Rufous-backed Wren</v>
      </c>
      <c r="E3046" s="3" t="str">
        <f>VLOOKUP(B3046,LifeList!$E$2:$G$2038,2)</f>
        <v>Troglodyte à dos roux</v>
      </c>
      <c r="F3046" s="3" t="str">
        <f>VLOOKUP(B3046,LifeList!$E$2:$G$2038,3)</f>
        <v>Campylorhynchus capistratus</v>
      </c>
      <c r="G3046" s="3" t="str">
        <f>VLOOKUP(B3046,LifeList!$E$2:$I$2038,4)</f>
        <v>Passeriformes</v>
      </c>
      <c r="H3046" s="3" t="str">
        <f>VLOOKUP(B3046,LifeList!$E$2:$I$2038,5)</f>
        <v>Troglodytidae (Wrens)</v>
      </c>
      <c r="I3046" s="3"/>
    </row>
    <row r="3047" spans="1:9" ht="10.5" customHeight="1">
      <c r="A3047" s="3" t="s">
        <v>4243</v>
      </c>
      <c r="B3047" s="3" t="s">
        <v>4242</v>
      </c>
      <c r="C3047" s="3">
        <f>VLOOKUP(B3047,LifeList!$E$2:$J$2038,6)</f>
        <v>27401</v>
      </c>
      <c r="D3047" s="3" t="str">
        <f>VLOOKUP(B3047,LifeList!$E$2:$G$2038,1)</f>
        <v>Rufous-backed Wren</v>
      </c>
      <c r="E3047" s="3" t="str">
        <f>VLOOKUP(B3047,LifeList!$E$2:$G$2038,2)</f>
        <v>Troglodyte à dos roux</v>
      </c>
      <c r="F3047" s="3" t="str">
        <f>VLOOKUP(B3047,LifeList!$E$2:$G$2038,3)</f>
        <v>Campylorhynchus capistratus</v>
      </c>
      <c r="G3047" s="3" t="str">
        <f>VLOOKUP(B3047,LifeList!$E$2:$I$2038,4)</f>
        <v>Passeriformes</v>
      </c>
      <c r="H3047" s="3" t="str">
        <f>VLOOKUP(B3047,LifeList!$E$2:$I$2038,5)</f>
        <v>Troglodytidae (Wrens)</v>
      </c>
      <c r="I3047" s="3"/>
    </row>
    <row r="3048" spans="1:9" ht="10.5" customHeight="1">
      <c r="A3048" s="3" t="s">
        <v>4244</v>
      </c>
      <c r="B3048" s="3" t="s">
        <v>4242</v>
      </c>
      <c r="C3048" s="3">
        <f>VLOOKUP(B3048,LifeList!$E$2:$J$2038,6)</f>
        <v>27401</v>
      </c>
      <c r="D3048" s="3" t="str">
        <f>VLOOKUP(B3048,LifeList!$E$2:$G$2038,1)</f>
        <v>Rufous-backed Wren</v>
      </c>
      <c r="E3048" s="3" t="str">
        <f>VLOOKUP(B3048,LifeList!$E$2:$G$2038,2)</f>
        <v>Troglodyte à dos roux</v>
      </c>
      <c r="F3048" s="3" t="str">
        <f>VLOOKUP(B3048,LifeList!$E$2:$G$2038,3)</f>
        <v>Campylorhynchus capistratus</v>
      </c>
      <c r="G3048" s="3" t="str">
        <f>VLOOKUP(B3048,LifeList!$E$2:$I$2038,4)</f>
        <v>Passeriformes</v>
      </c>
      <c r="H3048" s="3" t="str">
        <f>VLOOKUP(B3048,LifeList!$E$2:$I$2038,5)</f>
        <v>Troglodytidae (Wrens)</v>
      </c>
      <c r="I3048" s="3"/>
    </row>
    <row r="3049" spans="1:9" ht="10.5" customHeight="1">
      <c r="A3049" s="3" t="s">
        <v>4245</v>
      </c>
      <c r="B3049" s="3" t="s">
        <v>4242</v>
      </c>
      <c r="C3049" s="3">
        <f>VLOOKUP(B3049,LifeList!$E$2:$J$2038,6)</f>
        <v>27401</v>
      </c>
      <c r="D3049" s="3" t="str">
        <f>VLOOKUP(B3049,LifeList!$E$2:$G$2038,1)</f>
        <v>Rufous-backed Wren</v>
      </c>
      <c r="E3049" s="3" t="str">
        <f>VLOOKUP(B3049,LifeList!$E$2:$G$2038,2)</f>
        <v>Troglodyte à dos roux</v>
      </c>
      <c r="F3049" s="3" t="str">
        <f>VLOOKUP(B3049,LifeList!$E$2:$G$2038,3)</f>
        <v>Campylorhynchus capistratus</v>
      </c>
      <c r="G3049" s="3" t="str">
        <f>VLOOKUP(B3049,LifeList!$E$2:$I$2038,4)</f>
        <v>Passeriformes</v>
      </c>
      <c r="H3049" s="3" t="str">
        <f>VLOOKUP(B3049,LifeList!$E$2:$I$2038,5)</f>
        <v>Troglodytidae (Wrens)</v>
      </c>
      <c r="I3049" s="3"/>
    </row>
    <row r="3050" spans="1:9" ht="10.5" customHeight="1">
      <c r="A3050" s="7" t="s">
        <v>4246</v>
      </c>
      <c r="B3050" s="9" t="s">
        <v>4247</v>
      </c>
      <c r="C3050" s="6">
        <f>VLOOKUP(B3050,LifeList!$E$2:$J$2038,6)</f>
        <v>17194</v>
      </c>
      <c r="D3050" s="3" t="str">
        <f>VLOOKUP(B3050,LifeList!$E$2:$G$2038,1)</f>
        <v>Rufous-breasted Chat-Tyrant</v>
      </c>
      <c r="E3050" s="3" t="str">
        <f>VLOOKUP(B3050,LifeList!$E$2:$G$2038,2)</f>
        <v>Pitajo à poitrine rousse</v>
      </c>
      <c r="F3050" s="3" t="str">
        <f>VLOOKUP(B3050,LifeList!$E$2:$G$2038,3)</f>
        <v>Ochthoeca rufipectoralis</v>
      </c>
      <c r="G3050" s="3" t="str">
        <f>VLOOKUP(B3050,LifeList!$E$2:$I$2038,4)</f>
        <v>Passeriformes</v>
      </c>
      <c r="H3050" s="3" t="str">
        <f>VLOOKUP(B3050,LifeList!$E$2:$I$2038,5)</f>
        <v>Tyrannidae (Tyrant Flycatchers)</v>
      </c>
      <c r="I3050" s="3"/>
    </row>
    <row r="3051" spans="1:9" ht="10.5" customHeight="1">
      <c r="A3051" s="3" t="s">
        <v>4248</v>
      </c>
      <c r="B3051" s="3" t="s">
        <v>4249</v>
      </c>
      <c r="C3051" s="3">
        <f>VLOOKUP(B3051,LifeList!$E$2:$J$2038,6)</f>
        <v>35264</v>
      </c>
      <c r="D3051" s="3" t="str">
        <f>VLOOKUP(B3051,LifeList!$E$2:$G$2038,1)</f>
        <v>Rufous-browed Conebill</v>
      </c>
      <c r="E3051" s="3" t="str">
        <f>VLOOKUP(B3051,LifeList!$E$2:$G$2038,2)</f>
        <v>Conirostre roux</v>
      </c>
      <c r="F3051" s="3" t="str">
        <f>VLOOKUP(B3051,LifeList!$E$2:$G$2038,3)</f>
        <v>Conirostrum rufum</v>
      </c>
      <c r="G3051" s="3" t="str">
        <f>VLOOKUP(B3051,LifeList!$E$2:$I$2038,4)</f>
        <v>Passeriformes</v>
      </c>
      <c r="H3051" s="3" t="str">
        <f>VLOOKUP(B3051,LifeList!$E$2:$I$2038,5)</f>
        <v>Thraupidae (Tanagers and Allies)</v>
      </c>
      <c r="I3051" s="3"/>
    </row>
    <row r="3052" spans="1:9" ht="10.5" customHeight="1">
      <c r="A3052" s="3" t="s">
        <v>4250</v>
      </c>
      <c r="B3052" s="3" t="s">
        <v>4249</v>
      </c>
      <c r="C3052" s="3">
        <f>VLOOKUP(B3052,LifeList!$E$2:$J$2038,6)</f>
        <v>35264</v>
      </c>
      <c r="D3052" s="3" t="str">
        <f>VLOOKUP(B3052,LifeList!$E$2:$G$2038,1)</f>
        <v>Rufous-browed Conebill</v>
      </c>
      <c r="E3052" s="3" t="str">
        <f>VLOOKUP(B3052,LifeList!$E$2:$G$2038,2)</f>
        <v>Conirostre roux</v>
      </c>
      <c r="F3052" s="3" t="str">
        <f>VLOOKUP(B3052,LifeList!$E$2:$G$2038,3)</f>
        <v>Conirostrum rufum</v>
      </c>
      <c r="G3052" s="3" t="str">
        <f>VLOOKUP(B3052,LifeList!$E$2:$I$2038,4)</f>
        <v>Passeriformes</v>
      </c>
      <c r="H3052" s="3" t="str">
        <f>VLOOKUP(B3052,LifeList!$E$2:$I$2038,5)</f>
        <v>Thraupidae (Tanagers and Allies)</v>
      </c>
      <c r="I3052" s="3"/>
    </row>
    <row r="3053" spans="1:9" ht="10.5" customHeight="1">
      <c r="A3053" s="3" t="s">
        <v>4251</v>
      </c>
      <c r="B3053" s="3" t="s">
        <v>4252</v>
      </c>
      <c r="C3053" s="3">
        <f>VLOOKUP(B3053,LifeList!$E$2:$J$2038,6)</f>
        <v>19051</v>
      </c>
      <c r="D3053" s="3" t="str">
        <f>VLOOKUP(B3053,LifeList!$E$2:$G$2038,1)</f>
        <v>Rufous-browed Peppershrike</v>
      </c>
      <c r="E3053" s="3" t="str">
        <f>VLOOKUP(B3053,LifeList!$E$2:$G$2038,2)</f>
        <v>Sourciroux mélodieux</v>
      </c>
      <c r="F3053" s="3" t="str">
        <f>VLOOKUP(B3053,LifeList!$E$2:$G$2038,3)</f>
        <v>Cyclarhis gujanensis</v>
      </c>
      <c r="G3053" s="3" t="str">
        <f>VLOOKUP(B3053,LifeList!$E$2:$I$2038,4)</f>
        <v>Passeriformes</v>
      </c>
      <c r="H3053" s="3" t="str">
        <f>VLOOKUP(B3053,LifeList!$E$2:$I$2038,5)</f>
        <v>Vireonidae (Vireos, Shrike-Babblers, and Erpornis)</v>
      </c>
      <c r="I3053" s="3"/>
    </row>
    <row r="3054" spans="1:9" ht="10.5" customHeight="1">
      <c r="A3054" s="3" t="s">
        <v>4253</v>
      </c>
      <c r="B3054" s="3" t="s">
        <v>4252</v>
      </c>
      <c r="C3054" s="3">
        <f>VLOOKUP(B3054,LifeList!$E$2:$J$2038,6)</f>
        <v>19051</v>
      </c>
      <c r="D3054" s="3" t="str">
        <f>VLOOKUP(B3054,LifeList!$E$2:$G$2038,1)</f>
        <v>Rufous-browed Peppershrike</v>
      </c>
      <c r="E3054" s="3" t="str">
        <f>VLOOKUP(B3054,LifeList!$E$2:$G$2038,2)</f>
        <v>Sourciroux mélodieux</v>
      </c>
      <c r="F3054" s="3" t="str">
        <f>VLOOKUP(B3054,LifeList!$E$2:$G$2038,3)</f>
        <v>Cyclarhis gujanensis</v>
      </c>
      <c r="G3054" s="3" t="str">
        <f>VLOOKUP(B3054,LifeList!$E$2:$I$2038,4)</f>
        <v>Passeriformes</v>
      </c>
      <c r="H3054" s="3" t="str">
        <f>VLOOKUP(B3054,LifeList!$E$2:$I$2038,5)</f>
        <v>Vireonidae (Vireos, Shrike-Babblers, and Erpornis)</v>
      </c>
      <c r="I3054" s="3"/>
    </row>
    <row r="3055" spans="1:9" ht="10.5" customHeight="1">
      <c r="A3055" s="3" t="s">
        <v>4254</v>
      </c>
      <c r="B3055" s="3" t="s">
        <v>4255</v>
      </c>
      <c r="C3055" s="3">
        <f>VLOOKUP(B3055,LifeList!$E$2:$J$2038,6)</f>
        <v>33158</v>
      </c>
      <c r="D3055" s="3" t="str">
        <f>VLOOKUP(B3055,LifeList!$E$2:$G$2038,1)</f>
        <v>Rufous-collared Sparrow</v>
      </c>
      <c r="E3055" s="3" t="str">
        <f>VLOOKUP(B3055,LifeList!$E$2:$G$2038,2)</f>
        <v>Bruant chingolo</v>
      </c>
      <c r="F3055" s="3" t="str">
        <f>VLOOKUP(B3055,LifeList!$E$2:$G$2038,3)</f>
        <v>Zonotrichia capensis</v>
      </c>
      <c r="G3055" s="3" t="str">
        <f>VLOOKUP(B3055,LifeList!$E$2:$I$2038,4)</f>
        <v>Passeriformes</v>
      </c>
      <c r="H3055" s="3" t="str">
        <f>VLOOKUP(B3055,LifeList!$E$2:$I$2038,5)</f>
        <v>Passerellidae (New World Sparrows)</v>
      </c>
      <c r="I3055" s="3"/>
    </row>
    <row r="3056" spans="1:9" ht="10.5" customHeight="1">
      <c r="A3056" s="3" t="s">
        <v>4256</v>
      </c>
      <c r="B3056" s="3" t="s">
        <v>4255</v>
      </c>
      <c r="C3056" s="3">
        <f>VLOOKUP(B3056,LifeList!$E$2:$J$2038,6)</f>
        <v>33158</v>
      </c>
      <c r="D3056" s="3" t="str">
        <f>VLOOKUP(B3056,LifeList!$E$2:$G$2038,1)</f>
        <v>Rufous-collared Sparrow</v>
      </c>
      <c r="E3056" s="3" t="str">
        <f>VLOOKUP(B3056,LifeList!$E$2:$G$2038,2)</f>
        <v>Bruant chingolo</v>
      </c>
      <c r="F3056" s="3" t="str">
        <f>VLOOKUP(B3056,LifeList!$E$2:$G$2038,3)</f>
        <v>Zonotrichia capensis</v>
      </c>
      <c r="G3056" s="3" t="str">
        <f>VLOOKUP(B3056,LifeList!$E$2:$I$2038,4)</f>
        <v>Passeriformes</v>
      </c>
      <c r="H3056" s="3" t="str">
        <f>VLOOKUP(B3056,LifeList!$E$2:$I$2038,5)</f>
        <v>Passerellidae (New World Sparrows)</v>
      </c>
      <c r="I3056" s="3"/>
    </row>
    <row r="3057" spans="1:9" ht="10.5" customHeight="1">
      <c r="A3057" s="3" t="s">
        <v>4257</v>
      </c>
      <c r="B3057" s="3" t="s">
        <v>4255</v>
      </c>
      <c r="C3057" s="3">
        <f>VLOOKUP(B3057,LifeList!$E$2:$J$2038,6)</f>
        <v>33158</v>
      </c>
      <c r="D3057" s="3" t="str">
        <f>VLOOKUP(B3057,LifeList!$E$2:$G$2038,1)</f>
        <v>Rufous-collared Sparrow</v>
      </c>
      <c r="E3057" s="3" t="str">
        <f>VLOOKUP(B3057,LifeList!$E$2:$G$2038,2)</f>
        <v>Bruant chingolo</v>
      </c>
      <c r="F3057" s="3" t="str">
        <f>VLOOKUP(B3057,LifeList!$E$2:$G$2038,3)</f>
        <v>Zonotrichia capensis</v>
      </c>
      <c r="G3057" s="3" t="str">
        <f>VLOOKUP(B3057,LifeList!$E$2:$I$2038,4)</f>
        <v>Passeriformes</v>
      </c>
      <c r="H3057" s="3" t="str">
        <f>VLOOKUP(B3057,LifeList!$E$2:$I$2038,5)</f>
        <v>Passerellidae (New World Sparrows)</v>
      </c>
      <c r="I3057" s="3"/>
    </row>
    <row r="3058" spans="1:9" ht="10.5" customHeight="1">
      <c r="A3058" s="3" t="s">
        <v>4258</v>
      </c>
      <c r="B3058" s="3" t="s">
        <v>4255</v>
      </c>
      <c r="C3058" s="3">
        <f>VLOOKUP(B3058,LifeList!$E$2:$J$2038,6)</f>
        <v>33158</v>
      </c>
      <c r="D3058" s="3" t="str">
        <f>VLOOKUP(B3058,LifeList!$E$2:$G$2038,1)</f>
        <v>Rufous-collared Sparrow</v>
      </c>
      <c r="E3058" s="3" t="str">
        <f>VLOOKUP(B3058,LifeList!$E$2:$G$2038,2)</f>
        <v>Bruant chingolo</v>
      </c>
      <c r="F3058" s="3" t="str">
        <f>VLOOKUP(B3058,LifeList!$E$2:$G$2038,3)</f>
        <v>Zonotrichia capensis</v>
      </c>
      <c r="G3058" s="3" t="str">
        <f>VLOOKUP(B3058,LifeList!$E$2:$I$2038,4)</f>
        <v>Passeriformes</v>
      </c>
      <c r="H3058" s="3" t="str">
        <f>VLOOKUP(B3058,LifeList!$E$2:$I$2038,5)</f>
        <v>Passerellidae (New World Sparrows)</v>
      </c>
      <c r="I3058" s="3"/>
    </row>
    <row r="3059" spans="1:9" ht="10.5" customHeight="1">
      <c r="A3059" s="3" t="s">
        <v>4259</v>
      </c>
      <c r="B3059" s="3" t="s">
        <v>4255</v>
      </c>
      <c r="C3059" s="3">
        <f>VLOOKUP(B3059,LifeList!$E$2:$J$2038,6)</f>
        <v>33158</v>
      </c>
      <c r="D3059" s="3" t="str">
        <f>VLOOKUP(B3059,LifeList!$E$2:$G$2038,1)</f>
        <v>Rufous-collared Sparrow</v>
      </c>
      <c r="E3059" s="3" t="str">
        <f>VLOOKUP(B3059,LifeList!$E$2:$G$2038,2)</f>
        <v>Bruant chingolo</v>
      </c>
      <c r="F3059" s="3" t="str">
        <f>VLOOKUP(B3059,LifeList!$E$2:$G$2038,3)</f>
        <v>Zonotrichia capensis</v>
      </c>
      <c r="G3059" s="3" t="str">
        <f>VLOOKUP(B3059,LifeList!$E$2:$I$2038,4)</f>
        <v>Passeriformes</v>
      </c>
      <c r="H3059" s="3" t="str">
        <f>VLOOKUP(B3059,LifeList!$E$2:$I$2038,5)</f>
        <v>Passerellidae (New World Sparrows)</v>
      </c>
      <c r="I3059" s="3"/>
    </row>
    <row r="3060" spans="1:9" ht="10.5" customHeight="1">
      <c r="A3060" s="3" t="s">
        <v>4260</v>
      </c>
      <c r="B3060" s="3" t="s">
        <v>4255</v>
      </c>
      <c r="C3060" s="3">
        <f>VLOOKUP(B3060,LifeList!$E$2:$J$2038,6)</f>
        <v>33158</v>
      </c>
      <c r="D3060" s="3" t="str">
        <f>VLOOKUP(B3060,LifeList!$E$2:$G$2038,1)</f>
        <v>Rufous-collared Sparrow</v>
      </c>
      <c r="E3060" s="3" t="str">
        <f>VLOOKUP(B3060,LifeList!$E$2:$G$2038,2)</f>
        <v>Bruant chingolo</v>
      </c>
      <c r="F3060" s="3" t="str">
        <f>VLOOKUP(B3060,LifeList!$E$2:$G$2038,3)</f>
        <v>Zonotrichia capensis</v>
      </c>
      <c r="G3060" s="3" t="str">
        <f>VLOOKUP(B3060,LifeList!$E$2:$I$2038,4)</f>
        <v>Passeriformes</v>
      </c>
      <c r="H3060" s="3" t="str">
        <f>VLOOKUP(B3060,LifeList!$E$2:$I$2038,5)</f>
        <v>Passerellidae (New World Sparrows)</v>
      </c>
      <c r="I3060" s="3"/>
    </row>
    <row r="3061" spans="1:9" ht="10.5" customHeight="1">
      <c r="A3061" s="3" t="s">
        <v>4261</v>
      </c>
      <c r="B3061" s="3" t="s">
        <v>4255</v>
      </c>
      <c r="C3061" s="3">
        <f>VLOOKUP(B3061,LifeList!$E$2:$J$2038,6)</f>
        <v>33158</v>
      </c>
      <c r="D3061" s="3" t="str">
        <f>VLOOKUP(B3061,LifeList!$E$2:$G$2038,1)</f>
        <v>Rufous-collared Sparrow</v>
      </c>
      <c r="E3061" s="3" t="str">
        <f>VLOOKUP(B3061,LifeList!$E$2:$G$2038,2)</f>
        <v>Bruant chingolo</v>
      </c>
      <c r="F3061" s="3" t="str">
        <f>VLOOKUP(B3061,LifeList!$E$2:$G$2038,3)</f>
        <v>Zonotrichia capensis</v>
      </c>
      <c r="G3061" s="3" t="str">
        <f>VLOOKUP(B3061,LifeList!$E$2:$I$2038,4)</f>
        <v>Passeriformes</v>
      </c>
      <c r="H3061" s="3" t="str">
        <f>VLOOKUP(B3061,LifeList!$E$2:$I$2038,5)</f>
        <v>Passerellidae (New World Sparrows)</v>
      </c>
      <c r="I3061" s="3"/>
    </row>
    <row r="3062" spans="1:9" ht="10.5" customHeight="1">
      <c r="A3062" s="3" t="s">
        <v>4262</v>
      </c>
      <c r="B3062" s="3" t="s">
        <v>4255</v>
      </c>
      <c r="C3062" s="3">
        <f>VLOOKUP(B3062,LifeList!$E$2:$J$2038,6)</f>
        <v>33158</v>
      </c>
      <c r="D3062" s="3" t="str">
        <f>VLOOKUP(B3062,LifeList!$E$2:$G$2038,1)</f>
        <v>Rufous-collared Sparrow</v>
      </c>
      <c r="E3062" s="3" t="str">
        <f>VLOOKUP(B3062,LifeList!$E$2:$G$2038,2)</f>
        <v>Bruant chingolo</v>
      </c>
      <c r="F3062" s="3" t="str">
        <f>VLOOKUP(B3062,LifeList!$E$2:$G$2038,3)</f>
        <v>Zonotrichia capensis</v>
      </c>
      <c r="G3062" s="3" t="str">
        <f>VLOOKUP(B3062,LifeList!$E$2:$I$2038,4)</f>
        <v>Passeriformes</v>
      </c>
      <c r="H3062" s="3" t="str">
        <f>VLOOKUP(B3062,LifeList!$E$2:$I$2038,5)</f>
        <v>Passerellidae (New World Sparrows)</v>
      </c>
      <c r="I3062" s="3"/>
    </row>
    <row r="3063" spans="1:9" ht="10.5" customHeight="1">
      <c r="A3063" s="3" t="s">
        <v>4263</v>
      </c>
      <c r="B3063" s="3" t="s">
        <v>4264</v>
      </c>
      <c r="C3063" s="3">
        <f>VLOOKUP(B3063,LifeList!$E$2:$J$2038,6)</f>
        <v>16384</v>
      </c>
      <c r="D3063" s="3" t="str">
        <f>VLOOKUP(B3063,LifeList!$E$2:$G$2038,1)</f>
        <v>Rufous-crowned Tody-Flycatcher</v>
      </c>
      <c r="E3063" s="3" t="str">
        <f>VLOOKUP(B3063,LifeList!$E$2:$G$2038,2)</f>
        <v>Todirostre bariolé</v>
      </c>
      <c r="F3063" s="3" t="str">
        <f>VLOOKUP(B3063,LifeList!$E$2:$G$2038,3)</f>
        <v>Poecilotriccus ruficeps</v>
      </c>
      <c r="G3063" s="3" t="str">
        <f>VLOOKUP(B3063,LifeList!$E$2:$I$2038,4)</f>
        <v>Passeriformes</v>
      </c>
      <c r="H3063" s="3" t="str">
        <f>VLOOKUP(B3063,LifeList!$E$2:$I$2038,5)</f>
        <v>Tyrannidae (Tyrant Flycatchers)</v>
      </c>
      <c r="I3063" s="3"/>
    </row>
    <row r="3064" spans="1:9" ht="10.5" customHeight="1">
      <c r="A3064" s="3" t="s">
        <v>4265</v>
      </c>
      <c r="B3064" s="3" t="s">
        <v>4266</v>
      </c>
      <c r="C3064" s="3">
        <f>VLOOKUP(B3064,LifeList!$E$2:$J$2038,6)</f>
        <v>1154</v>
      </c>
      <c r="D3064" s="3" t="str">
        <f>VLOOKUP(B3064,LifeList!$E$2:$G$2038,1)</f>
        <v>Rufous-fronted Wood-Quail</v>
      </c>
      <c r="E3064" s="3" t="str">
        <f>VLOOKUP(B3064,LifeList!$E$2:$G$2038,2)</f>
        <v>Tocro à front roux</v>
      </c>
      <c r="F3064" s="3" t="str">
        <f>VLOOKUP(B3064,LifeList!$E$2:$G$2038,3)</f>
        <v>Odontophorus erythrops</v>
      </c>
      <c r="G3064" s="3" t="str">
        <f>VLOOKUP(B3064,LifeList!$E$2:$I$2038,4)</f>
        <v>Galliformes</v>
      </c>
      <c r="H3064" s="3" t="str">
        <f>VLOOKUP(B3064,LifeList!$E$2:$I$2038,5)</f>
        <v>Odontophoridae (New World Quail)</v>
      </c>
      <c r="I3064" s="3"/>
    </row>
    <row r="3065" spans="1:9" ht="10.5" customHeight="1">
      <c r="A3065" s="3" t="s">
        <v>4267</v>
      </c>
      <c r="B3065" s="3" t="s">
        <v>4268</v>
      </c>
      <c r="C3065" s="3">
        <f>VLOOKUP(B3065,LifeList!$E$2:$J$2038,6)</f>
        <v>10375</v>
      </c>
      <c r="D3065" s="3" t="str">
        <f>VLOOKUP(B3065,LifeList!$E$2:$G$2038,1)</f>
        <v>Rufous-headed Ground-Roller</v>
      </c>
      <c r="E3065" s="3" t="str">
        <f>VLOOKUP(B3065,LifeList!$E$2:$G$2038,2)</f>
        <v>Brachyptérolle de Crossley</v>
      </c>
      <c r="F3065" s="3" t="str">
        <f>VLOOKUP(B3065,LifeList!$E$2:$G$2038,3)</f>
        <v>Atelornis crossleyi</v>
      </c>
      <c r="G3065" s="3" t="str">
        <f>VLOOKUP(B3065,LifeList!$E$2:$I$2038,4)</f>
        <v>Coraciiformes</v>
      </c>
      <c r="H3065" s="3" t="str">
        <f>VLOOKUP(B3065,LifeList!$E$2:$I$2038,5)</f>
        <v>Brachypteraciidae (Ground-Rollers)</v>
      </c>
      <c r="I3065" s="3"/>
    </row>
    <row r="3066" spans="1:9" ht="10.5" customHeight="1">
      <c r="A3066" s="3" t="s">
        <v>4269</v>
      </c>
      <c r="B3066" s="3" t="s">
        <v>4268</v>
      </c>
      <c r="C3066" s="3">
        <f>VLOOKUP(B3066,LifeList!$E$2:$J$2038,6)</f>
        <v>10375</v>
      </c>
      <c r="D3066" s="3" t="str">
        <f>VLOOKUP(B3066,LifeList!$E$2:$G$2038,1)</f>
        <v>Rufous-headed Ground-Roller</v>
      </c>
      <c r="E3066" s="3" t="str">
        <f>VLOOKUP(B3066,LifeList!$E$2:$G$2038,2)</f>
        <v>Brachyptérolle de Crossley</v>
      </c>
      <c r="F3066" s="3" t="str">
        <f>VLOOKUP(B3066,LifeList!$E$2:$G$2038,3)</f>
        <v>Atelornis crossleyi</v>
      </c>
      <c r="G3066" s="3" t="str">
        <f>VLOOKUP(B3066,LifeList!$E$2:$I$2038,4)</f>
        <v>Coraciiformes</v>
      </c>
      <c r="H3066" s="3" t="str">
        <f>VLOOKUP(B3066,LifeList!$E$2:$I$2038,5)</f>
        <v>Brachypteraciidae (Ground-Rollers)</v>
      </c>
      <c r="I3066" s="3"/>
    </row>
    <row r="3067" spans="1:9" ht="10.5" customHeight="1">
      <c r="A3067" s="3" t="s">
        <v>4270</v>
      </c>
      <c r="B3067" s="3" t="s">
        <v>4271</v>
      </c>
      <c r="C3067" s="3">
        <f>VLOOKUP(B3067,LifeList!$E$2:$J$2038,6)</f>
        <v>22558</v>
      </c>
      <c r="D3067" s="3" t="str">
        <f>VLOOKUP(B3067,LifeList!$E$2:$G$2038,1)</f>
        <v>Rufous-naped Lark</v>
      </c>
      <c r="E3067" s="3" t="str">
        <f>VLOOKUP(B3067,LifeList!$E$2:$G$2038,2)</f>
        <v>Alouette à nuque rousse</v>
      </c>
      <c r="F3067" s="3" t="str">
        <f>VLOOKUP(B3067,LifeList!$E$2:$G$2038,3)</f>
        <v>Corypha africana</v>
      </c>
      <c r="G3067" s="3" t="str">
        <f>VLOOKUP(B3067,LifeList!$E$2:$I$2038,4)</f>
        <v>Passeriformes</v>
      </c>
      <c r="H3067" s="3" t="str">
        <f>VLOOKUP(B3067,LifeList!$E$2:$I$2038,5)</f>
        <v>Alaudidae (Larks)</v>
      </c>
      <c r="I3067" s="3"/>
    </row>
    <row r="3068" spans="1:9" ht="10.5" customHeight="1">
      <c r="A3068" s="3" t="s">
        <v>4272</v>
      </c>
      <c r="B3068" s="3" t="s">
        <v>4271</v>
      </c>
      <c r="C3068" s="3">
        <f>VLOOKUP(B3068,LifeList!$E$2:$J$2038,6)</f>
        <v>22558</v>
      </c>
      <c r="D3068" s="3" t="str">
        <f>VLOOKUP(B3068,LifeList!$E$2:$G$2038,1)</f>
        <v>Rufous-naped Lark</v>
      </c>
      <c r="E3068" s="3" t="str">
        <f>VLOOKUP(B3068,LifeList!$E$2:$G$2038,2)</f>
        <v>Alouette à nuque rousse</v>
      </c>
      <c r="F3068" s="3" t="str">
        <f>VLOOKUP(B3068,LifeList!$E$2:$G$2038,3)</f>
        <v>Corypha africana</v>
      </c>
      <c r="G3068" s="3" t="str">
        <f>VLOOKUP(B3068,LifeList!$E$2:$I$2038,4)</f>
        <v>Passeriformes</v>
      </c>
      <c r="H3068" s="3" t="str">
        <f>VLOOKUP(B3068,LifeList!$E$2:$I$2038,5)</f>
        <v>Alaudidae (Larks)</v>
      </c>
      <c r="I3068" s="3"/>
    </row>
    <row r="3069" spans="1:9" ht="10.5" customHeight="1">
      <c r="A3069" s="3" t="s">
        <v>4273</v>
      </c>
      <c r="B3069" s="3" t="s">
        <v>4274</v>
      </c>
      <c r="C3069" s="3">
        <f>VLOOKUP(B3069,LifeList!$E$2:$J$2038,6)</f>
        <v>5111</v>
      </c>
      <c r="D3069" s="3" t="str">
        <f>VLOOKUP(B3069,LifeList!$E$2:$G$2038,1)</f>
        <v>Rufous-tailed Hummingbird</v>
      </c>
      <c r="E3069" s="3" t="str">
        <f>VLOOKUP(B3069,LifeList!$E$2:$G$2038,2)</f>
        <v>Ariane à ventre gris</v>
      </c>
      <c r="F3069" s="3" t="str">
        <f>VLOOKUP(B3069,LifeList!$E$2:$G$2038,3)</f>
        <v>Amazilia tzacatl</v>
      </c>
      <c r="G3069" s="3" t="str">
        <f>VLOOKUP(B3069,LifeList!$E$2:$I$2038,4)</f>
        <v>Apodiformes</v>
      </c>
      <c r="H3069" s="3" t="str">
        <f>VLOOKUP(B3069,LifeList!$E$2:$I$2038,5)</f>
        <v>Trochilidae (Hummingbirds)</v>
      </c>
      <c r="I3069" s="3"/>
    </row>
    <row r="3070" spans="1:9" ht="10.5" customHeight="1">
      <c r="A3070" s="3" t="s">
        <v>4275</v>
      </c>
      <c r="B3070" s="3" t="s">
        <v>4274</v>
      </c>
      <c r="C3070" s="3">
        <f>VLOOKUP(B3070,LifeList!$E$2:$J$2038,6)</f>
        <v>5111</v>
      </c>
      <c r="D3070" s="3" t="str">
        <f>VLOOKUP(B3070,LifeList!$E$2:$G$2038,1)</f>
        <v>Rufous-tailed Hummingbird</v>
      </c>
      <c r="E3070" s="3" t="str">
        <f>VLOOKUP(B3070,LifeList!$E$2:$G$2038,2)</f>
        <v>Ariane à ventre gris</v>
      </c>
      <c r="F3070" s="3" t="str">
        <f>VLOOKUP(B3070,LifeList!$E$2:$G$2038,3)</f>
        <v>Amazilia tzacatl</v>
      </c>
      <c r="G3070" s="3" t="str">
        <f>VLOOKUP(B3070,LifeList!$E$2:$I$2038,4)</f>
        <v>Apodiformes</v>
      </c>
      <c r="H3070" s="3" t="str">
        <f>VLOOKUP(B3070,LifeList!$E$2:$I$2038,5)</f>
        <v>Trochilidae (Hummingbirds)</v>
      </c>
      <c r="I3070" s="3"/>
    </row>
    <row r="3071" spans="1:9" ht="10.5" customHeight="1">
      <c r="A3071" s="3" t="s">
        <v>4276</v>
      </c>
      <c r="B3071" s="3" t="s">
        <v>4274</v>
      </c>
      <c r="C3071" s="3">
        <f>VLOOKUP(B3071,LifeList!$E$2:$J$2038,6)</f>
        <v>5111</v>
      </c>
      <c r="D3071" s="3" t="str">
        <f>VLOOKUP(B3071,LifeList!$E$2:$G$2038,1)</f>
        <v>Rufous-tailed Hummingbird</v>
      </c>
      <c r="E3071" s="3" t="str">
        <f>VLOOKUP(B3071,LifeList!$E$2:$G$2038,2)</f>
        <v>Ariane à ventre gris</v>
      </c>
      <c r="F3071" s="3" t="str">
        <f>VLOOKUP(B3071,LifeList!$E$2:$G$2038,3)</f>
        <v>Amazilia tzacatl</v>
      </c>
      <c r="G3071" s="3" t="str">
        <f>VLOOKUP(B3071,LifeList!$E$2:$I$2038,4)</f>
        <v>Apodiformes</v>
      </c>
      <c r="H3071" s="3" t="str">
        <f>VLOOKUP(B3071,LifeList!$E$2:$I$2038,5)</f>
        <v>Trochilidae (Hummingbirds)</v>
      </c>
      <c r="I3071" s="3"/>
    </row>
    <row r="3072" spans="1:9" ht="10.5" customHeight="1">
      <c r="A3072" s="3" t="s">
        <v>4277</v>
      </c>
      <c r="B3072" s="3" t="s">
        <v>4274</v>
      </c>
      <c r="C3072" s="3">
        <f>VLOOKUP(B3072,LifeList!$E$2:$J$2038,6)</f>
        <v>5111</v>
      </c>
      <c r="D3072" s="3" t="str">
        <f>VLOOKUP(B3072,LifeList!$E$2:$G$2038,1)</f>
        <v>Rufous-tailed Hummingbird</v>
      </c>
      <c r="E3072" s="3" t="str">
        <f>VLOOKUP(B3072,LifeList!$E$2:$G$2038,2)</f>
        <v>Ariane à ventre gris</v>
      </c>
      <c r="F3072" s="3" t="str">
        <f>VLOOKUP(B3072,LifeList!$E$2:$G$2038,3)</f>
        <v>Amazilia tzacatl</v>
      </c>
      <c r="G3072" s="3" t="str">
        <f>VLOOKUP(B3072,LifeList!$E$2:$I$2038,4)</f>
        <v>Apodiformes</v>
      </c>
      <c r="H3072" s="3" t="str">
        <f>VLOOKUP(B3072,LifeList!$E$2:$I$2038,5)</f>
        <v>Trochilidae (Hummingbirds)</v>
      </c>
      <c r="I3072" s="3"/>
    </row>
    <row r="3073" spans="1:9" ht="10.5" customHeight="1">
      <c r="A3073" s="3" t="s">
        <v>4278</v>
      </c>
      <c r="B3073" s="3" t="s">
        <v>4274</v>
      </c>
      <c r="C3073" s="3">
        <f>VLOOKUP(B3073,LifeList!$E$2:$J$2038,6)</f>
        <v>5111</v>
      </c>
      <c r="D3073" s="3" t="str">
        <f>VLOOKUP(B3073,LifeList!$E$2:$G$2038,1)</f>
        <v>Rufous-tailed Hummingbird</v>
      </c>
      <c r="E3073" s="3" t="str">
        <f>VLOOKUP(B3073,LifeList!$E$2:$G$2038,2)</f>
        <v>Ariane à ventre gris</v>
      </c>
      <c r="F3073" s="3" t="str">
        <f>VLOOKUP(B3073,LifeList!$E$2:$G$2038,3)</f>
        <v>Amazilia tzacatl</v>
      </c>
      <c r="G3073" s="3" t="str">
        <f>VLOOKUP(B3073,LifeList!$E$2:$I$2038,4)</f>
        <v>Apodiformes</v>
      </c>
      <c r="H3073" s="3" t="str">
        <f>VLOOKUP(B3073,LifeList!$E$2:$I$2038,5)</f>
        <v>Trochilidae (Hummingbirds)</v>
      </c>
      <c r="I3073" s="3"/>
    </row>
    <row r="3074" spans="1:9" ht="10.5" customHeight="1">
      <c r="A3074" s="3" t="s">
        <v>4279</v>
      </c>
      <c r="B3074" s="3" t="s">
        <v>4280</v>
      </c>
      <c r="C3074" s="3">
        <f>VLOOKUP(B3074,LifeList!$E$2:$J$2038,6)</f>
        <v>10499</v>
      </c>
      <c r="D3074" s="3" t="str">
        <f>VLOOKUP(B3074,LifeList!$E$2:$G$2038,1)</f>
        <v>Rufous-tailed Jacamar</v>
      </c>
      <c r="E3074" s="3" t="str">
        <f>VLOOKUP(B3074,LifeList!$E$2:$G$2038,2)</f>
        <v>Jacamar à queue rousse</v>
      </c>
      <c r="F3074" s="3" t="str">
        <f>VLOOKUP(B3074,LifeList!$E$2:$G$2038,3)</f>
        <v>Galbula ruficauda</v>
      </c>
      <c r="G3074" s="3" t="str">
        <f>VLOOKUP(B3074,LifeList!$E$2:$I$2038,4)</f>
        <v>Piciformes</v>
      </c>
      <c r="H3074" s="3" t="str">
        <f>VLOOKUP(B3074,LifeList!$E$2:$I$2038,5)</f>
        <v>Galbulidae (Jacamars)</v>
      </c>
      <c r="I3074" s="3"/>
    </row>
    <row r="3075" spans="1:9" ht="10.5" customHeight="1">
      <c r="A3075" s="3" t="s">
        <v>4281</v>
      </c>
      <c r="B3075" s="3" t="s">
        <v>4280</v>
      </c>
      <c r="C3075" s="3">
        <f>VLOOKUP(B3075,LifeList!$E$2:$J$2038,6)</f>
        <v>10499</v>
      </c>
      <c r="D3075" s="3" t="str">
        <f>VLOOKUP(B3075,LifeList!$E$2:$G$2038,1)</f>
        <v>Rufous-tailed Jacamar</v>
      </c>
      <c r="E3075" s="3" t="str">
        <f>VLOOKUP(B3075,LifeList!$E$2:$G$2038,2)</f>
        <v>Jacamar à queue rousse</v>
      </c>
      <c r="F3075" s="3" t="str">
        <f>VLOOKUP(B3075,LifeList!$E$2:$G$2038,3)</f>
        <v>Galbula ruficauda</v>
      </c>
      <c r="G3075" s="3" t="str">
        <f>VLOOKUP(B3075,LifeList!$E$2:$I$2038,4)</f>
        <v>Piciformes</v>
      </c>
      <c r="H3075" s="3" t="str">
        <f>VLOOKUP(B3075,LifeList!$E$2:$I$2038,5)</f>
        <v>Galbulidae (Jacamars)</v>
      </c>
      <c r="I3075" s="3"/>
    </row>
    <row r="3076" spans="1:9" ht="10.5" customHeight="1">
      <c r="A3076" s="3" t="s">
        <v>4282</v>
      </c>
      <c r="B3076" s="3" t="s">
        <v>4280</v>
      </c>
      <c r="C3076" s="3">
        <f>VLOOKUP(B3076,LifeList!$E$2:$J$2038,6)</f>
        <v>10499</v>
      </c>
      <c r="D3076" s="3" t="str">
        <f>VLOOKUP(B3076,LifeList!$E$2:$G$2038,1)</f>
        <v>Rufous-tailed Jacamar</v>
      </c>
      <c r="E3076" s="3" t="str">
        <f>VLOOKUP(B3076,LifeList!$E$2:$G$2038,2)</f>
        <v>Jacamar à queue rousse</v>
      </c>
      <c r="F3076" s="3" t="str">
        <f>VLOOKUP(B3076,LifeList!$E$2:$G$2038,3)</f>
        <v>Galbula ruficauda</v>
      </c>
      <c r="G3076" s="3" t="str">
        <f>VLOOKUP(B3076,LifeList!$E$2:$I$2038,4)</f>
        <v>Piciformes</v>
      </c>
      <c r="H3076" s="3" t="str">
        <f>VLOOKUP(B3076,LifeList!$E$2:$I$2038,5)</f>
        <v>Galbulidae (Jacamars)</v>
      </c>
      <c r="I3076" s="3"/>
    </row>
    <row r="3077" spans="1:9" ht="10.5" customHeight="1">
      <c r="A3077" s="3" t="s">
        <v>4283</v>
      </c>
      <c r="B3077" s="3" t="s">
        <v>4280</v>
      </c>
      <c r="C3077" s="3">
        <f>VLOOKUP(B3077,LifeList!$E$2:$J$2038,6)</f>
        <v>10499</v>
      </c>
      <c r="D3077" s="3" t="str">
        <f>VLOOKUP(B3077,LifeList!$E$2:$G$2038,1)</f>
        <v>Rufous-tailed Jacamar</v>
      </c>
      <c r="E3077" s="3" t="str">
        <f>VLOOKUP(B3077,LifeList!$E$2:$G$2038,2)</f>
        <v>Jacamar à queue rousse</v>
      </c>
      <c r="F3077" s="3" t="str">
        <f>VLOOKUP(B3077,LifeList!$E$2:$G$2038,3)</f>
        <v>Galbula ruficauda</v>
      </c>
      <c r="G3077" s="3" t="str">
        <f>VLOOKUP(B3077,LifeList!$E$2:$I$2038,4)</f>
        <v>Piciformes</v>
      </c>
      <c r="H3077" s="3" t="str">
        <f>VLOOKUP(B3077,LifeList!$E$2:$I$2038,5)</f>
        <v>Galbulidae (Jacamars)</v>
      </c>
      <c r="I3077" s="3"/>
    </row>
    <row r="3078" spans="1:9" ht="10.5" customHeight="1">
      <c r="A3078" s="3" t="s">
        <v>4284</v>
      </c>
      <c r="B3078" s="3" t="s">
        <v>4280</v>
      </c>
      <c r="C3078" s="3">
        <f>VLOOKUP(B3078,LifeList!$E$2:$J$2038,6)</f>
        <v>10499</v>
      </c>
      <c r="D3078" s="3" t="str">
        <f>VLOOKUP(B3078,LifeList!$E$2:$G$2038,1)</f>
        <v>Rufous-tailed Jacamar</v>
      </c>
      <c r="E3078" s="3" t="str">
        <f>VLOOKUP(B3078,LifeList!$E$2:$G$2038,2)</f>
        <v>Jacamar à queue rousse</v>
      </c>
      <c r="F3078" s="3" t="str">
        <f>VLOOKUP(B3078,LifeList!$E$2:$G$2038,3)</f>
        <v>Galbula ruficauda</v>
      </c>
      <c r="G3078" s="3" t="str">
        <f>VLOOKUP(B3078,LifeList!$E$2:$I$2038,4)</f>
        <v>Piciformes</v>
      </c>
      <c r="H3078" s="3" t="str">
        <f>VLOOKUP(B3078,LifeList!$E$2:$I$2038,5)</f>
        <v>Galbulidae (Jacamars)</v>
      </c>
      <c r="I3078" s="3"/>
    </row>
    <row r="3079" spans="1:9" ht="10.5" customHeight="1">
      <c r="A3079" s="3" t="s">
        <v>4285</v>
      </c>
      <c r="B3079" s="3" t="s">
        <v>4280</v>
      </c>
      <c r="C3079" s="3">
        <f>VLOOKUP(B3079,LifeList!$E$2:$J$2038,6)</f>
        <v>10499</v>
      </c>
      <c r="D3079" s="3" t="str">
        <f>VLOOKUP(B3079,LifeList!$E$2:$G$2038,1)</f>
        <v>Rufous-tailed Jacamar</v>
      </c>
      <c r="E3079" s="3" t="str">
        <f>VLOOKUP(B3079,LifeList!$E$2:$G$2038,2)</f>
        <v>Jacamar à queue rousse</v>
      </c>
      <c r="F3079" s="3" t="str">
        <f>VLOOKUP(B3079,LifeList!$E$2:$G$2038,3)</f>
        <v>Galbula ruficauda</v>
      </c>
      <c r="G3079" s="3" t="str">
        <f>VLOOKUP(B3079,LifeList!$E$2:$I$2038,4)</f>
        <v>Piciformes</v>
      </c>
      <c r="H3079" s="3" t="str">
        <f>VLOOKUP(B3079,LifeList!$E$2:$I$2038,5)</f>
        <v>Galbulidae (Jacamars)</v>
      </c>
      <c r="I3079" s="3"/>
    </row>
    <row r="3080" spans="1:9" ht="10.5" customHeight="1">
      <c r="A3080" s="3" t="s">
        <v>4286</v>
      </c>
      <c r="B3080" s="3" t="s">
        <v>4287</v>
      </c>
      <c r="C3080" s="3">
        <f>VLOOKUP(B3080,LifeList!$E$2:$J$2038,6)</f>
        <v>34965</v>
      </c>
      <c r="D3080" s="3" t="str">
        <f>VLOOKUP(B3080,LifeList!$E$2:$G$2038,1)</f>
        <v>Rufous-throated Tanager</v>
      </c>
      <c r="E3080" s="3" t="str">
        <f>VLOOKUP(B3080,LifeList!$E$2:$G$2038,2)</f>
        <v>Calliste à gorge rousse</v>
      </c>
      <c r="F3080" s="3" t="str">
        <f>VLOOKUP(B3080,LifeList!$E$2:$G$2038,3)</f>
        <v>Ixothraupis rufigula</v>
      </c>
      <c r="G3080" s="3" t="str">
        <f>VLOOKUP(B3080,LifeList!$E$2:$I$2038,4)</f>
        <v>Passeriformes</v>
      </c>
      <c r="H3080" s="3" t="str">
        <f>VLOOKUP(B3080,LifeList!$E$2:$I$2038,5)</f>
        <v>Thraupidae (Tanagers and Allies)</v>
      </c>
      <c r="I3080" s="3"/>
    </row>
    <row r="3081" spans="1:9" ht="10.5" customHeight="1">
      <c r="A3081" s="3" t="s">
        <v>4288</v>
      </c>
      <c r="B3081" s="3" t="s">
        <v>4289</v>
      </c>
      <c r="C3081" s="3">
        <f>VLOOKUP(B3081,LifeList!$E$2:$J$2038,6)</f>
        <v>971</v>
      </c>
      <c r="D3081" s="3" t="str">
        <f>VLOOKUP(B3081,LifeList!$E$2:$G$2038,1)</f>
        <v>Rufous-vented Chachalaca</v>
      </c>
      <c r="E3081" s="3" t="str">
        <f>VLOOKUP(B3081,LifeList!$E$2:$G$2038,2)</f>
        <v>Ortalide à ventre roux</v>
      </c>
      <c r="F3081" s="3" t="str">
        <f>VLOOKUP(B3081,LifeList!$E$2:$G$2038,3)</f>
        <v>Ortalis ruficauda</v>
      </c>
      <c r="G3081" s="3" t="str">
        <f>VLOOKUP(B3081,LifeList!$E$2:$I$2038,4)</f>
        <v>Galliformes</v>
      </c>
      <c r="H3081" s="3" t="str">
        <f>VLOOKUP(B3081,LifeList!$E$2:$I$2038,5)</f>
        <v>Cracidae (Guans, Chachalacas, and Curassows)</v>
      </c>
      <c r="I3081" s="3"/>
    </row>
    <row r="3082" spans="1:9" ht="10.5" customHeight="1">
      <c r="A3082" s="3" t="s">
        <v>4290</v>
      </c>
      <c r="B3082" s="3" t="s">
        <v>4289</v>
      </c>
      <c r="C3082" s="3">
        <f>VLOOKUP(B3082,LifeList!$E$2:$J$2038,6)</f>
        <v>971</v>
      </c>
      <c r="D3082" s="3" t="str">
        <f>VLOOKUP(B3082,LifeList!$E$2:$G$2038,1)</f>
        <v>Rufous-vented Chachalaca</v>
      </c>
      <c r="E3082" s="3" t="str">
        <f>VLOOKUP(B3082,LifeList!$E$2:$G$2038,2)</f>
        <v>Ortalide à ventre roux</v>
      </c>
      <c r="F3082" s="3" t="str">
        <f>VLOOKUP(B3082,LifeList!$E$2:$G$2038,3)</f>
        <v>Ortalis ruficauda</v>
      </c>
      <c r="G3082" s="3" t="str">
        <f>VLOOKUP(B3082,LifeList!$E$2:$I$2038,4)</f>
        <v>Galliformes</v>
      </c>
      <c r="H3082" s="3" t="str">
        <f>VLOOKUP(B3082,LifeList!$E$2:$I$2038,5)</f>
        <v>Cracidae (Guans, Chachalacas, and Curassows)</v>
      </c>
      <c r="I3082" s="3"/>
    </row>
    <row r="3083" spans="1:9" ht="10.5" customHeight="1">
      <c r="A3083" s="3" t="s">
        <v>4291</v>
      </c>
      <c r="B3083" s="3" t="s">
        <v>4292</v>
      </c>
      <c r="C3083" s="3">
        <f>VLOOKUP(B3083,LifeList!$E$2:$J$2038,6)</f>
        <v>11835</v>
      </c>
      <c r="D3083" s="3" t="str">
        <f>VLOOKUP(B3083,LifeList!$E$2:$G$2038,1)</f>
        <v>Rufous-winged Woodpecker</v>
      </c>
      <c r="E3083" s="3" t="str">
        <f>VLOOKUP(B3083,LifeList!$E$2:$G$2038,2)</f>
        <v>Pic à ailes rousses</v>
      </c>
      <c r="F3083" s="3" t="str">
        <f>VLOOKUP(B3083,LifeList!$E$2:$G$2038,3)</f>
        <v>Piculus simplex</v>
      </c>
      <c r="G3083" s="3" t="str">
        <f>VLOOKUP(B3083,LifeList!$E$2:$I$2038,4)</f>
        <v>Piciformes</v>
      </c>
      <c r="H3083" s="3" t="str">
        <f>VLOOKUP(B3083,LifeList!$E$2:$I$2038,5)</f>
        <v>Picidae (Woodpeckers)</v>
      </c>
      <c r="I3083" s="3"/>
    </row>
    <row r="3084" spans="1:9" ht="10.5" customHeight="1">
      <c r="A3084" s="3" t="s">
        <v>4293</v>
      </c>
      <c r="B3084" s="3" t="s">
        <v>4294</v>
      </c>
      <c r="C3084" s="3">
        <f>VLOOKUP(B3084,LifeList!$E$2:$J$2038,6)</f>
        <v>3071</v>
      </c>
      <c r="D3084" s="3" t="str">
        <f>VLOOKUP(B3084,LifeList!$E$2:$G$2038,1)</f>
        <v>Running Coua</v>
      </c>
      <c r="E3084" s="3" t="str">
        <f>VLOOKUP(B3084,LifeList!$E$2:$G$2038,2)</f>
        <v>Coua coureur</v>
      </c>
      <c r="F3084" s="3" t="str">
        <f>VLOOKUP(B3084,LifeList!$E$2:$G$2038,3)</f>
        <v>Coua cursor</v>
      </c>
      <c r="G3084" s="3" t="str">
        <f>VLOOKUP(B3084,LifeList!$E$2:$I$2038,4)</f>
        <v>Cuculiformes</v>
      </c>
      <c r="H3084" s="3" t="str">
        <f>VLOOKUP(B3084,LifeList!$E$2:$I$2038,5)</f>
        <v>Cuculidae (Cuckoos)</v>
      </c>
      <c r="I3084" s="3"/>
    </row>
    <row r="3085" spans="1:9" ht="10.5" customHeight="1">
      <c r="A3085" s="7" t="s">
        <v>4295</v>
      </c>
      <c r="B3085" s="8" t="s">
        <v>4296</v>
      </c>
      <c r="C3085" s="6">
        <f>VLOOKUP(B3085,LifeList!$E$2:$J$2038,6)</f>
        <v>27949</v>
      </c>
      <c r="D3085" s="3" t="str">
        <f>VLOOKUP(B3085,LifeList!$E$2:$G$2038,1)</f>
        <v>Rüppell's Starling</v>
      </c>
      <c r="E3085" s="3" t="str">
        <f>VLOOKUP(B3085,LifeList!$E$2:$G$2038,2)</f>
        <v>Choucador de Rüppell</v>
      </c>
      <c r="F3085" s="3" t="str">
        <f>VLOOKUP(B3085,LifeList!$E$2:$G$2038,3)</f>
        <v>Lamprotornis purpuroptera</v>
      </c>
      <c r="G3085" s="3" t="str">
        <f>VLOOKUP(B3085,LifeList!$E$2:$I$2038,4)</f>
        <v>Passeriformes</v>
      </c>
      <c r="H3085" s="3" t="str">
        <f>VLOOKUP(B3085,LifeList!$E$2:$I$2038,5)</f>
        <v>Sturnidae (Starlings)</v>
      </c>
      <c r="I3085" s="3"/>
    </row>
    <row r="3086" spans="1:9" ht="10.5" customHeight="1">
      <c r="A3086" s="3" t="s">
        <v>4297</v>
      </c>
      <c r="B3086" s="3" t="s">
        <v>4296</v>
      </c>
      <c r="C3086" s="3">
        <f>VLOOKUP(B3086,LifeList!$E$2:$J$2038,6)</f>
        <v>27949</v>
      </c>
      <c r="D3086" s="3" t="str">
        <f>VLOOKUP(B3086,LifeList!$E$2:$G$2038,1)</f>
        <v>Rüppell's Starling</v>
      </c>
      <c r="E3086" s="3" t="str">
        <f>VLOOKUP(B3086,LifeList!$E$2:$G$2038,2)</f>
        <v>Choucador de Rüppell</v>
      </c>
      <c r="F3086" s="3" t="str">
        <f>VLOOKUP(B3086,LifeList!$E$2:$G$2038,3)</f>
        <v>Lamprotornis purpuroptera</v>
      </c>
      <c r="G3086" s="3" t="str">
        <f>VLOOKUP(B3086,LifeList!$E$2:$I$2038,4)</f>
        <v>Passeriformes</v>
      </c>
      <c r="H3086" s="3" t="str">
        <f>VLOOKUP(B3086,LifeList!$E$2:$I$2038,5)</f>
        <v>Sturnidae (Starlings)</v>
      </c>
      <c r="I3086" s="3"/>
    </row>
    <row r="3087" spans="1:9" ht="10.5" customHeight="1">
      <c r="A3087" s="3" t="s">
        <v>4298</v>
      </c>
      <c r="B3087" s="3" t="s">
        <v>4299</v>
      </c>
      <c r="C3087" s="3">
        <f>VLOOKUP(B3087,LifeList!$E$2:$J$2038,6)</f>
        <v>34334</v>
      </c>
      <c r="D3087" s="3" t="str">
        <f>VLOOKUP(B3087,LifeList!$E$2:$G$2038,1)</f>
        <v>Russet-crowned Warbler</v>
      </c>
      <c r="E3087" s="3" t="str">
        <f>VLOOKUP(B3087,LifeList!$E$2:$G$2038,2)</f>
        <v>Paruline à diadème</v>
      </c>
      <c r="F3087" s="3" t="str">
        <f>VLOOKUP(B3087,LifeList!$E$2:$G$2038,3)</f>
        <v>Myiothlypis coronata</v>
      </c>
      <c r="G3087" s="3" t="str">
        <f>VLOOKUP(B3087,LifeList!$E$2:$I$2038,4)</f>
        <v>Passeriformes</v>
      </c>
      <c r="H3087" s="3" t="str">
        <f>VLOOKUP(B3087,LifeList!$E$2:$I$2038,5)</f>
        <v>Parulidae (New World Warblers)</v>
      </c>
      <c r="I3087" s="3"/>
    </row>
    <row r="3088" spans="1:9" ht="10.5" customHeight="1">
      <c r="A3088" s="3" t="s">
        <v>4300</v>
      </c>
      <c r="B3088" s="3" t="s">
        <v>4301</v>
      </c>
      <c r="C3088" s="3">
        <f>VLOOKUP(B3088,LifeList!$E$2:$J$2038,6)</f>
        <v>5440</v>
      </c>
      <c r="D3088" s="3" t="str">
        <f>VLOOKUP(B3088,LifeList!$E$2:$G$2038,1)</f>
        <v>Russet-naped Wood-Rail</v>
      </c>
      <c r="E3088" s="3" t="str">
        <f>VLOOKUP(B3088,LifeList!$E$2:$G$2038,2)</f>
        <v>Râle à ventre blanc</v>
      </c>
      <c r="F3088" s="3" t="str">
        <f>VLOOKUP(B3088,LifeList!$E$2:$G$2038,3)</f>
        <v>Aramides albiventris</v>
      </c>
      <c r="G3088" s="3" t="str">
        <f>VLOOKUP(B3088,LifeList!$E$2:$I$2038,4)</f>
        <v>Gruiformes</v>
      </c>
      <c r="H3088" s="3" t="str">
        <f>VLOOKUP(B3088,LifeList!$E$2:$I$2038,5)</f>
        <v>Rallidae (Rails, Gallinules, and Coots)</v>
      </c>
      <c r="I3088" s="3"/>
    </row>
    <row r="3089" spans="1:9" ht="10.5" customHeight="1">
      <c r="A3089" s="3" t="s">
        <v>4302</v>
      </c>
      <c r="B3089" s="3" t="s">
        <v>4303</v>
      </c>
      <c r="C3089" s="3">
        <f>VLOOKUP(B3089,LifeList!$E$2:$J$2038,6)</f>
        <v>10407</v>
      </c>
      <c r="D3089" s="3" t="str">
        <f>VLOOKUP(B3089,LifeList!$E$2:$G$2038,1)</f>
        <v>Russet-throated Puffbird</v>
      </c>
      <c r="E3089" s="3" t="str">
        <f>VLOOKUP(B3089,LifeList!$E$2:$G$2038,2)</f>
        <v>Tamatia à gorge rousse</v>
      </c>
      <c r="F3089" s="3" t="str">
        <f>VLOOKUP(B3089,LifeList!$E$2:$G$2038,3)</f>
        <v>Hypnelus ruficollis</v>
      </c>
      <c r="G3089" s="3" t="str">
        <f>VLOOKUP(B3089,LifeList!$E$2:$I$2038,4)</f>
        <v>Piciformes</v>
      </c>
      <c r="H3089" s="3" t="str">
        <f>VLOOKUP(B3089,LifeList!$E$2:$I$2038,5)</f>
        <v>Bucconidae (Puffbirds)</v>
      </c>
      <c r="I3089" s="3"/>
    </row>
    <row r="3090" spans="1:9" ht="10.5" customHeight="1">
      <c r="A3090" s="3" t="s">
        <v>4304</v>
      </c>
      <c r="B3090" s="3" t="s">
        <v>4303</v>
      </c>
      <c r="C3090" s="3">
        <f>VLOOKUP(B3090,LifeList!$E$2:$J$2038,6)</f>
        <v>10407</v>
      </c>
      <c r="D3090" s="3" t="str">
        <f>VLOOKUP(B3090,LifeList!$E$2:$G$2038,1)</f>
        <v>Russet-throated Puffbird</v>
      </c>
      <c r="E3090" s="3" t="str">
        <f>VLOOKUP(B3090,LifeList!$E$2:$G$2038,2)</f>
        <v>Tamatia à gorge rousse</v>
      </c>
      <c r="F3090" s="3" t="str">
        <f>VLOOKUP(B3090,LifeList!$E$2:$G$2038,3)</f>
        <v>Hypnelus ruficollis</v>
      </c>
      <c r="G3090" s="3" t="str">
        <f>VLOOKUP(B3090,LifeList!$E$2:$I$2038,4)</f>
        <v>Piciformes</v>
      </c>
      <c r="H3090" s="3" t="str">
        <f>VLOOKUP(B3090,LifeList!$E$2:$I$2038,5)</f>
        <v>Bucconidae (Puffbirds)</v>
      </c>
      <c r="I3090" s="3"/>
    </row>
    <row r="3091" spans="1:9" ht="10.5" customHeight="1">
      <c r="A3091" s="3" t="s">
        <v>4305</v>
      </c>
      <c r="B3091" s="3" t="s">
        <v>4303</v>
      </c>
      <c r="C3091" s="3">
        <f>VLOOKUP(B3091,LifeList!$E$2:$J$2038,6)</f>
        <v>10407</v>
      </c>
      <c r="D3091" s="3" t="str">
        <f>VLOOKUP(B3091,LifeList!$E$2:$G$2038,1)</f>
        <v>Russet-throated Puffbird</v>
      </c>
      <c r="E3091" s="3" t="str">
        <f>VLOOKUP(B3091,LifeList!$E$2:$G$2038,2)</f>
        <v>Tamatia à gorge rousse</v>
      </c>
      <c r="F3091" s="3" t="str">
        <f>VLOOKUP(B3091,LifeList!$E$2:$G$2038,3)</f>
        <v>Hypnelus ruficollis</v>
      </c>
      <c r="G3091" s="3" t="str">
        <f>VLOOKUP(B3091,LifeList!$E$2:$I$2038,4)</f>
        <v>Piciformes</v>
      </c>
      <c r="H3091" s="3" t="str">
        <f>VLOOKUP(B3091,LifeList!$E$2:$I$2038,5)</f>
        <v>Bucconidae (Puffbirds)</v>
      </c>
      <c r="I3091" s="3"/>
    </row>
    <row r="3092" spans="1:9" ht="10.5" customHeight="1">
      <c r="A3092" s="5" t="s">
        <v>4306</v>
      </c>
      <c r="B3092" s="3" t="s">
        <v>4307</v>
      </c>
      <c r="C3092" s="3">
        <f>VLOOKUP(B3092,LifeList!$E$2:$J$2038,6)</f>
        <v>33848</v>
      </c>
      <c r="D3092" s="3" t="str">
        <f>VLOOKUP(B3092,LifeList!$E$2:$G$2038,1)</f>
        <v>Rusty Blackbird</v>
      </c>
      <c r="E3092" s="3" t="str">
        <f>VLOOKUP(B3092,LifeList!$E$2:$G$2038,2)</f>
        <v>Quiscale rouilleux</v>
      </c>
      <c r="F3092" s="3" t="str">
        <f>VLOOKUP(B3092,LifeList!$E$2:$G$2038,3)</f>
        <v>Euphagus carolinus</v>
      </c>
      <c r="G3092" s="3" t="str">
        <f>VLOOKUP(B3092,LifeList!$E$2:$I$2038,4)</f>
        <v>Passeriformes</v>
      </c>
      <c r="H3092" s="3" t="str">
        <f>VLOOKUP(B3092,LifeList!$E$2:$I$2038,5)</f>
        <v>Icteridae (Troupials and Allies)</v>
      </c>
      <c r="I3092" s="3"/>
    </row>
    <row r="3093" spans="1:9" ht="10.5" customHeight="1">
      <c r="A3093" s="3" t="s">
        <v>4308</v>
      </c>
      <c r="B3093" s="3" t="s">
        <v>4309</v>
      </c>
      <c r="C3093" s="3">
        <f>VLOOKUP(B3093,LifeList!$E$2:$J$2038,6)</f>
        <v>33848</v>
      </c>
      <c r="D3093" s="3" t="str">
        <f>VLOOKUP(B3093,LifeList!$E$2:$G$2038,1)</f>
        <v>Rusty Blackbird</v>
      </c>
      <c r="E3093" s="3" t="str">
        <f>VLOOKUP(B3093,LifeList!$E$2:$G$2038,2)</f>
        <v>Quiscale rouilleux</v>
      </c>
      <c r="F3093" s="3" t="str">
        <f>VLOOKUP(B3093,LifeList!$E$2:$G$2038,3)</f>
        <v>Euphagus carolinus</v>
      </c>
      <c r="G3093" s="3" t="str">
        <f>VLOOKUP(B3093,LifeList!$E$2:$I$2038,4)</f>
        <v>Passeriformes</v>
      </c>
      <c r="H3093" s="3" t="str">
        <f>VLOOKUP(B3093,LifeList!$E$2:$I$2038,5)</f>
        <v>Icteridae (Troupials and Allies)</v>
      </c>
      <c r="I3093" s="3"/>
    </row>
    <row r="3094" spans="1:9" ht="10.5" customHeight="1">
      <c r="A3094" s="3" t="s">
        <v>4310</v>
      </c>
      <c r="B3094" s="3" t="s">
        <v>4309</v>
      </c>
      <c r="C3094" s="3">
        <f>VLOOKUP(B3094,LifeList!$E$2:$J$2038,6)</f>
        <v>33848</v>
      </c>
      <c r="D3094" s="3" t="str">
        <f>VLOOKUP(B3094,LifeList!$E$2:$G$2038,1)</f>
        <v>Rusty Blackbird</v>
      </c>
      <c r="E3094" s="3" t="str">
        <f>VLOOKUP(B3094,LifeList!$E$2:$G$2038,2)</f>
        <v>Quiscale rouilleux</v>
      </c>
      <c r="F3094" s="3" t="str">
        <f>VLOOKUP(B3094,LifeList!$E$2:$G$2038,3)</f>
        <v>Euphagus carolinus</v>
      </c>
      <c r="G3094" s="3" t="str">
        <f>VLOOKUP(B3094,LifeList!$E$2:$I$2038,4)</f>
        <v>Passeriformes</v>
      </c>
      <c r="H3094" s="3" t="str">
        <f>VLOOKUP(B3094,LifeList!$E$2:$I$2038,5)</f>
        <v>Icteridae (Troupials and Allies)</v>
      </c>
      <c r="I3094" s="3"/>
    </row>
    <row r="3095" spans="1:9" ht="10.5" customHeight="1">
      <c r="A3095" s="3" t="s">
        <v>4311</v>
      </c>
      <c r="B3095" s="3" t="s">
        <v>4312</v>
      </c>
      <c r="C3095" s="3">
        <f>VLOOKUP(B3095,LifeList!$E$2:$J$2038,6)</f>
        <v>35313</v>
      </c>
      <c r="D3095" s="3" t="str">
        <f>VLOOKUP(B3095,LifeList!$E$2:$G$2038,1)</f>
        <v>Rusty Flowerpiercer</v>
      </c>
      <c r="E3095" s="3" t="str">
        <f>VLOOKUP(B3095,LifeList!$E$2:$G$2038,2)</f>
        <v>Percefleur rouilleux</v>
      </c>
      <c r="F3095" s="3" t="str">
        <f>VLOOKUP(B3095,LifeList!$E$2:$G$2038,3)</f>
        <v>Diglossa sittoides</v>
      </c>
      <c r="G3095" s="3" t="str">
        <f>VLOOKUP(B3095,LifeList!$E$2:$I$2038,4)</f>
        <v>Passeriformes</v>
      </c>
      <c r="H3095" s="3" t="str">
        <f>VLOOKUP(B3095,LifeList!$E$2:$I$2038,5)</f>
        <v>Thraupidae (Tanagers and Allies)</v>
      </c>
      <c r="I3095" s="3"/>
    </row>
    <row r="3096" spans="1:9" ht="10.5" customHeight="1">
      <c r="A3096" s="3" t="s">
        <v>4313</v>
      </c>
      <c r="B3096" s="3" t="s">
        <v>4312</v>
      </c>
      <c r="C3096" s="3">
        <f>VLOOKUP(B3096,LifeList!$E$2:$J$2038,6)</f>
        <v>35313</v>
      </c>
      <c r="D3096" s="3" t="str">
        <f>VLOOKUP(B3096,LifeList!$E$2:$G$2038,1)</f>
        <v>Rusty Flowerpiercer</v>
      </c>
      <c r="E3096" s="3" t="str">
        <f>VLOOKUP(B3096,LifeList!$E$2:$G$2038,2)</f>
        <v>Percefleur rouilleux</v>
      </c>
      <c r="F3096" s="3" t="str">
        <f>VLOOKUP(B3096,LifeList!$E$2:$G$2038,3)</f>
        <v>Diglossa sittoides</v>
      </c>
      <c r="G3096" s="3" t="str">
        <f>VLOOKUP(B3096,LifeList!$E$2:$I$2038,4)</f>
        <v>Passeriformes</v>
      </c>
      <c r="H3096" s="3" t="str">
        <f>VLOOKUP(B3096,LifeList!$E$2:$I$2038,5)</f>
        <v>Thraupidae (Tanagers and Allies)</v>
      </c>
      <c r="I3096" s="3"/>
    </row>
    <row r="3097" spans="1:9" ht="10.5" customHeight="1">
      <c r="A3097" s="3" t="s">
        <v>4314</v>
      </c>
      <c r="B3097" s="3" t="s">
        <v>4315</v>
      </c>
      <c r="C3097" s="3">
        <f>VLOOKUP(B3097,LifeList!$E$2:$J$2038,6)</f>
        <v>17387</v>
      </c>
      <c r="D3097" s="3" t="str">
        <f>VLOOKUP(B3097,LifeList!$E$2:$G$2038,1)</f>
        <v>Rusty-margined Flycatcher</v>
      </c>
      <c r="E3097" s="3" t="str">
        <f>VLOOKUP(B3097,LifeList!$E$2:$G$2038,2)</f>
        <v>Tyran de Cayenne</v>
      </c>
      <c r="F3097" s="3" t="str">
        <f>VLOOKUP(B3097,LifeList!$E$2:$G$2038,3)</f>
        <v>Myiozetetes cayanensis</v>
      </c>
      <c r="G3097" s="3" t="str">
        <f>VLOOKUP(B3097,LifeList!$E$2:$I$2038,4)</f>
        <v>Passeriformes</v>
      </c>
      <c r="H3097" s="3" t="str">
        <f>VLOOKUP(B3097,LifeList!$E$2:$I$2038,5)</f>
        <v>Tyrannidae (Tyrant Flycatchers)</v>
      </c>
      <c r="I3097" s="3"/>
    </row>
    <row r="3098" spans="1:9" ht="10.5" customHeight="1">
      <c r="A3098" s="3" t="s">
        <v>4316</v>
      </c>
      <c r="B3098" s="3" t="s">
        <v>4315</v>
      </c>
      <c r="C3098" s="3">
        <f>VLOOKUP(B3098,LifeList!$E$2:$J$2038,6)</f>
        <v>17387</v>
      </c>
      <c r="D3098" s="3" t="str">
        <f>VLOOKUP(B3098,LifeList!$E$2:$G$2038,1)</f>
        <v>Rusty-margined Flycatcher</v>
      </c>
      <c r="E3098" s="3" t="str">
        <f>VLOOKUP(B3098,LifeList!$E$2:$G$2038,2)</f>
        <v>Tyran de Cayenne</v>
      </c>
      <c r="F3098" s="3" t="str">
        <f>VLOOKUP(B3098,LifeList!$E$2:$G$2038,3)</f>
        <v>Myiozetetes cayanensis</v>
      </c>
      <c r="G3098" s="3" t="str">
        <f>VLOOKUP(B3098,LifeList!$E$2:$I$2038,4)</f>
        <v>Passeriformes</v>
      </c>
      <c r="H3098" s="3" t="str">
        <f>VLOOKUP(B3098,LifeList!$E$2:$I$2038,5)</f>
        <v>Tyrannidae (Tyrant Flycatchers)</v>
      </c>
      <c r="I3098" s="3"/>
    </row>
    <row r="3099" spans="1:9" ht="10.5" customHeight="1">
      <c r="A3099" s="3" t="s">
        <v>4317</v>
      </c>
      <c r="B3099" s="3" t="s">
        <v>4315</v>
      </c>
      <c r="C3099" s="3">
        <f>VLOOKUP(B3099,LifeList!$E$2:$J$2038,6)</f>
        <v>17387</v>
      </c>
      <c r="D3099" s="3" t="str">
        <f>VLOOKUP(B3099,LifeList!$E$2:$G$2038,1)</f>
        <v>Rusty-margined Flycatcher</v>
      </c>
      <c r="E3099" s="3" t="str">
        <f>VLOOKUP(B3099,LifeList!$E$2:$G$2038,2)</f>
        <v>Tyran de Cayenne</v>
      </c>
      <c r="F3099" s="3" t="str">
        <f>VLOOKUP(B3099,LifeList!$E$2:$G$2038,3)</f>
        <v>Myiozetetes cayanensis</v>
      </c>
      <c r="G3099" s="3" t="str">
        <f>VLOOKUP(B3099,LifeList!$E$2:$I$2038,4)</f>
        <v>Passeriformes</v>
      </c>
      <c r="H3099" s="3" t="str">
        <f>VLOOKUP(B3099,LifeList!$E$2:$I$2038,5)</f>
        <v>Tyrannidae (Tyrant Flycatchers)</v>
      </c>
      <c r="I3099" s="3"/>
    </row>
    <row r="3100" spans="1:9" ht="10.5" customHeight="1">
      <c r="A3100" s="3" t="s">
        <v>4318</v>
      </c>
      <c r="B3100" s="3" t="s">
        <v>4315</v>
      </c>
      <c r="C3100" s="3">
        <f>VLOOKUP(B3100,LifeList!$E$2:$J$2038,6)</f>
        <v>17387</v>
      </c>
      <c r="D3100" s="3" t="str">
        <f>VLOOKUP(B3100,LifeList!$E$2:$G$2038,1)</f>
        <v>Rusty-margined Flycatcher</v>
      </c>
      <c r="E3100" s="3" t="str">
        <f>VLOOKUP(B3100,LifeList!$E$2:$G$2038,2)</f>
        <v>Tyran de Cayenne</v>
      </c>
      <c r="F3100" s="3" t="str">
        <f>VLOOKUP(B3100,LifeList!$E$2:$G$2038,3)</f>
        <v>Myiozetetes cayanensis</v>
      </c>
      <c r="G3100" s="3" t="str">
        <f>VLOOKUP(B3100,LifeList!$E$2:$I$2038,4)</f>
        <v>Passeriformes</v>
      </c>
      <c r="H3100" s="3" t="str">
        <f>VLOOKUP(B3100,LifeList!$E$2:$I$2038,5)</f>
        <v>Tyrannidae (Tyrant Flycatchers)</v>
      </c>
      <c r="I3100" s="3"/>
    </row>
    <row r="3101" spans="1:9" ht="10.5" customHeight="1">
      <c r="A3101" s="3" t="s">
        <v>4319</v>
      </c>
      <c r="B3101" s="3" t="s">
        <v>4315</v>
      </c>
      <c r="C3101" s="3">
        <f>VLOOKUP(B3101,LifeList!$E$2:$J$2038,6)</f>
        <v>17387</v>
      </c>
      <c r="D3101" s="3" t="str">
        <f>VLOOKUP(B3101,LifeList!$E$2:$G$2038,1)</f>
        <v>Rusty-margined Flycatcher</v>
      </c>
      <c r="E3101" s="3" t="str">
        <f>VLOOKUP(B3101,LifeList!$E$2:$G$2038,2)</f>
        <v>Tyran de Cayenne</v>
      </c>
      <c r="F3101" s="3" t="str">
        <f>VLOOKUP(B3101,LifeList!$E$2:$G$2038,3)</f>
        <v>Myiozetetes cayanensis</v>
      </c>
      <c r="G3101" s="3" t="str">
        <f>VLOOKUP(B3101,LifeList!$E$2:$I$2038,4)</f>
        <v>Passeriformes</v>
      </c>
      <c r="H3101" s="3" t="str">
        <f>VLOOKUP(B3101,LifeList!$E$2:$I$2038,5)</f>
        <v>Tyrannidae (Tyrant Flycatchers)</v>
      </c>
      <c r="I3101" s="3"/>
    </row>
    <row r="3102" spans="1:9" ht="10.5" customHeight="1">
      <c r="A3102" s="3" t="s">
        <v>4320</v>
      </c>
      <c r="B3102" s="3" t="s">
        <v>4321</v>
      </c>
      <c r="C3102" s="3">
        <f>VLOOKUP(B3102,LifeList!$E$2:$J$2038,6)</f>
        <v>13812</v>
      </c>
      <c r="D3102" s="3" t="str">
        <f>VLOOKUP(B3102,LifeList!$E$2:$G$2038,1)</f>
        <v>Rusty-winged Antwren</v>
      </c>
      <c r="E3102" s="3" t="str">
        <f>VLOOKUP(B3102,LifeList!$E$2:$G$2038,2)</f>
        <v>Grisin de Sclater</v>
      </c>
      <c r="F3102" s="3" t="str">
        <f>VLOOKUP(B3102,LifeList!$E$2:$G$2038,3)</f>
        <v>Herpsilochmus frater</v>
      </c>
      <c r="G3102" s="3" t="str">
        <f>VLOOKUP(B3102,LifeList!$E$2:$I$2038,4)</f>
        <v>Passeriformes</v>
      </c>
      <c r="H3102" s="3" t="str">
        <f>VLOOKUP(B3102,LifeList!$E$2:$I$2038,5)</f>
        <v>Thamnophilidae (Typical Antbirds)</v>
      </c>
      <c r="I3102" s="3"/>
    </row>
    <row r="3103" spans="1:9" ht="10.5" customHeight="1">
      <c r="A3103" s="3" t="s">
        <v>4322</v>
      </c>
      <c r="B3103" s="3" t="s">
        <v>4323</v>
      </c>
      <c r="C3103" s="3">
        <f>VLOOKUP(B3103,LifeList!$E$2:$J$2038,6)</f>
        <v>10179</v>
      </c>
      <c r="D3103" s="3" t="str">
        <f>VLOOKUP(B3103,LifeList!$E$2:$G$2038,1)</f>
        <v>Sacred Kingfisher</v>
      </c>
      <c r="E3103" s="3" t="str">
        <f>VLOOKUP(B3103,LifeList!$E$2:$G$2038,2)</f>
        <v>Martin-chasseur sacré</v>
      </c>
      <c r="F3103" s="3" t="str">
        <f>VLOOKUP(B3103,LifeList!$E$2:$G$2038,3)</f>
        <v>Todiramphus sanctus</v>
      </c>
      <c r="G3103" s="3" t="str">
        <f>VLOOKUP(B3103,LifeList!$E$2:$I$2038,4)</f>
        <v>Coraciiformes</v>
      </c>
      <c r="H3103" s="3" t="str">
        <f>VLOOKUP(B3103,LifeList!$E$2:$I$2038,5)</f>
        <v>Alcedinidae (Kingfishers)</v>
      </c>
      <c r="I3103" s="3"/>
    </row>
    <row r="3104" spans="1:9" ht="10.5" customHeight="1">
      <c r="A3104" s="7" t="s">
        <v>4324</v>
      </c>
      <c r="B3104" s="9" t="s">
        <v>4325</v>
      </c>
      <c r="C3104" s="6">
        <f>VLOOKUP(B3104,LifeList!$E$2:$J$2038,6)</f>
        <v>7300</v>
      </c>
      <c r="D3104" s="3" t="str">
        <f>VLOOKUP(B3104,LifeList!$E$2:$G$2038,1)</f>
        <v>Saddle-billed Stork</v>
      </c>
      <c r="E3104" s="3" t="str">
        <f>VLOOKUP(B3104,LifeList!$E$2:$G$2038,2)</f>
        <v>Jabiru d'Afrique</v>
      </c>
      <c r="F3104" s="3" t="str">
        <f>VLOOKUP(B3104,LifeList!$E$2:$G$2038,3)</f>
        <v>Ephippiorhynchus senegalensis</v>
      </c>
      <c r="G3104" s="3" t="str">
        <f>VLOOKUP(B3104,LifeList!$E$2:$I$2038,4)</f>
        <v>Ciconiiformes</v>
      </c>
      <c r="H3104" s="3" t="str">
        <f>VLOOKUP(B3104,LifeList!$E$2:$I$2038,5)</f>
        <v>Ciconiidae (Storks)</v>
      </c>
      <c r="I3104" s="3"/>
    </row>
    <row r="3105" spans="1:9" ht="10.5" customHeight="1">
      <c r="A3105" s="7" t="s">
        <v>4326</v>
      </c>
      <c r="B3105" s="9" t="s">
        <v>4325</v>
      </c>
      <c r="C3105" s="6">
        <f>VLOOKUP(B3105,LifeList!$E$2:$J$2038,6)</f>
        <v>7300</v>
      </c>
      <c r="D3105" s="3" t="str">
        <f>VLOOKUP(B3105,LifeList!$E$2:$G$2038,1)</f>
        <v>Saddle-billed Stork</v>
      </c>
      <c r="E3105" s="3" t="str">
        <f>VLOOKUP(B3105,LifeList!$E$2:$G$2038,2)</f>
        <v>Jabiru d'Afrique</v>
      </c>
      <c r="F3105" s="3" t="str">
        <f>VLOOKUP(B3105,LifeList!$E$2:$G$2038,3)</f>
        <v>Ephippiorhynchus senegalensis</v>
      </c>
      <c r="G3105" s="3" t="str">
        <f>VLOOKUP(B3105,LifeList!$E$2:$I$2038,4)</f>
        <v>Ciconiiformes</v>
      </c>
      <c r="H3105" s="3" t="str">
        <f>VLOOKUP(B3105,LifeList!$E$2:$I$2038,5)</f>
        <v>Ciconiidae (Storks)</v>
      </c>
      <c r="I3105" s="3"/>
    </row>
    <row r="3106" spans="1:9" ht="10.5" customHeight="1">
      <c r="A3106" s="3" t="s">
        <v>4327</v>
      </c>
      <c r="B3106" s="3" t="s">
        <v>4328</v>
      </c>
      <c r="C3106" s="3">
        <f>VLOOKUP(B3106,LifeList!$E$2:$J$2038,6)</f>
        <v>35477</v>
      </c>
      <c r="D3106" s="3" t="str">
        <f>VLOOKUP(B3106,LifeList!$E$2:$G$2038,1)</f>
        <v>Saffron Finch</v>
      </c>
      <c r="E3106" s="3" t="str">
        <f>VLOOKUP(B3106,LifeList!$E$2:$G$2038,2)</f>
        <v>Sicale bouton-d'or</v>
      </c>
      <c r="F3106" s="3" t="str">
        <f>VLOOKUP(B3106,LifeList!$E$2:$G$2038,3)</f>
        <v>Sicalis flaveola</v>
      </c>
      <c r="G3106" s="3" t="str">
        <f>VLOOKUP(B3106,LifeList!$E$2:$I$2038,4)</f>
        <v>Passeriformes</v>
      </c>
      <c r="H3106" s="3" t="str">
        <f>VLOOKUP(B3106,LifeList!$E$2:$I$2038,5)</f>
        <v>Thraupidae (Tanagers and Allies)</v>
      </c>
      <c r="I3106" s="3"/>
    </row>
    <row r="3107" spans="1:9" ht="10.5" customHeight="1">
      <c r="A3107" s="3" t="s">
        <v>4329</v>
      </c>
      <c r="B3107" s="3" t="s">
        <v>4328</v>
      </c>
      <c r="C3107" s="3">
        <f>VLOOKUP(B3107,LifeList!$E$2:$J$2038,6)</f>
        <v>35477</v>
      </c>
      <c r="D3107" s="3" t="str">
        <f>VLOOKUP(B3107,LifeList!$E$2:$G$2038,1)</f>
        <v>Saffron Finch</v>
      </c>
      <c r="E3107" s="3" t="str">
        <f>VLOOKUP(B3107,LifeList!$E$2:$G$2038,2)</f>
        <v>Sicale bouton-d'or</v>
      </c>
      <c r="F3107" s="3" t="str">
        <f>VLOOKUP(B3107,LifeList!$E$2:$G$2038,3)</f>
        <v>Sicalis flaveola</v>
      </c>
      <c r="G3107" s="3" t="str">
        <f>VLOOKUP(B3107,LifeList!$E$2:$I$2038,4)</f>
        <v>Passeriformes</v>
      </c>
      <c r="H3107" s="3" t="str">
        <f>VLOOKUP(B3107,LifeList!$E$2:$I$2038,5)</f>
        <v>Thraupidae (Tanagers and Allies)</v>
      </c>
      <c r="I3107" s="3"/>
    </row>
    <row r="3108" spans="1:9" ht="10.5" customHeight="1">
      <c r="A3108" s="3" t="s">
        <v>4330</v>
      </c>
      <c r="B3108" s="3" t="s">
        <v>4328</v>
      </c>
      <c r="C3108" s="3">
        <f>VLOOKUP(B3108,LifeList!$E$2:$J$2038,6)</f>
        <v>35477</v>
      </c>
      <c r="D3108" s="3" t="str">
        <f>VLOOKUP(B3108,LifeList!$E$2:$G$2038,1)</f>
        <v>Saffron Finch</v>
      </c>
      <c r="E3108" s="3" t="str">
        <f>VLOOKUP(B3108,LifeList!$E$2:$G$2038,2)</f>
        <v>Sicale bouton-d'or</v>
      </c>
      <c r="F3108" s="3" t="str">
        <f>VLOOKUP(B3108,LifeList!$E$2:$G$2038,3)</f>
        <v>Sicalis flaveola</v>
      </c>
      <c r="G3108" s="3" t="str">
        <f>VLOOKUP(B3108,LifeList!$E$2:$I$2038,4)</f>
        <v>Passeriformes</v>
      </c>
      <c r="H3108" s="3" t="str">
        <f>VLOOKUP(B3108,LifeList!$E$2:$I$2038,5)</f>
        <v>Thraupidae (Tanagers and Allies)</v>
      </c>
      <c r="I3108" s="3"/>
    </row>
    <row r="3109" spans="1:9" ht="10.5" customHeight="1">
      <c r="A3109" s="3" t="s">
        <v>4331</v>
      </c>
      <c r="B3109" s="3" t="s">
        <v>4328</v>
      </c>
      <c r="C3109" s="3">
        <f>VLOOKUP(B3109,LifeList!$E$2:$J$2038,6)</f>
        <v>35477</v>
      </c>
      <c r="D3109" s="3" t="str">
        <f>VLOOKUP(B3109,LifeList!$E$2:$G$2038,1)</f>
        <v>Saffron Finch</v>
      </c>
      <c r="E3109" s="3" t="str">
        <f>VLOOKUP(B3109,LifeList!$E$2:$G$2038,2)</f>
        <v>Sicale bouton-d'or</v>
      </c>
      <c r="F3109" s="3" t="str">
        <f>VLOOKUP(B3109,LifeList!$E$2:$G$2038,3)</f>
        <v>Sicalis flaveola</v>
      </c>
      <c r="G3109" s="3" t="str">
        <f>VLOOKUP(B3109,LifeList!$E$2:$I$2038,4)</f>
        <v>Passeriformes</v>
      </c>
      <c r="H3109" s="3" t="str">
        <f>VLOOKUP(B3109,LifeList!$E$2:$I$2038,5)</f>
        <v>Thraupidae (Tanagers and Allies)</v>
      </c>
      <c r="I3109" s="3"/>
    </row>
    <row r="3110" spans="1:9" ht="10.5" customHeight="1">
      <c r="A3110" s="3" t="s">
        <v>4332</v>
      </c>
      <c r="B3110" s="3" t="s">
        <v>4328</v>
      </c>
      <c r="C3110" s="3">
        <f>VLOOKUP(B3110,LifeList!$E$2:$J$2038,6)</f>
        <v>35477</v>
      </c>
      <c r="D3110" s="3" t="str">
        <f>VLOOKUP(B3110,LifeList!$E$2:$G$2038,1)</f>
        <v>Saffron Finch</v>
      </c>
      <c r="E3110" s="3" t="str">
        <f>VLOOKUP(B3110,LifeList!$E$2:$G$2038,2)</f>
        <v>Sicale bouton-d'or</v>
      </c>
      <c r="F3110" s="3" t="str">
        <f>VLOOKUP(B3110,LifeList!$E$2:$G$2038,3)</f>
        <v>Sicalis flaveola</v>
      </c>
      <c r="G3110" s="3" t="str">
        <f>VLOOKUP(B3110,LifeList!$E$2:$I$2038,4)</f>
        <v>Passeriformes</v>
      </c>
      <c r="H3110" s="3" t="str">
        <f>VLOOKUP(B3110,LifeList!$E$2:$I$2038,5)</f>
        <v>Thraupidae (Tanagers and Allies)</v>
      </c>
      <c r="I3110" s="3"/>
    </row>
    <row r="3111" spans="1:9" ht="10.5" customHeight="1">
      <c r="A3111" s="3" t="s">
        <v>4333</v>
      </c>
      <c r="B3111" s="3" t="s">
        <v>4334</v>
      </c>
      <c r="C3111" s="3">
        <f>VLOOKUP(B3111,LifeList!$E$2:$J$2038,6)</f>
        <v>30896</v>
      </c>
      <c r="D3111" s="3" t="str">
        <f>VLOOKUP(B3111,LifeList!$E$2:$G$2038,1)</f>
        <v>Sakalava Weaver</v>
      </c>
      <c r="E3111" s="3" t="str">
        <f>VLOOKUP(B3111,LifeList!$E$2:$G$2038,2)</f>
        <v>Tisserin sakalave</v>
      </c>
      <c r="F3111" s="3" t="str">
        <f>VLOOKUP(B3111,LifeList!$E$2:$G$2038,3)</f>
        <v>Ploceus sakalava</v>
      </c>
      <c r="G3111" s="3" t="str">
        <f>VLOOKUP(B3111,LifeList!$E$2:$I$2038,4)</f>
        <v>Passeriformes</v>
      </c>
      <c r="H3111" s="3" t="str">
        <f>VLOOKUP(B3111,LifeList!$E$2:$I$2038,5)</f>
        <v>Ploceidae (Weavers and Allies)</v>
      </c>
      <c r="I3111" s="3"/>
    </row>
    <row r="3112" spans="1:9" ht="10.5" customHeight="1">
      <c r="A3112" s="3" t="s">
        <v>4335</v>
      </c>
      <c r="B3112" s="3" t="s">
        <v>4334</v>
      </c>
      <c r="C3112" s="3">
        <f>VLOOKUP(B3112,LifeList!$E$2:$J$2038,6)</f>
        <v>30896</v>
      </c>
      <c r="D3112" s="3" t="str">
        <f>VLOOKUP(B3112,LifeList!$E$2:$G$2038,1)</f>
        <v>Sakalava Weaver</v>
      </c>
      <c r="E3112" s="3" t="str">
        <f>VLOOKUP(B3112,LifeList!$E$2:$G$2038,2)</f>
        <v>Tisserin sakalave</v>
      </c>
      <c r="F3112" s="3" t="str">
        <f>VLOOKUP(B3112,LifeList!$E$2:$G$2038,3)</f>
        <v>Ploceus sakalava</v>
      </c>
      <c r="G3112" s="3" t="str">
        <f>VLOOKUP(B3112,LifeList!$E$2:$I$2038,4)</f>
        <v>Passeriformes</v>
      </c>
      <c r="H3112" s="3" t="str">
        <f>VLOOKUP(B3112,LifeList!$E$2:$I$2038,5)</f>
        <v>Ploceidae (Weavers and Allies)</v>
      </c>
      <c r="I3112" s="3"/>
    </row>
    <row r="3113" spans="1:9" ht="10.5" customHeight="1">
      <c r="A3113" s="3" t="s">
        <v>4336</v>
      </c>
      <c r="B3113" s="3" t="s">
        <v>4334</v>
      </c>
      <c r="C3113" s="3">
        <f>VLOOKUP(B3113,LifeList!$E$2:$J$2038,6)</f>
        <v>30896</v>
      </c>
      <c r="D3113" s="3" t="str">
        <f>VLOOKUP(B3113,LifeList!$E$2:$G$2038,1)</f>
        <v>Sakalava Weaver</v>
      </c>
      <c r="E3113" s="3" t="str">
        <f>VLOOKUP(B3113,LifeList!$E$2:$G$2038,2)</f>
        <v>Tisserin sakalave</v>
      </c>
      <c r="F3113" s="3" t="str">
        <f>VLOOKUP(B3113,LifeList!$E$2:$G$2038,3)</f>
        <v>Ploceus sakalava</v>
      </c>
      <c r="G3113" s="3" t="str">
        <f>VLOOKUP(B3113,LifeList!$E$2:$I$2038,4)</f>
        <v>Passeriformes</v>
      </c>
      <c r="H3113" s="3" t="str">
        <f>VLOOKUP(B3113,LifeList!$E$2:$I$2038,5)</f>
        <v>Ploceidae (Weavers and Allies)</v>
      </c>
      <c r="I3113" s="3"/>
    </row>
    <row r="3114" spans="1:9" ht="10.5" customHeight="1">
      <c r="A3114" s="3" t="s">
        <v>4337</v>
      </c>
      <c r="B3114" s="3" t="s">
        <v>4334</v>
      </c>
      <c r="C3114" s="3">
        <f>VLOOKUP(B3114,LifeList!$E$2:$J$2038,6)</f>
        <v>30896</v>
      </c>
      <c r="D3114" s="3" t="str">
        <f>VLOOKUP(B3114,LifeList!$E$2:$G$2038,1)</f>
        <v>Sakalava Weaver</v>
      </c>
      <c r="E3114" s="3" t="str">
        <f>VLOOKUP(B3114,LifeList!$E$2:$G$2038,2)</f>
        <v>Tisserin sakalave</v>
      </c>
      <c r="F3114" s="3" t="str">
        <f>VLOOKUP(B3114,LifeList!$E$2:$G$2038,3)</f>
        <v>Ploceus sakalava</v>
      </c>
      <c r="G3114" s="3" t="str">
        <f>VLOOKUP(B3114,LifeList!$E$2:$I$2038,4)</f>
        <v>Passeriformes</v>
      </c>
      <c r="H3114" s="3" t="str">
        <f>VLOOKUP(B3114,LifeList!$E$2:$I$2038,5)</f>
        <v>Ploceidae (Weavers and Allies)</v>
      </c>
      <c r="I3114" s="3"/>
    </row>
    <row r="3115" spans="1:9" ht="10.5" customHeight="1">
      <c r="A3115" s="3" t="s">
        <v>4338</v>
      </c>
      <c r="B3115" s="3" t="s">
        <v>4339</v>
      </c>
      <c r="C3115" s="3">
        <f>VLOOKUP(B3115,LifeList!$E$2:$J$2038,6)</f>
        <v>6189</v>
      </c>
      <c r="D3115" s="3" t="str">
        <f>VLOOKUP(B3115,LifeList!$E$2:$G$2038,1)</f>
        <v>Sanderling</v>
      </c>
      <c r="E3115" s="3" t="str">
        <f>VLOOKUP(B3115,LifeList!$E$2:$G$2038,2)</f>
        <v>Bécasseau sanderling</v>
      </c>
      <c r="F3115" s="3" t="str">
        <f>VLOOKUP(B3115,LifeList!$E$2:$G$2038,3)</f>
        <v>Calidris alba</v>
      </c>
      <c r="G3115" s="3" t="str">
        <f>VLOOKUP(B3115,LifeList!$E$2:$I$2038,4)</f>
        <v>Charadriiformes</v>
      </c>
      <c r="H3115" s="3" t="str">
        <f>VLOOKUP(B3115,LifeList!$E$2:$I$2038,5)</f>
        <v>Scolopacidae (Sandpipers and Allies)</v>
      </c>
      <c r="I3115" s="3"/>
    </row>
    <row r="3116" spans="1:9" ht="10.5" customHeight="1">
      <c r="A3116" s="3" t="s">
        <v>4340</v>
      </c>
      <c r="B3116" s="3" t="s">
        <v>4339</v>
      </c>
      <c r="C3116" s="3">
        <f>VLOOKUP(B3116,LifeList!$E$2:$J$2038,6)</f>
        <v>6189</v>
      </c>
      <c r="D3116" s="3" t="str">
        <f>VLOOKUP(B3116,LifeList!$E$2:$G$2038,1)</f>
        <v>Sanderling</v>
      </c>
      <c r="E3116" s="3" t="str">
        <f>VLOOKUP(B3116,LifeList!$E$2:$G$2038,2)</f>
        <v>Bécasseau sanderling</v>
      </c>
      <c r="F3116" s="3" t="str">
        <f>VLOOKUP(B3116,LifeList!$E$2:$G$2038,3)</f>
        <v>Calidris alba</v>
      </c>
      <c r="G3116" s="3" t="str">
        <f>VLOOKUP(B3116,LifeList!$E$2:$I$2038,4)</f>
        <v>Charadriiformes</v>
      </c>
      <c r="H3116" s="3" t="str">
        <f>VLOOKUP(B3116,LifeList!$E$2:$I$2038,5)</f>
        <v>Scolopacidae (Sandpipers and Allies)</v>
      </c>
      <c r="I3116" s="3"/>
    </row>
    <row r="3117" spans="1:9" ht="10.5" customHeight="1">
      <c r="A3117" s="3" t="s">
        <v>4341</v>
      </c>
      <c r="B3117" s="3" t="s">
        <v>4339</v>
      </c>
      <c r="C3117" s="3">
        <f>VLOOKUP(B3117,LifeList!$E$2:$J$2038,6)</f>
        <v>6189</v>
      </c>
      <c r="D3117" s="3" t="str">
        <f>VLOOKUP(B3117,LifeList!$E$2:$G$2038,1)</f>
        <v>Sanderling</v>
      </c>
      <c r="E3117" s="3" t="str">
        <f>VLOOKUP(B3117,LifeList!$E$2:$G$2038,2)</f>
        <v>Bécasseau sanderling</v>
      </c>
      <c r="F3117" s="3" t="str">
        <f>VLOOKUP(B3117,LifeList!$E$2:$G$2038,3)</f>
        <v>Calidris alba</v>
      </c>
      <c r="G3117" s="3" t="str">
        <f>VLOOKUP(B3117,LifeList!$E$2:$I$2038,4)</f>
        <v>Charadriiformes</v>
      </c>
      <c r="H3117" s="3" t="str">
        <f>VLOOKUP(B3117,LifeList!$E$2:$I$2038,5)</f>
        <v>Scolopacidae (Sandpipers and Allies)</v>
      </c>
      <c r="I3117" s="3"/>
    </row>
    <row r="3118" spans="1:9" ht="10.5" customHeight="1">
      <c r="A3118" s="3" t="s">
        <v>4342</v>
      </c>
      <c r="B3118" s="3" t="s">
        <v>4339</v>
      </c>
      <c r="C3118" s="3">
        <f>VLOOKUP(B3118,LifeList!$E$2:$J$2038,6)</f>
        <v>6189</v>
      </c>
      <c r="D3118" s="3" t="str">
        <f>VLOOKUP(B3118,LifeList!$E$2:$G$2038,1)</f>
        <v>Sanderling</v>
      </c>
      <c r="E3118" s="3" t="str">
        <f>VLOOKUP(B3118,LifeList!$E$2:$G$2038,2)</f>
        <v>Bécasseau sanderling</v>
      </c>
      <c r="F3118" s="3" t="str">
        <f>VLOOKUP(B3118,LifeList!$E$2:$G$2038,3)</f>
        <v>Calidris alba</v>
      </c>
      <c r="G3118" s="3" t="str">
        <f>VLOOKUP(B3118,LifeList!$E$2:$I$2038,4)</f>
        <v>Charadriiformes</v>
      </c>
      <c r="H3118" s="3" t="str">
        <f>VLOOKUP(B3118,LifeList!$E$2:$I$2038,5)</f>
        <v>Scolopacidae (Sandpipers and Allies)</v>
      </c>
      <c r="I3118" s="3"/>
    </row>
    <row r="3119" spans="1:9" ht="10.5" customHeight="1">
      <c r="A3119" s="3" t="s">
        <v>4343</v>
      </c>
      <c r="B3119" s="3" t="s">
        <v>4339</v>
      </c>
      <c r="C3119" s="3">
        <f>VLOOKUP(B3119,LifeList!$E$2:$J$2038,6)</f>
        <v>6189</v>
      </c>
      <c r="D3119" s="3" t="str">
        <f>VLOOKUP(B3119,LifeList!$E$2:$G$2038,1)</f>
        <v>Sanderling</v>
      </c>
      <c r="E3119" s="3" t="str">
        <f>VLOOKUP(B3119,LifeList!$E$2:$G$2038,2)</f>
        <v>Bécasseau sanderling</v>
      </c>
      <c r="F3119" s="3" t="str">
        <f>VLOOKUP(B3119,LifeList!$E$2:$G$2038,3)</f>
        <v>Calidris alba</v>
      </c>
      <c r="G3119" s="3" t="str">
        <f>VLOOKUP(B3119,LifeList!$E$2:$I$2038,4)</f>
        <v>Charadriiformes</v>
      </c>
      <c r="H3119" s="3" t="str">
        <f>VLOOKUP(B3119,LifeList!$E$2:$I$2038,5)</f>
        <v>Scolopacidae (Sandpipers and Allies)</v>
      </c>
      <c r="I3119" s="3"/>
    </row>
    <row r="3120" spans="1:9" ht="10.5" customHeight="1">
      <c r="A3120" s="3" t="s">
        <v>4344</v>
      </c>
      <c r="B3120" s="3" t="s">
        <v>4339</v>
      </c>
      <c r="C3120" s="3">
        <f>VLOOKUP(B3120,LifeList!$E$2:$J$2038,6)</f>
        <v>6189</v>
      </c>
      <c r="D3120" s="3" t="str">
        <f>VLOOKUP(B3120,LifeList!$E$2:$G$2038,1)</f>
        <v>Sanderling</v>
      </c>
      <c r="E3120" s="3" t="str">
        <f>VLOOKUP(B3120,LifeList!$E$2:$G$2038,2)</f>
        <v>Bécasseau sanderling</v>
      </c>
      <c r="F3120" s="3" t="str">
        <f>VLOOKUP(B3120,LifeList!$E$2:$G$2038,3)</f>
        <v>Calidris alba</v>
      </c>
      <c r="G3120" s="3" t="str">
        <f>VLOOKUP(B3120,LifeList!$E$2:$I$2038,4)</f>
        <v>Charadriiformes</v>
      </c>
      <c r="H3120" s="3" t="str">
        <f>VLOOKUP(B3120,LifeList!$E$2:$I$2038,5)</f>
        <v>Scolopacidae (Sandpipers and Allies)</v>
      </c>
      <c r="I3120" s="3"/>
    </row>
    <row r="3121" spans="1:9" ht="10.5" customHeight="1">
      <c r="A3121" s="3" t="s">
        <v>4345</v>
      </c>
      <c r="B3121" s="3" t="s">
        <v>4339</v>
      </c>
      <c r="C3121" s="3">
        <f>VLOOKUP(B3121,LifeList!$E$2:$J$2038,6)</f>
        <v>6189</v>
      </c>
      <c r="D3121" s="3" t="str">
        <f>VLOOKUP(B3121,LifeList!$E$2:$G$2038,1)</f>
        <v>Sanderling</v>
      </c>
      <c r="E3121" s="3" t="str">
        <f>VLOOKUP(B3121,LifeList!$E$2:$G$2038,2)</f>
        <v>Bécasseau sanderling</v>
      </c>
      <c r="F3121" s="3" t="str">
        <f>VLOOKUP(B3121,LifeList!$E$2:$G$2038,3)</f>
        <v>Calidris alba</v>
      </c>
      <c r="G3121" s="3" t="str">
        <f>VLOOKUP(B3121,LifeList!$E$2:$I$2038,4)</f>
        <v>Charadriiformes</v>
      </c>
      <c r="H3121" s="3" t="str">
        <f>VLOOKUP(B3121,LifeList!$E$2:$I$2038,5)</f>
        <v>Scolopacidae (Sandpipers and Allies)</v>
      </c>
      <c r="I3121" s="3"/>
    </row>
    <row r="3122" spans="1:9" ht="10.5" customHeight="1">
      <c r="A3122" s="5" t="s">
        <v>4346</v>
      </c>
      <c r="B3122" s="3" t="s">
        <v>4347</v>
      </c>
      <c r="C3122" s="3">
        <f>VLOOKUP(B3122,LifeList!$E$2:$J$2038,6)</f>
        <v>6189</v>
      </c>
      <c r="D3122" s="3" t="str">
        <f>VLOOKUP(B3122,LifeList!$E$2:$G$2038,1)</f>
        <v>Sanderling</v>
      </c>
      <c r="E3122" s="3" t="str">
        <f>VLOOKUP(B3122,LifeList!$E$2:$G$2038,2)</f>
        <v>Bécasseau sanderling</v>
      </c>
      <c r="F3122" s="3" t="str">
        <f>VLOOKUP(B3122,LifeList!$E$2:$G$2038,3)</f>
        <v>Calidris alba</v>
      </c>
      <c r="G3122" s="3" t="str">
        <f>VLOOKUP(B3122,LifeList!$E$2:$I$2038,4)</f>
        <v>Charadriiformes</v>
      </c>
      <c r="H3122" s="3" t="str">
        <f>VLOOKUP(B3122,LifeList!$E$2:$I$2038,5)</f>
        <v>Scolopacidae (Sandpipers and Allies)</v>
      </c>
      <c r="I3122" s="3"/>
    </row>
    <row r="3123" spans="1:9" ht="10.5" customHeight="1">
      <c r="A3123" s="5" t="s">
        <v>4348</v>
      </c>
      <c r="B3123" s="3" t="s">
        <v>4349</v>
      </c>
      <c r="C3123" s="3">
        <f>VLOOKUP(B3123,LifeList!$E$2:$J$2038,6)</f>
        <v>5697</v>
      </c>
      <c r="D3123" s="3" t="str">
        <f>VLOOKUP(B3123,LifeList!$E$2:$G$2038,1)</f>
        <v>Sandhill Crane</v>
      </c>
      <c r="E3123" s="3" t="str">
        <f>VLOOKUP(B3123,LifeList!$E$2:$G$2038,2)</f>
        <v>Grue du Canada</v>
      </c>
      <c r="F3123" s="3" t="str">
        <f>VLOOKUP(B3123,LifeList!$E$2:$G$2038,3)</f>
        <v>Antigone canadensis</v>
      </c>
      <c r="G3123" s="3" t="str">
        <f>VLOOKUP(B3123,LifeList!$E$2:$I$2038,4)</f>
        <v>Gruiformes</v>
      </c>
      <c r="H3123" s="3" t="str">
        <f>VLOOKUP(B3123,LifeList!$E$2:$I$2038,5)</f>
        <v>Gruidae (Cranes)</v>
      </c>
      <c r="I3123" s="3"/>
    </row>
    <row r="3124" spans="1:9" ht="10.5" customHeight="1">
      <c r="A3124" s="3" t="s">
        <v>4350</v>
      </c>
      <c r="B3124" s="3" t="s">
        <v>4351</v>
      </c>
      <c r="C3124" s="3">
        <f>VLOOKUP(B3124,LifeList!$E$2:$J$2038,6)</f>
        <v>5697</v>
      </c>
      <c r="D3124" s="3" t="str">
        <f>VLOOKUP(B3124,LifeList!$E$2:$G$2038,1)</f>
        <v>Sandhill Crane</v>
      </c>
      <c r="E3124" s="3" t="str">
        <f>VLOOKUP(B3124,LifeList!$E$2:$G$2038,2)</f>
        <v>Grue du Canada</v>
      </c>
      <c r="F3124" s="3" t="str">
        <f>VLOOKUP(B3124,LifeList!$E$2:$G$2038,3)</f>
        <v>Antigone canadensis</v>
      </c>
      <c r="G3124" s="3" t="str">
        <f>VLOOKUP(B3124,LifeList!$E$2:$I$2038,4)</f>
        <v>Gruiformes</v>
      </c>
      <c r="H3124" s="3" t="str">
        <f>VLOOKUP(B3124,LifeList!$E$2:$I$2038,5)</f>
        <v>Gruidae (Cranes)</v>
      </c>
      <c r="I3124" s="3"/>
    </row>
    <row r="3125" spans="1:9" ht="10.5" customHeight="1">
      <c r="A3125" s="3" t="s">
        <v>4352</v>
      </c>
      <c r="B3125" s="3" t="s">
        <v>4351</v>
      </c>
      <c r="C3125" s="3">
        <f>VLOOKUP(B3125,LifeList!$E$2:$J$2038,6)</f>
        <v>5697</v>
      </c>
      <c r="D3125" s="3" t="str">
        <f>VLOOKUP(B3125,LifeList!$E$2:$G$2038,1)</f>
        <v>Sandhill Crane</v>
      </c>
      <c r="E3125" s="3" t="str">
        <f>VLOOKUP(B3125,LifeList!$E$2:$G$2038,2)</f>
        <v>Grue du Canada</v>
      </c>
      <c r="F3125" s="3" t="str">
        <f>VLOOKUP(B3125,LifeList!$E$2:$G$2038,3)</f>
        <v>Antigone canadensis</v>
      </c>
      <c r="G3125" s="3" t="str">
        <f>VLOOKUP(B3125,LifeList!$E$2:$I$2038,4)</f>
        <v>Gruiformes</v>
      </c>
      <c r="H3125" s="3" t="str">
        <f>VLOOKUP(B3125,LifeList!$E$2:$I$2038,5)</f>
        <v>Gruidae (Cranes)</v>
      </c>
      <c r="I3125" s="3"/>
    </row>
    <row r="3126" spans="1:9" ht="10.5" customHeight="1">
      <c r="A3126" s="3" t="s">
        <v>4353</v>
      </c>
      <c r="B3126" s="3" t="s">
        <v>4351</v>
      </c>
      <c r="C3126" s="3">
        <f>VLOOKUP(B3126,LifeList!$E$2:$J$2038,6)</f>
        <v>5697</v>
      </c>
      <c r="D3126" s="3" t="str">
        <f>VLOOKUP(B3126,LifeList!$E$2:$G$2038,1)</f>
        <v>Sandhill Crane</v>
      </c>
      <c r="E3126" s="3" t="str">
        <f>VLOOKUP(B3126,LifeList!$E$2:$G$2038,2)</f>
        <v>Grue du Canada</v>
      </c>
      <c r="F3126" s="3" t="str">
        <f>VLOOKUP(B3126,LifeList!$E$2:$G$2038,3)</f>
        <v>Antigone canadensis</v>
      </c>
      <c r="G3126" s="3" t="str">
        <f>VLOOKUP(B3126,LifeList!$E$2:$I$2038,4)</f>
        <v>Gruiformes</v>
      </c>
      <c r="H3126" s="3" t="str">
        <f>VLOOKUP(B3126,LifeList!$E$2:$I$2038,5)</f>
        <v>Gruidae (Cranes)</v>
      </c>
      <c r="I3126" s="3"/>
    </row>
    <row r="3127" spans="1:9" ht="10.5" customHeight="1">
      <c r="A3127" s="3" t="s">
        <v>4354</v>
      </c>
      <c r="B3127" s="3" t="s">
        <v>4351</v>
      </c>
      <c r="C3127" s="3">
        <f>VLOOKUP(B3127,LifeList!$E$2:$J$2038,6)</f>
        <v>5697</v>
      </c>
      <c r="D3127" s="3" t="str">
        <f>VLOOKUP(B3127,LifeList!$E$2:$G$2038,1)</f>
        <v>Sandhill Crane</v>
      </c>
      <c r="E3127" s="3" t="str">
        <f>VLOOKUP(B3127,LifeList!$E$2:$G$2038,2)</f>
        <v>Grue du Canada</v>
      </c>
      <c r="F3127" s="3" t="str">
        <f>VLOOKUP(B3127,LifeList!$E$2:$G$2038,3)</f>
        <v>Antigone canadensis</v>
      </c>
      <c r="G3127" s="3" t="str">
        <f>VLOOKUP(B3127,LifeList!$E$2:$I$2038,4)</f>
        <v>Gruiformes</v>
      </c>
      <c r="H3127" s="3" t="str">
        <f>VLOOKUP(B3127,LifeList!$E$2:$I$2038,5)</f>
        <v>Gruidae (Cranes)</v>
      </c>
      <c r="I3127" s="3"/>
    </row>
    <row r="3128" spans="1:9" ht="10.5" customHeight="1">
      <c r="A3128" s="3" t="s">
        <v>4355</v>
      </c>
      <c r="B3128" s="3" t="s">
        <v>4351</v>
      </c>
      <c r="C3128" s="3">
        <f>VLOOKUP(B3128,LifeList!$E$2:$J$2038,6)</f>
        <v>5697</v>
      </c>
      <c r="D3128" s="3" t="str">
        <f>VLOOKUP(B3128,LifeList!$E$2:$G$2038,1)</f>
        <v>Sandhill Crane</v>
      </c>
      <c r="E3128" s="3" t="str">
        <f>VLOOKUP(B3128,LifeList!$E$2:$G$2038,2)</f>
        <v>Grue du Canada</v>
      </c>
      <c r="F3128" s="3" t="str">
        <f>VLOOKUP(B3128,LifeList!$E$2:$G$2038,3)</f>
        <v>Antigone canadensis</v>
      </c>
      <c r="G3128" s="3" t="str">
        <f>VLOOKUP(B3128,LifeList!$E$2:$I$2038,4)</f>
        <v>Gruiformes</v>
      </c>
      <c r="H3128" s="3" t="str">
        <f>VLOOKUP(B3128,LifeList!$E$2:$I$2038,5)</f>
        <v>Gruidae (Cranes)</v>
      </c>
      <c r="I3128" s="3"/>
    </row>
    <row r="3129" spans="1:9" ht="10.5" customHeight="1">
      <c r="A3129" s="3" t="s">
        <v>4356</v>
      </c>
      <c r="B3129" s="3" t="s">
        <v>4351</v>
      </c>
      <c r="C3129" s="3">
        <f>VLOOKUP(B3129,LifeList!$E$2:$J$2038,6)</f>
        <v>5697</v>
      </c>
      <c r="D3129" s="3" t="str">
        <f>VLOOKUP(B3129,LifeList!$E$2:$G$2038,1)</f>
        <v>Sandhill Crane</v>
      </c>
      <c r="E3129" s="3" t="str">
        <f>VLOOKUP(B3129,LifeList!$E$2:$G$2038,2)</f>
        <v>Grue du Canada</v>
      </c>
      <c r="F3129" s="3" t="str">
        <f>VLOOKUP(B3129,LifeList!$E$2:$G$2038,3)</f>
        <v>Antigone canadensis</v>
      </c>
      <c r="G3129" s="3" t="str">
        <f>VLOOKUP(B3129,LifeList!$E$2:$I$2038,4)</f>
        <v>Gruiformes</v>
      </c>
      <c r="H3129" s="3" t="str">
        <f>VLOOKUP(B3129,LifeList!$E$2:$I$2038,5)</f>
        <v>Gruidae (Cranes)</v>
      </c>
      <c r="I3129" s="3"/>
    </row>
    <row r="3130" spans="1:9" ht="10.5" customHeight="1">
      <c r="A3130" s="3" t="s">
        <v>4357</v>
      </c>
      <c r="B3130" s="3" t="s">
        <v>4351</v>
      </c>
      <c r="C3130" s="3">
        <f>VLOOKUP(B3130,LifeList!$E$2:$J$2038,6)</f>
        <v>5697</v>
      </c>
      <c r="D3130" s="3" t="str">
        <f>VLOOKUP(B3130,LifeList!$E$2:$G$2038,1)</f>
        <v>Sandhill Crane</v>
      </c>
      <c r="E3130" s="3" t="str">
        <f>VLOOKUP(B3130,LifeList!$E$2:$G$2038,2)</f>
        <v>Grue du Canada</v>
      </c>
      <c r="F3130" s="3" t="str">
        <f>VLOOKUP(B3130,LifeList!$E$2:$G$2038,3)</f>
        <v>Antigone canadensis</v>
      </c>
      <c r="G3130" s="3" t="str">
        <f>VLOOKUP(B3130,LifeList!$E$2:$I$2038,4)</f>
        <v>Gruiformes</v>
      </c>
      <c r="H3130" s="3" t="str">
        <f>VLOOKUP(B3130,LifeList!$E$2:$I$2038,5)</f>
        <v>Gruidae (Cranes)</v>
      </c>
      <c r="I3130" s="3"/>
    </row>
    <row r="3131" spans="1:9" ht="10.5" customHeight="1">
      <c r="A3131" s="3" t="s">
        <v>4358</v>
      </c>
      <c r="B3131" s="3" t="s">
        <v>4351</v>
      </c>
      <c r="C3131" s="3">
        <f>VLOOKUP(B3131,LifeList!$E$2:$J$2038,6)</f>
        <v>5697</v>
      </c>
      <c r="D3131" s="3" t="str">
        <f>VLOOKUP(B3131,LifeList!$E$2:$G$2038,1)</f>
        <v>Sandhill Crane</v>
      </c>
      <c r="E3131" s="3" t="str">
        <f>VLOOKUP(B3131,LifeList!$E$2:$G$2038,2)</f>
        <v>Grue du Canada</v>
      </c>
      <c r="F3131" s="3" t="str">
        <f>VLOOKUP(B3131,LifeList!$E$2:$G$2038,3)</f>
        <v>Antigone canadensis</v>
      </c>
      <c r="G3131" s="3" t="str">
        <f>VLOOKUP(B3131,LifeList!$E$2:$I$2038,4)</f>
        <v>Gruiformes</v>
      </c>
      <c r="H3131" s="3" t="str">
        <f>VLOOKUP(B3131,LifeList!$E$2:$I$2038,5)</f>
        <v>Gruidae (Cranes)</v>
      </c>
      <c r="I3131" s="3"/>
    </row>
    <row r="3132" spans="1:9" ht="10.5" customHeight="1">
      <c r="A3132" s="3" t="s">
        <v>4359</v>
      </c>
      <c r="B3132" s="3" t="s">
        <v>4351</v>
      </c>
      <c r="C3132" s="3">
        <f>VLOOKUP(B3132,LifeList!$E$2:$J$2038,6)</f>
        <v>5697</v>
      </c>
      <c r="D3132" s="3" t="str">
        <f>VLOOKUP(B3132,LifeList!$E$2:$G$2038,1)</f>
        <v>Sandhill Crane</v>
      </c>
      <c r="E3132" s="3" t="str">
        <f>VLOOKUP(B3132,LifeList!$E$2:$G$2038,2)</f>
        <v>Grue du Canada</v>
      </c>
      <c r="F3132" s="3" t="str">
        <f>VLOOKUP(B3132,LifeList!$E$2:$G$2038,3)</f>
        <v>Antigone canadensis</v>
      </c>
      <c r="G3132" s="3" t="str">
        <f>VLOOKUP(B3132,LifeList!$E$2:$I$2038,4)</f>
        <v>Gruiformes</v>
      </c>
      <c r="H3132" s="3" t="str">
        <f>VLOOKUP(B3132,LifeList!$E$2:$I$2038,5)</f>
        <v>Gruidae (Cranes)</v>
      </c>
      <c r="I3132" s="3"/>
    </row>
    <row r="3133" spans="1:9" ht="10.5" customHeight="1">
      <c r="A3133" s="3" t="s">
        <v>4360</v>
      </c>
      <c r="B3133" s="3" t="s">
        <v>4351</v>
      </c>
      <c r="C3133" s="3">
        <f>VLOOKUP(B3133,LifeList!$E$2:$J$2038,6)</f>
        <v>5697</v>
      </c>
      <c r="D3133" s="3" t="str">
        <f>VLOOKUP(B3133,LifeList!$E$2:$G$2038,1)</f>
        <v>Sandhill Crane</v>
      </c>
      <c r="E3133" s="3" t="str">
        <f>VLOOKUP(B3133,LifeList!$E$2:$G$2038,2)</f>
        <v>Grue du Canada</v>
      </c>
      <c r="F3133" s="3" t="str">
        <f>VLOOKUP(B3133,LifeList!$E$2:$G$2038,3)</f>
        <v>Antigone canadensis</v>
      </c>
      <c r="G3133" s="3" t="str">
        <f>VLOOKUP(B3133,LifeList!$E$2:$I$2038,4)</f>
        <v>Gruiformes</v>
      </c>
      <c r="H3133" s="3" t="str">
        <f>VLOOKUP(B3133,LifeList!$E$2:$I$2038,5)</f>
        <v>Gruidae (Cranes)</v>
      </c>
      <c r="I3133" s="3"/>
    </row>
    <row r="3134" spans="1:9" ht="10.5" customHeight="1">
      <c r="A3134" s="3" t="s">
        <v>4361</v>
      </c>
      <c r="B3134" s="3" t="s">
        <v>4351</v>
      </c>
      <c r="C3134" s="3">
        <f>VLOOKUP(B3134,LifeList!$E$2:$J$2038,6)</f>
        <v>5697</v>
      </c>
      <c r="D3134" s="3" t="str">
        <f>VLOOKUP(B3134,LifeList!$E$2:$G$2038,1)</f>
        <v>Sandhill Crane</v>
      </c>
      <c r="E3134" s="3" t="str">
        <f>VLOOKUP(B3134,LifeList!$E$2:$G$2038,2)</f>
        <v>Grue du Canada</v>
      </c>
      <c r="F3134" s="3" t="str">
        <f>VLOOKUP(B3134,LifeList!$E$2:$G$2038,3)</f>
        <v>Antigone canadensis</v>
      </c>
      <c r="G3134" s="3" t="str">
        <f>VLOOKUP(B3134,LifeList!$E$2:$I$2038,4)</f>
        <v>Gruiformes</v>
      </c>
      <c r="H3134" s="3" t="str">
        <f>VLOOKUP(B3134,LifeList!$E$2:$I$2038,5)</f>
        <v>Gruidae (Cranes)</v>
      </c>
      <c r="I3134" s="3"/>
    </row>
    <row r="3135" spans="1:9" ht="10.5" customHeight="1">
      <c r="A3135" s="3" t="s">
        <v>4362</v>
      </c>
      <c r="B3135" s="3" t="s">
        <v>4351</v>
      </c>
      <c r="C3135" s="3">
        <f>VLOOKUP(B3135,LifeList!$E$2:$J$2038,6)</f>
        <v>5697</v>
      </c>
      <c r="D3135" s="3" t="str">
        <f>VLOOKUP(B3135,LifeList!$E$2:$G$2038,1)</f>
        <v>Sandhill Crane</v>
      </c>
      <c r="E3135" s="3" t="str">
        <f>VLOOKUP(B3135,LifeList!$E$2:$G$2038,2)</f>
        <v>Grue du Canada</v>
      </c>
      <c r="F3135" s="3" t="str">
        <f>VLOOKUP(B3135,LifeList!$E$2:$G$2038,3)</f>
        <v>Antigone canadensis</v>
      </c>
      <c r="G3135" s="3" t="str">
        <f>VLOOKUP(B3135,LifeList!$E$2:$I$2038,4)</f>
        <v>Gruiformes</v>
      </c>
      <c r="H3135" s="3" t="str">
        <f>VLOOKUP(B3135,LifeList!$E$2:$I$2038,5)</f>
        <v>Gruidae (Cranes)</v>
      </c>
      <c r="I3135" s="3"/>
    </row>
    <row r="3136" spans="1:9" ht="10.5" customHeight="1">
      <c r="A3136" s="3" t="s">
        <v>4363</v>
      </c>
      <c r="B3136" s="3" t="s">
        <v>4351</v>
      </c>
      <c r="C3136" s="3">
        <f>VLOOKUP(B3136,LifeList!$E$2:$J$2038,6)</f>
        <v>5697</v>
      </c>
      <c r="D3136" s="3" t="str">
        <f>VLOOKUP(B3136,LifeList!$E$2:$G$2038,1)</f>
        <v>Sandhill Crane</v>
      </c>
      <c r="E3136" s="3" t="str">
        <f>VLOOKUP(B3136,LifeList!$E$2:$G$2038,2)</f>
        <v>Grue du Canada</v>
      </c>
      <c r="F3136" s="3" t="str">
        <f>VLOOKUP(B3136,LifeList!$E$2:$G$2038,3)</f>
        <v>Antigone canadensis</v>
      </c>
      <c r="G3136" s="3" t="str">
        <f>VLOOKUP(B3136,LifeList!$E$2:$I$2038,4)</f>
        <v>Gruiformes</v>
      </c>
      <c r="H3136" s="3" t="str">
        <f>VLOOKUP(B3136,LifeList!$E$2:$I$2038,5)</f>
        <v>Gruidae (Cranes)</v>
      </c>
      <c r="I3136" s="3"/>
    </row>
    <row r="3137" spans="1:9" ht="10.5" customHeight="1">
      <c r="A3137" s="3" t="s">
        <v>4364</v>
      </c>
      <c r="B3137" s="3" t="s">
        <v>4365</v>
      </c>
      <c r="C3137" s="3">
        <f>VLOOKUP(B3137,LifeList!$E$2:$J$2038,6)</f>
        <v>6775</v>
      </c>
      <c r="D3137" s="3" t="str">
        <f>VLOOKUP(B3137,LifeList!$E$2:$G$2038,1)</f>
        <v>Sandwich Tern</v>
      </c>
      <c r="E3137" s="3" t="str">
        <f>VLOOKUP(B3137,LifeList!$E$2:$G$2038,2)</f>
        <v>Sterne caugek</v>
      </c>
      <c r="F3137" s="3" t="str">
        <f>VLOOKUP(B3137,LifeList!$E$2:$G$2038,3)</f>
        <v>Thalasseus sandvicensis</v>
      </c>
      <c r="G3137" s="3" t="str">
        <f>VLOOKUP(B3137,LifeList!$E$2:$I$2038,4)</f>
        <v>Charadriiformes</v>
      </c>
      <c r="H3137" s="3" t="str">
        <f>VLOOKUP(B3137,LifeList!$E$2:$I$2038,5)</f>
        <v>Laridae (Gulls, Terns, and Skimmers)</v>
      </c>
      <c r="I3137" s="3"/>
    </row>
    <row r="3138" spans="1:9" ht="10.5" customHeight="1">
      <c r="A3138" s="3" t="s">
        <v>4366</v>
      </c>
      <c r="B3138" s="3" t="s">
        <v>4365</v>
      </c>
      <c r="C3138" s="3">
        <f>VLOOKUP(B3138,LifeList!$E$2:$J$2038,6)</f>
        <v>6775</v>
      </c>
      <c r="D3138" s="3" t="str">
        <f>VLOOKUP(B3138,LifeList!$E$2:$G$2038,1)</f>
        <v>Sandwich Tern</v>
      </c>
      <c r="E3138" s="3" t="str">
        <f>VLOOKUP(B3138,LifeList!$E$2:$G$2038,2)</f>
        <v>Sterne caugek</v>
      </c>
      <c r="F3138" s="3" t="str">
        <f>VLOOKUP(B3138,LifeList!$E$2:$G$2038,3)</f>
        <v>Thalasseus sandvicensis</v>
      </c>
      <c r="G3138" s="3" t="str">
        <f>VLOOKUP(B3138,LifeList!$E$2:$I$2038,4)</f>
        <v>Charadriiformes</v>
      </c>
      <c r="H3138" s="3" t="str">
        <f>VLOOKUP(B3138,LifeList!$E$2:$I$2038,5)</f>
        <v>Laridae (Gulls, Terns, and Skimmers)</v>
      </c>
      <c r="I3138" s="3"/>
    </row>
    <row r="3139" spans="1:9" ht="10.5" customHeight="1">
      <c r="A3139" s="3" t="s">
        <v>4367</v>
      </c>
      <c r="B3139" s="3" t="s">
        <v>4368</v>
      </c>
      <c r="C3139" s="3">
        <f>VLOOKUP(B3139,LifeList!$E$2:$J$2038,6)</f>
        <v>14243</v>
      </c>
      <c r="D3139" s="3" t="str">
        <f>VLOOKUP(B3139,LifeList!$E$2:$G$2038,1)</f>
        <v>Santa Marta Antpitta</v>
      </c>
      <c r="E3139" s="3" t="str">
        <f>VLOOKUP(B3139,LifeList!$E$2:$G$2038,2)</f>
        <v>Grallaire de Santa Marta</v>
      </c>
      <c r="F3139" s="3" t="str">
        <f>VLOOKUP(B3139,LifeList!$E$2:$G$2038,3)</f>
        <v>Grallaria bangsi</v>
      </c>
      <c r="G3139" s="3" t="str">
        <f>VLOOKUP(B3139,LifeList!$E$2:$I$2038,4)</f>
        <v>Passeriformes</v>
      </c>
      <c r="H3139" s="3" t="str">
        <f>VLOOKUP(B3139,LifeList!$E$2:$I$2038,5)</f>
        <v>Grallariidae (Antpittas)</v>
      </c>
      <c r="I3139" s="3"/>
    </row>
    <row r="3140" spans="1:9" ht="10.5" customHeight="1">
      <c r="A3140" s="3" t="s">
        <v>4369</v>
      </c>
      <c r="B3140" s="3" t="s">
        <v>4370</v>
      </c>
      <c r="C3140" s="3">
        <f>VLOOKUP(B3140,LifeList!$E$2:$J$2038,6)</f>
        <v>33458</v>
      </c>
      <c r="D3140" s="3" t="str">
        <f>VLOOKUP(B3140,LifeList!$E$2:$G$2038,1)</f>
        <v>Santa Marta Brushfinch</v>
      </c>
      <c r="E3140" s="3" t="str">
        <f>VLOOKUP(B3140,LifeList!$E$2:$G$2038,2)</f>
        <v>Tohi de Santa Marta</v>
      </c>
      <c r="F3140" s="3" t="str">
        <f>VLOOKUP(B3140,LifeList!$E$2:$G$2038,3)</f>
        <v>Atlapetes melanocephalus</v>
      </c>
      <c r="G3140" s="3" t="str">
        <f>VLOOKUP(B3140,LifeList!$E$2:$I$2038,4)</f>
        <v>Passeriformes</v>
      </c>
      <c r="H3140" s="3" t="str">
        <f>VLOOKUP(B3140,LifeList!$E$2:$I$2038,5)</f>
        <v>Passerellidae (New World Sparrows)</v>
      </c>
      <c r="I3140" s="3"/>
    </row>
    <row r="3141" spans="1:9" ht="10.5" customHeight="1">
      <c r="A3141" s="3" t="s">
        <v>4371</v>
      </c>
      <c r="B3141" s="3" t="s">
        <v>4370</v>
      </c>
      <c r="C3141" s="3">
        <f>VLOOKUP(B3141,LifeList!$E$2:$J$2038,6)</f>
        <v>33458</v>
      </c>
      <c r="D3141" s="3" t="str">
        <f>VLOOKUP(B3141,LifeList!$E$2:$G$2038,1)</f>
        <v>Santa Marta Brushfinch</v>
      </c>
      <c r="E3141" s="3" t="str">
        <f>VLOOKUP(B3141,LifeList!$E$2:$G$2038,2)</f>
        <v>Tohi de Santa Marta</v>
      </c>
      <c r="F3141" s="3" t="str">
        <f>VLOOKUP(B3141,LifeList!$E$2:$G$2038,3)</f>
        <v>Atlapetes melanocephalus</v>
      </c>
      <c r="G3141" s="3" t="str">
        <f>VLOOKUP(B3141,LifeList!$E$2:$I$2038,4)</f>
        <v>Passeriformes</v>
      </c>
      <c r="H3141" s="3" t="str">
        <f>VLOOKUP(B3141,LifeList!$E$2:$I$2038,5)</f>
        <v>Passerellidae (New World Sparrows)</v>
      </c>
      <c r="I3141" s="3"/>
    </row>
    <row r="3142" spans="1:9" ht="10.5" customHeight="1">
      <c r="A3142" s="3" t="s">
        <v>4372</v>
      </c>
      <c r="B3142" s="3" t="s">
        <v>4370</v>
      </c>
      <c r="C3142" s="3">
        <f>VLOOKUP(B3142,LifeList!$E$2:$J$2038,6)</f>
        <v>33458</v>
      </c>
      <c r="D3142" s="3" t="str">
        <f>VLOOKUP(B3142,LifeList!$E$2:$G$2038,1)</f>
        <v>Santa Marta Brushfinch</v>
      </c>
      <c r="E3142" s="3" t="str">
        <f>VLOOKUP(B3142,LifeList!$E$2:$G$2038,2)</f>
        <v>Tohi de Santa Marta</v>
      </c>
      <c r="F3142" s="3" t="str">
        <f>VLOOKUP(B3142,LifeList!$E$2:$G$2038,3)</f>
        <v>Atlapetes melanocephalus</v>
      </c>
      <c r="G3142" s="3" t="str">
        <f>VLOOKUP(B3142,LifeList!$E$2:$I$2038,4)</f>
        <v>Passeriformes</v>
      </c>
      <c r="H3142" s="3" t="str">
        <f>VLOOKUP(B3142,LifeList!$E$2:$I$2038,5)</f>
        <v>Passerellidae (New World Sparrows)</v>
      </c>
      <c r="I3142" s="3"/>
    </row>
    <row r="3143" spans="1:9" ht="10.5" customHeight="1">
      <c r="A3143" s="3" t="s">
        <v>4373</v>
      </c>
      <c r="B3143" s="3" t="s">
        <v>4374</v>
      </c>
      <c r="C3143" s="3">
        <f>VLOOKUP(B3143,LifeList!$E$2:$J$2038,6)</f>
        <v>17151</v>
      </c>
      <c r="D3143" s="3" t="str">
        <f>VLOOKUP(B3143,LifeList!$E$2:$G$2038,1)</f>
        <v>Santa Marta Bush-Tyrant</v>
      </c>
      <c r="E3143" s="3" t="str">
        <f>VLOOKUP(B3143,LifeList!$E$2:$G$2038,2)</f>
        <v>Moucherolle de Santa Marta</v>
      </c>
      <c r="F3143" s="3" t="str">
        <f>VLOOKUP(B3143,LifeList!$E$2:$G$2038,3)</f>
        <v>Myiotheretes pernix</v>
      </c>
      <c r="G3143" s="3" t="str">
        <f>VLOOKUP(B3143,LifeList!$E$2:$I$2038,4)</f>
        <v>Passeriformes</v>
      </c>
      <c r="H3143" s="3" t="str">
        <f>VLOOKUP(B3143,LifeList!$E$2:$I$2038,5)</f>
        <v>Tyrannidae (Tyrant Flycatchers)</v>
      </c>
      <c r="I3143" s="3"/>
    </row>
    <row r="3144" spans="1:9" ht="10.5" customHeight="1">
      <c r="A3144" s="3" t="s">
        <v>4375</v>
      </c>
      <c r="B3144" s="3" t="s">
        <v>4376</v>
      </c>
      <c r="C3144" s="3">
        <f>VLOOKUP(B3144,LifeList!$E$2:$J$2038,6)</f>
        <v>13051</v>
      </c>
      <c r="D3144" s="3" t="str">
        <f>VLOOKUP(B3144,LifeList!$E$2:$G$2038,1)</f>
        <v>Santa Marta Parakeet</v>
      </c>
      <c r="E3144" s="3" t="str">
        <f>VLOOKUP(B3144,LifeList!$E$2:$G$2038,2)</f>
        <v>Conure de Santa Marta</v>
      </c>
      <c r="F3144" s="3" t="str">
        <f>VLOOKUP(B3144,LifeList!$E$2:$G$2038,3)</f>
        <v>Pyrrhura viridicata</v>
      </c>
      <c r="G3144" s="3" t="str">
        <f>VLOOKUP(B3144,LifeList!$E$2:$I$2038,4)</f>
        <v>Psittaciformes</v>
      </c>
      <c r="H3144" s="3" t="str">
        <f>VLOOKUP(B3144,LifeList!$E$2:$I$2038,5)</f>
        <v>Psittacidae (New World and African Parrots)</v>
      </c>
      <c r="I3144" s="3"/>
    </row>
    <row r="3145" spans="1:9" ht="10.5" customHeight="1">
      <c r="A3145" s="3" t="s">
        <v>4377</v>
      </c>
      <c r="B3145" s="3" t="s">
        <v>4376</v>
      </c>
      <c r="C3145" s="3">
        <f>VLOOKUP(B3145,LifeList!$E$2:$J$2038,6)</f>
        <v>13051</v>
      </c>
      <c r="D3145" s="3" t="str">
        <f>VLOOKUP(B3145,LifeList!$E$2:$G$2038,1)</f>
        <v>Santa Marta Parakeet</v>
      </c>
      <c r="E3145" s="3" t="str">
        <f>VLOOKUP(B3145,LifeList!$E$2:$G$2038,2)</f>
        <v>Conure de Santa Marta</v>
      </c>
      <c r="F3145" s="3" t="str">
        <f>VLOOKUP(B3145,LifeList!$E$2:$G$2038,3)</f>
        <v>Pyrrhura viridicata</v>
      </c>
      <c r="G3145" s="3" t="str">
        <f>VLOOKUP(B3145,LifeList!$E$2:$I$2038,4)</f>
        <v>Psittaciformes</v>
      </c>
      <c r="H3145" s="3" t="str">
        <f>VLOOKUP(B3145,LifeList!$E$2:$I$2038,5)</f>
        <v>Psittacidae (New World and African Parrots)</v>
      </c>
      <c r="I3145" s="3"/>
    </row>
    <row r="3146" spans="1:9" ht="10.5" customHeight="1">
      <c r="A3146" s="3" t="s">
        <v>4378</v>
      </c>
      <c r="B3146" s="3" t="s">
        <v>4379</v>
      </c>
      <c r="C3146" s="3">
        <f>VLOOKUP(B3146,LifeList!$E$2:$J$2038,6)</f>
        <v>5156</v>
      </c>
      <c r="D3146" s="3" t="str">
        <f>VLOOKUP(B3146,LifeList!$E$2:$G$2038,1)</f>
        <v>Sapphire-bellied Hummingbird</v>
      </c>
      <c r="E3146" s="3" t="str">
        <f>VLOOKUP(B3146,LifeList!$E$2:$G$2038,2)</f>
        <v>Colibri de Lillie</v>
      </c>
      <c r="F3146" s="3" t="str">
        <f>VLOOKUP(B3146,LifeList!$E$2:$G$2038,3)</f>
        <v>Chrysuronia lilliae</v>
      </c>
      <c r="G3146" s="3" t="str">
        <f>VLOOKUP(B3146,LifeList!$E$2:$I$2038,4)</f>
        <v>Apodiformes</v>
      </c>
      <c r="H3146" s="3" t="str">
        <f>VLOOKUP(B3146,LifeList!$E$2:$I$2038,5)</f>
        <v>Trochilidae (Hummingbirds)</v>
      </c>
      <c r="I3146" s="3"/>
    </row>
    <row r="3147" spans="1:9" ht="10.5" customHeight="1">
      <c r="A3147" s="3" t="s">
        <v>4380</v>
      </c>
      <c r="B3147" s="3" t="s">
        <v>4379</v>
      </c>
      <c r="C3147" s="3">
        <f>VLOOKUP(B3147,LifeList!$E$2:$J$2038,6)</f>
        <v>5156</v>
      </c>
      <c r="D3147" s="3" t="str">
        <f>VLOOKUP(B3147,LifeList!$E$2:$G$2038,1)</f>
        <v>Sapphire-bellied Hummingbird</v>
      </c>
      <c r="E3147" s="3" t="str">
        <f>VLOOKUP(B3147,LifeList!$E$2:$G$2038,2)</f>
        <v>Colibri de Lillie</v>
      </c>
      <c r="F3147" s="3" t="str">
        <f>VLOOKUP(B3147,LifeList!$E$2:$G$2038,3)</f>
        <v>Chrysuronia lilliae</v>
      </c>
      <c r="G3147" s="3" t="str">
        <f>VLOOKUP(B3147,LifeList!$E$2:$I$2038,4)</f>
        <v>Apodiformes</v>
      </c>
      <c r="H3147" s="3" t="str">
        <f>VLOOKUP(B3147,LifeList!$E$2:$I$2038,5)</f>
        <v>Trochilidae (Hummingbirds)</v>
      </c>
      <c r="I3147" s="3"/>
    </row>
    <row r="3148" spans="1:9" ht="10.5" customHeight="1">
      <c r="A3148" s="3" t="s">
        <v>4381</v>
      </c>
      <c r="B3148" s="3" t="s">
        <v>4382</v>
      </c>
      <c r="C3148" s="3">
        <f>VLOOKUP(B3148,LifeList!$E$2:$J$2038,6)</f>
        <v>5152</v>
      </c>
      <c r="D3148" s="3" t="str">
        <f>VLOOKUP(B3148,LifeList!$E$2:$G$2038,1)</f>
        <v>Sapphire-throated Hummingbird</v>
      </c>
      <c r="E3148" s="3" t="str">
        <f>VLOOKUP(B3148,LifeList!$E$2:$G$2038,2)</f>
        <v>Colibri faux-saphir</v>
      </c>
      <c r="F3148" s="3" t="str">
        <f>VLOOKUP(B3148,LifeList!$E$2:$G$2038,3)</f>
        <v>Chrysuronia coeruleogularis</v>
      </c>
      <c r="G3148" s="3" t="str">
        <f>VLOOKUP(B3148,LifeList!$E$2:$I$2038,4)</f>
        <v>Apodiformes</v>
      </c>
      <c r="H3148" s="3" t="str">
        <f>VLOOKUP(B3148,LifeList!$E$2:$I$2038,5)</f>
        <v>Trochilidae (Hummingbirds)</v>
      </c>
      <c r="I3148" s="3"/>
    </row>
    <row r="3149" spans="1:9" ht="10.5" customHeight="1">
      <c r="A3149" s="3" t="s">
        <v>4383</v>
      </c>
      <c r="B3149" s="3" t="s">
        <v>4384</v>
      </c>
      <c r="C3149" s="3">
        <f>VLOOKUP(B3149,LifeList!$E$2:$J$2038,6)</f>
        <v>17554</v>
      </c>
      <c r="D3149" s="3" t="str">
        <f>VLOOKUP(B3149,LifeList!$E$2:$G$2038,1)</f>
        <v>Satin Bowerbird</v>
      </c>
      <c r="E3149" s="3" t="str">
        <f>VLOOKUP(B3149,LifeList!$E$2:$G$2038,2)</f>
        <v>Jardinier satiné</v>
      </c>
      <c r="F3149" s="3" t="str">
        <f>VLOOKUP(B3149,LifeList!$E$2:$G$2038,3)</f>
        <v>Ptilonorhynchus violaceus</v>
      </c>
      <c r="G3149" s="3" t="str">
        <f>VLOOKUP(B3149,LifeList!$E$2:$I$2038,4)</f>
        <v>Passeriformes</v>
      </c>
      <c r="H3149" s="3" t="str">
        <f>VLOOKUP(B3149,LifeList!$E$2:$I$2038,5)</f>
        <v>Ptilonorhynchidae (Bowerbirds)</v>
      </c>
      <c r="I3149" s="3"/>
    </row>
    <row r="3150" spans="1:9" ht="10.5" customHeight="1">
      <c r="A3150" s="3" t="s">
        <v>4385</v>
      </c>
      <c r="B3150" s="3" t="s">
        <v>4384</v>
      </c>
      <c r="C3150" s="3">
        <f>VLOOKUP(B3150,LifeList!$E$2:$J$2038,6)</f>
        <v>17554</v>
      </c>
      <c r="D3150" s="3" t="str">
        <f>VLOOKUP(B3150,LifeList!$E$2:$G$2038,1)</f>
        <v>Satin Bowerbird</v>
      </c>
      <c r="E3150" s="3" t="str">
        <f>VLOOKUP(B3150,LifeList!$E$2:$G$2038,2)</f>
        <v>Jardinier satiné</v>
      </c>
      <c r="F3150" s="3" t="str">
        <f>VLOOKUP(B3150,LifeList!$E$2:$G$2038,3)</f>
        <v>Ptilonorhynchus violaceus</v>
      </c>
      <c r="G3150" s="3" t="str">
        <f>VLOOKUP(B3150,LifeList!$E$2:$I$2038,4)</f>
        <v>Passeriformes</v>
      </c>
      <c r="H3150" s="3" t="str">
        <f>VLOOKUP(B3150,LifeList!$E$2:$I$2038,5)</f>
        <v>Ptilonorhynchidae (Bowerbirds)</v>
      </c>
      <c r="I3150" s="3"/>
    </row>
    <row r="3151" spans="1:9" ht="10.5" customHeight="1">
      <c r="A3151" s="7" t="s">
        <v>4386</v>
      </c>
      <c r="B3151" s="9" t="s">
        <v>4387</v>
      </c>
      <c r="C3151" s="6">
        <f>VLOOKUP(B3151,LifeList!$E$2:$J$2038,6)</f>
        <v>20995</v>
      </c>
      <c r="D3151" s="3" t="str">
        <f>VLOOKUP(B3151,LifeList!$E$2:$G$2038,1)</f>
        <v>Satin Flycatcher</v>
      </c>
      <c r="E3151" s="3" t="str">
        <f>VLOOKUP(B3151,LifeList!$E$2:$G$2038,2)</f>
        <v>Monarque satiné</v>
      </c>
      <c r="F3151" s="3" t="str">
        <f>VLOOKUP(B3151,LifeList!$E$2:$G$2038,3)</f>
        <v>Myiagra cyanoleuca</v>
      </c>
      <c r="G3151" s="3" t="str">
        <f>VLOOKUP(B3151,LifeList!$E$2:$I$2038,4)</f>
        <v>Passeriformes</v>
      </c>
      <c r="H3151" s="3" t="str">
        <f>VLOOKUP(B3151,LifeList!$E$2:$I$2038,5)</f>
        <v>Monarchidae (Monarch Flycatchers)</v>
      </c>
      <c r="I3151" s="3"/>
    </row>
    <row r="3152" spans="1:9" ht="10.5" customHeight="1">
      <c r="A3152" s="7" t="s">
        <v>4388</v>
      </c>
      <c r="B3152" s="9" t="s">
        <v>4387</v>
      </c>
      <c r="C3152" s="6">
        <f>VLOOKUP(B3152,LifeList!$E$2:$J$2038,6)</f>
        <v>20995</v>
      </c>
      <c r="D3152" s="3" t="str">
        <f>VLOOKUP(B3152,LifeList!$E$2:$G$2038,1)</f>
        <v>Satin Flycatcher</v>
      </c>
      <c r="E3152" s="3" t="str">
        <f>VLOOKUP(B3152,LifeList!$E$2:$G$2038,2)</f>
        <v>Monarque satiné</v>
      </c>
      <c r="F3152" s="3" t="str">
        <f>VLOOKUP(B3152,LifeList!$E$2:$G$2038,3)</f>
        <v>Myiagra cyanoleuca</v>
      </c>
      <c r="G3152" s="3" t="str">
        <f>VLOOKUP(B3152,LifeList!$E$2:$I$2038,4)</f>
        <v>Passeriformes</v>
      </c>
      <c r="H3152" s="3" t="str">
        <f>VLOOKUP(B3152,LifeList!$E$2:$I$2038,5)</f>
        <v>Monarchidae (Monarch Flycatchers)</v>
      </c>
      <c r="I3152" s="3"/>
    </row>
    <row r="3153" spans="1:9" ht="10.5" customHeight="1">
      <c r="A3153" s="3" t="s">
        <v>4389</v>
      </c>
      <c r="B3153" s="3" t="s">
        <v>4390</v>
      </c>
      <c r="C3153" s="3">
        <f>VLOOKUP(B3153,LifeList!$E$2:$J$2038,6)</f>
        <v>8419</v>
      </c>
      <c r="D3153" s="3" t="str">
        <f>VLOOKUP(B3153,LifeList!$E$2:$G$2038,1)</f>
        <v>Savanna Hawk</v>
      </c>
      <c r="E3153" s="3" t="str">
        <f>VLOOKUP(B3153,LifeList!$E$2:$G$2038,2)</f>
        <v>Buse roussâtre</v>
      </c>
      <c r="F3153" s="3" t="str">
        <f>VLOOKUP(B3153,LifeList!$E$2:$G$2038,3)</f>
        <v>Buteogallus meridionalis</v>
      </c>
      <c r="G3153" s="3" t="str">
        <f>VLOOKUP(B3153,LifeList!$E$2:$I$2038,4)</f>
        <v>Accipitriformes</v>
      </c>
      <c r="H3153" s="3" t="str">
        <f>VLOOKUP(B3153,LifeList!$E$2:$I$2038,5)</f>
        <v>Accipitridae (Hawks, Eagles, and Kites)</v>
      </c>
      <c r="I3153" s="3"/>
    </row>
    <row r="3154" spans="1:9" ht="10.5" customHeight="1">
      <c r="A3154" s="3" t="s">
        <v>4391</v>
      </c>
      <c r="B3154" s="3" t="s">
        <v>4390</v>
      </c>
      <c r="C3154" s="3">
        <f>VLOOKUP(B3154,LifeList!$E$2:$J$2038,6)</f>
        <v>8419</v>
      </c>
      <c r="D3154" s="3" t="str">
        <f>VLOOKUP(B3154,LifeList!$E$2:$G$2038,1)</f>
        <v>Savanna Hawk</v>
      </c>
      <c r="E3154" s="3" t="str">
        <f>VLOOKUP(B3154,LifeList!$E$2:$G$2038,2)</f>
        <v>Buse roussâtre</v>
      </c>
      <c r="F3154" s="3" t="str">
        <f>VLOOKUP(B3154,LifeList!$E$2:$G$2038,3)</f>
        <v>Buteogallus meridionalis</v>
      </c>
      <c r="G3154" s="3" t="str">
        <f>VLOOKUP(B3154,LifeList!$E$2:$I$2038,4)</f>
        <v>Accipitriformes</v>
      </c>
      <c r="H3154" s="3" t="str">
        <f>VLOOKUP(B3154,LifeList!$E$2:$I$2038,5)</f>
        <v>Accipitridae (Hawks, Eagles, and Kites)</v>
      </c>
      <c r="I3154" s="3"/>
    </row>
    <row r="3155" spans="1:9" ht="10.5" customHeight="1">
      <c r="A3155" s="3" t="s">
        <v>4392</v>
      </c>
      <c r="B3155" s="3" t="s">
        <v>4390</v>
      </c>
      <c r="C3155" s="3">
        <f>VLOOKUP(B3155,LifeList!$E$2:$J$2038,6)</f>
        <v>8419</v>
      </c>
      <c r="D3155" s="3" t="str">
        <f>VLOOKUP(B3155,LifeList!$E$2:$G$2038,1)</f>
        <v>Savanna Hawk</v>
      </c>
      <c r="E3155" s="3" t="str">
        <f>VLOOKUP(B3155,LifeList!$E$2:$G$2038,2)</f>
        <v>Buse roussâtre</v>
      </c>
      <c r="F3155" s="3" t="str">
        <f>VLOOKUP(B3155,LifeList!$E$2:$G$2038,3)</f>
        <v>Buteogallus meridionalis</v>
      </c>
      <c r="G3155" s="3" t="str">
        <f>VLOOKUP(B3155,LifeList!$E$2:$I$2038,4)</f>
        <v>Accipitriformes</v>
      </c>
      <c r="H3155" s="3" t="str">
        <f>VLOOKUP(B3155,LifeList!$E$2:$I$2038,5)</f>
        <v>Accipitridae (Hawks, Eagles, and Kites)</v>
      </c>
      <c r="I3155" s="3"/>
    </row>
    <row r="3156" spans="1:9" ht="10.5" customHeight="1">
      <c r="A3156" s="3" t="s">
        <v>4393</v>
      </c>
      <c r="B3156" s="3" t="s">
        <v>4390</v>
      </c>
      <c r="C3156" s="3">
        <f>VLOOKUP(B3156,LifeList!$E$2:$J$2038,6)</f>
        <v>8419</v>
      </c>
      <c r="D3156" s="3" t="str">
        <f>VLOOKUP(B3156,LifeList!$E$2:$G$2038,1)</f>
        <v>Savanna Hawk</v>
      </c>
      <c r="E3156" s="3" t="str">
        <f>VLOOKUP(B3156,LifeList!$E$2:$G$2038,2)</f>
        <v>Buse roussâtre</v>
      </c>
      <c r="F3156" s="3" t="str">
        <f>VLOOKUP(B3156,LifeList!$E$2:$G$2038,3)</f>
        <v>Buteogallus meridionalis</v>
      </c>
      <c r="G3156" s="3" t="str">
        <f>VLOOKUP(B3156,LifeList!$E$2:$I$2038,4)</f>
        <v>Accipitriformes</v>
      </c>
      <c r="H3156" s="3" t="str">
        <f>VLOOKUP(B3156,LifeList!$E$2:$I$2038,5)</f>
        <v>Accipitridae (Hawks, Eagles, and Kites)</v>
      </c>
      <c r="I3156" s="3"/>
    </row>
    <row r="3157" spans="1:9" ht="10.5" customHeight="1">
      <c r="A3157" s="3" t="s">
        <v>4394</v>
      </c>
      <c r="B3157" s="3" t="s">
        <v>4395</v>
      </c>
      <c r="C3157" s="3">
        <f>VLOOKUP(B3157,LifeList!$E$2:$J$2038,6)</f>
        <v>33244</v>
      </c>
      <c r="D3157" s="3" t="str">
        <f>VLOOKUP(B3157,LifeList!$E$2:$G$2038,1)</f>
        <v>Savannah Sparrow</v>
      </c>
      <c r="E3157" s="3" t="str">
        <f>VLOOKUP(B3157,LifeList!$E$2:$G$2038,2)</f>
        <v>Bruant des prés</v>
      </c>
      <c r="F3157" s="3" t="str">
        <f>VLOOKUP(B3157,LifeList!$E$2:$G$2038,3)</f>
        <v>Passerculus sandwichensis</v>
      </c>
      <c r="G3157" s="3" t="str">
        <f>VLOOKUP(B3157,LifeList!$E$2:$I$2038,4)</f>
        <v>Passeriformes</v>
      </c>
      <c r="H3157" s="3" t="str">
        <f>VLOOKUP(B3157,LifeList!$E$2:$I$2038,5)</f>
        <v>Passerellidae (New World Sparrows)</v>
      </c>
      <c r="I3157" s="3"/>
    </row>
    <row r="3158" spans="1:9" ht="10.5" customHeight="1">
      <c r="A3158" s="3" t="s">
        <v>4396</v>
      </c>
      <c r="B3158" s="3" t="s">
        <v>4395</v>
      </c>
      <c r="C3158" s="3">
        <f>VLOOKUP(B3158,LifeList!$E$2:$J$2038,6)</f>
        <v>33244</v>
      </c>
      <c r="D3158" s="3" t="str">
        <f>VLOOKUP(B3158,LifeList!$E$2:$G$2038,1)</f>
        <v>Savannah Sparrow</v>
      </c>
      <c r="E3158" s="3" t="str">
        <f>VLOOKUP(B3158,LifeList!$E$2:$G$2038,2)</f>
        <v>Bruant des prés</v>
      </c>
      <c r="F3158" s="3" t="str">
        <f>VLOOKUP(B3158,LifeList!$E$2:$G$2038,3)</f>
        <v>Passerculus sandwichensis</v>
      </c>
      <c r="G3158" s="3" t="str">
        <f>VLOOKUP(B3158,LifeList!$E$2:$I$2038,4)</f>
        <v>Passeriformes</v>
      </c>
      <c r="H3158" s="3" t="str">
        <f>VLOOKUP(B3158,LifeList!$E$2:$I$2038,5)</f>
        <v>Passerellidae (New World Sparrows)</v>
      </c>
      <c r="I3158" s="3"/>
    </row>
    <row r="3159" spans="1:9" ht="10.5" customHeight="1">
      <c r="A3159" s="3" t="s">
        <v>4397</v>
      </c>
      <c r="B3159" s="3" t="s">
        <v>4395</v>
      </c>
      <c r="C3159" s="3">
        <f>VLOOKUP(B3159,LifeList!$E$2:$J$2038,6)</f>
        <v>33244</v>
      </c>
      <c r="D3159" s="3" t="str">
        <f>VLOOKUP(B3159,LifeList!$E$2:$G$2038,1)</f>
        <v>Savannah Sparrow</v>
      </c>
      <c r="E3159" s="3" t="str">
        <f>VLOOKUP(B3159,LifeList!$E$2:$G$2038,2)</f>
        <v>Bruant des prés</v>
      </c>
      <c r="F3159" s="3" t="str">
        <f>VLOOKUP(B3159,LifeList!$E$2:$G$2038,3)</f>
        <v>Passerculus sandwichensis</v>
      </c>
      <c r="G3159" s="3" t="str">
        <f>VLOOKUP(B3159,LifeList!$E$2:$I$2038,4)</f>
        <v>Passeriformes</v>
      </c>
      <c r="H3159" s="3" t="str">
        <f>VLOOKUP(B3159,LifeList!$E$2:$I$2038,5)</f>
        <v>Passerellidae (New World Sparrows)</v>
      </c>
      <c r="I3159" s="3"/>
    </row>
    <row r="3160" spans="1:9" ht="10.5" customHeight="1">
      <c r="A3160" s="3" t="s">
        <v>4398</v>
      </c>
      <c r="B3160" s="3" t="s">
        <v>4395</v>
      </c>
      <c r="C3160" s="3">
        <f>VLOOKUP(B3160,LifeList!$E$2:$J$2038,6)</f>
        <v>33244</v>
      </c>
      <c r="D3160" s="3" t="str">
        <f>VLOOKUP(B3160,LifeList!$E$2:$G$2038,1)</f>
        <v>Savannah Sparrow</v>
      </c>
      <c r="E3160" s="3" t="str">
        <f>VLOOKUP(B3160,LifeList!$E$2:$G$2038,2)</f>
        <v>Bruant des prés</v>
      </c>
      <c r="F3160" s="3" t="str">
        <f>VLOOKUP(B3160,LifeList!$E$2:$G$2038,3)</f>
        <v>Passerculus sandwichensis</v>
      </c>
      <c r="G3160" s="3" t="str">
        <f>VLOOKUP(B3160,LifeList!$E$2:$I$2038,4)</f>
        <v>Passeriformes</v>
      </c>
      <c r="H3160" s="3" t="str">
        <f>VLOOKUP(B3160,LifeList!$E$2:$I$2038,5)</f>
        <v>Passerellidae (New World Sparrows)</v>
      </c>
      <c r="I3160" s="3"/>
    </row>
    <row r="3161" spans="1:9" ht="10.5" customHeight="1">
      <c r="A3161" s="3" t="s">
        <v>4399</v>
      </c>
      <c r="B3161" s="3" t="s">
        <v>4395</v>
      </c>
      <c r="C3161" s="3">
        <f>VLOOKUP(B3161,LifeList!$E$2:$J$2038,6)</f>
        <v>33244</v>
      </c>
      <c r="D3161" s="3" t="str">
        <f>VLOOKUP(B3161,LifeList!$E$2:$G$2038,1)</f>
        <v>Savannah Sparrow</v>
      </c>
      <c r="E3161" s="3" t="str">
        <f>VLOOKUP(B3161,LifeList!$E$2:$G$2038,2)</f>
        <v>Bruant des prés</v>
      </c>
      <c r="F3161" s="3" t="str">
        <f>VLOOKUP(B3161,LifeList!$E$2:$G$2038,3)</f>
        <v>Passerculus sandwichensis</v>
      </c>
      <c r="G3161" s="3" t="str">
        <f>VLOOKUP(B3161,LifeList!$E$2:$I$2038,4)</f>
        <v>Passeriformes</v>
      </c>
      <c r="H3161" s="3" t="str">
        <f>VLOOKUP(B3161,LifeList!$E$2:$I$2038,5)</f>
        <v>Passerellidae (New World Sparrows)</v>
      </c>
      <c r="I3161" s="3"/>
    </row>
    <row r="3162" spans="1:9" ht="10.5" customHeight="1">
      <c r="A3162" s="3" t="s">
        <v>4400</v>
      </c>
      <c r="B3162" s="3" t="s">
        <v>4395</v>
      </c>
      <c r="C3162" s="3">
        <f>VLOOKUP(B3162,LifeList!$E$2:$J$2038,6)</f>
        <v>33244</v>
      </c>
      <c r="D3162" s="3" t="str">
        <f>VLOOKUP(B3162,LifeList!$E$2:$G$2038,1)</f>
        <v>Savannah Sparrow</v>
      </c>
      <c r="E3162" s="3" t="str">
        <f>VLOOKUP(B3162,LifeList!$E$2:$G$2038,2)</f>
        <v>Bruant des prés</v>
      </c>
      <c r="F3162" s="3" t="str">
        <f>VLOOKUP(B3162,LifeList!$E$2:$G$2038,3)</f>
        <v>Passerculus sandwichensis</v>
      </c>
      <c r="G3162" s="3" t="str">
        <f>VLOOKUP(B3162,LifeList!$E$2:$I$2038,4)</f>
        <v>Passeriformes</v>
      </c>
      <c r="H3162" s="3" t="str">
        <f>VLOOKUP(B3162,LifeList!$E$2:$I$2038,5)</f>
        <v>Passerellidae (New World Sparrows)</v>
      </c>
      <c r="I3162" s="3"/>
    </row>
    <row r="3163" spans="1:9" ht="10.5" customHeight="1">
      <c r="A3163" s="3" t="s">
        <v>4401</v>
      </c>
      <c r="B3163" s="3" t="s">
        <v>4395</v>
      </c>
      <c r="C3163" s="3">
        <f>VLOOKUP(B3163,LifeList!$E$2:$J$2038,6)</f>
        <v>33244</v>
      </c>
      <c r="D3163" s="3" t="str">
        <f>VLOOKUP(B3163,LifeList!$E$2:$G$2038,1)</f>
        <v>Savannah Sparrow</v>
      </c>
      <c r="E3163" s="3" t="str">
        <f>VLOOKUP(B3163,LifeList!$E$2:$G$2038,2)</f>
        <v>Bruant des prés</v>
      </c>
      <c r="F3163" s="3" t="str">
        <f>VLOOKUP(B3163,LifeList!$E$2:$G$2038,3)</f>
        <v>Passerculus sandwichensis</v>
      </c>
      <c r="G3163" s="3" t="str">
        <f>VLOOKUP(B3163,LifeList!$E$2:$I$2038,4)</f>
        <v>Passeriformes</v>
      </c>
      <c r="H3163" s="3" t="str">
        <f>VLOOKUP(B3163,LifeList!$E$2:$I$2038,5)</f>
        <v>Passerellidae (New World Sparrows)</v>
      </c>
      <c r="I3163" s="3"/>
    </row>
    <row r="3164" spans="1:9" ht="10.5" customHeight="1">
      <c r="A3164" s="3" t="s">
        <v>4402</v>
      </c>
      <c r="B3164" s="3" t="s">
        <v>4395</v>
      </c>
      <c r="C3164" s="3">
        <f>VLOOKUP(B3164,LifeList!$E$2:$J$2038,6)</f>
        <v>33244</v>
      </c>
      <c r="D3164" s="3" t="str">
        <f>VLOOKUP(B3164,LifeList!$E$2:$G$2038,1)</f>
        <v>Savannah Sparrow</v>
      </c>
      <c r="E3164" s="3" t="str">
        <f>VLOOKUP(B3164,LifeList!$E$2:$G$2038,2)</f>
        <v>Bruant des prés</v>
      </c>
      <c r="F3164" s="3" t="str">
        <f>VLOOKUP(B3164,LifeList!$E$2:$G$2038,3)</f>
        <v>Passerculus sandwichensis</v>
      </c>
      <c r="G3164" s="3" t="str">
        <f>VLOOKUP(B3164,LifeList!$E$2:$I$2038,4)</f>
        <v>Passeriformes</v>
      </c>
      <c r="H3164" s="3" t="str">
        <f>VLOOKUP(B3164,LifeList!$E$2:$I$2038,5)</f>
        <v>Passerellidae (New World Sparrows)</v>
      </c>
      <c r="I3164" s="3"/>
    </row>
    <row r="3165" spans="1:9" ht="10.5" customHeight="1">
      <c r="A3165" s="3" t="s">
        <v>4403</v>
      </c>
      <c r="B3165" s="3" t="s">
        <v>4395</v>
      </c>
      <c r="C3165" s="3">
        <f>VLOOKUP(B3165,LifeList!$E$2:$J$2038,6)</f>
        <v>33244</v>
      </c>
      <c r="D3165" s="3" t="str">
        <f>VLOOKUP(B3165,LifeList!$E$2:$G$2038,1)</f>
        <v>Savannah Sparrow</v>
      </c>
      <c r="E3165" s="3" t="str">
        <f>VLOOKUP(B3165,LifeList!$E$2:$G$2038,2)</f>
        <v>Bruant des prés</v>
      </c>
      <c r="F3165" s="3" t="str">
        <f>VLOOKUP(B3165,LifeList!$E$2:$G$2038,3)</f>
        <v>Passerculus sandwichensis</v>
      </c>
      <c r="G3165" s="3" t="str">
        <f>VLOOKUP(B3165,LifeList!$E$2:$I$2038,4)</f>
        <v>Passeriformes</v>
      </c>
      <c r="H3165" s="3" t="str">
        <f>VLOOKUP(B3165,LifeList!$E$2:$I$2038,5)</f>
        <v>Passerellidae (New World Sparrows)</v>
      </c>
      <c r="I3165" s="3"/>
    </row>
    <row r="3166" spans="1:9" ht="10.5" customHeight="1">
      <c r="A3166" s="3" t="s">
        <v>4404</v>
      </c>
      <c r="B3166" s="3" t="s">
        <v>4395</v>
      </c>
      <c r="C3166" s="3">
        <f>VLOOKUP(B3166,LifeList!$E$2:$J$2038,6)</f>
        <v>33244</v>
      </c>
      <c r="D3166" s="3" t="str">
        <f>VLOOKUP(B3166,LifeList!$E$2:$G$2038,1)</f>
        <v>Savannah Sparrow</v>
      </c>
      <c r="E3166" s="3" t="str">
        <f>VLOOKUP(B3166,LifeList!$E$2:$G$2038,2)</f>
        <v>Bruant des prés</v>
      </c>
      <c r="F3166" s="3" t="str">
        <f>VLOOKUP(B3166,LifeList!$E$2:$G$2038,3)</f>
        <v>Passerculus sandwichensis</v>
      </c>
      <c r="G3166" s="3" t="str">
        <f>VLOOKUP(B3166,LifeList!$E$2:$I$2038,4)</f>
        <v>Passeriformes</v>
      </c>
      <c r="H3166" s="3" t="str">
        <f>VLOOKUP(B3166,LifeList!$E$2:$I$2038,5)</f>
        <v>Passerellidae (New World Sparrows)</v>
      </c>
      <c r="I3166" s="3"/>
    </row>
    <row r="3167" spans="1:9" ht="10.5" customHeight="1">
      <c r="A3167" s="3" t="s">
        <v>4405</v>
      </c>
      <c r="B3167" s="3" t="s">
        <v>4395</v>
      </c>
      <c r="C3167" s="3">
        <f>VLOOKUP(B3167,LifeList!$E$2:$J$2038,6)</f>
        <v>33244</v>
      </c>
      <c r="D3167" s="3" t="str">
        <f>VLOOKUP(B3167,LifeList!$E$2:$G$2038,1)</f>
        <v>Savannah Sparrow</v>
      </c>
      <c r="E3167" s="3" t="str">
        <f>VLOOKUP(B3167,LifeList!$E$2:$G$2038,2)</f>
        <v>Bruant des prés</v>
      </c>
      <c r="F3167" s="3" t="str">
        <f>VLOOKUP(B3167,LifeList!$E$2:$G$2038,3)</f>
        <v>Passerculus sandwichensis</v>
      </c>
      <c r="G3167" s="3" t="str">
        <f>VLOOKUP(B3167,LifeList!$E$2:$I$2038,4)</f>
        <v>Passeriformes</v>
      </c>
      <c r="H3167" s="3" t="str">
        <f>VLOOKUP(B3167,LifeList!$E$2:$I$2038,5)</f>
        <v>Passerellidae (New World Sparrows)</v>
      </c>
      <c r="I3167" s="3"/>
    </row>
    <row r="3168" spans="1:9" ht="10.5" customHeight="1">
      <c r="A3168" s="3" t="s">
        <v>4406</v>
      </c>
      <c r="B3168" s="3" t="s">
        <v>4395</v>
      </c>
      <c r="C3168" s="3">
        <f>VLOOKUP(B3168,LifeList!$E$2:$J$2038,6)</f>
        <v>33244</v>
      </c>
      <c r="D3168" s="3" t="str">
        <f>VLOOKUP(B3168,LifeList!$E$2:$G$2038,1)</f>
        <v>Savannah Sparrow</v>
      </c>
      <c r="E3168" s="3" t="str">
        <f>VLOOKUP(B3168,LifeList!$E$2:$G$2038,2)</f>
        <v>Bruant des prés</v>
      </c>
      <c r="F3168" s="3" t="str">
        <f>VLOOKUP(B3168,LifeList!$E$2:$G$2038,3)</f>
        <v>Passerculus sandwichensis</v>
      </c>
      <c r="G3168" s="3" t="str">
        <f>VLOOKUP(B3168,LifeList!$E$2:$I$2038,4)</f>
        <v>Passeriformes</v>
      </c>
      <c r="H3168" s="3" t="str">
        <f>VLOOKUP(B3168,LifeList!$E$2:$I$2038,5)</f>
        <v>Passerellidae (New World Sparrows)</v>
      </c>
      <c r="I3168" s="3"/>
    </row>
    <row r="3169" spans="1:9" ht="10.5" customHeight="1">
      <c r="A3169" s="3" t="s">
        <v>4407</v>
      </c>
      <c r="B3169" s="3" t="s">
        <v>4395</v>
      </c>
      <c r="C3169" s="3">
        <f>VLOOKUP(B3169,LifeList!$E$2:$J$2038,6)</f>
        <v>33244</v>
      </c>
      <c r="D3169" s="3" t="str">
        <f>VLOOKUP(B3169,LifeList!$E$2:$G$2038,1)</f>
        <v>Savannah Sparrow</v>
      </c>
      <c r="E3169" s="3" t="str">
        <f>VLOOKUP(B3169,LifeList!$E$2:$G$2038,2)</f>
        <v>Bruant des prés</v>
      </c>
      <c r="F3169" s="3" t="str">
        <f>VLOOKUP(B3169,LifeList!$E$2:$G$2038,3)</f>
        <v>Passerculus sandwichensis</v>
      </c>
      <c r="G3169" s="3" t="str">
        <f>VLOOKUP(B3169,LifeList!$E$2:$I$2038,4)</f>
        <v>Passeriformes</v>
      </c>
      <c r="H3169" s="3" t="str">
        <f>VLOOKUP(B3169,LifeList!$E$2:$I$2038,5)</f>
        <v>Passerellidae (New World Sparrows)</v>
      </c>
      <c r="I3169" s="3"/>
    </row>
    <row r="3170" spans="1:9" ht="10.5" customHeight="1">
      <c r="A3170" s="5" t="s">
        <v>4408</v>
      </c>
      <c r="B3170" s="3" t="s">
        <v>4409</v>
      </c>
      <c r="C3170" s="3">
        <f>VLOOKUP(B3170,LifeList!$E$2:$J$2038,6)</f>
        <v>17010</v>
      </c>
      <c r="D3170" s="3" t="str">
        <f>VLOOKUP(B3170,LifeList!$E$2:$G$2038,1)</f>
        <v>Say's Phoebe</v>
      </c>
      <c r="E3170" s="3" t="str">
        <f>VLOOKUP(B3170,LifeList!$E$2:$G$2038,2)</f>
        <v>Moucherolle à ventre roux</v>
      </c>
      <c r="F3170" s="3" t="str">
        <f>VLOOKUP(B3170,LifeList!$E$2:$G$2038,3)</f>
        <v>Sayornis saya</v>
      </c>
      <c r="G3170" s="3" t="str">
        <f>VLOOKUP(B3170,LifeList!$E$2:$I$2038,4)</f>
        <v>Passeriformes</v>
      </c>
      <c r="H3170" s="3" t="str">
        <f>VLOOKUP(B3170,LifeList!$E$2:$I$2038,5)</f>
        <v>Tyrannidae (Tyrant Flycatchers)</v>
      </c>
      <c r="I3170" s="3"/>
    </row>
    <row r="3171" spans="1:9" ht="10.5" customHeight="1">
      <c r="A3171" s="3" t="s">
        <v>4410</v>
      </c>
      <c r="B3171" s="3" t="s">
        <v>4411</v>
      </c>
      <c r="C3171" s="3">
        <f>VLOOKUP(B3171,LifeList!$E$2:$J$2038,6)</f>
        <v>2278</v>
      </c>
      <c r="D3171" s="3" t="str">
        <f>VLOOKUP(B3171,LifeList!$E$2:$G$2038,1)</f>
        <v>Scaled Dove</v>
      </c>
      <c r="E3171" s="3" t="str">
        <f>VLOOKUP(B3171,LifeList!$E$2:$G$2038,2)</f>
        <v>Colombe écaillée</v>
      </c>
      <c r="F3171" s="3" t="str">
        <f>VLOOKUP(B3171,LifeList!$E$2:$G$2038,3)</f>
        <v>Columbina squammata</v>
      </c>
      <c r="G3171" s="3" t="str">
        <f>VLOOKUP(B3171,LifeList!$E$2:$I$2038,4)</f>
        <v>Columbiformes</v>
      </c>
      <c r="H3171" s="3" t="str">
        <f>VLOOKUP(B3171,LifeList!$E$2:$I$2038,5)</f>
        <v>Columbidae (Pigeons and Doves)</v>
      </c>
      <c r="I3171" s="3"/>
    </row>
    <row r="3172" spans="1:9" ht="10.5" customHeight="1">
      <c r="A3172" s="3" t="s">
        <v>4412</v>
      </c>
      <c r="B3172" s="3" t="s">
        <v>4411</v>
      </c>
      <c r="C3172" s="3">
        <f>VLOOKUP(B3172,LifeList!$E$2:$J$2038,6)</f>
        <v>2278</v>
      </c>
      <c r="D3172" s="3" t="str">
        <f>VLOOKUP(B3172,LifeList!$E$2:$G$2038,1)</f>
        <v>Scaled Dove</v>
      </c>
      <c r="E3172" s="3" t="str">
        <f>VLOOKUP(B3172,LifeList!$E$2:$G$2038,2)</f>
        <v>Colombe écaillée</v>
      </c>
      <c r="F3172" s="3" t="str">
        <f>VLOOKUP(B3172,LifeList!$E$2:$G$2038,3)</f>
        <v>Columbina squammata</v>
      </c>
      <c r="G3172" s="3" t="str">
        <f>VLOOKUP(B3172,LifeList!$E$2:$I$2038,4)</f>
        <v>Columbiformes</v>
      </c>
      <c r="H3172" s="3" t="str">
        <f>VLOOKUP(B3172,LifeList!$E$2:$I$2038,5)</f>
        <v>Columbidae (Pigeons and Doves)</v>
      </c>
      <c r="I3172" s="3"/>
    </row>
    <row r="3173" spans="1:9" ht="10.5" customHeight="1">
      <c r="A3173" s="3" t="s">
        <v>4413</v>
      </c>
      <c r="B3173" s="3" t="s">
        <v>4414</v>
      </c>
      <c r="C3173" s="3">
        <f>VLOOKUP(B3173,LifeList!$E$2:$J$2038,6)</f>
        <v>15881</v>
      </c>
      <c r="D3173" s="3" t="str">
        <f>VLOOKUP(B3173,LifeList!$E$2:$G$2038,1)</f>
        <v>Scaled Fruiteater</v>
      </c>
      <c r="E3173" s="3" t="str">
        <f>VLOOKUP(B3173,LifeList!$E$2:$G$2038,2)</f>
        <v>Cotinga écaillé</v>
      </c>
      <c r="F3173" s="3" t="str">
        <f>VLOOKUP(B3173,LifeList!$E$2:$G$2038,3)</f>
        <v>Ampelioides tschudii</v>
      </c>
      <c r="G3173" s="3" t="str">
        <f>VLOOKUP(B3173,LifeList!$E$2:$I$2038,4)</f>
        <v>Passeriformes</v>
      </c>
      <c r="H3173" s="3" t="str">
        <f>VLOOKUP(B3173,LifeList!$E$2:$I$2038,5)</f>
        <v>Cotingidae (Cotingas)</v>
      </c>
      <c r="I3173" s="3"/>
    </row>
    <row r="3174" spans="1:9" ht="10.5" customHeight="1">
      <c r="A3174" s="5" t="s">
        <v>4415</v>
      </c>
      <c r="B3174" s="3" t="s">
        <v>4416</v>
      </c>
      <c r="C3174" s="3">
        <f>VLOOKUP(B3174,LifeList!$E$2:$J$2038,6)</f>
        <v>10371</v>
      </c>
      <c r="D3174" s="3" t="str">
        <f>VLOOKUP(B3174,LifeList!$E$2:$G$2038,1)</f>
        <v>Scaly Ground-Roller</v>
      </c>
      <c r="E3174" s="3" t="str">
        <f>VLOOKUP(B3174,LifeList!$E$2:$G$2038,2)</f>
        <v>Brachyptérolle écaillé</v>
      </c>
      <c r="F3174" s="3" t="str">
        <f>VLOOKUP(B3174,LifeList!$E$2:$G$2038,3)</f>
        <v>Geobiastes squamiger</v>
      </c>
      <c r="G3174" s="3" t="str">
        <f>VLOOKUP(B3174,LifeList!$E$2:$I$2038,4)</f>
        <v>Coraciiformes</v>
      </c>
      <c r="H3174" s="3" t="str">
        <f>VLOOKUP(B3174,LifeList!$E$2:$I$2038,5)</f>
        <v>Brachypteraciidae (Ground-Rollers)</v>
      </c>
      <c r="I3174" s="3"/>
    </row>
    <row r="3175" spans="1:9" ht="10.5" customHeight="1">
      <c r="A3175" s="3" t="s">
        <v>4417</v>
      </c>
      <c r="B3175" s="3" t="s">
        <v>4418</v>
      </c>
      <c r="C3175" s="3">
        <f>VLOOKUP(B3175,LifeList!$E$2:$J$2038,6)</f>
        <v>10371</v>
      </c>
      <c r="D3175" s="3" t="str">
        <f>VLOOKUP(B3175,LifeList!$E$2:$G$2038,1)</f>
        <v>Scaly Ground-Roller</v>
      </c>
      <c r="E3175" s="3" t="str">
        <f>VLOOKUP(B3175,LifeList!$E$2:$G$2038,2)</f>
        <v>Brachyptérolle écaillé</v>
      </c>
      <c r="F3175" s="3" t="str">
        <f>VLOOKUP(B3175,LifeList!$E$2:$G$2038,3)</f>
        <v>Geobiastes squamiger</v>
      </c>
      <c r="G3175" s="3" t="str">
        <f>VLOOKUP(B3175,LifeList!$E$2:$I$2038,4)</f>
        <v>Coraciiformes</v>
      </c>
      <c r="H3175" s="3" t="str">
        <f>VLOOKUP(B3175,LifeList!$E$2:$I$2038,5)</f>
        <v>Brachypteraciidae (Ground-Rollers)</v>
      </c>
      <c r="I3175" s="3"/>
    </row>
    <row r="3176" spans="1:9" ht="10.5" customHeight="1">
      <c r="A3176" s="3" t="s">
        <v>4419</v>
      </c>
      <c r="B3176" s="3" t="s">
        <v>4420</v>
      </c>
      <c r="C3176" s="3">
        <f>VLOOKUP(B3176,LifeList!$E$2:$J$2038,6)</f>
        <v>30715</v>
      </c>
      <c r="D3176" s="3" t="str">
        <f>VLOOKUP(B3176,LifeList!$E$2:$G$2038,1)</f>
        <v>Scaly Weaver</v>
      </c>
      <c r="E3176" s="3" t="str">
        <f>VLOOKUP(B3176,LifeList!$E$2:$G$2038,2)</f>
        <v>Sporopipe squameux</v>
      </c>
      <c r="F3176" s="3" t="str">
        <f>VLOOKUP(B3176,LifeList!$E$2:$G$2038,3)</f>
        <v>Sporopipes squamifrons</v>
      </c>
      <c r="G3176" s="3" t="str">
        <f>VLOOKUP(B3176,LifeList!$E$2:$I$2038,4)</f>
        <v>Passeriformes</v>
      </c>
      <c r="H3176" s="3" t="str">
        <f>VLOOKUP(B3176,LifeList!$E$2:$I$2038,5)</f>
        <v>Ploceidae (Weavers and Allies)</v>
      </c>
      <c r="I3176" s="3"/>
    </row>
    <row r="3177" spans="1:9" ht="10.5" customHeight="1">
      <c r="A3177" s="3" t="s">
        <v>4421</v>
      </c>
      <c r="B3177" s="3" t="s">
        <v>4422</v>
      </c>
      <c r="C3177" s="3">
        <f>VLOOKUP(B3177,LifeList!$E$2:$J$2038,6)</f>
        <v>5020</v>
      </c>
      <c r="D3177" s="3" t="str">
        <f>VLOOKUP(B3177,LifeList!$E$2:$G$2038,1)</f>
        <v>Scaly-breasted Hummingbird</v>
      </c>
      <c r="E3177" s="3" t="str">
        <f>VLOOKUP(B3177,LifeList!$E$2:$G$2038,2)</f>
        <v>Colibri de Cuvier</v>
      </c>
      <c r="F3177" s="3" t="str">
        <f>VLOOKUP(B3177,LifeList!$E$2:$G$2038,3)</f>
        <v>Phaeochroa cuvierii</v>
      </c>
      <c r="G3177" s="3" t="str">
        <f>VLOOKUP(B3177,LifeList!$E$2:$I$2038,4)</f>
        <v>Apodiformes</v>
      </c>
      <c r="H3177" s="3" t="str">
        <f>VLOOKUP(B3177,LifeList!$E$2:$I$2038,5)</f>
        <v>Trochilidae (Hummingbirds)</v>
      </c>
      <c r="I3177" s="3"/>
    </row>
    <row r="3178" spans="1:9" ht="10.5" customHeight="1">
      <c r="A3178" s="3" t="s">
        <v>4423</v>
      </c>
      <c r="B3178" s="3" t="s">
        <v>4424</v>
      </c>
      <c r="C3178" s="3">
        <f>VLOOKUP(B3178,LifeList!$E$2:$J$2038,6)</f>
        <v>15147</v>
      </c>
      <c r="D3178" s="3" t="str">
        <f>VLOOKUP(B3178,LifeList!$E$2:$G$2038,1)</f>
        <v>Scaly-throated Foliage-gleaner</v>
      </c>
      <c r="E3178" s="3" t="str">
        <f>VLOOKUP(B3178,LifeList!$E$2:$G$2038,2)</f>
        <v>Anabate à lunettes</v>
      </c>
      <c r="F3178" s="3" t="str">
        <f>VLOOKUP(B3178,LifeList!$E$2:$G$2038,3)</f>
        <v>Anabacerthia variegaticeps</v>
      </c>
      <c r="G3178" s="3" t="str">
        <f>VLOOKUP(B3178,LifeList!$E$2:$I$2038,4)</f>
        <v>Passeriformes</v>
      </c>
      <c r="H3178" s="3" t="str">
        <f>VLOOKUP(B3178,LifeList!$E$2:$I$2038,5)</f>
        <v>Furnariidae (Ovenbirds and Woodcreepers)</v>
      </c>
      <c r="I3178" s="3"/>
    </row>
    <row r="3179" spans="1:9" ht="10.5" customHeight="1">
      <c r="A3179" s="3" t="s">
        <v>4425</v>
      </c>
      <c r="B3179" s="3" t="s">
        <v>4424</v>
      </c>
      <c r="C3179" s="3">
        <f>VLOOKUP(B3179,LifeList!$E$2:$J$2038,6)</f>
        <v>15147</v>
      </c>
      <c r="D3179" s="3" t="str">
        <f>VLOOKUP(B3179,LifeList!$E$2:$G$2038,1)</f>
        <v>Scaly-throated Foliage-gleaner</v>
      </c>
      <c r="E3179" s="3" t="str">
        <f>VLOOKUP(B3179,LifeList!$E$2:$G$2038,2)</f>
        <v>Anabate à lunettes</v>
      </c>
      <c r="F3179" s="3" t="str">
        <f>VLOOKUP(B3179,LifeList!$E$2:$G$2038,3)</f>
        <v>Anabacerthia variegaticeps</v>
      </c>
      <c r="G3179" s="3" t="str">
        <f>VLOOKUP(B3179,LifeList!$E$2:$I$2038,4)</f>
        <v>Passeriformes</v>
      </c>
      <c r="H3179" s="3" t="str">
        <f>VLOOKUP(B3179,LifeList!$E$2:$I$2038,5)</f>
        <v>Furnariidae (Ovenbirds and Woodcreepers)</v>
      </c>
      <c r="I3179" s="3"/>
    </row>
    <row r="3180" spans="1:9" ht="10.5" customHeight="1">
      <c r="A3180" s="3" t="s">
        <v>4426</v>
      </c>
      <c r="B3180" s="3" t="s">
        <v>4427</v>
      </c>
      <c r="C3180" s="3">
        <f>VLOOKUP(B3180,LifeList!$E$2:$J$2038,6)</f>
        <v>34436</v>
      </c>
      <c r="D3180" s="3" t="str">
        <f>VLOOKUP(B3180,LifeList!$E$2:$G$2038,1)</f>
        <v>Scarlet Tanager</v>
      </c>
      <c r="E3180" s="3" t="str">
        <f>VLOOKUP(B3180,LifeList!$E$2:$G$2038,2)</f>
        <v>Piranga écarlate</v>
      </c>
      <c r="F3180" s="3" t="str">
        <f>VLOOKUP(B3180,LifeList!$E$2:$G$2038,3)</f>
        <v>Piranga olivacea</v>
      </c>
      <c r="G3180" s="3" t="str">
        <f>VLOOKUP(B3180,LifeList!$E$2:$I$2038,4)</f>
        <v>Passeriformes</v>
      </c>
      <c r="H3180" s="3" t="str">
        <f>VLOOKUP(B3180,LifeList!$E$2:$I$2038,5)</f>
        <v>Cardinalidae (Cardinals and Allies)</v>
      </c>
      <c r="I3180" s="3"/>
    </row>
    <row r="3181" spans="1:9" ht="10.5" customHeight="1">
      <c r="A3181" s="7" t="s">
        <v>4428</v>
      </c>
      <c r="B3181" s="9" t="s">
        <v>4429</v>
      </c>
      <c r="C3181" s="6">
        <f>VLOOKUP(B3181,LifeList!$E$2:$J$2038,6)</f>
        <v>30267</v>
      </c>
      <c r="D3181" s="3" t="str">
        <f>VLOOKUP(B3181,LifeList!$E$2:$G$2038,1)</f>
        <v>Scarlet-chested Sunbird</v>
      </c>
      <c r="E3181" s="3" t="str">
        <f>VLOOKUP(B3181,LifeList!$E$2:$G$2038,2)</f>
        <v>Souimanga à poitrine rouge</v>
      </c>
      <c r="F3181" s="3" t="str">
        <f>VLOOKUP(B3181,LifeList!$E$2:$G$2038,3)</f>
        <v>Chalcomitra senegalensis</v>
      </c>
      <c r="G3181" s="3" t="str">
        <f>VLOOKUP(B3181,LifeList!$E$2:$I$2038,4)</f>
        <v>Passeriformes</v>
      </c>
      <c r="H3181" s="3" t="str">
        <f>VLOOKUP(B3181,LifeList!$E$2:$I$2038,5)</f>
        <v>Nectariniidae (Sunbirds and Spiderhunters)</v>
      </c>
      <c r="I3181" s="3"/>
    </row>
    <row r="3182" spans="1:9" ht="10.5" customHeight="1">
      <c r="A3182" s="3" t="s">
        <v>4430</v>
      </c>
      <c r="B3182" s="3" t="s">
        <v>4431</v>
      </c>
      <c r="C3182" s="3">
        <f>VLOOKUP(B3182,LifeList!$E$2:$J$2038,6)</f>
        <v>7465</v>
      </c>
      <c r="D3182" s="3" t="str">
        <f>VLOOKUP(B3182,LifeList!$E$2:$G$2038,1)</f>
        <v>Scarlet Ibis</v>
      </c>
      <c r="E3182" s="3" t="str">
        <f>VLOOKUP(B3182,LifeList!$E$2:$G$2038,2)</f>
        <v>Ibis rouge</v>
      </c>
      <c r="F3182" s="3" t="str">
        <f>VLOOKUP(B3182,LifeList!$E$2:$G$2038,3)</f>
        <v>Eudocimus ruber</v>
      </c>
      <c r="G3182" s="3" t="str">
        <f>VLOOKUP(B3182,LifeList!$E$2:$I$2038,4)</f>
        <v>Pelecaniformes</v>
      </c>
      <c r="H3182" s="3" t="str">
        <f>VLOOKUP(B3182,LifeList!$E$2:$I$2038,5)</f>
        <v>Threskiornithidae (Ibises and Spoonbills)</v>
      </c>
      <c r="I3182" s="3"/>
    </row>
    <row r="3183" spans="1:9" ht="10.5" customHeight="1">
      <c r="A3183" s="3" t="s">
        <v>4432</v>
      </c>
      <c r="B3183" s="3" t="s">
        <v>4431</v>
      </c>
      <c r="C3183" s="3">
        <f>VLOOKUP(B3183,LifeList!$E$2:$J$2038,6)</f>
        <v>7465</v>
      </c>
      <c r="D3183" s="3" t="str">
        <f>VLOOKUP(B3183,LifeList!$E$2:$G$2038,1)</f>
        <v>Scarlet Ibis</v>
      </c>
      <c r="E3183" s="3" t="str">
        <f>VLOOKUP(B3183,LifeList!$E$2:$G$2038,2)</f>
        <v>Ibis rouge</v>
      </c>
      <c r="F3183" s="3" t="str">
        <f>VLOOKUP(B3183,LifeList!$E$2:$G$2038,3)</f>
        <v>Eudocimus ruber</v>
      </c>
      <c r="G3183" s="3" t="str">
        <f>VLOOKUP(B3183,LifeList!$E$2:$I$2038,4)</f>
        <v>Pelecaniformes</v>
      </c>
      <c r="H3183" s="3" t="str">
        <f>VLOOKUP(B3183,LifeList!$E$2:$I$2038,5)</f>
        <v>Threskiornithidae (Ibises and Spoonbills)</v>
      </c>
      <c r="I3183" s="3"/>
    </row>
    <row r="3184" spans="1:9" ht="10.5" customHeight="1">
      <c r="A3184" s="3" t="s">
        <v>4433</v>
      </c>
      <c r="B3184" s="3" t="s">
        <v>4431</v>
      </c>
      <c r="C3184" s="3">
        <f>VLOOKUP(B3184,LifeList!$E$2:$J$2038,6)</f>
        <v>7465</v>
      </c>
      <c r="D3184" s="3" t="str">
        <f>VLOOKUP(B3184,LifeList!$E$2:$G$2038,1)</f>
        <v>Scarlet Ibis</v>
      </c>
      <c r="E3184" s="3" t="str">
        <f>VLOOKUP(B3184,LifeList!$E$2:$G$2038,2)</f>
        <v>Ibis rouge</v>
      </c>
      <c r="F3184" s="3" t="str">
        <f>VLOOKUP(B3184,LifeList!$E$2:$G$2038,3)</f>
        <v>Eudocimus ruber</v>
      </c>
      <c r="G3184" s="3" t="str">
        <f>VLOOKUP(B3184,LifeList!$E$2:$I$2038,4)</f>
        <v>Pelecaniformes</v>
      </c>
      <c r="H3184" s="3" t="str">
        <f>VLOOKUP(B3184,LifeList!$E$2:$I$2038,5)</f>
        <v>Threskiornithidae (Ibises and Spoonbills)</v>
      </c>
      <c r="I3184" s="3"/>
    </row>
    <row r="3185" spans="1:9" ht="10.5" customHeight="1">
      <c r="A3185" s="3" t="s">
        <v>4434</v>
      </c>
      <c r="B3185" s="3" t="s">
        <v>4435</v>
      </c>
      <c r="C3185" s="3">
        <f>VLOOKUP(B3185,LifeList!$E$2:$J$2038,6)</f>
        <v>13152</v>
      </c>
      <c r="D3185" s="3" t="str">
        <f>VLOOKUP(B3185,LifeList!$E$2:$G$2038,1)</f>
        <v>Scarlet Macaw</v>
      </c>
      <c r="E3185" s="3" t="str">
        <f>VLOOKUP(B3185,LifeList!$E$2:$G$2038,2)</f>
        <v>Ara rouge</v>
      </c>
      <c r="F3185" s="3" t="str">
        <f>VLOOKUP(B3185,LifeList!$E$2:$G$2038,3)</f>
        <v>Ara macao</v>
      </c>
      <c r="G3185" s="3" t="str">
        <f>VLOOKUP(B3185,LifeList!$E$2:$I$2038,4)</f>
        <v>Psittaciformes</v>
      </c>
      <c r="H3185" s="3" t="str">
        <f>VLOOKUP(B3185,LifeList!$E$2:$I$2038,5)</f>
        <v>Psittacidae (New World and African Parrots)</v>
      </c>
      <c r="I3185" s="3"/>
    </row>
    <row r="3186" spans="1:9" ht="10.5" customHeight="1">
      <c r="A3186" s="3" t="s">
        <v>4436</v>
      </c>
      <c r="B3186" s="3" t="s">
        <v>4435</v>
      </c>
      <c r="C3186" s="3">
        <f>VLOOKUP(B3186,LifeList!$E$2:$J$2038,6)</f>
        <v>13152</v>
      </c>
      <c r="D3186" s="3" t="str">
        <f>VLOOKUP(B3186,LifeList!$E$2:$G$2038,1)</f>
        <v>Scarlet Macaw</v>
      </c>
      <c r="E3186" s="3" t="str">
        <f>VLOOKUP(B3186,LifeList!$E$2:$G$2038,2)</f>
        <v>Ara rouge</v>
      </c>
      <c r="F3186" s="3" t="str">
        <f>VLOOKUP(B3186,LifeList!$E$2:$G$2038,3)</f>
        <v>Ara macao</v>
      </c>
      <c r="G3186" s="3" t="str">
        <f>VLOOKUP(B3186,LifeList!$E$2:$I$2038,4)</f>
        <v>Psittaciformes</v>
      </c>
      <c r="H3186" s="3" t="str">
        <f>VLOOKUP(B3186,LifeList!$E$2:$I$2038,5)</f>
        <v>Psittacidae (New World and African Parrots)</v>
      </c>
      <c r="I3186" s="3"/>
    </row>
    <row r="3187" spans="1:9" ht="10.5" customHeight="1">
      <c r="A3187" s="3" t="s">
        <v>4437</v>
      </c>
      <c r="B3187" s="3" t="s">
        <v>4435</v>
      </c>
      <c r="C3187" s="3">
        <f>VLOOKUP(B3187,LifeList!$E$2:$J$2038,6)</f>
        <v>13152</v>
      </c>
      <c r="D3187" s="3" t="str">
        <f>VLOOKUP(B3187,LifeList!$E$2:$G$2038,1)</f>
        <v>Scarlet Macaw</v>
      </c>
      <c r="E3187" s="3" t="str">
        <f>VLOOKUP(B3187,LifeList!$E$2:$G$2038,2)</f>
        <v>Ara rouge</v>
      </c>
      <c r="F3187" s="3" t="str">
        <f>VLOOKUP(B3187,LifeList!$E$2:$G$2038,3)</f>
        <v>Ara macao</v>
      </c>
      <c r="G3187" s="3" t="str">
        <f>VLOOKUP(B3187,LifeList!$E$2:$I$2038,4)</f>
        <v>Psittaciformes</v>
      </c>
      <c r="H3187" s="3" t="str">
        <f>VLOOKUP(B3187,LifeList!$E$2:$I$2038,5)</f>
        <v>Psittacidae (New World and African Parrots)</v>
      </c>
      <c r="I3187" s="3"/>
    </row>
    <row r="3188" spans="1:9" ht="10.5" customHeight="1">
      <c r="A3188" s="3" t="s">
        <v>4438</v>
      </c>
      <c r="B3188" s="3" t="s">
        <v>4435</v>
      </c>
      <c r="C3188" s="3">
        <f>VLOOKUP(B3188,LifeList!$E$2:$J$2038,6)</f>
        <v>13152</v>
      </c>
      <c r="D3188" s="3" t="str">
        <f>VLOOKUP(B3188,LifeList!$E$2:$G$2038,1)</f>
        <v>Scarlet Macaw</v>
      </c>
      <c r="E3188" s="3" t="str">
        <f>VLOOKUP(B3188,LifeList!$E$2:$G$2038,2)</f>
        <v>Ara rouge</v>
      </c>
      <c r="F3188" s="3" t="str">
        <f>VLOOKUP(B3188,LifeList!$E$2:$G$2038,3)</f>
        <v>Ara macao</v>
      </c>
      <c r="G3188" s="3" t="str">
        <f>VLOOKUP(B3188,LifeList!$E$2:$I$2038,4)</f>
        <v>Psittaciformes</v>
      </c>
      <c r="H3188" s="3" t="str">
        <f>VLOOKUP(B3188,LifeList!$E$2:$I$2038,5)</f>
        <v>Psittacidae (New World and African Parrots)</v>
      </c>
      <c r="I3188" s="3"/>
    </row>
    <row r="3189" spans="1:9" ht="10.5" customHeight="1">
      <c r="A3189" s="3" t="s">
        <v>4439</v>
      </c>
      <c r="B3189" s="3" t="s">
        <v>4435</v>
      </c>
      <c r="C3189" s="3">
        <f>VLOOKUP(B3189,LifeList!$E$2:$J$2038,6)</f>
        <v>13152</v>
      </c>
      <c r="D3189" s="3" t="str">
        <f>VLOOKUP(B3189,LifeList!$E$2:$G$2038,1)</f>
        <v>Scarlet Macaw</v>
      </c>
      <c r="E3189" s="3" t="str">
        <f>VLOOKUP(B3189,LifeList!$E$2:$G$2038,2)</f>
        <v>Ara rouge</v>
      </c>
      <c r="F3189" s="3" t="str">
        <f>VLOOKUP(B3189,LifeList!$E$2:$G$2038,3)</f>
        <v>Ara macao</v>
      </c>
      <c r="G3189" s="3" t="str">
        <f>VLOOKUP(B3189,LifeList!$E$2:$I$2038,4)</f>
        <v>Psittaciformes</v>
      </c>
      <c r="H3189" s="3" t="str">
        <f>VLOOKUP(B3189,LifeList!$E$2:$I$2038,5)</f>
        <v>Psittacidae (New World and African Parrots)</v>
      </c>
      <c r="I3189" s="3"/>
    </row>
    <row r="3190" spans="1:9" ht="10.5" customHeight="1">
      <c r="A3190" s="3" t="s">
        <v>4440</v>
      </c>
      <c r="B3190" s="3" t="s">
        <v>4435</v>
      </c>
      <c r="C3190" s="3">
        <f>VLOOKUP(B3190,LifeList!$E$2:$J$2038,6)</f>
        <v>13152</v>
      </c>
      <c r="D3190" s="3" t="str">
        <f>VLOOKUP(B3190,LifeList!$E$2:$G$2038,1)</f>
        <v>Scarlet Macaw</v>
      </c>
      <c r="E3190" s="3" t="str">
        <f>VLOOKUP(B3190,LifeList!$E$2:$G$2038,2)</f>
        <v>Ara rouge</v>
      </c>
      <c r="F3190" s="3" t="str">
        <f>VLOOKUP(B3190,LifeList!$E$2:$G$2038,3)</f>
        <v>Ara macao</v>
      </c>
      <c r="G3190" s="3" t="str">
        <f>VLOOKUP(B3190,LifeList!$E$2:$I$2038,4)</f>
        <v>Psittaciformes</v>
      </c>
      <c r="H3190" s="3" t="str">
        <f>VLOOKUP(B3190,LifeList!$E$2:$I$2038,5)</f>
        <v>Psittacidae (New World and African Parrots)</v>
      </c>
      <c r="I3190" s="3"/>
    </row>
    <row r="3191" spans="1:9" ht="10.5" customHeight="1">
      <c r="A3191" s="3" t="s">
        <v>4441</v>
      </c>
      <c r="B3191" s="3" t="s">
        <v>4442</v>
      </c>
      <c r="C3191" s="3">
        <f>VLOOKUP(B3191,LifeList!$E$2:$J$2038,6)</f>
        <v>21770</v>
      </c>
      <c r="D3191" s="3" t="str">
        <f>VLOOKUP(B3191,LifeList!$E$2:$G$2038,1)</f>
        <v>Scarlet Robin</v>
      </c>
      <c r="E3191" s="3" t="str">
        <f>VLOOKUP(B3191,LifeList!$E$2:$G$2038,2)</f>
        <v>Miro boodang</v>
      </c>
      <c r="F3191" s="3" t="str">
        <f>VLOOKUP(B3191,LifeList!$E$2:$G$2038,3)</f>
        <v>Petroica boodang</v>
      </c>
      <c r="G3191" s="3" t="str">
        <f>VLOOKUP(B3191,LifeList!$E$2:$I$2038,4)</f>
        <v>Passeriformes</v>
      </c>
      <c r="H3191" s="3" t="str">
        <f>VLOOKUP(B3191,LifeList!$E$2:$I$2038,5)</f>
        <v>Petroicidae (Australasian Robins)</v>
      </c>
      <c r="I3191" s="3"/>
    </row>
    <row r="3192" spans="1:9" ht="10.5" customHeight="1">
      <c r="A3192" s="3" t="s">
        <v>4443</v>
      </c>
      <c r="B3192" s="3" t="s">
        <v>4444</v>
      </c>
      <c r="C3192" s="3">
        <f>VLOOKUP(B3192,LifeList!$E$2:$J$2038,6)</f>
        <v>34436</v>
      </c>
      <c r="D3192" s="3" t="str">
        <f>VLOOKUP(B3192,LifeList!$E$2:$G$2038,1)</f>
        <v>Scarlet Tanager</v>
      </c>
      <c r="E3192" s="3" t="str">
        <f>VLOOKUP(B3192,LifeList!$E$2:$G$2038,2)</f>
        <v>Piranga écarlate</v>
      </c>
      <c r="F3192" s="3" t="str">
        <f>VLOOKUP(B3192,LifeList!$E$2:$G$2038,3)</f>
        <v>Piranga olivacea</v>
      </c>
      <c r="G3192" s="3" t="str">
        <f>VLOOKUP(B3192,LifeList!$E$2:$I$2038,4)</f>
        <v>Passeriformes</v>
      </c>
      <c r="H3192" s="3" t="str">
        <f>VLOOKUP(B3192,LifeList!$E$2:$I$2038,5)</f>
        <v>Cardinalidae (Cardinals and Allies)</v>
      </c>
      <c r="I3192" s="3"/>
    </row>
    <row r="3193" spans="1:9" ht="10.5" customHeight="1">
      <c r="A3193" s="3" t="s">
        <v>4445</v>
      </c>
      <c r="B3193" s="3" t="s">
        <v>4444</v>
      </c>
      <c r="C3193" s="3">
        <f>VLOOKUP(B3193,LifeList!$E$2:$J$2038,6)</f>
        <v>34436</v>
      </c>
      <c r="D3193" s="3" t="str">
        <f>VLOOKUP(B3193,LifeList!$E$2:$G$2038,1)</f>
        <v>Scarlet Tanager</v>
      </c>
      <c r="E3193" s="3" t="str">
        <f>VLOOKUP(B3193,LifeList!$E$2:$G$2038,2)</f>
        <v>Piranga écarlate</v>
      </c>
      <c r="F3193" s="3" t="str">
        <f>VLOOKUP(B3193,LifeList!$E$2:$G$2038,3)</f>
        <v>Piranga olivacea</v>
      </c>
      <c r="G3193" s="3" t="str">
        <f>VLOOKUP(B3193,LifeList!$E$2:$I$2038,4)</f>
        <v>Passeriformes</v>
      </c>
      <c r="H3193" s="3" t="str">
        <f>VLOOKUP(B3193,LifeList!$E$2:$I$2038,5)</f>
        <v>Cardinalidae (Cardinals and Allies)</v>
      </c>
      <c r="I3193" s="3"/>
    </row>
    <row r="3194" spans="1:9" ht="10.5" customHeight="1">
      <c r="A3194" s="3" t="s">
        <v>4446</v>
      </c>
      <c r="B3194" s="3" t="s">
        <v>4444</v>
      </c>
      <c r="C3194" s="3">
        <f>VLOOKUP(B3194,LifeList!$E$2:$J$2038,6)</f>
        <v>34436</v>
      </c>
      <c r="D3194" s="3" t="str">
        <f>VLOOKUP(B3194,LifeList!$E$2:$G$2038,1)</f>
        <v>Scarlet Tanager</v>
      </c>
      <c r="E3194" s="3" t="str">
        <f>VLOOKUP(B3194,LifeList!$E$2:$G$2038,2)</f>
        <v>Piranga écarlate</v>
      </c>
      <c r="F3194" s="3" t="str">
        <f>VLOOKUP(B3194,LifeList!$E$2:$G$2038,3)</f>
        <v>Piranga olivacea</v>
      </c>
      <c r="G3194" s="3" t="str">
        <f>VLOOKUP(B3194,LifeList!$E$2:$I$2038,4)</f>
        <v>Passeriformes</v>
      </c>
      <c r="H3194" s="3" t="str">
        <f>VLOOKUP(B3194,LifeList!$E$2:$I$2038,5)</f>
        <v>Cardinalidae (Cardinals and Allies)</v>
      </c>
      <c r="I3194" s="3"/>
    </row>
    <row r="3195" spans="1:9" ht="10.5" customHeight="1">
      <c r="A3195" s="3" t="s">
        <v>4447</v>
      </c>
      <c r="B3195" s="3" t="s">
        <v>4444</v>
      </c>
      <c r="C3195" s="3">
        <f>VLOOKUP(B3195,LifeList!$E$2:$J$2038,6)</f>
        <v>34436</v>
      </c>
      <c r="D3195" s="3" t="str">
        <f>VLOOKUP(B3195,LifeList!$E$2:$G$2038,1)</f>
        <v>Scarlet Tanager</v>
      </c>
      <c r="E3195" s="3" t="str">
        <f>VLOOKUP(B3195,LifeList!$E$2:$G$2038,2)</f>
        <v>Piranga écarlate</v>
      </c>
      <c r="F3195" s="3" t="str">
        <f>VLOOKUP(B3195,LifeList!$E$2:$G$2038,3)</f>
        <v>Piranga olivacea</v>
      </c>
      <c r="G3195" s="3" t="str">
        <f>VLOOKUP(B3195,LifeList!$E$2:$I$2038,4)</f>
        <v>Passeriformes</v>
      </c>
      <c r="H3195" s="3" t="str">
        <f>VLOOKUP(B3195,LifeList!$E$2:$I$2038,5)</f>
        <v>Cardinalidae (Cardinals and Allies)</v>
      </c>
      <c r="I3195" s="3"/>
    </row>
    <row r="3196" spans="1:9" ht="10.5" customHeight="1">
      <c r="A3196" s="3" t="s">
        <v>4448</v>
      </c>
      <c r="B3196" s="3" t="s">
        <v>4444</v>
      </c>
      <c r="C3196" s="3">
        <f>VLOOKUP(B3196,LifeList!$E$2:$J$2038,6)</f>
        <v>34436</v>
      </c>
      <c r="D3196" s="3" t="str">
        <f>VLOOKUP(B3196,LifeList!$E$2:$G$2038,1)</f>
        <v>Scarlet Tanager</v>
      </c>
      <c r="E3196" s="3" t="str">
        <f>VLOOKUP(B3196,LifeList!$E$2:$G$2038,2)</f>
        <v>Piranga écarlate</v>
      </c>
      <c r="F3196" s="3" t="str">
        <f>VLOOKUP(B3196,LifeList!$E$2:$G$2038,3)</f>
        <v>Piranga olivacea</v>
      </c>
      <c r="G3196" s="3" t="str">
        <f>VLOOKUP(B3196,LifeList!$E$2:$I$2038,4)</f>
        <v>Passeriformes</v>
      </c>
      <c r="H3196" s="3" t="str">
        <f>VLOOKUP(B3196,LifeList!$E$2:$I$2038,5)</f>
        <v>Cardinalidae (Cardinals and Allies)</v>
      </c>
      <c r="I3196" s="3"/>
    </row>
    <row r="3197" spans="1:9" ht="10.5" customHeight="1">
      <c r="A3197" s="3" t="s">
        <v>4449</v>
      </c>
      <c r="B3197" s="3" t="s">
        <v>4444</v>
      </c>
      <c r="C3197" s="3">
        <f>VLOOKUP(B3197,LifeList!$E$2:$J$2038,6)</f>
        <v>34436</v>
      </c>
      <c r="D3197" s="3" t="str">
        <f>VLOOKUP(B3197,LifeList!$E$2:$G$2038,1)</f>
        <v>Scarlet Tanager</v>
      </c>
      <c r="E3197" s="3" t="str">
        <f>VLOOKUP(B3197,LifeList!$E$2:$G$2038,2)</f>
        <v>Piranga écarlate</v>
      </c>
      <c r="F3197" s="3" t="str">
        <f>VLOOKUP(B3197,LifeList!$E$2:$G$2038,3)</f>
        <v>Piranga olivacea</v>
      </c>
      <c r="G3197" s="3" t="str">
        <f>VLOOKUP(B3197,LifeList!$E$2:$I$2038,4)</f>
        <v>Passeriformes</v>
      </c>
      <c r="H3197" s="3" t="str">
        <f>VLOOKUP(B3197,LifeList!$E$2:$I$2038,5)</f>
        <v>Cardinalidae (Cardinals and Allies)</v>
      </c>
      <c r="I3197" s="3"/>
    </row>
    <row r="3198" spans="1:9" ht="10.5" customHeight="1">
      <c r="A3198" s="3" t="s">
        <v>4450</v>
      </c>
      <c r="B3198" s="3" t="s">
        <v>4444</v>
      </c>
      <c r="C3198" s="3">
        <f>VLOOKUP(B3198,LifeList!$E$2:$J$2038,6)</f>
        <v>34436</v>
      </c>
      <c r="D3198" s="3" t="str">
        <f>VLOOKUP(B3198,LifeList!$E$2:$G$2038,1)</f>
        <v>Scarlet Tanager</v>
      </c>
      <c r="E3198" s="3" t="str">
        <f>VLOOKUP(B3198,LifeList!$E$2:$G$2038,2)</f>
        <v>Piranga écarlate</v>
      </c>
      <c r="F3198" s="3" t="str">
        <f>VLOOKUP(B3198,LifeList!$E$2:$G$2038,3)</f>
        <v>Piranga olivacea</v>
      </c>
      <c r="G3198" s="3" t="str">
        <f>VLOOKUP(B3198,LifeList!$E$2:$I$2038,4)</f>
        <v>Passeriformes</v>
      </c>
      <c r="H3198" s="3" t="str">
        <f>VLOOKUP(B3198,LifeList!$E$2:$I$2038,5)</f>
        <v>Cardinalidae (Cardinals and Allies)</v>
      </c>
      <c r="I3198" s="3"/>
    </row>
    <row r="3199" spans="1:9" ht="10.5" customHeight="1">
      <c r="A3199" s="3" t="s">
        <v>4451</v>
      </c>
      <c r="B3199" s="3" t="s">
        <v>4452</v>
      </c>
      <c r="C3199" s="3">
        <f>VLOOKUP(B3199,LifeList!$E$2:$J$2038,6)</f>
        <v>34883</v>
      </c>
      <c r="D3199" s="3" t="str">
        <f>VLOOKUP(B3199,LifeList!$E$2:$G$2038,1)</f>
        <v>Scarlet-bellied Mountain Tanager</v>
      </c>
      <c r="E3199" s="3" t="str">
        <f>VLOOKUP(B3199,LifeList!$E$2:$G$2038,2)</f>
        <v>Tangara à ventre rouge</v>
      </c>
      <c r="F3199" s="3" t="str">
        <f>VLOOKUP(B3199,LifeList!$E$2:$G$2038,3)</f>
        <v>Anisognathus igniventris</v>
      </c>
      <c r="G3199" s="3" t="str">
        <f>VLOOKUP(B3199,LifeList!$E$2:$I$2038,4)</f>
        <v>Passeriformes</v>
      </c>
      <c r="H3199" s="3" t="str">
        <f>VLOOKUP(B3199,LifeList!$E$2:$I$2038,5)</f>
        <v>Thraupidae (Tanagers and Allies)</v>
      </c>
      <c r="I3199" s="3"/>
    </row>
    <row r="3200" spans="1:9" ht="10.5" customHeight="1">
      <c r="A3200" s="5" t="s">
        <v>4453</v>
      </c>
      <c r="B3200" s="3" t="s">
        <v>4429</v>
      </c>
      <c r="C3200" s="6">
        <f>VLOOKUP(B3200,LifeList!$E$2:$J$2038,6)</f>
        <v>30267</v>
      </c>
      <c r="D3200" s="3" t="str">
        <f>VLOOKUP(B3200,LifeList!$E$2:$G$2038,1)</f>
        <v>Scarlet-chested Sunbird</v>
      </c>
      <c r="E3200" s="3" t="str">
        <f>VLOOKUP(B3200,LifeList!$E$2:$G$2038,2)</f>
        <v>Souimanga à poitrine rouge</v>
      </c>
      <c r="F3200" s="3" t="str">
        <f>VLOOKUP(B3200,LifeList!$E$2:$G$2038,3)</f>
        <v>Chalcomitra senegalensis</v>
      </c>
      <c r="G3200" s="3" t="str">
        <f>VLOOKUP(B3200,LifeList!$E$2:$I$2038,4)</f>
        <v>Passeriformes</v>
      </c>
      <c r="H3200" s="3" t="str">
        <f>VLOOKUP(B3200,LifeList!$E$2:$I$2038,5)</f>
        <v>Nectariniidae (Sunbirds and Spiderhunters)</v>
      </c>
      <c r="I3200" s="3"/>
    </row>
    <row r="3201" spans="1:9" ht="10.5" customHeight="1">
      <c r="A3201" s="7" t="s">
        <v>4454</v>
      </c>
      <c r="B3201" s="9" t="s">
        <v>4429</v>
      </c>
      <c r="C3201" s="6">
        <f>VLOOKUP(B3201,LifeList!$E$2:$J$2038,6)</f>
        <v>30267</v>
      </c>
      <c r="D3201" s="3" t="str">
        <f>VLOOKUP(B3201,LifeList!$E$2:$G$2038,1)</f>
        <v>Scarlet-chested Sunbird</v>
      </c>
      <c r="E3201" s="3" t="str">
        <f>VLOOKUP(B3201,LifeList!$E$2:$G$2038,2)</f>
        <v>Souimanga à poitrine rouge</v>
      </c>
      <c r="F3201" s="3" t="str">
        <f>VLOOKUP(B3201,LifeList!$E$2:$G$2038,3)</f>
        <v>Chalcomitra senegalensis</v>
      </c>
      <c r="G3201" s="3" t="str">
        <f>VLOOKUP(B3201,LifeList!$E$2:$I$2038,4)</f>
        <v>Passeriformes</v>
      </c>
      <c r="H3201" s="3" t="str">
        <f>VLOOKUP(B3201,LifeList!$E$2:$I$2038,5)</f>
        <v>Nectariniidae (Sunbirds and Spiderhunters)</v>
      </c>
      <c r="I3201" s="3"/>
    </row>
    <row r="3202" spans="1:9" ht="10.5" customHeight="1">
      <c r="A3202" s="3" t="s">
        <v>4455</v>
      </c>
      <c r="B3202" s="3" t="s">
        <v>4456</v>
      </c>
      <c r="C3202" s="3">
        <f>VLOOKUP(B3202,LifeList!$E$2:$J$2038,6)</f>
        <v>13189</v>
      </c>
      <c r="D3202" s="3" t="str">
        <f>VLOOKUP(B3202,LifeList!$E$2:$G$2038,1)</f>
        <v>Scarlet-fronted Parakeet</v>
      </c>
      <c r="E3202" s="3" t="str">
        <f>VLOOKUP(B3202,LifeList!$E$2:$G$2038,2)</f>
        <v>Conure de Wagler</v>
      </c>
      <c r="F3202" s="3" t="str">
        <f>VLOOKUP(B3202,LifeList!$E$2:$G$2038,3)</f>
        <v>Psittacara wagleri</v>
      </c>
      <c r="G3202" s="3" t="str">
        <f>VLOOKUP(B3202,LifeList!$E$2:$I$2038,4)</f>
        <v>Psittaciformes</v>
      </c>
      <c r="H3202" s="3" t="str">
        <f>VLOOKUP(B3202,LifeList!$E$2:$I$2038,5)</f>
        <v>Psittacidae (New World and African Parrots)</v>
      </c>
      <c r="I3202" s="3"/>
    </row>
    <row r="3203" spans="1:9" ht="10.5" customHeight="1">
      <c r="A3203" s="3" t="s">
        <v>4457</v>
      </c>
      <c r="B3203" s="3" t="s">
        <v>4456</v>
      </c>
      <c r="C3203" s="3">
        <f>VLOOKUP(B3203,LifeList!$E$2:$J$2038,6)</f>
        <v>13189</v>
      </c>
      <c r="D3203" s="3" t="str">
        <f>VLOOKUP(B3203,LifeList!$E$2:$G$2038,1)</f>
        <v>Scarlet-fronted Parakeet</v>
      </c>
      <c r="E3203" s="3" t="str">
        <f>VLOOKUP(B3203,LifeList!$E$2:$G$2038,2)</f>
        <v>Conure de Wagler</v>
      </c>
      <c r="F3203" s="3" t="str">
        <f>VLOOKUP(B3203,LifeList!$E$2:$G$2038,3)</f>
        <v>Psittacara wagleri</v>
      </c>
      <c r="G3203" s="3" t="str">
        <f>VLOOKUP(B3203,LifeList!$E$2:$I$2038,4)</f>
        <v>Psittaciformes</v>
      </c>
      <c r="H3203" s="3" t="str">
        <f>VLOOKUP(B3203,LifeList!$E$2:$I$2038,5)</f>
        <v>Psittacidae (New World and African Parrots)</v>
      </c>
      <c r="I3203" s="3"/>
    </row>
    <row r="3204" spans="1:9" ht="10.5" customHeight="1">
      <c r="A3204" s="3" t="s">
        <v>4458</v>
      </c>
      <c r="B3204" s="3" t="s">
        <v>4456</v>
      </c>
      <c r="C3204" s="3">
        <f>VLOOKUP(B3204,LifeList!$E$2:$J$2038,6)</f>
        <v>13189</v>
      </c>
      <c r="D3204" s="3" t="str">
        <f>VLOOKUP(B3204,LifeList!$E$2:$G$2038,1)</f>
        <v>Scarlet-fronted Parakeet</v>
      </c>
      <c r="E3204" s="3" t="str">
        <f>VLOOKUP(B3204,LifeList!$E$2:$G$2038,2)</f>
        <v>Conure de Wagler</v>
      </c>
      <c r="F3204" s="3" t="str">
        <f>VLOOKUP(B3204,LifeList!$E$2:$G$2038,3)</f>
        <v>Psittacara wagleri</v>
      </c>
      <c r="G3204" s="3" t="str">
        <f>VLOOKUP(B3204,LifeList!$E$2:$I$2038,4)</f>
        <v>Psittaciformes</v>
      </c>
      <c r="H3204" s="3" t="str">
        <f>VLOOKUP(B3204,LifeList!$E$2:$I$2038,5)</f>
        <v>Psittacidae (New World and African Parrots)</v>
      </c>
      <c r="I3204" s="3"/>
    </row>
    <row r="3205" spans="1:9" ht="10.5" customHeight="1">
      <c r="A3205" s="3" t="s">
        <v>4459</v>
      </c>
      <c r="B3205" s="3" t="s">
        <v>4460</v>
      </c>
      <c r="C3205" s="3">
        <f>VLOOKUP(B3205,LifeList!$E$2:$J$2038,6)</f>
        <v>34800</v>
      </c>
      <c r="D3205" s="3" t="str">
        <f>VLOOKUP(B3205,LifeList!$E$2:$G$2038,1)</f>
        <v>Scarlet-rumped Tanager</v>
      </c>
      <c r="E3205" s="3" t="str">
        <f>VLOOKUP(B3205,LifeList!$E$2:$G$2038,2)</f>
        <v>Tangara à croupion rouge</v>
      </c>
      <c r="F3205" s="3" t="str">
        <f>VLOOKUP(B3205,LifeList!$E$2:$G$2038,3)</f>
        <v>Ramphocelus passerinii</v>
      </c>
      <c r="G3205" s="3" t="str">
        <f>VLOOKUP(B3205,LifeList!$E$2:$I$2038,4)</f>
        <v>Passeriformes</v>
      </c>
      <c r="H3205" s="3" t="str">
        <f>VLOOKUP(B3205,LifeList!$E$2:$I$2038,5)</f>
        <v>Thraupidae (Tanagers and Allies)</v>
      </c>
      <c r="I3205" s="3"/>
    </row>
    <row r="3206" spans="1:9" ht="10.5" customHeight="1">
      <c r="A3206" s="3" t="s">
        <v>4461</v>
      </c>
      <c r="B3206" s="3" t="s">
        <v>4460</v>
      </c>
      <c r="C3206" s="3">
        <f>VLOOKUP(B3206,LifeList!$E$2:$J$2038,6)</f>
        <v>34800</v>
      </c>
      <c r="D3206" s="3" t="str">
        <f>VLOOKUP(B3206,LifeList!$E$2:$G$2038,1)</f>
        <v>Scarlet-rumped Tanager</v>
      </c>
      <c r="E3206" s="3" t="str">
        <f>VLOOKUP(B3206,LifeList!$E$2:$G$2038,2)</f>
        <v>Tangara à croupion rouge</v>
      </c>
      <c r="F3206" s="3" t="str">
        <f>VLOOKUP(B3206,LifeList!$E$2:$G$2038,3)</f>
        <v>Ramphocelus passerinii</v>
      </c>
      <c r="G3206" s="3" t="str">
        <f>VLOOKUP(B3206,LifeList!$E$2:$I$2038,4)</f>
        <v>Passeriformes</v>
      </c>
      <c r="H3206" s="3" t="str">
        <f>VLOOKUP(B3206,LifeList!$E$2:$I$2038,5)</f>
        <v>Thraupidae (Tanagers and Allies)</v>
      </c>
      <c r="I3206" s="3"/>
    </row>
    <row r="3207" spans="1:9" ht="10.5" customHeight="1">
      <c r="A3207" s="3" t="s">
        <v>4462</v>
      </c>
      <c r="B3207" s="3" t="s">
        <v>4460</v>
      </c>
      <c r="C3207" s="3">
        <f>VLOOKUP(B3207,LifeList!$E$2:$J$2038,6)</f>
        <v>34800</v>
      </c>
      <c r="D3207" s="3" t="str">
        <f>VLOOKUP(B3207,LifeList!$E$2:$G$2038,1)</f>
        <v>Scarlet-rumped Tanager</v>
      </c>
      <c r="E3207" s="3" t="str">
        <f>VLOOKUP(B3207,LifeList!$E$2:$G$2038,2)</f>
        <v>Tangara à croupion rouge</v>
      </c>
      <c r="F3207" s="3" t="str">
        <f>VLOOKUP(B3207,LifeList!$E$2:$G$2038,3)</f>
        <v>Ramphocelus passerinii</v>
      </c>
      <c r="G3207" s="3" t="str">
        <f>VLOOKUP(B3207,LifeList!$E$2:$I$2038,4)</f>
        <v>Passeriformes</v>
      </c>
      <c r="H3207" s="3" t="str">
        <f>VLOOKUP(B3207,LifeList!$E$2:$I$2038,5)</f>
        <v>Thraupidae (Tanagers and Allies)</v>
      </c>
      <c r="I3207" s="3"/>
    </row>
    <row r="3208" spans="1:9" ht="10.5" customHeight="1">
      <c r="A3208" s="3" t="s">
        <v>4463</v>
      </c>
      <c r="B3208" s="3" t="s">
        <v>4460</v>
      </c>
      <c r="C3208" s="3">
        <f>VLOOKUP(B3208,LifeList!$E$2:$J$2038,6)</f>
        <v>34800</v>
      </c>
      <c r="D3208" s="3" t="str">
        <f>VLOOKUP(B3208,LifeList!$E$2:$G$2038,1)</f>
        <v>Scarlet-rumped Tanager</v>
      </c>
      <c r="E3208" s="3" t="str">
        <f>VLOOKUP(B3208,LifeList!$E$2:$G$2038,2)</f>
        <v>Tangara à croupion rouge</v>
      </c>
      <c r="F3208" s="3" t="str">
        <f>VLOOKUP(B3208,LifeList!$E$2:$G$2038,3)</f>
        <v>Ramphocelus passerinii</v>
      </c>
      <c r="G3208" s="3" t="str">
        <f>VLOOKUP(B3208,LifeList!$E$2:$I$2038,4)</f>
        <v>Passeriformes</v>
      </c>
      <c r="H3208" s="3" t="str">
        <f>VLOOKUP(B3208,LifeList!$E$2:$I$2038,5)</f>
        <v>Thraupidae (Tanagers and Allies)</v>
      </c>
      <c r="I3208" s="3"/>
    </row>
    <row r="3209" spans="1:9" ht="10.5" customHeight="1">
      <c r="A3209" s="3" t="s">
        <v>4464</v>
      </c>
      <c r="B3209" s="3" t="s">
        <v>4460</v>
      </c>
      <c r="C3209" s="3">
        <f>VLOOKUP(B3209,LifeList!$E$2:$J$2038,6)</f>
        <v>34800</v>
      </c>
      <c r="D3209" s="3" t="str">
        <f>VLOOKUP(B3209,LifeList!$E$2:$G$2038,1)</f>
        <v>Scarlet-rumped Tanager</v>
      </c>
      <c r="E3209" s="3" t="str">
        <f>VLOOKUP(B3209,LifeList!$E$2:$G$2038,2)</f>
        <v>Tangara à croupion rouge</v>
      </c>
      <c r="F3209" s="3" t="str">
        <f>VLOOKUP(B3209,LifeList!$E$2:$G$2038,3)</f>
        <v>Ramphocelus passerinii</v>
      </c>
      <c r="G3209" s="3" t="str">
        <f>VLOOKUP(B3209,LifeList!$E$2:$I$2038,4)</f>
        <v>Passeriformes</v>
      </c>
      <c r="H3209" s="3" t="str">
        <f>VLOOKUP(B3209,LifeList!$E$2:$I$2038,5)</f>
        <v>Thraupidae (Tanagers and Allies)</v>
      </c>
      <c r="I3209" s="3"/>
    </row>
    <row r="3210" spans="1:9" ht="10.5" customHeight="1">
      <c r="A3210" s="3" t="s">
        <v>4465</v>
      </c>
      <c r="B3210" s="3" t="s">
        <v>4460</v>
      </c>
      <c r="C3210" s="3">
        <f>VLOOKUP(B3210,LifeList!$E$2:$J$2038,6)</f>
        <v>34800</v>
      </c>
      <c r="D3210" s="3" t="str">
        <f>VLOOKUP(B3210,LifeList!$E$2:$G$2038,1)</f>
        <v>Scarlet-rumped Tanager</v>
      </c>
      <c r="E3210" s="3" t="str">
        <f>VLOOKUP(B3210,LifeList!$E$2:$G$2038,2)</f>
        <v>Tangara à croupion rouge</v>
      </c>
      <c r="F3210" s="3" t="str">
        <f>VLOOKUP(B3210,LifeList!$E$2:$G$2038,3)</f>
        <v>Ramphocelus passerinii</v>
      </c>
      <c r="G3210" s="3" t="str">
        <f>VLOOKUP(B3210,LifeList!$E$2:$I$2038,4)</f>
        <v>Passeriformes</v>
      </c>
      <c r="H3210" s="3" t="str">
        <f>VLOOKUP(B3210,LifeList!$E$2:$I$2038,5)</f>
        <v>Thraupidae (Tanagers and Allies)</v>
      </c>
      <c r="I3210" s="3"/>
    </row>
    <row r="3211" spans="1:9" ht="10.5" customHeight="1">
      <c r="A3211" s="3" t="s">
        <v>4466</v>
      </c>
      <c r="B3211" s="3" t="s">
        <v>4467</v>
      </c>
      <c r="C3211" s="3">
        <f>VLOOKUP(B3211,LifeList!$E$2:$J$2038,6)</f>
        <v>17489</v>
      </c>
      <c r="D3211" s="3" t="str">
        <f>VLOOKUP(B3211,LifeList!$E$2:$G$2038,1)</f>
        <v>Scissor-tailed Flycatcher</v>
      </c>
      <c r="E3211" s="3" t="str">
        <f>VLOOKUP(B3211,LifeList!$E$2:$G$2038,2)</f>
        <v>Tyran à longue queue</v>
      </c>
      <c r="F3211" s="3" t="str">
        <f>VLOOKUP(B3211,LifeList!$E$2:$G$2038,3)</f>
        <v>Tyrannus forficatus</v>
      </c>
      <c r="G3211" s="3" t="str">
        <f>VLOOKUP(B3211,LifeList!$E$2:$I$2038,4)</f>
        <v>Passeriformes</v>
      </c>
      <c r="H3211" s="3" t="str">
        <f>VLOOKUP(B3211,LifeList!$E$2:$I$2038,5)</f>
        <v>Tyrannidae (Tyrant Flycatchers)</v>
      </c>
      <c r="I3211" s="3"/>
    </row>
    <row r="3212" spans="1:9" ht="10.5" customHeight="1">
      <c r="A3212" s="3" t="s">
        <v>4468</v>
      </c>
      <c r="B3212" s="3" t="s">
        <v>4467</v>
      </c>
      <c r="C3212" s="3">
        <f>VLOOKUP(B3212,LifeList!$E$2:$J$2038,6)</f>
        <v>17489</v>
      </c>
      <c r="D3212" s="3" t="str">
        <f>VLOOKUP(B3212,LifeList!$E$2:$G$2038,1)</f>
        <v>Scissor-tailed Flycatcher</v>
      </c>
      <c r="E3212" s="3" t="str">
        <f>VLOOKUP(B3212,LifeList!$E$2:$G$2038,2)</f>
        <v>Tyran à longue queue</v>
      </c>
      <c r="F3212" s="3" t="str">
        <f>VLOOKUP(B3212,LifeList!$E$2:$G$2038,3)</f>
        <v>Tyrannus forficatus</v>
      </c>
      <c r="G3212" s="3" t="str">
        <f>VLOOKUP(B3212,LifeList!$E$2:$I$2038,4)</f>
        <v>Passeriformes</v>
      </c>
      <c r="H3212" s="3" t="str">
        <f>VLOOKUP(B3212,LifeList!$E$2:$I$2038,5)</f>
        <v>Tyrannidae (Tyrant Flycatchers)</v>
      </c>
      <c r="I3212" s="3"/>
    </row>
    <row r="3213" spans="1:9" ht="10.5" customHeight="1">
      <c r="A3213" s="3" t="s">
        <v>4469</v>
      </c>
      <c r="B3213" s="3" t="s">
        <v>4470</v>
      </c>
      <c r="C3213" s="3">
        <f>VLOOKUP(B3213,LifeList!$E$2:$J$2038,6)</f>
        <v>19085</v>
      </c>
      <c r="D3213" s="3" t="str">
        <f>VLOOKUP(B3213,LifeList!$E$2:$G$2038,1)</f>
        <v>Scrub Greenlet</v>
      </c>
      <c r="E3213" s="3" t="str">
        <f>VLOOKUP(B3213,LifeList!$E$2:$G$2038,2)</f>
        <v>Viréon à pattes claires</v>
      </c>
      <c r="F3213" s="3" t="str">
        <f>VLOOKUP(B3213,LifeList!$E$2:$G$2038,3)</f>
        <v>Hylophilus flavipes</v>
      </c>
      <c r="G3213" s="3" t="str">
        <f>VLOOKUP(B3213,LifeList!$E$2:$I$2038,4)</f>
        <v>Passeriformes</v>
      </c>
      <c r="H3213" s="3" t="str">
        <f>VLOOKUP(B3213,LifeList!$E$2:$I$2038,5)</f>
        <v>Vireonidae (Vireos, Shrike-Babblers, and Erpornis)</v>
      </c>
      <c r="I3213" s="3"/>
    </row>
    <row r="3214" spans="1:9" ht="10.5" customHeight="1">
      <c r="A3214" s="3" t="s">
        <v>4471</v>
      </c>
      <c r="B3214" s="3" t="s">
        <v>4470</v>
      </c>
      <c r="C3214" s="3">
        <f>VLOOKUP(B3214,LifeList!$E$2:$J$2038,6)</f>
        <v>19085</v>
      </c>
      <c r="D3214" s="3" t="str">
        <f>VLOOKUP(B3214,LifeList!$E$2:$G$2038,1)</f>
        <v>Scrub Greenlet</v>
      </c>
      <c r="E3214" s="3" t="str">
        <f>VLOOKUP(B3214,LifeList!$E$2:$G$2038,2)</f>
        <v>Viréon à pattes claires</v>
      </c>
      <c r="F3214" s="3" t="str">
        <f>VLOOKUP(B3214,LifeList!$E$2:$G$2038,3)</f>
        <v>Hylophilus flavipes</v>
      </c>
      <c r="G3214" s="3" t="str">
        <f>VLOOKUP(B3214,LifeList!$E$2:$I$2038,4)</f>
        <v>Passeriformes</v>
      </c>
      <c r="H3214" s="3" t="str">
        <f>VLOOKUP(B3214,LifeList!$E$2:$I$2038,5)</f>
        <v>Vireonidae (Vireos, Shrike-Babblers, and Erpornis)</v>
      </c>
      <c r="I3214" s="3"/>
    </row>
    <row r="3215" spans="1:9" ht="10.5" customHeight="1">
      <c r="A3215" s="3" t="s">
        <v>4472</v>
      </c>
      <c r="B3215" s="3" t="s">
        <v>4473</v>
      </c>
      <c r="C3215" s="3">
        <f>VLOOKUP(B3215,LifeList!$E$2:$J$2038,6)</f>
        <v>35020</v>
      </c>
      <c r="D3215" s="3" t="str">
        <f>VLOOKUP(B3215,LifeList!$E$2:$G$2038,1)</f>
        <v>Scrub Tanager</v>
      </c>
      <c r="E3215" s="3" t="str">
        <f>VLOOKUP(B3215,LifeList!$E$2:$G$2038,2)</f>
        <v>Calliste vitriolin</v>
      </c>
      <c r="F3215" s="3" t="str">
        <f>VLOOKUP(B3215,LifeList!$E$2:$G$2038,3)</f>
        <v>Stilpnia vitriolina</v>
      </c>
      <c r="G3215" s="3" t="str">
        <f>VLOOKUP(B3215,LifeList!$E$2:$I$2038,4)</f>
        <v>Passeriformes</v>
      </c>
      <c r="H3215" s="3" t="str">
        <f>VLOOKUP(B3215,LifeList!$E$2:$I$2038,5)</f>
        <v>Thraupidae (Tanagers and Allies)</v>
      </c>
      <c r="I3215" s="3"/>
    </row>
    <row r="3216" spans="1:9" ht="10.5" customHeight="1">
      <c r="A3216" s="3" t="s">
        <v>4474</v>
      </c>
      <c r="B3216" s="3" t="s">
        <v>4473</v>
      </c>
      <c r="C3216" s="3">
        <f>VLOOKUP(B3216,LifeList!$E$2:$J$2038,6)</f>
        <v>35020</v>
      </c>
      <c r="D3216" s="3" t="str">
        <f>VLOOKUP(B3216,LifeList!$E$2:$G$2038,1)</f>
        <v>Scrub Tanager</v>
      </c>
      <c r="E3216" s="3" t="str">
        <f>VLOOKUP(B3216,LifeList!$E$2:$G$2038,2)</f>
        <v>Calliste vitriolin</v>
      </c>
      <c r="F3216" s="3" t="str">
        <f>VLOOKUP(B3216,LifeList!$E$2:$G$2038,3)</f>
        <v>Stilpnia vitriolina</v>
      </c>
      <c r="G3216" s="3" t="str">
        <f>VLOOKUP(B3216,LifeList!$E$2:$I$2038,4)</f>
        <v>Passeriformes</v>
      </c>
      <c r="H3216" s="3" t="str">
        <f>VLOOKUP(B3216,LifeList!$E$2:$I$2038,5)</f>
        <v>Thraupidae (Tanagers and Allies)</v>
      </c>
      <c r="I3216" s="3"/>
    </row>
    <row r="3217" spans="1:9" ht="10.5" customHeight="1">
      <c r="A3217" s="3" t="s">
        <v>4475</v>
      </c>
      <c r="B3217" s="3" t="s">
        <v>4476</v>
      </c>
      <c r="C3217" s="3">
        <f>VLOOKUP(B3217,LifeList!$E$2:$J$2038,6)</f>
        <v>7830</v>
      </c>
      <c r="D3217" s="3" t="str">
        <f>VLOOKUP(B3217,LifeList!$E$2:$G$2038,1)</f>
        <v>Secretarybird</v>
      </c>
      <c r="E3217" s="3" t="str">
        <f>VLOOKUP(B3217,LifeList!$E$2:$G$2038,2)</f>
        <v>Messager sagittaire</v>
      </c>
      <c r="F3217" s="3" t="str">
        <f>VLOOKUP(B3217,LifeList!$E$2:$G$2038,3)</f>
        <v>Sagittarius serpentarius</v>
      </c>
      <c r="G3217" s="3" t="str">
        <f>VLOOKUP(B3217,LifeList!$E$2:$I$2038,4)</f>
        <v>Accipitriformes</v>
      </c>
      <c r="H3217" s="3" t="str">
        <f>VLOOKUP(B3217,LifeList!$E$2:$I$2038,5)</f>
        <v>Sagittariidae (Secretarybird)</v>
      </c>
      <c r="I3217" s="3"/>
    </row>
    <row r="3218" spans="1:9" ht="10.5" customHeight="1">
      <c r="A3218" s="3" t="s">
        <v>4477</v>
      </c>
      <c r="B3218" s="3" t="s">
        <v>4476</v>
      </c>
      <c r="C3218" s="3">
        <f>VLOOKUP(B3218,LifeList!$E$2:$J$2038,6)</f>
        <v>7830</v>
      </c>
      <c r="D3218" s="3" t="str">
        <f>VLOOKUP(B3218,LifeList!$E$2:$G$2038,1)</f>
        <v>Secretarybird</v>
      </c>
      <c r="E3218" s="3" t="str">
        <f>VLOOKUP(B3218,LifeList!$E$2:$G$2038,2)</f>
        <v>Messager sagittaire</v>
      </c>
      <c r="F3218" s="3" t="str">
        <f>VLOOKUP(B3218,LifeList!$E$2:$G$2038,3)</f>
        <v>Sagittarius serpentarius</v>
      </c>
      <c r="G3218" s="3" t="str">
        <f>VLOOKUP(B3218,LifeList!$E$2:$I$2038,4)</f>
        <v>Accipitriformes</v>
      </c>
      <c r="H3218" s="3" t="str">
        <f>VLOOKUP(B3218,LifeList!$E$2:$I$2038,5)</f>
        <v>Sagittariidae (Secretarybird)</v>
      </c>
      <c r="I3218" s="3"/>
    </row>
    <row r="3219" spans="1:9" ht="10.5" customHeight="1">
      <c r="A3219" s="3" t="s">
        <v>4478</v>
      </c>
      <c r="B3219" s="3" t="s">
        <v>4476</v>
      </c>
      <c r="C3219" s="3">
        <f>VLOOKUP(B3219,LifeList!$E$2:$J$2038,6)</f>
        <v>7830</v>
      </c>
      <c r="D3219" s="3" t="str">
        <f>VLOOKUP(B3219,LifeList!$E$2:$G$2038,1)</f>
        <v>Secretarybird</v>
      </c>
      <c r="E3219" s="3" t="str">
        <f>VLOOKUP(B3219,LifeList!$E$2:$G$2038,2)</f>
        <v>Messager sagittaire</v>
      </c>
      <c r="F3219" s="3" t="str">
        <f>VLOOKUP(B3219,LifeList!$E$2:$G$2038,3)</f>
        <v>Sagittarius serpentarius</v>
      </c>
      <c r="G3219" s="3" t="str">
        <f>VLOOKUP(B3219,LifeList!$E$2:$I$2038,4)</f>
        <v>Accipitriformes</v>
      </c>
      <c r="H3219" s="3" t="str">
        <f>VLOOKUP(B3219,LifeList!$E$2:$I$2038,5)</f>
        <v>Sagittariidae (Secretarybird)</v>
      </c>
      <c r="I3219" s="3"/>
    </row>
    <row r="3220" spans="1:9" ht="10.5" customHeight="1">
      <c r="A3220" s="3" t="s">
        <v>4479</v>
      </c>
      <c r="B3220" s="3" t="s">
        <v>4476</v>
      </c>
      <c r="C3220" s="3">
        <f>VLOOKUP(B3220,LifeList!$E$2:$J$2038,6)</f>
        <v>7830</v>
      </c>
      <c r="D3220" s="3" t="str">
        <f>VLOOKUP(B3220,LifeList!$E$2:$G$2038,1)</f>
        <v>Secretarybird</v>
      </c>
      <c r="E3220" s="3" t="str">
        <f>VLOOKUP(B3220,LifeList!$E$2:$G$2038,2)</f>
        <v>Messager sagittaire</v>
      </c>
      <c r="F3220" s="3" t="str">
        <f>VLOOKUP(B3220,LifeList!$E$2:$G$2038,3)</f>
        <v>Sagittarius serpentarius</v>
      </c>
      <c r="G3220" s="3" t="str">
        <f>VLOOKUP(B3220,LifeList!$E$2:$I$2038,4)</f>
        <v>Accipitriformes</v>
      </c>
      <c r="H3220" s="3" t="str">
        <f>VLOOKUP(B3220,LifeList!$E$2:$I$2038,5)</f>
        <v>Sagittariidae (Secretarybird)</v>
      </c>
      <c r="I3220" s="3"/>
    </row>
    <row r="3221" spans="1:9" ht="10.5" customHeight="1">
      <c r="A3221" s="3" t="s">
        <v>4480</v>
      </c>
      <c r="B3221" s="3" t="s">
        <v>4476</v>
      </c>
      <c r="C3221" s="3">
        <f>VLOOKUP(B3221,LifeList!$E$2:$J$2038,6)</f>
        <v>7830</v>
      </c>
      <c r="D3221" s="3" t="str">
        <f>VLOOKUP(B3221,LifeList!$E$2:$G$2038,1)</f>
        <v>Secretarybird</v>
      </c>
      <c r="E3221" s="3" t="str">
        <f>VLOOKUP(B3221,LifeList!$E$2:$G$2038,2)</f>
        <v>Messager sagittaire</v>
      </c>
      <c r="F3221" s="3" t="str">
        <f>VLOOKUP(B3221,LifeList!$E$2:$G$2038,3)</f>
        <v>Sagittarius serpentarius</v>
      </c>
      <c r="G3221" s="3" t="str">
        <f>VLOOKUP(B3221,LifeList!$E$2:$I$2038,4)</f>
        <v>Accipitriformes</v>
      </c>
      <c r="H3221" s="3" t="str">
        <f>VLOOKUP(B3221,LifeList!$E$2:$I$2038,5)</f>
        <v>Sagittariidae (Secretarybird)</v>
      </c>
      <c r="I3221" s="3"/>
    </row>
    <row r="3222" spans="1:9" ht="10.5" customHeight="1">
      <c r="A3222" s="5" t="s">
        <v>4481</v>
      </c>
      <c r="B3222" s="3" t="s">
        <v>4482</v>
      </c>
      <c r="C3222" s="3">
        <f>VLOOKUP(B3222,LifeList!$E$2:$J$2038,6)</f>
        <v>27303</v>
      </c>
      <c r="D3222" s="3" t="str">
        <f>VLOOKUP(B3222,LifeList!$E$2:$G$2038,1)</f>
        <v>Sedge Wren</v>
      </c>
      <c r="E3222" s="3" t="str">
        <f>VLOOKUP(B3222,LifeList!$E$2:$G$2038,2)</f>
        <v>Troglodyte à bec court</v>
      </c>
      <c r="F3222" s="3" t="str">
        <f>VLOOKUP(B3222,LifeList!$E$2:$G$2038,3)</f>
        <v>Cistothorus stellaris</v>
      </c>
      <c r="G3222" s="3" t="str">
        <f>VLOOKUP(B3222,LifeList!$E$2:$I$2038,4)</f>
        <v>Passeriformes</v>
      </c>
      <c r="H3222" s="3" t="str">
        <f>VLOOKUP(B3222,LifeList!$E$2:$I$2038,5)</f>
        <v>Troglodytidae (Wrens)</v>
      </c>
      <c r="I3222" s="3"/>
    </row>
    <row r="3223" spans="1:9" ht="10.5" customHeight="1">
      <c r="A3223" s="5" t="s">
        <v>4483</v>
      </c>
      <c r="B3223" s="3" t="s">
        <v>4482</v>
      </c>
      <c r="C3223" s="3">
        <f>VLOOKUP(B3223,LifeList!$E$2:$J$2038,6)</f>
        <v>27303</v>
      </c>
      <c r="D3223" s="3" t="str">
        <f>VLOOKUP(B3223,LifeList!$E$2:$G$2038,1)</f>
        <v>Sedge Wren</v>
      </c>
      <c r="E3223" s="3" t="str">
        <f>VLOOKUP(B3223,LifeList!$E$2:$G$2038,2)</f>
        <v>Troglodyte à bec court</v>
      </c>
      <c r="F3223" s="3" t="str">
        <f>VLOOKUP(B3223,LifeList!$E$2:$G$2038,3)</f>
        <v>Cistothorus stellaris</v>
      </c>
      <c r="G3223" s="3" t="str">
        <f>VLOOKUP(B3223,LifeList!$E$2:$I$2038,4)</f>
        <v>Passeriformes</v>
      </c>
      <c r="H3223" s="3" t="str">
        <f>VLOOKUP(B3223,LifeList!$E$2:$I$2038,5)</f>
        <v>Troglodytidae (Wrens)</v>
      </c>
      <c r="I3223" s="3"/>
    </row>
    <row r="3224" spans="1:9" ht="10.5" customHeight="1">
      <c r="A3224" s="3" t="s">
        <v>4484</v>
      </c>
      <c r="B3224" s="3" t="s">
        <v>4485</v>
      </c>
      <c r="C3224" s="3">
        <f>VLOOKUP(B3224,LifeList!$E$2:$J$2038,6)</f>
        <v>27303</v>
      </c>
      <c r="D3224" s="3" t="str">
        <f>VLOOKUP(B3224,LifeList!$E$2:$G$2038,1)</f>
        <v>Sedge Wren</v>
      </c>
      <c r="E3224" s="3" t="str">
        <f>VLOOKUP(B3224,LifeList!$E$2:$G$2038,2)</f>
        <v>Troglodyte à bec court</v>
      </c>
      <c r="F3224" s="3" t="str">
        <f>VLOOKUP(B3224,LifeList!$E$2:$G$2038,3)</f>
        <v>Cistothorus stellaris</v>
      </c>
      <c r="G3224" s="3" t="str">
        <f>VLOOKUP(B3224,LifeList!$E$2:$I$2038,4)</f>
        <v>Passeriformes</v>
      </c>
      <c r="H3224" s="3" t="str">
        <f>VLOOKUP(B3224,LifeList!$E$2:$I$2038,5)</f>
        <v>Troglodytidae (Wrens)</v>
      </c>
      <c r="I3224" s="3"/>
    </row>
    <row r="3225" spans="1:9" ht="10.5" customHeight="1">
      <c r="A3225" s="3" t="s">
        <v>4486</v>
      </c>
      <c r="B3225" s="3" t="s">
        <v>4485</v>
      </c>
      <c r="C3225" s="3">
        <f>VLOOKUP(B3225,LifeList!$E$2:$J$2038,6)</f>
        <v>27303</v>
      </c>
      <c r="D3225" s="3" t="str">
        <f>VLOOKUP(B3225,LifeList!$E$2:$G$2038,1)</f>
        <v>Sedge Wren</v>
      </c>
      <c r="E3225" s="3" t="str">
        <f>VLOOKUP(B3225,LifeList!$E$2:$G$2038,2)</f>
        <v>Troglodyte à bec court</v>
      </c>
      <c r="F3225" s="3" t="str">
        <f>VLOOKUP(B3225,LifeList!$E$2:$G$2038,3)</f>
        <v>Cistothorus stellaris</v>
      </c>
      <c r="G3225" s="3" t="str">
        <f>VLOOKUP(B3225,LifeList!$E$2:$I$2038,4)</f>
        <v>Passeriformes</v>
      </c>
      <c r="H3225" s="3" t="str">
        <f>VLOOKUP(B3225,LifeList!$E$2:$I$2038,5)</f>
        <v>Troglodytidae (Wrens)</v>
      </c>
      <c r="I3225" s="3"/>
    </row>
    <row r="3226" spans="1:9" ht="10.5" customHeight="1">
      <c r="A3226" s="3" t="s">
        <v>4487</v>
      </c>
      <c r="B3226" s="3" t="s">
        <v>4485</v>
      </c>
      <c r="C3226" s="3">
        <f>VLOOKUP(B3226,LifeList!$E$2:$J$2038,6)</f>
        <v>27303</v>
      </c>
      <c r="D3226" s="3" t="str">
        <f>VLOOKUP(B3226,LifeList!$E$2:$G$2038,1)</f>
        <v>Sedge Wren</v>
      </c>
      <c r="E3226" s="3" t="str">
        <f>VLOOKUP(B3226,LifeList!$E$2:$G$2038,2)</f>
        <v>Troglodyte à bec court</v>
      </c>
      <c r="F3226" s="3" t="str">
        <f>VLOOKUP(B3226,LifeList!$E$2:$G$2038,3)</f>
        <v>Cistothorus stellaris</v>
      </c>
      <c r="G3226" s="3" t="str">
        <f>VLOOKUP(B3226,LifeList!$E$2:$I$2038,4)</f>
        <v>Passeriformes</v>
      </c>
      <c r="H3226" s="3" t="str">
        <f>VLOOKUP(B3226,LifeList!$E$2:$I$2038,5)</f>
        <v>Troglodytidae (Wrens)</v>
      </c>
      <c r="I3226" s="3"/>
    </row>
    <row r="3227" spans="1:9" ht="10.5" customHeight="1">
      <c r="A3227" s="3" t="s">
        <v>4488</v>
      </c>
      <c r="B3227" s="3" t="s">
        <v>4489</v>
      </c>
      <c r="C3227" s="3">
        <f>VLOOKUP(B3227,LifeList!$E$2:$J$2038,6)</f>
        <v>5834</v>
      </c>
      <c r="D3227" s="3" t="str">
        <f>VLOOKUP(B3227,LifeList!$E$2:$G$2038,1)</f>
        <v>Semipalmated Plover</v>
      </c>
      <c r="E3227" s="3" t="str">
        <f>VLOOKUP(B3227,LifeList!$E$2:$G$2038,2)</f>
        <v>Pluvier semipalmé</v>
      </c>
      <c r="F3227" s="3" t="str">
        <f>VLOOKUP(B3227,LifeList!$E$2:$G$2038,3)</f>
        <v>Charadrius semipalmatus</v>
      </c>
      <c r="G3227" s="3" t="str">
        <f>VLOOKUP(B3227,LifeList!$E$2:$I$2038,4)</f>
        <v>Charadriiformes</v>
      </c>
      <c r="H3227" s="3" t="str">
        <f>VLOOKUP(B3227,LifeList!$E$2:$I$2038,5)</f>
        <v>Charadriidae (Plovers and Lapwings)</v>
      </c>
      <c r="I3227" s="3"/>
    </row>
    <row r="3228" spans="1:9" ht="10.5" customHeight="1">
      <c r="A3228" s="3" t="s">
        <v>4490</v>
      </c>
      <c r="B3228" s="3" t="s">
        <v>4489</v>
      </c>
      <c r="C3228" s="3">
        <f>VLOOKUP(B3228,LifeList!$E$2:$J$2038,6)</f>
        <v>5834</v>
      </c>
      <c r="D3228" s="3" t="str">
        <f>VLOOKUP(B3228,LifeList!$E$2:$G$2038,1)</f>
        <v>Semipalmated Plover</v>
      </c>
      <c r="E3228" s="3" t="str">
        <f>VLOOKUP(B3228,LifeList!$E$2:$G$2038,2)</f>
        <v>Pluvier semipalmé</v>
      </c>
      <c r="F3228" s="3" t="str">
        <f>VLOOKUP(B3228,LifeList!$E$2:$G$2038,3)</f>
        <v>Charadrius semipalmatus</v>
      </c>
      <c r="G3228" s="3" t="str">
        <f>VLOOKUP(B3228,LifeList!$E$2:$I$2038,4)</f>
        <v>Charadriiformes</v>
      </c>
      <c r="H3228" s="3" t="str">
        <f>VLOOKUP(B3228,LifeList!$E$2:$I$2038,5)</f>
        <v>Charadriidae (Plovers and Lapwings)</v>
      </c>
      <c r="I3228" s="3"/>
    </row>
    <row r="3229" spans="1:9" ht="10.5" customHeight="1">
      <c r="A3229" s="3" t="s">
        <v>4491</v>
      </c>
      <c r="B3229" s="3" t="s">
        <v>4489</v>
      </c>
      <c r="C3229" s="3">
        <f>VLOOKUP(B3229,LifeList!$E$2:$J$2038,6)</f>
        <v>5834</v>
      </c>
      <c r="D3229" s="3" t="str">
        <f>VLOOKUP(B3229,LifeList!$E$2:$G$2038,1)</f>
        <v>Semipalmated Plover</v>
      </c>
      <c r="E3229" s="3" t="str">
        <f>VLOOKUP(B3229,LifeList!$E$2:$G$2038,2)</f>
        <v>Pluvier semipalmé</v>
      </c>
      <c r="F3229" s="3" t="str">
        <f>VLOOKUP(B3229,LifeList!$E$2:$G$2038,3)</f>
        <v>Charadrius semipalmatus</v>
      </c>
      <c r="G3229" s="3" t="str">
        <f>VLOOKUP(B3229,LifeList!$E$2:$I$2038,4)</f>
        <v>Charadriiformes</v>
      </c>
      <c r="H3229" s="3" t="str">
        <f>VLOOKUP(B3229,LifeList!$E$2:$I$2038,5)</f>
        <v>Charadriidae (Plovers and Lapwings)</v>
      </c>
      <c r="I3229" s="3"/>
    </row>
    <row r="3230" spans="1:9" ht="10.5" customHeight="1">
      <c r="A3230" s="3" t="s">
        <v>4492</v>
      </c>
      <c r="B3230" s="3" t="s">
        <v>4489</v>
      </c>
      <c r="C3230" s="3">
        <f>VLOOKUP(B3230,LifeList!$E$2:$J$2038,6)</f>
        <v>5834</v>
      </c>
      <c r="D3230" s="3" t="str">
        <f>VLOOKUP(B3230,LifeList!$E$2:$G$2038,1)</f>
        <v>Semipalmated Plover</v>
      </c>
      <c r="E3230" s="3" t="str">
        <f>VLOOKUP(B3230,LifeList!$E$2:$G$2038,2)</f>
        <v>Pluvier semipalmé</v>
      </c>
      <c r="F3230" s="3" t="str">
        <f>VLOOKUP(B3230,LifeList!$E$2:$G$2038,3)</f>
        <v>Charadrius semipalmatus</v>
      </c>
      <c r="G3230" s="3" t="str">
        <f>VLOOKUP(B3230,LifeList!$E$2:$I$2038,4)</f>
        <v>Charadriiformes</v>
      </c>
      <c r="H3230" s="3" t="str">
        <f>VLOOKUP(B3230,LifeList!$E$2:$I$2038,5)</f>
        <v>Charadriidae (Plovers and Lapwings)</v>
      </c>
      <c r="I3230" s="3"/>
    </row>
    <row r="3231" spans="1:9" ht="10.5" customHeight="1">
      <c r="A3231" s="3" t="s">
        <v>4493</v>
      </c>
      <c r="B3231" s="3" t="s">
        <v>4489</v>
      </c>
      <c r="C3231" s="3">
        <f>VLOOKUP(B3231,LifeList!$E$2:$J$2038,6)</f>
        <v>5834</v>
      </c>
      <c r="D3231" s="3" t="str">
        <f>VLOOKUP(B3231,LifeList!$E$2:$G$2038,1)</f>
        <v>Semipalmated Plover</v>
      </c>
      <c r="E3231" s="3" t="str">
        <f>VLOOKUP(B3231,LifeList!$E$2:$G$2038,2)</f>
        <v>Pluvier semipalmé</v>
      </c>
      <c r="F3231" s="3" t="str">
        <f>VLOOKUP(B3231,LifeList!$E$2:$G$2038,3)</f>
        <v>Charadrius semipalmatus</v>
      </c>
      <c r="G3231" s="3" t="str">
        <f>VLOOKUP(B3231,LifeList!$E$2:$I$2038,4)</f>
        <v>Charadriiformes</v>
      </c>
      <c r="H3231" s="3" t="str">
        <f>VLOOKUP(B3231,LifeList!$E$2:$I$2038,5)</f>
        <v>Charadriidae (Plovers and Lapwings)</v>
      </c>
      <c r="I3231" s="3"/>
    </row>
    <row r="3232" spans="1:9" ht="10.5" customHeight="1">
      <c r="A3232" s="3" t="s">
        <v>4494</v>
      </c>
      <c r="B3232" s="3" t="s">
        <v>4489</v>
      </c>
      <c r="C3232" s="3">
        <f>VLOOKUP(B3232,LifeList!$E$2:$J$2038,6)</f>
        <v>5834</v>
      </c>
      <c r="D3232" s="3" t="str">
        <f>VLOOKUP(B3232,LifeList!$E$2:$G$2038,1)</f>
        <v>Semipalmated Plover</v>
      </c>
      <c r="E3232" s="3" t="str">
        <f>VLOOKUP(B3232,LifeList!$E$2:$G$2038,2)</f>
        <v>Pluvier semipalmé</v>
      </c>
      <c r="F3232" s="3" t="str">
        <f>VLOOKUP(B3232,LifeList!$E$2:$G$2038,3)</f>
        <v>Charadrius semipalmatus</v>
      </c>
      <c r="G3232" s="3" t="str">
        <f>VLOOKUP(B3232,LifeList!$E$2:$I$2038,4)</f>
        <v>Charadriiformes</v>
      </c>
      <c r="H3232" s="3" t="str">
        <f>VLOOKUP(B3232,LifeList!$E$2:$I$2038,5)</f>
        <v>Charadriidae (Plovers and Lapwings)</v>
      </c>
      <c r="I3232" s="3"/>
    </row>
    <row r="3233" spans="1:9" ht="10.5" customHeight="1">
      <c r="A3233" s="3" t="s">
        <v>4495</v>
      </c>
      <c r="B3233" s="3" t="s">
        <v>4489</v>
      </c>
      <c r="C3233" s="3">
        <f>VLOOKUP(B3233,LifeList!$E$2:$J$2038,6)</f>
        <v>5834</v>
      </c>
      <c r="D3233" s="3" t="str">
        <f>VLOOKUP(B3233,LifeList!$E$2:$G$2038,1)</f>
        <v>Semipalmated Plover</v>
      </c>
      <c r="E3233" s="3" t="str">
        <f>VLOOKUP(B3233,LifeList!$E$2:$G$2038,2)</f>
        <v>Pluvier semipalmé</v>
      </c>
      <c r="F3233" s="3" t="str">
        <f>VLOOKUP(B3233,LifeList!$E$2:$G$2038,3)</f>
        <v>Charadrius semipalmatus</v>
      </c>
      <c r="G3233" s="3" t="str">
        <f>VLOOKUP(B3233,LifeList!$E$2:$I$2038,4)</f>
        <v>Charadriiformes</v>
      </c>
      <c r="H3233" s="3" t="str">
        <f>VLOOKUP(B3233,LifeList!$E$2:$I$2038,5)</f>
        <v>Charadriidae (Plovers and Lapwings)</v>
      </c>
      <c r="I3233" s="3"/>
    </row>
    <row r="3234" spans="1:9" ht="10.5" customHeight="1">
      <c r="A3234" s="3" t="s">
        <v>4496</v>
      </c>
      <c r="B3234" s="3" t="s">
        <v>4489</v>
      </c>
      <c r="C3234" s="3">
        <f>VLOOKUP(B3234,LifeList!$E$2:$J$2038,6)</f>
        <v>5834</v>
      </c>
      <c r="D3234" s="3" t="str">
        <f>VLOOKUP(B3234,LifeList!$E$2:$G$2038,1)</f>
        <v>Semipalmated Plover</v>
      </c>
      <c r="E3234" s="3" t="str">
        <f>VLOOKUP(B3234,LifeList!$E$2:$G$2038,2)</f>
        <v>Pluvier semipalmé</v>
      </c>
      <c r="F3234" s="3" t="str">
        <f>VLOOKUP(B3234,LifeList!$E$2:$G$2038,3)</f>
        <v>Charadrius semipalmatus</v>
      </c>
      <c r="G3234" s="3" t="str">
        <f>VLOOKUP(B3234,LifeList!$E$2:$I$2038,4)</f>
        <v>Charadriiformes</v>
      </c>
      <c r="H3234" s="3" t="str">
        <f>VLOOKUP(B3234,LifeList!$E$2:$I$2038,5)</f>
        <v>Charadriidae (Plovers and Lapwings)</v>
      </c>
      <c r="I3234" s="3"/>
    </row>
    <row r="3235" spans="1:9" ht="10.5" customHeight="1">
      <c r="A3235" s="3" t="s">
        <v>4497</v>
      </c>
      <c r="B3235" s="3" t="s">
        <v>4489</v>
      </c>
      <c r="C3235" s="3">
        <f>VLOOKUP(B3235,LifeList!$E$2:$J$2038,6)</f>
        <v>5834</v>
      </c>
      <c r="D3235" s="3" t="str">
        <f>VLOOKUP(B3235,LifeList!$E$2:$G$2038,1)</f>
        <v>Semipalmated Plover</v>
      </c>
      <c r="E3235" s="3" t="str">
        <f>VLOOKUP(B3235,LifeList!$E$2:$G$2038,2)</f>
        <v>Pluvier semipalmé</v>
      </c>
      <c r="F3235" s="3" t="str">
        <f>VLOOKUP(B3235,LifeList!$E$2:$G$2038,3)</f>
        <v>Charadrius semipalmatus</v>
      </c>
      <c r="G3235" s="3" t="str">
        <f>VLOOKUP(B3235,LifeList!$E$2:$I$2038,4)</f>
        <v>Charadriiformes</v>
      </c>
      <c r="H3235" s="3" t="str">
        <f>VLOOKUP(B3235,LifeList!$E$2:$I$2038,5)</f>
        <v>Charadriidae (Plovers and Lapwings)</v>
      </c>
      <c r="I3235" s="3"/>
    </row>
    <row r="3236" spans="1:9" ht="10.5" customHeight="1">
      <c r="A3236" s="3" t="s">
        <v>4498</v>
      </c>
      <c r="B3236" s="3" t="s">
        <v>4489</v>
      </c>
      <c r="C3236" s="3">
        <f>VLOOKUP(B3236,LifeList!$E$2:$J$2038,6)</f>
        <v>5834</v>
      </c>
      <c r="D3236" s="3" t="str">
        <f>VLOOKUP(B3236,LifeList!$E$2:$G$2038,1)</f>
        <v>Semipalmated Plover</v>
      </c>
      <c r="E3236" s="3" t="str">
        <f>VLOOKUP(B3236,LifeList!$E$2:$G$2038,2)</f>
        <v>Pluvier semipalmé</v>
      </c>
      <c r="F3236" s="3" t="str">
        <f>VLOOKUP(B3236,LifeList!$E$2:$G$2038,3)</f>
        <v>Charadrius semipalmatus</v>
      </c>
      <c r="G3236" s="3" t="str">
        <f>VLOOKUP(B3236,LifeList!$E$2:$I$2038,4)</f>
        <v>Charadriiformes</v>
      </c>
      <c r="H3236" s="3" t="str">
        <f>VLOOKUP(B3236,LifeList!$E$2:$I$2038,5)</f>
        <v>Charadriidae (Plovers and Lapwings)</v>
      </c>
      <c r="I3236" s="3"/>
    </row>
    <row r="3237" spans="1:9" ht="10.5" customHeight="1">
      <c r="A3237" s="3" t="s">
        <v>4499</v>
      </c>
      <c r="B3237" s="3" t="s">
        <v>4489</v>
      </c>
      <c r="C3237" s="3">
        <f>VLOOKUP(B3237,LifeList!$E$2:$J$2038,6)</f>
        <v>5834</v>
      </c>
      <c r="D3237" s="3" t="str">
        <f>VLOOKUP(B3237,LifeList!$E$2:$G$2038,1)</f>
        <v>Semipalmated Plover</v>
      </c>
      <c r="E3237" s="3" t="str">
        <f>VLOOKUP(B3237,LifeList!$E$2:$G$2038,2)</f>
        <v>Pluvier semipalmé</v>
      </c>
      <c r="F3237" s="3" t="str">
        <f>VLOOKUP(B3237,LifeList!$E$2:$G$2038,3)</f>
        <v>Charadrius semipalmatus</v>
      </c>
      <c r="G3237" s="3" t="str">
        <f>VLOOKUP(B3237,LifeList!$E$2:$I$2038,4)</f>
        <v>Charadriiformes</v>
      </c>
      <c r="H3237" s="3" t="str">
        <f>VLOOKUP(B3237,LifeList!$E$2:$I$2038,5)</f>
        <v>Charadriidae (Plovers and Lapwings)</v>
      </c>
      <c r="I3237" s="3"/>
    </row>
    <row r="3238" spans="1:9" ht="10.5" customHeight="1">
      <c r="A3238" s="3" t="s">
        <v>4500</v>
      </c>
      <c r="B3238" s="3" t="s">
        <v>4501</v>
      </c>
      <c r="C3238" s="3">
        <f>VLOOKUP(B3238,LifeList!$E$2:$J$2038,6)</f>
        <v>6232</v>
      </c>
      <c r="D3238" s="3" t="str">
        <f>VLOOKUP(B3238,LifeList!$E$2:$G$2038,1)</f>
        <v>Semipalmated Sandpiper</v>
      </c>
      <c r="E3238" s="3" t="str">
        <f>VLOOKUP(B3238,LifeList!$E$2:$G$2038,2)</f>
        <v>Bécasseau semipalmé</v>
      </c>
      <c r="F3238" s="3" t="str">
        <f>VLOOKUP(B3238,LifeList!$E$2:$G$2038,3)</f>
        <v>Calidris pusilla</v>
      </c>
      <c r="G3238" s="3" t="str">
        <f>VLOOKUP(B3238,LifeList!$E$2:$I$2038,4)</f>
        <v>Charadriiformes</v>
      </c>
      <c r="H3238" s="3" t="str">
        <f>VLOOKUP(B3238,LifeList!$E$2:$I$2038,5)</f>
        <v>Scolopacidae (Sandpipers and Allies)</v>
      </c>
      <c r="I3238" s="3"/>
    </row>
    <row r="3239" spans="1:9" ht="10.5" customHeight="1">
      <c r="A3239" s="3" t="s">
        <v>4502</v>
      </c>
      <c r="B3239" s="3" t="s">
        <v>4501</v>
      </c>
      <c r="C3239" s="3">
        <f>VLOOKUP(B3239,LifeList!$E$2:$J$2038,6)</f>
        <v>6232</v>
      </c>
      <c r="D3239" s="3" t="str">
        <f>VLOOKUP(B3239,LifeList!$E$2:$G$2038,1)</f>
        <v>Semipalmated Sandpiper</v>
      </c>
      <c r="E3239" s="3" t="str">
        <f>VLOOKUP(B3239,LifeList!$E$2:$G$2038,2)</f>
        <v>Bécasseau semipalmé</v>
      </c>
      <c r="F3239" s="3" t="str">
        <f>VLOOKUP(B3239,LifeList!$E$2:$G$2038,3)</f>
        <v>Calidris pusilla</v>
      </c>
      <c r="G3239" s="3" t="str">
        <f>VLOOKUP(B3239,LifeList!$E$2:$I$2038,4)</f>
        <v>Charadriiformes</v>
      </c>
      <c r="H3239" s="3" t="str">
        <f>VLOOKUP(B3239,LifeList!$E$2:$I$2038,5)</f>
        <v>Scolopacidae (Sandpipers and Allies)</v>
      </c>
      <c r="I3239" s="3"/>
    </row>
    <row r="3240" spans="1:9" ht="10.5" customHeight="1">
      <c r="A3240" s="3" t="s">
        <v>4503</v>
      </c>
      <c r="B3240" s="3" t="s">
        <v>4501</v>
      </c>
      <c r="C3240" s="3">
        <f>VLOOKUP(B3240,LifeList!$E$2:$J$2038,6)</f>
        <v>6232</v>
      </c>
      <c r="D3240" s="3" t="str">
        <f>VLOOKUP(B3240,LifeList!$E$2:$G$2038,1)</f>
        <v>Semipalmated Sandpiper</v>
      </c>
      <c r="E3240" s="3" t="str">
        <f>VLOOKUP(B3240,LifeList!$E$2:$G$2038,2)</f>
        <v>Bécasseau semipalmé</v>
      </c>
      <c r="F3240" s="3" t="str">
        <f>VLOOKUP(B3240,LifeList!$E$2:$G$2038,3)</f>
        <v>Calidris pusilla</v>
      </c>
      <c r="G3240" s="3" t="str">
        <f>VLOOKUP(B3240,LifeList!$E$2:$I$2038,4)</f>
        <v>Charadriiformes</v>
      </c>
      <c r="H3240" s="3" t="str">
        <f>VLOOKUP(B3240,LifeList!$E$2:$I$2038,5)</f>
        <v>Scolopacidae (Sandpipers and Allies)</v>
      </c>
      <c r="I3240" s="3"/>
    </row>
    <row r="3241" spans="1:9" ht="10.5" customHeight="1">
      <c r="A3241" s="3" t="s">
        <v>4504</v>
      </c>
      <c r="B3241" s="3" t="s">
        <v>4501</v>
      </c>
      <c r="C3241" s="3">
        <f>VLOOKUP(B3241,LifeList!$E$2:$J$2038,6)</f>
        <v>6232</v>
      </c>
      <c r="D3241" s="3" t="str">
        <f>VLOOKUP(B3241,LifeList!$E$2:$G$2038,1)</f>
        <v>Semipalmated Sandpiper</v>
      </c>
      <c r="E3241" s="3" t="str">
        <f>VLOOKUP(B3241,LifeList!$E$2:$G$2038,2)</f>
        <v>Bécasseau semipalmé</v>
      </c>
      <c r="F3241" s="3" t="str">
        <f>VLOOKUP(B3241,LifeList!$E$2:$G$2038,3)</f>
        <v>Calidris pusilla</v>
      </c>
      <c r="G3241" s="3" t="str">
        <f>VLOOKUP(B3241,LifeList!$E$2:$I$2038,4)</f>
        <v>Charadriiformes</v>
      </c>
      <c r="H3241" s="3" t="str">
        <f>VLOOKUP(B3241,LifeList!$E$2:$I$2038,5)</f>
        <v>Scolopacidae (Sandpipers and Allies)</v>
      </c>
      <c r="I3241" s="3"/>
    </row>
    <row r="3242" spans="1:9" ht="10.5" customHeight="1">
      <c r="A3242" s="5" t="s">
        <v>4505</v>
      </c>
      <c r="B3242" s="3" t="s">
        <v>4506</v>
      </c>
      <c r="C3242" s="3">
        <f>VLOOKUP(B3242,LifeList!$E$2:$J$2038,6)</f>
        <v>8256</v>
      </c>
      <c r="D3242" s="3" t="str">
        <f>VLOOKUP(B3242,LifeList!$E$2:$G$2038,1)</f>
        <v>Sharp-shinned Hawk</v>
      </c>
      <c r="E3242" s="3" t="str">
        <f>VLOOKUP(B3242,LifeList!$E$2:$G$2038,2)</f>
        <v>Épervier brun</v>
      </c>
      <c r="F3242" s="3" t="str">
        <f>VLOOKUP(B3242,LifeList!$E$2:$G$2038,3)</f>
        <v>Accipiter striatus</v>
      </c>
      <c r="G3242" s="3" t="str">
        <f>VLOOKUP(B3242,LifeList!$E$2:$I$2038,4)</f>
        <v>Accipitriformes</v>
      </c>
      <c r="H3242" s="3" t="str">
        <f>VLOOKUP(B3242,LifeList!$E$2:$I$2038,5)</f>
        <v>Accipitridae (Hawks, Eagles, and Kites)</v>
      </c>
      <c r="I3242" s="3"/>
    </row>
    <row r="3243" spans="1:9" ht="10.5" customHeight="1">
      <c r="A3243" s="3" t="s">
        <v>4507</v>
      </c>
      <c r="B3243" s="3" t="s">
        <v>4508</v>
      </c>
      <c r="C3243" s="3">
        <f>VLOOKUP(B3243,LifeList!$E$2:$J$2038,6)</f>
        <v>6181</v>
      </c>
      <c r="D3243" s="3" t="str">
        <f>VLOOKUP(B3243,LifeList!$E$2:$G$2038,1)</f>
        <v>Sharp-tailed Sandpiper</v>
      </c>
      <c r="E3243" s="3" t="str">
        <f>VLOOKUP(B3243,LifeList!$E$2:$G$2038,2)</f>
        <v>Bécasseau à queue pointue</v>
      </c>
      <c r="F3243" s="3" t="str">
        <f>VLOOKUP(B3243,LifeList!$E$2:$G$2038,3)</f>
        <v>Calidris acuminata</v>
      </c>
      <c r="G3243" s="3" t="str">
        <f>VLOOKUP(B3243,LifeList!$E$2:$I$2038,4)</f>
        <v>Charadriiformes</v>
      </c>
      <c r="H3243" s="3" t="str">
        <f>VLOOKUP(B3243,LifeList!$E$2:$I$2038,5)</f>
        <v>Scolopacidae (Sandpipers and Allies)</v>
      </c>
      <c r="I3243" s="3"/>
    </row>
    <row r="3244" spans="1:9" ht="10.5" customHeight="1">
      <c r="A3244" s="3" t="s">
        <v>4509</v>
      </c>
      <c r="B3244" s="3" t="s">
        <v>4510</v>
      </c>
      <c r="C3244" s="3">
        <f>VLOOKUP(B3244,LifeList!$E$2:$J$2038,6)</f>
        <v>8164</v>
      </c>
      <c r="D3244" s="3" t="str">
        <f>VLOOKUP(B3244,LifeList!$E$2:$G$2038,1)</f>
        <v>Shikra</v>
      </c>
      <c r="E3244" s="3" t="str">
        <f>VLOOKUP(B3244,LifeList!$E$2:$G$2038,2)</f>
        <v>Épervier shikra</v>
      </c>
      <c r="F3244" s="3" t="str">
        <f>VLOOKUP(B3244,LifeList!$E$2:$G$2038,3)</f>
        <v>Tachyspiza badia</v>
      </c>
      <c r="G3244" s="3" t="str">
        <f>VLOOKUP(B3244,LifeList!$E$2:$I$2038,4)</f>
        <v>Accipitriformes</v>
      </c>
      <c r="H3244" s="3" t="str">
        <f>VLOOKUP(B3244,LifeList!$E$2:$I$2038,5)</f>
        <v>Accipitridae (Hawks, Eagles, and Kites)</v>
      </c>
      <c r="I3244" s="3"/>
    </row>
    <row r="3245" spans="1:9" ht="10.5" customHeight="1">
      <c r="A3245" s="3" t="s">
        <v>4511</v>
      </c>
      <c r="B3245" s="3" t="s">
        <v>4512</v>
      </c>
      <c r="C3245" s="3">
        <f>VLOOKUP(B3245,LifeList!$E$2:$J$2038,6)</f>
        <v>3318</v>
      </c>
      <c r="D3245" s="3" t="str">
        <f>VLOOKUP(B3245,LifeList!$E$2:$G$2038,1)</f>
        <v>Shining Bronze-Cuckoo</v>
      </c>
      <c r="E3245" s="3" t="str">
        <f>VLOOKUP(B3245,LifeList!$E$2:$G$2038,2)</f>
        <v>Coucou éclatant</v>
      </c>
      <c r="F3245" s="3" t="str">
        <f>VLOOKUP(B3245,LifeList!$E$2:$G$2038,3)</f>
        <v>Chalcites lucidus</v>
      </c>
      <c r="G3245" s="3" t="str">
        <f>VLOOKUP(B3245,LifeList!$E$2:$I$2038,4)</f>
        <v>Cuculiformes</v>
      </c>
      <c r="H3245" s="3" t="str">
        <f>VLOOKUP(B3245,LifeList!$E$2:$I$2038,5)</f>
        <v>Cuculidae (Cuckoos)</v>
      </c>
      <c r="I3245" s="3"/>
    </row>
    <row r="3246" spans="1:9" ht="10.5" customHeight="1">
      <c r="A3246" s="3" t="s">
        <v>4513</v>
      </c>
      <c r="B3246" s="3" t="s">
        <v>4514</v>
      </c>
      <c r="C3246" s="3">
        <f>VLOOKUP(B3246,LifeList!$E$2:$J$2038,6)</f>
        <v>35165</v>
      </c>
      <c r="D3246" s="3" t="str">
        <f>VLOOKUP(B3246,LifeList!$E$2:$G$2038,1)</f>
        <v>Shining Honeycreeper</v>
      </c>
      <c r="E3246" s="3" t="str">
        <f>VLOOKUP(B3246,LifeList!$E$2:$G$2038,2)</f>
        <v>Guit-guit brillant</v>
      </c>
      <c r="F3246" s="3" t="str">
        <f>VLOOKUP(B3246,LifeList!$E$2:$G$2038,3)</f>
        <v>Cyanerpes lucidus</v>
      </c>
      <c r="G3246" s="3" t="str">
        <f>VLOOKUP(B3246,LifeList!$E$2:$I$2038,4)</f>
        <v>Passeriformes</v>
      </c>
      <c r="H3246" s="3" t="str">
        <f>VLOOKUP(B3246,LifeList!$E$2:$I$2038,5)</f>
        <v>Thraupidae (Tanagers and Allies)</v>
      </c>
      <c r="I3246" s="3"/>
    </row>
    <row r="3247" spans="1:9" ht="10.5" customHeight="1">
      <c r="A3247" s="3" t="s">
        <v>4515</v>
      </c>
      <c r="B3247" s="3" t="s">
        <v>4516</v>
      </c>
      <c r="C3247" s="3">
        <f>VLOOKUP(B3247,LifeList!$E$2:$J$2038,6)</f>
        <v>4604</v>
      </c>
      <c r="D3247" s="3" t="str">
        <f>VLOOKUP(B3247,LifeList!$E$2:$G$2038,1)</f>
        <v>Shining Sunbeam</v>
      </c>
      <c r="E3247" s="3" t="str">
        <f>VLOOKUP(B3247,LifeList!$E$2:$G$2038,2)</f>
        <v>Colibri étincelant</v>
      </c>
      <c r="F3247" s="3" t="str">
        <f>VLOOKUP(B3247,LifeList!$E$2:$G$2038,3)</f>
        <v>Aglaeactis cupripennis</v>
      </c>
      <c r="G3247" s="3" t="str">
        <f>VLOOKUP(B3247,LifeList!$E$2:$I$2038,4)</f>
        <v>Apodiformes</v>
      </c>
      <c r="H3247" s="3" t="str">
        <f>VLOOKUP(B3247,LifeList!$E$2:$I$2038,5)</f>
        <v>Trochilidae (Hummingbirds)</v>
      </c>
      <c r="I3247" s="3"/>
    </row>
    <row r="3248" spans="1:9" ht="10.5" customHeight="1">
      <c r="A3248" s="3" t="s">
        <v>4517</v>
      </c>
      <c r="B3248" s="3" t="s">
        <v>4516</v>
      </c>
      <c r="C3248" s="3">
        <f>VLOOKUP(B3248,LifeList!$E$2:$J$2038,6)</f>
        <v>4604</v>
      </c>
      <c r="D3248" s="3" t="str">
        <f>VLOOKUP(B3248,LifeList!$E$2:$G$2038,1)</f>
        <v>Shining Sunbeam</v>
      </c>
      <c r="E3248" s="3" t="str">
        <f>VLOOKUP(B3248,LifeList!$E$2:$G$2038,2)</f>
        <v>Colibri étincelant</v>
      </c>
      <c r="F3248" s="3" t="str">
        <f>VLOOKUP(B3248,LifeList!$E$2:$G$2038,3)</f>
        <v>Aglaeactis cupripennis</v>
      </c>
      <c r="G3248" s="3" t="str">
        <f>VLOOKUP(B3248,LifeList!$E$2:$I$2038,4)</f>
        <v>Apodiformes</v>
      </c>
      <c r="H3248" s="3" t="str">
        <f>VLOOKUP(B3248,LifeList!$E$2:$I$2038,5)</f>
        <v>Trochilidae (Hummingbirds)</v>
      </c>
      <c r="I3248" s="3"/>
    </row>
    <row r="3249" spans="1:9" ht="10.5" customHeight="1">
      <c r="A3249" s="3" t="s">
        <v>4518</v>
      </c>
      <c r="B3249" s="3" t="s">
        <v>4519</v>
      </c>
      <c r="C3249" s="3">
        <f>VLOOKUP(B3249,LifeList!$E$2:$J$2038,6)</f>
        <v>33817</v>
      </c>
      <c r="D3249" s="3" t="str">
        <f>VLOOKUP(B3249,LifeList!$E$2:$G$2038,1)</f>
        <v>Shiny Cowbird</v>
      </c>
      <c r="E3249" s="3" t="str">
        <f>VLOOKUP(B3249,LifeList!$E$2:$G$2038,2)</f>
        <v>Vacher luisant</v>
      </c>
      <c r="F3249" s="3" t="str">
        <f>VLOOKUP(B3249,LifeList!$E$2:$G$2038,3)</f>
        <v>Molothrus bonariensis</v>
      </c>
      <c r="G3249" s="3" t="str">
        <f>VLOOKUP(B3249,LifeList!$E$2:$I$2038,4)</f>
        <v>Passeriformes</v>
      </c>
      <c r="H3249" s="3" t="str">
        <f>VLOOKUP(B3249,LifeList!$E$2:$I$2038,5)</f>
        <v>Icteridae (Troupials and Allies)</v>
      </c>
      <c r="I3249" s="3"/>
    </row>
    <row r="3250" spans="1:9" ht="10.5" customHeight="1">
      <c r="A3250" s="3" t="s">
        <v>4520</v>
      </c>
      <c r="B3250" s="3" t="s">
        <v>4519</v>
      </c>
      <c r="C3250" s="3">
        <f>VLOOKUP(B3250,LifeList!$E$2:$J$2038,6)</f>
        <v>33817</v>
      </c>
      <c r="D3250" s="3" t="str">
        <f>VLOOKUP(B3250,LifeList!$E$2:$G$2038,1)</f>
        <v>Shiny Cowbird</v>
      </c>
      <c r="E3250" s="3" t="str">
        <f>VLOOKUP(B3250,LifeList!$E$2:$G$2038,2)</f>
        <v>Vacher luisant</v>
      </c>
      <c r="F3250" s="3" t="str">
        <f>VLOOKUP(B3250,LifeList!$E$2:$G$2038,3)</f>
        <v>Molothrus bonariensis</v>
      </c>
      <c r="G3250" s="3" t="str">
        <f>VLOOKUP(B3250,LifeList!$E$2:$I$2038,4)</f>
        <v>Passeriformes</v>
      </c>
      <c r="H3250" s="3" t="str">
        <f>VLOOKUP(B3250,LifeList!$E$2:$I$2038,5)</f>
        <v>Icteridae (Troupials and Allies)</v>
      </c>
      <c r="I3250" s="3"/>
    </row>
    <row r="3251" spans="1:9" ht="10.5" customHeight="1">
      <c r="A3251" s="3" t="s">
        <v>4521</v>
      </c>
      <c r="B3251" s="3" t="s">
        <v>4519</v>
      </c>
      <c r="C3251" s="3">
        <f>VLOOKUP(B3251,LifeList!$E$2:$J$2038,6)</f>
        <v>33817</v>
      </c>
      <c r="D3251" s="3" t="str">
        <f>VLOOKUP(B3251,LifeList!$E$2:$G$2038,1)</f>
        <v>Shiny Cowbird</v>
      </c>
      <c r="E3251" s="3" t="str">
        <f>VLOOKUP(B3251,LifeList!$E$2:$G$2038,2)</f>
        <v>Vacher luisant</v>
      </c>
      <c r="F3251" s="3" t="str">
        <f>VLOOKUP(B3251,LifeList!$E$2:$G$2038,3)</f>
        <v>Molothrus bonariensis</v>
      </c>
      <c r="G3251" s="3" t="str">
        <f>VLOOKUP(B3251,LifeList!$E$2:$I$2038,4)</f>
        <v>Passeriformes</v>
      </c>
      <c r="H3251" s="3" t="str">
        <f>VLOOKUP(B3251,LifeList!$E$2:$I$2038,5)</f>
        <v>Icteridae (Troupials and Allies)</v>
      </c>
      <c r="I3251" s="3"/>
    </row>
    <row r="3252" spans="1:9" ht="10.5" customHeight="1">
      <c r="A3252" s="5" t="s">
        <v>4522</v>
      </c>
      <c r="B3252" s="3" t="s">
        <v>4523</v>
      </c>
      <c r="C3252" s="3">
        <f>VLOOKUP(B3252,LifeList!$E$2:$J$2038,6)</f>
        <v>6057</v>
      </c>
      <c r="D3252" s="3" t="str">
        <f>VLOOKUP(B3252,LifeList!$E$2:$G$2038,1)</f>
        <v>Short-billed Dowitcher</v>
      </c>
      <c r="E3252" s="3" t="str">
        <f>VLOOKUP(B3252,LifeList!$E$2:$G$2038,2)</f>
        <v>Bécassin roux</v>
      </c>
      <c r="F3252" s="3" t="str">
        <f>VLOOKUP(B3252,LifeList!$E$2:$G$2038,3)</f>
        <v>Limnodromus griseus</v>
      </c>
      <c r="G3252" s="3" t="str">
        <f>VLOOKUP(B3252,LifeList!$E$2:$I$2038,4)</f>
        <v>Charadriiformes</v>
      </c>
      <c r="H3252" s="3" t="str">
        <f>VLOOKUP(B3252,LifeList!$E$2:$I$2038,5)</f>
        <v>Scolopacidae (Sandpipers and Allies)</v>
      </c>
      <c r="I3252" s="3"/>
    </row>
    <row r="3253" spans="1:9" ht="10.5" customHeight="1">
      <c r="A3253" s="3" t="s">
        <v>4524</v>
      </c>
      <c r="B3253" s="3" t="s">
        <v>4525</v>
      </c>
      <c r="C3253" s="3">
        <f>VLOOKUP(B3253,LifeList!$E$2:$J$2038,6)</f>
        <v>6057</v>
      </c>
      <c r="D3253" s="3" t="str">
        <f>VLOOKUP(B3253,LifeList!$E$2:$G$2038,1)</f>
        <v>Short-billed Dowitcher</v>
      </c>
      <c r="E3253" s="3" t="str">
        <f>VLOOKUP(B3253,LifeList!$E$2:$G$2038,2)</f>
        <v>Bécassin roux</v>
      </c>
      <c r="F3253" s="3" t="str">
        <f>VLOOKUP(B3253,LifeList!$E$2:$G$2038,3)</f>
        <v>Limnodromus griseus</v>
      </c>
      <c r="G3253" s="3" t="str">
        <f>VLOOKUP(B3253,LifeList!$E$2:$I$2038,4)</f>
        <v>Charadriiformes</v>
      </c>
      <c r="H3253" s="3" t="str">
        <f>VLOOKUP(B3253,LifeList!$E$2:$I$2038,5)</f>
        <v>Scolopacidae (Sandpipers and Allies)</v>
      </c>
      <c r="I3253" s="3"/>
    </row>
    <row r="3254" spans="1:9" ht="10.5" customHeight="1">
      <c r="A3254" s="3" t="s">
        <v>4526</v>
      </c>
      <c r="B3254" s="3" t="s">
        <v>4525</v>
      </c>
      <c r="C3254" s="3">
        <f>VLOOKUP(B3254,LifeList!$E$2:$J$2038,6)</f>
        <v>6057</v>
      </c>
      <c r="D3254" s="3" t="str">
        <f>VLOOKUP(B3254,LifeList!$E$2:$G$2038,1)</f>
        <v>Short-billed Dowitcher</v>
      </c>
      <c r="E3254" s="3" t="str">
        <f>VLOOKUP(B3254,LifeList!$E$2:$G$2038,2)</f>
        <v>Bécassin roux</v>
      </c>
      <c r="F3254" s="3" t="str">
        <f>VLOOKUP(B3254,LifeList!$E$2:$G$2038,3)</f>
        <v>Limnodromus griseus</v>
      </c>
      <c r="G3254" s="3" t="str">
        <f>VLOOKUP(B3254,LifeList!$E$2:$I$2038,4)</f>
        <v>Charadriiformes</v>
      </c>
      <c r="H3254" s="3" t="str">
        <f>VLOOKUP(B3254,LifeList!$E$2:$I$2038,5)</f>
        <v>Scolopacidae (Sandpipers and Allies)</v>
      </c>
      <c r="I3254" s="3"/>
    </row>
    <row r="3255" spans="1:9" ht="10.5" customHeight="1">
      <c r="A3255" s="3" t="s">
        <v>4527</v>
      </c>
      <c r="B3255" s="3" t="s">
        <v>4525</v>
      </c>
      <c r="C3255" s="3">
        <f>VLOOKUP(B3255,LifeList!$E$2:$J$2038,6)</f>
        <v>6057</v>
      </c>
      <c r="D3255" s="3" t="str">
        <f>VLOOKUP(B3255,LifeList!$E$2:$G$2038,1)</f>
        <v>Short-billed Dowitcher</v>
      </c>
      <c r="E3255" s="3" t="str">
        <f>VLOOKUP(B3255,LifeList!$E$2:$G$2038,2)</f>
        <v>Bécassin roux</v>
      </c>
      <c r="F3255" s="3" t="str">
        <f>VLOOKUP(B3255,LifeList!$E$2:$G$2038,3)</f>
        <v>Limnodromus griseus</v>
      </c>
      <c r="G3255" s="3" t="str">
        <f>VLOOKUP(B3255,LifeList!$E$2:$I$2038,4)</f>
        <v>Charadriiformes</v>
      </c>
      <c r="H3255" s="3" t="str">
        <f>VLOOKUP(B3255,LifeList!$E$2:$I$2038,5)</f>
        <v>Scolopacidae (Sandpipers and Allies)</v>
      </c>
      <c r="I3255" s="3"/>
    </row>
    <row r="3256" spans="1:9" ht="10.5" customHeight="1">
      <c r="A3256" s="3" t="s">
        <v>4528</v>
      </c>
      <c r="B3256" s="3" t="s">
        <v>4525</v>
      </c>
      <c r="C3256" s="3">
        <f>VLOOKUP(B3256,LifeList!$E$2:$J$2038,6)</f>
        <v>6057</v>
      </c>
      <c r="D3256" s="3" t="str">
        <f>VLOOKUP(B3256,LifeList!$E$2:$G$2038,1)</f>
        <v>Short-billed Dowitcher</v>
      </c>
      <c r="E3256" s="3" t="str">
        <f>VLOOKUP(B3256,LifeList!$E$2:$G$2038,2)</f>
        <v>Bécassin roux</v>
      </c>
      <c r="F3256" s="3" t="str">
        <f>VLOOKUP(B3256,LifeList!$E$2:$G$2038,3)</f>
        <v>Limnodromus griseus</v>
      </c>
      <c r="G3256" s="3" t="str">
        <f>VLOOKUP(B3256,LifeList!$E$2:$I$2038,4)</f>
        <v>Charadriiformes</v>
      </c>
      <c r="H3256" s="3" t="str">
        <f>VLOOKUP(B3256,LifeList!$E$2:$I$2038,5)</f>
        <v>Scolopacidae (Sandpipers and Allies)</v>
      </c>
      <c r="I3256" s="3"/>
    </row>
    <row r="3257" spans="1:9" ht="10.5" customHeight="1">
      <c r="A3257" s="3" t="s">
        <v>4529</v>
      </c>
      <c r="B3257" s="3" t="s">
        <v>4525</v>
      </c>
      <c r="C3257" s="3">
        <f>VLOOKUP(B3257,LifeList!$E$2:$J$2038,6)</f>
        <v>6057</v>
      </c>
      <c r="D3257" s="3" t="str">
        <f>VLOOKUP(B3257,LifeList!$E$2:$G$2038,1)</f>
        <v>Short-billed Dowitcher</v>
      </c>
      <c r="E3257" s="3" t="str">
        <f>VLOOKUP(B3257,LifeList!$E$2:$G$2038,2)</f>
        <v>Bécassin roux</v>
      </c>
      <c r="F3257" s="3" t="str">
        <f>VLOOKUP(B3257,LifeList!$E$2:$G$2038,3)</f>
        <v>Limnodromus griseus</v>
      </c>
      <c r="G3257" s="3" t="str">
        <f>VLOOKUP(B3257,LifeList!$E$2:$I$2038,4)</f>
        <v>Charadriiformes</v>
      </c>
      <c r="H3257" s="3" t="str">
        <f>VLOOKUP(B3257,LifeList!$E$2:$I$2038,5)</f>
        <v>Scolopacidae (Sandpipers and Allies)</v>
      </c>
      <c r="I3257" s="3"/>
    </row>
    <row r="3258" spans="1:9" ht="10.5" customHeight="1">
      <c r="A3258" s="3" t="s">
        <v>4530</v>
      </c>
      <c r="B3258" s="3" t="s">
        <v>4525</v>
      </c>
      <c r="C3258" s="3">
        <f>VLOOKUP(B3258,LifeList!$E$2:$J$2038,6)</f>
        <v>6057</v>
      </c>
      <c r="D3258" s="3" t="str">
        <f>VLOOKUP(B3258,LifeList!$E$2:$G$2038,1)</f>
        <v>Short-billed Dowitcher</v>
      </c>
      <c r="E3258" s="3" t="str">
        <f>VLOOKUP(B3258,LifeList!$E$2:$G$2038,2)</f>
        <v>Bécassin roux</v>
      </c>
      <c r="F3258" s="3" t="str">
        <f>VLOOKUP(B3258,LifeList!$E$2:$G$2038,3)</f>
        <v>Limnodromus griseus</v>
      </c>
      <c r="G3258" s="3" t="str">
        <f>VLOOKUP(B3258,LifeList!$E$2:$I$2038,4)</f>
        <v>Charadriiformes</v>
      </c>
      <c r="H3258" s="3" t="str">
        <f>VLOOKUP(B3258,LifeList!$E$2:$I$2038,5)</f>
        <v>Scolopacidae (Sandpipers and Allies)</v>
      </c>
      <c r="I3258" s="3"/>
    </row>
    <row r="3259" spans="1:9" ht="10.5" customHeight="1">
      <c r="A3259" s="3" t="s">
        <v>4531</v>
      </c>
      <c r="B3259" s="3" t="s">
        <v>4525</v>
      </c>
      <c r="C3259" s="3">
        <f>VLOOKUP(B3259,LifeList!$E$2:$J$2038,6)</f>
        <v>6057</v>
      </c>
      <c r="D3259" s="3" t="str">
        <f>VLOOKUP(B3259,LifeList!$E$2:$G$2038,1)</f>
        <v>Short-billed Dowitcher</v>
      </c>
      <c r="E3259" s="3" t="str">
        <f>VLOOKUP(B3259,LifeList!$E$2:$G$2038,2)</f>
        <v>Bécassin roux</v>
      </c>
      <c r="F3259" s="3" t="str">
        <f>VLOOKUP(B3259,LifeList!$E$2:$G$2038,3)</f>
        <v>Limnodromus griseus</v>
      </c>
      <c r="G3259" s="3" t="str">
        <f>VLOOKUP(B3259,LifeList!$E$2:$I$2038,4)</f>
        <v>Charadriiformes</v>
      </c>
      <c r="H3259" s="3" t="str">
        <f>VLOOKUP(B3259,LifeList!$E$2:$I$2038,5)</f>
        <v>Scolopacidae (Sandpipers and Allies)</v>
      </c>
      <c r="I3259" s="3"/>
    </row>
    <row r="3260" spans="1:9" ht="10.5" customHeight="1">
      <c r="A3260" s="3" t="s">
        <v>4532</v>
      </c>
      <c r="B3260" s="3" t="s">
        <v>4525</v>
      </c>
      <c r="C3260" s="3">
        <f>VLOOKUP(B3260,LifeList!$E$2:$J$2038,6)</f>
        <v>6057</v>
      </c>
      <c r="D3260" s="3" t="str">
        <f>VLOOKUP(B3260,LifeList!$E$2:$G$2038,1)</f>
        <v>Short-billed Dowitcher</v>
      </c>
      <c r="E3260" s="3" t="str">
        <f>VLOOKUP(B3260,LifeList!$E$2:$G$2038,2)</f>
        <v>Bécassin roux</v>
      </c>
      <c r="F3260" s="3" t="str">
        <f>VLOOKUP(B3260,LifeList!$E$2:$G$2038,3)</f>
        <v>Limnodromus griseus</v>
      </c>
      <c r="G3260" s="3" t="str">
        <f>VLOOKUP(B3260,LifeList!$E$2:$I$2038,4)</f>
        <v>Charadriiformes</v>
      </c>
      <c r="H3260" s="3" t="str">
        <f>VLOOKUP(B3260,LifeList!$E$2:$I$2038,5)</f>
        <v>Scolopacidae (Sandpipers and Allies)</v>
      </c>
      <c r="I3260" s="3"/>
    </row>
    <row r="3261" spans="1:9" ht="10.5" customHeight="1">
      <c r="A3261" s="3" t="s">
        <v>4533</v>
      </c>
      <c r="B3261" s="3" t="s">
        <v>4534</v>
      </c>
      <c r="C3261" s="3">
        <f>VLOOKUP(B3261,LifeList!$E$2:$J$2038,6)</f>
        <v>1999</v>
      </c>
      <c r="D3261" s="3" t="str">
        <f>VLOOKUP(B3261,LifeList!$E$2:$G$2038,1)</f>
        <v>Short-billed Pigeon</v>
      </c>
      <c r="E3261" s="3" t="str">
        <f>VLOOKUP(B3261,LifeList!$E$2:$G$2038,2)</f>
        <v>Pigeon à bec noir</v>
      </c>
      <c r="F3261" s="3" t="str">
        <f>VLOOKUP(B3261,LifeList!$E$2:$G$2038,3)</f>
        <v>Patagioenas nigrirostris</v>
      </c>
      <c r="G3261" s="3" t="str">
        <f>VLOOKUP(B3261,LifeList!$E$2:$I$2038,4)</f>
        <v>Columbiformes</v>
      </c>
      <c r="H3261" s="3" t="str">
        <f>VLOOKUP(B3261,LifeList!$E$2:$I$2038,5)</f>
        <v>Columbidae (Pigeons and Doves)</v>
      </c>
      <c r="I3261" s="3"/>
    </row>
    <row r="3262" spans="1:9" ht="10.5" customHeight="1">
      <c r="A3262" s="3" t="s">
        <v>4535</v>
      </c>
      <c r="B3262" s="3" t="s">
        <v>4534</v>
      </c>
      <c r="C3262" s="3">
        <f>VLOOKUP(B3262,LifeList!$E$2:$J$2038,6)</f>
        <v>1999</v>
      </c>
      <c r="D3262" s="3" t="str">
        <f>VLOOKUP(B3262,LifeList!$E$2:$G$2038,1)</f>
        <v>Short-billed Pigeon</v>
      </c>
      <c r="E3262" s="3" t="str">
        <f>VLOOKUP(B3262,LifeList!$E$2:$G$2038,2)</f>
        <v>Pigeon à bec noir</v>
      </c>
      <c r="F3262" s="3" t="str">
        <f>VLOOKUP(B3262,LifeList!$E$2:$G$2038,3)</f>
        <v>Patagioenas nigrirostris</v>
      </c>
      <c r="G3262" s="3" t="str">
        <f>VLOOKUP(B3262,LifeList!$E$2:$I$2038,4)</f>
        <v>Columbiformes</v>
      </c>
      <c r="H3262" s="3" t="str">
        <f>VLOOKUP(B3262,LifeList!$E$2:$I$2038,5)</f>
        <v>Columbidae (Pigeons and Doves)</v>
      </c>
      <c r="I3262" s="3"/>
    </row>
    <row r="3263" spans="1:9" ht="10.5" customHeight="1">
      <c r="A3263" s="3" t="s">
        <v>4536</v>
      </c>
      <c r="B3263" s="3" t="s">
        <v>4537</v>
      </c>
      <c r="C3263" s="3">
        <f>VLOOKUP(B3263,LifeList!$E$2:$J$2038,6)</f>
        <v>9276</v>
      </c>
      <c r="D3263" s="3" t="str">
        <f>VLOOKUP(B3263,LifeList!$E$2:$G$2038,1)</f>
        <v>Short-eared Owl</v>
      </c>
      <c r="E3263" s="3" t="str">
        <f>VLOOKUP(B3263,LifeList!$E$2:$G$2038,2)</f>
        <v>Hibou des marais</v>
      </c>
      <c r="F3263" s="3" t="str">
        <f>VLOOKUP(B3263,LifeList!$E$2:$G$2038,3)</f>
        <v>Asio flammeus</v>
      </c>
      <c r="G3263" s="3" t="str">
        <f>VLOOKUP(B3263,LifeList!$E$2:$I$2038,4)</f>
        <v>Strigiformes</v>
      </c>
      <c r="H3263" s="3" t="str">
        <f>VLOOKUP(B3263,LifeList!$E$2:$I$2038,5)</f>
        <v>Strigidae (Owls)</v>
      </c>
      <c r="I3263" s="3"/>
    </row>
    <row r="3264" spans="1:9" ht="10.5" customHeight="1">
      <c r="A3264" s="3" t="s">
        <v>4538</v>
      </c>
      <c r="B3264" s="3" t="s">
        <v>4539</v>
      </c>
      <c r="C3264" s="3">
        <f>VLOOKUP(B3264,LifeList!$E$2:$J$2038,6)</f>
        <v>8501</v>
      </c>
      <c r="D3264" s="3" t="str">
        <f>VLOOKUP(B3264,LifeList!$E$2:$G$2038,1)</f>
        <v>Short-tailed Hawk</v>
      </c>
      <c r="E3264" s="3" t="str">
        <f>VLOOKUP(B3264,LifeList!$E$2:$G$2038,2)</f>
        <v>Buse à queue courte</v>
      </c>
      <c r="F3264" s="3" t="str">
        <f>VLOOKUP(B3264,LifeList!$E$2:$G$2038,3)</f>
        <v>Buteo brachyurus</v>
      </c>
      <c r="G3264" s="3" t="str">
        <f>VLOOKUP(B3264,LifeList!$E$2:$I$2038,4)</f>
        <v>Accipitriformes</v>
      </c>
      <c r="H3264" s="3" t="str">
        <f>VLOOKUP(B3264,LifeList!$E$2:$I$2038,5)</f>
        <v>Accipitridae (Hawks, Eagles, and Kites)</v>
      </c>
      <c r="I3264" s="3"/>
    </row>
    <row r="3265" spans="1:9" ht="10.5" customHeight="1">
      <c r="A3265" s="3" t="s">
        <v>4540</v>
      </c>
      <c r="B3265" s="3" t="s">
        <v>4539</v>
      </c>
      <c r="C3265" s="3">
        <f>VLOOKUP(B3265,LifeList!$E$2:$J$2038,6)</f>
        <v>8501</v>
      </c>
      <c r="D3265" s="3" t="str">
        <f>VLOOKUP(B3265,LifeList!$E$2:$G$2038,1)</f>
        <v>Short-tailed Hawk</v>
      </c>
      <c r="E3265" s="3" t="str">
        <f>VLOOKUP(B3265,LifeList!$E$2:$G$2038,2)</f>
        <v>Buse à queue courte</v>
      </c>
      <c r="F3265" s="3" t="str">
        <f>VLOOKUP(B3265,LifeList!$E$2:$G$2038,3)</f>
        <v>Buteo brachyurus</v>
      </c>
      <c r="G3265" s="3" t="str">
        <f>VLOOKUP(B3265,LifeList!$E$2:$I$2038,4)</f>
        <v>Accipitriformes</v>
      </c>
      <c r="H3265" s="3" t="str">
        <f>VLOOKUP(B3265,LifeList!$E$2:$I$2038,5)</f>
        <v>Accipitridae (Hawks, Eagles, and Kites)</v>
      </c>
      <c r="I3265" s="3"/>
    </row>
    <row r="3266" spans="1:9" ht="10.5" customHeight="1">
      <c r="A3266" s="3" t="s">
        <v>4541</v>
      </c>
      <c r="B3266" s="3" t="s">
        <v>4539</v>
      </c>
      <c r="C3266" s="3">
        <f>VLOOKUP(B3266,LifeList!$E$2:$J$2038,6)</f>
        <v>8501</v>
      </c>
      <c r="D3266" s="3" t="str">
        <f>VLOOKUP(B3266,LifeList!$E$2:$G$2038,1)</f>
        <v>Short-tailed Hawk</v>
      </c>
      <c r="E3266" s="3" t="str">
        <f>VLOOKUP(B3266,LifeList!$E$2:$G$2038,2)</f>
        <v>Buse à queue courte</v>
      </c>
      <c r="F3266" s="3" t="str">
        <f>VLOOKUP(B3266,LifeList!$E$2:$G$2038,3)</f>
        <v>Buteo brachyurus</v>
      </c>
      <c r="G3266" s="3" t="str">
        <f>VLOOKUP(B3266,LifeList!$E$2:$I$2038,4)</f>
        <v>Accipitriformes</v>
      </c>
      <c r="H3266" s="3" t="str">
        <f>VLOOKUP(B3266,LifeList!$E$2:$I$2038,5)</f>
        <v>Accipitridae (Hawks, Eagles, and Kites)</v>
      </c>
      <c r="I3266" s="3"/>
    </row>
    <row r="3267" spans="1:9" ht="10.5" customHeight="1">
      <c r="A3267" s="3" t="s">
        <v>4542</v>
      </c>
      <c r="B3267" s="3" t="s">
        <v>4543</v>
      </c>
      <c r="C3267" s="3">
        <f>VLOOKUP(B3267,LifeList!$E$2:$J$2038,6)</f>
        <v>29640</v>
      </c>
      <c r="D3267" s="3" t="str">
        <f>VLOOKUP(B3267,LifeList!$E$2:$G$2038,1)</f>
        <v>Short-toed Rock-Thrush</v>
      </c>
      <c r="E3267" s="3" t="str">
        <f>VLOOKUP(B3267,LifeList!$E$2:$G$2038,2)</f>
        <v>Monticole à doigts courts</v>
      </c>
      <c r="F3267" s="3" t="str">
        <f>VLOOKUP(B3267,LifeList!$E$2:$G$2038,3)</f>
        <v>Monticola brevipes</v>
      </c>
      <c r="G3267" s="3" t="str">
        <f>VLOOKUP(B3267,LifeList!$E$2:$I$2038,4)</f>
        <v>Passeriformes</v>
      </c>
      <c r="H3267" s="3" t="str">
        <f>VLOOKUP(B3267,LifeList!$E$2:$I$2038,5)</f>
        <v>Muscicapidae (Old World Flycatchers)</v>
      </c>
      <c r="I3267" s="3"/>
    </row>
    <row r="3268" spans="1:9" ht="10.5" customHeight="1">
      <c r="A3268" s="5" t="s">
        <v>4544</v>
      </c>
      <c r="B3268" s="3" t="s">
        <v>4545</v>
      </c>
      <c r="C3268" s="3">
        <f>VLOOKUP(B3268,LifeList!$E$2:$J$2038,6)</f>
        <v>20000</v>
      </c>
      <c r="D3268" s="3" t="str">
        <f>VLOOKUP(B3268,LifeList!$E$2:$G$2038,1)</f>
        <v>Sickle-billed Vanga</v>
      </c>
      <c r="E3268" s="3" t="str">
        <f>VLOOKUP(B3268,LifeList!$E$2:$G$2038,2)</f>
        <v>Falculie mantelée</v>
      </c>
      <c r="F3268" s="3" t="str">
        <f>VLOOKUP(B3268,LifeList!$E$2:$G$2038,3)</f>
        <v>Falculea palliata</v>
      </c>
      <c r="G3268" s="3" t="str">
        <f>VLOOKUP(B3268,LifeList!$E$2:$I$2038,4)</f>
        <v>Passeriformes</v>
      </c>
      <c r="H3268" s="3" t="str">
        <f>VLOOKUP(B3268,LifeList!$E$2:$I$2038,5)</f>
        <v>Vangidae (Vangas, Helmetshrikes, and Allies)</v>
      </c>
      <c r="I3268" s="3"/>
    </row>
    <row r="3269" spans="1:9" ht="10.5" customHeight="1">
      <c r="A3269" s="3" t="s">
        <v>4546</v>
      </c>
      <c r="B3269" s="3" t="s">
        <v>4547</v>
      </c>
      <c r="C3269" s="3">
        <f>VLOOKUP(B3269,LifeList!$E$2:$J$2038,6)</f>
        <v>20000</v>
      </c>
      <c r="D3269" s="3" t="str">
        <f>VLOOKUP(B3269,LifeList!$E$2:$G$2038,1)</f>
        <v>Sickle-billed Vanga</v>
      </c>
      <c r="E3269" s="3" t="str">
        <f>VLOOKUP(B3269,LifeList!$E$2:$G$2038,2)</f>
        <v>Falculie mantelée</v>
      </c>
      <c r="F3269" s="3" t="str">
        <f>VLOOKUP(B3269,LifeList!$E$2:$G$2038,3)</f>
        <v>Falculea palliata</v>
      </c>
      <c r="G3269" s="3" t="str">
        <f>VLOOKUP(B3269,LifeList!$E$2:$I$2038,4)</f>
        <v>Passeriformes</v>
      </c>
      <c r="H3269" s="3" t="str">
        <f>VLOOKUP(B3269,LifeList!$E$2:$I$2038,5)</f>
        <v>Vangidae (Vangas, Helmetshrikes, and Allies)</v>
      </c>
      <c r="I3269" s="3"/>
    </row>
    <row r="3270" spans="1:9" ht="10.5" customHeight="1">
      <c r="A3270" s="3" t="s">
        <v>4548</v>
      </c>
      <c r="B3270" s="3" t="s">
        <v>4547</v>
      </c>
      <c r="C3270" s="3">
        <f>VLOOKUP(B3270,LifeList!$E$2:$J$2038,6)</f>
        <v>20000</v>
      </c>
      <c r="D3270" s="3" t="str">
        <f>VLOOKUP(B3270,LifeList!$E$2:$G$2038,1)</f>
        <v>Sickle-billed Vanga</v>
      </c>
      <c r="E3270" s="3" t="str">
        <f>VLOOKUP(B3270,LifeList!$E$2:$G$2038,2)</f>
        <v>Falculie mantelée</v>
      </c>
      <c r="F3270" s="3" t="str">
        <f>VLOOKUP(B3270,LifeList!$E$2:$G$2038,3)</f>
        <v>Falculea palliata</v>
      </c>
      <c r="G3270" s="3" t="str">
        <f>VLOOKUP(B3270,LifeList!$E$2:$I$2038,4)</f>
        <v>Passeriformes</v>
      </c>
      <c r="H3270" s="3" t="str">
        <f>VLOOKUP(B3270,LifeList!$E$2:$I$2038,5)</f>
        <v>Vangidae (Vangas, Helmetshrikes, and Allies)</v>
      </c>
      <c r="I3270" s="3"/>
    </row>
    <row r="3271" spans="1:9" ht="10.5" customHeight="1">
      <c r="A3271" s="3" t="s">
        <v>4549</v>
      </c>
      <c r="B3271" s="3" t="s">
        <v>4547</v>
      </c>
      <c r="C3271" s="3">
        <f>VLOOKUP(B3271,LifeList!$E$2:$J$2038,6)</f>
        <v>20000</v>
      </c>
      <c r="D3271" s="3" t="str">
        <f>VLOOKUP(B3271,LifeList!$E$2:$G$2038,1)</f>
        <v>Sickle-billed Vanga</v>
      </c>
      <c r="E3271" s="3" t="str">
        <f>VLOOKUP(B3271,LifeList!$E$2:$G$2038,2)</f>
        <v>Falculie mantelée</v>
      </c>
      <c r="F3271" s="3" t="str">
        <f>VLOOKUP(B3271,LifeList!$E$2:$G$2038,3)</f>
        <v>Falculea palliata</v>
      </c>
      <c r="G3271" s="3" t="str">
        <f>VLOOKUP(B3271,LifeList!$E$2:$I$2038,4)</f>
        <v>Passeriformes</v>
      </c>
      <c r="H3271" s="3" t="str">
        <f>VLOOKUP(B3271,LifeList!$E$2:$I$2038,5)</f>
        <v>Vangidae (Vangas, Helmetshrikes, and Allies)</v>
      </c>
      <c r="I3271" s="3"/>
    </row>
    <row r="3272" spans="1:9" ht="10.5" customHeight="1">
      <c r="A3272" s="3" t="s">
        <v>4550</v>
      </c>
      <c r="B3272" s="3" t="s">
        <v>4547</v>
      </c>
      <c r="C3272" s="3">
        <f>VLOOKUP(B3272,LifeList!$E$2:$J$2038,6)</f>
        <v>20000</v>
      </c>
      <c r="D3272" s="3" t="str">
        <f>VLOOKUP(B3272,LifeList!$E$2:$G$2038,1)</f>
        <v>Sickle-billed Vanga</v>
      </c>
      <c r="E3272" s="3" t="str">
        <f>VLOOKUP(B3272,LifeList!$E$2:$G$2038,2)</f>
        <v>Falculie mantelée</v>
      </c>
      <c r="F3272" s="3" t="str">
        <f>VLOOKUP(B3272,LifeList!$E$2:$G$2038,3)</f>
        <v>Falculea palliata</v>
      </c>
      <c r="G3272" s="3" t="str">
        <f>VLOOKUP(B3272,LifeList!$E$2:$I$2038,4)</f>
        <v>Passeriformes</v>
      </c>
      <c r="H3272" s="3" t="str">
        <f>VLOOKUP(B3272,LifeList!$E$2:$I$2038,5)</f>
        <v>Vangidae (Vangas, Helmetshrikes, and Allies)</v>
      </c>
      <c r="I3272" s="3"/>
    </row>
    <row r="3273" spans="1:9" ht="10.5" customHeight="1">
      <c r="A3273" s="3" t="s">
        <v>4551</v>
      </c>
      <c r="B3273" s="3" t="s">
        <v>4552</v>
      </c>
      <c r="C3273" s="3">
        <f>VLOOKUP(B3273,LifeList!$E$2:$J$2038,6)</f>
        <v>855</v>
      </c>
      <c r="D3273" s="3" t="str">
        <f>VLOOKUP(B3273,LifeList!$E$2:$G$2038,1)</f>
        <v>Sickle-winged Guan</v>
      </c>
      <c r="E3273" s="3" t="str">
        <f>VLOOKUP(B3273,LifeList!$E$2:$G$2038,2)</f>
        <v>Pénélope de Goudot</v>
      </c>
      <c r="F3273" s="3" t="str">
        <f>VLOOKUP(B3273,LifeList!$E$2:$G$2038,3)</f>
        <v>Chamaepetes goudotii</v>
      </c>
      <c r="G3273" s="3" t="str">
        <f>VLOOKUP(B3273,LifeList!$E$2:$I$2038,4)</f>
        <v>Galliformes</v>
      </c>
      <c r="H3273" s="3" t="str">
        <f>VLOOKUP(B3273,LifeList!$E$2:$I$2038,5)</f>
        <v>Cracidae (Guans, Chachalacas, and Curassows)</v>
      </c>
      <c r="I3273" s="3"/>
    </row>
    <row r="3274" spans="1:9" ht="10.5" customHeight="1">
      <c r="A3274" s="3" t="s">
        <v>4553</v>
      </c>
      <c r="B3274" s="3" t="s">
        <v>4552</v>
      </c>
      <c r="C3274" s="3">
        <f>VLOOKUP(B3274,LifeList!$E$2:$J$2038,6)</f>
        <v>855</v>
      </c>
      <c r="D3274" s="3" t="str">
        <f>VLOOKUP(B3274,LifeList!$E$2:$G$2038,1)</f>
        <v>Sickle-winged Guan</v>
      </c>
      <c r="E3274" s="3" t="str">
        <f>VLOOKUP(B3274,LifeList!$E$2:$G$2038,2)</f>
        <v>Pénélope de Goudot</v>
      </c>
      <c r="F3274" s="3" t="str">
        <f>VLOOKUP(B3274,LifeList!$E$2:$G$2038,3)</f>
        <v>Chamaepetes goudotii</v>
      </c>
      <c r="G3274" s="3" t="str">
        <f>VLOOKUP(B3274,LifeList!$E$2:$I$2038,4)</f>
        <v>Galliformes</v>
      </c>
      <c r="H3274" s="3" t="str">
        <f>VLOOKUP(B3274,LifeList!$E$2:$I$2038,5)</f>
        <v>Cracidae (Guans, Chachalacas, and Curassows)</v>
      </c>
      <c r="I3274" s="3"/>
    </row>
    <row r="3275" spans="1:9" ht="10.5" customHeight="1">
      <c r="A3275" s="3" t="s">
        <v>4554</v>
      </c>
      <c r="B3275" s="3" t="s">
        <v>4555</v>
      </c>
      <c r="C3275" s="3">
        <f>VLOOKUP(B3275,LifeList!$E$2:$J$2038,6)</f>
        <v>33034</v>
      </c>
      <c r="D3275" s="3" t="str">
        <f>VLOOKUP(B3275,LifeList!$E$2:$G$2038,1)</f>
        <v>Sierra Nevada Brushfinch</v>
      </c>
      <c r="E3275" s="3" t="str">
        <f>VLOOKUP(B3275,LifeList!$E$2:$G$2038,2)</f>
        <v>Tohi de Bangs</v>
      </c>
      <c r="F3275" s="3" t="str">
        <f>VLOOKUP(B3275,LifeList!$E$2:$G$2038,3)</f>
        <v>Arremon basilicus</v>
      </c>
      <c r="G3275" s="3" t="str">
        <f>VLOOKUP(B3275,LifeList!$E$2:$I$2038,4)</f>
        <v>Passeriformes</v>
      </c>
      <c r="H3275" s="3" t="str">
        <f>VLOOKUP(B3275,LifeList!$E$2:$I$2038,5)</f>
        <v>Passerellidae (New World Sparrows)</v>
      </c>
      <c r="I3275" s="3"/>
    </row>
    <row r="3276" spans="1:9" ht="10.5" customHeight="1">
      <c r="A3276" s="3" t="s">
        <v>4556</v>
      </c>
      <c r="B3276" s="3" t="s">
        <v>4555</v>
      </c>
      <c r="C3276" s="3">
        <f>VLOOKUP(B3276,LifeList!$E$2:$J$2038,6)</f>
        <v>33034</v>
      </c>
      <c r="D3276" s="3" t="str">
        <f>VLOOKUP(B3276,LifeList!$E$2:$G$2038,1)</f>
        <v>Sierra Nevada Brushfinch</v>
      </c>
      <c r="E3276" s="3" t="str">
        <f>VLOOKUP(B3276,LifeList!$E$2:$G$2038,2)</f>
        <v>Tohi de Bangs</v>
      </c>
      <c r="F3276" s="3" t="str">
        <f>VLOOKUP(B3276,LifeList!$E$2:$G$2038,3)</f>
        <v>Arremon basilicus</v>
      </c>
      <c r="G3276" s="3" t="str">
        <f>VLOOKUP(B3276,LifeList!$E$2:$I$2038,4)</f>
        <v>Passeriformes</v>
      </c>
      <c r="H3276" s="3" t="str">
        <f>VLOOKUP(B3276,LifeList!$E$2:$I$2038,5)</f>
        <v>Passerellidae (New World Sparrows)</v>
      </c>
      <c r="I3276" s="3"/>
    </row>
    <row r="3277" spans="1:9" ht="10.5" customHeight="1">
      <c r="A3277" s="3" t="s">
        <v>4557</v>
      </c>
      <c r="B3277" s="3" t="s">
        <v>4558</v>
      </c>
      <c r="C3277" s="3">
        <f>VLOOKUP(B3277,LifeList!$E$2:$J$2038,6)</f>
        <v>6463</v>
      </c>
      <c r="D3277" s="3" t="str">
        <f>VLOOKUP(B3277,LifeList!$E$2:$G$2038,1)</f>
        <v>Silver Gull</v>
      </c>
      <c r="E3277" s="3" t="str">
        <f>VLOOKUP(B3277,LifeList!$E$2:$G$2038,2)</f>
        <v>Mouette argentée</v>
      </c>
      <c r="F3277" s="3" t="str">
        <f>VLOOKUP(B3277,LifeList!$E$2:$G$2038,3)</f>
        <v>Chroicocephalus novaehollandiae</v>
      </c>
      <c r="G3277" s="3" t="str">
        <f>VLOOKUP(B3277,LifeList!$E$2:$I$2038,4)</f>
        <v>Charadriiformes</v>
      </c>
      <c r="H3277" s="3" t="str">
        <f>VLOOKUP(B3277,LifeList!$E$2:$I$2038,5)</f>
        <v>Laridae (Gulls, Terns, and Skimmers)</v>
      </c>
      <c r="I3277" s="3"/>
    </row>
    <row r="3278" spans="1:9" ht="10.5" customHeight="1">
      <c r="A3278" s="3" t="s">
        <v>4559</v>
      </c>
      <c r="B3278" s="3" t="s">
        <v>4558</v>
      </c>
      <c r="C3278" s="3">
        <f>VLOOKUP(B3278,LifeList!$E$2:$J$2038,6)</f>
        <v>6463</v>
      </c>
      <c r="D3278" s="3" t="str">
        <f>VLOOKUP(B3278,LifeList!$E$2:$G$2038,1)</f>
        <v>Silver Gull</v>
      </c>
      <c r="E3278" s="3" t="str">
        <f>VLOOKUP(B3278,LifeList!$E$2:$G$2038,2)</f>
        <v>Mouette argentée</v>
      </c>
      <c r="F3278" s="3" t="str">
        <f>VLOOKUP(B3278,LifeList!$E$2:$G$2038,3)</f>
        <v>Chroicocephalus novaehollandiae</v>
      </c>
      <c r="G3278" s="3" t="str">
        <f>VLOOKUP(B3278,LifeList!$E$2:$I$2038,4)</f>
        <v>Charadriiformes</v>
      </c>
      <c r="H3278" s="3" t="str">
        <f>VLOOKUP(B3278,LifeList!$E$2:$I$2038,5)</f>
        <v>Laridae (Gulls, Terns, and Skimmers)</v>
      </c>
      <c r="I3278" s="3"/>
    </row>
    <row r="3279" spans="1:9" ht="10.5" customHeight="1">
      <c r="A3279" s="3" t="s">
        <v>4560</v>
      </c>
      <c r="B3279" s="3" t="s">
        <v>4558</v>
      </c>
      <c r="C3279" s="3">
        <f>VLOOKUP(B3279,LifeList!$E$2:$J$2038,6)</f>
        <v>6463</v>
      </c>
      <c r="D3279" s="3" t="str">
        <f>VLOOKUP(B3279,LifeList!$E$2:$G$2038,1)</f>
        <v>Silver Gull</v>
      </c>
      <c r="E3279" s="3" t="str">
        <f>VLOOKUP(B3279,LifeList!$E$2:$G$2038,2)</f>
        <v>Mouette argentée</v>
      </c>
      <c r="F3279" s="3" t="str">
        <f>VLOOKUP(B3279,LifeList!$E$2:$G$2038,3)</f>
        <v>Chroicocephalus novaehollandiae</v>
      </c>
      <c r="G3279" s="3" t="str">
        <f>VLOOKUP(B3279,LifeList!$E$2:$I$2038,4)</f>
        <v>Charadriiformes</v>
      </c>
      <c r="H3279" s="3" t="str">
        <f>VLOOKUP(B3279,LifeList!$E$2:$I$2038,5)</f>
        <v>Laridae (Gulls, Terns, and Skimmers)</v>
      </c>
      <c r="I3279" s="3"/>
    </row>
    <row r="3280" spans="1:9" ht="10.5" customHeight="1">
      <c r="A3280" s="7" t="s">
        <v>4561</v>
      </c>
      <c r="B3280" s="9" t="s">
        <v>4562</v>
      </c>
      <c r="C3280" s="6">
        <f>VLOOKUP(B3280,LifeList!$E$2:$J$2038,6)</f>
        <v>6463</v>
      </c>
      <c r="D3280" s="3" t="str">
        <f>VLOOKUP(B3280,LifeList!$E$2:$G$2038,1)</f>
        <v>Silver Gull</v>
      </c>
      <c r="E3280" s="3" t="str">
        <f>VLOOKUP(B3280,LifeList!$E$2:$G$2038,2)</f>
        <v>Mouette argentée</v>
      </c>
      <c r="F3280" s="3" t="str">
        <f>VLOOKUP(B3280,LifeList!$E$2:$G$2038,3)</f>
        <v>Chroicocephalus novaehollandiae</v>
      </c>
      <c r="G3280" s="3" t="str">
        <f>VLOOKUP(B3280,LifeList!$E$2:$I$2038,4)</f>
        <v>Charadriiformes</v>
      </c>
      <c r="H3280" s="3" t="str">
        <f>VLOOKUP(B3280,LifeList!$E$2:$I$2038,5)</f>
        <v>Laridae (Gulls, Terns, and Skimmers)</v>
      </c>
      <c r="I3280" s="3"/>
    </row>
    <row r="3281" spans="1:9" ht="10.5" customHeight="1">
      <c r="A3281" s="7" t="s">
        <v>4563</v>
      </c>
      <c r="B3281" s="9" t="s">
        <v>4562</v>
      </c>
      <c r="C3281" s="6">
        <f>VLOOKUP(B3281,LifeList!$E$2:$J$2038,6)</f>
        <v>6463</v>
      </c>
      <c r="D3281" s="3" t="str">
        <f>VLOOKUP(B3281,LifeList!$E$2:$G$2038,1)</f>
        <v>Silver Gull</v>
      </c>
      <c r="E3281" s="3" t="str">
        <f>VLOOKUP(B3281,LifeList!$E$2:$G$2038,2)</f>
        <v>Mouette argentée</v>
      </c>
      <c r="F3281" s="3" t="str">
        <f>VLOOKUP(B3281,LifeList!$E$2:$G$2038,3)</f>
        <v>Chroicocephalus novaehollandiae</v>
      </c>
      <c r="G3281" s="3" t="str">
        <f>VLOOKUP(B3281,LifeList!$E$2:$I$2038,4)</f>
        <v>Charadriiformes</v>
      </c>
      <c r="H3281" s="3" t="str">
        <f>VLOOKUP(B3281,LifeList!$E$2:$I$2038,5)</f>
        <v>Laridae (Gulls, Terns, and Skimmers)</v>
      </c>
      <c r="I3281" s="3"/>
    </row>
    <row r="3282" spans="1:9" ht="10.5" customHeight="1">
      <c r="A3282" s="3" t="s">
        <v>4564</v>
      </c>
      <c r="B3282" s="3" t="s">
        <v>4565</v>
      </c>
      <c r="C3282" s="3">
        <f>VLOOKUP(B3282,LifeList!$E$2:$J$2038,6)</f>
        <v>34810</v>
      </c>
      <c r="D3282" s="3" t="str">
        <f>VLOOKUP(B3282,LifeList!$E$2:$G$2038,1)</f>
        <v>Silver-beaked Tanager</v>
      </c>
      <c r="E3282" s="3" t="str">
        <f>VLOOKUP(B3282,LifeList!$E$2:$G$2038,2)</f>
        <v>Tangara à bec d'argent</v>
      </c>
      <c r="F3282" s="3" t="str">
        <f>VLOOKUP(B3282,LifeList!$E$2:$G$2038,3)</f>
        <v>Ramphocelus carbo</v>
      </c>
      <c r="G3282" s="3" t="str">
        <f>VLOOKUP(B3282,LifeList!$E$2:$I$2038,4)</f>
        <v>Passeriformes</v>
      </c>
      <c r="H3282" s="3" t="str">
        <f>VLOOKUP(B3282,LifeList!$E$2:$I$2038,5)</f>
        <v>Thraupidae (Tanagers and Allies)</v>
      </c>
      <c r="I3282" s="3"/>
    </row>
    <row r="3283" spans="1:9" ht="10.5" customHeight="1">
      <c r="A3283" s="3" t="s">
        <v>4566</v>
      </c>
      <c r="B3283" s="3" t="s">
        <v>4567</v>
      </c>
      <c r="C3283" s="3">
        <f>VLOOKUP(B3283,LifeList!$E$2:$J$2038,6)</f>
        <v>35130</v>
      </c>
      <c r="D3283" s="3" t="str">
        <f>VLOOKUP(B3283,LifeList!$E$2:$G$2038,1)</f>
        <v>Silver-throated Tanager</v>
      </c>
      <c r="E3283" s="3" t="str">
        <f>VLOOKUP(B3283,LifeList!$E$2:$G$2038,2)</f>
        <v>Calliste safran</v>
      </c>
      <c r="F3283" s="3" t="str">
        <f>VLOOKUP(B3283,LifeList!$E$2:$G$2038,3)</f>
        <v>Tangara icterocephala</v>
      </c>
      <c r="G3283" s="3" t="str">
        <f>VLOOKUP(B3283,LifeList!$E$2:$I$2038,4)</f>
        <v>Passeriformes</v>
      </c>
      <c r="H3283" s="3" t="str">
        <f>VLOOKUP(B3283,LifeList!$E$2:$I$2038,5)</f>
        <v>Thraupidae (Tanagers and Allies)</v>
      </c>
      <c r="I3283" s="3"/>
    </row>
    <row r="3284" spans="1:9" ht="10.5" customHeight="1">
      <c r="A3284" s="3" t="s">
        <v>4568</v>
      </c>
      <c r="B3284" s="3" t="s">
        <v>4567</v>
      </c>
      <c r="C3284" s="3">
        <f>VLOOKUP(B3284,LifeList!$E$2:$J$2038,6)</f>
        <v>35130</v>
      </c>
      <c r="D3284" s="3" t="str">
        <f>VLOOKUP(B3284,LifeList!$E$2:$G$2038,1)</f>
        <v>Silver-throated Tanager</v>
      </c>
      <c r="E3284" s="3" t="str">
        <f>VLOOKUP(B3284,LifeList!$E$2:$G$2038,2)</f>
        <v>Calliste safran</v>
      </c>
      <c r="F3284" s="3" t="str">
        <f>VLOOKUP(B3284,LifeList!$E$2:$G$2038,3)</f>
        <v>Tangara icterocephala</v>
      </c>
      <c r="G3284" s="3" t="str">
        <f>VLOOKUP(B3284,LifeList!$E$2:$I$2038,4)</f>
        <v>Passeriformes</v>
      </c>
      <c r="H3284" s="3" t="str">
        <f>VLOOKUP(B3284,LifeList!$E$2:$I$2038,5)</f>
        <v>Thraupidae (Tanagers and Allies)</v>
      </c>
      <c r="I3284" s="3"/>
    </row>
    <row r="3285" spans="1:9" ht="10.5" customHeight="1">
      <c r="A3285" s="3" t="s">
        <v>4569</v>
      </c>
      <c r="B3285" s="3" t="s">
        <v>4567</v>
      </c>
      <c r="C3285" s="3">
        <f>VLOOKUP(B3285,LifeList!$E$2:$J$2038,6)</f>
        <v>35130</v>
      </c>
      <c r="D3285" s="3" t="str">
        <f>VLOOKUP(B3285,LifeList!$E$2:$G$2038,1)</f>
        <v>Silver-throated Tanager</v>
      </c>
      <c r="E3285" s="3" t="str">
        <f>VLOOKUP(B3285,LifeList!$E$2:$G$2038,2)</f>
        <v>Calliste safran</v>
      </c>
      <c r="F3285" s="3" t="str">
        <f>VLOOKUP(B3285,LifeList!$E$2:$G$2038,3)</f>
        <v>Tangara icterocephala</v>
      </c>
      <c r="G3285" s="3" t="str">
        <f>VLOOKUP(B3285,LifeList!$E$2:$I$2038,4)</f>
        <v>Passeriformes</v>
      </c>
      <c r="H3285" s="3" t="str">
        <f>VLOOKUP(B3285,LifeList!$E$2:$I$2038,5)</f>
        <v>Thraupidae (Tanagers and Allies)</v>
      </c>
      <c r="I3285" s="3"/>
    </row>
    <row r="3286" spans="1:9" ht="10.5" customHeight="1">
      <c r="A3286" s="3" t="s">
        <v>4570</v>
      </c>
      <c r="B3286" s="3" t="s">
        <v>4571</v>
      </c>
      <c r="C3286" s="3">
        <f>VLOOKUP(B3286,LifeList!$E$2:$J$2038,6)</f>
        <v>25769</v>
      </c>
      <c r="D3286" s="3" t="str">
        <f>VLOOKUP(B3286,LifeList!$E$2:$G$2038,1)</f>
        <v>Silvereye</v>
      </c>
      <c r="E3286" s="3" t="str">
        <f>VLOOKUP(B3286,LifeList!$E$2:$G$2038,2)</f>
        <v>Zostérops à dos gris</v>
      </c>
      <c r="F3286" s="3" t="str">
        <f>VLOOKUP(B3286,LifeList!$E$2:$G$2038,3)</f>
        <v>Zosterops lateralis</v>
      </c>
      <c r="G3286" s="3" t="str">
        <f>VLOOKUP(B3286,LifeList!$E$2:$I$2038,4)</f>
        <v>Passeriformes</v>
      </c>
      <c r="H3286" s="3" t="str">
        <f>VLOOKUP(B3286,LifeList!$E$2:$I$2038,5)</f>
        <v>Zosteropidae (White-eyes, Yuhinas, and Allies)</v>
      </c>
      <c r="I3286" s="3"/>
    </row>
    <row r="3287" spans="1:9" ht="10.5" customHeight="1">
      <c r="A3287" s="3" t="s">
        <v>4572</v>
      </c>
      <c r="B3287" s="3" t="s">
        <v>4571</v>
      </c>
      <c r="C3287" s="3">
        <f>VLOOKUP(B3287,LifeList!$E$2:$J$2038,6)</f>
        <v>25769</v>
      </c>
      <c r="D3287" s="3" t="str">
        <f>VLOOKUP(B3287,LifeList!$E$2:$G$2038,1)</f>
        <v>Silvereye</v>
      </c>
      <c r="E3287" s="3" t="str">
        <f>VLOOKUP(B3287,LifeList!$E$2:$G$2038,2)</f>
        <v>Zostérops à dos gris</v>
      </c>
      <c r="F3287" s="3" t="str">
        <f>VLOOKUP(B3287,LifeList!$E$2:$G$2038,3)</f>
        <v>Zosterops lateralis</v>
      </c>
      <c r="G3287" s="3" t="str">
        <f>VLOOKUP(B3287,LifeList!$E$2:$I$2038,4)</f>
        <v>Passeriformes</v>
      </c>
      <c r="H3287" s="3" t="str">
        <f>VLOOKUP(B3287,LifeList!$E$2:$I$2038,5)</f>
        <v>Zosteropidae (White-eyes, Yuhinas, and Allies)</v>
      </c>
      <c r="I3287" s="3"/>
    </row>
    <row r="3288" spans="1:9" ht="10.5" customHeight="1">
      <c r="A3288" s="3" t="s">
        <v>4573</v>
      </c>
      <c r="B3288" s="3" t="s">
        <v>4571</v>
      </c>
      <c r="C3288" s="3">
        <f>VLOOKUP(B3288,LifeList!$E$2:$J$2038,6)</f>
        <v>25769</v>
      </c>
      <c r="D3288" s="3" t="str">
        <f>VLOOKUP(B3288,LifeList!$E$2:$G$2038,1)</f>
        <v>Silvereye</v>
      </c>
      <c r="E3288" s="3" t="str">
        <f>VLOOKUP(B3288,LifeList!$E$2:$G$2038,2)</f>
        <v>Zostérops à dos gris</v>
      </c>
      <c r="F3288" s="3" t="str">
        <f>VLOOKUP(B3288,LifeList!$E$2:$G$2038,3)</f>
        <v>Zosterops lateralis</v>
      </c>
      <c r="G3288" s="3" t="str">
        <f>VLOOKUP(B3288,LifeList!$E$2:$I$2038,4)</f>
        <v>Passeriformes</v>
      </c>
      <c r="H3288" s="3" t="str">
        <f>VLOOKUP(B3288,LifeList!$E$2:$I$2038,5)</f>
        <v>Zosteropidae (White-eyes, Yuhinas, and Allies)</v>
      </c>
      <c r="I3288" s="3"/>
    </row>
    <row r="3289" spans="1:9" ht="10.5" customHeight="1">
      <c r="A3289" s="3" t="s">
        <v>4574</v>
      </c>
      <c r="B3289" s="3" t="s">
        <v>4575</v>
      </c>
      <c r="C3289" s="3">
        <f>VLOOKUP(B3289,LifeList!$E$2:$J$2038,6)</f>
        <v>6882</v>
      </c>
      <c r="D3289" s="3" t="str">
        <f>VLOOKUP(B3289,LifeList!$E$2:$G$2038,1)</f>
        <v>Silvery Grebe</v>
      </c>
      <c r="E3289" s="3" t="str">
        <f>VLOOKUP(B3289,LifeList!$E$2:$G$2038,2)</f>
        <v>Grèbe aux belles joues</v>
      </c>
      <c r="F3289" s="3" t="str">
        <f>VLOOKUP(B3289,LifeList!$E$2:$G$2038,3)</f>
        <v>Podiceps occipitalis</v>
      </c>
      <c r="G3289" s="3" t="str">
        <f>VLOOKUP(B3289,LifeList!$E$2:$I$2038,4)</f>
        <v>Podicipediformes</v>
      </c>
      <c r="H3289" s="3" t="str">
        <f>VLOOKUP(B3289,LifeList!$E$2:$I$2038,5)</f>
        <v>Podicipedidae (Grebes)</v>
      </c>
      <c r="I3289" s="3"/>
    </row>
    <row r="3290" spans="1:9" ht="10.5" customHeight="1">
      <c r="A3290" s="3" t="s">
        <v>4576</v>
      </c>
      <c r="B3290" s="3" t="s">
        <v>4575</v>
      </c>
      <c r="C3290" s="3">
        <f>VLOOKUP(B3290,LifeList!$E$2:$J$2038,6)</f>
        <v>6882</v>
      </c>
      <c r="D3290" s="3" t="str">
        <f>VLOOKUP(B3290,LifeList!$E$2:$G$2038,1)</f>
        <v>Silvery Grebe</v>
      </c>
      <c r="E3290" s="3" t="str">
        <f>VLOOKUP(B3290,LifeList!$E$2:$G$2038,2)</f>
        <v>Grèbe aux belles joues</v>
      </c>
      <c r="F3290" s="3" t="str">
        <f>VLOOKUP(B3290,LifeList!$E$2:$G$2038,3)</f>
        <v>Podiceps occipitalis</v>
      </c>
      <c r="G3290" s="3" t="str">
        <f>VLOOKUP(B3290,LifeList!$E$2:$I$2038,4)</f>
        <v>Podicipediformes</v>
      </c>
      <c r="H3290" s="3" t="str">
        <f>VLOOKUP(B3290,LifeList!$E$2:$I$2038,5)</f>
        <v>Podicipedidae (Grebes)</v>
      </c>
      <c r="I3290" s="3"/>
    </row>
    <row r="3291" spans="1:9" ht="10.5" customHeight="1">
      <c r="A3291" s="7" t="s">
        <v>4577</v>
      </c>
      <c r="B3291" s="9" t="s">
        <v>4578</v>
      </c>
      <c r="C3291" s="6">
        <f>VLOOKUP(B3291,LifeList!$E$2:$J$2038,6)</f>
        <v>6882</v>
      </c>
      <c r="D3291" s="3" t="str">
        <f>VLOOKUP(B3291,LifeList!$E$2:$G$2038,1)</f>
        <v>Silvery Grebe</v>
      </c>
      <c r="E3291" s="3" t="str">
        <f>VLOOKUP(B3291,LifeList!$E$2:$G$2038,2)</f>
        <v>Grèbe aux belles joues</v>
      </c>
      <c r="F3291" s="3" t="str">
        <f>VLOOKUP(B3291,LifeList!$E$2:$G$2038,3)</f>
        <v>Podiceps occipitalis</v>
      </c>
      <c r="G3291" s="3" t="str">
        <f>VLOOKUP(B3291,LifeList!$E$2:$I$2038,4)</f>
        <v>Podicipediformes</v>
      </c>
      <c r="H3291" s="3" t="str">
        <f>VLOOKUP(B3291,LifeList!$E$2:$I$2038,5)</f>
        <v>Podicipedidae (Grebes)</v>
      </c>
      <c r="I3291" s="3"/>
    </row>
    <row r="3292" spans="1:9" ht="10.5" customHeight="1">
      <c r="A3292" s="7" t="s">
        <v>4579</v>
      </c>
      <c r="B3292" s="9" t="s">
        <v>4578</v>
      </c>
      <c r="C3292" s="6">
        <f>VLOOKUP(B3292,LifeList!$E$2:$J$2038,6)</f>
        <v>6882</v>
      </c>
      <c r="D3292" s="3" t="str">
        <f>VLOOKUP(B3292,LifeList!$E$2:$G$2038,1)</f>
        <v>Silvery Grebe</v>
      </c>
      <c r="E3292" s="3" t="str">
        <f>VLOOKUP(B3292,LifeList!$E$2:$G$2038,2)</f>
        <v>Grèbe aux belles joues</v>
      </c>
      <c r="F3292" s="3" t="str">
        <f>VLOOKUP(B3292,LifeList!$E$2:$G$2038,3)</f>
        <v>Podiceps occipitalis</v>
      </c>
      <c r="G3292" s="3" t="str">
        <f>VLOOKUP(B3292,LifeList!$E$2:$I$2038,4)</f>
        <v>Podicipediformes</v>
      </c>
      <c r="H3292" s="3" t="str">
        <f>VLOOKUP(B3292,LifeList!$E$2:$I$2038,5)</f>
        <v>Podicipedidae (Grebes)</v>
      </c>
      <c r="I3292" s="3"/>
    </row>
    <row r="3293" spans="1:9" ht="10.5" customHeight="1">
      <c r="A3293" s="3" t="s">
        <v>4580</v>
      </c>
      <c r="B3293" s="3" t="s">
        <v>4581</v>
      </c>
      <c r="C3293" s="3">
        <f>VLOOKUP(B3293,LifeList!$E$2:$J$2038,6)</f>
        <v>9698</v>
      </c>
      <c r="D3293" s="3" t="str">
        <f>VLOOKUP(B3293,LifeList!$E$2:$G$2038,1)</f>
        <v>Silvery-cheeked Hornbill</v>
      </c>
      <c r="E3293" s="3" t="str">
        <f>VLOOKUP(B3293,LifeList!$E$2:$G$2038,2)</f>
        <v>Calao à joues argent</v>
      </c>
      <c r="F3293" s="3" t="str">
        <f>VLOOKUP(B3293,LifeList!$E$2:$G$2038,3)</f>
        <v>Bycanistes brevis</v>
      </c>
      <c r="G3293" s="3" t="str">
        <f>VLOOKUP(B3293,LifeList!$E$2:$I$2038,4)</f>
        <v>Bucerotiformes</v>
      </c>
      <c r="H3293" s="3" t="str">
        <f>VLOOKUP(B3293,LifeList!$E$2:$I$2038,5)</f>
        <v>Bucerotidae (Hornbills)</v>
      </c>
      <c r="I3293" s="3"/>
    </row>
    <row r="3294" spans="1:9" ht="10.5" customHeight="1">
      <c r="A3294" s="3" t="s">
        <v>4582</v>
      </c>
      <c r="B3294" s="3" t="s">
        <v>4583</v>
      </c>
      <c r="C3294" s="3">
        <f>VLOOKUP(B3294,LifeList!$E$2:$J$2038,6)</f>
        <v>17877</v>
      </c>
      <c r="D3294" s="3" t="str">
        <f>VLOOKUP(B3294,LifeList!$E$2:$G$2038,1)</f>
        <v>Singing Honeyeater</v>
      </c>
      <c r="E3294" s="3" t="str">
        <f>VLOOKUP(B3294,LifeList!$E$2:$G$2038,2)</f>
        <v>Méliphage chanteur</v>
      </c>
      <c r="F3294" s="3" t="str">
        <f>VLOOKUP(B3294,LifeList!$E$2:$G$2038,3)</f>
        <v>Gavicalis virescens</v>
      </c>
      <c r="G3294" s="3" t="str">
        <f>VLOOKUP(B3294,LifeList!$E$2:$I$2038,4)</f>
        <v>Passeriformes</v>
      </c>
      <c r="H3294" s="3" t="str">
        <f>VLOOKUP(B3294,LifeList!$E$2:$I$2038,5)</f>
        <v>Meliphagidae (Honeyeaters)</v>
      </c>
      <c r="I3294" s="3"/>
    </row>
    <row r="3295" spans="1:9" ht="10.5" customHeight="1">
      <c r="A3295" s="3" t="s">
        <v>4584</v>
      </c>
      <c r="B3295" s="3" t="s">
        <v>4585</v>
      </c>
      <c r="C3295" s="3">
        <f>VLOOKUP(B3295,LifeList!$E$2:$J$2038,6)</f>
        <v>35593</v>
      </c>
      <c r="D3295" s="3" t="str">
        <f>VLOOKUP(B3295,LifeList!$E$2:$G$2038,1)</f>
        <v>Slate-colored Seedeater</v>
      </c>
      <c r="E3295" s="3" t="str">
        <f>VLOOKUP(B3295,LifeList!$E$2:$G$2038,2)</f>
        <v>Sporophile ardoisé</v>
      </c>
      <c r="F3295" s="3" t="str">
        <f>VLOOKUP(B3295,LifeList!$E$2:$G$2038,3)</f>
        <v>Sporophila schistacea</v>
      </c>
      <c r="G3295" s="3" t="str">
        <f>VLOOKUP(B3295,LifeList!$E$2:$I$2038,4)</f>
        <v>Passeriformes</v>
      </c>
      <c r="H3295" s="3" t="str">
        <f>VLOOKUP(B3295,LifeList!$E$2:$I$2038,5)</f>
        <v>Thraupidae (Tanagers and Allies)</v>
      </c>
      <c r="I3295" s="3"/>
    </row>
    <row r="3296" spans="1:9" ht="10.5" customHeight="1">
      <c r="A3296" s="3" t="s">
        <v>4586</v>
      </c>
      <c r="B3296" s="3" t="s">
        <v>4587</v>
      </c>
      <c r="C3296" s="3">
        <f>VLOOKUP(B3296,LifeList!$E$2:$J$2038,6)</f>
        <v>14352</v>
      </c>
      <c r="D3296" s="3" t="str">
        <f>VLOOKUP(B3296,LifeList!$E$2:$G$2038,1)</f>
        <v>Slate-crowned Antpitta</v>
      </c>
      <c r="E3296" s="3" t="str">
        <f>VLOOKUP(B3296,LifeList!$E$2:$G$2038,2)</f>
        <v>Grallaire naine</v>
      </c>
      <c r="F3296" s="3" t="str">
        <f>VLOOKUP(B3296,LifeList!$E$2:$G$2038,3)</f>
        <v>Grallaricula nana</v>
      </c>
      <c r="G3296" s="3" t="str">
        <f>VLOOKUP(B3296,LifeList!$E$2:$I$2038,4)</f>
        <v>Passeriformes</v>
      </c>
      <c r="H3296" s="3" t="str">
        <f>VLOOKUP(B3296,LifeList!$E$2:$I$2038,5)</f>
        <v>Grallariidae (Antpittas)</v>
      </c>
      <c r="I3296" s="3"/>
    </row>
    <row r="3297" spans="1:9" ht="10.5" customHeight="1">
      <c r="A3297" s="3" t="s">
        <v>4588</v>
      </c>
      <c r="B3297" s="3" t="s">
        <v>4589</v>
      </c>
      <c r="C3297" s="3">
        <f>VLOOKUP(B3297,LifeList!$E$2:$J$2038,6)</f>
        <v>34360</v>
      </c>
      <c r="D3297" s="3" t="str">
        <f>VLOOKUP(B3297,LifeList!$E$2:$G$2038,1)</f>
        <v>Slate-throated Redstart</v>
      </c>
      <c r="E3297" s="3" t="str">
        <f>VLOOKUP(B3297,LifeList!$E$2:$G$2038,2)</f>
        <v>Paruline ardoisée</v>
      </c>
      <c r="F3297" s="3" t="str">
        <f>VLOOKUP(B3297,LifeList!$E$2:$G$2038,3)</f>
        <v>Myioborus miniatus</v>
      </c>
      <c r="G3297" s="3" t="str">
        <f>VLOOKUP(B3297,LifeList!$E$2:$I$2038,4)</f>
        <v>Passeriformes</v>
      </c>
      <c r="H3297" s="3" t="str">
        <f>VLOOKUP(B3297,LifeList!$E$2:$I$2038,5)</f>
        <v>Parulidae (New World Warblers)</v>
      </c>
      <c r="I3297" s="3"/>
    </row>
    <row r="3298" spans="1:9" ht="10.5" customHeight="1">
      <c r="A3298" s="3" t="s">
        <v>4590</v>
      </c>
      <c r="B3298" s="3" t="s">
        <v>4589</v>
      </c>
      <c r="C3298" s="3">
        <f>VLOOKUP(B3298,LifeList!$E$2:$J$2038,6)</f>
        <v>34360</v>
      </c>
      <c r="D3298" s="3" t="str">
        <f>VLOOKUP(B3298,LifeList!$E$2:$G$2038,1)</f>
        <v>Slate-throated Redstart</v>
      </c>
      <c r="E3298" s="3" t="str">
        <f>VLOOKUP(B3298,LifeList!$E$2:$G$2038,2)</f>
        <v>Paruline ardoisée</v>
      </c>
      <c r="F3298" s="3" t="str">
        <f>VLOOKUP(B3298,LifeList!$E$2:$G$2038,3)</f>
        <v>Myioborus miniatus</v>
      </c>
      <c r="G3298" s="3" t="str">
        <f>VLOOKUP(B3298,LifeList!$E$2:$I$2038,4)</f>
        <v>Passeriformes</v>
      </c>
      <c r="H3298" s="3" t="str">
        <f>VLOOKUP(B3298,LifeList!$E$2:$I$2038,5)</f>
        <v>Parulidae (New World Warblers)</v>
      </c>
      <c r="I3298" s="3"/>
    </row>
    <row r="3299" spans="1:9" ht="10.5" customHeight="1">
      <c r="A3299" s="3" t="s">
        <v>4591</v>
      </c>
      <c r="B3299" s="3" t="s">
        <v>4592</v>
      </c>
      <c r="C3299" s="3">
        <f>VLOOKUP(B3299,LifeList!$E$2:$J$2038,6)</f>
        <v>7638</v>
      </c>
      <c r="D3299" s="3" t="str">
        <f>VLOOKUP(B3299,LifeList!$E$2:$G$2038,1)</f>
        <v>Slaty Egret</v>
      </c>
      <c r="E3299" s="3" t="str">
        <f>VLOOKUP(B3299,LifeList!$E$2:$G$2038,2)</f>
        <v>Aigrette vineuse</v>
      </c>
      <c r="F3299" s="3" t="str">
        <f>VLOOKUP(B3299,LifeList!$E$2:$G$2038,3)</f>
        <v>Egretta vinaceigula</v>
      </c>
      <c r="G3299" s="3" t="str">
        <f>VLOOKUP(B3299,LifeList!$E$2:$I$2038,4)</f>
        <v>Pelecaniformes</v>
      </c>
      <c r="H3299" s="3" t="str">
        <f>VLOOKUP(B3299,LifeList!$E$2:$I$2038,5)</f>
        <v>Ardeidae (Herons, Egrets, and Bitterns)</v>
      </c>
      <c r="I3299" s="3"/>
    </row>
    <row r="3300" spans="1:9" ht="10.5" customHeight="1">
      <c r="A3300" s="3" t="s">
        <v>4593</v>
      </c>
      <c r="B3300" s="3" t="s">
        <v>4594</v>
      </c>
      <c r="C3300" s="3">
        <f>VLOOKUP(B3300,LifeList!$E$2:$J$2038,6)</f>
        <v>35310</v>
      </c>
      <c r="D3300" s="3" t="str">
        <f>VLOOKUP(B3300,LifeList!$E$2:$G$2038,1)</f>
        <v>Slaty Flowerpiercer</v>
      </c>
      <c r="E3300" s="3" t="str">
        <f>VLOOKUP(B3300,LifeList!$E$2:$G$2038,2)</f>
        <v>Percefleur ardoisé</v>
      </c>
      <c r="F3300" s="3" t="str">
        <f>VLOOKUP(B3300,LifeList!$E$2:$G$2038,3)</f>
        <v>Diglossa plumbea</v>
      </c>
      <c r="G3300" s="3" t="str">
        <f>VLOOKUP(B3300,LifeList!$E$2:$I$2038,4)</f>
        <v>Passeriformes</v>
      </c>
      <c r="H3300" s="3" t="str">
        <f>VLOOKUP(B3300,LifeList!$E$2:$I$2038,5)</f>
        <v>Thraupidae (Tanagers and Allies)</v>
      </c>
      <c r="I3300" s="3"/>
    </row>
    <row r="3301" spans="1:9" ht="10.5" customHeight="1">
      <c r="A3301" s="3" t="s">
        <v>4595</v>
      </c>
      <c r="B3301" s="3" t="s">
        <v>4596</v>
      </c>
      <c r="C3301" s="3">
        <f>VLOOKUP(B3301,LifeList!$E$2:$J$2038,6)</f>
        <v>15592</v>
      </c>
      <c r="D3301" s="3" t="str">
        <f>VLOOKUP(B3301,LifeList!$E$2:$G$2038,1)</f>
        <v>Slaty Spinetail</v>
      </c>
      <c r="E3301" s="3" t="str">
        <f>VLOOKUP(B3301,LifeList!$E$2:$G$2038,2)</f>
        <v>Synallaxe ardoisé</v>
      </c>
      <c r="F3301" s="3" t="str">
        <f>VLOOKUP(B3301,LifeList!$E$2:$G$2038,3)</f>
        <v>Synallaxis brachyura</v>
      </c>
      <c r="G3301" s="3" t="str">
        <f>VLOOKUP(B3301,LifeList!$E$2:$I$2038,4)</f>
        <v>Passeriformes</v>
      </c>
      <c r="H3301" s="3" t="str">
        <f>VLOOKUP(B3301,LifeList!$E$2:$I$2038,5)</f>
        <v>Furnariidae (Ovenbirds and Woodcreepers)</v>
      </c>
      <c r="I3301" s="3"/>
    </row>
    <row r="3302" spans="1:9" ht="10.5" customHeight="1">
      <c r="A3302" s="3" t="s">
        <v>4597</v>
      </c>
      <c r="B3302" s="3" t="s">
        <v>4598</v>
      </c>
      <c r="C3302" s="3">
        <f>VLOOKUP(B3302,LifeList!$E$2:$J$2038,6)</f>
        <v>9522</v>
      </c>
      <c r="D3302" s="3" t="str">
        <f>VLOOKUP(B3302,LifeList!$E$2:$G$2038,1)</f>
        <v>Slaty-tailed Trogon</v>
      </c>
      <c r="E3302" s="3" t="str">
        <f>VLOOKUP(B3302,LifeList!$E$2:$G$2038,2)</f>
        <v>Trogon de Masséna</v>
      </c>
      <c r="F3302" s="3" t="str">
        <f>VLOOKUP(B3302,LifeList!$E$2:$G$2038,3)</f>
        <v>Trogon massena</v>
      </c>
      <c r="G3302" s="3" t="str">
        <f>VLOOKUP(B3302,LifeList!$E$2:$I$2038,4)</f>
        <v>Trogoniformes</v>
      </c>
      <c r="H3302" s="3" t="str">
        <f>VLOOKUP(B3302,LifeList!$E$2:$I$2038,5)</f>
        <v>Trogonidae (Trogons)</v>
      </c>
      <c r="I3302" s="3"/>
    </row>
    <row r="3303" spans="1:9" ht="10.5" customHeight="1">
      <c r="A3303" s="3" t="s">
        <v>4599</v>
      </c>
      <c r="B3303" s="3" t="s">
        <v>4598</v>
      </c>
      <c r="C3303" s="3">
        <f>VLOOKUP(B3303,LifeList!$E$2:$J$2038,6)</f>
        <v>9522</v>
      </c>
      <c r="D3303" s="3" t="str">
        <f>VLOOKUP(B3303,LifeList!$E$2:$G$2038,1)</f>
        <v>Slaty-tailed Trogon</v>
      </c>
      <c r="E3303" s="3" t="str">
        <f>VLOOKUP(B3303,LifeList!$E$2:$G$2038,2)</f>
        <v>Trogon de Masséna</v>
      </c>
      <c r="F3303" s="3" t="str">
        <f>VLOOKUP(B3303,LifeList!$E$2:$G$2038,3)</f>
        <v>Trogon massena</v>
      </c>
      <c r="G3303" s="3" t="str">
        <f>VLOOKUP(B3303,LifeList!$E$2:$I$2038,4)</f>
        <v>Trogoniformes</v>
      </c>
      <c r="H3303" s="3" t="str">
        <f>VLOOKUP(B3303,LifeList!$E$2:$I$2038,5)</f>
        <v>Trogonidae (Trogons)</v>
      </c>
      <c r="I3303" s="3"/>
    </row>
    <row r="3304" spans="1:9" ht="10.5" customHeight="1">
      <c r="A3304" s="3" t="s">
        <v>4600</v>
      </c>
      <c r="B3304" s="3" t="s">
        <v>4598</v>
      </c>
      <c r="C3304" s="3">
        <f>VLOOKUP(B3304,LifeList!$E$2:$J$2038,6)</f>
        <v>9522</v>
      </c>
      <c r="D3304" s="3" t="str">
        <f>VLOOKUP(B3304,LifeList!$E$2:$G$2038,1)</f>
        <v>Slaty-tailed Trogon</v>
      </c>
      <c r="E3304" s="3" t="str">
        <f>VLOOKUP(B3304,LifeList!$E$2:$G$2038,2)</f>
        <v>Trogon de Masséna</v>
      </c>
      <c r="F3304" s="3" t="str">
        <f>VLOOKUP(B3304,LifeList!$E$2:$G$2038,3)</f>
        <v>Trogon massena</v>
      </c>
      <c r="G3304" s="3" t="str">
        <f>VLOOKUP(B3304,LifeList!$E$2:$I$2038,4)</f>
        <v>Trogoniformes</v>
      </c>
      <c r="H3304" s="3" t="str">
        <f>VLOOKUP(B3304,LifeList!$E$2:$I$2038,5)</f>
        <v>Trogonidae (Trogons)</v>
      </c>
      <c r="I3304" s="3"/>
    </row>
    <row r="3305" spans="1:9" ht="10.5" customHeight="1">
      <c r="A3305" s="3" t="s">
        <v>4601</v>
      </c>
      <c r="B3305" s="3" t="s">
        <v>4598</v>
      </c>
      <c r="C3305" s="3">
        <f>VLOOKUP(B3305,LifeList!$E$2:$J$2038,6)</f>
        <v>9522</v>
      </c>
      <c r="D3305" s="3" t="str">
        <f>VLOOKUP(B3305,LifeList!$E$2:$G$2038,1)</f>
        <v>Slaty-tailed Trogon</v>
      </c>
      <c r="E3305" s="3" t="str">
        <f>VLOOKUP(B3305,LifeList!$E$2:$G$2038,2)</f>
        <v>Trogon de Masséna</v>
      </c>
      <c r="F3305" s="3" t="str">
        <f>VLOOKUP(B3305,LifeList!$E$2:$G$2038,3)</f>
        <v>Trogon massena</v>
      </c>
      <c r="G3305" s="3" t="str">
        <f>VLOOKUP(B3305,LifeList!$E$2:$I$2038,4)</f>
        <v>Trogoniformes</v>
      </c>
      <c r="H3305" s="3" t="str">
        <f>VLOOKUP(B3305,LifeList!$E$2:$I$2038,5)</f>
        <v>Trogonidae (Trogons)</v>
      </c>
      <c r="I3305" s="3"/>
    </row>
    <row r="3306" spans="1:9" ht="10.5" customHeight="1">
      <c r="A3306" s="3" t="s">
        <v>4602</v>
      </c>
      <c r="B3306" s="3" t="s">
        <v>4598</v>
      </c>
      <c r="C3306" s="3">
        <f>VLOOKUP(B3306,LifeList!$E$2:$J$2038,6)</f>
        <v>9522</v>
      </c>
      <c r="D3306" s="3" t="str">
        <f>VLOOKUP(B3306,LifeList!$E$2:$G$2038,1)</f>
        <v>Slaty-tailed Trogon</v>
      </c>
      <c r="E3306" s="3" t="str">
        <f>VLOOKUP(B3306,LifeList!$E$2:$G$2038,2)</f>
        <v>Trogon de Masséna</v>
      </c>
      <c r="F3306" s="3" t="str">
        <f>VLOOKUP(B3306,LifeList!$E$2:$G$2038,3)</f>
        <v>Trogon massena</v>
      </c>
      <c r="G3306" s="3" t="str">
        <f>VLOOKUP(B3306,LifeList!$E$2:$I$2038,4)</f>
        <v>Trogoniformes</v>
      </c>
      <c r="H3306" s="3" t="str">
        <f>VLOOKUP(B3306,LifeList!$E$2:$I$2038,5)</f>
        <v>Trogonidae (Trogons)</v>
      </c>
      <c r="I3306" s="3"/>
    </row>
    <row r="3307" spans="1:9" ht="10.5" customHeight="1">
      <c r="A3307" s="7" t="s">
        <v>4603</v>
      </c>
      <c r="B3307" s="9" t="s">
        <v>4604</v>
      </c>
      <c r="C3307" s="6">
        <f>VLOOKUP(B3307,LifeList!$E$2:$J$2038,6)</f>
        <v>18411</v>
      </c>
      <c r="D3307" s="3" t="str">
        <f>VLOOKUP(B3307,LifeList!$E$2:$G$2038,1)</f>
        <v>Slender-billed Thornbill</v>
      </c>
      <c r="E3307" s="3" t="str">
        <f>VLOOKUP(B3307,LifeList!$E$2:$G$2038,2)</f>
        <v>Acanthize d'Iredale</v>
      </c>
      <c r="F3307" s="3" t="str">
        <f>VLOOKUP(B3307,LifeList!$E$2:$G$2038,3)</f>
        <v>Acanthiza iredalei</v>
      </c>
      <c r="G3307" s="3" t="str">
        <f>VLOOKUP(B3307,LifeList!$E$2:$I$2038,4)</f>
        <v>Passeriformes</v>
      </c>
      <c r="H3307" s="3" t="str">
        <f>VLOOKUP(B3307,LifeList!$E$2:$I$2038,5)</f>
        <v>Acanthizidae (Thornbills and Allies)</v>
      </c>
      <c r="I3307" s="3"/>
    </row>
    <row r="3308" spans="1:9" ht="10.5" customHeight="1">
      <c r="A3308" s="7" t="s">
        <v>4605</v>
      </c>
      <c r="B3308" s="9" t="s">
        <v>4604</v>
      </c>
      <c r="C3308" s="6">
        <f>VLOOKUP(B3308,LifeList!$E$2:$J$2038,6)</f>
        <v>18411</v>
      </c>
      <c r="D3308" s="3" t="str">
        <f>VLOOKUP(B3308,LifeList!$E$2:$G$2038,1)</f>
        <v>Slender-billed Thornbill</v>
      </c>
      <c r="E3308" s="3" t="str">
        <f>VLOOKUP(B3308,LifeList!$E$2:$G$2038,2)</f>
        <v>Acanthize d'Iredale</v>
      </c>
      <c r="F3308" s="3" t="str">
        <f>VLOOKUP(B3308,LifeList!$E$2:$G$2038,3)</f>
        <v>Acanthiza iredalei</v>
      </c>
      <c r="G3308" s="3" t="str">
        <f>VLOOKUP(B3308,LifeList!$E$2:$I$2038,4)</f>
        <v>Passeriformes</v>
      </c>
      <c r="H3308" s="3" t="str">
        <f>VLOOKUP(B3308,LifeList!$E$2:$I$2038,5)</f>
        <v>Acanthizidae (Thornbills and Allies)</v>
      </c>
      <c r="I3308" s="3"/>
    </row>
    <row r="3309" spans="1:9" ht="10.5" customHeight="1">
      <c r="A3309" s="7" t="s">
        <v>4606</v>
      </c>
      <c r="B3309" s="9" t="s">
        <v>4604</v>
      </c>
      <c r="C3309" s="6">
        <f>VLOOKUP(B3309,LifeList!$E$2:$J$2038,6)</f>
        <v>18411</v>
      </c>
      <c r="D3309" s="3" t="str">
        <f>VLOOKUP(B3309,LifeList!$E$2:$G$2038,1)</f>
        <v>Slender-billed Thornbill</v>
      </c>
      <c r="E3309" s="3" t="str">
        <f>VLOOKUP(B3309,LifeList!$E$2:$G$2038,2)</f>
        <v>Acanthize d'Iredale</v>
      </c>
      <c r="F3309" s="3" t="str">
        <f>VLOOKUP(B3309,LifeList!$E$2:$G$2038,3)</f>
        <v>Acanthiza iredalei</v>
      </c>
      <c r="G3309" s="3" t="str">
        <f>VLOOKUP(B3309,LifeList!$E$2:$I$2038,4)</f>
        <v>Passeriformes</v>
      </c>
      <c r="H3309" s="3" t="str">
        <f>VLOOKUP(B3309,LifeList!$E$2:$I$2038,5)</f>
        <v>Acanthizidae (Thornbills and Allies)</v>
      </c>
      <c r="I3309" s="3"/>
    </row>
    <row r="3310" spans="1:9" ht="10.5" customHeight="1">
      <c r="A3310" s="3" t="s">
        <v>4607</v>
      </c>
      <c r="B3310" s="3" t="s">
        <v>4608</v>
      </c>
      <c r="C3310" s="3">
        <f>VLOOKUP(B3310,LifeList!$E$2:$J$2038,6)</f>
        <v>16896</v>
      </c>
      <c r="D3310" s="3" t="str">
        <f>VLOOKUP(B3310,LifeList!$E$2:$G$2038,1)</f>
        <v>Smoke-colored Pewee</v>
      </c>
      <c r="E3310" s="3" t="str">
        <f>VLOOKUP(B3310,LifeList!$E$2:$G$2038,2)</f>
        <v>Moucherolle bistré</v>
      </c>
      <c r="F3310" s="3" t="str">
        <f>VLOOKUP(B3310,LifeList!$E$2:$G$2038,3)</f>
        <v>Contopus fumigatus</v>
      </c>
      <c r="G3310" s="3" t="str">
        <f>VLOOKUP(B3310,LifeList!$E$2:$I$2038,4)</f>
        <v>Passeriformes</v>
      </c>
      <c r="H3310" s="3" t="str">
        <f>VLOOKUP(B3310,LifeList!$E$2:$I$2038,5)</f>
        <v>Tyrannidae (Tyrant Flycatchers)</v>
      </c>
      <c r="I3310" s="3"/>
    </row>
    <row r="3311" spans="1:9" ht="10.5" customHeight="1">
      <c r="A3311" s="3" t="s">
        <v>4609</v>
      </c>
      <c r="B3311" s="3" t="s">
        <v>4608</v>
      </c>
      <c r="C3311" s="3">
        <f>VLOOKUP(B3311,LifeList!$E$2:$J$2038,6)</f>
        <v>16896</v>
      </c>
      <c r="D3311" s="3" t="str">
        <f>VLOOKUP(B3311,LifeList!$E$2:$G$2038,1)</f>
        <v>Smoke-colored Pewee</v>
      </c>
      <c r="E3311" s="3" t="str">
        <f>VLOOKUP(B3311,LifeList!$E$2:$G$2038,2)</f>
        <v>Moucherolle bistré</v>
      </c>
      <c r="F3311" s="3" t="str">
        <f>VLOOKUP(B3311,LifeList!$E$2:$G$2038,3)</f>
        <v>Contopus fumigatus</v>
      </c>
      <c r="G3311" s="3" t="str">
        <f>VLOOKUP(B3311,LifeList!$E$2:$I$2038,4)</f>
        <v>Passeriformes</v>
      </c>
      <c r="H3311" s="3" t="str">
        <f>VLOOKUP(B3311,LifeList!$E$2:$I$2038,5)</f>
        <v>Tyrannidae (Tyrant Flycatchers)</v>
      </c>
      <c r="I3311" s="3"/>
    </row>
    <row r="3312" spans="1:9" ht="10.5" customHeight="1">
      <c r="A3312" s="3" t="s">
        <v>4610</v>
      </c>
      <c r="B3312" s="3" t="s">
        <v>4608</v>
      </c>
      <c r="C3312" s="3">
        <f>VLOOKUP(B3312,LifeList!$E$2:$J$2038,6)</f>
        <v>16896</v>
      </c>
      <c r="D3312" s="3" t="str">
        <f>VLOOKUP(B3312,LifeList!$E$2:$G$2038,1)</f>
        <v>Smoke-colored Pewee</v>
      </c>
      <c r="E3312" s="3" t="str">
        <f>VLOOKUP(B3312,LifeList!$E$2:$G$2038,2)</f>
        <v>Moucherolle bistré</v>
      </c>
      <c r="F3312" s="3" t="str">
        <f>VLOOKUP(B3312,LifeList!$E$2:$G$2038,3)</f>
        <v>Contopus fumigatus</v>
      </c>
      <c r="G3312" s="3" t="str">
        <f>VLOOKUP(B3312,LifeList!$E$2:$I$2038,4)</f>
        <v>Passeriformes</v>
      </c>
      <c r="H3312" s="3" t="str">
        <f>VLOOKUP(B3312,LifeList!$E$2:$I$2038,5)</f>
        <v>Tyrannidae (Tyrant Flycatchers)</v>
      </c>
      <c r="I3312" s="3"/>
    </row>
    <row r="3313" spans="1:9" ht="10.5" customHeight="1">
      <c r="A3313" s="3" t="s">
        <v>4611</v>
      </c>
      <c r="B3313" s="3" t="s">
        <v>4608</v>
      </c>
      <c r="C3313" s="3">
        <f>VLOOKUP(B3313,LifeList!$E$2:$J$2038,6)</f>
        <v>16896</v>
      </c>
      <c r="D3313" s="3" t="str">
        <f>VLOOKUP(B3313,LifeList!$E$2:$G$2038,1)</f>
        <v>Smoke-colored Pewee</v>
      </c>
      <c r="E3313" s="3" t="str">
        <f>VLOOKUP(B3313,LifeList!$E$2:$G$2038,2)</f>
        <v>Moucherolle bistré</v>
      </c>
      <c r="F3313" s="3" t="str">
        <f>VLOOKUP(B3313,LifeList!$E$2:$G$2038,3)</f>
        <v>Contopus fumigatus</v>
      </c>
      <c r="G3313" s="3" t="str">
        <f>VLOOKUP(B3313,LifeList!$E$2:$I$2038,4)</f>
        <v>Passeriformes</v>
      </c>
      <c r="H3313" s="3" t="str">
        <f>VLOOKUP(B3313,LifeList!$E$2:$I$2038,5)</f>
        <v>Tyrannidae (Tyrant Flycatchers)</v>
      </c>
      <c r="I3313" s="3"/>
    </row>
    <row r="3314" spans="1:9" ht="10.5" customHeight="1">
      <c r="A3314" s="3" t="s">
        <v>4612</v>
      </c>
      <c r="B3314" s="3" t="s">
        <v>4613</v>
      </c>
      <c r="C3314" s="3">
        <f>VLOOKUP(B3314,LifeList!$E$2:$J$2038,6)</f>
        <v>11455</v>
      </c>
      <c r="D3314" s="3" t="str">
        <f>VLOOKUP(B3314,LifeList!$E$2:$G$2038,1)</f>
        <v>Smoky-brown Woodpecker</v>
      </c>
      <c r="E3314" s="3" t="str">
        <f>VLOOKUP(B3314,LifeList!$E$2:$G$2038,2)</f>
        <v>Pic enfumé</v>
      </c>
      <c r="F3314" s="3" t="str">
        <f>VLOOKUP(B3314,LifeList!$E$2:$G$2038,3)</f>
        <v>Leuconotopicus fumigatus</v>
      </c>
      <c r="G3314" s="3" t="str">
        <f>VLOOKUP(B3314,LifeList!$E$2:$I$2038,4)</f>
        <v>Piciformes</v>
      </c>
      <c r="H3314" s="3" t="str">
        <f>VLOOKUP(B3314,LifeList!$E$2:$I$2038,5)</f>
        <v>Picidae (Woodpeckers)</v>
      </c>
      <c r="I3314" s="3"/>
    </row>
    <row r="3315" spans="1:9" ht="10.5" customHeight="1">
      <c r="A3315" s="3" t="s">
        <v>4614</v>
      </c>
      <c r="B3315" s="3" t="s">
        <v>4615</v>
      </c>
      <c r="C3315" s="3">
        <f>VLOOKUP(B3315,LifeList!$E$2:$J$2038,6)</f>
        <v>3026</v>
      </c>
      <c r="D3315" s="3" t="str">
        <f>VLOOKUP(B3315,LifeList!$E$2:$G$2038,1)</f>
        <v>Smooth-billed Ani</v>
      </c>
      <c r="E3315" s="3" t="str">
        <f>VLOOKUP(B3315,LifeList!$E$2:$G$2038,2)</f>
        <v>Ani à bec lisse</v>
      </c>
      <c r="F3315" s="3" t="str">
        <f>VLOOKUP(B3315,LifeList!$E$2:$G$2038,3)</f>
        <v>Crotophaga ani</v>
      </c>
      <c r="G3315" s="3" t="str">
        <f>VLOOKUP(B3315,LifeList!$E$2:$I$2038,4)</f>
        <v>Cuculiformes</v>
      </c>
      <c r="H3315" s="3" t="str">
        <f>VLOOKUP(B3315,LifeList!$E$2:$I$2038,5)</f>
        <v>Cuculidae (Cuckoos)</v>
      </c>
      <c r="I3315" s="3"/>
    </row>
    <row r="3316" spans="1:9" ht="10.5" customHeight="1">
      <c r="A3316" s="3" t="s">
        <v>4616</v>
      </c>
      <c r="B3316" s="3" t="s">
        <v>4615</v>
      </c>
      <c r="C3316" s="3">
        <f>VLOOKUP(B3316,LifeList!$E$2:$J$2038,6)</f>
        <v>3026</v>
      </c>
      <c r="D3316" s="3" t="str">
        <f>VLOOKUP(B3316,LifeList!$E$2:$G$2038,1)</f>
        <v>Smooth-billed Ani</v>
      </c>
      <c r="E3316" s="3" t="str">
        <f>VLOOKUP(B3316,LifeList!$E$2:$G$2038,2)</f>
        <v>Ani à bec lisse</v>
      </c>
      <c r="F3316" s="3" t="str">
        <f>VLOOKUP(B3316,LifeList!$E$2:$G$2038,3)</f>
        <v>Crotophaga ani</v>
      </c>
      <c r="G3316" s="3" t="str">
        <f>VLOOKUP(B3316,LifeList!$E$2:$I$2038,4)</f>
        <v>Cuculiformes</v>
      </c>
      <c r="H3316" s="3" t="str">
        <f>VLOOKUP(B3316,LifeList!$E$2:$I$2038,5)</f>
        <v>Cuculidae (Cuckoos)</v>
      </c>
      <c r="I3316" s="3"/>
    </row>
    <row r="3317" spans="1:9" ht="10.5" customHeight="1">
      <c r="A3317" s="3" t="s">
        <v>4617</v>
      </c>
      <c r="B3317" s="3" t="s">
        <v>4618</v>
      </c>
      <c r="C3317" s="3">
        <f>VLOOKUP(B3317,LifeList!$E$2:$J$2038,6)</f>
        <v>8403</v>
      </c>
      <c r="D3317" s="3" t="str">
        <f>VLOOKUP(B3317,LifeList!$E$2:$G$2038,1)</f>
        <v>Snail Kite</v>
      </c>
      <c r="E3317" s="3" t="str">
        <f>VLOOKUP(B3317,LifeList!$E$2:$G$2038,2)</f>
        <v>Milan des marais</v>
      </c>
      <c r="F3317" s="3" t="str">
        <f>VLOOKUP(B3317,LifeList!$E$2:$G$2038,3)</f>
        <v>Rostrhamus sociabilis</v>
      </c>
      <c r="G3317" s="3" t="str">
        <f>VLOOKUP(B3317,LifeList!$E$2:$I$2038,4)</f>
        <v>Accipitriformes</v>
      </c>
      <c r="H3317" s="3" t="str">
        <f>VLOOKUP(B3317,LifeList!$E$2:$I$2038,5)</f>
        <v>Accipitridae (Hawks, Eagles, and Kites)</v>
      </c>
      <c r="I3317" s="3"/>
    </row>
    <row r="3318" spans="1:9" ht="10.5" customHeight="1">
      <c r="A3318" s="3" t="s">
        <v>4619</v>
      </c>
      <c r="B3318" s="3" t="s">
        <v>4618</v>
      </c>
      <c r="C3318" s="3">
        <f>VLOOKUP(B3318,LifeList!$E$2:$J$2038,6)</f>
        <v>8403</v>
      </c>
      <c r="D3318" s="3" t="str">
        <f>VLOOKUP(B3318,LifeList!$E$2:$G$2038,1)</f>
        <v>Snail Kite</v>
      </c>
      <c r="E3318" s="3" t="str">
        <f>VLOOKUP(B3318,LifeList!$E$2:$G$2038,2)</f>
        <v>Milan des marais</v>
      </c>
      <c r="F3318" s="3" t="str">
        <f>VLOOKUP(B3318,LifeList!$E$2:$G$2038,3)</f>
        <v>Rostrhamus sociabilis</v>
      </c>
      <c r="G3318" s="3" t="str">
        <f>VLOOKUP(B3318,LifeList!$E$2:$I$2038,4)</f>
        <v>Accipitriformes</v>
      </c>
      <c r="H3318" s="3" t="str">
        <f>VLOOKUP(B3318,LifeList!$E$2:$I$2038,5)</f>
        <v>Accipitridae (Hawks, Eagles, and Kites)</v>
      </c>
      <c r="I3318" s="3"/>
    </row>
    <row r="3319" spans="1:9" ht="10.5" customHeight="1">
      <c r="A3319" s="3" t="s">
        <v>4620</v>
      </c>
      <c r="B3319" s="3" t="s">
        <v>4618</v>
      </c>
      <c r="C3319" s="3">
        <f>VLOOKUP(B3319,LifeList!$E$2:$J$2038,6)</f>
        <v>8403</v>
      </c>
      <c r="D3319" s="3" t="str">
        <f>VLOOKUP(B3319,LifeList!$E$2:$G$2038,1)</f>
        <v>Snail Kite</v>
      </c>
      <c r="E3319" s="3" t="str">
        <f>VLOOKUP(B3319,LifeList!$E$2:$G$2038,2)</f>
        <v>Milan des marais</v>
      </c>
      <c r="F3319" s="3" t="str">
        <f>VLOOKUP(B3319,LifeList!$E$2:$G$2038,3)</f>
        <v>Rostrhamus sociabilis</v>
      </c>
      <c r="G3319" s="3" t="str">
        <f>VLOOKUP(B3319,LifeList!$E$2:$I$2038,4)</f>
        <v>Accipitriformes</v>
      </c>
      <c r="H3319" s="3" t="str">
        <f>VLOOKUP(B3319,LifeList!$E$2:$I$2038,5)</f>
        <v>Accipitridae (Hawks, Eagles, and Kites)</v>
      </c>
      <c r="I3319" s="3"/>
    </row>
    <row r="3320" spans="1:9" ht="10.5" customHeight="1">
      <c r="A3320" s="3" t="s">
        <v>4621</v>
      </c>
      <c r="B3320" s="3" t="s">
        <v>4618</v>
      </c>
      <c r="C3320" s="3">
        <f>VLOOKUP(B3320,LifeList!$E$2:$J$2038,6)</f>
        <v>8403</v>
      </c>
      <c r="D3320" s="3" t="str">
        <f>VLOOKUP(B3320,LifeList!$E$2:$G$2038,1)</f>
        <v>Snail Kite</v>
      </c>
      <c r="E3320" s="3" t="str">
        <f>VLOOKUP(B3320,LifeList!$E$2:$G$2038,2)</f>
        <v>Milan des marais</v>
      </c>
      <c r="F3320" s="3" t="str">
        <f>VLOOKUP(B3320,LifeList!$E$2:$G$2038,3)</f>
        <v>Rostrhamus sociabilis</v>
      </c>
      <c r="G3320" s="3" t="str">
        <f>VLOOKUP(B3320,LifeList!$E$2:$I$2038,4)</f>
        <v>Accipitriformes</v>
      </c>
      <c r="H3320" s="3" t="str">
        <f>VLOOKUP(B3320,LifeList!$E$2:$I$2038,5)</f>
        <v>Accipitridae (Hawks, Eagles, and Kites)</v>
      </c>
      <c r="I3320" s="3"/>
    </row>
    <row r="3321" spans="1:9" ht="10.5" customHeight="1">
      <c r="A3321" s="3" t="s">
        <v>4622</v>
      </c>
      <c r="B3321" s="3" t="s">
        <v>4618</v>
      </c>
      <c r="C3321" s="3">
        <f>VLOOKUP(B3321,LifeList!$E$2:$J$2038,6)</f>
        <v>8403</v>
      </c>
      <c r="D3321" s="3" t="str">
        <f>VLOOKUP(B3321,LifeList!$E$2:$G$2038,1)</f>
        <v>Snail Kite</v>
      </c>
      <c r="E3321" s="3" t="str">
        <f>VLOOKUP(B3321,LifeList!$E$2:$G$2038,2)</f>
        <v>Milan des marais</v>
      </c>
      <c r="F3321" s="3" t="str">
        <f>VLOOKUP(B3321,LifeList!$E$2:$G$2038,3)</f>
        <v>Rostrhamus sociabilis</v>
      </c>
      <c r="G3321" s="3" t="str">
        <f>VLOOKUP(B3321,LifeList!$E$2:$I$2038,4)</f>
        <v>Accipitriformes</v>
      </c>
      <c r="H3321" s="3" t="str">
        <f>VLOOKUP(B3321,LifeList!$E$2:$I$2038,5)</f>
        <v>Accipitridae (Hawks, Eagles, and Kites)</v>
      </c>
      <c r="I3321" s="3"/>
    </row>
    <row r="3322" spans="1:9" ht="10.5" customHeight="1">
      <c r="A3322" s="3" t="s">
        <v>4623</v>
      </c>
      <c r="B3322" s="3" t="s">
        <v>4624</v>
      </c>
      <c r="C3322" s="3">
        <f>VLOOKUP(B3322,LifeList!$E$2:$J$2038,6)</f>
        <v>32674</v>
      </c>
      <c r="D3322" s="3" t="str">
        <f>VLOOKUP(B3322,LifeList!$E$2:$G$2038,1)</f>
        <v>Snow Bunting</v>
      </c>
      <c r="E3322" s="3" t="str">
        <f>VLOOKUP(B3322,LifeList!$E$2:$G$2038,2)</f>
        <v>Plectrophane des neiges</v>
      </c>
      <c r="F3322" s="3" t="str">
        <f>VLOOKUP(B3322,LifeList!$E$2:$G$2038,3)</f>
        <v>Plectrophenax nivalis</v>
      </c>
      <c r="G3322" s="3" t="str">
        <f>VLOOKUP(B3322,LifeList!$E$2:$I$2038,4)</f>
        <v>Passeriformes</v>
      </c>
      <c r="H3322" s="3" t="str">
        <f>VLOOKUP(B3322,LifeList!$E$2:$I$2038,5)</f>
        <v>Calcariidae (Longspurs and Snow Buntings)</v>
      </c>
      <c r="I3322" s="3"/>
    </row>
    <row r="3323" spans="1:9" ht="10.5" customHeight="1">
      <c r="A3323" s="3" t="s">
        <v>4625</v>
      </c>
      <c r="B3323" s="3" t="s">
        <v>4626</v>
      </c>
      <c r="C3323" s="3">
        <f>VLOOKUP(B3323,LifeList!$E$2:$J$2038,6)</f>
        <v>267</v>
      </c>
      <c r="D3323" s="3" t="str">
        <f>VLOOKUP(B3323,LifeList!$E$2:$G$2038,1)</f>
        <v>Snow Goose</v>
      </c>
      <c r="E3323" s="3" t="str">
        <f>VLOOKUP(B3323,LifeList!$E$2:$G$2038,2)</f>
        <v>Oie des neiges</v>
      </c>
      <c r="F3323" s="3" t="str">
        <f>VLOOKUP(B3323,LifeList!$E$2:$G$2038,3)</f>
        <v>Anser caerulescens</v>
      </c>
      <c r="G3323" s="3" t="str">
        <f>VLOOKUP(B3323,LifeList!$E$2:$I$2038,4)</f>
        <v>Anseriformes</v>
      </c>
      <c r="H3323" s="3" t="str">
        <f>VLOOKUP(B3323,LifeList!$E$2:$I$2038,5)</f>
        <v>Anatidae (Ducks, Geese, and Waterfowl)</v>
      </c>
      <c r="I3323" s="3"/>
    </row>
    <row r="3324" spans="1:9" ht="10.5" customHeight="1">
      <c r="A3324" s="3" t="s">
        <v>4627</v>
      </c>
      <c r="B3324" s="3" t="s">
        <v>4626</v>
      </c>
      <c r="C3324" s="3">
        <f>VLOOKUP(B3324,LifeList!$E$2:$J$2038,6)</f>
        <v>267</v>
      </c>
      <c r="D3324" s="3" t="str">
        <f>VLOOKUP(B3324,LifeList!$E$2:$G$2038,1)</f>
        <v>Snow Goose</v>
      </c>
      <c r="E3324" s="3" t="str">
        <f>VLOOKUP(B3324,LifeList!$E$2:$G$2038,2)</f>
        <v>Oie des neiges</v>
      </c>
      <c r="F3324" s="3" t="str">
        <f>VLOOKUP(B3324,LifeList!$E$2:$G$2038,3)</f>
        <v>Anser caerulescens</v>
      </c>
      <c r="G3324" s="3" t="str">
        <f>VLOOKUP(B3324,LifeList!$E$2:$I$2038,4)</f>
        <v>Anseriformes</v>
      </c>
      <c r="H3324" s="3" t="str">
        <f>VLOOKUP(B3324,LifeList!$E$2:$I$2038,5)</f>
        <v>Anatidae (Ducks, Geese, and Waterfowl)</v>
      </c>
      <c r="I3324" s="3"/>
    </row>
    <row r="3325" spans="1:9" ht="10.5" customHeight="1">
      <c r="A3325" s="3" t="s">
        <v>4628</v>
      </c>
      <c r="B3325" s="3" t="s">
        <v>4626</v>
      </c>
      <c r="C3325" s="3">
        <f>VLOOKUP(B3325,LifeList!$E$2:$J$2038,6)</f>
        <v>267</v>
      </c>
      <c r="D3325" s="3" t="str">
        <f>VLOOKUP(B3325,LifeList!$E$2:$G$2038,1)</f>
        <v>Snow Goose</v>
      </c>
      <c r="E3325" s="3" t="str">
        <f>VLOOKUP(B3325,LifeList!$E$2:$G$2038,2)</f>
        <v>Oie des neiges</v>
      </c>
      <c r="F3325" s="3" t="str">
        <f>VLOOKUP(B3325,LifeList!$E$2:$G$2038,3)</f>
        <v>Anser caerulescens</v>
      </c>
      <c r="G3325" s="3" t="str">
        <f>VLOOKUP(B3325,LifeList!$E$2:$I$2038,4)</f>
        <v>Anseriformes</v>
      </c>
      <c r="H3325" s="3" t="str">
        <f>VLOOKUP(B3325,LifeList!$E$2:$I$2038,5)</f>
        <v>Anatidae (Ducks, Geese, and Waterfowl)</v>
      </c>
      <c r="I3325" s="3"/>
    </row>
    <row r="3326" spans="1:9" ht="10.5" customHeight="1">
      <c r="A3326" s="3" t="s">
        <v>4629</v>
      </c>
      <c r="B3326" s="3" t="s">
        <v>4626</v>
      </c>
      <c r="C3326" s="3">
        <f>VLOOKUP(B3326,LifeList!$E$2:$J$2038,6)</f>
        <v>267</v>
      </c>
      <c r="D3326" s="3" t="str">
        <f>VLOOKUP(B3326,LifeList!$E$2:$G$2038,1)</f>
        <v>Snow Goose</v>
      </c>
      <c r="E3326" s="3" t="str">
        <f>VLOOKUP(B3326,LifeList!$E$2:$G$2038,2)</f>
        <v>Oie des neiges</v>
      </c>
      <c r="F3326" s="3" t="str">
        <f>VLOOKUP(B3326,LifeList!$E$2:$G$2038,3)</f>
        <v>Anser caerulescens</v>
      </c>
      <c r="G3326" s="3" t="str">
        <f>VLOOKUP(B3326,LifeList!$E$2:$I$2038,4)</f>
        <v>Anseriformes</v>
      </c>
      <c r="H3326" s="3" t="str">
        <f>VLOOKUP(B3326,LifeList!$E$2:$I$2038,5)</f>
        <v>Anatidae (Ducks, Geese, and Waterfowl)</v>
      </c>
      <c r="I3326" s="3"/>
    </row>
    <row r="3327" spans="1:9" ht="10.5" customHeight="1">
      <c r="A3327" s="3" t="s">
        <v>4630</v>
      </c>
      <c r="B3327" s="3" t="s">
        <v>4626</v>
      </c>
      <c r="C3327" s="3">
        <f>VLOOKUP(B3327,LifeList!$E$2:$J$2038,6)</f>
        <v>267</v>
      </c>
      <c r="D3327" s="3" t="str">
        <f>VLOOKUP(B3327,LifeList!$E$2:$G$2038,1)</f>
        <v>Snow Goose</v>
      </c>
      <c r="E3327" s="3" t="str">
        <f>VLOOKUP(B3327,LifeList!$E$2:$G$2038,2)</f>
        <v>Oie des neiges</v>
      </c>
      <c r="F3327" s="3" t="str">
        <f>VLOOKUP(B3327,LifeList!$E$2:$G$2038,3)</f>
        <v>Anser caerulescens</v>
      </c>
      <c r="G3327" s="3" t="str">
        <f>VLOOKUP(B3327,LifeList!$E$2:$I$2038,4)</f>
        <v>Anseriformes</v>
      </c>
      <c r="H3327" s="3" t="str">
        <f>VLOOKUP(B3327,LifeList!$E$2:$I$2038,5)</f>
        <v>Anatidae (Ducks, Geese, and Waterfowl)</v>
      </c>
      <c r="I3327" s="3"/>
    </row>
    <row r="3328" spans="1:9" ht="10.5" customHeight="1">
      <c r="A3328" s="3" t="s">
        <v>4631</v>
      </c>
      <c r="B3328" s="3" t="s">
        <v>4626</v>
      </c>
      <c r="C3328" s="3">
        <f>VLOOKUP(B3328,LifeList!$E$2:$J$2038,6)</f>
        <v>267</v>
      </c>
      <c r="D3328" s="3" t="str">
        <f>VLOOKUP(B3328,LifeList!$E$2:$G$2038,1)</f>
        <v>Snow Goose</v>
      </c>
      <c r="E3328" s="3" t="str">
        <f>VLOOKUP(B3328,LifeList!$E$2:$G$2038,2)</f>
        <v>Oie des neiges</v>
      </c>
      <c r="F3328" s="3" t="str">
        <f>VLOOKUP(B3328,LifeList!$E$2:$G$2038,3)</f>
        <v>Anser caerulescens</v>
      </c>
      <c r="G3328" s="3" t="str">
        <f>VLOOKUP(B3328,LifeList!$E$2:$I$2038,4)</f>
        <v>Anseriformes</v>
      </c>
      <c r="H3328" s="3" t="str">
        <f>VLOOKUP(B3328,LifeList!$E$2:$I$2038,5)</f>
        <v>Anatidae (Ducks, Geese, and Waterfowl)</v>
      </c>
      <c r="I3328" s="3"/>
    </row>
    <row r="3329" spans="1:9" ht="10.5" customHeight="1">
      <c r="A3329" s="3" t="s">
        <v>4632</v>
      </c>
      <c r="B3329" s="3" t="s">
        <v>4626</v>
      </c>
      <c r="C3329" s="3">
        <f>VLOOKUP(B3329,LifeList!$E$2:$J$2038,6)</f>
        <v>267</v>
      </c>
      <c r="D3329" s="3" t="str">
        <f>VLOOKUP(B3329,LifeList!$E$2:$G$2038,1)</f>
        <v>Snow Goose</v>
      </c>
      <c r="E3329" s="3" t="str">
        <f>VLOOKUP(B3329,LifeList!$E$2:$G$2038,2)</f>
        <v>Oie des neiges</v>
      </c>
      <c r="F3329" s="3" t="str">
        <f>VLOOKUP(B3329,LifeList!$E$2:$G$2038,3)</f>
        <v>Anser caerulescens</v>
      </c>
      <c r="G3329" s="3" t="str">
        <f>VLOOKUP(B3329,LifeList!$E$2:$I$2038,4)</f>
        <v>Anseriformes</v>
      </c>
      <c r="H3329" s="3" t="str">
        <f>VLOOKUP(B3329,LifeList!$E$2:$I$2038,5)</f>
        <v>Anatidae (Ducks, Geese, and Waterfowl)</v>
      </c>
      <c r="I3329" s="3"/>
    </row>
    <row r="3330" spans="1:9" ht="10.5" customHeight="1">
      <c r="A3330" s="3" t="s">
        <v>4633</v>
      </c>
      <c r="B3330" s="3" t="s">
        <v>4626</v>
      </c>
      <c r="C3330" s="3">
        <f>VLOOKUP(B3330,LifeList!$E$2:$J$2038,6)</f>
        <v>267</v>
      </c>
      <c r="D3330" s="3" t="str">
        <f>VLOOKUP(B3330,LifeList!$E$2:$G$2038,1)</f>
        <v>Snow Goose</v>
      </c>
      <c r="E3330" s="3" t="str">
        <f>VLOOKUP(B3330,LifeList!$E$2:$G$2038,2)</f>
        <v>Oie des neiges</v>
      </c>
      <c r="F3330" s="3" t="str">
        <f>VLOOKUP(B3330,LifeList!$E$2:$G$2038,3)</f>
        <v>Anser caerulescens</v>
      </c>
      <c r="G3330" s="3" t="str">
        <f>VLOOKUP(B3330,LifeList!$E$2:$I$2038,4)</f>
        <v>Anseriformes</v>
      </c>
      <c r="H3330" s="3" t="str">
        <f>VLOOKUP(B3330,LifeList!$E$2:$I$2038,5)</f>
        <v>Anatidae (Ducks, Geese, and Waterfowl)</v>
      </c>
      <c r="I3330" s="3"/>
    </row>
    <row r="3331" spans="1:9" ht="10.5" customHeight="1">
      <c r="A3331" s="3" t="s">
        <v>4634</v>
      </c>
      <c r="B3331" s="3" t="s">
        <v>4626</v>
      </c>
      <c r="C3331" s="3">
        <f>VLOOKUP(B3331,LifeList!$E$2:$J$2038,6)</f>
        <v>267</v>
      </c>
      <c r="D3331" s="3" t="str">
        <f>VLOOKUP(B3331,LifeList!$E$2:$G$2038,1)</f>
        <v>Snow Goose</v>
      </c>
      <c r="E3331" s="3" t="str">
        <f>VLOOKUP(B3331,LifeList!$E$2:$G$2038,2)</f>
        <v>Oie des neiges</v>
      </c>
      <c r="F3331" s="3" t="str">
        <f>VLOOKUP(B3331,LifeList!$E$2:$G$2038,3)</f>
        <v>Anser caerulescens</v>
      </c>
      <c r="G3331" s="3" t="str">
        <f>VLOOKUP(B3331,LifeList!$E$2:$I$2038,4)</f>
        <v>Anseriformes</v>
      </c>
      <c r="H3331" s="3" t="str">
        <f>VLOOKUP(B3331,LifeList!$E$2:$I$2038,5)</f>
        <v>Anatidae (Ducks, Geese, and Waterfowl)</v>
      </c>
      <c r="I3331" s="3"/>
    </row>
    <row r="3332" spans="1:9" ht="10.5" customHeight="1">
      <c r="A3332" s="3" t="s">
        <v>4635</v>
      </c>
      <c r="B3332" s="3" t="s">
        <v>4626</v>
      </c>
      <c r="C3332" s="3">
        <f>VLOOKUP(B3332,LifeList!$E$2:$J$2038,6)</f>
        <v>267</v>
      </c>
      <c r="D3332" s="3" t="str">
        <f>VLOOKUP(B3332,LifeList!$E$2:$G$2038,1)</f>
        <v>Snow Goose</v>
      </c>
      <c r="E3332" s="3" t="str">
        <f>VLOOKUP(B3332,LifeList!$E$2:$G$2038,2)</f>
        <v>Oie des neiges</v>
      </c>
      <c r="F3332" s="3" t="str">
        <f>VLOOKUP(B3332,LifeList!$E$2:$G$2038,3)</f>
        <v>Anser caerulescens</v>
      </c>
      <c r="G3332" s="3" t="str">
        <f>VLOOKUP(B3332,LifeList!$E$2:$I$2038,4)</f>
        <v>Anseriformes</v>
      </c>
      <c r="H3332" s="3" t="str">
        <f>VLOOKUP(B3332,LifeList!$E$2:$I$2038,5)</f>
        <v>Anatidae (Ducks, Geese, and Waterfowl)</v>
      </c>
      <c r="I3332" s="3"/>
    </row>
    <row r="3333" spans="1:9" ht="10.5" customHeight="1">
      <c r="A3333" s="3" t="s">
        <v>4636</v>
      </c>
      <c r="B3333" s="3" t="s">
        <v>4626</v>
      </c>
      <c r="C3333" s="3">
        <f>VLOOKUP(B3333,LifeList!$E$2:$J$2038,6)</f>
        <v>267</v>
      </c>
      <c r="D3333" s="3" t="str">
        <f>VLOOKUP(B3333,LifeList!$E$2:$G$2038,1)</f>
        <v>Snow Goose</v>
      </c>
      <c r="E3333" s="3" t="str">
        <f>VLOOKUP(B3333,LifeList!$E$2:$G$2038,2)</f>
        <v>Oie des neiges</v>
      </c>
      <c r="F3333" s="3" t="str">
        <f>VLOOKUP(B3333,LifeList!$E$2:$G$2038,3)</f>
        <v>Anser caerulescens</v>
      </c>
      <c r="G3333" s="3" t="str">
        <f>VLOOKUP(B3333,LifeList!$E$2:$I$2038,4)</f>
        <v>Anseriformes</v>
      </c>
      <c r="H3333" s="3" t="str">
        <f>VLOOKUP(B3333,LifeList!$E$2:$I$2038,5)</f>
        <v>Anatidae (Ducks, Geese, and Waterfowl)</v>
      </c>
      <c r="I3333" s="3"/>
    </row>
    <row r="3334" spans="1:9" ht="10.5" customHeight="1">
      <c r="A3334" s="3" t="s">
        <v>4637</v>
      </c>
      <c r="B3334" s="3" t="s">
        <v>4638</v>
      </c>
      <c r="C3334" s="3">
        <f>VLOOKUP(B3334,LifeList!$E$2:$J$2038,6)</f>
        <v>5005</v>
      </c>
      <c r="D3334" s="3" t="str">
        <f>VLOOKUP(B3334,LifeList!$E$2:$G$2038,1)</f>
        <v>Snowcap</v>
      </c>
      <c r="E3334" s="3" t="str">
        <f>VLOOKUP(B3334,LifeList!$E$2:$G$2038,2)</f>
        <v>Colibri à coiffe blanche</v>
      </c>
      <c r="F3334" s="3" t="str">
        <f>VLOOKUP(B3334,LifeList!$E$2:$G$2038,3)</f>
        <v>Microchera albocoronata</v>
      </c>
      <c r="G3334" s="3" t="str">
        <f>VLOOKUP(B3334,LifeList!$E$2:$I$2038,4)</f>
        <v>Apodiformes</v>
      </c>
      <c r="H3334" s="3" t="str">
        <f>VLOOKUP(B3334,LifeList!$E$2:$I$2038,5)</f>
        <v>Trochilidae (Hummingbirds)</v>
      </c>
      <c r="I3334" s="3"/>
    </row>
    <row r="3335" spans="1:9" ht="10.5" customHeight="1">
      <c r="A3335" s="3" t="s">
        <v>4639</v>
      </c>
      <c r="B3335" s="3" t="s">
        <v>4638</v>
      </c>
      <c r="C3335" s="3">
        <f>VLOOKUP(B3335,LifeList!$E$2:$J$2038,6)</f>
        <v>5005</v>
      </c>
      <c r="D3335" s="3" t="str">
        <f>VLOOKUP(B3335,LifeList!$E$2:$G$2038,1)</f>
        <v>Snowcap</v>
      </c>
      <c r="E3335" s="3" t="str">
        <f>VLOOKUP(B3335,LifeList!$E$2:$G$2038,2)</f>
        <v>Colibri à coiffe blanche</v>
      </c>
      <c r="F3335" s="3" t="str">
        <f>VLOOKUP(B3335,LifeList!$E$2:$G$2038,3)</f>
        <v>Microchera albocoronata</v>
      </c>
      <c r="G3335" s="3" t="str">
        <f>VLOOKUP(B3335,LifeList!$E$2:$I$2038,4)</f>
        <v>Apodiformes</v>
      </c>
      <c r="H3335" s="3" t="str">
        <f>VLOOKUP(B3335,LifeList!$E$2:$I$2038,5)</f>
        <v>Trochilidae (Hummingbirds)</v>
      </c>
      <c r="I3335" s="3"/>
    </row>
    <row r="3336" spans="1:9" ht="10.5" customHeight="1">
      <c r="A3336" s="3" t="s">
        <v>4640</v>
      </c>
      <c r="B3336" s="3" t="s">
        <v>4638</v>
      </c>
      <c r="C3336" s="3">
        <f>VLOOKUP(B3336,LifeList!$E$2:$J$2038,6)</f>
        <v>5005</v>
      </c>
      <c r="D3336" s="3" t="str">
        <f>VLOOKUP(B3336,LifeList!$E$2:$G$2038,1)</f>
        <v>Snowcap</v>
      </c>
      <c r="E3336" s="3" t="str">
        <f>VLOOKUP(B3336,LifeList!$E$2:$G$2038,2)</f>
        <v>Colibri à coiffe blanche</v>
      </c>
      <c r="F3336" s="3" t="str">
        <f>VLOOKUP(B3336,LifeList!$E$2:$G$2038,3)</f>
        <v>Microchera albocoronata</v>
      </c>
      <c r="G3336" s="3" t="str">
        <f>VLOOKUP(B3336,LifeList!$E$2:$I$2038,4)</f>
        <v>Apodiformes</v>
      </c>
      <c r="H3336" s="3" t="str">
        <f>VLOOKUP(B3336,LifeList!$E$2:$I$2038,5)</f>
        <v>Trochilidae (Hummingbirds)</v>
      </c>
      <c r="I3336" s="3"/>
    </row>
    <row r="3337" spans="1:9" ht="10.5" customHeight="1">
      <c r="A3337" s="3" t="s">
        <v>4641</v>
      </c>
      <c r="B3337" s="3" t="s">
        <v>4638</v>
      </c>
      <c r="C3337" s="3">
        <f>VLOOKUP(B3337,LifeList!$E$2:$J$2038,6)</f>
        <v>5005</v>
      </c>
      <c r="D3337" s="3" t="str">
        <f>VLOOKUP(B3337,LifeList!$E$2:$G$2038,1)</f>
        <v>Snowcap</v>
      </c>
      <c r="E3337" s="3" t="str">
        <f>VLOOKUP(B3337,LifeList!$E$2:$G$2038,2)</f>
        <v>Colibri à coiffe blanche</v>
      </c>
      <c r="F3337" s="3" t="str">
        <f>VLOOKUP(B3337,LifeList!$E$2:$G$2038,3)</f>
        <v>Microchera albocoronata</v>
      </c>
      <c r="G3337" s="3" t="str">
        <f>VLOOKUP(B3337,LifeList!$E$2:$I$2038,4)</f>
        <v>Apodiformes</v>
      </c>
      <c r="H3337" s="3" t="str">
        <f>VLOOKUP(B3337,LifeList!$E$2:$I$2038,5)</f>
        <v>Trochilidae (Hummingbirds)</v>
      </c>
      <c r="I3337" s="3"/>
    </row>
    <row r="3338" spans="1:9" ht="10.5" customHeight="1">
      <c r="A3338" s="3" t="s">
        <v>4642</v>
      </c>
      <c r="B3338" s="3" t="s">
        <v>4638</v>
      </c>
      <c r="C3338" s="3">
        <f>VLOOKUP(B3338,LifeList!$E$2:$J$2038,6)</f>
        <v>5005</v>
      </c>
      <c r="D3338" s="3" t="str">
        <f>VLOOKUP(B3338,LifeList!$E$2:$G$2038,1)</f>
        <v>Snowcap</v>
      </c>
      <c r="E3338" s="3" t="str">
        <f>VLOOKUP(B3338,LifeList!$E$2:$G$2038,2)</f>
        <v>Colibri à coiffe blanche</v>
      </c>
      <c r="F3338" s="3" t="str">
        <f>VLOOKUP(B3338,LifeList!$E$2:$G$2038,3)</f>
        <v>Microchera albocoronata</v>
      </c>
      <c r="G3338" s="3" t="str">
        <f>VLOOKUP(B3338,LifeList!$E$2:$I$2038,4)</f>
        <v>Apodiformes</v>
      </c>
      <c r="H3338" s="3" t="str">
        <f>VLOOKUP(B3338,LifeList!$E$2:$I$2038,5)</f>
        <v>Trochilidae (Hummingbirds)</v>
      </c>
      <c r="I3338" s="3"/>
    </row>
    <row r="3339" spans="1:9" ht="10.5" customHeight="1">
      <c r="A3339" s="3" t="s">
        <v>4643</v>
      </c>
      <c r="B3339" s="3" t="s">
        <v>4644</v>
      </c>
      <c r="C3339" s="3">
        <f>VLOOKUP(B3339,LifeList!$E$2:$J$2038,6)</f>
        <v>15951</v>
      </c>
      <c r="D3339" s="3" t="str">
        <f>VLOOKUP(B3339,LifeList!$E$2:$G$2038,1)</f>
        <v>Snowy Cotinga</v>
      </c>
      <c r="E3339" s="3" t="str">
        <f>VLOOKUP(B3339,LifeList!$E$2:$G$2038,2)</f>
        <v>Cotinga neigeux</v>
      </c>
      <c r="F3339" s="3" t="str">
        <f>VLOOKUP(B3339,LifeList!$E$2:$G$2038,3)</f>
        <v>Carpodectes nitidus</v>
      </c>
      <c r="G3339" s="3" t="str">
        <f>VLOOKUP(B3339,LifeList!$E$2:$I$2038,4)</f>
        <v>Passeriformes</v>
      </c>
      <c r="H3339" s="3" t="str">
        <f>VLOOKUP(B3339,LifeList!$E$2:$I$2038,5)</f>
        <v>Cotingidae (Cotingas)</v>
      </c>
      <c r="I3339" s="3"/>
    </row>
    <row r="3340" spans="1:9" ht="10.5" customHeight="1">
      <c r="A3340" s="3" t="s">
        <v>4645</v>
      </c>
      <c r="B3340" s="3" t="s">
        <v>4644</v>
      </c>
      <c r="C3340" s="3">
        <f>VLOOKUP(B3340,LifeList!$E$2:$J$2038,6)</f>
        <v>15951</v>
      </c>
      <c r="D3340" s="3" t="str">
        <f>VLOOKUP(B3340,LifeList!$E$2:$G$2038,1)</f>
        <v>Snowy Cotinga</v>
      </c>
      <c r="E3340" s="3" t="str">
        <f>VLOOKUP(B3340,LifeList!$E$2:$G$2038,2)</f>
        <v>Cotinga neigeux</v>
      </c>
      <c r="F3340" s="3" t="str">
        <f>VLOOKUP(B3340,LifeList!$E$2:$G$2038,3)</f>
        <v>Carpodectes nitidus</v>
      </c>
      <c r="G3340" s="3" t="str">
        <f>VLOOKUP(B3340,LifeList!$E$2:$I$2038,4)</f>
        <v>Passeriformes</v>
      </c>
      <c r="H3340" s="3" t="str">
        <f>VLOOKUP(B3340,LifeList!$E$2:$I$2038,5)</f>
        <v>Cotingidae (Cotingas)</v>
      </c>
      <c r="I3340" s="3"/>
    </row>
    <row r="3341" spans="1:9" ht="10.5" customHeight="1">
      <c r="A3341" s="3" t="s">
        <v>4646</v>
      </c>
      <c r="B3341" s="3" t="s">
        <v>4647</v>
      </c>
      <c r="C3341" s="3">
        <f>VLOOKUP(B3341,LifeList!$E$2:$J$2038,6)</f>
        <v>7645</v>
      </c>
      <c r="D3341" s="3" t="str">
        <f>VLOOKUP(B3341,LifeList!$E$2:$G$2038,1)</f>
        <v>Snowy Egret</v>
      </c>
      <c r="E3341" s="3" t="str">
        <f>VLOOKUP(B3341,LifeList!$E$2:$G$2038,2)</f>
        <v>Aigrette neigeuse</v>
      </c>
      <c r="F3341" s="3" t="str">
        <f>VLOOKUP(B3341,LifeList!$E$2:$G$2038,3)</f>
        <v>Egretta thula</v>
      </c>
      <c r="G3341" s="3" t="str">
        <f>VLOOKUP(B3341,LifeList!$E$2:$I$2038,4)</f>
        <v>Pelecaniformes</v>
      </c>
      <c r="H3341" s="3" t="str">
        <f>VLOOKUP(B3341,LifeList!$E$2:$I$2038,5)</f>
        <v>Ardeidae (Herons, Egrets, and Bitterns)</v>
      </c>
      <c r="I3341" s="3"/>
    </row>
    <row r="3342" spans="1:9" ht="10.5" customHeight="1">
      <c r="A3342" s="3" t="s">
        <v>4648</v>
      </c>
      <c r="B3342" s="3" t="s">
        <v>4647</v>
      </c>
      <c r="C3342" s="3">
        <f>VLOOKUP(B3342,LifeList!$E$2:$J$2038,6)</f>
        <v>7645</v>
      </c>
      <c r="D3342" s="3" t="str">
        <f>VLOOKUP(B3342,LifeList!$E$2:$G$2038,1)</f>
        <v>Snowy Egret</v>
      </c>
      <c r="E3342" s="3" t="str">
        <f>VLOOKUP(B3342,LifeList!$E$2:$G$2038,2)</f>
        <v>Aigrette neigeuse</v>
      </c>
      <c r="F3342" s="3" t="str">
        <f>VLOOKUP(B3342,LifeList!$E$2:$G$2038,3)</f>
        <v>Egretta thula</v>
      </c>
      <c r="G3342" s="3" t="str">
        <f>VLOOKUP(B3342,LifeList!$E$2:$I$2038,4)</f>
        <v>Pelecaniformes</v>
      </c>
      <c r="H3342" s="3" t="str">
        <f>VLOOKUP(B3342,LifeList!$E$2:$I$2038,5)</f>
        <v>Ardeidae (Herons, Egrets, and Bitterns)</v>
      </c>
      <c r="I3342" s="3"/>
    </row>
    <row r="3343" spans="1:9" ht="10.5" customHeight="1">
      <c r="A3343" s="3" t="s">
        <v>4649</v>
      </c>
      <c r="B3343" s="3" t="s">
        <v>4647</v>
      </c>
      <c r="C3343" s="3">
        <f>VLOOKUP(B3343,LifeList!$E$2:$J$2038,6)</f>
        <v>7645</v>
      </c>
      <c r="D3343" s="3" t="str">
        <f>VLOOKUP(B3343,LifeList!$E$2:$G$2038,1)</f>
        <v>Snowy Egret</v>
      </c>
      <c r="E3343" s="3" t="str">
        <f>VLOOKUP(B3343,LifeList!$E$2:$G$2038,2)</f>
        <v>Aigrette neigeuse</v>
      </c>
      <c r="F3343" s="3" t="str">
        <f>VLOOKUP(B3343,LifeList!$E$2:$G$2038,3)</f>
        <v>Egretta thula</v>
      </c>
      <c r="G3343" s="3" t="str">
        <f>VLOOKUP(B3343,LifeList!$E$2:$I$2038,4)</f>
        <v>Pelecaniformes</v>
      </c>
      <c r="H3343" s="3" t="str">
        <f>VLOOKUP(B3343,LifeList!$E$2:$I$2038,5)</f>
        <v>Ardeidae (Herons, Egrets, and Bitterns)</v>
      </c>
      <c r="I3343" s="3"/>
    </row>
    <row r="3344" spans="1:9" ht="10.5" customHeight="1">
      <c r="A3344" s="3" t="s">
        <v>4650</v>
      </c>
      <c r="B3344" s="3" t="s">
        <v>4647</v>
      </c>
      <c r="C3344" s="3">
        <f>VLOOKUP(B3344,LifeList!$E$2:$J$2038,6)</f>
        <v>7645</v>
      </c>
      <c r="D3344" s="3" t="str">
        <f>VLOOKUP(B3344,LifeList!$E$2:$G$2038,1)</f>
        <v>Snowy Egret</v>
      </c>
      <c r="E3344" s="3" t="str">
        <f>VLOOKUP(B3344,LifeList!$E$2:$G$2038,2)</f>
        <v>Aigrette neigeuse</v>
      </c>
      <c r="F3344" s="3" t="str">
        <f>VLOOKUP(B3344,LifeList!$E$2:$G$2038,3)</f>
        <v>Egretta thula</v>
      </c>
      <c r="G3344" s="3" t="str">
        <f>VLOOKUP(B3344,LifeList!$E$2:$I$2038,4)</f>
        <v>Pelecaniformes</v>
      </c>
      <c r="H3344" s="3" t="str">
        <f>VLOOKUP(B3344,LifeList!$E$2:$I$2038,5)</f>
        <v>Ardeidae (Herons, Egrets, and Bitterns)</v>
      </c>
      <c r="I3344" s="3"/>
    </row>
    <row r="3345" spans="1:9" ht="10.5" customHeight="1">
      <c r="A3345" s="3" t="s">
        <v>4651</v>
      </c>
      <c r="B3345" s="3" t="s">
        <v>4647</v>
      </c>
      <c r="C3345" s="3">
        <f>VLOOKUP(B3345,LifeList!$E$2:$J$2038,6)</f>
        <v>7645</v>
      </c>
      <c r="D3345" s="3" t="str">
        <f>VLOOKUP(B3345,LifeList!$E$2:$G$2038,1)</f>
        <v>Snowy Egret</v>
      </c>
      <c r="E3345" s="3" t="str">
        <f>VLOOKUP(B3345,LifeList!$E$2:$G$2038,2)</f>
        <v>Aigrette neigeuse</v>
      </c>
      <c r="F3345" s="3" t="str">
        <f>VLOOKUP(B3345,LifeList!$E$2:$G$2038,3)</f>
        <v>Egretta thula</v>
      </c>
      <c r="G3345" s="3" t="str">
        <f>VLOOKUP(B3345,LifeList!$E$2:$I$2038,4)</f>
        <v>Pelecaniformes</v>
      </c>
      <c r="H3345" s="3" t="str">
        <f>VLOOKUP(B3345,LifeList!$E$2:$I$2038,5)</f>
        <v>Ardeidae (Herons, Egrets, and Bitterns)</v>
      </c>
      <c r="I3345" s="3"/>
    </row>
    <row r="3346" spans="1:9" ht="10.5" customHeight="1">
      <c r="A3346" s="3" t="s">
        <v>4652</v>
      </c>
      <c r="B3346" s="3" t="s">
        <v>4647</v>
      </c>
      <c r="C3346" s="3">
        <f>VLOOKUP(B3346,LifeList!$E$2:$J$2038,6)</f>
        <v>7645</v>
      </c>
      <c r="D3346" s="3" t="str">
        <f>VLOOKUP(B3346,LifeList!$E$2:$G$2038,1)</f>
        <v>Snowy Egret</v>
      </c>
      <c r="E3346" s="3" t="str">
        <f>VLOOKUP(B3346,LifeList!$E$2:$G$2038,2)</f>
        <v>Aigrette neigeuse</v>
      </c>
      <c r="F3346" s="3" t="str">
        <f>VLOOKUP(B3346,LifeList!$E$2:$G$2038,3)</f>
        <v>Egretta thula</v>
      </c>
      <c r="G3346" s="3" t="str">
        <f>VLOOKUP(B3346,LifeList!$E$2:$I$2038,4)</f>
        <v>Pelecaniformes</v>
      </c>
      <c r="H3346" s="3" t="str">
        <f>VLOOKUP(B3346,LifeList!$E$2:$I$2038,5)</f>
        <v>Ardeidae (Herons, Egrets, and Bitterns)</v>
      </c>
      <c r="I3346" s="3"/>
    </row>
    <row r="3347" spans="1:9" ht="10.5" customHeight="1">
      <c r="A3347" s="3" t="s">
        <v>4653</v>
      </c>
      <c r="B3347" s="3" t="s">
        <v>4647</v>
      </c>
      <c r="C3347" s="3">
        <f>VLOOKUP(B3347,LifeList!$E$2:$J$2038,6)</f>
        <v>7645</v>
      </c>
      <c r="D3347" s="3" t="str">
        <f>VLOOKUP(B3347,LifeList!$E$2:$G$2038,1)</f>
        <v>Snowy Egret</v>
      </c>
      <c r="E3347" s="3" t="str">
        <f>VLOOKUP(B3347,LifeList!$E$2:$G$2038,2)</f>
        <v>Aigrette neigeuse</v>
      </c>
      <c r="F3347" s="3" t="str">
        <f>VLOOKUP(B3347,LifeList!$E$2:$G$2038,3)</f>
        <v>Egretta thula</v>
      </c>
      <c r="G3347" s="3" t="str">
        <f>VLOOKUP(B3347,LifeList!$E$2:$I$2038,4)</f>
        <v>Pelecaniformes</v>
      </c>
      <c r="H3347" s="3" t="str">
        <f>VLOOKUP(B3347,LifeList!$E$2:$I$2038,5)</f>
        <v>Ardeidae (Herons, Egrets, and Bitterns)</v>
      </c>
      <c r="I3347" s="3"/>
    </row>
    <row r="3348" spans="1:9" ht="10.5" customHeight="1">
      <c r="A3348" s="3" t="s">
        <v>4654</v>
      </c>
      <c r="B3348" s="3" t="s">
        <v>4647</v>
      </c>
      <c r="C3348" s="3">
        <f>VLOOKUP(B3348,LifeList!$E$2:$J$2038,6)</f>
        <v>7645</v>
      </c>
      <c r="D3348" s="3" t="str">
        <f>VLOOKUP(B3348,LifeList!$E$2:$G$2038,1)</f>
        <v>Snowy Egret</v>
      </c>
      <c r="E3348" s="3" t="str">
        <f>VLOOKUP(B3348,LifeList!$E$2:$G$2038,2)</f>
        <v>Aigrette neigeuse</v>
      </c>
      <c r="F3348" s="3" t="str">
        <f>VLOOKUP(B3348,LifeList!$E$2:$G$2038,3)</f>
        <v>Egretta thula</v>
      </c>
      <c r="G3348" s="3" t="str">
        <f>VLOOKUP(B3348,LifeList!$E$2:$I$2038,4)</f>
        <v>Pelecaniformes</v>
      </c>
      <c r="H3348" s="3" t="str">
        <f>VLOOKUP(B3348,LifeList!$E$2:$I$2038,5)</f>
        <v>Ardeidae (Herons, Egrets, and Bitterns)</v>
      </c>
      <c r="I3348" s="3"/>
    </row>
    <row r="3349" spans="1:9" ht="10.5" customHeight="1">
      <c r="A3349" s="3" t="s">
        <v>4655</v>
      </c>
      <c r="B3349" s="3" t="s">
        <v>4647</v>
      </c>
      <c r="C3349" s="3">
        <f>VLOOKUP(B3349,LifeList!$E$2:$J$2038,6)</f>
        <v>7645</v>
      </c>
      <c r="D3349" s="3" t="str">
        <f>VLOOKUP(B3349,LifeList!$E$2:$G$2038,1)</f>
        <v>Snowy Egret</v>
      </c>
      <c r="E3349" s="3" t="str">
        <f>VLOOKUP(B3349,LifeList!$E$2:$G$2038,2)</f>
        <v>Aigrette neigeuse</v>
      </c>
      <c r="F3349" s="3" t="str">
        <f>VLOOKUP(B3349,LifeList!$E$2:$G$2038,3)</f>
        <v>Egretta thula</v>
      </c>
      <c r="G3349" s="3" t="str">
        <f>VLOOKUP(B3349,LifeList!$E$2:$I$2038,4)</f>
        <v>Pelecaniformes</v>
      </c>
      <c r="H3349" s="3" t="str">
        <f>VLOOKUP(B3349,LifeList!$E$2:$I$2038,5)</f>
        <v>Ardeidae (Herons, Egrets, and Bitterns)</v>
      </c>
      <c r="I3349" s="3"/>
    </row>
    <row r="3350" spans="1:9" ht="10.5" customHeight="1">
      <c r="A3350" s="3" t="s">
        <v>4656</v>
      </c>
      <c r="B3350" s="3" t="s">
        <v>4647</v>
      </c>
      <c r="C3350" s="3">
        <f>VLOOKUP(B3350,LifeList!$E$2:$J$2038,6)</f>
        <v>7645</v>
      </c>
      <c r="D3350" s="3" t="str">
        <f>VLOOKUP(B3350,LifeList!$E$2:$G$2038,1)</f>
        <v>Snowy Egret</v>
      </c>
      <c r="E3350" s="3" t="str">
        <f>VLOOKUP(B3350,LifeList!$E$2:$G$2038,2)</f>
        <v>Aigrette neigeuse</v>
      </c>
      <c r="F3350" s="3" t="str">
        <f>VLOOKUP(B3350,LifeList!$E$2:$G$2038,3)</f>
        <v>Egretta thula</v>
      </c>
      <c r="G3350" s="3" t="str">
        <f>VLOOKUP(B3350,LifeList!$E$2:$I$2038,4)</f>
        <v>Pelecaniformes</v>
      </c>
      <c r="H3350" s="3" t="str">
        <f>VLOOKUP(B3350,LifeList!$E$2:$I$2038,5)</f>
        <v>Ardeidae (Herons, Egrets, and Bitterns)</v>
      </c>
      <c r="I3350" s="3"/>
    </row>
    <row r="3351" spans="1:9" ht="10.5" customHeight="1">
      <c r="A3351" s="3" t="s">
        <v>4657</v>
      </c>
      <c r="B3351" s="3" t="s">
        <v>4647</v>
      </c>
      <c r="C3351" s="3">
        <f>VLOOKUP(B3351,LifeList!$E$2:$J$2038,6)</f>
        <v>7645</v>
      </c>
      <c r="D3351" s="3" t="str">
        <f>VLOOKUP(B3351,LifeList!$E$2:$G$2038,1)</f>
        <v>Snowy Egret</v>
      </c>
      <c r="E3351" s="3" t="str">
        <f>VLOOKUP(B3351,LifeList!$E$2:$G$2038,2)</f>
        <v>Aigrette neigeuse</v>
      </c>
      <c r="F3351" s="3" t="str">
        <f>VLOOKUP(B3351,LifeList!$E$2:$G$2038,3)</f>
        <v>Egretta thula</v>
      </c>
      <c r="G3351" s="3" t="str">
        <f>VLOOKUP(B3351,LifeList!$E$2:$I$2038,4)</f>
        <v>Pelecaniformes</v>
      </c>
      <c r="H3351" s="3" t="str">
        <f>VLOOKUP(B3351,LifeList!$E$2:$I$2038,5)</f>
        <v>Ardeidae (Herons, Egrets, and Bitterns)</v>
      </c>
      <c r="I3351" s="3"/>
    </row>
    <row r="3352" spans="1:9" ht="10.5" customHeight="1">
      <c r="A3352" s="3" t="s">
        <v>4658</v>
      </c>
      <c r="B3352" s="3" t="s">
        <v>4647</v>
      </c>
      <c r="C3352" s="3">
        <f>VLOOKUP(B3352,LifeList!$E$2:$J$2038,6)</f>
        <v>7645</v>
      </c>
      <c r="D3352" s="3" t="str">
        <f>VLOOKUP(B3352,LifeList!$E$2:$G$2038,1)</f>
        <v>Snowy Egret</v>
      </c>
      <c r="E3352" s="3" t="str">
        <f>VLOOKUP(B3352,LifeList!$E$2:$G$2038,2)</f>
        <v>Aigrette neigeuse</v>
      </c>
      <c r="F3352" s="3" t="str">
        <f>VLOOKUP(B3352,LifeList!$E$2:$G$2038,3)</f>
        <v>Egretta thula</v>
      </c>
      <c r="G3352" s="3" t="str">
        <f>VLOOKUP(B3352,LifeList!$E$2:$I$2038,4)</f>
        <v>Pelecaniformes</v>
      </c>
      <c r="H3352" s="3" t="str">
        <f>VLOOKUP(B3352,LifeList!$E$2:$I$2038,5)</f>
        <v>Ardeidae (Herons, Egrets, and Bitterns)</v>
      </c>
      <c r="I3352" s="3"/>
    </row>
    <row r="3353" spans="1:9" ht="10.5" customHeight="1">
      <c r="A3353" s="3" t="s">
        <v>4659</v>
      </c>
      <c r="B3353" s="3" t="s">
        <v>4660</v>
      </c>
      <c r="C3353" s="3">
        <f>VLOOKUP(B3353,LifeList!$E$2:$J$2038,6)</f>
        <v>8909</v>
      </c>
      <c r="D3353" s="3" t="str">
        <f>VLOOKUP(B3353,LifeList!$E$2:$G$2038,1)</f>
        <v>Snowy Owl</v>
      </c>
      <c r="E3353" s="3" t="str">
        <f>VLOOKUP(B3353,LifeList!$E$2:$G$2038,2)</f>
        <v>Harfang des neiges</v>
      </c>
      <c r="F3353" s="3" t="str">
        <f>VLOOKUP(B3353,LifeList!$E$2:$G$2038,3)</f>
        <v>Bubo scandiacus</v>
      </c>
      <c r="G3353" s="3" t="str">
        <f>VLOOKUP(B3353,LifeList!$E$2:$I$2038,4)</f>
        <v>Strigiformes</v>
      </c>
      <c r="H3353" s="3" t="str">
        <f>VLOOKUP(B3353,LifeList!$E$2:$I$2038,5)</f>
        <v>Strigidae (Owls)</v>
      </c>
      <c r="I3353" s="3"/>
    </row>
    <row r="3354" spans="1:9" ht="10.5" customHeight="1">
      <c r="A3354" s="3" t="s">
        <v>4661</v>
      </c>
      <c r="B3354" s="3" t="s">
        <v>4660</v>
      </c>
      <c r="C3354" s="3">
        <f>VLOOKUP(B3354,LifeList!$E$2:$J$2038,6)</f>
        <v>8909</v>
      </c>
      <c r="D3354" s="3" t="str">
        <f>VLOOKUP(B3354,LifeList!$E$2:$G$2038,1)</f>
        <v>Snowy Owl</v>
      </c>
      <c r="E3354" s="3" t="str">
        <f>VLOOKUP(B3354,LifeList!$E$2:$G$2038,2)</f>
        <v>Harfang des neiges</v>
      </c>
      <c r="F3354" s="3" t="str">
        <f>VLOOKUP(B3354,LifeList!$E$2:$G$2038,3)</f>
        <v>Bubo scandiacus</v>
      </c>
      <c r="G3354" s="3" t="str">
        <f>VLOOKUP(B3354,LifeList!$E$2:$I$2038,4)</f>
        <v>Strigiformes</v>
      </c>
      <c r="H3354" s="3" t="str">
        <f>VLOOKUP(B3354,LifeList!$E$2:$I$2038,5)</f>
        <v>Strigidae (Owls)</v>
      </c>
      <c r="I3354" s="3"/>
    </row>
    <row r="3355" spans="1:9" ht="10.5" customHeight="1">
      <c r="A3355" s="3" t="s">
        <v>4662</v>
      </c>
      <c r="B3355" s="3" t="s">
        <v>4660</v>
      </c>
      <c r="C3355" s="3">
        <f>VLOOKUP(B3355,LifeList!$E$2:$J$2038,6)</f>
        <v>8909</v>
      </c>
      <c r="D3355" s="3" t="str">
        <f>VLOOKUP(B3355,LifeList!$E$2:$G$2038,1)</f>
        <v>Snowy Owl</v>
      </c>
      <c r="E3355" s="3" t="str">
        <f>VLOOKUP(B3355,LifeList!$E$2:$G$2038,2)</f>
        <v>Harfang des neiges</v>
      </c>
      <c r="F3355" s="3" t="str">
        <f>VLOOKUP(B3355,LifeList!$E$2:$G$2038,3)</f>
        <v>Bubo scandiacus</v>
      </c>
      <c r="G3355" s="3" t="str">
        <f>VLOOKUP(B3355,LifeList!$E$2:$I$2038,4)</f>
        <v>Strigiformes</v>
      </c>
      <c r="H3355" s="3" t="str">
        <f>VLOOKUP(B3355,LifeList!$E$2:$I$2038,5)</f>
        <v>Strigidae (Owls)</v>
      </c>
      <c r="I3355" s="3"/>
    </row>
    <row r="3356" spans="1:9" ht="10.5" customHeight="1">
      <c r="A3356" s="3" t="s">
        <v>4663</v>
      </c>
      <c r="B3356" s="3" t="s">
        <v>4664</v>
      </c>
      <c r="C3356" s="3">
        <f>VLOOKUP(B3356,LifeList!$E$2:$J$2038,6)</f>
        <v>5941</v>
      </c>
      <c r="D3356" s="3" t="str">
        <f>VLOOKUP(B3356,LifeList!$E$2:$G$2038,1)</f>
        <v>Snowy Plover</v>
      </c>
      <c r="E3356" s="3" t="str">
        <f>VLOOKUP(B3356,LifeList!$E$2:$G$2038,2)</f>
        <v>Pluvier neigeux</v>
      </c>
      <c r="F3356" s="3" t="str">
        <f>VLOOKUP(B3356,LifeList!$E$2:$G$2038,3)</f>
        <v>Anarhynchus nivosus</v>
      </c>
      <c r="G3356" s="3" t="str">
        <f>VLOOKUP(B3356,LifeList!$E$2:$I$2038,4)</f>
        <v>Charadriiformes</v>
      </c>
      <c r="H3356" s="3" t="str">
        <f>VLOOKUP(B3356,LifeList!$E$2:$I$2038,5)</f>
        <v>Charadriidae (Plovers and Lapwings)</v>
      </c>
      <c r="I3356" s="3"/>
    </row>
    <row r="3357" spans="1:9" ht="10.5" customHeight="1">
      <c r="A3357" s="3" t="s">
        <v>4665</v>
      </c>
      <c r="B3357" s="3" t="s">
        <v>4664</v>
      </c>
      <c r="C3357" s="3">
        <f>VLOOKUP(B3357,LifeList!$E$2:$J$2038,6)</f>
        <v>5941</v>
      </c>
      <c r="D3357" s="3" t="str">
        <f>VLOOKUP(B3357,LifeList!$E$2:$G$2038,1)</f>
        <v>Snowy Plover</v>
      </c>
      <c r="E3357" s="3" t="str">
        <f>VLOOKUP(B3357,LifeList!$E$2:$G$2038,2)</f>
        <v>Pluvier neigeux</v>
      </c>
      <c r="F3357" s="3" t="str">
        <f>VLOOKUP(B3357,LifeList!$E$2:$G$2038,3)</f>
        <v>Anarhynchus nivosus</v>
      </c>
      <c r="G3357" s="3" t="str">
        <f>VLOOKUP(B3357,LifeList!$E$2:$I$2038,4)</f>
        <v>Charadriiformes</v>
      </c>
      <c r="H3357" s="3" t="str">
        <f>VLOOKUP(B3357,LifeList!$E$2:$I$2038,5)</f>
        <v>Charadriidae (Plovers and Lapwings)</v>
      </c>
      <c r="I3357" s="3"/>
    </row>
    <row r="3358" spans="1:9" ht="10.5" customHeight="1">
      <c r="A3358" s="3" t="s">
        <v>4666</v>
      </c>
      <c r="B3358" s="3" t="s">
        <v>4664</v>
      </c>
      <c r="C3358" s="3">
        <f>VLOOKUP(B3358,LifeList!$E$2:$J$2038,6)</f>
        <v>5941</v>
      </c>
      <c r="D3358" s="3" t="str">
        <f>VLOOKUP(B3358,LifeList!$E$2:$G$2038,1)</f>
        <v>Snowy Plover</v>
      </c>
      <c r="E3358" s="3" t="str">
        <f>VLOOKUP(B3358,LifeList!$E$2:$G$2038,2)</f>
        <v>Pluvier neigeux</v>
      </c>
      <c r="F3358" s="3" t="str">
        <f>VLOOKUP(B3358,LifeList!$E$2:$G$2038,3)</f>
        <v>Anarhynchus nivosus</v>
      </c>
      <c r="G3358" s="3" t="str">
        <f>VLOOKUP(B3358,LifeList!$E$2:$I$2038,4)</f>
        <v>Charadriiformes</v>
      </c>
      <c r="H3358" s="3" t="str">
        <f>VLOOKUP(B3358,LifeList!$E$2:$I$2038,5)</f>
        <v>Charadriidae (Plovers and Lapwings)</v>
      </c>
      <c r="I3358" s="3"/>
    </row>
    <row r="3359" spans="1:9" ht="10.5" customHeight="1">
      <c r="A3359" s="3" t="s">
        <v>4667</v>
      </c>
      <c r="B3359" s="3" t="s">
        <v>4664</v>
      </c>
      <c r="C3359" s="3">
        <f>VLOOKUP(B3359,LifeList!$E$2:$J$2038,6)</f>
        <v>5941</v>
      </c>
      <c r="D3359" s="3" t="str">
        <f>VLOOKUP(B3359,LifeList!$E$2:$G$2038,1)</f>
        <v>Snowy Plover</v>
      </c>
      <c r="E3359" s="3" t="str">
        <f>VLOOKUP(B3359,LifeList!$E$2:$G$2038,2)</f>
        <v>Pluvier neigeux</v>
      </c>
      <c r="F3359" s="3" t="str">
        <f>VLOOKUP(B3359,LifeList!$E$2:$G$2038,3)</f>
        <v>Anarhynchus nivosus</v>
      </c>
      <c r="G3359" s="3" t="str">
        <f>VLOOKUP(B3359,LifeList!$E$2:$I$2038,4)</f>
        <v>Charadriiformes</v>
      </c>
      <c r="H3359" s="3" t="str">
        <f>VLOOKUP(B3359,LifeList!$E$2:$I$2038,5)</f>
        <v>Charadriidae (Plovers and Lapwings)</v>
      </c>
      <c r="I3359" s="3"/>
    </row>
    <row r="3360" spans="1:9" ht="10.5" customHeight="1">
      <c r="A3360" s="5" t="s">
        <v>4668</v>
      </c>
      <c r="B3360" s="3" t="s">
        <v>4669</v>
      </c>
      <c r="C3360" s="3">
        <f>VLOOKUP(B3360,LifeList!$E$2:$J$2038,6)</f>
        <v>5071</v>
      </c>
      <c r="D3360" s="3" t="str">
        <f>VLOOKUP(B3360,LifeList!$E$2:$G$2038,1)</f>
        <v>Snowy-bellied Hummingbird</v>
      </c>
      <c r="E3360" s="3" t="str">
        <f>VLOOKUP(B3360,LifeList!$E$2:$G$2038,2)</f>
        <v>Ariane d'Edward</v>
      </c>
      <c r="F3360" s="3" t="str">
        <f>VLOOKUP(B3360,LifeList!$E$2:$G$2038,3)</f>
        <v>Saucerottia edward</v>
      </c>
      <c r="G3360" s="3" t="str">
        <f>VLOOKUP(B3360,LifeList!$E$2:$I$2038,4)</f>
        <v>Apodiformes</v>
      </c>
      <c r="H3360" s="3" t="str">
        <f>VLOOKUP(B3360,LifeList!$E$2:$I$2038,5)</f>
        <v>Trochilidae (Hummingbirds)</v>
      </c>
      <c r="I3360" s="3"/>
    </row>
    <row r="3361" spans="1:9" ht="10.5" customHeight="1">
      <c r="A3361" s="3" t="s">
        <v>4670</v>
      </c>
      <c r="B3361" s="3" t="s">
        <v>4671</v>
      </c>
      <c r="C3361" s="3">
        <f>VLOOKUP(B3361,LifeList!$E$2:$J$2038,6)</f>
        <v>17392</v>
      </c>
      <c r="D3361" s="3" t="str">
        <f>VLOOKUP(B3361,LifeList!$E$2:$G$2038,1)</f>
        <v>Social Flycatcher</v>
      </c>
      <c r="E3361" s="3" t="str">
        <f>VLOOKUP(B3361,LifeList!$E$2:$G$2038,2)</f>
        <v>Tyran sociable</v>
      </c>
      <c r="F3361" s="3" t="str">
        <f>VLOOKUP(B3361,LifeList!$E$2:$G$2038,3)</f>
        <v>Myiozetetes similis</v>
      </c>
      <c r="G3361" s="3" t="str">
        <f>VLOOKUP(B3361,LifeList!$E$2:$I$2038,4)</f>
        <v>Passeriformes</v>
      </c>
      <c r="H3361" s="3" t="str">
        <f>VLOOKUP(B3361,LifeList!$E$2:$I$2038,5)</f>
        <v>Tyrannidae (Tyrant Flycatchers)</v>
      </c>
      <c r="I3361" s="3"/>
    </row>
    <row r="3362" spans="1:9" ht="10.5" customHeight="1">
      <c r="A3362" s="3" t="s">
        <v>4672</v>
      </c>
      <c r="B3362" s="3" t="s">
        <v>4671</v>
      </c>
      <c r="C3362" s="3">
        <f>VLOOKUP(B3362,LifeList!$E$2:$J$2038,6)</f>
        <v>17392</v>
      </c>
      <c r="D3362" s="3" t="str">
        <f>VLOOKUP(B3362,LifeList!$E$2:$G$2038,1)</f>
        <v>Social Flycatcher</v>
      </c>
      <c r="E3362" s="3" t="str">
        <f>VLOOKUP(B3362,LifeList!$E$2:$G$2038,2)</f>
        <v>Tyran sociable</v>
      </c>
      <c r="F3362" s="3" t="str">
        <f>VLOOKUP(B3362,LifeList!$E$2:$G$2038,3)</f>
        <v>Myiozetetes similis</v>
      </c>
      <c r="G3362" s="3" t="str">
        <f>VLOOKUP(B3362,LifeList!$E$2:$I$2038,4)</f>
        <v>Passeriformes</v>
      </c>
      <c r="H3362" s="3" t="str">
        <f>VLOOKUP(B3362,LifeList!$E$2:$I$2038,5)</f>
        <v>Tyrannidae (Tyrant Flycatchers)</v>
      </c>
      <c r="I3362" s="3"/>
    </row>
    <row r="3363" spans="1:9" ht="10.5" customHeight="1">
      <c r="A3363" s="3" t="s">
        <v>4673</v>
      </c>
      <c r="B3363" s="3" t="s">
        <v>4671</v>
      </c>
      <c r="C3363" s="3">
        <f>VLOOKUP(B3363,LifeList!$E$2:$J$2038,6)</f>
        <v>17392</v>
      </c>
      <c r="D3363" s="3" t="str">
        <f>VLOOKUP(B3363,LifeList!$E$2:$G$2038,1)</f>
        <v>Social Flycatcher</v>
      </c>
      <c r="E3363" s="3" t="str">
        <f>VLOOKUP(B3363,LifeList!$E$2:$G$2038,2)</f>
        <v>Tyran sociable</v>
      </c>
      <c r="F3363" s="3" t="str">
        <f>VLOOKUP(B3363,LifeList!$E$2:$G$2038,3)</f>
        <v>Myiozetetes similis</v>
      </c>
      <c r="G3363" s="3" t="str">
        <f>VLOOKUP(B3363,LifeList!$E$2:$I$2038,4)</f>
        <v>Passeriformes</v>
      </c>
      <c r="H3363" s="3" t="str">
        <f>VLOOKUP(B3363,LifeList!$E$2:$I$2038,5)</f>
        <v>Tyrannidae (Tyrant Flycatchers)</v>
      </c>
      <c r="I3363" s="3"/>
    </row>
    <row r="3364" spans="1:9" ht="10.5" customHeight="1">
      <c r="A3364" s="3" t="s">
        <v>4674</v>
      </c>
      <c r="B3364" s="3" t="s">
        <v>4671</v>
      </c>
      <c r="C3364" s="3">
        <f>VLOOKUP(B3364,LifeList!$E$2:$J$2038,6)</f>
        <v>17392</v>
      </c>
      <c r="D3364" s="3" t="str">
        <f>VLOOKUP(B3364,LifeList!$E$2:$G$2038,1)</f>
        <v>Social Flycatcher</v>
      </c>
      <c r="E3364" s="3" t="str">
        <f>VLOOKUP(B3364,LifeList!$E$2:$G$2038,2)</f>
        <v>Tyran sociable</v>
      </c>
      <c r="F3364" s="3" t="str">
        <f>VLOOKUP(B3364,LifeList!$E$2:$G$2038,3)</f>
        <v>Myiozetetes similis</v>
      </c>
      <c r="G3364" s="3" t="str">
        <f>VLOOKUP(B3364,LifeList!$E$2:$I$2038,4)</f>
        <v>Passeriformes</v>
      </c>
      <c r="H3364" s="3" t="str">
        <f>VLOOKUP(B3364,LifeList!$E$2:$I$2038,5)</f>
        <v>Tyrannidae (Tyrant Flycatchers)</v>
      </c>
      <c r="I3364" s="3"/>
    </row>
    <row r="3365" spans="1:9" ht="10.5" customHeight="1">
      <c r="A3365" s="3" t="s">
        <v>4675</v>
      </c>
      <c r="B3365" s="3" t="s">
        <v>4671</v>
      </c>
      <c r="C3365" s="3">
        <f>VLOOKUP(B3365,LifeList!$E$2:$J$2038,6)</f>
        <v>17392</v>
      </c>
      <c r="D3365" s="3" t="str">
        <f>VLOOKUP(B3365,LifeList!$E$2:$G$2038,1)</f>
        <v>Social Flycatcher</v>
      </c>
      <c r="E3365" s="3" t="str">
        <f>VLOOKUP(B3365,LifeList!$E$2:$G$2038,2)</f>
        <v>Tyran sociable</v>
      </c>
      <c r="F3365" s="3" t="str">
        <f>VLOOKUP(B3365,LifeList!$E$2:$G$2038,3)</f>
        <v>Myiozetetes similis</v>
      </c>
      <c r="G3365" s="3" t="str">
        <f>VLOOKUP(B3365,LifeList!$E$2:$I$2038,4)</f>
        <v>Passeriformes</v>
      </c>
      <c r="H3365" s="3" t="str">
        <f>VLOOKUP(B3365,LifeList!$E$2:$I$2038,5)</f>
        <v>Tyrannidae (Tyrant Flycatchers)</v>
      </c>
      <c r="I3365" s="3"/>
    </row>
    <row r="3366" spans="1:9" ht="10.5" customHeight="1">
      <c r="A3366" s="3" t="s">
        <v>4676</v>
      </c>
      <c r="B3366" s="3" t="s">
        <v>4677</v>
      </c>
      <c r="C3366" s="3">
        <f>VLOOKUP(B3366,LifeList!$E$2:$J$2038,6)</f>
        <v>6129</v>
      </c>
      <c r="D3366" s="3" t="str">
        <f>VLOOKUP(B3366,LifeList!$E$2:$G$2038,1)</f>
        <v>Solitary Sandpiper</v>
      </c>
      <c r="E3366" s="3" t="str">
        <f>VLOOKUP(B3366,LifeList!$E$2:$G$2038,2)</f>
        <v>Chevalier solitaire</v>
      </c>
      <c r="F3366" s="3" t="str">
        <f>VLOOKUP(B3366,LifeList!$E$2:$G$2038,3)</f>
        <v>Tringa solitaria</v>
      </c>
      <c r="G3366" s="3" t="str">
        <f>VLOOKUP(B3366,LifeList!$E$2:$I$2038,4)</f>
        <v>Charadriiformes</v>
      </c>
      <c r="H3366" s="3" t="str">
        <f>VLOOKUP(B3366,LifeList!$E$2:$I$2038,5)</f>
        <v>Scolopacidae (Sandpipers and Allies)</v>
      </c>
      <c r="I3366" s="3"/>
    </row>
    <row r="3367" spans="1:9" ht="10.5" customHeight="1">
      <c r="A3367" s="3" t="s">
        <v>4678</v>
      </c>
      <c r="B3367" s="3" t="s">
        <v>4677</v>
      </c>
      <c r="C3367" s="3">
        <f>VLOOKUP(B3367,LifeList!$E$2:$J$2038,6)</f>
        <v>6129</v>
      </c>
      <c r="D3367" s="3" t="str">
        <f>VLOOKUP(B3367,LifeList!$E$2:$G$2038,1)</f>
        <v>Solitary Sandpiper</v>
      </c>
      <c r="E3367" s="3" t="str">
        <f>VLOOKUP(B3367,LifeList!$E$2:$G$2038,2)</f>
        <v>Chevalier solitaire</v>
      </c>
      <c r="F3367" s="3" t="str">
        <f>VLOOKUP(B3367,LifeList!$E$2:$G$2038,3)</f>
        <v>Tringa solitaria</v>
      </c>
      <c r="G3367" s="3" t="str">
        <f>VLOOKUP(B3367,LifeList!$E$2:$I$2038,4)</f>
        <v>Charadriiformes</v>
      </c>
      <c r="H3367" s="3" t="str">
        <f>VLOOKUP(B3367,LifeList!$E$2:$I$2038,5)</f>
        <v>Scolopacidae (Sandpipers and Allies)</v>
      </c>
      <c r="I3367" s="3"/>
    </row>
    <row r="3368" spans="1:9" ht="10.5" customHeight="1">
      <c r="A3368" s="3" t="s">
        <v>4679</v>
      </c>
      <c r="B3368" s="3" t="s">
        <v>4677</v>
      </c>
      <c r="C3368" s="3">
        <f>VLOOKUP(B3368,LifeList!$E$2:$J$2038,6)</f>
        <v>6129</v>
      </c>
      <c r="D3368" s="3" t="str">
        <f>VLOOKUP(B3368,LifeList!$E$2:$G$2038,1)</f>
        <v>Solitary Sandpiper</v>
      </c>
      <c r="E3368" s="3" t="str">
        <f>VLOOKUP(B3368,LifeList!$E$2:$G$2038,2)</f>
        <v>Chevalier solitaire</v>
      </c>
      <c r="F3368" s="3" t="str">
        <f>VLOOKUP(B3368,LifeList!$E$2:$G$2038,3)</f>
        <v>Tringa solitaria</v>
      </c>
      <c r="G3368" s="3" t="str">
        <f>VLOOKUP(B3368,LifeList!$E$2:$I$2038,4)</f>
        <v>Charadriiformes</v>
      </c>
      <c r="H3368" s="3" t="str">
        <f>VLOOKUP(B3368,LifeList!$E$2:$I$2038,5)</f>
        <v>Scolopacidae (Sandpipers and Allies)</v>
      </c>
      <c r="I3368" s="3"/>
    </row>
    <row r="3369" spans="1:9" ht="10.5" customHeight="1">
      <c r="A3369" s="3" t="s">
        <v>4680</v>
      </c>
      <c r="B3369" s="3" t="s">
        <v>4677</v>
      </c>
      <c r="C3369" s="3">
        <f>VLOOKUP(B3369,LifeList!$E$2:$J$2038,6)</f>
        <v>6129</v>
      </c>
      <c r="D3369" s="3" t="str">
        <f>VLOOKUP(B3369,LifeList!$E$2:$G$2038,1)</f>
        <v>Solitary Sandpiper</v>
      </c>
      <c r="E3369" s="3" t="str">
        <f>VLOOKUP(B3369,LifeList!$E$2:$G$2038,2)</f>
        <v>Chevalier solitaire</v>
      </c>
      <c r="F3369" s="3" t="str">
        <f>VLOOKUP(B3369,LifeList!$E$2:$G$2038,3)</f>
        <v>Tringa solitaria</v>
      </c>
      <c r="G3369" s="3" t="str">
        <f>VLOOKUP(B3369,LifeList!$E$2:$I$2038,4)</f>
        <v>Charadriiformes</v>
      </c>
      <c r="H3369" s="3" t="str">
        <f>VLOOKUP(B3369,LifeList!$E$2:$I$2038,5)</f>
        <v>Scolopacidae (Sandpipers and Allies)</v>
      </c>
      <c r="I3369" s="3"/>
    </row>
    <row r="3370" spans="1:9" ht="10.5" customHeight="1">
      <c r="A3370" s="3" t="s">
        <v>4681</v>
      </c>
      <c r="B3370" s="3" t="s">
        <v>4677</v>
      </c>
      <c r="C3370" s="3">
        <f>VLOOKUP(B3370,LifeList!$E$2:$J$2038,6)</f>
        <v>6129</v>
      </c>
      <c r="D3370" s="3" t="str">
        <f>VLOOKUP(B3370,LifeList!$E$2:$G$2038,1)</f>
        <v>Solitary Sandpiper</v>
      </c>
      <c r="E3370" s="3" t="str">
        <f>VLOOKUP(B3370,LifeList!$E$2:$G$2038,2)</f>
        <v>Chevalier solitaire</v>
      </c>
      <c r="F3370" s="3" t="str">
        <f>VLOOKUP(B3370,LifeList!$E$2:$G$2038,3)</f>
        <v>Tringa solitaria</v>
      </c>
      <c r="G3370" s="3" t="str">
        <f>VLOOKUP(B3370,LifeList!$E$2:$I$2038,4)</f>
        <v>Charadriiformes</v>
      </c>
      <c r="H3370" s="3" t="str">
        <f>VLOOKUP(B3370,LifeList!$E$2:$I$2038,5)</f>
        <v>Scolopacidae (Sandpipers and Allies)</v>
      </c>
      <c r="I3370" s="3"/>
    </row>
    <row r="3371" spans="1:9" ht="10.5" customHeight="1">
      <c r="A3371" s="3" t="s">
        <v>4682</v>
      </c>
      <c r="B3371" s="3" t="s">
        <v>4677</v>
      </c>
      <c r="C3371" s="3">
        <f>VLOOKUP(B3371,LifeList!$E$2:$J$2038,6)</f>
        <v>6129</v>
      </c>
      <c r="D3371" s="3" t="str">
        <f>VLOOKUP(B3371,LifeList!$E$2:$G$2038,1)</f>
        <v>Solitary Sandpiper</v>
      </c>
      <c r="E3371" s="3" t="str">
        <f>VLOOKUP(B3371,LifeList!$E$2:$G$2038,2)</f>
        <v>Chevalier solitaire</v>
      </c>
      <c r="F3371" s="3" t="str">
        <f>VLOOKUP(B3371,LifeList!$E$2:$G$2038,3)</f>
        <v>Tringa solitaria</v>
      </c>
      <c r="G3371" s="3" t="str">
        <f>VLOOKUP(B3371,LifeList!$E$2:$I$2038,4)</f>
        <v>Charadriiformes</v>
      </c>
      <c r="H3371" s="3" t="str">
        <f>VLOOKUP(B3371,LifeList!$E$2:$I$2038,5)</f>
        <v>Scolopacidae (Sandpipers and Allies)</v>
      </c>
      <c r="I3371" s="3"/>
    </row>
    <row r="3372" spans="1:9" ht="10.5" customHeight="1">
      <c r="A3372" s="3" t="s">
        <v>4683</v>
      </c>
      <c r="B3372" s="3" t="s">
        <v>4677</v>
      </c>
      <c r="C3372" s="3">
        <f>VLOOKUP(B3372,LifeList!$E$2:$J$2038,6)</f>
        <v>6129</v>
      </c>
      <c r="D3372" s="3" t="str">
        <f>VLOOKUP(B3372,LifeList!$E$2:$G$2038,1)</f>
        <v>Solitary Sandpiper</v>
      </c>
      <c r="E3372" s="3" t="str">
        <f>VLOOKUP(B3372,LifeList!$E$2:$G$2038,2)</f>
        <v>Chevalier solitaire</v>
      </c>
      <c r="F3372" s="3" t="str">
        <f>VLOOKUP(B3372,LifeList!$E$2:$G$2038,3)</f>
        <v>Tringa solitaria</v>
      </c>
      <c r="G3372" s="3" t="str">
        <f>VLOOKUP(B3372,LifeList!$E$2:$I$2038,4)</f>
        <v>Charadriiformes</v>
      </c>
      <c r="H3372" s="3" t="str">
        <f>VLOOKUP(B3372,LifeList!$E$2:$I$2038,5)</f>
        <v>Scolopacidae (Sandpipers and Allies)</v>
      </c>
      <c r="I3372" s="3"/>
    </row>
    <row r="3373" spans="1:9" ht="10.5" customHeight="1">
      <c r="A3373" s="3" t="s">
        <v>4684</v>
      </c>
      <c r="B3373" s="3" t="s">
        <v>4677</v>
      </c>
      <c r="C3373" s="3">
        <f>VLOOKUP(B3373,LifeList!$E$2:$J$2038,6)</f>
        <v>6129</v>
      </c>
      <c r="D3373" s="3" t="str">
        <f>VLOOKUP(B3373,LifeList!$E$2:$G$2038,1)</f>
        <v>Solitary Sandpiper</v>
      </c>
      <c r="E3373" s="3" t="str">
        <f>VLOOKUP(B3373,LifeList!$E$2:$G$2038,2)</f>
        <v>Chevalier solitaire</v>
      </c>
      <c r="F3373" s="3" t="str">
        <f>VLOOKUP(B3373,LifeList!$E$2:$G$2038,3)</f>
        <v>Tringa solitaria</v>
      </c>
      <c r="G3373" s="3" t="str">
        <f>VLOOKUP(B3373,LifeList!$E$2:$I$2038,4)</f>
        <v>Charadriiformes</v>
      </c>
      <c r="H3373" s="3" t="str">
        <f>VLOOKUP(B3373,LifeList!$E$2:$I$2038,5)</f>
        <v>Scolopacidae (Sandpipers and Allies)</v>
      </c>
      <c r="I3373" s="3"/>
    </row>
    <row r="3374" spans="1:9" ht="10.5" customHeight="1">
      <c r="A3374" s="3" t="s">
        <v>4685</v>
      </c>
      <c r="B3374" s="3" t="s">
        <v>4677</v>
      </c>
      <c r="C3374" s="3">
        <f>VLOOKUP(B3374,LifeList!$E$2:$J$2038,6)</f>
        <v>6129</v>
      </c>
      <c r="D3374" s="3" t="str">
        <f>VLOOKUP(B3374,LifeList!$E$2:$G$2038,1)</f>
        <v>Solitary Sandpiper</v>
      </c>
      <c r="E3374" s="3" t="str">
        <f>VLOOKUP(B3374,LifeList!$E$2:$G$2038,2)</f>
        <v>Chevalier solitaire</v>
      </c>
      <c r="F3374" s="3" t="str">
        <f>VLOOKUP(B3374,LifeList!$E$2:$G$2038,3)</f>
        <v>Tringa solitaria</v>
      </c>
      <c r="G3374" s="3" t="str">
        <f>VLOOKUP(B3374,LifeList!$E$2:$I$2038,4)</f>
        <v>Charadriiformes</v>
      </c>
      <c r="H3374" s="3" t="str">
        <f>VLOOKUP(B3374,LifeList!$E$2:$I$2038,5)</f>
        <v>Scolopacidae (Sandpipers and Allies)</v>
      </c>
      <c r="I3374" s="3"/>
    </row>
    <row r="3375" spans="1:9" ht="10.5" customHeight="1">
      <c r="A3375" s="3" t="s">
        <v>4686</v>
      </c>
      <c r="B3375" s="3" t="s">
        <v>4677</v>
      </c>
      <c r="C3375" s="3">
        <f>VLOOKUP(B3375,LifeList!$E$2:$J$2038,6)</f>
        <v>6129</v>
      </c>
      <c r="D3375" s="3" t="str">
        <f>VLOOKUP(B3375,LifeList!$E$2:$G$2038,1)</f>
        <v>Solitary Sandpiper</v>
      </c>
      <c r="E3375" s="3" t="str">
        <f>VLOOKUP(B3375,LifeList!$E$2:$G$2038,2)</f>
        <v>Chevalier solitaire</v>
      </c>
      <c r="F3375" s="3" t="str">
        <f>VLOOKUP(B3375,LifeList!$E$2:$G$2038,3)</f>
        <v>Tringa solitaria</v>
      </c>
      <c r="G3375" s="3" t="str">
        <f>VLOOKUP(B3375,LifeList!$E$2:$I$2038,4)</f>
        <v>Charadriiformes</v>
      </c>
      <c r="H3375" s="3" t="str">
        <f>VLOOKUP(B3375,LifeList!$E$2:$I$2038,5)</f>
        <v>Scolopacidae (Sandpipers and Allies)</v>
      </c>
      <c r="I3375" s="3"/>
    </row>
    <row r="3376" spans="1:9" ht="10.5" customHeight="1">
      <c r="A3376" s="3" t="s">
        <v>4687</v>
      </c>
      <c r="B3376" s="3" t="s">
        <v>4677</v>
      </c>
      <c r="C3376" s="3">
        <f>VLOOKUP(B3376,LifeList!$E$2:$J$2038,6)</f>
        <v>6129</v>
      </c>
      <c r="D3376" s="3" t="str">
        <f>VLOOKUP(B3376,LifeList!$E$2:$G$2038,1)</f>
        <v>Solitary Sandpiper</v>
      </c>
      <c r="E3376" s="3" t="str">
        <f>VLOOKUP(B3376,LifeList!$E$2:$G$2038,2)</f>
        <v>Chevalier solitaire</v>
      </c>
      <c r="F3376" s="3" t="str">
        <f>VLOOKUP(B3376,LifeList!$E$2:$G$2038,3)</f>
        <v>Tringa solitaria</v>
      </c>
      <c r="G3376" s="3" t="str">
        <f>VLOOKUP(B3376,LifeList!$E$2:$I$2038,4)</f>
        <v>Charadriiformes</v>
      </c>
      <c r="H3376" s="3" t="str">
        <f>VLOOKUP(B3376,LifeList!$E$2:$I$2038,5)</f>
        <v>Scolopacidae (Sandpipers and Allies)</v>
      </c>
      <c r="I3376" s="3"/>
    </row>
    <row r="3377" spans="1:9" ht="10.5" customHeight="1">
      <c r="A3377" s="3" t="s">
        <v>4688</v>
      </c>
      <c r="B3377" s="3" t="s">
        <v>4677</v>
      </c>
      <c r="C3377" s="3">
        <f>VLOOKUP(B3377,LifeList!$E$2:$J$2038,6)</f>
        <v>6129</v>
      </c>
      <c r="D3377" s="3" t="str">
        <f>VLOOKUP(B3377,LifeList!$E$2:$G$2038,1)</f>
        <v>Solitary Sandpiper</v>
      </c>
      <c r="E3377" s="3" t="str">
        <f>VLOOKUP(B3377,LifeList!$E$2:$G$2038,2)</f>
        <v>Chevalier solitaire</v>
      </c>
      <c r="F3377" s="3" t="str">
        <f>VLOOKUP(B3377,LifeList!$E$2:$G$2038,3)</f>
        <v>Tringa solitaria</v>
      </c>
      <c r="G3377" s="3" t="str">
        <f>VLOOKUP(B3377,LifeList!$E$2:$I$2038,4)</f>
        <v>Charadriiformes</v>
      </c>
      <c r="H3377" s="3" t="str">
        <f>VLOOKUP(B3377,LifeList!$E$2:$I$2038,5)</f>
        <v>Scolopacidae (Sandpipers and Allies)</v>
      </c>
      <c r="I3377" s="3"/>
    </row>
    <row r="3378" spans="1:9" ht="10.5" customHeight="1">
      <c r="A3378" s="3" t="s">
        <v>4689</v>
      </c>
      <c r="B3378" s="3" t="s">
        <v>4677</v>
      </c>
      <c r="C3378" s="3">
        <f>VLOOKUP(B3378,LifeList!$E$2:$J$2038,6)</f>
        <v>6129</v>
      </c>
      <c r="D3378" s="3" t="str">
        <f>VLOOKUP(B3378,LifeList!$E$2:$G$2038,1)</f>
        <v>Solitary Sandpiper</v>
      </c>
      <c r="E3378" s="3" t="str">
        <f>VLOOKUP(B3378,LifeList!$E$2:$G$2038,2)</f>
        <v>Chevalier solitaire</v>
      </c>
      <c r="F3378" s="3" t="str">
        <f>VLOOKUP(B3378,LifeList!$E$2:$G$2038,3)</f>
        <v>Tringa solitaria</v>
      </c>
      <c r="G3378" s="3" t="str">
        <f>VLOOKUP(B3378,LifeList!$E$2:$I$2038,4)</f>
        <v>Charadriiformes</v>
      </c>
      <c r="H3378" s="3" t="str">
        <f>VLOOKUP(B3378,LifeList!$E$2:$I$2038,5)</f>
        <v>Scolopacidae (Sandpipers and Allies)</v>
      </c>
      <c r="I3378" s="3"/>
    </row>
    <row r="3379" spans="1:9" ht="10.5" customHeight="1">
      <c r="A3379" s="3" t="s">
        <v>4690</v>
      </c>
      <c r="B3379" s="3" t="s">
        <v>4677</v>
      </c>
      <c r="C3379" s="3">
        <f>VLOOKUP(B3379,LifeList!$E$2:$J$2038,6)</f>
        <v>6129</v>
      </c>
      <c r="D3379" s="3" t="str">
        <f>VLOOKUP(B3379,LifeList!$E$2:$G$2038,1)</f>
        <v>Solitary Sandpiper</v>
      </c>
      <c r="E3379" s="3" t="str">
        <f>VLOOKUP(B3379,LifeList!$E$2:$G$2038,2)</f>
        <v>Chevalier solitaire</v>
      </c>
      <c r="F3379" s="3" t="str">
        <f>VLOOKUP(B3379,LifeList!$E$2:$G$2038,3)</f>
        <v>Tringa solitaria</v>
      </c>
      <c r="G3379" s="3" t="str">
        <f>VLOOKUP(B3379,LifeList!$E$2:$I$2038,4)</f>
        <v>Charadriiformes</v>
      </c>
      <c r="H3379" s="3" t="str">
        <f>VLOOKUP(B3379,LifeList!$E$2:$I$2038,5)</f>
        <v>Scolopacidae (Sandpipers and Allies)</v>
      </c>
      <c r="I3379" s="3"/>
    </row>
    <row r="3380" spans="1:9" ht="10.5" customHeight="1">
      <c r="A3380" s="5" t="s">
        <v>4691</v>
      </c>
      <c r="B3380" s="3" t="s">
        <v>4692</v>
      </c>
      <c r="C3380" s="6">
        <f>VLOOKUP(B3380,LifeList!$E$2:$J$2038,6)</f>
        <v>24307</v>
      </c>
      <c r="D3380" s="3" t="str">
        <f>VLOOKUP(B3380,LifeList!$E$2:$G$2038,1)</f>
        <v>Sombre Greenbul</v>
      </c>
      <c r="E3380" s="3" t="str">
        <f>VLOOKUP(B3380,LifeList!$E$2:$G$2038,2)</f>
        <v>Bulbul importun</v>
      </c>
      <c r="F3380" s="3" t="str">
        <f>VLOOKUP(B3380,LifeList!$E$2:$G$2038,3)</f>
        <v>Andropadus importunus</v>
      </c>
      <c r="G3380" s="3" t="str">
        <f>VLOOKUP(B3380,LifeList!$E$2:$I$2038,4)</f>
        <v>Passeriformes</v>
      </c>
      <c r="H3380" s="3" t="str">
        <f>VLOOKUP(B3380,LifeList!$E$2:$I$2038,5)</f>
        <v>Picnonotidae (Greenbuls)</v>
      </c>
      <c r="I3380" s="3"/>
    </row>
    <row r="3381" spans="1:9" ht="10.5" customHeight="1">
      <c r="A3381" s="3" t="s">
        <v>4693</v>
      </c>
      <c r="B3381" s="3" t="s">
        <v>4694</v>
      </c>
      <c r="C3381" s="3">
        <f>VLOOKUP(B3381,LifeList!$E$2:$J$2038,6)</f>
        <v>33277</v>
      </c>
      <c r="D3381" s="3" t="str">
        <f>VLOOKUP(B3381,LifeList!$E$2:$G$2038,1)</f>
        <v>Song Sparrow</v>
      </c>
      <c r="E3381" s="3" t="str">
        <f>VLOOKUP(B3381,LifeList!$E$2:$G$2038,2)</f>
        <v>Bruant chanteur</v>
      </c>
      <c r="F3381" s="3" t="str">
        <f>VLOOKUP(B3381,LifeList!$E$2:$G$2038,3)</f>
        <v>Melospiza melodia</v>
      </c>
      <c r="G3381" s="3" t="str">
        <f>VLOOKUP(B3381,LifeList!$E$2:$I$2038,4)</f>
        <v>Passeriformes</v>
      </c>
      <c r="H3381" s="3" t="str">
        <f>VLOOKUP(B3381,LifeList!$E$2:$I$2038,5)</f>
        <v>Passerellidae (New World Sparrows)</v>
      </c>
      <c r="I3381" s="3"/>
    </row>
    <row r="3382" spans="1:9" ht="10.5" customHeight="1">
      <c r="A3382" s="3" t="s">
        <v>4695</v>
      </c>
      <c r="B3382" s="3" t="s">
        <v>4694</v>
      </c>
      <c r="C3382" s="3">
        <f>VLOOKUP(B3382,LifeList!$E$2:$J$2038,6)</f>
        <v>33277</v>
      </c>
      <c r="D3382" s="3" t="str">
        <f>VLOOKUP(B3382,LifeList!$E$2:$G$2038,1)</f>
        <v>Song Sparrow</v>
      </c>
      <c r="E3382" s="3" t="str">
        <f>VLOOKUP(B3382,LifeList!$E$2:$G$2038,2)</f>
        <v>Bruant chanteur</v>
      </c>
      <c r="F3382" s="3" t="str">
        <f>VLOOKUP(B3382,LifeList!$E$2:$G$2038,3)</f>
        <v>Melospiza melodia</v>
      </c>
      <c r="G3382" s="3" t="str">
        <f>VLOOKUP(B3382,LifeList!$E$2:$I$2038,4)</f>
        <v>Passeriformes</v>
      </c>
      <c r="H3382" s="3" t="str">
        <f>VLOOKUP(B3382,LifeList!$E$2:$I$2038,5)</f>
        <v>Passerellidae (New World Sparrows)</v>
      </c>
      <c r="I3382" s="3"/>
    </row>
    <row r="3383" spans="1:9" ht="10.5" customHeight="1">
      <c r="A3383" s="3" t="s">
        <v>4696</v>
      </c>
      <c r="B3383" s="3" t="s">
        <v>4694</v>
      </c>
      <c r="C3383" s="3">
        <f>VLOOKUP(B3383,LifeList!$E$2:$J$2038,6)</f>
        <v>33277</v>
      </c>
      <c r="D3383" s="3" t="str">
        <f>VLOOKUP(B3383,LifeList!$E$2:$G$2038,1)</f>
        <v>Song Sparrow</v>
      </c>
      <c r="E3383" s="3" t="str">
        <f>VLOOKUP(B3383,LifeList!$E$2:$G$2038,2)</f>
        <v>Bruant chanteur</v>
      </c>
      <c r="F3383" s="3" t="str">
        <f>VLOOKUP(B3383,LifeList!$E$2:$G$2038,3)</f>
        <v>Melospiza melodia</v>
      </c>
      <c r="G3383" s="3" t="str">
        <f>VLOOKUP(B3383,LifeList!$E$2:$I$2038,4)</f>
        <v>Passeriformes</v>
      </c>
      <c r="H3383" s="3" t="str">
        <f>VLOOKUP(B3383,LifeList!$E$2:$I$2038,5)</f>
        <v>Passerellidae (New World Sparrows)</v>
      </c>
      <c r="I3383" s="3"/>
    </row>
    <row r="3384" spans="1:9" ht="10.5" customHeight="1">
      <c r="A3384" s="3" t="s">
        <v>4697</v>
      </c>
      <c r="B3384" s="3" t="s">
        <v>4694</v>
      </c>
      <c r="C3384" s="3">
        <f>VLOOKUP(B3384,LifeList!$E$2:$J$2038,6)</f>
        <v>33277</v>
      </c>
      <c r="D3384" s="3" t="str">
        <f>VLOOKUP(B3384,LifeList!$E$2:$G$2038,1)</f>
        <v>Song Sparrow</v>
      </c>
      <c r="E3384" s="3" t="str">
        <f>VLOOKUP(B3384,LifeList!$E$2:$G$2038,2)</f>
        <v>Bruant chanteur</v>
      </c>
      <c r="F3384" s="3" t="str">
        <f>VLOOKUP(B3384,LifeList!$E$2:$G$2038,3)</f>
        <v>Melospiza melodia</v>
      </c>
      <c r="G3384" s="3" t="str">
        <f>VLOOKUP(B3384,LifeList!$E$2:$I$2038,4)</f>
        <v>Passeriformes</v>
      </c>
      <c r="H3384" s="3" t="str">
        <f>VLOOKUP(B3384,LifeList!$E$2:$I$2038,5)</f>
        <v>Passerellidae (New World Sparrows)</v>
      </c>
      <c r="I3384" s="3"/>
    </row>
    <row r="3385" spans="1:9" ht="10.5" customHeight="1">
      <c r="A3385" s="3" t="s">
        <v>4698</v>
      </c>
      <c r="B3385" s="3" t="s">
        <v>4694</v>
      </c>
      <c r="C3385" s="3">
        <f>VLOOKUP(B3385,LifeList!$E$2:$J$2038,6)</f>
        <v>33277</v>
      </c>
      <c r="D3385" s="3" t="str">
        <f>VLOOKUP(B3385,LifeList!$E$2:$G$2038,1)</f>
        <v>Song Sparrow</v>
      </c>
      <c r="E3385" s="3" t="str">
        <f>VLOOKUP(B3385,LifeList!$E$2:$G$2038,2)</f>
        <v>Bruant chanteur</v>
      </c>
      <c r="F3385" s="3" t="str">
        <f>VLOOKUP(B3385,LifeList!$E$2:$G$2038,3)</f>
        <v>Melospiza melodia</v>
      </c>
      <c r="G3385" s="3" t="str">
        <f>VLOOKUP(B3385,LifeList!$E$2:$I$2038,4)</f>
        <v>Passeriformes</v>
      </c>
      <c r="H3385" s="3" t="str">
        <f>VLOOKUP(B3385,LifeList!$E$2:$I$2038,5)</f>
        <v>Passerellidae (New World Sparrows)</v>
      </c>
      <c r="I3385" s="3"/>
    </row>
    <row r="3386" spans="1:9" ht="10.5" customHeight="1">
      <c r="A3386" s="3" t="s">
        <v>4699</v>
      </c>
      <c r="B3386" s="3" t="s">
        <v>4694</v>
      </c>
      <c r="C3386" s="3">
        <f>VLOOKUP(B3386,LifeList!$E$2:$J$2038,6)</f>
        <v>33277</v>
      </c>
      <c r="D3386" s="3" t="str">
        <f>VLOOKUP(B3386,LifeList!$E$2:$G$2038,1)</f>
        <v>Song Sparrow</v>
      </c>
      <c r="E3386" s="3" t="str">
        <f>VLOOKUP(B3386,LifeList!$E$2:$G$2038,2)</f>
        <v>Bruant chanteur</v>
      </c>
      <c r="F3386" s="3" t="str">
        <f>VLOOKUP(B3386,LifeList!$E$2:$G$2038,3)</f>
        <v>Melospiza melodia</v>
      </c>
      <c r="G3386" s="3" t="str">
        <f>VLOOKUP(B3386,LifeList!$E$2:$I$2038,4)</f>
        <v>Passeriformes</v>
      </c>
      <c r="H3386" s="3" t="str">
        <f>VLOOKUP(B3386,LifeList!$E$2:$I$2038,5)</f>
        <v>Passerellidae (New World Sparrows)</v>
      </c>
      <c r="I3386" s="3"/>
    </row>
    <row r="3387" spans="1:9" ht="10.5" customHeight="1">
      <c r="A3387" s="3" t="s">
        <v>4700</v>
      </c>
      <c r="B3387" s="3" t="s">
        <v>4694</v>
      </c>
      <c r="C3387" s="3">
        <f>VLOOKUP(B3387,LifeList!$E$2:$J$2038,6)</f>
        <v>33277</v>
      </c>
      <c r="D3387" s="3" t="str">
        <f>VLOOKUP(B3387,LifeList!$E$2:$G$2038,1)</f>
        <v>Song Sparrow</v>
      </c>
      <c r="E3387" s="3" t="str">
        <f>VLOOKUP(B3387,LifeList!$E$2:$G$2038,2)</f>
        <v>Bruant chanteur</v>
      </c>
      <c r="F3387" s="3" t="str">
        <f>VLOOKUP(B3387,LifeList!$E$2:$G$2038,3)</f>
        <v>Melospiza melodia</v>
      </c>
      <c r="G3387" s="3" t="str">
        <f>VLOOKUP(B3387,LifeList!$E$2:$I$2038,4)</f>
        <v>Passeriformes</v>
      </c>
      <c r="H3387" s="3" t="str">
        <f>VLOOKUP(B3387,LifeList!$E$2:$I$2038,5)</f>
        <v>Passerellidae (New World Sparrows)</v>
      </c>
      <c r="I3387" s="3"/>
    </row>
    <row r="3388" spans="1:9" ht="10.5" customHeight="1">
      <c r="A3388" s="3" t="s">
        <v>4701</v>
      </c>
      <c r="B3388" s="3" t="s">
        <v>4694</v>
      </c>
      <c r="C3388" s="3">
        <f>VLOOKUP(B3388,LifeList!$E$2:$J$2038,6)</f>
        <v>33277</v>
      </c>
      <c r="D3388" s="3" t="str">
        <f>VLOOKUP(B3388,LifeList!$E$2:$G$2038,1)</f>
        <v>Song Sparrow</v>
      </c>
      <c r="E3388" s="3" t="str">
        <f>VLOOKUP(B3388,LifeList!$E$2:$G$2038,2)</f>
        <v>Bruant chanteur</v>
      </c>
      <c r="F3388" s="3" t="str">
        <f>VLOOKUP(B3388,LifeList!$E$2:$G$2038,3)</f>
        <v>Melospiza melodia</v>
      </c>
      <c r="G3388" s="3" t="str">
        <f>VLOOKUP(B3388,LifeList!$E$2:$I$2038,4)</f>
        <v>Passeriformes</v>
      </c>
      <c r="H3388" s="3" t="str">
        <f>VLOOKUP(B3388,LifeList!$E$2:$I$2038,5)</f>
        <v>Passerellidae (New World Sparrows)</v>
      </c>
      <c r="I3388" s="3"/>
    </row>
    <row r="3389" spans="1:9" ht="10.5" customHeight="1">
      <c r="A3389" s="3" t="s">
        <v>4702</v>
      </c>
      <c r="B3389" s="3" t="s">
        <v>4694</v>
      </c>
      <c r="C3389" s="3">
        <f>VLOOKUP(B3389,LifeList!$E$2:$J$2038,6)</f>
        <v>33277</v>
      </c>
      <c r="D3389" s="3" t="str">
        <f>VLOOKUP(B3389,LifeList!$E$2:$G$2038,1)</f>
        <v>Song Sparrow</v>
      </c>
      <c r="E3389" s="3" t="str">
        <f>VLOOKUP(B3389,LifeList!$E$2:$G$2038,2)</f>
        <v>Bruant chanteur</v>
      </c>
      <c r="F3389" s="3" t="str">
        <f>VLOOKUP(B3389,LifeList!$E$2:$G$2038,3)</f>
        <v>Melospiza melodia</v>
      </c>
      <c r="G3389" s="3" t="str">
        <f>VLOOKUP(B3389,LifeList!$E$2:$I$2038,4)</f>
        <v>Passeriformes</v>
      </c>
      <c r="H3389" s="3" t="str">
        <f>VLOOKUP(B3389,LifeList!$E$2:$I$2038,5)</f>
        <v>Passerellidae (New World Sparrows)</v>
      </c>
      <c r="I3389" s="3"/>
    </row>
    <row r="3390" spans="1:9" ht="10.5" customHeight="1">
      <c r="A3390" s="3" t="s">
        <v>4703</v>
      </c>
      <c r="B3390" s="3" t="s">
        <v>4694</v>
      </c>
      <c r="C3390" s="3">
        <f>VLOOKUP(B3390,LifeList!$E$2:$J$2038,6)</f>
        <v>33277</v>
      </c>
      <c r="D3390" s="3" t="str">
        <f>VLOOKUP(B3390,LifeList!$E$2:$G$2038,1)</f>
        <v>Song Sparrow</v>
      </c>
      <c r="E3390" s="3" t="str">
        <f>VLOOKUP(B3390,LifeList!$E$2:$G$2038,2)</f>
        <v>Bruant chanteur</v>
      </c>
      <c r="F3390" s="3" t="str">
        <f>VLOOKUP(B3390,LifeList!$E$2:$G$2038,3)</f>
        <v>Melospiza melodia</v>
      </c>
      <c r="G3390" s="3" t="str">
        <f>VLOOKUP(B3390,LifeList!$E$2:$I$2038,4)</f>
        <v>Passeriformes</v>
      </c>
      <c r="H3390" s="3" t="str">
        <f>VLOOKUP(B3390,LifeList!$E$2:$I$2038,5)</f>
        <v>Passerellidae (New World Sparrows)</v>
      </c>
      <c r="I3390" s="3"/>
    </row>
    <row r="3391" spans="1:9" ht="10.5" customHeight="1">
      <c r="A3391" s="3" t="s">
        <v>4704</v>
      </c>
      <c r="B3391" s="3" t="s">
        <v>4694</v>
      </c>
      <c r="C3391" s="3">
        <f>VLOOKUP(B3391,LifeList!$E$2:$J$2038,6)</f>
        <v>33277</v>
      </c>
      <c r="D3391" s="3" t="str">
        <f>VLOOKUP(B3391,LifeList!$E$2:$G$2038,1)</f>
        <v>Song Sparrow</v>
      </c>
      <c r="E3391" s="3" t="str">
        <f>VLOOKUP(B3391,LifeList!$E$2:$G$2038,2)</f>
        <v>Bruant chanteur</v>
      </c>
      <c r="F3391" s="3" t="str">
        <f>VLOOKUP(B3391,LifeList!$E$2:$G$2038,3)</f>
        <v>Melospiza melodia</v>
      </c>
      <c r="G3391" s="3" t="str">
        <f>VLOOKUP(B3391,LifeList!$E$2:$I$2038,4)</f>
        <v>Passeriformes</v>
      </c>
      <c r="H3391" s="3" t="str">
        <f>VLOOKUP(B3391,LifeList!$E$2:$I$2038,5)</f>
        <v>Passerellidae (New World Sparrows)</v>
      </c>
      <c r="I3391" s="3"/>
    </row>
    <row r="3392" spans="1:9" ht="10.5" customHeight="1">
      <c r="A3392" s="3" t="s">
        <v>4705</v>
      </c>
      <c r="B3392" s="3" t="s">
        <v>4694</v>
      </c>
      <c r="C3392" s="3">
        <f>VLOOKUP(B3392,LifeList!$E$2:$J$2038,6)</f>
        <v>33277</v>
      </c>
      <c r="D3392" s="3" t="str">
        <f>VLOOKUP(B3392,LifeList!$E$2:$G$2038,1)</f>
        <v>Song Sparrow</v>
      </c>
      <c r="E3392" s="3" t="str">
        <f>VLOOKUP(B3392,LifeList!$E$2:$G$2038,2)</f>
        <v>Bruant chanteur</v>
      </c>
      <c r="F3392" s="3" t="str">
        <f>VLOOKUP(B3392,LifeList!$E$2:$G$2038,3)</f>
        <v>Melospiza melodia</v>
      </c>
      <c r="G3392" s="3" t="str">
        <f>VLOOKUP(B3392,LifeList!$E$2:$I$2038,4)</f>
        <v>Passeriformes</v>
      </c>
      <c r="H3392" s="3" t="str">
        <f>VLOOKUP(B3392,LifeList!$E$2:$I$2038,5)</f>
        <v>Passerellidae (New World Sparrows)</v>
      </c>
      <c r="I3392" s="3"/>
    </row>
    <row r="3393" spans="1:9" ht="10.5" customHeight="1">
      <c r="A3393" s="3" t="s">
        <v>4706</v>
      </c>
      <c r="B3393" s="3" t="s">
        <v>4694</v>
      </c>
      <c r="C3393" s="3">
        <f>VLOOKUP(B3393,LifeList!$E$2:$J$2038,6)</f>
        <v>33277</v>
      </c>
      <c r="D3393" s="3" t="str">
        <f>VLOOKUP(B3393,LifeList!$E$2:$G$2038,1)</f>
        <v>Song Sparrow</v>
      </c>
      <c r="E3393" s="3" t="str">
        <f>VLOOKUP(B3393,LifeList!$E$2:$G$2038,2)</f>
        <v>Bruant chanteur</v>
      </c>
      <c r="F3393" s="3" t="str">
        <f>VLOOKUP(B3393,LifeList!$E$2:$G$2038,3)</f>
        <v>Melospiza melodia</v>
      </c>
      <c r="G3393" s="3" t="str">
        <f>VLOOKUP(B3393,LifeList!$E$2:$I$2038,4)</f>
        <v>Passeriformes</v>
      </c>
      <c r="H3393" s="3" t="str">
        <f>VLOOKUP(B3393,LifeList!$E$2:$I$2038,5)</f>
        <v>Passerellidae (New World Sparrows)</v>
      </c>
      <c r="I3393" s="3"/>
    </row>
    <row r="3394" spans="1:9" ht="10.5" customHeight="1">
      <c r="A3394" s="3" t="s">
        <v>4707</v>
      </c>
      <c r="B3394" s="3" t="s">
        <v>4694</v>
      </c>
      <c r="C3394" s="3">
        <f>VLOOKUP(B3394,LifeList!$E$2:$J$2038,6)</f>
        <v>33277</v>
      </c>
      <c r="D3394" s="3" t="str">
        <f>VLOOKUP(B3394,LifeList!$E$2:$G$2038,1)</f>
        <v>Song Sparrow</v>
      </c>
      <c r="E3394" s="3" t="str">
        <f>VLOOKUP(B3394,LifeList!$E$2:$G$2038,2)</f>
        <v>Bruant chanteur</v>
      </c>
      <c r="F3394" s="3" t="str">
        <f>VLOOKUP(B3394,LifeList!$E$2:$G$2038,3)</f>
        <v>Melospiza melodia</v>
      </c>
      <c r="G3394" s="3" t="str">
        <f>VLOOKUP(B3394,LifeList!$E$2:$I$2038,4)</f>
        <v>Passeriformes</v>
      </c>
      <c r="H3394" s="3" t="str">
        <f>VLOOKUP(B3394,LifeList!$E$2:$I$2038,5)</f>
        <v>Passerellidae (New World Sparrows)</v>
      </c>
      <c r="I3394" s="3"/>
    </row>
    <row r="3395" spans="1:9" ht="10.5" customHeight="1">
      <c r="A3395" s="3" t="s">
        <v>4708</v>
      </c>
      <c r="B3395" s="3" t="s">
        <v>4709</v>
      </c>
      <c r="C3395" s="3">
        <f>VLOOKUP(B3395,LifeList!$E$2:$J$2038,6)</f>
        <v>27633</v>
      </c>
      <c r="D3395" s="3" t="str">
        <f>VLOOKUP(B3395,LifeList!$E$2:$G$2038,1)</f>
        <v>Song Wren</v>
      </c>
      <c r="E3395" s="3" t="str">
        <f>VLOOKUP(B3395,LifeList!$E$2:$G$2038,2)</f>
        <v>Troglodyte chanteur</v>
      </c>
      <c r="F3395" s="3" t="str">
        <f>VLOOKUP(B3395,LifeList!$E$2:$G$2038,3)</f>
        <v>Cyphorhinus phaeocephalus</v>
      </c>
      <c r="G3395" s="3" t="str">
        <f>VLOOKUP(B3395,LifeList!$E$2:$I$2038,4)</f>
        <v>Passeriformes</v>
      </c>
      <c r="H3395" s="3" t="str">
        <f>VLOOKUP(B3395,LifeList!$E$2:$I$2038,5)</f>
        <v>Troglodytidae (Wrens)</v>
      </c>
      <c r="I3395" s="3"/>
    </row>
    <row r="3396" spans="1:9" ht="10.5" customHeight="1">
      <c r="A3396" s="3" t="s">
        <v>4710</v>
      </c>
      <c r="B3396" s="3" t="s">
        <v>4709</v>
      </c>
      <c r="C3396" s="3">
        <f>VLOOKUP(B3396,LifeList!$E$2:$J$2038,6)</f>
        <v>27633</v>
      </c>
      <c r="D3396" s="3" t="str">
        <f>VLOOKUP(B3396,LifeList!$E$2:$G$2038,1)</f>
        <v>Song Wren</v>
      </c>
      <c r="E3396" s="3" t="str">
        <f>VLOOKUP(B3396,LifeList!$E$2:$G$2038,2)</f>
        <v>Troglodyte chanteur</v>
      </c>
      <c r="F3396" s="3" t="str">
        <f>VLOOKUP(B3396,LifeList!$E$2:$G$2038,3)</f>
        <v>Cyphorhinus phaeocephalus</v>
      </c>
      <c r="G3396" s="3" t="str">
        <f>VLOOKUP(B3396,LifeList!$E$2:$I$2038,4)</f>
        <v>Passeriformes</v>
      </c>
      <c r="H3396" s="3" t="str">
        <f>VLOOKUP(B3396,LifeList!$E$2:$I$2038,5)</f>
        <v>Troglodytidae (Wrens)</v>
      </c>
      <c r="I3396" s="3"/>
    </row>
    <row r="3397" spans="1:9" ht="10.5" customHeight="1">
      <c r="A3397" s="3" t="s">
        <v>4711</v>
      </c>
      <c r="B3397" s="3" t="s">
        <v>4709</v>
      </c>
      <c r="C3397" s="3">
        <f>VLOOKUP(B3397,LifeList!$E$2:$J$2038,6)</f>
        <v>27633</v>
      </c>
      <c r="D3397" s="3" t="str">
        <f>VLOOKUP(B3397,LifeList!$E$2:$G$2038,1)</f>
        <v>Song Wren</v>
      </c>
      <c r="E3397" s="3" t="str">
        <f>VLOOKUP(B3397,LifeList!$E$2:$G$2038,2)</f>
        <v>Troglodyte chanteur</v>
      </c>
      <c r="F3397" s="3" t="str">
        <f>VLOOKUP(B3397,LifeList!$E$2:$G$2038,3)</f>
        <v>Cyphorhinus phaeocephalus</v>
      </c>
      <c r="G3397" s="3" t="str">
        <f>VLOOKUP(B3397,LifeList!$E$2:$I$2038,4)</f>
        <v>Passeriformes</v>
      </c>
      <c r="H3397" s="3" t="str">
        <f>VLOOKUP(B3397,LifeList!$E$2:$I$2038,5)</f>
        <v>Troglodytidae (Wrens)</v>
      </c>
      <c r="I3397" s="3"/>
    </row>
    <row r="3398" spans="1:9" ht="10.5" customHeight="1">
      <c r="A3398" s="3" t="s">
        <v>4712</v>
      </c>
      <c r="B3398" s="3" t="s">
        <v>4709</v>
      </c>
      <c r="C3398" s="3">
        <f>VLOOKUP(B3398,LifeList!$E$2:$J$2038,6)</f>
        <v>27633</v>
      </c>
      <c r="D3398" s="3" t="str">
        <f>VLOOKUP(B3398,LifeList!$E$2:$G$2038,1)</f>
        <v>Song Wren</v>
      </c>
      <c r="E3398" s="3" t="str">
        <f>VLOOKUP(B3398,LifeList!$E$2:$G$2038,2)</f>
        <v>Troglodyte chanteur</v>
      </c>
      <c r="F3398" s="3" t="str">
        <f>VLOOKUP(B3398,LifeList!$E$2:$G$2038,3)</f>
        <v>Cyphorhinus phaeocephalus</v>
      </c>
      <c r="G3398" s="3" t="str">
        <f>VLOOKUP(B3398,LifeList!$E$2:$I$2038,4)</f>
        <v>Passeriformes</v>
      </c>
      <c r="H3398" s="3" t="str">
        <f>VLOOKUP(B3398,LifeList!$E$2:$I$2038,5)</f>
        <v>Troglodytidae (Wrens)</v>
      </c>
      <c r="I3398" s="3"/>
    </row>
    <row r="3399" spans="1:9" ht="10.5" customHeight="1">
      <c r="A3399" s="3" t="s">
        <v>4713</v>
      </c>
      <c r="B3399" s="3" t="s">
        <v>4714</v>
      </c>
      <c r="C3399" s="3">
        <f>VLOOKUP(B3399,LifeList!$E$2:$J$2038,6)</f>
        <v>5796</v>
      </c>
      <c r="D3399" s="3" t="str">
        <f>VLOOKUP(B3399,LifeList!$E$2:$G$2038,1)</f>
        <v>Sooty Oystercatcher</v>
      </c>
      <c r="E3399" s="3" t="str">
        <f>VLOOKUP(B3399,LifeList!$E$2:$G$2038,2)</f>
        <v>Huîtrier fuligineux</v>
      </c>
      <c r="F3399" s="3" t="str">
        <f>VLOOKUP(B3399,LifeList!$E$2:$G$2038,3)</f>
        <v>Haematopus fuliginosus</v>
      </c>
      <c r="G3399" s="3" t="str">
        <f>VLOOKUP(B3399,LifeList!$E$2:$I$2038,4)</f>
        <v>Charadriiformes</v>
      </c>
      <c r="H3399" s="3" t="str">
        <f>VLOOKUP(B3399,LifeList!$E$2:$I$2038,5)</f>
        <v>Haematopodidae (Oystercatchers)</v>
      </c>
      <c r="I3399" s="3"/>
    </row>
    <row r="3400" spans="1:9" ht="10.5" customHeight="1">
      <c r="A3400" s="3" t="s">
        <v>4715</v>
      </c>
      <c r="B3400" s="3" t="s">
        <v>4714</v>
      </c>
      <c r="C3400" s="3">
        <f>VLOOKUP(B3400,LifeList!$E$2:$J$2038,6)</f>
        <v>5796</v>
      </c>
      <c r="D3400" s="3" t="str">
        <f>VLOOKUP(B3400,LifeList!$E$2:$G$2038,1)</f>
        <v>Sooty Oystercatcher</v>
      </c>
      <c r="E3400" s="3" t="str">
        <f>VLOOKUP(B3400,LifeList!$E$2:$G$2038,2)</f>
        <v>Huîtrier fuligineux</v>
      </c>
      <c r="F3400" s="3" t="str">
        <f>VLOOKUP(B3400,LifeList!$E$2:$G$2038,3)</f>
        <v>Haematopus fuliginosus</v>
      </c>
      <c r="G3400" s="3" t="str">
        <f>VLOOKUP(B3400,LifeList!$E$2:$I$2038,4)</f>
        <v>Charadriiformes</v>
      </c>
      <c r="H3400" s="3" t="str">
        <f>VLOOKUP(B3400,LifeList!$E$2:$I$2038,5)</f>
        <v>Haematopodidae (Oystercatchers)</v>
      </c>
      <c r="I3400" s="3"/>
    </row>
    <row r="3401" spans="1:9" ht="10.5" customHeight="1">
      <c r="A3401" s="3" t="s">
        <v>4716</v>
      </c>
      <c r="B3401" s="3" t="s">
        <v>4717</v>
      </c>
      <c r="C3401" s="3">
        <f>VLOOKUP(B3401,LifeList!$E$2:$J$2038,6)</f>
        <v>6665</v>
      </c>
      <c r="D3401" s="3" t="str">
        <f>VLOOKUP(B3401,LifeList!$E$2:$G$2038,1)</f>
        <v>Sooty Tern</v>
      </c>
      <c r="E3401" s="3" t="str">
        <f>VLOOKUP(B3401,LifeList!$E$2:$G$2038,2)</f>
        <v>Sterne fuligineuse</v>
      </c>
      <c r="F3401" s="3" t="str">
        <f>VLOOKUP(B3401,LifeList!$E$2:$G$2038,3)</f>
        <v>Onychoprion fuscatus</v>
      </c>
      <c r="G3401" s="3" t="str">
        <f>VLOOKUP(B3401,LifeList!$E$2:$I$2038,4)</f>
        <v>Charadriiformes</v>
      </c>
      <c r="H3401" s="3" t="str">
        <f>VLOOKUP(B3401,LifeList!$E$2:$I$2038,5)</f>
        <v>Laridae (Gulls, Terns, and Skimmers)</v>
      </c>
      <c r="I3401" s="3"/>
    </row>
    <row r="3402" spans="1:9" ht="10.5" customHeight="1">
      <c r="A3402" s="3" t="s">
        <v>4718</v>
      </c>
      <c r="B3402" s="3" t="s">
        <v>4719</v>
      </c>
      <c r="C3402" s="3">
        <f>VLOOKUP(B3402,LifeList!$E$2:$J$2038,6)</f>
        <v>32864</v>
      </c>
      <c r="D3402" s="3" t="str">
        <f>VLOOKUP(B3402,LifeList!$E$2:$G$2038,1)</f>
        <v>Sooty-capped Chlorospingus</v>
      </c>
      <c r="E3402" s="3" t="str">
        <f>VLOOKUP(B3402,LifeList!$E$2:$G$2038,2)</f>
        <v>Chlorospin à sourcils brisés</v>
      </c>
      <c r="F3402" s="3" t="str">
        <f>VLOOKUP(B3402,LifeList!$E$2:$G$2038,3)</f>
        <v>Chlorospingus pileatus</v>
      </c>
      <c r="G3402" s="3" t="str">
        <f>VLOOKUP(B3402,LifeList!$E$2:$I$2038,4)</f>
        <v>Passeriformes</v>
      </c>
      <c r="H3402" s="3" t="str">
        <f>VLOOKUP(B3402,LifeList!$E$2:$I$2038,5)</f>
        <v>Passerellidae (New World Sparrows)</v>
      </c>
      <c r="I3402" s="3"/>
    </row>
    <row r="3403" spans="1:9" ht="10.5" customHeight="1">
      <c r="A3403" s="3" t="s">
        <v>4720</v>
      </c>
      <c r="B3403" s="3" t="s">
        <v>4719</v>
      </c>
      <c r="C3403" s="3">
        <f>VLOOKUP(B3403,LifeList!$E$2:$J$2038,6)</f>
        <v>32864</v>
      </c>
      <c r="D3403" s="3" t="str">
        <f>VLOOKUP(B3403,LifeList!$E$2:$G$2038,1)</f>
        <v>Sooty-capped Chlorospingus</v>
      </c>
      <c r="E3403" s="3" t="str">
        <f>VLOOKUP(B3403,LifeList!$E$2:$G$2038,2)</f>
        <v>Chlorospin à sourcils brisés</v>
      </c>
      <c r="F3403" s="3" t="str">
        <f>VLOOKUP(B3403,LifeList!$E$2:$G$2038,3)</f>
        <v>Chlorospingus pileatus</v>
      </c>
      <c r="G3403" s="3" t="str">
        <f>VLOOKUP(B3403,LifeList!$E$2:$I$2038,4)</f>
        <v>Passeriformes</v>
      </c>
      <c r="H3403" s="3" t="str">
        <f>VLOOKUP(B3403,LifeList!$E$2:$I$2038,5)</f>
        <v>Passerellidae (New World Sparrows)</v>
      </c>
      <c r="I3403" s="3"/>
    </row>
    <row r="3404" spans="1:9" ht="10.5" customHeight="1">
      <c r="A3404" s="3" t="s">
        <v>4721</v>
      </c>
      <c r="B3404" s="3" t="s">
        <v>4719</v>
      </c>
      <c r="C3404" s="3">
        <f>VLOOKUP(B3404,LifeList!$E$2:$J$2038,6)</f>
        <v>32864</v>
      </c>
      <c r="D3404" s="3" t="str">
        <f>VLOOKUP(B3404,LifeList!$E$2:$G$2038,1)</f>
        <v>Sooty-capped Chlorospingus</v>
      </c>
      <c r="E3404" s="3" t="str">
        <f>VLOOKUP(B3404,LifeList!$E$2:$G$2038,2)</f>
        <v>Chlorospin à sourcils brisés</v>
      </c>
      <c r="F3404" s="3" t="str">
        <f>VLOOKUP(B3404,LifeList!$E$2:$G$2038,3)</f>
        <v>Chlorospingus pileatus</v>
      </c>
      <c r="G3404" s="3" t="str">
        <f>VLOOKUP(B3404,LifeList!$E$2:$I$2038,4)</f>
        <v>Passeriformes</v>
      </c>
      <c r="H3404" s="3" t="str">
        <f>VLOOKUP(B3404,LifeList!$E$2:$I$2038,5)</f>
        <v>Passerellidae (New World Sparrows)</v>
      </c>
      <c r="I3404" s="3"/>
    </row>
    <row r="3405" spans="1:9" ht="10.5" customHeight="1">
      <c r="A3405" s="3" t="s">
        <v>4722</v>
      </c>
      <c r="B3405" s="3" t="s">
        <v>4723</v>
      </c>
      <c r="C3405" s="3">
        <f>VLOOKUP(B3405,LifeList!$E$2:$J$2038,6)</f>
        <v>16773</v>
      </c>
      <c r="D3405" s="3" t="str">
        <f>VLOOKUP(B3405,LifeList!$E$2:$G$2038,1)</f>
        <v>Sooty-headed Tyrannulet</v>
      </c>
      <c r="E3405" s="3" t="str">
        <f>VLOOKUP(B3405,LifeList!$E$2:$G$2038,2)</f>
        <v>Tyranneau nain</v>
      </c>
      <c r="F3405" s="3" t="str">
        <f>VLOOKUP(B3405,LifeList!$E$2:$G$2038,3)</f>
        <v>Phyllomyias griseiceps</v>
      </c>
      <c r="G3405" s="3" t="str">
        <f>VLOOKUP(B3405,LifeList!$E$2:$I$2038,4)</f>
        <v>Passeriformes</v>
      </c>
      <c r="H3405" s="3" t="str">
        <f>VLOOKUP(B3405,LifeList!$E$2:$I$2038,5)</f>
        <v>Tyrannidae (Tyrant Flycatchers)</v>
      </c>
      <c r="I3405" s="3"/>
    </row>
    <row r="3406" spans="1:9" ht="10.5" customHeight="1">
      <c r="A3406" s="3" t="s">
        <v>4724</v>
      </c>
      <c r="B3406" s="3" t="s">
        <v>4725</v>
      </c>
      <c r="C3406" s="3">
        <f>VLOOKUP(B3406,LifeList!$E$2:$J$2038,6)</f>
        <v>5455</v>
      </c>
      <c r="D3406" s="3" t="str">
        <f>VLOOKUP(B3406,LifeList!$E$2:$G$2038,1)</f>
        <v>Sora</v>
      </c>
      <c r="E3406" s="3" t="str">
        <f>VLOOKUP(B3406,LifeList!$E$2:$G$2038,2)</f>
        <v>Marouette de Caroline</v>
      </c>
      <c r="F3406" s="3" t="str">
        <f>VLOOKUP(B3406,LifeList!$E$2:$G$2038,3)</f>
        <v>Porzana carolina</v>
      </c>
      <c r="G3406" s="3" t="str">
        <f>VLOOKUP(B3406,LifeList!$E$2:$I$2038,4)</f>
        <v>Gruiformes</v>
      </c>
      <c r="H3406" s="3" t="str">
        <f>VLOOKUP(B3406,LifeList!$E$2:$I$2038,5)</f>
        <v>Rallidae (Rails, Gallinules, and Coots)</v>
      </c>
      <c r="I3406" s="3"/>
    </row>
    <row r="3407" spans="1:9" ht="10.5" customHeight="1">
      <c r="A3407" s="3" t="s">
        <v>4726</v>
      </c>
      <c r="B3407" s="3" t="s">
        <v>4725</v>
      </c>
      <c r="C3407" s="3">
        <f>VLOOKUP(B3407,LifeList!$E$2:$J$2038,6)</f>
        <v>5455</v>
      </c>
      <c r="D3407" s="3" t="str">
        <f>VLOOKUP(B3407,LifeList!$E$2:$G$2038,1)</f>
        <v>Sora</v>
      </c>
      <c r="E3407" s="3" t="str">
        <f>VLOOKUP(B3407,LifeList!$E$2:$G$2038,2)</f>
        <v>Marouette de Caroline</v>
      </c>
      <c r="F3407" s="3" t="str">
        <f>VLOOKUP(B3407,LifeList!$E$2:$G$2038,3)</f>
        <v>Porzana carolina</v>
      </c>
      <c r="G3407" s="3" t="str">
        <f>VLOOKUP(B3407,LifeList!$E$2:$I$2038,4)</f>
        <v>Gruiformes</v>
      </c>
      <c r="H3407" s="3" t="str">
        <f>VLOOKUP(B3407,LifeList!$E$2:$I$2038,5)</f>
        <v>Rallidae (Rails, Gallinules, and Coots)</v>
      </c>
      <c r="I3407" s="3"/>
    </row>
    <row r="3408" spans="1:9" ht="10.5" customHeight="1">
      <c r="A3408" s="3" t="s">
        <v>4727</v>
      </c>
      <c r="B3408" s="3" t="s">
        <v>4725</v>
      </c>
      <c r="C3408" s="3">
        <f>VLOOKUP(B3408,LifeList!$E$2:$J$2038,6)</f>
        <v>5455</v>
      </c>
      <c r="D3408" s="3" t="str">
        <f>VLOOKUP(B3408,LifeList!$E$2:$G$2038,1)</f>
        <v>Sora</v>
      </c>
      <c r="E3408" s="3" t="str">
        <f>VLOOKUP(B3408,LifeList!$E$2:$G$2038,2)</f>
        <v>Marouette de Caroline</v>
      </c>
      <c r="F3408" s="3" t="str">
        <f>VLOOKUP(B3408,LifeList!$E$2:$G$2038,3)</f>
        <v>Porzana carolina</v>
      </c>
      <c r="G3408" s="3" t="str">
        <f>VLOOKUP(B3408,LifeList!$E$2:$I$2038,4)</f>
        <v>Gruiformes</v>
      </c>
      <c r="H3408" s="3" t="str">
        <f>VLOOKUP(B3408,LifeList!$E$2:$I$2038,5)</f>
        <v>Rallidae (Rails, Gallinules, and Coots)</v>
      </c>
      <c r="I3408" s="3"/>
    </row>
    <row r="3409" spans="1:9" ht="10.5" customHeight="1">
      <c r="A3409" s="3" t="s">
        <v>4728</v>
      </c>
      <c r="B3409" s="3" t="s">
        <v>4725</v>
      </c>
      <c r="C3409" s="3">
        <f>VLOOKUP(B3409,LifeList!$E$2:$J$2038,6)</f>
        <v>5455</v>
      </c>
      <c r="D3409" s="3" t="str">
        <f>VLOOKUP(B3409,LifeList!$E$2:$G$2038,1)</f>
        <v>Sora</v>
      </c>
      <c r="E3409" s="3" t="str">
        <f>VLOOKUP(B3409,LifeList!$E$2:$G$2038,2)</f>
        <v>Marouette de Caroline</v>
      </c>
      <c r="F3409" s="3" t="str">
        <f>VLOOKUP(B3409,LifeList!$E$2:$G$2038,3)</f>
        <v>Porzana carolina</v>
      </c>
      <c r="G3409" s="3" t="str">
        <f>VLOOKUP(B3409,LifeList!$E$2:$I$2038,4)</f>
        <v>Gruiformes</v>
      </c>
      <c r="H3409" s="3" t="str">
        <f>VLOOKUP(B3409,LifeList!$E$2:$I$2038,5)</f>
        <v>Rallidae (Rails, Gallinules, and Coots)</v>
      </c>
      <c r="I3409" s="3"/>
    </row>
    <row r="3410" spans="1:9" ht="10.5" customHeight="1">
      <c r="A3410" s="3" t="s">
        <v>4729</v>
      </c>
      <c r="B3410" s="3" t="s">
        <v>4725</v>
      </c>
      <c r="C3410" s="3">
        <f>VLOOKUP(B3410,LifeList!$E$2:$J$2038,6)</f>
        <v>5455</v>
      </c>
      <c r="D3410" s="3" t="str">
        <f>VLOOKUP(B3410,LifeList!$E$2:$G$2038,1)</f>
        <v>Sora</v>
      </c>
      <c r="E3410" s="3" t="str">
        <f>VLOOKUP(B3410,LifeList!$E$2:$G$2038,2)</f>
        <v>Marouette de Caroline</v>
      </c>
      <c r="F3410" s="3" t="str">
        <f>VLOOKUP(B3410,LifeList!$E$2:$G$2038,3)</f>
        <v>Porzana carolina</v>
      </c>
      <c r="G3410" s="3" t="str">
        <f>VLOOKUP(B3410,LifeList!$E$2:$I$2038,4)</f>
        <v>Gruiformes</v>
      </c>
      <c r="H3410" s="3" t="str">
        <f>VLOOKUP(B3410,LifeList!$E$2:$I$2038,5)</f>
        <v>Rallidae (Rails, Gallinules, and Coots)</v>
      </c>
      <c r="I3410" s="3"/>
    </row>
    <row r="3411" spans="1:9" ht="10.5" customHeight="1">
      <c r="A3411" s="3" t="s">
        <v>4730</v>
      </c>
      <c r="B3411" s="3" t="s">
        <v>4725</v>
      </c>
      <c r="C3411" s="3">
        <f>VLOOKUP(B3411,LifeList!$E$2:$J$2038,6)</f>
        <v>5455</v>
      </c>
      <c r="D3411" s="3" t="str">
        <f>VLOOKUP(B3411,LifeList!$E$2:$G$2038,1)</f>
        <v>Sora</v>
      </c>
      <c r="E3411" s="3" t="str">
        <f>VLOOKUP(B3411,LifeList!$E$2:$G$2038,2)</f>
        <v>Marouette de Caroline</v>
      </c>
      <c r="F3411" s="3" t="str">
        <f>VLOOKUP(B3411,LifeList!$E$2:$G$2038,3)</f>
        <v>Porzana carolina</v>
      </c>
      <c r="G3411" s="3" t="str">
        <f>VLOOKUP(B3411,LifeList!$E$2:$I$2038,4)</f>
        <v>Gruiformes</v>
      </c>
      <c r="H3411" s="3" t="str">
        <f>VLOOKUP(B3411,LifeList!$E$2:$I$2038,5)</f>
        <v>Rallidae (Rails, Gallinules, and Coots)</v>
      </c>
      <c r="I3411" s="3"/>
    </row>
    <row r="3412" spans="1:9" ht="10.5" customHeight="1">
      <c r="A3412" s="3" t="s">
        <v>4731</v>
      </c>
      <c r="B3412" s="3" t="s">
        <v>4725</v>
      </c>
      <c r="C3412" s="3">
        <f>VLOOKUP(B3412,LifeList!$E$2:$J$2038,6)</f>
        <v>5455</v>
      </c>
      <c r="D3412" s="3" t="str">
        <f>VLOOKUP(B3412,LifeList!$E$2:$G$2038,1)</f>
        <v>Sora</v>
      </c>
      <c r="E3412" s="3" t="str">
        <f>VLOOKUP(B3412,LifeList!$E$2:$G$2038,2)</f>
        <v>Marouette de Caroline</v>
      </c>
      <c r="F3412" s="3" t="str">
        <f>VLOOKUP(B3412,LifeList!$E$2:$G$2038,3)</f>
        <v>Porzana carolina</v>
      </c>
      <c r="G3412" s="3" t="str">
        <f>VLOOKUP(B3412,LifeList!$E$2:$I$2038,4)</f>
        <v>Gruiformes</v>
      </c>
      <c r="H3412" s="3" t="str">
        <f>VLOOKUP(B3412,LifeList!$E$2:$I$2038,5)</f>
        <v>Rallidae (Rails, Gallinules, and Coots)</v>
      </c>
      <c r="I3412" s="3"/>
    </row>
    <row r="3413" spans="1:9" ht="10.5" customHeight="1">
      <c r="A3413" s="3" t="s">
        <v>4732</v>
      </c>
      <c r="B3413" s="3" t="s">
        <v>4725</v>
      </c>
      <c r="C3413" s="3">
        <f>VLOOKUP(B3413,LifeList!$E$2:$J$2038,6)</f>
        <v>5455</v>
      </c>
      <c r="D3413" s="3" t="str">
        <f>VLOOKUP(B3413,LifeList!$E$2:$G$2038,1)</f>
        <v>Sora</v>
      </c>
      <c r="E3413" s="3" t="str">
        <f>VLOOKUP(B3413,LifeList!$E$2:$G$2038,2)</f>
        <v>Marouette de Caroline</v>
      </c>
      <c r="F3413" s="3" t="str">
        <f>VLOOKUP(B3413,LifeList!$E$2:$G$2038,3)</f>
        <v>Porzana carolina</v>
      </c>
      <c r="G3413" s="3" t="str">
        <f>VLOOKUP(B3413,LifeList!$E$2:$I$2038,4)</f>
        <v>Gruiformes</v>
      </c>
      <c r="H3413" s="3" t="str">
        <f>VLOOKUP(B3413,LifeList!$E$2:$I$2038,5)</f>
        <v>Rallidae (Rails, Gallinules, and Coots)</v>
      </c>
      <c r="I3413" s="3"/>
    </row>
    <row r="3414" spans="1:9" ht="10.5" customHeight="1">
      <c r="A3414" s="3" t="s">
        <v>4733</v>
      </c>
      <c r="B3414" s="3" t="s">
        <v>4725</v>
      </c>
      <c r="C3414" s="3">
        <f>VLOOKUP(B3414,LifeList!$E$2:$J$2038,6)</f>
        <v>5455</v>
      </c>
      <c r="D3414" s="3" t="str">
        <f>VLOOKUP(B3414,LifeList!$E$2:$G$2038,1)</f>
        <v>Sora</v>
      </c>
      <c r="E3414" s="3" t="str">
        <f>VLOOKUP(B3414,LifeList!$E$2:$G$2038,2)</f>
        <v>Marouette de Caroline</v>
      </c>
      <c r="F3414" s="3" t="str">
        <f>VLOOKUP(B3414,LifeList!$E$2:$G$2038,3)</f>
        <v>Porzana carolina</v>
      </c>
      <c r="G3414" s="3" t="str">
        <f>VLOOKUP(B3414,LifeList!$E$2:$I$2038,4)</f>
        <v>Gruiformes</v>
      </c>
      <c r="H3414" s="3" t="str">
        <f>VLOOKUP(B3414,LifeList!$E$2:$I$2038,5)</f>
        <v>Rallidae (Rails, Gallinules, and Coots)</v>
      </c>
      <c r="I3414" s="3"/>
    </row>
    <row r="3415" spans="1:9" ht="10.5" customHeight="1">
      <c r="A3415" s="3" t="s">
        <v>4734</v>
      </c>
      <c r="B3415" s="3" t="s">
        <v>4725</v>
      </c>
      <c r="C3415" s="3">
        <f>VLOOKUP(B3415,LifeList!$E$2:$J$2038,6)</f>
        <v>5455</v>
      </c>
      <c r="D3415" s="3" t="str">
        <f>VLOOKUP(B3415,LifeList!$E$2:$G$2038,1)</f>
        <v>Sora</v>
      </c>
      <c r="E3415" s="3" t="str">
        <f>VLOOKUP(B3415,LifeList!$E$2:$G$2038,2)</f>
        <v>Marouette de Caroline</v>
      </c>
      <c r="F3415" s="3" t="str">
        <f>VLOOKUP(B3415,LifeList!$E$2:$G$2038,3)</f>
        <v>Porzana carolina</v>
      </c>
      <c r="G3415" s="3" t="str">
        <f>VLOOKUP(B3415,LifeList!$E$2:$I$2038,4)</f>
        <v>Gruiformes</v>
      </c>
      <c r="H3415" s="3" t="str">
        <f>VLOOKUP(B3415,LifeList!$E$2:$I$2038,5)</f>
        <v>Rallidae (Rails, Gallinules, and Coots)</v>
      </c>
      <c r="I3415" s="3"/>
    </row>
    <row r="3416" spans="1:9" ht="10.5" customHeight="1">
      <c r="A3416" s="3" t="s">
        <v>4735</v>
      </c>
      <c r="B3416" s="3" t="s">
        <v>4725</v>
      </c>
      <c r="C3416" s="3">
        <f>VLOOKUP(B3416,LifeList!$E$2:$J$2038,6)</f>
        <v>5455</v>
      </c>
      <c r="D3416" s="3" t="str">
        <f>VLOOKUP(B3416,LifeList!$E$2:$G$2038,1)</f>
        <v>Sora</v>
      </c>
      <c r="E3416" s="3" t="str">
        <f>VLOOKUP(B3416,LifeList!$E$2:$G$2038,2)</f>
        <v>Marouette de Caroline</v>
      </c>
      <c r="F3416" s="3" t="str">
        <f>VLOOKUP(B3416,LifeList!$E$2:$G$2038,3)</f>
        <v>Porzana carolina</v>
      </c>
      <c r="G3416" s="3" t="str">
        <f>VLOOKUP(B3416,LifeList!$E$2:$I$2038,4)</f>
        <v>Gruiformes</v>
      </c>
      <c r="H3416" s="3" t="str">
        <f>VLOOKUP(B3416,LifeList!$E$2:$I$2038,5)</f>
        <v>Rallidae (Rails, Gallinules, and Coots)</v>
      </c>
      <c r="I3416" s="3"/>
    </row>
    <row r="3417" spans="1:9" ht="10.5" customHeight="1">
      <c r="A3417" s="3" t="s">
        <v>4736</v>
      </c>
      <c r="B3417" s="3" t="s">
        <v>4725</v>
      </c>
      <c r="C3417" s="3">
        <f>VLOOKUP(B3417,LifeList!$E$2:$J$2038,6)</f>
        <v>5455</v>
      </c>
      <c r="D3417" s="3" t="str">
        <f>VLOOKUP(B3417,LifeList!$E$2:$G$2038,1)</f>
        <v>Sora</v>
      </c>
      <c r="E3417" s="3" t="str">
        <f>VLOOKUP(B3417,LifeList!$E$2:$G$2038,2)</f>
        <v>Marouette de Caroline</v>
      </c>
      <c r="F3417" s="3" t="str">
        <f>VLOOKUP(B3417,LifeList!$E$2:$G$2038,3)</f>
        <v>Porzana carolina</v>
      </c>
      <c r="G3417" s="3" t="str">
        <f>VLOOKUP(B3417,LifeList!$E$2:$I$2038,4)</f>
        <v>Gruiformes</v>
      </c>
      <c r="H3417" s="3" t="str">
        <f>VLOOKUP(B3417,LifeList!$E$2:$I$2038,5)</f>
        <v>Rallidae (Rails, Gallinules, and Coots)</v>
      </c>
      <c r="I3417" s="3"/>
    </row>
    <row r="3418" spans="1:9" ht="10.5" customHeight="1">
      <c r="A3418" s="3" t="s">
        <v>4737</v>
      </c>
      <c r="B3418" s="3" t="s">
        <v>4725</v>
      </c>
      <c r="C3418" s="3">
        <f>VLOOKUP(B3418,LifeList!$E$2:$J$2038,6)</f>
        <v>5455</v>
      </c>
      <c r="D3418" s="3" t="str">
        <f>VLOOKUP(B3418,LifeList!$E$2:$G$2038,1)</f>
        <v>Sora</v>
      </c>
      <c r="E3418" s="3" t="str">
        <f>VLOOKUP(B3418,LifeList!$E$2:$G$2038,2)</f>
        <v>Marouette de Caroline</v>
      </c>
      <c r="F3418" s="3" t="str">
        <f>VLOOKUP(B3418,LifeList!$E$2:$G$2038,3)</f>
        <v>Porzana carolina</v>
      </c>
      <c r="G3418" s="3" t="str">
        <f>VLOOKUP(B3418,LifeList!$E$2:$I$2038,4)</f>
        <v>Gruiformes</v>
      </c>
      <c r="H3418" s="3" t="str">
        <f>VLOOKUP(B3418,LifeList!$E$2:$I$2038,5)</f>
        <v>Rallidae (Rails, Gallinules, and Coots)</v>
      </c>
      <c r="I3418" s="3"/>
    </row>
    <row r="3419" spans="1:9" ht="10.5" customHeight="1">
      <c r="A3419" s="3" t="s">
        <v>4738</v>
      </c>
      <c r="B3419" s="3" t="s">
        <v>4725</v>
      </c>
      <c r="C3419" s="3">
        <f>VLOOKUP(B3419,LifeList!$E$2:$J$2038,6)</f>
        <v>5455</v>
      </c>
      <c r="D3419" s="3" t="str">
        <f>VLOOKUP(B3419,LifeList!$E$2:$G$2038,1)</f>
        <v>Sora</v>
      </c>
      <c r="E3419" s="3" t="str">
        <f>VLOOKUP(B3419,LifeList!$E$2:$G$2038,2)</f>
        <v>Marouette de Caroline</v>
      </c>
      <c r="F3419" s="3" t="str">
        <f>VLOOKUP(B3419,LifeList!$E$2:$G$2038,3)</f>
        <v>Porzana carolina</v>
      </c>
      <c r="G3419" s="3" t="str">
        <f>VLOOKUP(B3419,LifeList!$E$2:$I$2038,4)</f>
        <v>Gruiformes</v>
      </c>
      <c r="H3419" s="3" t="str">
        <f>VLOOKUP(B3419,LifeList!$E$2:$I$2038,5)</f>
        <v>Rallidae (Rails, Gallinules, and Coots)</v>
      </c>
      <c r="I3419" s="3"/>
    </row>
    <row r="3420" spans="1:9" ht="10.5" customHeight="1">
      <c r="A3420" s="3" t="s">
        <v>4739</v>
      </c>
      <c r="B3420" s="3" t="s">
        <v>4725</v>
      </c>
      <c r="C3420" s="3">
        <f>VLOOKUP(B3420,LifeList!$E$2:$J$2038,6)</f>
        <v>5455</v>
      </c>
      <c r="D3420" s="3" t="str">
        <f>VLOOKUP(B3420,LifeList!$E$2:$G$2038,1)</f>
        <v>Sora</v>
      </c>
      <c r="E3420" s="3" t="str">
        <f>VLOOKUP(B3420,LifeList!$E$2:$G$2038,2)</f>
        <v>Marouette de Caroline</v>
      </c>
      <c r="F3420" s="3" t="str">
        <f>VLOOKUP(B3420,LifeList!$E$2:$G$2038,3)</f>
        <v>Porzana carolina</v>
      </c>
      <c r="G3420" s="3" t="str">
        <f>VLOOKUP(B3420,LifeList!$E$2:$I$2038,4)</f>
        <v>Gruiformes</v>
      </c>
      <c r="H3420" s="3" t="str">
        <f>VLOOKUP(B3420,LifeList!$E$2:$I$2038,5)</f>
        <v>Rallidae (Rails, Gallinules, and Coots)</v>
      </c>
      <c r="I3420" s="3"/>
    </row>
    <row r="3421" spans="1:9" ht="10.5" customHeight="1">
      <c r="A3421" s="3" t="s">
        <v>4740</v>
      </c>
      <c r="B3421" s="3" t="s">
        <v>4725</v>
      </c>
      <c r="C3421" s="3">
        <f>VLOOKUP(B3421,LifeList!$E$2:$J$2038,6)</f>
        <v>5455</v>
      </c>
      <c r="D3421" s="3" t="str">
        <f>VLOOKUP(B3421,LifeList!$E$2:$G$2038,1)</f>
        <v>Sora</v>
      </c>
      <c r="E3421" s="3" t="str">
        <f>VLOOKUP(B3421,LifeList!$E$2:$G$2038,2)</f>
        <v>Marouette de Caroline</v>
      </c>
      <c r="F3421" s="3" t="str">
        <f>VLOOKUP(B3421,LifeList!$E$2:$G$2038,3)</f>
        <v>Porzana carolina</v>
      </c>
      <c r="G3421" s="3" t="str">
        <f>VLOOKUP(B3421,LifeList!$E$2:$I$2038,4)</f>
        <v>Gruiformes</v>
      </c>
      <c r="H3421" s="3" t="str">
        <f>VLOOKUP(B3421,LifeList!$E$2:$I$2038,5)</f>
        <v>Rallidae (Rails, Gallinules, and Coots)</v>
      </c>
      <c r="I3421" s="3"/>
    </row>
    <row r="3422" spans="1:9" ht="10.5" customHeight="1">
      <c r="A3422" s="3" t="s">
        <v>4741</v>
      </c>
      <c r="B3422" s="3" t="s">
        <v>4725</v>
      </c>
      <c r="C3422" s="3">
        <f>VLOOKUP(B3422,LifeList!$E$2:$J$2038,6)</f>
        <v>5455</v>
      </c>
      <c r="D3422" s="3" t="str">
        <f>VLOOKUP(B3422,LifeList!$E$2:$G$2038,1)</f>
        <v>Sora</v>
      </c>
      <c r="E3422" s="3" t="str">
        <f>VLOOKUP(B3422,LifeList!$E$2:$G$2038,2)</f>
        <v>Marouette de Caroline</v>
      </c>
      <c r="F3422" s="3" t="str">
        <f>VLOOKUP(B3422,LifeList!$E$2:$G$2038,3)</f>
        <v>Porzana carolina</v>
      </c>
      <c r="G3422" s="3" t="str">
        <f>VLOOKUP(B3422,LifeList!$E$2:$I$2038,4)</f>
        <v>Gruiformes</v>
      </c>
      <c r="H3422" s="3" t="str">
        <f>VLOOKUP(B3422,LifeList!$E$2:$I$2038,5)</f>
        <v>Rallidae (Rails, Gallinules, and Coots)</v>
      </c>
      <c r="I3422" s="3"/>
    </row>
    <row r="3423" spans="1:9" ht="10.5" customHeight="1">
      <c r="A3423" s="3" t="s">
        <v>4742</v>
      </c>
      <c r="B3423" s="3" t="s">
        <v>4725</v>
      </c>
      <c r="C3423" s="3">
        <f>VLOOKUP(B3423,LifeList!$E$2:$J$2038,6)</f>
        <v>5455</v>
      </c>
      <c r="D3423" s="3" t="str">
        <f>VLOOKUP(B3423,LifeList!$E$2:$G$2038,1)</f>
        <v>Sora</v>
      </c>
      <c r="E3423" s="3" t="str">
        <f>VLOOKUP(B3423,LifeList!$E$2:$G$2038,2)</f>
        <v>Marouette de Caroline</v>
      </c>
      <c r="F3423" s="3" t="str">
        <f>VLOOKUP(B3423,LifeList!$E$2:$G$2038,3)</f>
        <v>Porzana carolina</v>
      </c>
      <c r="G3423" s="3" t="str">
        <f>VLOOKUP(B3423,LifeList!$E$2:$I$2038,4)</f>
        <v>Gruiformes</v>
      </c>
      <c r="H3423" s="3" t="str">
        <f>VLOOKUP(B3423,LifeList!$E$2:$I$2038,5)</f>
        <v>Rallidae (Rails, Gallinules, and Coots)</v>
      </c>
      <c r="I3423" s="3"/>
    </row>
    <row r="3424" spans="1:9" ht="10.5" customHeight="1">
      <c r="A3424" s="3" t="s">
        <v>4743</v>
      </c>
      <c r="B3424" s="3" t="s">
        <v>4744</v>
      </c>
      <c r="C3424" s="3">
        <f>VLOOKUP(B3424,LifeList!$E$2:$J$2038,6)</f>
        <v>30484</v>
      </c>
      <c r="D3424" s="3" t="str">
        <f>VLOOKUP(B3424,LifeList!$E$2:$G$2038,1)</f>
        <v>Souimanga Sunbird</v>
      </c>
      <c r="E3424" s="3" t="str">
        <f>VLOOKUP(B3424,LifeList!$E$2:$G$2038,2)</f>
        <v>Souimanga malgache</v>
      </c>
      <c r="F3424" s="3" t="str">
        <f>VLOOKUP(B3424,LifeList!$E$2:$G$2038,3)</f>
        <v>Cinnyris sovimanga</v>
      </c>
      <c r="G3424" s="3" t="str">
        <f>VLOOKUP(B3424,LifeList!$E$2:$I$2038,4)</f>
        <v>Passeriformes</v>
      </c>
      <c r="H3424" s="3" t="str">
        <f>VLOOKUP(B3424,LifeList!$E$2:$I$2038,5)</f>
        <v>Nectariniidae (Sunbirds and Spiderhunters)</v>
      </c>
      <c r="I3424" s="3"/>
    </row>
    <row r="3425" spans="1:9" ht="10.5" customHeight="1">
      <c r="A3425" s="3" t="s">
        <v>4745</v>
      </c>
      <c r="B3425" s="3" t="s">
        <v>4744</v>
      </c>
      <c r="C3425" s="3">
        <f>VLOOKUP(B3425,LifeList!$E$2:$J$2038,6)</f>
        <v>30484</v>
      </c>
      <c r="D3425" s="3" t="str">
        <f>VLOOKUP(B3425,LifeList!$E$2:$G$2038,1)</f>
        <v>Souimanga Sunbird</v>
      </c>
      <c r="E3425" s="3" t="str">
        <f>VLOOKUP(B3425,LifeList!$E$2:$G$2038,2)</f>
        <v>Souimanga malgache</v>
      </c>
      <c r="F3425" s="3" t="str">
        <f>VLOOKUP(B3425,LifeList!$E$2:$G$2038,3)</f>
        <v>Cinnyris sovimanga</v>
      </c>
      <c r="G3425" s="3" t="str">
        <f>VLOOKUP(B3425,LifeList!$E$2:$I$2038,4)</f>
        <v>Passeriformes</v>
      </c>
      <c r="H3425" s="3" t="str">
        <f>VLOOKUP(B3425,LifeList!$E$2:$I$2038,5)</f>
        <v>Nectariniidae (Sunbirds and Spiderhunters)</v>
      </c>
      <c r="I3425" s="3"/>
    </row>
    <row r="3426" spans="1:9" ht="10.5" customHeight="1">
      <c r="A3426" s="3" t="s">
        <v>4746</v>
      </c>
      <c r="B3426" s="3" t="s">
        <v>4744</v>
      </c>
      <c r="C3426" s="3">
        <f>VLOOKUP(B3426,LifeList!$E$2:$J$2038,6)</f>
        <v>30484</v>
      </c>
      <c r="D3426" s="3" t="str">
        <f>VLOOKUP(B3426,LifeList!$E$2:$G$2038,1)</f>
        <v>Souimanga Sunbird</v>
      </c>
      <c r="E3426" s="3" t="str">
        <f>VLOOKUP(B3426,LifeList!$E$2:$G$2038,2)</f>
        <v>Souimanga malgache</v>
      </c>
      <c r="F3426" s="3" t="str">
        <f>VLOOKUP(B3426,LifeList!$E$2:$G$2038,3)</f>
        <v>Cinnyris sovimanga</v>
      </c>
      <c r="G3426" s="3" t="str">
        <f>VLOOKUP(B3426,LifeList!$E$2:$I$2038,4)</f>
        <v>Passeriformes</v>
      </c>
      <c r="H3426" s="3" t="str">
        <f>VLOOKUP(B3426,LifeList!$E$2:$I$2038,5)</f>
        <v>Nectariniidae (Sunbirds and Spiderhunters)</v>
      </c>
      <c r="I3426" s="3"/>
    </row>
    <row r="3427" spans="1:9" ht="10.5" customHeight="1">
      <c r="A3427" s="3" t="s">
        <v>4747</v>
      </c>
      <c r="B3427" s="3" t="s">
        <v>4744</v>
      </c>
      <c r="C3427" s="3">
        <f>VLOOKUP(B3427,LifeList!$E$2:$J$2038,6)</f>
        <v>30484</v>
      </c>
      <c r="D3427" s="3" t="str">
        <f>VLOOKUP(B3427,LifeList!$E$2:$G$2038,1)</f>
        <v>Souimanga Sunbird</v>
      </c>
      <c r="E3427" s="3" t="str">
        <f>VLOOKUP(B3427,LifeList!$E$2:$G$2038,2)</f>
        <v>Souimanga malgache</v>
      </c>
      <c r="F3427" s="3" t="str">
        <f>VLOOKUP(B3427,LifeList!$E$2:$G$2038,3)</f>
        <v>Cinnyris sovimanga</v>
      </c>
      <c r="G3427" s="3" t="str">
        <f>VLOOKUP(B3427,LifeList!$E$2:$I$2038,4)</f>
        <v>Passeriformes</v>
      </c>
      <c r="H3427" s="3" t="str">
        <f>VLOOKUP(B3427,LifeList!$E$2:$I$2038,5)</f>
        <v>Nectariniidae (Sunbirds and Spiderhunters)</v>
      </c>
      <c r="I3427" s="3"/>
    </row>
    <row r="3428" spans="1:9" ht="10.5" customHeight="1">
      <c r="A3428" s="3" t="s">
        <v>4748</v>
      </c>
      <c r="B3428" s="3" t="s">
        <v>4749</v>
      </c>
      <c r="C3428" s="3">
        <f>VLOOKUP(B3428,LifeList!$E$2:$J$2038,6)</f>
        <v>423</v>
      </c>
      <c r="D3428" s="3" t="str">
        <f>VLOOKUP(B3428,LifeList!$E$2:$G$2038,1)</f>
        <v>South African Shelduck</v>
      </c>
      <c r="E3428" s="3" t="str">
        <f>VLOOKUP(B3428,LifeList!$E$2:$G$2038,2)</f>
        <v>Tadorne à tête grise</v>
      </c>
      <c r="F3428" s="3" t="str">
        <f>VLOOKUP(B3428,LifeList!$E$2:$G$2038,3)</f>
        <v>Tadorna cana</v>
      </c>
      <c r="G3428" s="3" t="str">
        <f>VLOOKUP(B3428,LifeList!$E$2:$I$2038,4)</f>
        <v>Anseriformes</v>
      </c>
      <c r="H3428" s="3" t="str">
        <f>VLOOKUP(B3428,LifeList!$E$2:$I$2038,5)</f>
        <v>Anatidae (Ducks, Geese, and Waterfowl)</v>
      </c>
      <c r="I3428" s="3"/>
    </row>
    <row r="3429" spans="1:9" ht="10.5" customHeight="1">
      <c r="A3429" s="5" t="s">
        <v>4750</v>
      </c>
      <c r="B3429" s="3" t="s">
        <v>4751</v>
      </c>
      <c r="C3429" s="6">
        <f>VLOOKUP(B3429,LifeList!$E$2:$J$2038,6)</f>
        <v>22240</v>
      </c>
      <c r="D3429" s="3" t="str">
        <f>VLOOKUP(B3429,LifeList!$E$2:$G$2038,1)</f>
        <v>Southern Black-Tit</v>
      </c>
      <c r="E3429" s="3" t="str">
        <f>VLOOKUP(B3429,LifeList!$E$2:$G$2038,2)</f>
        <v>Mésange demi-deuil</v>
      </c>
      <c r="F3429" s="3" t="str">
        <f>VLOOKUP(B3429,LifeList!$E$2:$G$2038,3)</f>
        <v>Melaniparus niger</v>
      </c>
      <c r="G3429" s="3" t="str">
        <f>VLOOKUP(B3429,LifeList!$E$2:$I$2038,4)</f>
        <v>Passeriformes</v>
      </c>
      <c r="H3429" s="3" t="str">
        <f>VLOOKUP(B3429,LifeList!$E$2:$I$2038,5)</f>
        <v>Paridae (Tits, Chickadees, and Titmice)</v>
      </c>
      <c r="I3429" s="3"/>
    </row>
    <row r="3430" spans="1:9" ht="10.5" customHeight="1">
      <c r="A3430" s="5" t="s">
        <v>4752</v>
      </c>
      <c r="B3430" s="3" t="s">
        <v>4753</v>
      </c>
      <c r="C3430" s="3">
        <f>VLOOKUP(B3430,LifeList!$E$2:$J$2038,6)</f>
        <v>30808</v>
      </c>
      <c r="D3430" s="3" t="str">
        <f>VLOOKUP(B3430,LifeList!$E$2:$G$2038,1)</f>
        <v>Southern Brown-throated Weaver</v>
      </c>
      <c r="E3430" s="3" t="str">
        <f>VLOOKUP(B3430,LifeList!$E$2:$G$2038,2)</f>
        <v>Tisserin à gorge brune</v>
      </c>
      <c r="F3430" s="3" t="str">
        <f>VLOOKUP(B3430,LifeList!$E$2:$G$2038,3)</f>
        <v>Ploceus xanthopterus</v>
      </c>
      <c r="G3430" s="3" t="str">
        <f>VLOOKUP(B3430,LifeList!$E$2:$I$2038,4)</f>
        <v>Passeriformes</v>
      </c>
      <c r="H3430" s="3" t="str">
        <f>VLOOKUP(B3430,LifeList!$E$2:$I$2038,5)</f>
        <v>Ploceidae (Weavers and Allies)</v>
      </c>
      <c r="I3430" s="3"/>
    </row>
    <row r="3431" spans="1:9" ht="10.5" customHeight="1">
      <c r="A3431" s="5" t="s">
        <v>4754</v>
      </c>
      <c r="B3431" s="3" t="s">
        <v>4755</v>
      </c>
      <c r="C3431" s="6">
        <f>VLOOKUP(B3431,LifeList!$E$2:$J$2038,6)</f>
        <v>1000</v>
      </c>
      <c r="D3431" s="3" t="str">
        <f>VLOOKUP(B3431,LifeList!$E$2:$G$2038,1)</f>
        <v>Southern Crested Guineafowl</v>
      </c>
      <c r="E3431" s="3" t="str">
        <f>VLOOKUP(B3431,LifeList!$E$2:$G$2038,2)</f>
        <v>Pintade d'Édouard</v>
      </c>
      <c r="F3431" s="3" t="str">
        <f>VLOOKUP(B3431,LifeList!$E$2:$G$2038,3)</f>
        <v>Guttera edouardi</v>
      </c>
      <c r="G3431" s="3" t="str">
        <f>VLOOKUP(B3431,LifeList!$E$2:$I$2038,4)</f>
        <v>Galliformes</v>
      </c>
      <c r="H3431" s="3" t="str">
        <f>VLOOKUP(B3431,LifeList!$E$2:$I$2038,5)</f>
        <v>Numididae (Guineafowl)</v>
      </c>
      <c r="I3431" s="3"/>
    </row>
    <row r="3432" spans="1:9" ht="10.5" customHeight="1">
      <c r="A3432" s="5" t="s">
        <v>4756</v>
      </c>
      <c r="B3432" s="3" t="s">
        <v>4757</v>
      </c>
      <c r="C3432" s="3">
        <f>VLOOKUP(B3432,LifeList!$E$2:$J$2038,6)</f>
        <v>31593</v>
      </c>
      <c r="D3432" s="3" t="str">
        <f>VLOOKUP(B3432,LifeList!$E$2:$G$2038,1)</f>
        <v>Southern Gray-headed Sparrow</v>
      </c>
      <c r="E3432" s="3" t="str">
        <f>VLOOKUP(B3432,LifeList!$E$2:$G$2038,2)</f>
        <v>Moineau sud-africain</v>
      </c>
      <c r="F3432" s="3" t="str">
        <f>VLOOKUP(B3432,LifeList!$E$2:$G$2038,3)</f>
        <v>Passer diffusus</v>
      </c>
      <c r="G3432" s="3" t="str">
        <f>VLOOKUP(B3432,LifeList!$E$2:$I$2038,4)</f>
        <v>Passeriformes</v>
      </c>
      <c r="H3432" s="3" t="str">
        <f>VLOOKUP(B3432,LifeList!$E$2:$I$2038,5)</f>
        <v>Passeridae (Old World Sparrows)</v>
      </c>
      <c r="I3432" s="3"/>
    </row>
    <row r="3433" spans="1:9" ht="10.5" customHeight="1">
      <c r="A3433" s="5" t="s">
        <v>4758</v>
      </c>
      <c r="B3433" s="3" t="s">
        <v>4759</v>
      </c>
      <c r="C3433" s="6">
        <f>VLOOKUP(B3433,LifeList!$E$2:$J$2038,6)</f>
        <v>30821</v>
      </c>
      <c r="D3433" s="3" t="str">
        <f>VLOOKUP(B3433,LifeList!$E$2:$G$2038,1)</f>
        <v>Southern Masked-Weaver</v>
      </c>
      <c r="E3433" s="3" t="str">
        <f>VLOOKUP(B3433,LifeList!$E$2:$G$2038,2)</f>
        <v>Tisserin à tête rousse</v>
      </c>
      <c r="F3433" s="3" t="str">
        <f>VLOOKUP(B3433,LifeList!$E$2:$G$2038,3)</f>
        <v>Ploceus velatus</v>
      </c>
      <c r="G3433" s="3" t="str">
        <f>VLOOKUP(B3433,LifeList!$E$2:$I$2038,4)</f>
        <v>Passeriformes</v>
      </c>
      <c r="H3433" s="3" t="str">
        <f>VLOOKUP(B3433,LifeList!$E$2:$I$2038,5)</f>
        <v>Ploceidae (Weavers and Allies)</v>
      </c>
      <c r="I3433" s="3"/>
    </row>
    <row r="3434" spans="1:9" ht="10.5" customHeight="1">
      <c r="A3434" s="5" t="s">
        <v>4760</v>
      </c>
      <c r="B3434" s="3" t="s">
        <v>4761</v>
      </c>
      <c r="C3434" s="6">
        <f>VLOOKUP(B3434,LifeList!$E$2:$J$2038,6)</f>
        <v>662</v>
      </c>
      <c r="D3434" s="3" t="str">
        <f>VLOOKUP(B3434,LifeList!$E$2:$G$2038,1)</f>
        <v>Southern Pochard</v>
      </c>
      <c r="E3434" s="3" t="str">
        <f>VLOOKUP(B3434,LifeList!$E$2:$G$2038,2)</f>
        <v>Nette brune</v>
      </c>
      <c r="F3434" s="3" t="str">
        <f>VLOOKUP(B3434,LifeList!$E$2:$G$2038,3)</f>
        <v>Netta erythrophthalma</v>
      </c>
      <c r="G3434" s="3" t="str">
        <f>VLOOKUP(B3434,LifeList!$E$2:$I$2038,4)</f>
        <v>Anseriformes</v>
      </c>
      <c r="H3434" s="3" t="str">
        <f>VLOOKUP(B3434,LifeList!$E$2:$I$2038,5)</f>
        <v>Anatidae (Ducks, Geese, and Waterfowl)</v>
      </c>
      <c r="I3434" s="3"/>
    </row>
    <row r="3435" spans="1:9" ht="10.5" customHeight="1">
      <c r="A3435" s="5" t="s">
        <v>4762</v>
      </c>
      <c r="B3435" s="3" t="s">
        <v>4763</v>
      </c>
      <c r="C3435" s="6">
        <f>VLOOKUP(B3435,LifeList!$E$2:$J$2038,6)</f>
        <v>30944</v>
      </c>
      <c r="D3435" s="3" t="str">
        <f>VLOOKUP(B3435,LifeList!$E$2:$G$2038,1)</f>
        <v>Southern Red Bishop</v>
      </c>
      <c r="E3435" s="3" t="str">
        <f>VLOOKUP(B3435,LifeList!$E$2:$G$2038,2)</f>
        <v>Euplecte ignicolore</v>
      </c>
      <c r="F3435" s="3" t="str">
        <f>VLOOKUP(B3435,LifeList!$E$2:$G$2038,3)</f>
        <v>Euplectes orix</v>
      </c>
      <c r="G3435" s="3" t="str">
        <f>VLOOKUP(B3435,LifeList!$E$2:$I$2038,4)</f>
        <v>Passeriformes</v>
      </c>
      <c r="H3435" s="3" t="str">
        <f>VLOOKUP(B3435,LifeList!$E$2:$I$2038,5)</f>
        <v>Ploceidae (Weavers and Allies)</v>
      </c>
      <c r="I3435" s="3"/>
    </row>
    <row r="3436" spans="1:9" ht="10.5" customHeight="1">
      <c r="A3436" s="3" t="s">
        <v>4764</v>
      </c>
      <c r="B3436" s="3" t="s">
        <v>4765</v>
      </c>
      <c r="C3436" s="3">
        <f>VLOOKUP(B3436,LifeList!$E$2:$J$2038,6)</f>
        <v>7507</v>
      </c>
      <c r="D3436" s="3" t="str">
        <f>VLOOKUP(B3436,LifeList!$E$2:$G$2038,1)</f>
        <v>Southern Bald Ibis</v>
      </c>
      <c r="E3436" s="3" t="str">
        <f>VLOOKUP(B3436,LifeList!$E$2:$G$2038,2)</f>
        <v>Ibis du Cap</v>
      </c>
      <c r="F3436" s="3" t="str">
        <f>VLOOKUP(B3436,LifeList!$E$2:$G$2038,3)</f>
        <v>Geronticus calvus</v>
      </c>
      <c r="G3436" s="3" t="str">
        <f>VLOOKUP(B3436,LifeList!$E$2:$I$2038,4)</f>
        <v>Pelecaniformes</v>
      </c>
      <c r="H3436" s="3" t="str">
        <f>VLOOKUP(B3436,LifeList!$E$2:$I$2038,5)</f>
        <v>Threskiornithidae (Ibises and Spoonbills)</v>
      </c>
      <c r="I3436" s="3"/>
    </row>
    <row r="3437" spans="1:9" ht="10.5" customHeight="1">
      <c r="A3437" s="3" t="s">
        <v>4766</v>
      </c>
      <c r="B3437" s="3" t="s">
        <v>4767</v>
      </c>
      <c r="C3437" s="3">
        <f>VLOOKUP(B3437,LifeList!$E$2:$J$2038,6)</f>
        <v>28923</v>
      </c>
      <c r="D3437" s="3" t="str">
        <f>VLOOKUP(B3437,LifeList!$E$2:$G$2038,1)</f>
        <v>Southern Black-Flycatcher</v>
      </c>
      <c r="E3437" s="3" t="str">
        <f>VLOOKUP(B3437,LifeList!$E$2:$G$2038,2)</f>
        <v>Gobemouche sud-africain</v>
      </c>
      <c r="F3437" s="3" t="str">
        <f>VLOOKUP(B3437,LifeList!$E$2:$G$2038,3)</f>
        <v>Melaenornis pammelaina</v>
      </c>
      <c r="G3437" s="3" t="str">
        <f>VLOOKUP(B3437,LifeList!$E$2:$I$2038,4)</f>
        <v>Passeriformes</v>
      </c>
      <c r="H3437" s="3" t="str">
        <f>VLOOKUP(B3437,LifeList!$E$2:$I$2038,5)</f>
        <v>Muscicapidae (Old World Flycatchers)</v>
      </c>
      <c r="I3437" s="3"/>
    </row>
    <row r="3438" spans="1:9" ht="10.5" customHeight="1">
      <c r="A3438" s="3" t="s">
        <v>4768</v>
      </c>
      <c r="B3438" s="3" t="s">
        <v>4769</v>
      </c>
      <c r="C3438" s="3">
        <f>VLOOKUP(B3438,LifeList!$E$2:$J$2038,6)</f>
        <v>9836</v>
      </c>
      <c r="D3438" s="3" t="str">
        <f>VLOOKUP(B3438,LifeList!$E$2:$G$2038,1)</f>
        <v>Southern Carmine Bee-eater</v>
      </c>
      <c r="E3438" s="3" t="str">
        <f>VLOOKUP(B3438,LifeList!$E$2:$G$2038,2)</f>
        <v>Guêpier carmin</v>
      </c>
      <c r="F3438" s="3" t="str">
        <f>VLOOKUP(B3438,LifeList!$E$2:$G$2038,3)</f>
        <v>Merops nubicoides</v>
      </c>
      <c r="G3438" s="3" t="str">
        <f>VLOOKUP(B3438,LifeList!$E$2:$I$2038,4)</f>
        <v>Coraciiformes</v>
      </c>
      <c r="H3438" s="3" t="str">
        <f>VLOOKUP(B3438,LifeList!$E$2:$I$2038,5)</f>
        <v>Meropidae (Bee-eaters)</v>
      </c>
      <c r="I3438" s="3"/>
    </row>
    <row r="3439" spans="1:9" ht="10.5" customHeight="1">
      <c r="A3439" s="3" t="s">
        <v>4770</v>
      </c>
      <c r="B3439" s="3" t="s">
        <v>4771</v>
      </c>
      <c r="C3439" s="3">
        <f>VLOOKUP(B3439,LifeList!$E$2:$J$2038,6)</f>
        <v>31359</v>
      </c>
      <c r="D3439" s="3" t="str">
        <f>VLOOKUP(B3439,LifeList!$E$2:$G$2038,1)</f>
        <v>Southern Cordonbleu</v>
      </c>
      <c r="E3439" s="3" t="str">
        <f>VLOOKUP(B3439,LifeList!$E$2:$G$2038,2)</f>
        <v>Cordonbleu d'Angola</v>
      </c>
      <c r="F3439" s="3" t="str">
        <f>VLOOKUP(B3439,LifeList!$E$2:$G$2038,3)</f>
        <v>Uraeginthus angolensis</v>
      </c>
      <c r="G3439" s="3" t="str">
        <f>VLOOKUP(B3439,LifeList!$E$2:$I$2038,4)</f>
        <v>Passeriformes</v>
      </c>
      <c r="H3439" s="3" t="str">
        <f>VLOOKUP(B3439,LifeList!$E$2:$I$2038,5)</f>
        <v>Estrildidae (Waxbills and Allies)</v>
      </c>
      <c r="I3439" s="3"/>
    </row>
    <row r="3440" spans="1:9" ht="10.5" customHeight="1">
      <c r="A3440" s="3" t="s">
        <v>4772</v>
      </c>
      <c r="B3440" s="3" t="s">
        <v>4773</v>
      </c>
      <c r="C3440" s="3">
        <f>VLOOKUP(B3440,LifeList!$E$2:$J$2038,6)</f>
        <v>10845</v>
      </c>
      <c r="D3440" s="3" t="str">
        <f>VLOOKUP(B3440,LifeList!$E$2:$G$2038,1)</f>
        <v>Southern Emerald-Toucanet</v>
      </c>
      <c r="E3440" s="3" t="str">
        <f>VLOOKUP(B3440,LifeList!$E$2:$G$2038,2)</f>
        <v>Toucanet à gorge blanche</v>
      </c>
      <c r="F3440" s="3" t="str">
        <f>VLOOKUP(B3440,LifeList!$E$2:$G$2038,3)</f>
        <v>Aulacorhynchus albivitta</v>
      </c>
      <c r="G3440" s="3" t="str">
        <f>VLOOKUP(B3440,LifeList!$E$2:$I$2038,4)</f>
        <v>Piciformes</v>
      </c>
      <c r="H3440" s="3" t="str">
        <f>VLOOKUP(B3440,LifeList!$E$2:$I$2038,5)</f>
        <v>Ramphastidae (Toucans)</v>
      </c>
      <c r="I3440" s="3"/>
    </row>
    <row r="3441" spans="1:9" ht="10.5" customHeight="1">
      <c r="A3441" s="3" t="s">
        <v>4774</v>
      </c>
      <c r="B3441" s="3" t="s">
        <v>4773</v>
      </c>
      <c r="C3441" s="3">
        <f>VLOOKUP(B3441,LifeList!$E$2:$J$2038,6)</f>
        <v>10845</v>
      </c>
      <c r="D3441" s="3" t="str">
        <f>VLOOKUP(B3441,LifeList!$E$2:$G$2038,1)</f>
        <v>Southern Emerald-Toucanet</v>
      </c>
      <c r="E3441" s="3" t="str">
        <f>VLOOKUP(B3441,LifeList!$E$2:$G$2038,2)</f>
        <v>Toucanet à gorge blanche</v>
      </c>
      <c r="F3441" s="3" t="str">
        <f>VLOOKUP(B3441,LifeList!$E$2:$G$2038,3)</f>
        <v>Aulacorhynchus albivitta</v>
      </c>
      <c r="G3441" s="3" t="str">
        <f>VLOOKUP(B3441,LifeList!$E$2:$I$2038,4)</f>
        <v>Piciformes</v>
      </c>
      <c r="H3441" s="3" t="str">
        <f>VLOOKUP(B3441,LifeList!$E$2:$I$2038,5)</f>
        <v>Ramphastidae (Toucans)</v>
      </c>
      <c r="I3441" s="3"/>
    </row>
    <row r="3442" spans="1:9" ht="10.5" customHeight="1">
      <c r="A3442" s="3" t="s">
        <v>4775</v>
      </c>
      <c r="B3442" s="3" t="s">
        <v>4776</v>
      </c>
      <c r="C3442" s="3">
        <f>VLOOKUP(B3442,LifeList!$E$2:$J$2038,6)</f>
        <v>17628</v>
      </c>
      <c r="D3442" s="3" t="str">
        <f>VLOOKUP(B3442,LifeList!$E$2:$G$2038,1)</f>
        <v>Southern Emuwren</v>
      </c>
      <c r="E3442" s="3" t="str">
        <f>VLOOKUP(B3442,LifeList!$E$2:$G$2038,2)</f>
        <v>Queue-de-gaze du Sud</v>
      </c>
      <c r="F3442" s="3" t="str">
        <f>VLOOKUP(B3442,LifeList!$E$2:$G$2038,3)</f>
        <v>Stipiturus malachurus</v>
      </c>
      <c r="G3442" s="3" t="str">
        <f>VLOOKUP(B3442,LifeList!$E$2:$I$2038,4)</f>
        <v>Passeriformes</v>
      </c>
      <c r="H3442" s="3" t="str">
        <f>VLOOKUP(B3442,LifeList!$E$2:$I$2038,5)</f>
        <v>Maluridae (Fairywrens)</v>
      </c>
      <c r="I3442" s="3"/>
    </row>
    <row r="3443" spans="1:9" ht="10.5" customHeight="1">
      <c r="A3443" s="3" t="s">
        <v>4777</v>
      </c>
      <c r="B3443" s="3" t="s">
        <v>4778</v>
      </c>
      <c r="C3443" s="3">
        <f>VLOOKUP(B3443,LifeList!$E$2:$J$2038,6)</f>
        <v>21146</v>
      </c>
      <c r="D3443" s="3" t="str">
        <f>VLOOKUP(B3443,LifeList!$E$2:$G$2038,1)</f>
        <v>Southern Fiscal</v>
      </c>
      <c r="E3443" s="3" t="str">
        <f>VLOOKUP(B3443,LifeList!$E$2:$G$2038,2)</f>
        <v>Pie-grièche fiscale</v>
      </c>
      <c r="F3443" s="3" t="str">
        <f>VLOOKUP(B3443,LifeList!$E$2:$G$2038,3)</f>
        <v>Lanius collaris</v>
      </c>
      <c r="G3443" s="3" t="str">
        <f>VLOOKUP(B3443,LifeList!$E$2:$I$2038,4)</f>
        <v>Passeriformes</v>
      </c>
      <c r="H3443" s="3" t="str">
        <f>VLOOKUP(B3443,LifeList!$E$2:$I$2038,5)</f>
        <v>Laniidae (Shrikes)</v>
      </c>
      <c r="I3443" s="3"/>
    </row>
    <row r="3444" spans="1:9" ht="10.5" customHeight="1">
      <c r="A3444" s="3" t="s">
        <v>4779</v>
      </c>
      <c r="B3444" s="3" t="s">
        <v>4778</v>
      </c>
      <c r="C3444" s="3">
        <f>VLOOKUP(B3444,LifeList!$E$2:$J$2038,6)</f>
        <v>21146</v>
      </c>
      <c r="D3444" s="3" t="str">
        <f>VLOOKUP(B3444,LifeList!$E$2:$G$2038,1)</f>
        <v>Southern Fiscal</v>
      </c>
      <c r="E3444" s="3" t="str">
        <f>VLOOKUP(B3444,LifeList!$E$2:$G$2038,2)</f>
        <v>Pie-grièche fiscale</v>
      </c>
      <c r="F3444" s="3" t="str">
        <f>VLOOKUP(B3444,LifeList!$E$2:$G$2038,3)</f>
        <v>Lanius collaris</v>
      </c>
      <c r="G3444" s="3" t="str">
        <f>VLOOKUP(B3444,LifeList!$E$2:$I$2038,4)</f>
        <v>Passeriformes</v>
      </c>
      <c r="H3444" s="3" t="str">
        <f>VLOOKUP(B3444,LifeList!$E$2:$I$2038,5)</f>
        <v>Laniidae (Shrikes)</v>
      </c>
      <c r="I3444" s="3"/>
    </row>
    <row r="3445" spans="1:9" ht="10.5" customHeight="1">
      <c r="A3445" s="3" t="s">
        <v>4780</v>
      </c>
      <c r="B3445" s="3" t="s">
        <v>4778</v>
      </c>
      <c r="C3445" s="3">
        <f>VLOOKUP(B3445,LifeList!$E$2:$J$2038,6)</f>
        <v>21146</v>
      </c>
      <c r="D3445" s="3" t="str">
        <f>VLOOKUP(B3445,LifeList!$E$2:$G$2038,1)</f>
        <v>Southern Fiscal</v>
      </c>
      <c r="E3445" s="3" t="str">
        <f>VLOOKUP(B3445,LifeList!$E$2:$G$2038,2)</f>
        <v>Pie-grièche fiscale</v>
      </c>
      <c r="F3445" s="3" t="str">
        <f>VLOOKUP(B3445,LifeList!$E$2:$G$2038,3)</f>
        <v>Lanius collaris</v>
      </c>
      <c r="G3445" s="3" t="str">
        <f>VLOOKUP(B3445,LifeList!$E$2:$I$2038,4)</f>
        <v>Passeriformes</v>
      </c>
      <c r="H3445" s="3" t="str">
        <f>VLOOKUP(B3445,LifeList!$E$2:$I$2038,5)</f>
        <v>Laniidae (Shrikes)</v>
      </c>
      <c r="I3445" s="3"/>
    </row>
    <row r="3446" spans="1:9" ht="10.5" customHeight="1">
      <c r="A3446" s="7" t="s">
        <v>4781</v>
      </c>
      <c r="B3446" s="9" t="s">
        <v>4757</v>
      </c>
      <c r="C3446" s="6">
        <f>VLOOKUP(B3446,LifeList!$E$2:$J$2038,6)</f>
        <v>31593</v>
      </c>
      <c r="D3446" s="3" t="str">
        <f>VLOOKUP(B3446,LifeList!$E$2:$G$2038,1)</f>
        <v>Southern Gray-headed Sparrow</v>
      </c>
      <c r="E3446" s="3" t="str">
        <f>VLOOKUP(B3446,LifeList!$E$2:$G$2038,2)</f>
        <v>Moineau sud-africain</v>
      </c>
      <c r="F3446" s="3" t="str">
        <f>VLOOKUP(B3446,LifeList!$E$2:$G$2038,3)</f>
        <v>Passer diffusus</v>
      </c>
      <c r="G3446" s="3" t="str">
        <f>VLOOKUP(B3446,LifeList!$E$2:$I$2038,4)</f>
        <v>Passeriformes</v>
      </c>
      <c r="H3446" s="3" t="str">
        <f>VLOOKUP(B3446,LifeList!$E$2:$I$2038,5)</f>
        <v>Passeridae (Old World Sparrows)</v>
      </c>
      <c r="I3446" s="3"/>
    </row>
    <row r="3447" spans="1:9" ht="10.5" customHeight="1">
      <c r="A3447" s="3" t="s">
        <v>4782</v>
      </c>
      <c r="B3447" s="3" t="s">
        <v>4783</v>
      </c>
      <c r="C3447" s="3">
        <f>VLOOKUP(B3447,LifeList!$E$2:$J$2038,6)</f>
        <v>9655</v>
      </c>
      <c r="D3447" s="3" t="str">
        <f>VLOOKUP(B3447,LifeList!$E$2:$G$2038,1)</f>
        <v>Southern Ground-Hornbill</v>
      </c>
      <c r="E3447" s="3" t="str">
        <f>VLOOKUP(B3447,LifeList!$E$2:$G$2038,2)</f>
        <v>Bucorve du Sud</v>
      </c>
      <c r="F3447" s="3" t="str">
        <f>VLOOKUP(B3447,LifeList!$E$2:$G$2038,3)</f>
        <v>Bucorvus leadbeateri</v>
      </c>
      <c r="G3447" s="3" t="str">
        <f>VLOOKUP(B3447,LifeList!$E$2:$I$2038,4)</f>
        <v>Bucerotiformes</v>
      </c>
      <c r="H3447" s="3" t="str">
        <f>VLOOKUP(B3447,LifeList!$E$2:$I$2038,5)</f>
        <v>Bucerotidae (Hornbills)</v>
      </c>
      <c r="I3447" s="3"/>
    </row>
    <row r="3448" spans="1:9" ht="10.5" customHeight="1">
      <c r="A3448" s="3" t="s">
        <v>4784</v>
      </c>
      <c r="B3448" s="3" t="s">
        <v>4783</v>
      </c>
      <c r="C3448" s="3">
        <f>VLOOKUP(B3448,LifeList!$E$2:$J$2038,6)</f>
        <v>9655</v>
      </c>
      <c r="D3448" s="3" t="str">
        <f>VLOOKUP(B3448,LifeList!$E$2:$G$2038,1)</f>
        <v>Southern Ground-Hornbill</v>
      </c>
      <c r="E3448" s="3" t="str">
        <f>VLOOKUP(B3448,LifeList!$E$2:$G$2038,2)</f>
        <v>Bucorve du Sud</v>
      </c>
      <c r="F3448" s="3" t="str">
        <f>VLOOKUP(B3448,LifeList!$E$2:$G$2038,3)</f>
        <v>Bucorvus leadbeateri</v>
      </c>
      <c r="G3448" s="3" t="str">
        <f>VLOOKUP(B3448,LifeList!$E$2:$I$2038,4)</f>
        <v>Bucerotiformes</v>
      </c>
      <c r="H3448" s="3" t="str">
        <f>VLOOKUP(B3448,LifeList!$E$2:$I$2038,5)</f>
        <v>Bucerotidae (Hornbills)</v>
      </c>
      <c r="I3448" s="3"/>
    </row>
    <row r="3449" spans="1:9" ht="10.5" customHeight="1">
      <c r="A3449" s="3" t="s">
        <v>4785</v>
      </c>
      <c r="B3449" s="3" t="s">
        <v>4786</v>
      </c>
      <c r="C3449" s="3">
        <f>VLOOKUP(B3449,LifeList!$E$2:$J$2038,6)</f>
        <v>27209</v>
      </c>
      <c r="D3449" s="3" t="str">
        <f>VLOOKUP(B3449,LifeList!$E$2:$G$2038,1)</f>
        <v>Southern House Wren</v>
      </c>
      <c r="E3449" s="3" t="str">
        <f>VLOOKUP(B3449,LifeList!$E$2:$G$2038,2)</f>
        <v>Troglodyte austral</v>
      </c>
      <c r="F3449" s="3" t="str">
        <f>VLOOKUP(B3449,LifeList!$E$2:$G$2038,3)</f>
        <v>Troglodytes musculus</v>
      </c>
      <c r="G3449" s="3" t="str">
        <f>VLOOKUP(B3449,LifeList!$E$2:$I$2038,4)</f>
        <v>Passeriformes</v>
      </c>
      <c r="H3449" s="3" t="str">
        <f>VLOOKUP(B3449,LifeList!$E$2:$I$2038,5)</f>
        <v>Troglodytidae (Wrens)</v>
      </c>
      <c r="I3449" s="3"/>
    </row>
    <row r="3450" spans="1:9" ht="10.5" customHeight="1">
      <c r="A3450" s="3" t="s">
        <v>4787</v>
      </c>
      <c r="B3450" s="3" t="s">
        <v>4788</v>
      </c>
      <c r="C3450" s="3">
        <f>VLOOKUP(B3450,LifeList!$E$2:$J$2038,6)</f>
        <v>5896</v>
      </c>
      <c r="D3450" s="3" t="str">
        <f>VLOOKUP(B3450,LifeList!$E$2:$G$2038,1)</f>
        <v>Southern Lapwing</v>
      </c>
      <c r="E3450" s="3" t="str">
        <f>VLOOKUP(B3450,LifeList!$E$2:$G$2038,2)</f>
        <v>Vanneau téro</v>
      </c>
      <c r="F3450" s="3" t="str">
        <f>VLOOKUP(B3450,LifeList!$E$2:$G$2038,3)</f>
        <v>Vanellus chilensis</v>
      </c>
      <c r="G3450" s="3" t="str">
        <f>VLOOKUP(B3450,LifeList!$E$2:$I$2038,4)</f>
        <v>Charadriiformes</v>
      </c>
      <c r="H3450" s="3" t="str">
        <f>VLOOKUP(B3450,LifeList!$E$2:$I$2038,5)</f>
        <v>Charadriidae (Plovers and Lapwings)</v>
      </c>
      <c r="I3450" s="3"/>
    </row>
    <row r="3451" spans="1:9" ht="10.5" customHeight="1">
      <c r="A3451" s="3" t="s">
        <v>4789</v>
      </c>
      <c r="B3451" s="3" t="s">
        <v>4788</v>
      </c>
      <c r="C3451" s="3">
        <f>VLOOKUP(B3451,LifeList!$E$2:$J$2038,6)</f>
        <v>5896</v>
      </c>
      <c r="D3451" s="3" t="str">
        <f>VLOOKUP(B3451,LifeList!$E$2:$G$2038,1)</f>
        <v>Southern Lapwing</v>
      </c>
      <c r="E3451" s="3" t="str">
        <f>VLOOKUP(B3451,LifeList!$E$2:$G$2038,2)</f>
        <v>Vanneau téro</v>
      </c>
      <c r="F3451" s="3" t="str">
        <f>VLOOKUP(B3451,LifeList!$E$2:$G$2038,3)</f>
        <v>Vanellus chilensis</v>
      </c>
      <c r="G3451" s="3" t="str">
        <f>VLOOKUP(B3451,LifeList!$E$2:$I$2038,4)</f>
        <v>Charadriiformes</v>
      </c>
      <c r="H3451" s="3" t="str">
        <f>VLOOKUP(B3451,LifeList!$E$2:$I$2038,5)</f>
        <v>Charadriidae (Plovers and Lapwings)</v>
      </c>
      <c r="I3451" s="3"/>
    </row>
    <row r="3452" spans="1:9" ht="10.5" customHeight="1">
      <c r="A3452" s="3" t="s">
        <v>4790</v>
      </c>
      <c r="B3452" s="3" t="s">
        <v>4788</v>
      </c>
      <c r="C3452" s="3">
        <f>VLOOKUP(B3452,LifeList!$E$2:$J$2038,6)</f>
        <v>5896</v>
      </c>
      <c r="D3452" s="3" t="str">
        <f>VLOOKUP(B3452,LifeList!$E$2:$G$2038,1)</f>
        <v>Southern Lapwing</v>
      </c>
      <c r="E3452" s="3" t="str">
        <f>VLOOKUP(B3452,LifeList!$E$2:$G$2038,2)</f>
        <v>Vanneau téro</v>
      </c>
      <c r="F3452" s="3" t="str">
        <f>VLOOKUP(B3452,LifeList!$E$2:$G$2038,3)</f>
        <v>Vanellus chilensis</v>
      </c>
      <c r="G3452" s="3" t="str">
        <f>VLOOKUP(B3452,LifeList!$E$2:$I$2038,4)</f>
        <v>Charadriiformes</v>
      </c>
      <c r="H3452" s="3" t="str">
        <f>VLOOKUP(B3452,LifeList!$E$2:$I$2038,5)</f>
        <v>Charadriidae (Plovers and Lapwings)</v>
      </c>
      <c r="I3452" s="3"/>
    </row>
    <row r="3453" spans="1:9" ht="10.5" customHeight="1">
      <c r="A3453" s="3" t="s">
        <v>4791</v>
      </c>
      <c r="B3453" s="3" t="s">
        <v>4788</v>
      </c>
      <c r="C3453" s="3">
        <f>VLOOKUP(B3453,LifeList!$E$2:$J$2038,6)</f>
        <v>5896</v>
      </c>
      <c r="D3453" s="3" t="str">
        <f>VLOOKUP(B3453,LifeList!$E$2:$G$2038,1)</f>
        <v>Southern Lapwing</v>
      </c>
      <c r="E3453" s="3" t="str">
        <f>VLOOKUP(B3453,LifeList!$E$2:$G$2038,2)</f>
        <v>Vanneau téro</v>
      </c>
      <c r="F3453" s="3" t="str">
        <f>VLOOKUP(B3453,LifeList!$E$2:$G$2038,3)</f>
        <v>Vanellus chilensis</v>
      </c>
      <c r="G3453" s="3" t="str">
        <f>VLOOKUP(B3453,LifeList!$E$2:$I$2038,4)</f>
        <v>Charadriiformes</v>
      </c>
      <c r="H3453" s="3" t="str">
        <f>VLOOKUP(B3453,LifeList!$E$2:$I$2038,5)</f>
        <v>Charadriidae (Plovers and Lapwings)</v>
      </c>
      <c r="I3453" s="3"/>
    </row>
    <row r="3454" spans="1:9" ht="10.5" customHeight="1">
      <c r="A3454" s="3" t="s">
        <v>4792</v>
      </c>
      <c r="B3454" s="3" t="s">
        <v>4788</v>
      </c>
      <c r="C3454" s="3">
        <f>VLOOKUP(B3454,LifeList!$E$2:$J$2038,6)</f>
        <v>5896</v>
      </c>
      <c r="D3454" s="3" t="str">
        <f>VLOOKUP(B3454,LifeList!$E$2:$G$2038,1)</f>
        <v>Southern Lapwing</v>
      </c>
      <c r="E3454" s="3" t="str">
        <f>VLOOKUP(B3454,LifeList!$E$2:$G$2038,2)</f>
        <v>Vanneau téro</v>
      </c>
      <c r="F3454" s="3" t="str">
        <f>VLOOKUP(B3454,LifeList!$E$2:$G$2038,3)</f>
        <v>Vanellus chilensis</v>
      </c>
      <c r="G3454" s="3" t="str">
        <f>VLOOKUP(B3454,LifeList!$E$2:$I$2038,4)</f>
        <v>Charadriiformes</v>
      </c>
      <c r="H3454" s="3" t="str">
        <f>VLOOKUP(B3454,LifeList!$E$2:$I$2038,5)</f>
        <v>Charadriidae (Plovers and Lapwings)</v>
      </c>
      <c r="I3454" s="3"/>
    </row>
    <row r="3455" spans="1:9" ht="10.5" customHeight="1">
      <c r="A3455" s="3" t="s">
        <v>4793</v>
      </c>
      <c r="B3455" s="3" t="s">
        <v>4788</v>
      </c>
      <c r="C3455" s="3">
        <f>VLOOKUP(B3455,LifeList!$E$2:$J$2038,6)</f>
        <v>5896</v>
      </c>
      <c r="D3455" s="3" t="str">
        <f>VLOOKUP(B3455,LifeList!$E$2:$G$2038,1)</f>
        <v>Southern Lapwing</v>
      </c>
      <c r="E3455" s="3" t="str">
        <f>VLOOKUP(B3455,LifeList!$E$2:$G$2038,2)</f>
        <v>Vanneau téro</v>
      </c>
      <c r="F3455" s="3" t="str">
        <f>VLOOKUP(B3455,LifeList!$E$2:$G$2038,3)</f>
        <v>Vanellus chilensis</v>
      </c>
      <c r="G3455" s="3" t="str">
        <f>VLOOKUP(B3455,LifeList!$E$2:$I$2038,4)</f>
        <v>Charadriiformes</v>
      </c>
      <c r="H3455" s="3" t="str">
        <f>VLOOKUP(B3455,LifeList!$E$2:$I$2038,5)</f>
        <v>Charadriidae (Plovers and Lapwings)</v>
      </c>
      <c r="I3455" s="3"/>
    </row>
    <row r="3456" spans="1:9" ht="10.5" customHeight="1">
      <c r="A3456" s="3" t="s">
        <v>4794</v>
      </c>
      <c r="B3456" s="3" t="s">
        <v>4788</v>
      </c>
      <c r="C3456" s="3">
        <f>VLOOKUP(B3456,LifeList!$E$2:$J$2038,6)</f>
        <v>5896</v>
      </c>
      <c r="D3456" s="3" t="str">
        <f>VLOOKUP(B3456,LifeList!$E$2:$G$2038,1)</f>
        <v>Southern Lapwing</v>
      </c>
      <c r="E3456" s="3" t="str">
        <f>VLOOKUP(B3456,LifeList!$E$2:$G$2038,2)</f>
        <v>Vanneau téro</v>
      </c>
      <c r="F3456" s="3" t="str">
        <f>VLOOKUP(B3456,LifeList!$E$2:$G$2038,3)</f>
        <v>Vanellus chilensis</v>
      </c>
      <c r="G3456" s="3" t="str">
        <f>VLOOKUP(B3456,LifeList!$E$2:$I$2038,4)</f>
        <v>Charadriiformes</v>
      </c>
      <c r="H3456" s="3" t="str">
        <f>VLOOKUP(B3456,LifeList!$E$2:$I$2038,5)</f>
        <v>Charadriidae (Plovers and Lapwings)</v>
      </c>
      <c r="I3456" s="3"/>
    </row>
    <row r="3457" spans="1:9" ht="10.5" customHeight="1">
      <c r="A3457" s="3" t="s">
        <v>4795</v>
      </c>
      <c r="B3457" s="3" t="s">
        <v>4796</v>
      </c>
      <c r="C3457" s="3">
        <f>VLOOKUP(B3457,LifeList!$E$2:$J$2038,6)</f>
        <v>9678</v>
      </c>
      <c r="D3457" s="3" t="str">
        <f>VLOOKUP(B3457,LifeList!$E$2:$G$2038,1)</f>
        <v>Southern Red-billed Hornbill</v>
      </c>
      <c r="E3457" s="3" t="str">
        <f>VLOOKUP(B3457,LifeList!$E$2:$G$2038,2)</f>
        <v>Calao d'Afrique du Sud</v>
      </c>
      <c r="F3457" s="3" t="str">
        <f>VLOOKUP(B3457,LifeList!$E$2:$G$2038,3)</f>
        <v>Tockus rufirostris</v>
      </c>
      <c r="G3457" s="3" t="str">
        <f>VLOOKUP(B3457,LifeList!$E$2:$I$2038,4)</f>
        <v>Bucerotiformes</v>
      </c>
      <c r="H3457" s="3" t="str">
        <f>VLOOKUP(B3457,LifeList!$E$2:$I$2038,5)</f>
        <v>Bucerotidae (Hornbills)</v>
      </c>
      <c r="I3457" s="3"/>
    </row>
    <row r="3458" spans="1:9" ht="10.5" customHeight="1">
      <c r="A3458" s="3" t="s">
        <v>4797</v>
      </c>
      <c r="B3458" s="3" t="s">
        <v>4798</v>
      </c>
      <c r="C3458" s="3">
        <f>VLOOKUP(B3458,LifeList!$E$2:$J$2038,6)</f>
        <v>24116</v>
      </c>
      <c r="D3458" s="3" t="str">
        <f>VLOOKUP(B3458,LifeList!$E$2:$G$2038,1)</f>
        <v>Southern Rough-winged Swallow</v>
      </c>
      <c r="E3458" s="3" t="str">
        <f>VLOOKUP(B3458,LifeList!$E$2:$G$2038,2)</f>
        <v>Hirondelle à gorge rousse</v>
      </c>
      <c r="F3458" s="3" t="str">
        <f>VLOOKUP(B3458,LifeList!$E$2:$G$2038,3)</f>
        <v>Stelgidopteryx ruficollis</v>
      </c>
      <c r="G3458" s="3" t="str">
        <f>VLOOKUP(B3458,LifeList!$E$2:$I$2038,4)</f>
        <v>Passeriformes</v>
      </c>
      <c r="H3458" s="3" t="str">
        <f>VLOOKUP(B3458,LifeList!$E$2:$I$2038,5)</f>
        <v>Hirundinidae (Swallows)</v>
      </c>
      <c r="I3458" s="3"/>
    </row>
    <row r="3459" spans="1:9" ht="10.5" customHeight="1">
      <c r="A3459" s="7" t="s">
        <v>4799</v>
      </c>
      <c r="B3459" s="8" t="s">
        <v>4800</v>
      </c>
      <c r="C3459" s="6">
        <f>VLOOKUP(B3459,LifeList!$E$2:$J$2038,6)</f>
        <v>21804</v>
      </c>
      <c r="D3459" s="3" t="str">
        <f>VLOOKUP(B3459,LifeList!$E$2:$G$2038,1)</f>
        <v>Southern Scrub-Robin</v>
      </c>
      <c r="E3459" s="3" t="str">
        <f>VLOOKUP(B3459,LifeList!$E$2:$G$2038,2)</f>
        <v>Drymode à croupion brun</v>
      </c>
      <c r="F3459" s="3" t="str">
        <f>VLOOKUP(B3459,LifeList!$E$2:$G$2038,3)</f>
        <v>Drymodes brunneopygia</v>
      </c>
      <c r="G3459" s="3" t="str">
        <f>VLOOKUP(B3459,LifeList!$E$2:$I$2038,4)</f>
        <v>Passeriformes</v>
      </c>
      <c r="H3459" s="3" t="str">
        <f>VLOOKUP(B3459,LifeList!$E$2:$I$2038,5)</f>
        <v>Petroicidae (Australasian Robins)</v>
      </c>
      <c r="I3459" s="3"/>
    </row>
    <row r="3460" spans="1:9" ht="10.5" customHeight="1">
      <c r="A3460" s="7" t="s">
        <v>4801</v>
      </c>
      <c r="B3460" s="9" t="s">
        <v>4802</v>
      </c>
      <c r="C3460" s="6">
        <f>VLOOKUP(B3460,LifeList!$E$2:$J$2038,6)</f>
        <v>18372</v>
      </c>
      <c r="D3460" s="3" t="str">
        <f>VLOOKUP(B3460,LifeList!$E$2:$G$2038,1)</f>
        <v>Southern Whiteface</v>
      </c>
      <c r="E3460" s="3" t="str">
        <f>VLOOKUP(B3460,LifeList!$E$2:$G$2038,2)</f>
        <v>Acanthize blanchâtre</v>
      </c>
      <c r="F3460" s="3" t="str">
        <f>VLOOKUP(B3460,LifeList!$E$2:$G$2038,3)</f>
        <v>Aphelocephala leucopsis</v>
      </c>
      <c r="G3460" s="3" t="str">
        <f>VLOOKUP(B3460,LifeList!$E$2:$I$2038,4)</f>
        <v>Passeriformes</v>
      </c>
      <c r="H3460" s="3" t="str">
        <f>VLOOKUP(B3460,LifeList!$E$2:$I$2038,5)</f>
        <v>Acanthizidae (Thornbills and Allies)</v>
      </c>
      <c r="I3460" s="3"/>
    </row>
    <row r="3461" spans="1:9" ht="10.5" customHeight="1">
      <c r="A3461" s="7" t="s">
        <v>4803</v>
      </c>
      <c r="B3461" s="9" t="s">
        <v>4802</v>
      </c>
      <c r="C3461" s="6">
        <f>VLOOKUP(B3461,LifeList!$E$2:$J$2038,6)</f>
        <v>18372</v>
      </c>
      <c r="D3461" s="3" t="str">
        <f>VLOOKUP(B3461,LifeList!$E$2:$G$2038,1)</f>
        <v>Southern Whiteface</v>
      </c>
      <c r="E3461" s="3" t="str">
        <f>VLOOKUP(B3461,LifeList!$E$2:$G$2038,2)</f>
        <v>Acanthize blanchâtre</v>
      </c>
      <c r="F3461" s="3" t="str">
        <f>VLOOKUP(B3461,LifeList!$E$2:$G$2038,3)</f>
        <v>Aphelocephala leucopsis</v>
      </c>
      <c r="G3461" s="3" t="str">
        <f>VLOOKUP(B3461,LifeList!$E$2:$I$2038,4)</f>
        <v>Passeriformes</v>
      </c>
      <c r="H3461" s="3" t="str">
        <f>VLOOKUP(B3461,LifeList!$E$2:$I$2038,5)</f>
        <v>Acanthizidae (Thornbills and Allies)</v>
      </c>
      <c r="I3461" s="3"/>
    </row>
    <row r="3462" spans="1:9" ht="10.5" customHeight="1">
      <c r="A3462" s="3" t="s">
        <v>4804</v>
      </c>
      <c r="B3462" s="3" t="s">
        <v>4805</v>
      </c>
      <c r="C3462" s="3">
        <f>VLOOKUP(B3462,LifeList!$E$2:$J$2038,6)</f>
        <v>9672</v>
      </c>
      <c r="D3462" s="3" t="str">
        <f>VLOOKUP(B3462,LifeList!$E$2:$G$2038,1)</f>
        <v>Southern Yellow-billed Hornbill</v>
      </c>
      <c r="E3462" s="3" t="str">
        <f>VLOOKUP(B3462,LifeList!$E$2:$G$2038,2)</f>
        <v>Calao leucomèle</v>
      </c>
      <c r="F3462" s="3" t="str">
        <f>VLOOKUP(B3462,LifeList!$E$2:$G$2038,3)</f>
        <v>Tockus leucomelas</v>
      </c>
      <c r="G3462" s="3" t="str">
        <f>VLOOKUP(B3462,LifeList!$E$2:$I$2038,4)</f>
        <v>Bucerotiformes</v>
      </c>
      <c r="H3462" s="3" t="str">
        <f>VLOOKUP(B3462,LifeList!$E$2:$I$2038,5)</f>
        <v>Bucerotidae (Hornbills)</v>
      </c>
      <c r="I3462" s="3"/>
    </row>
    <row r="3463" spans="1:9" ht="10.5" customHeight="1">
      <c r="A3463" s="3" t="s">
        <v>4806</v>
      </c>
      <c r="B3463" s="3" t="s">
        <v>4805</v>
      </c>
      <c r="C3463" s="3">
        <f>VLOOKUP(B3463,LifeList!$E$2:$J$2038,6)</f>
        <v>9672</v>
      </c>
      <c r="D3463" s="3" t="str">
        <f>VLOOKUP(B3463,LifeList!$E$2:$G$2038,1)</f>
        <v>Southern Yellow-billed Hornbill</v>
      </c>
      <c r="E3463" s="3" t="str">
        <f>VLOOKUP(B3463,LifeList!$E$2:$G$2038,2)</f>
        <v>Calao leucomèle</v>
      </c>
      <c r="F3463" s="3" t="str">
        <f>VLOOKUP(B3463,LifeList!$E$2:$G$2038,3)</f>
        <v>Tockus leucomelas</v>
      </c>
      <c r="G3463" s="3" t="str">
        <f>VLOOKUP(B3463,LifeList!$E$2:$I$2038,4)</f>
        <v>Bucerotiformes</v>
      </c>
      <c r="H3463" s="3" t="str">
        <f>VLOOKUP(B3463,LifeList!$E$2:$I$2038,5)</f>
        <v>Bucerotidae (Hornbills)</v>
      </c>
      <c r="I3463" s="3"/>
    </row>
    <row r="3464" spans="1:9" ht="10.5" customHeight="1">
      <c r="A3464" s="3" t="s">
        <v>4807</v>
      </c>
      <c r="B3464" s="3" t="s">
        <v>4808</v>
      </c>
      <c r="C3464" s="3">
        <f>VLOOKUP(B3464,LifeList!$E$2:$J$2038,6)</f>
        <v>35046</v>
      </c>
      <c r="D3464" s="3" t="str">
        <f>VLOOKUP(B3464,LifeList!$E$2:$G$2038,1)</f>
        <v>Spangle-cheeked Tanager</v>
      </c>
      <c r="E3464" s="3" t="str">
        <f>VLOOKUP(B3464,LifeList!$E$2:$G$2038,2)</f>
        <v>Calliste pailleté</v>
      </c>
      <c r="F3464" s="3" t="str">
        <f>VLOOKUP(B3464,LifeList!$E$2:$G$2038,3)</f>
        <v>Tangara dowii</v>
      </c>
      <c r="G3464" s="3" t="str">
        <f>VLOOKUP(B3464,LifeList!$E$2:$I$2038,4)</f>
        <v>Passeriformes</v>
      </c>
      <c r="H3464" s="3" t="str">
        <f>VLOOKUP(B3464,LifeList!$E$2:$I$2038,5)</f>
        <v>Thraupidae (Tanagers and Allies)</v>
      </c>
      <c r="I3464" s="3"/>
    </row>
    <row r="3465" spans="1:9" ht="10.5" customHeight="1">
      <c r="A3465" s="3" t="s">
        <v>4809</v>
      </c>
      <c r="B3465" s="3" t="s">
        <v>4808</v>
      </c>
      <c r="C3465" s="3">
        <f>VLOOKUP(B3465,LifeList!$E$2:$J$2038,6)</f>
        <v>35046</v>
      </c>
      <c r="D3465" s="3" t="str">
        <f>VLOOKUP(B3465,LifeList!$E$2:$G$2038,1)</f>
        <v>Spangle-cheeked Tanager</v>
      </c>
      <c r="E3465" s="3" t="str">
        <f>VLOOKUP(B3465,LifeList!$E$2:$G$2038,2)</f>
        <v>Calliste pailleté</v>
      </c>
      <c r="F3465" s="3" t="str">
        <f>VLOOKUP(B3465,LifeList!$E$2:$G$2038,3)</f>
        <v>Tangara dowii</v>
      </c>
      <c r="G3465" s="3" t="str">
        <f>VLOOKUP(B3465,LifeList!$E$2:$I$2038,4)</f>
        <v>Passeriformes</v>
      </c>
      <c r="H3465" s="3" t="str">
        <f>VLOOKUP(B3465,LifeList!$E$2:$I$2038,5)</f>
        <v>Thraupidae (Tanagers and Allies)</v>
      </c>
      <c r="I3465" s="3"/>
    </row>
    <row r="3466" spans="1:9" ht="10.5" customHeight="1">
      <c r="A3466" s="3" t="s">
        <v>4810</v>
      </c>
      <c r="B3466" s="3" t="s">
        <v>4811</v>
      </c>
      <c r="C3466" s="3">
        <f>VLOOKUP(B3466,LifeList!$E$2:$J$2038,6)</f>
        <v>4354</v>
      </c>
      <c r="D3466" s="3" t="str">
        <f>VLOOKUP(B3466,LifeList!$E$2:$G$2038,1)</f>
        <v>Sparkling Violetear</v>
      </c>
      <c r="E3466" s="3" t="str">
        <f>VLOOKUP(B3466,LifeList!$E$2:$G$2038,2)</f>
        <v>Colibri d'Anaïs</v>
      </c>
      <c r="F3466" s="3" t="str">
        <f>VLOOKUP(B3466,LifeList!$E$2:$G$2038,3)</f>
        <v>Colibri coruscans</v>
      </c>
      <c r="G3466" s="3" t="str">
        <f>VLOOKUP(B3466,LifeList!$E$2:$I$2038,4)</f>
        <v>Apodiformes</v>
      </c>
      <c r="H3466" s="3" t="str">
        <f>VLOOKUP(B3466,LifeList!$E$2:$I$2038,5)</f>
        <v>Trochilidae (Hummingbirds)</v>
      </c>
      <c r="I3466" s="3"/>
    </row>
    <row r="3467" spans="1:9" ht="10.5" customHeight="1">
      <c r="A3467" s="3" t="s">
        <v>4812</v>
      </c>
      <c r="B3467" s="3" t="s">
        <v>4811</v>
      </c>
      <c r="C3467" s="3">
        <f>VLOOKUP(B3467,LifeList!$E$2:$J$2038,6)</f>
        <v>4354</v>
      </c>
      <c r="D3467" s="3" t="str">
        <f>VLOOKUP(B3467,LifeList!$E$2:$G$2038,1)</f>
        <v>Sparkling Violetear</v>
      </c>
      <c r="E3467" s="3" t="str">
        <f>VLOOKUP(B3467,LifeList!$E$2:$G$2038,2)</f>
        <v>Colibri d'Anaïs</v>
      </c>
      <c r="F3467" s="3" t="str">
        <f>VLOOKUP(B3467,LifeList!$E$2:$G$2038,3)</f>
        <v>Colibri coruscans</v>
      </c>
      <c r="G3467" s="3" t="str">
        <f>VLOOKUP(B3467,LifeList!$E$2:$I$2038,4)</f>
        <v>Apodiformes</v>
      </c>
      <c r="H3467" s="3" t="str">
        <f>VLOOKUP(B3467,LifeList!$E$2:$I$2038,5)</f>
        <v>Trochilidae (Hummingbirds)</v>
      </c>
      <c r="I3467" s="3"/>
    </row>
    <row r="3468" spans="1:9" ht="10.5" customHeight="1">
      <c r="A3468" s="3" t="s">
        <v>4813</v>
      </c>
      <c r="B3468" s="3" t="s">
        <v>4811</v>
      </c>
      <c r="C3468" s="3">
        <f>VLOOKUP(B3468,LifeList!$E$2:$J$2038,6)</f>
        <v>4354</v>
      </c>
      <c r="D3468" s="3" t="str">
        <f>VLOOKUP(B3468,LifeList!$E$2:$G$2038,1)</f>
        <v>Sparkling Violetear</v>
      </c>
      <c r="E3468" s="3" t="str">
        <f>VLOOKUP(B3468,LifeList!$E$2:$G$2038,2)</f>
        <v>Colibri d'Anaïs</v>
      </c>
      <c r="F3468" s="3" t="str">
        <f>VLOOKUP(B3468,LifeList!$E$2:$G$2038,3)</f>
        <v>Colibri coruscans</v>
      </c>
      <c r="G3468" s="3" t="str">
        <f>VLOOKUP(B3468,LifeList!$E$2:$I$2038,4)</f>
        <v>Apodiformes</v>
      </c>
      <c r="H3468" s="3" t="str">
        <f>VLOOKUP(B3468,LifeList!$E$2:$I$2038,5)</f>
        <v>Trochilidae (Hummingbirds)</v>
      </c>
      <c r="I3468" s="3"/>
    </row>
    <row r="3469" spans="1:9" ht="10.5" customHeight="1">
      <c r="A3469" s="3" t="s">
        <v>4814</v>
      </c>
      <c r="B3469" s="3" t="s">
        <v>4811</v>
      </c>
      <c r="C3469" s="3">
        <f>VLOOKUP(B3469,LifeList!$E$2:$J$2038,6)</f>
        <v>4354</v>
      </c>
      <c r="D3469" s="3" t="str">
        <f>VLOOKUP(B3469,LifeList!$E$2:$G$2038,1)</f>
        <v>Sparkling Violetear</v>
      </c>
      <c r="E3469" s="3" t="str">
        <f>VLOOKUP(B3469,LifeList!$E$2:$G$2038,2)</f>
        <v>Colibri d'Anaïs</v>
      </c>
      <c r="F3469" s="3" t="str">
        <f>VLOOKUP(B3469,LifeList!$E$2:$G$2038,3)</f>
        <v>Colibri coruscans</v>
      </c>
      <c r="G3469" s="3" t="str">
        <f>VLOOKUP(B3469,LifeList!$E$2:$I$2038,4)</f>
        <v>Apodiformes</v>
      </c>
      <c r="H3469" s="3" t="str">
        <f>VLOOKUP(B3469,LifeList!$E$2:$I$2038,5)</f>
        <v>Trochilidae (Hummingbirds)</v>
      </c>
      <c r="I3469" s="3"/>
    </row>
    <row r="3470" spans="1:9" ht="10.5" customHeight="1">
      <c r="A3470" s="3" t="s">
        <v>4815</v>
      </c>
      <c r="B3470" s="3" t="s">
        <v>4811</v>
      </c>
      <c r="C3470" s="3">
        <f>VLOOKUP(B3470,LifeList!$E$2:$J$2038,6)</f>
        <v>4354</v>
      </c>
      <c r="D3470" s="3" t="str">
        <f>VLOOKUP(B3470,LifeList!$E$2:$G$2038,1)</f>
        <v>Sparkling Violetear</v>
      </c>
      <c r="E3470" s="3" t="str">
        <f>VLOOKUP(B3470,LifeList!$E$2:$G$2038,2)</f>
        <v>Colibri d'Anaïs</v>
      </c>
      <c r="F3470" s="3" t="str">
        <f>VLOOKUP(B3470,LifeList!$E$2:$G$2038,3)</f>
        <v>Colibri coruscans</v>
      </c>
      <c r="G3470" s="3" t="str">
        <f>VLOOKUP(B3470,LifeList!$E$2:$I$2038,4)</f>
        <v>Apodiformes</v>
      </c>
      <c r="H3470" s="3" t="str">
        <f>VLOOKUP(B3470,LifeList!$E$2:$I$2038,5)</f>
        <v>Trochilidae (Hummingbirds)</v>
      </c>
      <c r="I3470" s="3"/>
    </row>
    <row r="3471" spans="1:9" ht="10.5" customHeight="1">
      <c r="A3471" s="3" t="s">
        <v>4816</v>
      </c>
      <c r="B3471" s="3" t="s">
        <v>4817</v>
      </c>
      <c r="C3471" s="3">
        <f>VLOOKUP(B3471,LifeList!$E$2:$J$2038,6)</f>
        <v>30712</v>
      </c>
      <c r="D3471" s="3" t="str">
        <f>VLOOKUP(B3471,LifeList!$E$2:$G$2038,1)</f>
        <v>Speckle-fronted Weaver</v>
      </c>
      <c r="E3471" s="3" t="str">
        <f>VLOOKUP(B3471,LifeList!$E$2:$G$2038,2)</f>
        <v>Sporopipe quadrillé</v>
      </c>
      <c r="F3471" s="3" t="str">
        <f>VLOOKUP(B3471,LifeList!$E$2:$G$2038,3)</f>
        <v>Sporopipes frontalis</v>
      </c>
      <c r="G3471" s="3" t="str">
        <f>VLOOKUP(B3471,LifeList!$E$2:$I$2038,4)</f>
        <v>Passeriformes</v>
      </c>
      <c r="H3471" s="3" t="str">
        <f>VLOOKUP(B3471,LifeList!$E$2:$I$2038,5)</f>
        <v>Ploceidae (Weavers and Allies)</v>
      </c>
      <c r="I3471" s="3"/>
    </row>
    <row r="3472" spans="1:9" ht="10.5" customHeight="1">
      <c r="A3472" s="5" t="s">
        <v>4818</v>
      </c>
      <c r="B3472" s="3" t="s">
        <v>4819</v>
      </c>
      <c r="C3472" s="3">
        <f>VLOOKUP(B3472,LifeList!$E$2:$J$2038,6)</f>
        <v>4460</v>
      </c>
      <c r="D3472" s="3" t="str">
        <f>VLOOKUP(B3472,LifeList!$E$2:$G$2038,1)</f>
        <v>Speckled Hummingbird</v>
      </c>
      <c r="E3472" s="3" t="str">
        <f>VLOOKUP(B3472,LifeList!$E$2:$G$2038,2)</f>
        <v>Colibri moucheté</v>
      </c>
      <c r="F3472" s="3" t="str">
        <f>VLOOKUP(B3472,LifeList!$E$2:$G$2038,3)</f>
        <v>Adelomyia melanogenys</v>
      </c>
      <c r="G3472" s="3" t="str">
        <f>VLOOKUP(B3472,LifeList!$E$2:$I$2038,4)</f>
        <v>Apodiformes</v>
      </c>
      <c r="H3472" s="3" t="str">
        <f>VLOOKUP(B3472,LifeList!$E$2:$I$2038,5)</f>
        <v>Trochilidae (Hummingbirds)</v>
      </c>
      <c r="I3472" s="3"/>
    </row>
    <row r="3473" spans="1:9" ht="10.5" customHeight="1">
      <c r="A3473" s="3" t="s">
        <v>4820</v>
      </c>
      <c r="B3473" s="3" t="s">
        <v>4821</v>
      </c>
      <c r="C3473" s="3">
        <f>VLOOKUP(B3473,LifeList!$E$2:$J$2038,6)</f>
        <v>9403</v>
      </c>
      <c r="D3473" s="3" t="str">
        <f>VLOOKUP(B3473,LifeList!$E$2:$G$2038,1)</f>
        <v>Speckled Mousebird</v>
      </c>
      <c r="E3473" s="3" t="str">
        <f>VLOOKUP(B3473,LifeList!$E$2:$G$2038,2)</f>
        <v>Coliou rayé</v>
      </c>
      <c r="F3473" s="3" t="str">
        <f>VLOOKUP(B3473,LifeList!$E$2:$G$2038,3)</f>
        <v>Colius striatus</v>
      </c>
      <c r="G3473" s="3" t="str">
        <f>VLOOKUP(B3473,LifeList!$E$2:$I$2038,4)</f>
        <v>Coliiformes</v>
      </c>
      <c r="H3473" s="3" t="str">
        <f>VLOOKUP(B3473,LifeList!$E$2:$I$2038,5)</f>
        <v>Coliidae (Mousebirds)</v>
      </c>
      <c r="I3473" s="3"/>
    </row>
    <row r="3474" spans="1:9" ht="10.5" customHeight="1">
      <c r="A3474" s="3" t="s">
        <v>4822</v>
      </c>
      <c r="B3474" s="3" t="s">
        <v>4823</v>
      </c>
      <c r="C3474" s="3">
        <f>VLOOKUP(B3474,LifeList!$E$2:$J$2038,6)</f>
        <v>1876</v>
      </c>
      <c r="D3474" s="3" t="str">
        <f>VLOOKUP(B3474,LifeList!$E$2:$G$2038,1)</f>
        <v>Speckled Pigeon</v>
      </c>
      <c r="E3474" s="3" t="str">
        <f>VLOOKUP(B3474,LifeList!$E$2:$G$2038,2)</f>
        <v>Pigeon roussard</v>
      </c>
      <c r="F3474" s="3" t="str">
        <f>VLOOKUP(B3474,LifeList!$E$2:$G$2038,3)</f>
        <v>Columba guinea</v>
      </c>
      <c r="G3474" s="3" t="str">
        <f>VLOOKUP(B3474,LifeList!$E$2:$I$2038,4)</f>
        <v>Columbiformes</v>
      </c>
      <c r="H3474" s="3" t="str">
        <f>VLOOKUP(B3474,LifeList!$E$2:$I$2038,5)</f>
        <v>Columbidae (Pigeons and Doves)</v>
      </c>
      <c r="I3474" s="3"/>
    </row>
    <row r="3475" spans="1:9" ht="10.5" customHeight="1">
      <c r="A3475" s="3" t="s">
        <v>4824</v>
      </c>
      <c r="B3475" s="3" t="s">
        <v>4825</v>
      </c>
      <c r="C3475" s="3">
        <f>VLOOKUP(B3475,LifeList!$E$2:$J$2038,6)</f>
        <v>8897</v>
      </c>
      <c r="D3475" s="3" t="str">
        <f>VLOOKUP(B3475,LifeList!$E$2:$G$2038,1)</f>
        <v>Spectacled Owl</v>
      </c>
      <c r="E3475" s="3" t="str">
        <f>VLOOKUP(B3475,LifeList!$E$2:$G$2038,2)</f>
        <v>Chouette à lunettes</v>
      </c>
      <c r="F3475" s="3" t="str">
        <f>VLOOKUP(B3475,LifeList!$E$2:$G$2038,3)</f>
        <v>Pulsatrix perspicillata</v>
      </c>
      <c r="G3475" s="3" t="str">
        <f>VLOOKUP(B3475,LifeList!$E$2:$I$2038,4)</f>
        <v>Strigiformes</v>
      </c>
      <c r="H3475" s="3" t="str">
        <f>VLOOKUP(B3475,LifeList!$E$2:$I$2038,5)</f>
        <v>Strigidae (Owls)</v>
      </c>
      <c r="I3475" s="3"/>
    </row>
    <row r="3476" spans="1:9" ht="10.5" customHeight="1">
      <c r="A3476" s="3" t="s">
        <v>4826</v>
      </c>
      <c r="B3476" s="3" t="s">
        <v>4825</v>
      </c>
      <c r="C3476" s="3">
        <f>VLOOKUP(B3476,LifeList!$E$2:$J$2038,6)</f>
        <v>8897</v>
      </c>
      <c r="D3476" s="3" t="str">
        <f>VLOOKUP(B3476,LifeList!$E$2:$G$2038,1)</f>
        <v>Spectacled Owl</v>
      </c>
      <c r="E3476" s="3" t="str">
        <f>VLOOKUP(B3476,LifeList!$E$2:$G$2038,2)</f>
        <v>Chouette à lunettes</v>
      </c>
      <c r="F3476" s="3" t="str">
        <f>VLOOKUP(B3476,LifeList!$E$2:$G$2038,3)</f>
        <v>Pulsatrix perspicillata</v>
      </c>
      <c r="G3476" s="3" t="str">
        <f>VLOOKUP(B3476,LifeList!$E$2:$I$2038,4)</f>
        <v>Strigiformes</v>
      </c>
      <c r="H3476" s="3" t="str">
        <f>VLOOKUP(B3476,LifeList!$E$2:$I$2038,5)</f>
        <v>Strigidae (Owls)</v>
      </c>
      <c r="I3476" s="3"/>
    </row>
    <row r="3477" spans="1:9" ht="10.5" customHeight="1">
      <c r="A3477" s="3" t="s">
        <v>4827</v>
      </c>
      <c r="B3477" s="3" t="s">
        <v>4825</v>
      </c>
      <c r="C3477" s="3">
        <f>VLOOKUP(B3477,LifeList!$E$2:$J$2038,6)</f>
        <v>8897</v>
      </c>
      <c r="D3477" s="3" t="str">
        <f>VLOOKUP(B3477,LifeList!$E$2:$G$2038,1)</f>
        <v>Spectacled Owl</v>
      </c>
      <c r="E3477" s="3" t="str">
        <f>VLOOKUP(B3477,LifeList!$E$2:$G$2038,2)</f>
        <v>Chouette à lunettes</v>
      </c>
      <c r="F3477" s="3" t="str">
        <f>VLOOKUP(B3477,LifeList!$E$2:$G$2038,3)</f>
        <v>Pulsatrix perspicillata</v>
      </c>
      <c r="G3477" s="3" t="str">
        <f>VLOOKUP(B3477,LifeList!$E$2:$I$2038,4)</f>
        <v>Strigiformes</v>
      </c>
      <c r="H3477" s="3" t="str">
        <f>VLOOKUP(B3477,LifeList!$E$2:$I$2038,5)</f>
        <v>Strigidae (Owls)</v>
      </c>
      <c r="I3477" s="3"/>
    </row>
    <row r="3478" spans="1:9" ht="10.5" customHeight="1">
      <c r="A3478" s="3" t="s">
        <v>4828</v>
      </c>
      <c r="B3478" s="3" t="s">
        <v>4825</v>
      </c>
      <c r="C3478" s="3">
        <f>VLOOKUP(B3478,LifeList!$E$2:$J$2038,6)</f>
        <v>8897</v>
      </c>
      <c r="D3478" s="3" t="str">
        <f>VLOOKUP(B3478,LifeList!$E$2:$G$2038,1)</f>
        <v>Spectacled Owl</v>
      </c>
      <c r="E3478" s="3" t="str">
        <f>VLOOKUP(B3478,LifeList!$E$2:$G$2038,2)</f>
        <v>Chouette à lunettes</v>
      </c>
      <c r="F3478" s="3" t="str">
        <f>VLOOKUP(B3478,LifeList!$E$2:$G$2038,3)</f>
        <v>Pulsatrix perspicillata</v>
      </c>
      <c r="G3478" s="3" t="str">
        <f>VLOOKUP(B3478,LifeList!$E$2:$I$2038,4)</f>
        <v>Strigiformes</v>
      </c>
      <c r="H3478" s="3" t="str">
        <f>VLOOKUP(B3478,LifeList!$E$2:$I$2038,5)</f>
        <v>Strigidae (Owls)</v>
      </c>
      <c r="I3478" s="3"/>
    </row>
    <row r="3479" spans="1:9" ht="10.5" customHeight="1">
      <c r="A3479" s="3" t="s">
        <v>4829</v>
      </c>
      <c r="B3479" s="3" t="s">
        <v>4825</v>
      </c>
      <c r="C3479" s="3">
        <f>VLOOKUP(B3479,LifeList!$E$2:$J$2038,6)</f>
        <v>8897</v>
      </c>
      <c r="D3479" s="3" t="str">
        <f>VLOOKUP(B3479,LifeList!$E$2:$G$2038,1)</f>
        <v>Spectacled Owl</v>
      </c>
      <c r="E3479" s="3" t="str">
        <f>VLOOKUP(B3479,LifeList!$E$2:$G$2038,2)</f>
        <v>Chouette à lunettes</v>
      </c>
      <c r="F3479" s="3" t="str">
        <f>VLOOKUP(B3479,LifeList!$E$2:$G$2038,3)</f>
        <v>Pulsatrix perspicillata</v>
      </c>
      <c r="G3479" s="3" t="str">
        <f>VLOOKUP(B3479,LifeList!$E$2:$I$2038,4)</f>
        <v>Strigiformes</v>
      </c>
      <c r="H3479" s="3" t="str">
        <f>VLOOKUP(B3479,LifeList!$E$2:$I$2038,5)</f>
        <v>Strigidae (Owls)</v>
      </c>
      <c r="I3479" s="3"/>
    </row>
    <row r="3480" spans="1:9" ht="10.5" customHeight="1">
      <c r="A3480" s="3" t="s">
        <v>4830</v>
      </c>
      <c r="B3480" s="3" t="s">
        <v>4831</v>
      </c>
      <c r="C3480" s="3">
        <f>VLOOKUP(B3480,LifeList!$E$2:$J$2038,6)</f>
        <v>12996</v>
      </c>
      <c r="D3480" s="3" t="str">
        <f>VLOOKUP(B3480,LifeList!$E$2:$G$2038,1)</f>
        <v>Spectacled Parrotlet</v>
      </c>
      <c r="E3480" s="3" t="str">
        <f>VLOOKUP(B3480,LifeList!$E$2:$G$2038,2)</f>
        <v>Toui à lunettes</v>
      </c>
      <c r="F3480" s="3" t="str">
        <f>VLOOKUP(B3480,LifeList!$E$2:$G$2038,3)</f>
        <v>Forpus conspicillatus</v>
      </c>
      <c r="G3480" s="3" t="str">
        <f>VLOOKUP(B3480,LifeList!$E$2:$I$2038,4)</f>
        <v>Psittaciformes</v>
      </c>
      <c r="H3480" s="3" t="str">
        <f>VLOOKUP(B3480,LifeList!$E$2:$I$2038,5)</f>
        <v>Psittacidae (New World and African Parrots)</v>
      </c>
      <c r="I3480" s="3"/>
    </row>
    <row r="3481" spans="1:9" ht="10.5" customHeight="1">
      <c r="A3481" s="3" t="s">
        <v>4832</v>
      </c>
      <c r="B3481" s="3" t="s">
        <v>4833</v>
      </c>
      <c r="C3481" s="3">
        <f>VLOOKUP(B3481,LifeList!$E$2:$J$2038,6)</f>
        <v>34387</v>
      </c>
      <c r="D3481" s="3" t="str">
        <f>VLOOKUP(B3481,LifeList!$E$2:$G$2038,1)</f>
        <v>Spectacled Redstart</v>
      </c>
      <c r="E3481" s="3" t="str">
        <f>VLOOKUP(B3481,LifeList!$E$2:$G$2038,2)</f>
        <v>Paruline à lunettes</v>
      </c>
      <c r="F3481" s="3" t="str">
        <f>VLOOKUP(B3481,LifeList!$E$2:$G$2038,3)</f>
        <v>Myioborus melanocephalus</v>
      </c>
      <c r="G3481" s="3" t="str">
        <f>VLOOKUP(B3481,LifeList!$E$2:$I$2038,4)</f>
        <v>Passeriformes</v>
      </c>
      <c r="H3481" s="3" t="str">
        <f>VLOOKUP(B3481,LifeList!$E$2:$I$2038,5)</f>
        <v>Parulidae (New World Warblers)</v>
      </c>
      <c r="I3481" s="3"/>
    </row>
    <row r="3482" spans="1:9" ht="10.5" customHeight="1">
      <c r="A3482" s="3" t="s">
        <v>4834</v>
      </c>
      <c r="B3482" s="3" t="s">
        <v>4835</v>
      </c>
      <c r="C3482" s="3">
        <f>VLOOKUP(B3482,LifeList!$E$2:$J$2038,6)</f>
        <v>28761</v>
      </c>
      <c r="D3482" s="3" t="str">
        <f>VLOOKUP(B3482,LifeList!$E$2:$G$2038,1)</f>
        <v>Spectacled Thrush</v>
      </c>
      <c r="E3482" s="3" t="str">
        <f>VLOOKUP(B3482,LifeList!$E$2:$G$2038,2)</f>
        <v>Merle à lunettes</v>
      </c>
      <c r="F3482" s="3" t="str">
        <f>VLOOKUP(B3482,LifeList!$E$2:$G$2038,3)</f>
        <v>Turdus nudigenis</v>
      </c>
      <c r="G3482" s="3" t="str">
        <f>VLOOKUP(B3482,LifeList!$E$2:$I$2038,4)</f>
        <v>Passeriformes</v>
      </c>
      <c r="H3482" s="3" t="str">
        <f>VLOOKUP(B3482,LifeList!$E$2:$I$2038,5)</f>
        <v>Turdidae (Thrushes and Allies)</v>
      </c>
      <c r="I3482" s="3"/>
    </row>
    <row r="3483" spans="1:9" ht="10.5" customHeight="1">
      <c r="A3483" s="3" t="s">
        <v>4836</v>
      </c>
      <c r="B3483" s="3" t="s">
        <v>4837</v>
      </c>
      <c r="C3483" s="3">
        <f>VLOOKUP(B3483,LifeList!$E$2:$J$2038,6)</f>
        <v>16803</v>
      </c>
      <c r="D3483" s="3" t="str">
        <f>VLOOKUP(B3483,LifeList!$E$2:$G$2038,1)</f>
        <v>Spectacled Tyrannulet</v>
      </c>
      <c r="E3483" s="3" t="str">
        <f>VLOOKUP(B3483,LifeList!$E$2:$G$2038,2)</f>
        <v>Tyranneau trompeur</v>
      </c>
      <c r="F3483" s="3" t="str">
        <f>VLOOKUP(B3483,LifeList!$E$2:$G$2038,3)</f>
        <v>Zimmerius improbus</v>
      </c>
      <c r="G3483" s="3" t="str">
        <f>VLOOKUP(B3483,LifeList!$E$2:$I$2038,4)</f>
        <v>Passeriformes</v>
      </c>
      <c r="H3483" s="3" t="str">
        <f>VLOOKUP(B3483,LifeList!$E$2:$I$2038,5)</f>
        <v>Tyrannidae (Tyrant Flycatchers)</v>
      </c>
      <c r="I3483" s="3"/>
    </row>
    <row r="3484" spans="1:9" ht="10.5" customHeight="1">
      <c r="A3484" s="7" t="s">
        <v>4838</v>
      </c>
      <c r="B3484" s="9" t="s">
        <v>4839</v>
      </c>
      <c r="C3484" s="6">
        <f>VLOOKUP(B3484,LifeList!$E$2:$J$2038,6)</f>
        <v>30786</v>
      </c>
      <c r="D3484" s="3" t="str">
        <f>VLOOKUP(B3484,LifeList!$E$2:$G$2038,1)</f>
        <v>Spectacled Weaver</v>
      </c>
      <c r="E3484" s="3" t="str">
        <f>VLOOKUP(B3484,LifeList!$E$2:$G$2038,2)</f>
        <v>Tisserin à lunettes</v>
      </c>
      <c r="F3484" s="3" t="str">
        <f>VLOOKUP(B3484,LifeList!$E$2:$G$2038,3)</f>
        <v>Ploceus ocularis</v>
      </c>
      <c r="G3484" s="3" t="str">
        <f>VLOOKUP(B3484,LifeList!$E$2:$I$2038,4)</f>
        <v>Passeriformes</v>
      </c>
      <c r="H3484" s="3" t="str">
        <f>VLOOKUP(B3484,LifeList!$E$2:$I$2038,5)</f>
        <v>Ploceidae (Weavers and Allies)</v>
      </c>
      <c r="I3484" s="3"/>
    </row>
    <row r="3485" spans="1:9" ht="10.5" customHeight="1">
      <c r="A3485" s="7" t="s">
        <v>4840</v>
      </c>
      <c r="B3485" s="9" t="s">
        <v>4841</v>
      </c>
      <c r="C3485" s="6">
        <f>VLOOKUP(B3485,LifeList!$E$2:$J$2038,6)</f>
        <v>17858</v>
      </c>
      <c r="D3485" s="3" t="str">
        <f>VLOOKUP(B3485,LifeList!$E$2:$G$2038,1)</f>
        <v>Spiny-cheeked Honeyeater</v>
      </c>
      <c r="E3485" s="3" t="str">
        <f>VLOOKUP(B3485,LifeList!$E$2:$G$2038,2)</f>
        <v>Méliphage à bavette</v>
      </c>
      <c r="F3485" s="3" t="str">
        <f>VLOOKUP(B3485,LifeList!$E$2:$G$2038,3)</f>
        <v>Acanthagenys rufogularis</v>
      </c>
      <c r="G3485" s="3" t="str">
        <f>VLOOKUP(B3485,LifeList!$E$2:$I$2038,4)</f>
        <v>Passeriformes</v>
      </c>
      <c r="H3485" s="3" t="str">
        <f>VLOOKUP(B3485,LifeList!$E$2:$I$2038,5)</f>
        <v>Meliphagidae (Honeyeaters)</v>
      </c>
      <c r="I3485" s="3"/>
    </row>
    <row r="3486" spans="1:9" ht="10.5" customHeight="1">
      <c r="A3486" s="7" t="s">
        <v>4842</v>
      </c>
      <c r="B3486" s="9" t="s">
        <v>4843</v>
      </c>
      <c r="C3486" s="6">
        <f>VLOOKUP(B3486,LifeList!$E$2:$J$2038,6)</f>
        <v>17664</v>
      </c>
      <c r="D3486" s="3" t="str">
        <f>VLOOKUP(B3486,LifeList!$E$2:$G$2038,1)</f>
        <v>Splendid Fairywren</v>
      </c>
      <c r="E3486" s="3" t="str">
        <f>VLOOKUP(B3486,LifeList!$E$2:$G$2038,2)</f>
        <v>Mérion splendide</v>
      </c>
      <c r="F3486" s="3" t="str">
        <f>VLOOKUP(B3486,LifeList!$E$2:$G$2038,3)</f>
        <v>Malurus splendens</v>
      </c>
      <c r="G3486" s="3" t="str">
        <f>VLOOKUP(B3486,LifeList!$E$2:$I$2038,4)</f>
        <v>Passeriformes</v>
      </c>
      <c r="H3486" s="3" t="str">
        <f>VLOOKUP(B3486,LifeList!$E$2:$I$2038,5)</f>
        <v>Maluridae (Fairywrens)</v>
      </c>
      <c r="I3486" s="3"/>
    </row>
    <row r="3487" spans="1:9" ht="10.5" customHeight="1">
      <c r="A3487" s="7" t="s">
        <v>4844</v>
      </c>
      <c r="B3487" s="9" t="s">
        <v>4843</v>
      </c>
      <c r="C3487" s="6">
        <f>VLOOKUP(B3487,LifeList!$E$2:$J$2038,6)</f>
        <v>17664</v>
      </c>
      <c r="D3487" s="3" t="str">
        <f>VLOOKUP(B3487,LifeList!$E$2:$G$2038,1)</f>
        <v>Splendid Fairywren</v>
      </c>
      <c r="E3487" s="3" t="str">
        <f>VLOOKUP(B3487,LifeList!$E$2:$G$2038,2)</f>
        <v>Mérion splendide</v>
      </c>
      <c r="F3487" s="3" t="str">
        <f>VLOOKUP(B3487,LifeList!$E$2:$G$2038,3)</f>
        <v>Malurus splendens</v>
      </c>
      <c r="G3487" s="3" t="str">
        <f>VLOOKUP(B3487,LifeList!$E$2:$I$2038,4)</f>
        <v>Passeriformes</v>
      </c>
      <c r="H3487" s="3" t="str">
        <f>VLOOKUP(B3487,LifeList!$E$2:$I$2038,5)</f>
        <v>Maluridae (Fairywrens)</v>
      </c>
      <c r="I3487" s="3"/>
    </row>
    <row r="3488" spans="1:9" ht="10.5" customHeight="1">
      <c r="A3488" s="3" t="s">
        <v>4845</v>
      </c>
      <c r="B3488" s="3" t="s">
        <v>4846</v>
      </c>
      <c r="C3488" s="3">
        <f>VLOOKUP(B3488,LifeList!$E$2:$J$2038,6)</f>
        <v>33750</v>
      </c>
      <c r="D3488" s="3" t="str">
        <f>VLOOKUP(B3488,LifeList!$E$2:$G$2038,1)</f>
        <v>Spot-breasted Oriole</v>
      </c>
      <c r="E3488" s="3" t="str">
        <f>VLOOKUP(B3488,LifeList!$E$2:$G$2038,2)</f>
        <v>Oriole maculé</v>
      </c>
      <c r="F3488" s="3" t="str">
        <f>VLOOKUP(B3488,LifeList!$E$2:$G$2038,3)</f>
        <v>Icterus pectoralis</v>
      </c>
      <c r="G3488" s="3" t="str">
        <f>VLOOKUP(B3488,LifeList!$E$2:$I$2038,4)</f>
        <v>Passeriformes</v>
      </c>
      <c r="H3488" s="3" t="str">
        <f>VLOOKUP(B3488,LifeList!$E$2:$I$2038,5)</f>
        <v>Icteridae (Troupials and Allies)</v>
      </c>
      <c r="I3488" s="3"/>
    </row>
    <row r="3489" spans="1:9" ht="10.5" customHeight="1">
      <c r="A3489" s="3" t="s">
        <v>4847</v>
      </c>
      <c r="B3489" s="3" t="s">
        <v>4846</v>
      </c>
      <c r="C3489" s="3">
        <f>VLOOKUP(B3489,LifeList!$E$2:$J$2038,6)</f>
        <v>33750</v>
      </c>
      <c r="D3489" s="3" t="str">
        <f>VLOOKUP(B3489,LifeList!$E$2:$G$2038,1)</f>
        <v>Spot-breasted Oriole</v>
      </c>
      <c r="E3489" s="3" t="str">
        <f>VLOOKUP(B3489,LifeList!$E$2:$G$2038,2)</f>
        <v>Oriole maculé</v>
      </c>
      <c r="F3489" s="3" t="str">
        <f>VLOOKUP(B3489,LifeList!$E$2:$G$2038,3)</f>
        <v>Icterus pectoralis</v>
      </c>
      <c r="G3489" s="3" t="str">
        <f>VLOOKUP(B3489,LifeList!$E$2:$I$2038,4)</f>
        <v>Passeriformes</v>
      </c>
      <c r="H3489" s="3" t="str">
        <f>VLOOKUP(B3489,LifeList!$E$2:$I$2038,5)</f>
        <v>Icteridae (Troupials and Allies)</v>
      </c>
      <c r="I3489" s="3"/>
    </row>
    <row r="3490" spans="1:9" ht="10.5" customHeight="1">
      <c r="A3490" s="3" t="s">
        <v>4848</v>
      </c>
      <c r="B3490" s="3" t="s">
        <v>4846</v>
      </c>
      <c r="C3490" s="3">
        <f>VLOOKUP(B3490,LifeList!$E$2:$J$2038,6)</f>
        <v>33750</v>
      </c>
      <c r="D3490" s="3" t="str">
        <f>VLOOKUP(B3490,LifeList!$E$2:$G$2038,1)</f>
        <v>Spot-breasted Oriole</v>
      </c>
      <c r="E3490" s="3" t="str">
        <f>VLOOKUP(B3490,LifeList!$E$2:$G$2038,2)</f>
        <v>Oriole maculé</v>
      </c>
      <c r="F3490" s="3" t="str">
        <f>VLOOKUP(B3490,LifeList!$E$2:$G$2038,3)</f>
        <v>Icterus pectoralis</v>
      </c>
      <c r="G3490" s="3" t="str">
        <f>VLOOKUP(B3490,LifeList!$E$2:$I$2038,4)</f>
        <v>Passeriformes</v>
      </c>
      <c r="H3490" s="3" t="str">
        <f>VLOOKUP(B3490,LifeList!$E$2:$I$2038,5)</f>
        <v>Icteridae (Troupials and Allies)</v>
      </c>
      <c r="I3490" s="3"/>
    </row>
    <row r="3491" spans="1:9" ht="10.5" customHeight="1">
      <c r="A3491" s="3" t="s">
        <v>4849</v>
      </c>
      <c r="B3491" s="3" t="s">
        <v>4850</v>
      </c>
      <c r="C3491" s="3">
        <f>VLOOKUP(B3491,LifeList!$E$2:$J$2038,6)</f>
        <v>11885</v>
      </c>
      <c r="D3491" s="3" t="str">
        <f>VLOOKUP(B3491,LifeList!$E$2:$G$2038,1)</f>
        <v>Spot-breasted Woodpecker</v>
      </c>
      <c r="E3491" s="3" t="str">
        <f>VLOOKUP(B3491,LifeList!$E$2:$G$2038,2)</f>
        <v>Pic de Cayenne</v>
      </c>
      <c r="F3491" s="3" t="str">
        <f>VLOOKUP(B3491,LifeList!$E$2:$G$2038,3)</f>
        <v>Colaptes punctigula</v>
      </c>
      <c r="G3491" s="3" t="str">
        <f>VLOOKUP(B3491,LifeList!$E$2:$I$2038,4)</f>
        <v>Piciformes</v>
      </c>
      <c r="H3491" s="3" t="str">
        <f>VLOOKUP(B3491,LifeList!$E$2:$I$2038,5)</f>
        <v>Picidae (Woodpeckers)</v>
      </c>
      <c r="I3491" s="3"/>
    </row>
    <row r="3492" spans="1:9" ht="10.5" customHeight="1">
      <c r="A3492" s="3" t="s">
        <v>4851</v>
      </c>
      <c r="B3492" s="3" t="s">
        <v>4850</v>
      </c>
      <c r="C3492" s="3">
        <f>VLOOKUP(B3492,LifeList!$E$2:$J$2038,6)</f>
        <v>11885</v>
      </c>
      <c r="D3492" s="3" t="str">
        <f>VLOOKUP(B3492,LifeList!$E$2:$G$2038,1)</f>
        <v>Spot-breasted Woodpecker</v>
      </c>
      <c r="E3492" s="3" t="str">
        <f>VLOOKUP(B3492,LifeList!$E$2:$G$2038,2)</f>
        <v>Pic de Cayenne</v>
      </c>
      <c r="F3492" s="3" t="str">
        <f>VLOOKUP(B3492,LifeList!$E$2:$G$2038,3)</f>
        <v>Colaptes punctigula</v>
      </c>
      <c r="G3492" s="3" t="str">
        <f>VLOOKUP(B3492,LifeList!$E$2:$I$2038,4)</f>
        <v>Piciformes</v>
      </c>
      <c r="H3492" s="3" t="str">
        <f>VLOOKUP(B3492,LifeList!$E$2:$I$2038,5)</f>
        <v>Picidae (Woodpeckers)</v>
      </c>
      <c r="I3492" s="3"/>
    </row>
    <row r="3493" spans="1:9" ht="10.5" customHeight="1">
      <c r="A3493" s="3" t="s">
        <v>4852</v>
      </c>
      <c r="B3493" s="3" t="s">
        <v>4850</v>
      </c>
      <c r="C3493" s="3">
        <f>VLOOKUP(B3493,LifeList!$E$2:$J$2038,6)</f>
        <v>11885</v>
      </c>
      <c r="D3493" s="3" t="str">
        <f>VLOOKUP(B3493,LifeList!$E$2:$G$2038,1)</f>
        <v>Spot-breasted Woodpecker</v>
      </c>
      <c r="E3493" s="3" t="str">
        <f>VLOOKUP(B3493,LifeList!$E$2:$G$2038,2)</f>
        <v>Pic de Cayenne</v>
      </c>
      <c r="F3493" s="3" t="str">
        <f>VLOOKUP(B3493,LifeList!$E$2:$G$2038,3)</f>
        <v>Colaptes punctigula</v>
      </c>
      <c r="G3493" s="3" t="str">
        <f>VLOOKUP(B3493,LifeList!$E$2:$I$2038,4)</f>
        <v>Piciformes</v>
      </c>
      <c r="H3493" s="3" t="str">
        <f>VLOOKUP(B3493,LifeList!$E$2:$I$2038,5)</f>
        <v>Picidae (Woodpeckers)</v>
      </c>
      <c r="I3493" s="3"/>
    </row>
    <row r="3494" spans="1:9" ht="10.5" customHeight="1">
      <c r="A3494" s="3" t="s">
        <v>4853</v>
      </c>
      <c r="B3494" s="3" t="s">
        <v>4850</v>
      </c>
      <c r="C3494" s="3">
        <f>VLOOKUP(B3494,LifeList!$E$2:$J$2038,6)</f>
        <v>11885</v>
      </c>
      <c r="D3494" s="3" t="str">
        <f>VLOOKUP(B3494,LifeList!$E$2:$G$2038,1)</f>
        <v>Spot-breasted Woodpecker</v>
      </c>
      <c r="E3494" s="3" t="str">
        <f>VLOOKUP(B3494,LifeList!$E$2:$G$2038,2)</f>
        <v>Pic de Cayenne</v>
      </c>
      <c r="F3494" s="3" t="str">
        <f>VLOOKUP(B3494,LifeList!$E$2:$G$2038,3)</f>
        <v>Colaptes punctigula</v>
      </c>
      <c r="G3494" s="3" t="str">
        <f>VLOOKUP(B3494,LifeList!$E$2:$I$2038,4)</f>
        <v>Piciformes</v>
      </c>
      <c r="H3494" s="3" t="str">
        <f>VLOOKUP(B3494,LifeList!$E$2:$I$2038,5)</f>
        <v>Picidae (Woodpeckers)</v>
      </c>
      <c r="I3494" s="3"/>
    </row>
    <row r="3495" spans="1:9" ht="10.5" customHeight="1">
      <c r="A3495" s="3" t="s">
        <v>4854</v>
      </c>
      <c r="B3495" s="3" t="s">
        <v>4855</v>
      </c>
      <c r="C3495" s="3">
        <f>VLOOKUP(B3495,LifeList!$E$2:$J$2038,6)</f>
        <v>27491</v>
      </c>
      <c r="D3495" s="3" t="str">
        <f>VLOOKUP(B3495,LifeList!$E$2:$G$2038,1)</f>
        <v>Spot-breasted Wren</v>
      </c>
      <c r="E3495" s="3" t="str">
        <f>VLOOKUP(B3495,LifeList!$E$2:$G$2038,2)</f>
        <v>Troglodyte à poitrine tachetée</v>
      </c>
      <c r="F3495" s="3" t="str">
        <f>VLOOKUP(B3495,LifeList!$E$2:$G$2038,3)</f>
        <v>Pheugopedius maculipectus</v>
      </c>
      <c r="G3495" s="3" t="str">
        <f>VLOOKUP(B3495,LifeList!$E$2:$I$2038,4)</f>
        <v>Passeriformes</v>
      </c>
      <c r="H3495" s="3" t="str">
        <f>VLOOKUP(B3495,LifeList!$E$2:$I$2038,5)</f>
        <v>Troglodytidae (Wrens)</v>
      </c>
      <c r="I3495" s="3"/>
    </row>
    <row r="3496" spans="1:9" ht="10.5" customHeight="1">
      <c r="A3496" s="3" t="s">
        <v>4856</v>
      </c>
      <c r="B3496" s="3" t="s">
        <v>4855</v>
      </c>
      <c r="C3496" s="3">
        <f>VLOOKUP(B3496,LifeList!$E$2:$J$2038,6)</f>
        <v>27491</v>
      </c>
      <c r="D3496" s="3" t="str">
        <f>VLOOKUP(B3496,LifeList!$E$2:$G$2038,1)</f>
        <v>Spot-breasted Wren</v>
      </c>
      <c r="E3496" s="3" t="str">
        <f>VLOOKUP(B3496,LifeList!$E$2:$G$2038,2)</f>
        <v>Troglodyte à poitrine tachetée</v>
      </c>
      <c r="F3496" s="3" t="str">
        <f>VLOOKUP(B3496,LifeList!$E$2:$G$2038,3)</f>
        <v>Pheugopedius maculipectus</v>
      </c>
      <c r="G3496" s="3" t="str">
        <f>VLOOKUP(B3496,LifeList!$E$2:$I$2038,4)</f>
        <v>Passeriformes</v>
      </c>
      <c r="H3496" s="3" t="str">
        <f>VLOOKUP(B3496,LifeList!$E$2:$I$2038,5)</f>
        <v>Troglodytidae (Wrens)</v>
      </c>
      <c r="I3496" s="3"/>
    </row>
    <row r="3497" spans="1:9" ht="10.5" customHeight="1">
      <c r="A3497" s="3" t="s">
        <v>4857</v>
      </c>
      <c r="B3497" s="3" t="s">
        <v>4858</v>
      </c>
      <c r="C3497" s="3">
        <f>VLOOKUP(B3497,LifeList!$E$2:$J$2038,6)</f>
        <v>10787</v>
      </c>
      <c r="D3497" s="3" t="str">
        <f>VLOOKUP(B3497,LifeList!$E$2:$G$2038,1)</f>
        <v>Spot-crowned Barbet</v>
      </c>
      <c r="E3497" s="3" t="str">
        <f>VLOOKUP(B3497,LifeList!$E$2:$G$2038,2)</f>
        <v>Cabézon à calotte tachetée</v>
      </c>
      <c r="F3497" s="3" t="str">
        <f>VLOOKUP(B3497,LifeList!$E$2:$G$2038,3)</f>
        <v>Capito maculicoronatus</v>
      </c>
      <c r="G3497" s="3" t="str">
        <f>VLOOKUP(B3497,LifeList!$E$2:$I$2038,4)</f>
        <v>Piciformes</v>
      </c>
      <c r="H3497" s="3" t="str">
        <f>VLOOKUP(B3497,LifeList!$E$2:$I$2038,5)</f>
        <v>Capitonidae (New World Barbets)</v>
      </c>
      <c r="I3497" s="3"/>
    </row>
    <row r="3498" spans="1:9" ht="10.5" customHeight="1">
      <c r="A3498" s="3" t="s">
        <v>4859</v>
      </c>
      <c r="B3498" s="3" t="s">
        <v>4858</v>
      </c>
      <c r="C3498" s="3">
        <f>VLOOKUP(B3498,LifeList!$E$2:$J$2038,6)</f>
        <v>10787</v>
      </c>
      <c r="D3498" s="3" t="str">
        <f>VLOOKUP(B3498,LifeList!$E$2:$G$2038,1)</f>
        <v>Spot-crowned Barbet</v>
      </c>
      <c r="E3498" s="3" t="str">
        <f>VLOOKUP(B3498,LifeList!$E$2:$G$2038,2)</f>
        <v>Cabézon à calotte tachetée</v>
      </c>
      <c r="F3498" s="3" t="str">
        <f>VLOOKUP(B3498,LifeList!$E$2:$G$2038,3)</f>
        <v>Capito maculicoronatus</v>
      </c>
      <c r="G3498" s="3" t="str">
        <f>VLOOKUP(B3498,LifeList!$E$2:$I$2038,4)</f>
        <v>Piciformes</v>
      </c>
      <c r="H3498" s="3" t="str">
        <f>VLOOKUP(B3498,LifeList!$E$2:$I$2038,5)</f>
        <v>Capitonidae (New World Barbets)</v>
      </c>
      <c r="I3498" s="3"/>
    </row>
    <row r="3499" spans="1:9" ht="10.5" customHeight="1">
      <c r="A3499" s="3" t="s">
        <v>4860</v>
      </c>
      <c r="B3499" s="3" t="s">
        <v>4861</v>
      </c>
      <c r="C3499" s="3">
        <f>VLOOKUP(B3499,LifeList!$E$2:$J$2038,6)</f>
        <v>14941</v>
      </c>
      <c r="D3499" s="3" t="str">
        <f>VLOOKUP(B3499,LifeList!$E$2:$G$2038,1)</f>
        <v>Spot-crowned Woodcreeper</v>
      </c>
      <c r="E3499" s="3" t="str">
        <f>VLOOKUP(B3499,LifeList!$E$2:$G$2038,2)</f>
        <v>Grimpar moucheté</v>
      </c>
      <c r="F3499" s="3" t="str">
        <f>VLOOKUP(B3499,LifeList!$E$2:$G$2038,3)</f>
        <v>Lepidocolaptes affinis</v>
      </c>
      <c r="G3499" s="3" t="str">
        <f>VLOOKUP(B3499,LifeList!$E$2:$I$2038,4)</f>
        <v>Passeriformes</v>
      </c>
      <c r="H3499" s="3" t="str">
        <f>VLOOKUP(B3499,LifeList!$E$2:$I$2038,5)</f>
        <v>Furnariidae (Ovenbirds and Woodcreepers)</v>
      </c>
      <c r="I3499" s="3"/>
    </row>
    <row r="3500" spans="1:9" ht="10.5" customHeight="1">
      <c r="A3500" s="3" t="s">
        <v>4862</v>
      </c>
      <c r="B3500" s="3" t="s">
        <v>4861</v>
      </c>
      <c r="C3500" s="3">
        <f>VLOOKUP(B3500,LifeList!$E$2:$J$2038,6)</f>
        <v>14941</v>
      </c>
      <c r="D3500" s="3" t="str">
        <f>VLOOKUP(B3500,LifeList!$E$2:$G$2038,1)</f>
        <v>Spot-crowned Woodcreeper</v>
      </c>
      <c r="E3500" s="3" t="str">
        <f>VLOOKUP(B3500,LifeList!$E$2:$G$2038,2)</f>
        <v>Grimpar moucheté</v>
      </c>
      <c r="F3500" s="3" t="str">
        <f>VLOOKUP(B3500,LifeList!$E$2:$G$2038,3)</f>
        <v>Lepidocolaptes affinis</v>
      </c>
      <c r="G3500" s="3" t="str">
        <f>VLOOKUP(B3500,LifeList!$E$2:$I$2038,4)</f>
        <v>Passeriformes</v>
      </c>
      <c r="H3500" s="3" t="str">
        <f>VLOOKUP(B3500,LifeList!$E$2:$I$2038,5)</f>
        <v>Furnariidae (Ovenbirds and Woodcreepers)</v>
      </c>
      <c r="I3500" s="3"/>
    </row>
    <row r="3501" spans="1:9" ht="10.5" customHeight="1">
      <c r="A3501" s="3" t="s">
        <v>4863</v>
      </c>
      <c r="B3501" s="3" t="s">
        <v>4861</v>
      </c>
      <c r="C3501" s="3">
        <f>VLOOKUP(B3501,LifeList!$E$2:$J$2038,6)</f>
        <v>14941</v>
      </c>
      <c r="D3501" s="3" t="str">
        <f>VLOOKUP(B3501,LifeList!$E$2:$G$2038,1)</f>
        <v>Spot-crowned Woodcreeper</v>
      </c>
      <c r="E3501" s="3" t="str">
        <f>VLOOKUP(B3501,LifeList!$E$2:$G$2038,2)</f>
        <v>Grimpar moucheté</v>
      </c>
      <c r="F3501" s="3" t="str">
        <f>VLOOKUP(B3501,LifeList!$E$2:$G$2038,3)</f>
        <v>Lepidocolaptes affinis</v>
      </c>
      <c r="G3501" s="3" t="str">
        <f>VLOOKUP(B3501,LifeList!$E$2:$I$2038,4)</f>
        <v>Passeriformes</v>
      </c>
      <c r="H3501" s="3" t="str">
        <f>VLOOKUP(B3501,LifeList!$E$2:$I$2038,5)</f>
        <v>Furnariidae (Ovenbirds and Woodcreepers)</v>
      </c>
      <c r="I3501" s="3"/>
    </row>
    <row r="3502" spans="1:9" ht="10.5" customHeight="1">
      <c r="A3502" s="5" t="s">
        <v>4864</v>
      </c>
      <c r="B3502" s="3" t="s">
        <v>4865</v>
      </c>
      <c r="C3502" s="3">
        <f>VLOOKUP(B3502,LifeList!$E$2:$J$2038,6)</f>
        <v>6126</v>
      </c>
      <c r="D3502" s="3" t="str">
        <f>VLOOKUP(B3502,LifeList!$E$2:$G$2038,1)</f>
        <v>Spotted Sandpiper</v>
      </c>
      <c r="E3502" s="3" t="str">
        <f>VLOOKUP(B3502,LifeList!$E$2:$G$2038,2)</f>
        <v>Chevalier grivelé</v>
      </c>
      <c r="F3502" s="3" t="str">
        <f>VLOOKUP(B3502,LifeList!$E$2:$G$2038,3)</f>
        <v>Actitis macularius</v>
      </c>
      <c r="G3502" s="3" t="str">
        <f>VLOOKUP(B3502,LifeList!$E$2:$I$2038,4)</f>
        <v>Charadriiformes</v>
      </c>
      <c r="H3502" s="3" t="str">
        <f>VLOOKUP(B3502,LifeList!$E$2:$I$2038,5)</f>
        <v>Scolopacidae (Sandpipers and Allies)</v>
      </c>
      <c r="I3502" s="3"/>
    </row>
    <row r="3503" spans="1:9" ht="10.5" customHeight="1">
      <c r="A3503" s="5" t="s">
        <v>4866</v>
      </c>
      <c r="B3503" s="3" t="s">
        <v>4865</v>
      </c>
      <c r="C3503" s="3">
        <f>VLOOKUP(B3503,LifeList!$E$2:$J$2038,6)</f>
        <v>6126</v>
      </c>
      <c r="D3503" s="3" t="str">
        <f>VLOOKUP(B3503,LifeList!$E$2:$G$2038,1)</f>
        <v>Spotted Sandpiper</v>
      </c>
      <c r="E3503" s="3" t="str">
        <f>VLOOKUP(B3503,LifeList!$E$2:$G$2038,2)</f>
        <v>Chevalier grivelé</v>
      </c>
      <c r="F3503" s="3" t="str">
        <f>VLOOKUP(B3503,LifeList!$E$2:$G$2038,3)</f>
        <v>Actitis macularius</v>
      </c>
      <c r="G3503" s="3" t="str">
        <f>VLOOKUP(B3503,LifeList!$E$2:$I$2038,4)</f>
        <v>Charadriiformes</v>
      </c>
      <c r="H3503" s="3" t="str">
        <f>VLOOKUP(B3503,LifeList!$E$2:$I$2038,5)</f>
        <v>Scolopacidae (Sandpipers and Allies)</v>
      </c>
      <c r="I3503" s="3"/>
    </row>
    <row r="3504" spans="1:9" ht="10.5" customHeight="1">
      <c r="A3504" s="5" t="s">
        <v>4867</v>
      </c>
      <c r="B3504" s="3" t="s">
        <v>4865</v>
      </c>
      <c r="C3504" s="3">
        <f>VLOOKUP(B3504,LifeList!$E$2:$J$2038,6)</f>
        <v>6126</v>
      </c>
      <c r="D3504" s="3" t="str">
        <f>VLOOKUP(B3504,LifeList!$E$2:$G$2038,1)</f>
        <v>Spotted Sandpiper</v>
      </c>
      <c r="E3504" s="3" t="str">
        <f>VLOOKUP(B3504,LifeList!$E$2:$G$2038,2)</f>
        <v>Chevalier grivelé</v>
      </c>
      <c r="F3504" s="3" t="str">
        <f>VLOOKUP(B3504,LifeList!$E$2:$G$2038,3)</f>
        <v>Actitis macularius</v>
      </c>
      <c r="G3504" s="3" t="str">
        <f>VLOOKUP(B3504,LifeList!$E$2:$I$2038,4)</f>
        <v>Charadriiformes</v>
      </c>
      <c r="H3504" s="3" t="str">
        <f>VLOOKUP(B3504,LifeList!$E$2:$I$2038,5)</f>
        <v>Scolopacidae (Sandpipers and Allies)</v>
      </c>
      <c r="I3504" s="3"/>
    </row>
    <row r="3505" spans="1:9" ht="10.5" customHeight="1">
      <c r="A3505" s="5" t="s">
        <v>4868</v>
      </c>
      <c r="B3505" s="3" t="s">
        <v>4865</v>
      </c>
      <c r="C3505" s="3">
        <f>VLOOKUP(B3505,LifeList!$E$2:$J$2038,6)</f>
        <v>6126</v>
      </c>
      <c r="D3505" s="3" t="str">
        <f>VLOOKUP(B3505,LifeList!$E$2:$G$2038,1)</f>
        <v>Spotted Sandpiper</v>
      </c>
      <c r="E3505" s="3" t="str">
        <f>VLOOKUP(B3505,LifeList!$E$2:$G$2038,2)</f>
        <v>Chevalier grivelé</v>
      </c>
      <c r="F3505" s="3" t="str">
        <f>VLOOKUP(B3505,LifeList!$E$2:$G$2038,3)</f>
        <v>Actitis macularius</v>
      </c>
      <c r="G3505" s="3" t="str">
        <f>VLOOKUP(B3505,LifeList!$E$2:$I$2038,4)</f>
        <v>Charadriiformes</v>
      </c>
      <c r="H3505" s="3" t="str">
        <f>VLOOKUP(B3505,LifeList!$E$2:$I$2038,5)</f>
        <v>Scolopacidae (Sandpipers and Allies)</v>
      </c>
      <c r="I3505" s="3"/>
    </row>
    <row r="3506" spans="1:9" ht="10.5" customHeight="1">
      <c r="A3506" s="3" t="s">
        <v>4869</v>
      </c>
      <c r="B3506" s="3" t="s">
        <v>4870</v>
      </c>
      <c r="C3506" s="3">
        <f>VLOOKUP(B3506,LifeList!$E$2:$J$2038,6)</f>
        <v>14104</v>
      </c>
      <c r="D3506" s="3" t="str">
        <f>VLOOKUP(B3506,LifeList!$E$2:$G$2038,1)</f>
        <v>Spotted Antbird</v>
      </c>
      <c r="E3506" s="3" t="str">
        <f>VLOOKUP(B3506,LifeList!$E$2:$G$2038,2)</f>
        <v>Fourmilier grivelé</v>
      </c>
      <c r="F3506" s="3" t="str">
        <f>VLOOKUP(B3506,LifeList!$E$2:$G$2038,3)</f>
        <v>Hylophylax naevioides</v>
      </c>
      <c r="G3506" s="3" t="str">
        <f>VLOOKUP(B3506,LifeList!$E$2:$I$2038,4)</f>
        <v>Passeriformes</v>
      </c>
      <c r="H3506" s="3" t="str">
        <f>VLOOKUP(B3506,LifeList!$E$2:$I$2038,5)</f>
        <v>Thamnophilidae (Typical Antbirds)</v>
      </c>
      <c r="I3506" s="3"/>
    </row>
    <row r="3507" spans="1:9" ht="10.5" customHeight="1">
      <c r="A3507" s="3" t="s">
        <v>4871</v>
      </c>
      <c r="B3507" s="3" t="s">
        <v>4870</v>
      </c>
      <c r="C3507" s="3">
        <f>VLOOKUP(B3507,LifeList!$E$2:$J$2038,6)</f>
        <v>14104</v>
      </c>
      <c r="D3507" s="3" t="str">
        <f>VLOOKUP(B3507,LifeList!$E$2:$G$2038,1)</f>
        <v>Spotted Antbird</v>
      </c>
      <c r="E3507" s="3" t="str">
        <f>VLOOKUP(B3507,LifeList!$E$2:$G$2038,2)</f>
        <v>Fourmilier grivelé</v>
      </c>
      <c r="F3507" s="3" t="str">
        <f>VLOOKUP(B3507,LifeList!$E$2:$G$2038,3)</f>
        <v>Hylophylax naevioides</v>
      </c>
      <c r="G3507" s="3" t="str">
        <f>VLOOKUP(B3507,LifeList!$E$2:$I$2038,4)</f>
        <v>Passeriformes</v>
      </c>
      <c r="H3507" s="3" t="str">
        <f>VLOOKUP(B3507,LifeList!$E$2:$I$2038,5)</f>
        <v>Thamnophilidae (Typical Antbirds)</v>
      </c>
      <c r="I3507" s="3"/>
    </row>
    <row r="3508" spans="1:9" ht="10.5" customHeight="1">
      <c r="A3508" s="3" t="s">
        <v>4872</v>
      </c>
      <c r="B3508" s="3" t="s">
        <v>4870</v>
      </c>
      <c r="C3508" s="3">
        <f>VLOOKUP(B3508,LifeList!$E$2:$J$2038,6)</f>
        <v>14104</v>
      </c>
      <c r="D3508" s="3" t="str">
        <f>VLOOKUP(B3508,LifeList!$E$2:$G$2038,1)</f>
        <v>Spotted Antbird</v>
      </c>
      <c r="E3508" s="3" t="str">
        <f>VLOOKUP(B3508,LifeList!$E$2:$G$2038,2)</f>
        <v>Fourmilier grivelé</v>
      </c>
      <c r="F3508" s="3" t="str">
        <f>VLOOKUP(B3508,LifeList!$E$2:$G$2038,3)</f>
        <v>Hylophylax naevioides</v>
      </c>
      <c r="G3508" s="3" t="str">
        <f>VLOOKUP(B3508,LifeList!$E$2:$I$2038,4)</f>
        <v>Passeriformes</v>
      </c>
      <c r="H3508" s="3" t="str">
        <f>VLOOKUP(B3508,LifeList!$E$2:$I$2038,5)</f>
        <v>Thamnophilidae (Typical Antbirds)</v>
      </c>
      <c r="I3508" s="3"/>
    </row>
    <row r="3509" spans="1:9" ht="10.5" customHeight="1">
      <c r="A3509" s="3" t="s">
        <v>4873</v>
      </c>
      <c r="B3509" s="3" t="s">
        <v>4870</v>
      </c>
      <c r="C3509" s="3">
        <f>VLOOKUP(B3509,LifeList!$E$2:$J$2038,6)</f>
        <v>14104</v>
      </c>
      <c r="D3509" s="3" t="str">
        <f>VLOOKUP(B3509,LifeList!$E$2:$G$2038,1)</f>
        <v>Spotted Antbird</v>
      </c>
      <c r="E3509" s="3" t="str">
        <f>VLOOKUP(B3509,LifeList!$E$2:$G$2038,2)</f>
        <v>Fourmilier grivelé</v>
      </c>
      <c r="F3509" s="3" t="str">
        <f>VLOOKUP(B3509,LifeList!$E$2:$G$2038,3)</f>
        <v>Hylophylax naevioides</v>
      </c>
      <c r="G3509" s="3" t="str">
        <f>VLOOKUP(B3509,LifeList!$E$2:$I$2038,4)</f>
        <v>Passeriformes</v>
      </c>
      <c r="H3509" s="3" t="str">
        <f>VLOOKUP(B3509,LifeList!$E$2:$I$2038,5)</f>
        <v>Thamnophilidae (Typical Antbirds)</v>
      </c>
      <c r="I3509" s="3"/>
    </row>
    <row r="3510" spans="1:9" ht="10.5" customHeight="1">
      <c r="A3510" s="3" t="s">
        <v>4874</v>
      </c>
      <c r="B3510" s="3" t="s">
        <v>4875</v>
      </c>
      <c r="C3510" s="3">
        <f>VLOOKUP(B3510,LifeList!$E$2:$J$2038,6)</f>
        <v>15287</v>
      </c>
      <c r="D3510" s="3" t="str">
        <f>VLOOKUP(B3510,LifeList!$E$2:$G$2038,1)</f>
        <v>Spotted Barbtail</v>
      </c>
      <c r="E3510" s="3" t="str">
        <f>VLOOKUP(B3510,LifeList!$E$2:$G$2038,2)</f>
        <v>Anabasitte tachetée</v>
      </c>
      <c r="F3510" s="3" t="str">
        <f>VLOOKUP(B3510,LifeList!$E$2:$G$2038,3)</f>
        <v>Premnoplex brunnescens</v>
      </c>
      <c r="G3510" s="3" t="str">
        <f>VLOOKUP(B3510,LifeList!$E$2:$I$2038,4)</f>
        <v>Passeriformes</v>
      </c>
      <c r="H3510" s="3" t="str">
        <f>VLOOKUP(B3510,LifeList!$E$2:$I$2038,5)</f>
        <v>Furnariidae (Ovenbirds and Woodcreepers)</v>
      </c>
      <c r="I3510" s="3"/>
    </row>
    <row r="3511" spans="1:9" ht="10.5" customHeight="1">
      <c r="A3511" s="3" t="s">
        <v>4876</v>
      </c>
      <c r="B3511" s="3" t="s">
        <v>4877</v>
      </c>
      <c r="C3511" s="3">
        <f>VLOOKUP(B3511,LifeList!$E$2:$J$2038,6)</f>
        <v>2064</v>
      </c>
      <c r="D3511" s="3" t="str">
        <f>VLOOKUP(B3511,LifeList!$E$2:$G$2038,1)</f>
        <v>Spotted Dove</v>
      </c>
      <c r="E3511" s="3" t="str">
        <f>VLOOKUP(B3511,LifeList!$E$2:$G$2038,2)</f>
        <v>Tourterelle tigrine</v>
      </c>
      <c r="F3511" s="3" t="str">
        <f>VLOOKUP(B3511,LifeList!$E$2:$G$2038,3)</f>
        <v>Spilopelia chinensis</v>
      </c>
      <c r="G3511" s="3" t="str">
        <f>VLOOKUP(B3511,LifeList!$E$2:$I$2038,4)</f>
        <v>Columbiformes</v>
      </c>
      <c r="H3511" s="3" t="str">
        <f>VLOOKUP(B3511,LifeList!$E$2:$I$2038,5)</f>
        <v>Columbidae (Pigeons and Doves)</v>
      </c>
      <c r="I3511" s="3"/>
    </row>
    <row r="3512" spans="1:9" ht="10.5" customHeight="1">
      <c r="A3512" s="3" t="s">
        <v>4878</v>
      </c>
      <c r="B3512" s="3" t="s">
        <v>4877</v>
      </c>
      <c r="C3512" s="3">
        <f>VLOOKUP(B3512,LifeList!$E$2:$J$2038,6)</f>
        <v>2064</v>
      </c>
      <c r="D3512" s="3" t="str">
        <f>VLOOKUP(B3512,LifeList!$E$2:$G$2038,1)</f>
        <v>Spotted Dove</v>
      </c>
      <c r="E3512" s="3" t="str">
        <f>VLOOKUP(B3512,LifeList!$E$2:$G$2038,2)</f>
        <v>Tourterelle tigrine</v>
      </c>
      <c r="F3512" s="3" t="str">
        <f>VLOOKUP(B3512,LifeList!$E$2:$G$2038,3)</f>
        <v>Spilopelia chinensis</v>
      </c>
      <c r="G3512" s="3" t="str">
        <f>VLOOKUP(B3512,LifeList!$E$2:$I$2038,4)</f>
        <v>Columbiformes</v>
      </c>
      <c r="H3512" s="3" t="str">
        <f>VLOOKUP(B3512,LifeList!$E$2:$I$2038,5)</f>
        <v>Columbidae (Pigeons and Doves)</v>
      </c>
      <c r="I3512" s="3"/>
    </row>
    <row r="3513" spans="1:9" ht="10.5" customHeight="1">
      <c r="A3513" s="3" t="s">
        <v>4879</v>
      </c>
      <c r="B3513" s="3" t="s">
        <v>4880</v>
      </c>
      <c r="C3513" s="3">
        <f>VLOOKUP(B3513,LifeList!$E$2:$J$2038,6)</f>
        <v>8932</v>
      </c>
      <c r="D3513" s="3" t="str">
        <f>VLOOKUP(B3513,LifeList!$E$2:$G$2038,1)</f>
        <v>Spotted Eagle-Owl</v>
      </c>
      <c r="E3513" s="3" t="str">
        <f>VLOOKUP(B3513,LifeList!$E$2:$G$2038,2)</f>
        <v>Grand-duc africain</v>
      </c>
      <c r="F3513" s="3" t="str">
        <f>VLOOKUP(B3513,LifeList!$E$2:$G$2038,3)</f>
        <v>Bubo africanus</v>
      </c>
      <c r="G3513" s="3" t="str">
        <f>VLOOKUP(B3513,LifeList!$E$2:$I$2038,4)</f>
        <v>Strigiformes</v>
      </c>
      <c r="H3513" s="3" t="str">
        <f>VLOOKUP(B3513,LifeList!$E$2:$I$2038,5)</f>
        <v>Strigidae (Owls)</v>
      </c>
      <c r="I3513" s="3"/>
    </row>
    <row r="3514" spans="1:9" ht="10.5" customHeight="1">
      <c r="A3514" s="3" t="s">
        <v>4881</v>
      </c>
      <c r="B3514" s="3" t="s">
        <v>4882</v>
      </c>
      <c r="C3514" s="3">
        <f>VLOOKUP(B3514,LifeList!$E$2:$J$2038,6)</f>
        <v>18227</v>
      </c>
      <c r="D3514" s="3" t="str">
        <f>VLOOKUP(B3514,LifeList!$E$2:$G$2038,1)</f>
        <v>Spotted Pardalote</v>
      </c>
      <c r="E3514" s="3" t="str">
        <f>VLOOKUP(B3514,LifeList!$E$2:$G$2038,2)</f>
        <v>Pardalote pointillé</v>
      </c>
      <c r="F3514" s="3" t="str">
        <f>VLOOKUP(B3514,LifeList!$E$2:$G$2038,3)</f>
        <v>Pardalotus punctatus</v>
      </c>
      <c r="G3514" s="3" t="str">
        <f>VLOOKUP(B3514,LifeList!$E$2:$I$2038,4)</f>
        <v>Passeriformes</v>
      </c>
      <c r="H3514" s="3" t="str">
        <f>VLOOKUP(B3514,LifeList!$E$2:$I$2038,5)</f>
        <v>Pardalotidae (Pardalotes)</v>
      </c>
      <c r="I3514" s="3"/>
    </row>
    <row r="3515" spans="1:9" ht="10.5" customHeight="1">
      <c r="A3515" s="3" t="s">
        <v>4883</v>
      </c>
      <c r="B3515" s="3" t="s">
        <v>4884</v>
      </c>
      <c r="C3515" s="3">
        <f>VLOOKUP(B3515,LifeList!$E$2:$J$2038,6)</f>
        <v>6126</v>
      </c>
      <c r="D3515" s="3" t="str">
        <f>VLOOKUP(B3515,LifeList!$E$2:$G$2038,1)</f>
        <v>Spotted Sandpiper</v>
      </c>
      <c r="E3515" s="3" t="str">
        <f>VLOOKUP(B3515,LifeList!$E$2:$G$2038,2)</f>
        <v>Chevalier grivelé</v>
      </c>
      <c r="F3515" s="3" t="str">
        <f>VLOOKUP(B3515,LifeList!$E$2:$G$2038,3)</f>
        <v>Actitis macularius</v>
      </c>
      <c r="G3515" s="3" t="str">
        <f>VLOOKUP(B3515,LifeList!$E$2:$I$2038,4)</f>
        <v>Charadriiformes</v>
      </c>
      <c r="H3515" s="3" t="str">
        <f>VLOOKUP(B3515,LifeList!$E$2:$I$2038,5)</f>
        <v>Scolopacidae (Sandpipers and Allies)</v>
      </c>
      <c r="I3515" s="3"/>
    </row>
    <row r="3516" spans="1:9" ht="10.5" customHeight="1">
      <c r="A3516" s="3" t="s">
        <v>4885</v>
      </c>
      <c r="B3516" s="3" t="s">
        <v>4884</v>
      </c>
      <c r="C3516" s="3">
        <f>VLOOKUP(B3516,LifeList!$E$2:$J$2038,6)</f>
        <v>6126</v>
      </c>
      <c r="D3516" s="3" t="str">
        <f>VLOOKUP(B3516,LifeList!$E$2:$G$2038,1)</f>
        <v>Spotted Sandpiper</v>
      </c>
      <c r="E3516" s="3" t="str">
        <f>VLOOKUP(B3516,LifeList!$E$2:$G$2038,2)</f>
        <v>Chevalier grivelé</v>
      </c>
      <c r="F3516" s="3" t="str">
        <f>VLOOKUP(B3516,LifeList!$E$2:$G$2038,3)</f>
        <v>Actitis macularius</v>
      </c>
      <c r="G3516" s="3" t="str">
        <f>VLOOKUP(B3516,LifeList!$E$2:$I$2038,4)</f>
        <v>Charadriiformes</v>
      </c>
      <c r="H3516" s="3" t="str">
        <f>VLOOKUP(B3516,LifeList!$E$2:$I$2038,5)</f>
        <v>Scolopacidae (Sandpipers and Allies)</v>
      </c>
      <c r="I3516" s="3"/>
    </row>
    <row r="3517" spans="1:9" ht="10.5" customHeight="1">
      <c r="A3517" s="3" t="s">
        <v>4886</v>
      </c>
      <c r="B3517" s="3" t="s">
        <v>4884</v>
      </c>
      <c r="C3517" s="3">
        <f>VLOOKUP(B3517,LifeList!$E$2:$J$2038,6)</f>
        <v>6126</v>
      </c>
      <c r="D3517" s="3" t="str">
        <f>VLOOKUP(B3517,LifeList!$E$2:$G$2038,1)</f>
        <v>Spotted Sandpiper</v>
      </c>
      <c r="E3517" s="3" t="str">
        <f>VLOOKUP(B3517,LifeList!$E$2:$G$2038,2)</f>
        <v>Chevalier grivelé</v>
      </c>
      <c r="F3517" s="3" t="str">
        <f>VLOOKUP(B3517,LifeList!$E$2:$G$2038,3)</f>
        <v>Actitis macularius</v>
      </c>
      <c r="G3517" s="3" t="str">
        <f>VLOOKUP(B3517,LifeList!$E$2:$I$2038,4)</f>
        <v>Charadriiformes</v>
      </c>
      <c r="H3517" s="3" t="str">
        <f>VLOOKUP(B3517,LifeList!$E$2:$I$2038,5)</f>
        <v>Scolopacidae (Sandpipers and Allies)</v>
      </c>
      <c r="I3517" s="3"/>
    </row>
    <row r="3518" spans="1:9" ht="10.5" customHeight="1">
      <c r="A3518" s="3" t="s">
        <v>4887</v>
      </c>
      <c r="B3518" s="3" t="s">
        <v>4884</v>
      </c>
      <c r="C3518" s="3">
        <f>VLOOKUP(B3518,LifeList!$E$2:$J$2038,6)</f>
        <v>6126</v>
      </c>
      <c r="D3518" s="3" t="str">
        <f>VLOOKUP(B3518,LifeList!$E$2:$G$2038,1)</f>
        <v>Spotted Sandpiper</v>
      </c>
      <c r="E3518" s="3" t="str">
        <f>VLOOKUP(B3518,LifeList!$E$2:$G$2038,2)</f>
        <v>Chevalier grivelé</v>
      </c>
      <c r="F3518" s="3" t="str">
        <f>VLOOKUP(B3518,LifeList!$E$2:$G$2038,3)</f>
        <v>Actitis macularius</v>
      </c>
      <c r="G3518" s="3" t="str">
        <f>VLOOKUP(B3518,LifeList!$E$2:$I$2038,4)</f>
        <v>Charadriiformes</v>
      </c>
      <c r="H3518" s="3" t="str">
        <f>VLOOKUP(B3518,LifeList!$E$2:$I$2038,5)</f>
        <v>Scolopacidae (Sandpipers and Allies)</v>
      </c>
      <c r="I3518" s="3"/>
    </row>
    <row r="3519" spans="1:9" ht="10.5" customHeight="1">
      <c r="A3519" s="3" t="s">
        <v>4888</v>
      </c>
      <c r="B3519" s="3" t="s">
        <v>4884</v>
      </c>
      <c r="C3519" s="3">
        <f>VLOOKUP(B3519,LifeList!$E$2:$J$2038,6)</f>
        <v>6126</v>
      </c>
      <c r="D3519" s="3" t="str">
        <f>VLOOKUP(B3519,LifeList!$E$2:$G$2038,1)</f>
        <v>Spotted Sandpiper</v>
      </c>
      <c r="E3519" s="3" t="str">
        <f>VLOOKUP(B3519,LifeList!$E$2:$G$2038,2)</f>
        <v>Chevalier grivelé</v>
      </c>
      <c r="F3519" s="3" t="str">
        <f>VLOOKUP(B3519,LifeList!$E$2:$G$2038,3)</f>
        <v>Actitis macularius</v>
      </c>
      <c r="G3519" s="3" t="str">
        <f>VLOOKUP(B3519,LifeList!$E$2:$I$2038,4)</f>
        <v>Charadriiformes</v>
      </c>
      <c r="H3519" s="3" t="str">
        <f>VLOOKUP(B3519,LifeList!$E$2:$I$2038,5)</f>
        <v>Scolopacidae (Sandpipers and Allies)</v>
      </c>
      <c r="I3519" s="3"/>
    </row>
    <row r="3520" spans="1:9" ht="10.5" customHeight="1">
      <c r="A3520" s="3" t="s">
        <v>4889</v>
      </c>
      <c r="B3520" s="3" t="s">
        <v>4884</v>
      </c>
      <c r="C3520" s="3">
        <f>VLOOKUP(B3520,LifeList!$E$2:$J$2038,6)</f>
        <v>6126</v>
      </c>
      <c r="D3520" s="3" t="str">
        <f>VLOOKUP(B3520,LifeList!$E$2:$G$2038,1)</f>
        <v>Spotted Sandpiper</v>
      </c>
      <c r="E3520" s="3" t="str">
        <f>VLOOKUP(B3520,LifeList!$E$2:$G$2038,2)</f>
        <v>Chevalier grivelé</v>
      </c>
      <c r="F3520" s="3" t="str">
        <f>VLOOKUP(B3520,LifeList!$E$2:$G$2038,3)</f>
        <v>Actitis macularius</v>
      </c>
      <c r="G3520" s="3" t="str">
        <f>VLOOKUP(B3520,LifeList!$E$2:$I$2038,4)</f>
        <v>Charadriiformes</v>
      </c>
      <c r="H3520" s="3" t="str">
        <f>VLOOKUP(B3520,LifeList!$E$2:$I$2038,5)</f>
        <v>Scolopacidae (Sandpipers and Allies)</v>
      </c>
      <c r="I3520" s="3"/>
    </row>
    <row r="3521" spans="1:9" ht="10.5" customHeight="1">
      <c r="A3521" s="3" t="s">
        <v>4890</v>
      </c>
      <c r="B3521" s="3" t="s">
        <v>4884</v>
      </c>
      <c r="C3521" s="3">
        <f>VLOOKUP(B3521,LifeList!$E$2:$J$2038,6)</f>
        <v>6126</v>
      </c>
      <c r="D3521" s="3" t="str">
        <f>VLOOKUP(B3521,LifeList!$E$2:$G$2038,1)</f>
        <v>Spotted Sandpiper</v>
      </c>
      <c r="E3521" s="3" t="str">
        <f>VLOOKUP(B3521,LifeList!$E$2:$G$2038,2)</f>
        <v>Chevalier grivelé</v>
      </c>
      <c r="F3521" s="3" t="str">
        <f>VLOOKUP(B3521,LifeList!$E$2:$G$2038,3)</f>
        <v>Actitis macularius</v>
      </c>
      <c r="G3521" s="3" t="str">
        <f>VLOOKUP(B3521,LifeList!$E$2:$I$2038,4)</f>
        <v>Charadriiformes</v>
      </c>
      <c r="H3521" s="3" t="str">
        <f>VLOOKUP(B3521,LifeList!$E$2:$I$2038,5)</f>
        <v>Scolopacidae (Sandpipers and Allies)</v>
      </c>
      <c r="I3521" s="3"/>
    </row>
    <row r="3522" spans="1:9" ht="10.5" customHeight="1">
      <c r="A3522" s="3" t="s">
        <v>4891</v>
      </c>
      <c r="B3522" s="3" t="s">
        <v>4884</v>
      </c>
      <c r="C3522" s="3">
        <f>VLOOKUP(B3522,LifeList!$E$2:$J$2038,6)</f>
        <v>6126</v>
      </c>
      <c r="D3522" s="3" t="str">
        <f>VLOOKUP(B3522,LifeList!$E$2:$G$2038,1)</f>
        <v>Spotted Sandpiper</v>
      </c>
      <c r="E3522" s="3" t="str">
        <f>VLOOKUP(B3522,LifeList!$E$2:$G$2038,2)</f>
        <v>Chevalier grivelé</v>
      </c>
      <c r="F3522" s="3" t="str">
        <f>VLOOKUP(B3522,LifeList!$E$2:$G$2038,3)</f>
        <v>Actitis macularius</v>
      </c>
      <c r="G3522" s="3" t="str">
        <f>VLOOKUP(B3522,LifeList!$E$2:$I$2038,4)</f>
        <v>Charadriiformes</v>
      </c>
      <c r="H3522" s="3" t="str">
        <f>VLOOKUP(B3522,LifeList!$E$2:$I$2038,5)</f>
        <v>Scolopacidae (Sandpipers and Allies)</v>
      </c>
      <c r="I3522" s="3"/>
    </row>
    <row r="3523" spans="1:9" ht="10.5" customHeight="1">
      <c r="A3523" s="3" t="s">
        <v>4892</v>
      </c>
      <c r="B3523" s="3" t="s">
        <v>4884</v>
      </c>
      <c r="C3523" s="3">
        <f>VLOOKUP(B3523,LifeList!$E$2:$J$2038,6)</f>
        <v>6126</v>
      </c>
      <c r="D3523" s="3" t="str">
        <f>VLOOKUP(B3523,LifeList!$E$2:$G$2038,1)</f>
        <v>Spotted Sandpiper</v>
      </c>
      <c r="E3523" s="3" t="str">
        <f>VLOOKUP(B3523,LifeList!$E$2:$G$2038,2)</f>
        <v>Chevalier grivelé</v>
      </c>
      <c r="F3523" s="3" t="str">
        <f>VLOOKUP(B3523,LifeList!$E$2:$G$2038,3)</f>
        <v>Actitis macularius</v>
      </c>
      <c r="G3523" s="3" t="str">
        <f>VLOOKUP(B3523,LifeList!$E$2:$I$2038,4)</f>
        <v>Charadriiformes</v>
      </c>
      <c r="H3523" s="3" t="str">
        <f>VLOOKUP(B3523,LifeList!$E$2:$I$2038,5)</f>
        <v>Scolopacidae (Sandpipers and Allies)</v>
      </c>
      <c r="I3523" s="3"/>
    </row>
    <row r="3524" spans="1:9" ht="10.5" customHeight="1">
      <c r="A3524" s="3" t="s">
        <v>4893</v>
      </c>
      <c r="B3524" s="3" t="s">
        <v>4884</v>
      </c>
      <c r="C3524" s="3">
        <f>VLOOKUP(B3524,LifeList!$E$2:$J$2038,6)</f>
        <v>6126</v>
      </c>
      <c r="D3524" s="3" t="str">
        <f>VLOOKUP(B3524,LifeList!$E$2:$G$2038,1)</f>
        <v>Spotted Sandpiper</v>
      </c>
      <c r="E3524" s="3" t="str">
        <f>VLOOKUP(B3524,LifeList!$E$2:$G$2038,2)</f>
        <v>Chevalier grivelé</v>
      </c>
      <c r="F3524" s="3" t="str">
        <f>VLOOKUP(B3524,LifeList!$E$2:$G$2038,3)</f>
        <v>Actitis macularius</v>
      </c>
      <c r="G3524" s="3" t="str">
        <f>VLOOKUP(B3524,LifeList!$E$2:$I$2038,4)</f>
        <v>Charadriiformes</v>
      </c>
      <c r="H3524" s="3" t="str">
        <f>VLOOKUP(B3524,LifeList!$E$2:$I$2038,5)</f>
        <v>Scolopacidae (Sandpipers and Allies)</v>
      </c>
      <c r="I3524" s="3"/>
    </row>
    <row r="3525" spans="1:9" ht="10.5" customHeight="1">
      <c r="A3525" s="3" t="s">
        <v>4894</v>
      </c>
      <c r="B3525" s="3" t="s">
        <v>4884</v>
      </c>
      <c r="C3525" s="3">
        <f>VLOOKUP(B3525,LifeList!$E$2:$J$2038,6)</f>
        <v>6126</v>
      </c>
      <c r="D3525" s="3" t="str">
        <f>VLOOKUP(B3525,LifeList!$E$2:$G$2038,1)</f>
        <v>Spotted Sandpiper</v>
      </c>
      <c r="E3525" s="3" t="str">
        <f>VLOOKUP(B3525,LifeList!$E$2:$G$2038,2)</f>
        <v>Chevalier grivelé</v>
      </c>
      <c r="F3525" s="3" t="str">
        <f>VLOOKUP(B3525,LifeList!$E$2:$G$2038,3)</f>
        <v>Actitis macularius</v>
      </c>
      <c r="G3525" s="3" t="str">
        <f>VLOOKUP(B3525,LifeList!$E$2:$I$2038,4)</f>
        <v>Charadriiformes</v>
      </c>
      <c r="H3525" s="3" t="str">
        <f>VLOOKUP(B3525,LifeList!$E$2:$I$2038,5)</f>
        <v>Scolopacidae (Sandpipers and Allies)</v>
      </c>
      <c r="I3525" s="3"/>
    </row>
    <row r="3526" spans="1:9" ht="10.5" customHeight="1">
      <c r="A3526" s="3" t="s">
        <v>4895</v>
      </c>
      <c r="B3526" s="3" t="s">
        <v>4884</v>
      </c>
      <c r="C3526" s="3">
        <f>VLOOKUP(B3526,LifeList!$E$2:$J$2038,6)</f>
        <v>6126</v>
      </c>
      <c r="D3526" s="3" t="str">
        <f>VLOOKUP(B3526,LifeList!$E$2:$G$2038,1)</f>
        <v>Spotted Sandpiper</v>
      </c>
      <c r="E3526" s="3" t="str">
        <f>VLOOKUP(B3526,LifeList!$E$2:$G$2038,2)</f>
        <v>Chevalier grivelé</v>
      </c>
      <c r="F3526" s="3" t="str">
        <f>VLOOKUP(B3526,LifeList!$E$2:$G$2038,3)</f>
        <v>Actitis macularius</v>
      </c>
      <c r="G3526" s="3" t="str">
        <f>VLOOKUP(B3526,LifeList!$E$2:$I$2038,4)</f>
        <v>Charadriiformes</v>
      </c>
      <c r="H3526" s="3" t="str">
        <f>VLOOKUP(B3526,LifeList!$E$2:$I$2038,5)</f>
        <v>Scolopacidae (Sandpipers and Allies)</v>
      </c>
      <c r="I3526" s="3"/>
    </row>
    <row r="3527" spans="1:9" ht="10.5" customHeight="1">
      <c r="A3527" s="3" t="s">
        <v>4896</v>
      </c>
      <c r="B3527" s="3" t="s">
        <v>4884</v>
      </c>
      <c r="C3527" s="3">
        <f>VLOOKUP(B3527,LifeList!$E$2:$J$2038,6)</f>
        <v>6126</v>
      </c>
      <c r="D3527" s="3" t="str">
        <f>VLOOKUP(B3527,LifeList!$E$2:$G$2038,1)</f>
        <v>Spotted Sandpiper</v>
      </c>
      <c r="E3527" s="3" t="str">
        <f>VLOOKUP(B3527,LifeList!$E$2:$G$2038,2)</f>
        <v>Chevalier grivelé</v>
      </c>
      <c r="F3527" s="3" t="str">
        <f>VLOOKUP(B3527,LifeList!$E$2:$G$2038,3)</f>
        <v>Actitis macularius</v>
      </c>
      <c r="G3527" s="3" t="str">
        <f>VLOOKUP(B3527,LifeList!$E$2:$I$2038,4)</f>
        <v>Charadriiformes</v>
      </c>
      <c r="H3527" s="3" t="str">
        <f>VLOOKUP(B3527,LifeList!$E$2:$I$2038,5)</f>
        <v>Scolopacidae (Sandpipers and Allies)</v>
      </c>
      <c r="I3527" s="3"/>
    </row>
    <row r="3528" spans="1:9" ht="10.5" customHeight="1">
      <c r="A3528" s="3" t="s">
        <v>4897</v>
      </c>
      <c r="B3528" s="3" t="s">
        <v>4884</v>
      </c>
      <c r="C3528" s="3">
        <f>VLOOKUP(B3528,LifeList!$E$2:$J$2038,6)</f>
        <v>6126</v>
      </c>
      <c r="D3528" s="3" t="str">
        <f>VLOOKUP(B3528,LifeList!$E$2:$G$2038,1)</f>
        <v>Spotted Sandpiper</v>
      </c>
      <c r="E3528" s="3" t="str">
        <f>VLOOKUP(B3528,LifeList!$E$2:$G$2038,2)</f>
        <v>Chevalier grivelé</v>
      </c>
      <c r="F3528" s="3" t="str">
        <f>VLOOKUP(B3528,LifeList!$E$2:$G$2038,3)</f>
        <v>Actitis macularius</v>
      </c>
      <c r="G3528" s="3" t="str">
        <f>VLOOKUP(B3528,LifeList!$E$2:$I$2038,4)</f>
        <v>Charadriiformes</v>
      </c>
      <c r="H3528" s="3" t="str">
        <f>VLOOKUP(B3528,LifeList!$E$2:$I$2038,5)</f>
        <v>Scolopacidae (Sandpipers and Allies)</v>
      </c>
      <c r="I3528" s="3"/>
    </row>
    <row r="3529" spans="1:9" ht="10.5" customHeight="1">
      <c r="A3529" s="3" t="s">
        <v>4898</v>
      </c>
      <c r="B3529" s="3" t="s">
        <v>4884</v>
      </c>
      <c r="C3529" s="3">
        <f>VLOOKUP(B3529,LifeList!$E$2:$J$2038,6)</f>
        <v>6126</v>
      </c>
      <c r="D3529" s="3" t="str">
        <f>VLOOKUP(B3529,LifeList!$E$2:$G$2038,1)</f>
        <v>Spotted Sandpiper</v>
      </c>
      <c r="E3529" s="3" t="str">
        <f>VLOOKUP(B3529,LifeList!$E$2:$G$2038,2)</f>
        <v>Chevalier grivelé</v>
      </c>
      <c r="F3529" s="3" t="str">
        <f>VLOOKUP(B3529,LifeList!$E$2:$G$2038,3)</f>
        <v>Actitis macularius</v>
      </c>
      <c r="G3529" s="3" t="str">
        <f>VLOOKUP(B3529,LifeList!$E$2:$I$2038,4)</f>
        <v>Charadriiformes</v>
      </c>
      <c r="H3529" s="3" t="str">
        <f>VLOOKUP(B3529,LifeList!$E$2:$I$2038,5)</f>
        <v>Scolopacidae (Sandpipers and Allies)</v>
      </c>
      <c r="I3529" s="3"/>
    </row>
    <row r="3530" spans="1:9" ht="10.5" customHeight="1">
      <c r="A3530" s="3" t="s">
        <v>4899</v>
      </c>
      <c r="B3530" s="3" t="s">
        <v>4900</v>
      </c>
      <c r="C3530" s="3">
        <f>VLOOKUP(B3530,LifeList!$E$2:$J$2038,6)</f>
        <v>33386</v>
      </c>
      <c r="D3530" s="3" t="str">
        <f>VLOOKUP(B3530,LifeList!$E$2:$G$2038,1)</f>
        <v>Spotted Towhee</v>
      </c>
      <c r="E3530" s="3" t="str">
        <f>VLOOKUP(B3530,LifeList!$E$2:$G$2038,2)</f>
        <v>Tohi tacheté</v>
      </c>
      <c r="F3530" s="3" t="str">
        <f>VLOOKUP(B3530,LifeList!$E$2:$G$2038,3)</f>
        <v>Pipilo maculatus</v>
      </c>
      <c r="G3530" s="3" t="str">
        <f>VLOOKUP(B3530,LifeList!$E$2:$I$2038,4)</f>
        <v>Passeriformes</v>
      </c>
      <c r="H3530" s="3" t="str">
        <f>VLOOKUP(B3530,LifeList!$E$2:$I$2038,5)</f>
        <v>Passerellidae (New World Sparrows)</v>
      </c>
      <c r="I3530" s="3"/>
    </row>
    <row r="3531" spans="1:9" ht="10.5" customHeight="1">
      <c r="A3531" s="3" t="s">
        <v>4901</v>
      </c>
      <c r="B3531" s="3" t="s">
        <v>4902</v>
      </c>
      <c r="C3531" s="3">
        <f>VLOOKUP(B3531,LifeList!$E$2:$J$2038,6)</f>
        <v>1170</v>
      </c>
      <c r="D3531" s="3" t="str">
        <f>VLOOKUP(B3531,LifeList!$E$2:$G$2038,1)</f>
        <v>Spotted Wood-Quail</v>
      </c>
      <c r="E3531" s="3" t="str">
        <f>VLOOKUP(B3531,LifeList!$E$2:$G$2038,2)</f>
        <v>Tocro tacheté</v>
      </c>
      <c r="F3531" s="3" t="str">
        <f>VLOOKUP(B3531,LifeList!$E$2:$G$2038,3)</f>
        <v>Odontophorus guttatus</v>
      </c>
      <c r="G3531" s="3" t="str">
        <f>VLOOKUP(B3531,LifeList!$E$2:$I$2038,4)</f>
        <v>Galliformes</v>
      </c>
      <c r="H3531" s="3" t="str">
        <f>VLOOKUP(B3531,LifeList!$E$2:$I$2038,5)</f>
        <v>Odontophoridae (New World Quail)</v>
      </c>
      <c r="I3531" s="3"/>
    </row>
    <row r="3532" spans="1:9" ht="10.5" customHeight="1">
      <c r="A3532" s="3" t="s">
        <v>4903</v>
      </c>
      <c r="B3532" s="3" t="s">
        <v>4902</v>
      </c>
      <c r="C3532" s="3">
        <f>VLOOKUP(B3532,LifeList!$E$2:$J$2038,6)</f>
        <v>1170</v>
      </c>
      <c r="D3532" s="3" t="str">
        <f>VLOOKUP(B3532,LifeList!$E$2:$G$2038,1)</f>
        <v>Spotted Wood-Quail</v>
      </c>
      <c r="E3532" s="3" t="str">
        <f>VLOOKUP(B3532,LifeList!$E$2:$G$2038,2)</f>
        <v>Tocro tacheté</v>
      </c>
      <c r="F3532" s="3" t="str">
        <f>VLOOKUP(B3532,LifeList!$E$2:$G$2038,3)</f>
        <v>Odontophorus guttatus</v>
      </c>
      <c r="G3532" s="3" t="str">
        <f>VLOOKUP(B3532,LifeList!$E$2:$I$2038,4)</f>
        <v>Galliformes</v>
      </c>
      <c r="H3532" s="3" t="str">
        <f>VLOOKUP(B3532,LifeList!$E$2:$I$2038,5)</f>
        <v>Odontophoridae (New World Quail)</v>
      </c>
      <c r="I3532" s="3"/>
    </row>
    <row r="3533" spans="1:9" ht="10.5" customHeight="1">
      <c r="A3533" s="3" t="s">
        <v>4904</v>
      </c>
      <c r="B3533" s="3" t="s">
        <v>4902</v>
      </c>
      <c r="C3533" s="3">
        <f>VLOOKUP(B3533,LifeList!$E$2:$J$2038,6)</f>
        <v>1170</v>
      </c>
      <c r="D3533" s="3" t="str">
        <f>VLOOKUP(B3533,LifeList!$E$2:$G$2038,1)</f>
        <v>Spotted Wood-Quail</v>
      </c>
      <c r="E3533" s="3" t="str">
        <f>VLOOKUP(B3533,LifeList!$E$2:$G$2038,2)</f>
        <v>Tocro tacheté</v>
      </c>
      <c r="F3533" s="3" t="str">
        <f>VLOOKUP(B3533,LifeList!$E$2:$G$2038,3)</f>
        <v>Odontophorus guttatus</v>
      </c>
      <c r="G3533" s="3" t="str">
        <f>VLOOKUP(B3533,LifeList!$E$2:$I$2038,4)</f>
        <v>Galliformes</v>
      </c>
      <c r="H3533" s="3" t="str">
        <f>VLOOKUP(B3533,LifeList!$E$2:$I$2038,5)</f>
        <v>Odontophoridae (New World Quail)</v>
      </c>
      <c r="I3533" s="3"/>
    </row>
    <row r="3534" spans="1:9" ht="10.5" customHeight="1">
      <c r="A3534" s="3" t="s">
        <v>4905</v>
      </c>
      <c r="B3534" s="3" t="s">
        <v>4902</v>
      </c>
      <c r="C3534" s="3">
        <f>VLOOKUP(B3534,LifeList!$E$2:$J$2038,6)</f>
        <v>1170</v>
      </c>
      <c r="D3534" s="3" t="str">
        <f>VLOOKUP(B3534,LifeList!$E$2:$G$2038,1)</f>
        <v>Spotted Wood-Quail</v>
      </c>
      <c r="E3534" s="3" t="str">
        <f>VLOOKUP(B3534,LifeList!$E$2:$G$2038,2)</f>
        <v>Tocro tacheté</v>
      </c>
      <c r="F3534" s="3" t="str">
        <f>VLOOKUP(B3534,LifeList!$E$2:$G$2038,3)</f>
        <v>Odontophorus guttatus</v>
      </c>
      <c r="G3534" s="3" t="str">
        <f>VLOOKUP(B3534,LifeList!$E$2:$I$2038,4)</f>
        <v>Galliformes</v>
      </c>
      <c r="H3534" s="3" t="str">
        <f>VLOOKUP(B3534,LifeList!$E$2:$I$2038,5)</f>
        <v>Odontophoridae (New World Quail)</v>
      </c>
      <c r="I3534" s="3"/>
    </row>
    <row r="3535" spans="1:9" ht="10.5" customHeight="1">
      <c r="A3535" s="3" t="s">
        <v>4906</v>
      </c>
      <c r="B3535" s="3" t="s">
        <v>4907</v>
      </c>
      <c r="C3535" s="3">
        <f>VLOOKUP(B3535,LifeList!$E$2:$J$2038,6)</f>
        <v>14857</v>
      </c>
      <c r="D3535" s="3" t="str">
        <f>VLOOKUP(B3535,LifeList!$E$2:$G$2038,1)</f>
        <v>Spotted Woodcreeper</v>
      </c>
      <c r="E3535" s="3" t="str">
        <f>VLOOKUP(B3535,LifeList!$E$2:$G$2038,2)</f>
        <v>Grimpar tacheté</v>
      </c>
      <c r="F3535" s="3" t="str">
        <f>VLOOKUP(B3535,LifeList!$E$2:$G$2038,3)</f>
        <v>Xiphorhynchus erythropygius</v>
      </c>
      <c r="G3535" s="3" t="str">
        <f>VLOOKUP(B3535,LifeList!$E$2:$I$2038,4)</f>
        <v>Passeriformes</v>
      </c>
      <c r="H3535" s="3" t="str">
        <f>VLOOKUP(B3535,LifeList!$E$2:$I$2038,5)</f>
        <v>Furnariidae (Ovenbirds and Woodcreepers)</v>
      </c>
      <c r="I3535" s="3"/>
    </row>
    <row r="3536" spans="1:9" ht="10.5" customHeight="1">
      <c r="A3536" s="3" t="s">
        <v>4908</v>
      </c>
      <c r="B3536" s="3" t="s">
        <v>4909</v>
      </c>
      <c r="C3536" s="3">
        <f>VLOOKUP(B3536,LifeList!$E$2:$J$2038,6)</f>
        <v>1406</v>
      </c>
      <c r="D3536" s="3" t="str">
        <f>VLOOKUP(B3536,LifeList!$E$2:$G$2038,1)</f>
        <v>Spruce Grouse</v>
      </c>
      <c r="E3536" s="3" t="str">
        <f>VLOOKUP(B3536,LifeList!$E$2:$G$2038,2)</f>
        <v>Tétras du Canada</v>
      </c>
      <c r="F3536" s="3" t="str">
        <f>VLOOKUP(B3536,LifeList!$E$2:$G$2038,3)</f>
        <v>Canachites canadensis</v>
      </c>
      <c r="G3536" s="3" t="str">
        <f>VLOOKUP(B3536,LifeList!$E$2:$I$2038,4)</f>
        <v>Galliformes</v>
      </c>
      <c r="H3536" s="3" t="str">
        <f>VLOOKUP(B3536,LifeList!$E$2:$I$2038,5)</f>
        <v>Phasianidae (Pheasants, Grouse, and Allies)</v>
      </c>
      <c r="I3536" s="3"/>
    </row>
    <row r="3537" spans="1:9" ht="10.5" customHeight="1">
      <c r="A3537" s="3" t="s">
        <v>4910</v>
      </c>
      <c r="B3537" s="3" t="s">
        <v>4909</v>
      </c>
      <c r="C3537" s="3">
        <f>VLOOKUP(B3537,LifeList!$E$2:$J$2038,6)</f>
        <v>1406</v>
      </c>
      <c r="D3537" s="3" t="str">
        <f>VLOOKUP(B3537,LifeList!$E$2:$G$2038,1)</f>
        <v>Spruce Grouse</v>
      </c>
      <c r="E3537" s="3" t="str">
        <f>VLOOKUP(B3537,LifeList!$E$2:$G$2038,2)</f>
        <v>Tétras du Canada</v>
      </c>
      <c r="F3537" s="3" t="str">
        <f>VLOOKUP(B3537,LifeList!$E$2:$G$2038,3)</f>
        <v>Canachites canadensis</v>
      </c>
      <c r="G3537" s="3" t="str">
        <f>VLOOKUP(B3537,LifeList!$E$2:$I$2038,4)</f>
        <v>Galliformes</v>
      </c>
      <c r="H3537" s="3" t="str">
        <f>VLOOKUP(B3537,LifeList!$E$2:$I$2038,5)</f>
        <v>Phasianidae (Pheasants, Grouse, and Allies)</v>
      </c>
      <c r="I3537" s="3"/>
    </row>
    <row r="3538" spans="1:9" ht="10.5" customHeight="1">
      <c r="A3538" s="3" t="s">
        <v>4911</v>
      </c>
      <c r="B3538" s="3" t="s">
        <v>4909</v>
      </c>
      <c r="C3538" s="3">
        <f>VLOOKUP(B3538,LifeList!$E$2:$J$2038,6)</f>
        <v>1406</v>
      </c>
      <c r="D3538" s="3" t="str">
        <f>VLOOKUP(B3538,LifeList!$E$2:$G$2038,1)</f>
        <v>Spruce Grouse</v>
      </c>
      <c r="E3538" s="3" t="str">
        <f>VLOOKUP(B3538,LifeList!$E$2:$G$2038,2)</f>
        <v>Tétras du Canada</v>
      </c>
      <c r="F3538" s="3" t="str">
        <f>VLOOKUP(B3538,LifeList!$E$2:$G$2038,3)</f>
        <v>Canachites canadensis</v>
      </c>
      <c r="G3538" s="3" t="str">
        <f>VLOOKUP(B3538,LifeList!$E$2:$I$2038,4)</f>
        <v>Galliformes</v>
      </c>
      <c r="H3538" s="3" t="str">
        <f>VLOOKUP(B3538,LifeList!$E$2:$I$2038,5)</f>
        <v>Phasianidae (Pheasants, Grouse, and Allies)</v>
      </c>
      <c r="I3538" s="3"/>
    </row>
    <row r="3539" spans="1:9" ht="10.5" customHeight="1">
      <c r="A3539" s="3" t="s">
        <v>4912</v>
      </c>
      <c r="B3539" s="3" t="s">
        <v>4913</v>
      </c>
      <c r="C3539" s="3">
        <f>VLOOKUP(B3539,LifeList!$E$2:$J$2038,6)</f>
        <v>429</v>
      </c>
      <c r="D3539" s="3" t="str">
        <f>VLOOKUP(B3539,LifeList!$E$2:$G$2038,1)</f>
        <v>Spur-winged Goose</v>
      </c>
      <c r="E3539" s="3" t="str">
        <f>VLOOKUP(B3539,LifeList!$E$2:$G$2038,2)</f>
        <v>Oie-armée de Gambie</v>
      </c>
      <c r="F3539" s="3" t="str">
        <f>VLOOKUP(B3539,LifeList!$E$2:$G$2038,3)</f>
        <v>Plectropterus gambensis</v>
      </c>
      <c r="G3539" s="3" t="str">
        <f>VLOOKUP(B3539,LifeList!$E$2:$I$2038,4)</f>
        <v>Anseriformes</v>
      </c>
      <c r="H3539" s="3" t="str">
        <f>VLOOKUP(B3539,LifeList!$E$2:$I$2038,5)</f>
        <v>Anatidae (Ducks, Geese, and Waterfowl)</v>
      </c>
      <c r="I3539" s="3"/>
    </row>
    <row r="3540" spans="1:9" ht="10.5" customHeight="1">
      <c r="A3540" s="3" t="s">
        <v>4914</v>
      </c>
      <c r="B3540" s="3" t="s">
        <v>4915</v>
      </c>
      <c r="C3540" s="3">
        <f>VLOOKUP(B3540,LifeList!$E$2:$J$2038,6)</f>
        <v>5861</v>
      </c>
      <c r="D3540" s="3" t="str">
        <f>VLOOKUP(B3540,LifeList!$E$2:$G$2038,1)</f>
        <v>Spur-winged Lapwing</v>
      </c>
      <c r="E3540" s="3" t="str">
        <f>VLOOKUP(B3540,LifeList!$E$2:$G$2038,2)</f>
        <v>Vanneau à éperons</v>
      </c>
      <c r="F3540" s="3" t="str">
        <f>VLOOKUP(B3540,LifeList!$E$2:$G$2038,3)</f>
        <v>Vanellus spinosus</v>
      </c>
      <c r="G3540" s="3" t="str">
        <f>VLOOKUP(B3540,LifeList!$E$2:$I$2038,4)</f>
        <v>Charadriiformes</v>
      </c>
      <c r="H3540" s="3" t="str">
        <f>VLOOKUP(B3540,LifeList!$E$2:$I$2038,5)</f>
        <v>Charadriidae (Plovers and Lapwings)</v>
      </c>
      <c r="I3540" s="3"/>
    </row>
    <row r="3541" spans="1:9" ht="10.5" customHeight="1">
      <c r="A3541" s="3" t="s">
        <v>4916</v>
      </c>
      <c r="B3541" s="3" t="s">
        <v>4917</v>
      </c>
      <c r="C3541" s="3">
        <f>VLOOKUP(B3541,LifeList!$E$2:$J$2038,6)</f>
        <v>7714</v>
      </c>
      <c r="D3541" s="3" t="str">
        <f>VLOOKUP(B3541,LifeList!$E$2:$G$2038,1)</f>
        <v>Squacco Heron</v>
      </c>
      <c r="E3541" s="3" t="str">
        <f>VLOOKUP(B3541,LifeList!$E$2:$G$2038,2)</f>
        <v>Crabier chevelu</v>
      </c>
      <c r="F3541" s="3" t="str">
        <f>VLOOKUP(B3541,LifeList!$E$2:$G$2038,3)</f>
        <v>Ardeola ralloides</v>
      </c>
      <c r="G3541" s="3" t="str">
        <f>VLOOKUP(B3541,LifeList!$E$2:$I$2038,4)</f>
        <v>Pelecaniformes</v>
      </c>
      <c r="H3541" s="3" t="str">
        <f>VLOOKUP(B3541,LifeList!$E$2:$I$2038,5)</f>
        <v>Ardeidae (Herons, Egrets, and Bitterns)</v>
      </c>
      <c r="I3541" s="3"/>
    </row>
    <row r="3542" spans="1:9" ht="10.5" customHeight="1">
      <c r="A3542" s="3" t="s">
        <v>4918</v>
      </c>
      <c r="B3542" s="3" t="s">
        <v>4917</v>
      </c>
      <c r="C3542" s="3">
        <f>VLOOKUP(B3542,LifeList!$E$2:$J$2038,6)</f>
        <v>7714</v>
      </c>
      <c r="D3542" s="3" t="str">
        <f>VLOOKUP(B3542,LifeList!$E$2:$G$2038,1)</f>
        <v>Squacco Heron</v>
      </c>
      <c r="E3542" s="3" t="str">
        <f>VLOOKUP(B3542,LifeList!$E$2:$G$2038,2)</f>
        <v>Crabier chevelu</v>
      </c>
      <c r="F3542" s="3" t="str">
        <f>VLOOKUP(B3542,LifeList!$E$2:$G$2038,3)</f>
        <v>Ardeola ralloides</v>
      </c>
      <c r="G3542" s="3" t="str">
        <f>VLOOKUP(B3542,LifeList!$E$2:$I$2038,4)</f>
        <v>Pelecaniformes</v>
      </c>
      <c r="H3542" s="3" t="str">
        <f>VLOOKUP(B3542,LifeList!$E$2:$I$2038,5)</f>
        <v>Ardeidae (Herons, Egrets, and Bitterns)</v>
      </c>
      <c r="I3542" s="3"/>
    </row>
    <row r="3543" spans="1:9" ht="10.5" customHeight="1">
      <c r="A3543" s="3" t="s">
        <v>4919</v>
      </c>
      <c r="B3543" s="3" t="s">
        <v>4917</v>
      </c>
      <c r="C3543" s="3">
        <f>VLOOKUP(B3543,LifeList!$E$2:$J$2038,6)</f>
        <v>7714</v>
      </c>
      <c r="D3543" s="3" t="str">
        <f>VLOOKUP(B3543,LifeList!$E$2:$G$2038,1)</f>
        <v>Squacco Heron</v>
      </c>
      <c r="E3543" s="3" t="str">
        <f>VLOOKUP(B3543,LifeList!$E$2:$G$2038,2)</f>
        <v>Crabier chevelu</v>
      </c>
      <c r="F3543" s="3" t="str">
        <f>VLOOKUP(B3543,LifeList!$E$2:$G$2038,3)</f>
        <v>Ardeola ralloides</v>
      </c>
      <c r="G3543" s="3" t="str">
        <f>VLOOKUP(B3543,LifeList!$E$2:$I$2038,4)</f>
        <v>Pelecaniformes</v>
      </c>
      <c r="H3543" s="3" t="str">
        <f>VLOOKUP(B3543,LifeList!$E$2:$I$2038,5)</f>
        <v>Ardeidae (Herons, Egrets, and Bitterns)</v>
      </c>
      <c r="I3543" s="3"/>
    </row>
    <row r="3544" spans="1:9" ht="10.5" customHeight="1">
      <c r="A3544" s="3" t="s">
        <v>4920</v>
      </c>
      <c r="B3544" s="3" t="s">
        <v>4917</v>
      </c>
      <c r="C3544" s="3">
        <f>VLOOKUP(B3544,LifeList!$E$2:$J$2038,6)</f>
        <v>7714</v>
      </c>
      <c r="D3544" s="3" t="str">
        <f>VLOOKUP(B3544,LifeList!$E$2:$G$2038,1)</f>
        <v>Squacco Heron</v>
      </c>
      <c r="E3544" s="3" t="str">
        <f>VLOOKUP(B3544,LifeList!$E$2:$G$2038,2)</f>
        <v>Crabier chevelu</v>
      </c>
      <c r="F3544" s="3" t="str">
        <f>VLOOKUP(B3544,LifeList!$E$2:$G$2038,3)</f>
        <v>Ardeola ralloides</v>
      </c>
      <c r="G3544" s="3" t="str">
        <f>VLOOKUP(B3544,LifeList!$E$2:$I$2038,4)</f>
        <v>Pelecaniformes</v>
      </c>
      <c r="H3544" s="3" t="str">
        <f>VLOOKUP(B3544,LifeList!$E$2:$I$2038,5)</f>
        <v>Ardeidae (Herons, Egrets, and Bitterns)</v>
      </c>
      <c r="I3544" s="3"/>
    </row>
    <row r="3545" spans="1:9" ht="10.5" customHeight="1">
      <c r="A3545" s="3" t="s">
        <v>4921</v>
      </c>
      <c r="B3545" s="3" t="s">
        <v>4917</v>
      </c>
      <c r="C3545" s="3">
        <f>VLOOKUP(B3545,LifeList!$E$2:$J$2038,6)</f>
        <v>7714</v>
      </c>
      <c r="D3545" s="3" t="str">
        <f>VLOOKUP(B3545,LifeList!$E$2:$G$2038,1)</f>
        <v>Squacco Heron</v>
      </c>
      <c r="E3545" s="3" t="str">
        <f>VLOOKUP(B3545,LifeList!$E$2:$G$2038,2)</f>
        <v>Crabier chevelu</v>
      </c>
      <c r="F3545" s="3" t="str">
        <f>VLOOKUP(B3545,LifeList!$E$2:$G$2038,3)</f>
        <v>Ardeola ralloides</v>
      </c>
      <c r="G3545" s="3" t="str">
        <f>VLOOKUP(B3545,LifeList!$E$2:$I$2038,4)</f>
        <v>Pelecaniformes</v>
      </c>
      <c r="H3545" s="3" t="str">
        <f>VLOOKUP(B3545,LifeList!$E$2:$I$2038,5)</f>
        <v>Ardeidae (Herons, Egrets, and Bitterns)</v>
      </c>
      <c r="I3545" s="3"/>
    </row>
    <row r="3546" spans="1:9" ht="10.5" customHeight="1">
      <c r="A3546" s="3" t="s">
        <v>4922</v>
      </c>
      <c r="B3546" s="3" t="s">
        <v>4917</v>
      </c>
      <c r="C3546" s="3">
        <f>VLOOKUP(B3546,LifeList!$E$2:$J$2038,6)</f>
        <v>7714</v>
      </c>
      <c r="D3546" s="3" t="str">
        <f>VLOOKUP(B3546,LifeList!$E$2:$G$2038,1)</f>
        <v>Squacco Heron</v>
      </c>
      <c r="E3546" s="3" t="str">
        <f>VLOOKUP(B3546,LifeList!$E$2:$G$2038,2)</f>
        <v>Crabier chevelu</v>
      </c>
      <c r="F3546" s="3" t="str">
        <f>VLOOKUP(B3546,LifeList!$E$2:$G$2038,3)</f>
        <v>Ardeola ralloides</v>
      </c>
      <c r="G3546" s="3" t="str">
        <f>VLOOKUP(B3546,LifeList!$E$2:$I$2038,4)</f>
        <v>Pelecaniformes</v>
      </c>
      <c r="H3546" s="3" t="str">
        <f>VLOOKUP(B3546,LifeList!$E$2:$I$2038,5)</f>
        <v>Ardeidae (Herons, Egrets, and Bitterns)</v>
      </c>
      <c r="I3546" s="3"/>
    </row>
    <row r="3547" spans="1:9" ht="10.5" customHeight="1">
      <c r="A3547" s="3" t="s">
        <v>4923</v>
      </c>
      <c r="B3547" s="3" t="s">
        <v>4917</v>
      </c>
      <c r="C3547" s="3">
        <f>VLOOKUP(B3547,LifeList!$E$2:$J$2038,6)</f>
        <v>7714</v>
      </c>
      <c r="D3547" s="3" t="str">
        <f>VLOOKUP(B3547,LifeList!$E$2:$G$2038,1)</f>
        <v>Squacco Heron</v>
      </c>
      <c r="E3547" s="3" t="str">
        <f>VLOOKUP(B3547,LifeList!$E$2:$G$2038,2)</f>
        <v>Crabier chevelu</v>
      </c>
      <c r="F3547" s="3" t="str">
        <f>VLOOKUP(B3547,LifeList!$E$2:$G$2038,3)</f>
        <v>Ardeola ralloides</v>
      </c>
      <c r="G3547" s="3" t="str">
        <f>VLOOKUP(B3547,LifeList!$E$2:$I$2038,4)</f>
        <v>Pelecaniformes</v>
      </c>
      <c r="H3547" s="3" t="str">
        <f>VLOOKUP(B3547,LifeList!$E$2:$I$2038,5)</f>
        <v>Ardeidae (Herons, Egrets, and Bitterns)</v>
      </c>
      <c r="I3547" s="3"/>
    </row>
    <row r="3548" spans="1:9" ht="10.5" customHeight="1">
      <c r="A3548" s="3" t="s">
        <v>4924</v>
      </c>
      <c r="B3548" s="3" t="s">
        <v>4917</v>
      </c>
      <c r="C3548" s="3">
        <f>VLOOKUP(B3548,LifeList!$E$2:$J$2038,6)</f>
        <v>7714</v>
      </c>
      <c r="D3548" s="3" t="str">
        <f>VLOOKUP(B3548,LifeList!$E$2:$G$2038,1)</f>
        <v>Squacco Heron</v>
      </c>
      <c r="E3548" s="3" t="str">
        <f>VLOOKUP(B3548,LifeList!$E$2:$G$2038,2)</f>
        <v>Crabier chevelu</v>
      </c>
      <c r="F3548" s="3" t="str">
        <f>VLOOKUP(B3548,LifeList!$E$2:$G$2038,3)</f>
        <v>Ardeola ralloides</v>
      </c>
      <c r="G3548" s="3" t="str">
        <f>VLOOKUP(B3548,LifeList!$E$2:$I$2038,4)</f>
        <v>Pelecaniformes</v>
      </c>
      <c r="H3548" s="3" t="str">
        <f>VLOOKUP(B3548,LifeList!$E$2:$I$2038,5)</f>
        <v>Ardeidae (Herons, Egrets, and Bitterns)</v>
      </c>
      <c r="I3548" s="3"/>
    </row>
    <row r="3549" spans="1:9" ht="10.5" customHeight="1">
      <c r="A3549" s="5" t="s">
        <v>4925</v>
      </c>
      <c r="B3549" s="3" t="s">
        <v>4926</v>
      </c>
      <c r="C3549" s="6">
        <f>VLOOKUP(B3549,LifeList!$E$2:$J$2038,6)</f>
        <v>20408</v>
      </c>
      <c r="D3549" s="3" t="str">
        <f>VLOOKUP(B3549,LifeList!$E$2:$G$2038,1)</f>
        <v>Square-tailed Drongo</v>
      </c>
      <c r="E3549" s="3" t="str">
        <f>VLOOKUP(B3549,LifeList!$E$2:$G$2038,2)</f>
        <v>Drongo de Ludwig</v>
      </c>
      <c r="F3549" s="3" t="str">
        <f>VLOOKUP(B3549,LifeList!$E$2:$G$2038,3)</f>
        <v>Dicrurus ludwigii</v>
      </c>
      <c r="G3549" s="3" t="str">
        <f>VLOOKUP(B3549,LifeList!$E$2:$I$2038,4)</f>
        <v>Passeriformes</v>
      </c>
      <c r="H3549" s="3" t="str">
        <f>VLOOKUP(B3549,LifeList!$E$2:$I$2038,5)</f>
        <v>Dicruridae (Drongos)</v>
      </c>
      <c r="I3549" s="3"/>
    </row>
    <row r="3550" spans="1:9" ht="10.5" customHeight="1">
      <c r="A3550" s="7" t="s">
        <v>4927</v>
      </c>
      <c r="B3550" s="9" t="s">
        <v>4928</v>
      </c>
      <c r="C3550" s="6">
        <f>VLOOKUP(B3550,LifeList!$E$2:$J$2038,6)</f>
        <v>7925</v>
      </c>
      <c r="D3550" s="3" t="str">
        <f>VLOOKUP(B3550,LifeList!$E$2:$G$2038,1)</f>
        <v>Square-tailed Kite</v>
      </c>
      <c r="E3550" s="3" t="str">
        <f>VLOOKUP(B3550,LifeList!$E$2:$G$2038,2)</f>
        <v>Bondrée à queue carrée</v>
      </c>
      <c r="F3550" s="3" t="str">
        <f>VLOOKUP(B3550,LifeList!$E$2:$G$2038,3)</f>
        <v>Lophoictinia isura</v>
      </c>
      <c r="G3550" s="3" t="str">
        <f>VLOOKUP(B3550,LifeList!$E$2:$I$2038,4)</f>
        <v>Accipitriformes</v>
      </c>
      <c r="H3550" s="3" t="str">
        <f>VLOOKUP(B3550,LifeList!$E$2:$I$2038,5)</f>
        <v>Accipitridae (Hawks, Eagles, and Kites)</v>
      </c>
      <c r="I3550" s="3"/>
    </row>
    <row r="3551" spans="1:9" ht="10.5" customHeight="1">
      <c r="A3551" s="7" t="s">
        <v>4929</v>
      </c>
      <c r="B3551" s="9" t="s">
        <v>4928</v>
      </c>
      <c r="C3551" s="6">
        <f>VLOOKUP(B3551,LifeList!$E$2:$J$2038,6)</f>
        <v>7925</v>
      </c>
      <c r="D3551" s="3" t="str">
        <f>VLOOKUP(B3551,LifeList!$E$2:$G$2038,1)</f>
        <v>Square-tailed Kite</v>
      </c>
      <c r="E3551" s="3" t="str">
        <f>VLOOKUP(B3551,LifeList!$E$2:$G$2038,2)</f>
        <v>Bondrée à queue carrée</v>
      </c>
      <c r="F3551" s="3" t="str">
        <f>VLOOKUP(B3551,LifeList!$E$2:$G$2038,3)</f>
        <v>Lophoictinia isura</v>
      </c>
      <c r="G3551" s="3" t="str">
        <f>VLOOKUP(B3551,LifeList!$E$2:$I$2038,4)</f>
        <v>Accipitriformes</v>
      </c>
      <c r="H3551" s="3" t="str">
        <f>VLOOKUP(B3551,LifeList!$E$2:$I$2038,5)</f>
        <v>Accipitridae (Hawks, Eagles, and Kites)</v>
      </c>
      <c r="I3551" s="3"/>
    </row>
    <row r="3552" spans="1:9" ht="10.5" customHeight="1">
      <c r="A3552" s="3" t="s">
        <v>4930</v>
      </c>
      <c r="B3552" s="3" t="s">
        <v>4931</v>
      </c>
      <c r="C3552" s="3">
        <f>VLOOKUP(B3552,LifeList!$E$2:$J$2038,6)</f>
        <v>5076</v>
      </c>
      <c r="D3552" s="3" t="str">
        <f>VLOOKUP(B3552,LifeList!$E$2:$G$2038,1)</f>
        <v>Steely-vented Hummingbird</v>
      </c>
      <c r="E3552" s="3" t="str">
        <f>VLOOKUP(B3552,LifeList!$E$2:$G$2038,2)</f>
        <v>Ariane de Sophie</v>
      </c>
      <c r="F3552" s="3" t="str">
        <f>VLOOKUP(B3552,LifeList!$E$2:$G$2038,3)</f>
        <v>Saucerottia saucerottei</v>
      </c>
      <c r="G3552" s="3" t="str">
        <f>VLOOKUP(B3552,LifeList!$E$2:$I$2038,4)</f>
        <v>Apodiformes</v>
      </c>
      <c r="H3552" s="3" t="str">
        <f>VLOOKUP(B3552,LifeList!$E$2:$I$2038,5)</f>
        <v>Trochilidae (Hummingbirds)</v>
      </c>
      <c r="I3552" s="3"/>
    </row>
    <row r="3553" spans="1:9" ht="10.5" customHeight="1">
      <c r="A3553" s="3" t="s">
        <v>4932</v>
      </c>
      <c r="B3553" s="3" t="s">
        <v>4933</v>
      </c>
      <c r="C3553" s="3">
        <f>VLOOKUP(B3553,LifeList!$E$2:$J$2038,6)</f>
        <v>21274</v>
      </c>
      <c r="D3553" s="3" t="str">
        <f>VLOOKUP(B3553,LifeList!$E$2:$G$2038,1)</f>
        <v>Steller's Jay</v>
      </c>
      <c r="E3553" s="3" t="str">
        <f>VLOOKUP(B3553,LifeList!$E$2:$G$2038,2)</f>
        <v>Geai de Steller</v>
      </c>
      <c r="F3553" s="3" t="str">
        <f>VLOOKUP(B3553,LifeList!$E$2:$G$2038,3)</f>
        <v>Cyanocitta stelleri</v>
      </c>
      <c r="G3553" s="3" t="str">
        <f>VLOOKUP(B3553,LifeList!$E$2:$I$2038,4)</f>
        <v>Passeriformes</v>
      </c>
      <c r="H3553" s="3" t="str">
        <f>VLOOKUP(B3553,LifeList!$E$2:$I$2038,5)</f>
        <v>Corvidae (Crows, Jays, and Magpies)</v>
      </c>
      <c r="I3553" s="3"/>
    </row>
    <row r="3554" spans="1:9" ht="10.5" customHeight="1">
      <c r="A3554" s="3" t="s">
        <v>4934</v>
      </c>
      <c r="B3554" s="3" t="s">
        <v>4935</v>
      </c>
      <c r="C3554" s="3">
        <f>VLOOKUP(B3554,LifeList!$E$2:$J$2038,6)</f>
        <v>15108</v>
      </c>
      <c r="D3554" s="3" t="str">
        <f>VLOOKUP(B3554,LifeList!$E$2:$G$2038,1)</f>
        <v>Stout-billed Cinclodes</v>
      </c>
      <c r="E3554" s="3" t="str">
        <f>VLOOKUP(B3554,LifeList!$E$2:$G$2038,2)</f>
        <v>Cinclode du paramo</v>
      </c>
      <c r="F3554" s="3" t="str">
        <f>VLOOKUP(B3554,LifeList!$E$2:$G$2038,3)</f>
        <v>Cinclodes excelsior</v>
      </c>
      <c r="G3554" s="3" t="str">
        <f>VLOOKUP(B3554,LifeList!$E$2:$I$2038,4)</f>
        <v>Passeriformes</v>
      </c>
      <c r="H3554" s="3" t="str">
        <f>VLOOKUP(B3554,LifeList!$E$2:$I$2038,5)</f>
        <v>Furnariidae (Ovenbirds and Woodcreepers)</v>
      </c>
      <c r="I3554" s="3"/>
    </row>
    <row r="3555" spans="1:9" ht="10.5" customHeight="1">
      <c r="A3555" s="3" t="s">
        <v>4936</v>
      </c>
      <c r="B3555" s="3" t="s">
        <v>4935</v>
      </c>
      <c r="C3555" s="3">
        <f>VLOOKUP(B3555,LifeList!$E$2:$J$2038,6)</f>
        <v>15108</v>
      </c>
      <c r="D3555" s="3" t="str">
        <f>VLOOKUP(B3555,LifeList!$E$2:$G$2038,1)</f>
        <v>Stout-billed Cinclodes</v>
      </c>
      <c r="E3555" s="3" t="str">
        <f>VLOOKUP(B3555,LifeList!$E$2:$G$2038,2)</f>
        <v>Cinclode du paramo</v>
      </c>
      <c r="F3555" s="3" t="str">
        <f>VLOOKUP(B3555,LifeList!$E$2:$G$2038,3)</f>
        <v>Cinclodes excelsior</v>
      </c>
      <c r="G3555" s="3" t="str">
        <f>VLOOKUP(B3555,LifeList!$E$2:$I$2038,4)</f>
        <v>Passeriformes</v>
      </c>
      <c r="H3555" s="3" t="str">
        <f>VLOOKUP(B3555,LifeList!$E$2:$I$2038,5)</f>
        <v>Furnariidae (Ovenbirds and Woodcreepers)</v>
      </c>
      <c r="I3555" s="3"/>
    </row>
    <row r="3556" spans="1:9" ht="10.5" customHeight="1">
      <c r="A3556" s="3" t="s">
        <v>4937</v>
      </c>
      <c r="B3556" s="3" t="s">
        <v>4938</v>
      </c>
      <c r="C3556" s="3">
        <f>VLOOKUP(B3556,LifeList!$E$2:$J$2038,6)</f>
        <v>14871</v>
      </c>
      <c r="D3556" s="3" t="str">
        <f>VLOOKUP(B3556,LifeList!$E$2:$G$2038,1)</f>
        <v>Straight-billed Woodcreeper</v>
      </c>
      <c r="E3556" s="3" t="str">
        <f>VLOOKUP(B3556,LifeList!$E$2:$G$2038,2)</f>
        <v>Grimpar talapiot</v>
      </c>
      <c r="F3556" s="3" t="str">
        <f>VLOOKUP(B3556,LifeList!$E$2:$G$2038,3)</f>
        <v>Dendroplex picus</v>
      </c>
      <c r="G3556" s="3" t="str">
        <f>VLOOKUP(B3556,LifeList!$E$2:$I$2038,4)</f>
        <v>Passeriformes</v>
      </c>
      <c r="H3556" s="3" t="str">
        <f>VLOOKUP(B3556,LifeList!$E$2:$I$2038,5)</f>
        <v>Furnariidae (Ovenbirds and Woodcreepers)</v>
      </c>
      <c r="I3556" s="3"/>
    </row>
    <row r="3557" spans="1:9" ht="10.5" customHeight="1">
      <c r="A3557" s="3" t="s">
        <v>4939</v>
      </c>
      <c r="B3557" s="3" t="s">
        <v>4940</v>
      </c>
      <c r="C3557" s="3">
        <f>VLOOKUP(B3557,LifeList!$E$2:$J$2038,6)</f>
        <v>33724</v>
      </c>
      <c r="D3557" s="3" t="str">
        <f>VLOOKUP(B3557,LifeList!$E$2:$G$2038,1)</f>
        <v>Streak-backed Oriole</v>
      </c>
      <c r="E3557" s="3" t="str">
        <f>VLOOKUP(B3557,LifeList!$E$2:$G$2038,2)</f>
        <v>Oriole à dos rayé</v>
      </c>
      <c r="F3557" s="3" t="str">
        <f>VLOOKUP(B3557,LifeList!$E$2:$G$2038,3)</f>
        <v>Icterus pustulatus</v>
      </c>
      <c r="G3557" s="3" t="str">
        <f>VLOOKUP(B3557,LifeList!$E$2:$I$2038,4)</f>
        <v>Passeriformes</v>
      </c>
      <c r="H3557" s="3" t="str">
        <f>VLOOKUP(B3557,LifeList!$E$2:$I$2038,5)</f>
        <v>Icteridae (Troupials and Allies)</v>
      </c>
      <c r="I3557" s="3"/>
    </row>
    <row r="3558" spans="1:9" ht="10.5" customHeight="1">
      <c r="A3558" s="3" t="s">
        <v>4941</v>
      </c>
      <c r="B3558" s="3" t="s">
        <v>4940</v>
      </c>
      <c r="C3558" s="3">
        <f>VLOOKUP(B3558,LifeList!$E$2:$J$2038,6)</f>
        <v>33724</v>
      </c>
      <c r="D3558" s="3" t="str">
        <f>VLOOKUP(B3558,LifeList!$E$2:$G$2038,1)</f>
        <v>Streak-backed Oriole</v>
      </c>
      <c r="E3558" s="3" t="str">
        <f>VLOOKUP(B3558,LifeList!$E$2:$G$2038,2)</f>
        <v>Oriole à dos rayé</v>
      </c>
      <c r="F3558" s="3" t="str">
        <f>VLOOKUP(B3558,LifeList!$E$2:$G$2038,3)</f>
        <v>Icterus pustulatus</v>
      </c>
      <c r="G3558" s="3" t="str">
        <f>VLOOKUP(B3558,LifeList!$E$2:$I$2038,4)</f>
        <v>Passeriformes</v>
      </c>
      <c r="H3558" s="3" t="str">
        <f>VLOOKUP(B3558,LifeList!$E$2:$I$2038,5)</f>
        <v>Icteridae (Troupials and Allies)</v>
      </c>
      <c r="I3558" s="3"/>
    </row>
    <row r="3559" spans="1:9" ht="10.5" customHeight="1">
      <c r="A3559" s="3" t="s">
        <v>4942</v>
      </c>
      <c r="B3559" s="3" t="s">
        <v>4943</v>
      </c>
      <c r="C3559" s="3">
        <f>VLOOKUP(B3559,LifeList!$E$2:$J$2038,6)</f>
        <v>15521</v>
      </c>
      <c r="D3559" s="3" t="str">
        <f>VLOOKUP(B3559,LifeList!$E$2:$G$2038,1)</f>
        <v>Streak-capped Spinetail</v>
      </c>
      <c r="E3559" s="3" t="str">
        <f>VLOOKUP(B3559,LifeList!$E$2:$G$2038,2)</f>
        <v>Synallaxe des broméliades</v>
      </c>
      <c r="F3559" s="3" t="str">
        <f>VLOOKUP(B3559,LifeList!$E$2:$G$2038,3)</f>
        <v>Cranioleuca hellmayri</v>
      </c>
      <c r="G3559" s="3" t="str">
        <f>VLOOKUP(B3559,LifeList!$E$2:$I$2038,4)</f>
        <v>Passeriformes</v>
      </c>
      <c r="H3559" s="3" t="str">
        <f>VLOOKUP(B3559,LifeList!$E$2:$I$2038,5)</f>
        <v>Furnariidae (Ovenbirds and Woodcreepers)</v>
      </c>
      <c r="I3559" s="3"/>
    </row>
    <row r="3560" spans="1:9" ht="10.5" customHeight="1">
      <c r="A3560" s="3" t="s">
        <v>4944</v>
      </c>
      <c r="B3560" s="3" t="s">
        <v>4943</v>
      </c>
      <c r="C3560" s="3">
        <f>VLOOKUP(B3560,LifeList!$E$2:$J$2038,6)</f>
        <v>15521</v>
      </c>
      <c r="D3560" s="3" t="str">
        <f>VLOOKUP(B3560,LifeList!$E$2:$G$2038,1)</f>
        <v>Streak-capped Spinetail</v>
      </c>
      <c r="E3560" s="3" t="str">
        <f>VLOOKUP(B3560,LifeList!$E$2:$G$2038,2)</f>
        <v>Synallaxe des broméliades</v>
      </c>
      <c r="F3560" s="3" t="str">
        <f>VLOOKUP(B3560,LifeList!$E$2:$G$2038,3)</f>
        <v>Cranioleuca hellmayri</v>
      </c>
      <c r="G3560" s="3" t="str">
        <f>VLOOKUP(B3560,LifeList!$E$2:$I$2038,4)</f>
        <v>Passeriformes</v>
      </c>
      <c r="H3560" s="3" t="str">
        <f>VLOOKUP(B3560,LifeList!$E$2:$I$2038,5)</f>
        <v>Furnariidae (Ovenbirds and Woodcreepers)</v>
      </c>
      <c r="I3560" s="3"/>
    </row>
    <row r="3561" spans="1:9" ht="10.5" customHeight="1">
      <c r="A3561" s="3" t="s">
        <v>4945</v>
      </c>
      <c r="B3561" s="3" t="s">
        <v>4946</v>
      </c>
      <c r="C3561" s="3">
        <f>VLOOKUP(B3561,LifeList!$E$2:$J$2038,6)</f>
        <v>14921</v>
      </c>
      <c r="D3561" s="3" t="str">
        <f>VLOOKUP(B3561,LifeList!$E$2:$G$2038,1)</f>
        <v>Streak-headed Woodcreeper</v>
      </c>
      <c r="E3561" s="3" t="str">
        <f>VLOOKUP(B3561,LifeList!$E$2:$G$2038,2)</f>
        <v>Grimpar de Souleyet</v>
      </c>
      <c r="F3561" s="3" t="str">
        <f>VLOOKUP(B3561,LifeList!$E$2:$G$2038,3)</f>
        <v>Lepidocolaptes souleyetii</v>
      </c>
      <c r="G3561" s="3" t="str">
        <f>VLOOKUP(B3561,LifeList!$E$2:$I$2038,4)</f>
        <v>Passeriformes</v>
      </c>
      <c r="H3561" s="3" t="str">
        <f>VLOOKUP(B3561,LifeList!$E$2:$I$2038,5)</f>
        <v>Furnariidae (Ovenbirds and Woodcreepers)</v>
      </c>
      <c r="I3561" s="3"/>
    </row>
    <row r="3562" spans="1:9" ht="10.5" customHeight="1">
      <c r="A3562" s="3" t="s">
        <v>4947</v>
      </c>
      <c r="B3562" s="3" t="s">
        <v>4946</v>
      </c>
      <c r="C3562" s="3">
        <f>VLOOKUP(B3562,LifeList!$E$2:$J$2038,6)</f>
        <v>14921</v>
      </c>
      <c r="D3562" s="3" t="str">
        <f>VLOOKUP(B3562,LifeList!$E$2:$G$2038,1)</f>
        <v>Streak-headed Woodcreeper</v>
      </c>
      <c r="E3562" s="3" t="str">
        <f>VLOOKUP(B3562,LifeList!$E$2:$G$2038,2)</f>
        <v>Grimpar de Souleyet</v>
      </c>
      <c r="F3562" s="3" t="str">
        <f>VLOOKUP(B3562,LifeList!$E$2:$G$2038,3)</f>
        <v>Lepidocolaptes souleyetii</v>
      </c>
      <c r="G3562" s="3" t="str">
        <f>VLOOKUP(B3562,LifeList!$E$2:$I$2038,4)</f>
        <v>Passeriformes</v>
      </c>
      <c r="H3562" s="3" t="str">
        <f>VLOOKUP(B3562,LifeList!$E$2:$I$2038,5)</f>
        <v>Furnariidae (Ovenbirds and Woodcreepers)</v>
      </c>
      <c r="I3562" s="3"/>
    </row>
    <row r="3563" spans="1:9" ht="10.5" customHeight="1">
      <c r="A3563" s="3" t="s">
        <v>4948</v>
      </c>
      <c r="B3563" s="3" t="s">
        <v>4949</v>
      </c>
      <c r="C3563" s="3">
        <f>VLOOKUP(B3563,LifeList!$E$2:$J$2038,6)</f>
        <v>17148</v>
      </c>
      <c r="D3563" s="3" t="str">
        <f>VLOOKUP(B3563,LifeList!$E$2:$G$2038,1)</f>
        <v>Streak-throated Bush-Tyrant</v>
      </c>
      <c r="E3563" s="3" t="str">
        <f>VLOOKUP(B3563,LifeList!$E$2:$G$2038,2)</f>
        <v>Moucherolle à gorge rayée</v>
      </c>
      <c r="F3563" s="3" t="str">
        <f>VLOOKUP(B3563,LifeList!$E$2:$G$2038,3)</f>
        <v>Myiotheretes striaticollis</v>
      </c>
      <c r="G3563" s="3" t="str">
        <f>VLOOKUP(B3563,LifeList!$E$2:$I$2038,4)</f>
        <v>Passeriformes</v>
      </c>
      <c r="H3563" s="3" t="str">
        <f>VLOOKUP(B3563,LifeList!$E$2:$I$2038,5)</f>
        <v>Tyrannidae (Tyrant Flycatchers)</v>
      </c>
      <c r="I3563" s="3"/>
    </row>
    <row r="3564" spans="1:9" ht="10.5" customHeight="1">
      <c r="A3564" s="3" t="s">
        <v>4950</v>
      </c>
      <c r="B3564" s="3" t="s">
        <v>4951</v>
      </c>
      <c r="C3564" s="3">
        <f>VLOOKUP(B3564,LifeList!$E$2:$J$2038,6)</f>
        <v>17429</v>
      </c>
      <c r="D3564" s="3" t="str">
        <f>VLOOKUP(B3564,LifeList!$E$2:$G$2038,1)</f>
        <v>Streaked Flycatcher</v>
      </c>
      <c r="E3564" s="3" t="str">
        <f>VLOOKUP(B3564,LifeList!$E$2:$G$2038,2)</f>
        <v>Tyran audacieux</v>
      </c>
      <c r="F3564" s="3" t="str">
        <f>VLOOKUP(B3564,LifeList!$E$2:$G$2038,3)</f>
        <v>Myiodynastes maculatus</v>
      </c>
      <c r="G3564" s="3" t="str">
        <f>VLOOKUP(B3564,LifeList!$E$2:$I$2038,4)</f>
        <v>Passeriformes</v>
      </c>
      <c r="H3564" s="3" t="str">
        <f>VLOOKUP(B3564,LifeList!$E$2:$I$2038,5)</f>
        <v>Tyrannidae (Tyrant Flycatchers)</v>
      </c>
      <c r="I3564" s="3"/>
    </row>
    <row r="3565" spans="1:9" ht="10.5" customHeight="1">
      <c r="A3565" s="3" t="s">
        <v>4952</v>
      </c>
      <c r="B3565" s="3" t="s">
        <v>4951</v>
      </c>
      <c r="C3565" s="3">
        <f>VLOOKUP(B3565,LifeList!$E$2:$J$2038,6)</f>
        <v>17429</v>
      </c>
      <c r="D3565" s="3" t="str">
        <f>VLOOKUP(B3565,LifeList!$E$2:$G$2038,1)</f>
        <v>Streaked Flycatcher</v>
      </c>
      <c r="E3565" s="3" t="str">
        <f>VLOOKUP(B3565,LifeList!$E$2:$G$2038,2)</f>
        <v>Tyran audacieux</v>
      </c>
      <c r="F3565" s="3" t="str">
        <f>VLOOKUP(B3565,LifeList!$E$2:$G$2038,3)</f>
        <v>Myiodynastes maculatus</v>
      </c>
      <c r="G3565" s="3" t="str">
        <f>VLOOKUP(B3565,LifeList!$E$2:$I$2038,4)</f>
        <v>Passeriformes</v>
      </c>
      <c r="H3565" s="3" t="str">
        <f>VLOOKUP(B3565,LifeList!$E$2:$I$2038,5)</f>
        <v>Tyrannidae (Tyrant Flycatchers)</v>
      </c>
      <c r="I3565" s="3"/>
    </row>
    <row r="3566" spans="1:9" ht="10.5" customHeight="1">
      <c r="A3566" s="3" t="s">
        <v>4953</v>
      </c>
      <c r="B3566" s="3" t="s">
        <v>4951</v>
      </c>
      <c r="C3566" s="3">
        <f>VLOOKUP(B3566,LifeList!$E$2:$J$2038,6)</f>
        <v>17429</v>
      </c>
      <c r="D3566" s="3" t="str">
        <f>VLOOKUP(B3566,LifeList!$E$2:$G$2038,1)</f>
        <v>Streaked Flycatcher</v>
      </c>
      <c r="E3566" s="3" t="str">
        <f>VLOOKUP(B3566,LifeList!$E$2:$G$2038,2)</f>
        <v>Tyran audacieux</v>
      </c>
      <c r="F3566" s="3" t="str">
        <f>VLOOKUP(B3566,LifeList!$E$2:$G$2038,3)</f>
        <v>Myiodynastes maculatus</v>
      </c>
      <c r="G3566" s="3" t="str">
        <f>VLOOKUP(B3566,LifeList!$E$2:$I$2038,4)</f>
        <v>Passeriformes</v>
      </c>
      <c r="H3566" s="3" t="str">
        <f>VLOOKUP(B3566,LifeList!$E$2:$I$2038,5)</f>
        <v>Tyrannidae (Tyrant Flycatchers)</v>
      </c>
      <c r="I3566" s="3"/>
    </row>
    <row r="3567" spans="1:9" ht="10.5" customHeight="1">
      <c r="A3567" s="3" t="s">
        <v>4954</v>
      </c>
      <c r="B3567" s="3" t="s">
        <v>4951</v>
      </c>
      <c r="C3567" s="3">
        <f>VLOOKUP(B3567,LifeList!$E$2:$J$2038,6)</f>
        <v>17429</v>
      </c>
      <c r="D3567" s="3" t="str">
        <f>VLOOKUP(B3567,LifeList!$E$2:$G$2038,1)</f>
        <v>Streaked Flycatcher</v>
      </c>
      <c r="E3567" s="3" t="str">
        <f>VLOOKUP(B3567,LifeList!$E$2:$G$2038,2)</f>
        <v>Tyran audacieux</v>
      </c>
      <c r="F3567" s="3" t="str">
        <f>VLOOKUP(B3567,LifeList!$E$2:$G$2038,3)</f>
        <v>Myiodynastes maculatus</v>
      </c>
      <c r="G3567" s="3" t="str">
        <f>VLOOKUP(B3567,LifeList!$E$2:$I$2038,4)</f>
        <v>Passeriformes</v>
      </c>
      <c r="H3567" s="3" t="str">
        <f>VLOOKUP(B3567,LifeList!$E$2:$I$2038,5)</f>
        <v>Tyrannidae (Tyrant Flycatchers)</v>
      </c>
      <c r="I3567" s="3"/>
    </row>
    <row r="3568" spans="1:9" ht="10.5" customHeight="1">
      <c r="A3568" s="3" t="s">
        <v>4955</v>
      </c>
      <c r="B3568" s="3" t="s">
        <v>4951</v>
      </c>
      <c r="C3568" s="3">
        <f>VLOOKUP(B3568,LifeList!$E$2:$J$2038,6)</f>
        <v>17429</v>
      </c>
      <c r="D3568" s="3" t="str">
        <f>VLOOKUP(B3568,LifeList!$E$2:$G$2038,1)</f>
        <v>Streaked Flycatcher</v>
      </c>
      <c r="E3568" s="3" t="str">
        <f>VLOOKUP(B3568,LifeList!$E$2:$G$2038,2)</f>
        <v>Tyran audacieux</v>
      </c>
      <c r="F3568" s="3" t="str">
        <f>VLOOKUP(B3568,LifeList!$E$2:$G$2038,3)</f>
        <v>Myiodynastes maculatus</v>
      </c>
      <c r="G3568" s="3" t="str">
        <f>VLOOKUP(B3568,LifeList!$E$2:$I$2038,4)</f>
        <v>Passeriformes</v>
      </c>
      <c r="H3568" s="3" t="str">
        <f>VLOOKUP(B3568,LifeList!$E$2:$I$2038,5)</f>
        <v>Tyrannidae (Tyrant Flycatchers)</v>
      </c>
      <c r="I3568" s="3"/>
    </row>
    <row r="3569" spans="1:9" ht="10.5" customHeight="1">
      <c r="A3569" s="3" t="s">
        <v>4956</v>
      </c>
      <c r="B3569" s="3" t="s">
        <v>4951</v>
      </c>
      <c r="C3569" s="3">
        <f>VLOOKUP(B3569,LifeList!$E$2:$J$2038,6)</f>
        <v>17429</v>
      </c>
      <c r="D3569" s="3" t="str">
        <f>VLOOKUP(B3569,LifeList!$E$2:$G$2038,1)</f>
        <v>Streaked Flycatcher</v>
      </c>
      <c r="E3569" s="3" t="str">
        <f>VLOOKUP(B3569,LifeList!$E$2:$G$2038,2)</f>
        <v>Tyran audacieux</v>
      </c>
      <c r="F3569" s="3" t="str">
        <f>VLOOKUP(B3569,LifeList!$E$2:$G$2038,3)</f>
        <v>Myiodynastes maculatus</v>
      </c>
      <c r="G3569" s="3" t="str">
        <f>VLOOKUP(B3569,LifeList!$E$2:$I$2038,4)</f>
        <v>Passeriformes</v>
      </c>
      <c r="H3569" s="3" t="str">
        <f>VLOOKUP(B3569,LifeList!$E$2:$I$2038,5)</f>
        <v>Tyrannidae (Tyrant Flycatchers)</v>
      </c>
      <c r="I3569" s="3"/>
    </row>
    <row r="3570" spans="1:9" ht="10.5" customHeight="1">
      <c r="A3570" s="3" t="s">
        <v>4957</v>
      </c>
      <c r="B3570" s="3" t="s">
        <v>4958</v>
      </c>
      <c r="C3570" s="3">
        <f>VLOOKUP(B3570,LifeList!$E$2:$J$2038,6)</f>
        <v>35819</v>
      </c>
      <c r="D3570" s="3" t="str">
        <f>VLOOKUP(B3570,LifeList!$E$2:$G$2038,1)</f>
        <v>Streaked Saltator</v>
      </c>
      <c r="E3570" s="3" t="str">
        <f>VLOOKUP(B3570,LifeList!$E$2:$G$2038,2)</f>
        <v>Saltator strié</v>
      </c>
      <c r="F3570" s="3" t="str">
        <f>VLOOKUP(B3570,LifeList!$E$2:$G$2038,3)</f>
        <v>Saltator striatipectus</v>
      </c>
      <c r="G3570" s="3" t="str">
        <f>VLOOKUP(B3570,LifeList!$E$2:$I$2038,4)</f>
        <v>Passeriformes</v>
      </c>
      <c r="H3570" s="3" t="str">
        <f>VLOOKUP(B3570,LifeList!$E$2:$I$2038,5)</f>
        <v>Thraupidae (Tanagers and Allies)</v>
      </c>
      <c r="I3570" s="3"/>
    </row>
    <row r="3571" spans="1:9" ht="10.5" customHeight="1">
      <c r="A3571" s="3" t="s">
        <v>4959</v>
      </c>
      <c r="B3571" s="3" t="s">
        <v>4960</v>
      </c>
      <c r="C3571" s="3">
        <f>VLOOKUP(B3571,LifeList!$E$2:$J$2038,6)</f>
        <v>32449</v>
      </c>
      <c r="D3571" s="3" t="str">
        <f>VLOOKUP(B3571,LifeList!$E$2:$G$2038,1)</f>
        <v>Streaky-headed Seedeater</v>
      </c>
      <c r="E3571" s="3" t="str">
        <f>VLOOKUP(B3571,LifeList!$E$2:$G$2038,2)</f>
        <v>Serin gris</v>
      </c>
      <c r="F3571" s="3" t="str">
        <f>VLOOKUP(B3571,LifeList!$E$2:$G$2038,3)</f>
        <v>Crithagra gularis</v>
      </c>
      <c r="G3571" s="3" t="str">
        <f>VLOOKUP(B3571,LifeList!$E$2:$I$2038,4)</f>
        <v>Passeriformes</v>
      </c>
      <c r="H3571" s="3" t="str">
        <f>VLOOKUP(B3571,LifeList!$E$2:$I$2038,5)</f>
        <v>Fringillidae (Finches, Euphonias, and Allies)</v>
      </c>
      <c r="I3571" s="3"/>
    </row>
    <row r="3572" spans="1:9" ht="10.5" customHeight="1">
      <c r="A3572" s="5" t="s">
        <v>4961</v>
      </c>
      <c r="B3572" s="3" t="s">
        <v>4962</v>
      </c>
      <c r="C3572" s="3">
        <f>VLOOKUP(B3572,LifeList!$E$2:$J$2038,6)</f>
        <v>18388</v>
      </c>
      <c r="D3572" s="3" t="str">
        <f>VLOOKUP(B3572,LifeList!$E$2:$G$2038,1)</f>
        <v>Striated Thornbill</v>
      </c>
      <c r="E3572" s="3" t="str">
        <f>VLOOKUP(B3572,LifeList!$E$2:$G$2038,2)</f>
        <v>Acanthize ridé</v>
      </c>
      <c r="F3572" s="3" t="str">
        <f>VLOOKUP(B3572,LifeList!$E$2:$G$2038,3)</f>
        <v>Acanthiza lineata</v>
      </c>
      <c r="G3572" s="3" t="str">
        <f>VLOOKUP(B3572,LifeList!$E$2:$I$2038,4)</f>
        <v>Passeriformes</v>
      </c>
      <c r="H3572" s="3" t="str">
        <f>VLOOKUP(B3572,LifeList!$E$2:$I$2038,5)</f>
        <v>Acanthizidae (Thornbills and Allies)</v>
      </c>
      <c r="I3572" s="3"/>
    </row>
    <row r="3573" spans="1:9" ht="10.5" customHeight="1">
      <c r="A3573" s="3" t="s">
        <v>4963</v>
      </c>
      <c r="B3573" s="3" t="s">
        <v>4964</v>
      </c>
      <c r="C3573" s="3">
        <f>VLOOKUP(B3573,LifeList!$E$2:$J$2038,6)</f>
        <v>18266</v>
      </c>
      <c r="D3573" s="3" t="str">
        <f>VLOOKUP(B3573,LifeList!$E$2:$G$2038,1)</f>
        <v>Striated Fieldwren</v>
      </c>
      <c r="E3573" s="3" t="str">
        <f>VLOOKUP(B3573,LifeList!$E$2:$G$2038,2)</f>
        <v>Séricorne strié</v>
      </c>
      <c r="F3573" s="3" t="str">
        <f>VLOOKUP(B3573,LifeList!$E$2:$G$2038,3)</f>
        <v>Calamanthus fuliginosus</v>
      </c>
      <c r="G3573" s="3" t="str">
        <f>VLOOKUP(B3573,LifeList!$E$2:$I$2038,4)</f>
        <v>Passeriformes</v>
      </c>
      <c r="H3573" s="3" t="str">
        <f>VLOOKUP(B3573,LifeList!$E$2:$I$2038,5)</f>
        <v>Acanthizidae (Thornbills and Allies)</v>
      </c>
      <c r="I3573" s="3"/>
    </row>
    <row r="3574" spans="1:9" ht="10.5" customHeight="1">
      <c r="A3574" s="3" t="s">
        <v>4965</v>
      </c>
      <c r="B3574" s="3" t="s">
        <v>4964</v>
      </c>
      <c r="C3574" s="3">
        <f>VLOOKUP(B3574,LifeList!$E$2:$J$2038,6)</f>
        <v>18266</v>
      </c>
      <c r="D3574" s="3" t="str">
        <f>VLOOKUP(B3574,LifeList!$E$2:$G$2038,1)</f>
        <v>Striated Fieldwren</v>
      </c>
      <c r="E3574" s="3" t="str">
        <f>VLOOKUP(B3574,LifeList!$E$2:$G$2038,2)</f>
        <v>Séricorne strié</v>
      </c>
      <c r="F3574" s="3" t="str">
        <f>VLOOKUP(B3574,LifeList!$E$2:$G$2038,3)</f>
        <v>Calamanthus fuliginosus</v>
      </c>
      <c r="G3574" s="3" t="str">
        <f>VLOOKUP(B3574,LifeList!$E$2:$I$2038,4)</f>
        <v>Passeriformes</v>
      </c>
      <c r="H3574" s="3" t="str">
        <f>VLOOKUP(B3574,LifeList!$E$2:$I$2038,5)</f>
        <v>Acanthizidae (Thornbills and Allies)</v>
      </c>
      <c r="I3574" s="3"/>
    </row>
    <row r="3575" spans="1:9" ht="10.5" customHeight="1">
      <c r="A3575" s="7" t="s">
        <v>4966</v>
      </c>
      <c r="B3575" s="9" t="s">
        <v>4967</v>
      </c>
      <c r="C3575" s="6">
        <f>VLOOKUP(B3575,LifeList!$E$2:$J$2038,6)</f>
        <v>17607</v>
      </c>
      <c r="D3575" s="3" t="str">
        <f>VLOOKUP(B3575,LifeList!$E$2:$G$2038,1)</f>
        <v>Striated Grasswren</v>
      </c>
      <c r="E3575" s="3" t="str">
        <f>VLOOKUP(B3575,LifeList!$E$2:$G$2038,2)</f>
        <v>Amytis strié</v>
      </c>
      <c r="F3575" s="3" t="str">
        <f>VLOOKUP(B3575,LifeList!$E$2:$G$2038,3)</f>
        <v>Amytornis striatus</v>
      </c>
      <c r="G3575" s="3" t="str">
        <f>VLOOKUP(B3575,LifeList!$E$2:$I$2038,4)</f>
        <v>Passeriformes</v>
      </c>
      <c r="H3575" s="3" t="str">
        <f>VLOOKUP(B3575,LifeList!$E$2:$I$2038,5)</f>
        <v>Maluridae (Fairywrens)</v>
      </c>
      <c r="I3575" s="3"/>
    </row>
    <row r="3576" spans="1:9" ht="10.5" customHeight="1">
      <c r="A3576" s="3" t="s">
        <v>4968</v>
      </c>
      <c r="B3576" s="3" t="s">
        <v>4969</v>
      </c>
      <c r="C3576" s="3">
        <f>VLOOKUP(B3576,LifeList!$E$2:$J$2038,6)</f>
        <v>7669</v>
      </c>
      <c r="D3576" s="3" t="str">
        <f>VLOOKUP(B3576,LifeList!$E$2:$G$2038,1)</f>
        <v>Striated Heron</v>
      </c>
      <c r="E3576" s="3" t="str">
        <f>VLOOKUP(B3576,LifeList!$E$2:$G$2038,2)</f>
        <v>Héron strié</v>
      </c>
      <c r="F3576" s="3" t="str">
        <f>VLOOKUP(B3576,LifeList!$E$2:$G$2038,3)</f>
        <v>Butorides striata</v>
      </c>
      <c r="G3576" s="3" t="str">
        <f>VLOOKUP(B3576,LifeList!$E$2:$I$2038,4)</f>
        <v>Pelecaniformes</v>
      </c>
      <c r="H3576" s="3" t="str">
        <f>VLOOKUP(B3576,LifeList!$E$2:$I$2038,5)</f>
        <v>Ardeidae (Herons, Egrets, and Bitterns)</v>
      </c>
      <c r="I3576" s="3"/>
    </row>
    <row r="3577" spans="1:9" ht="10.5" customHeight="1">
      <c r="A3577" s="3" t="s">
        <v>4970</v>
      </c>
      <c r="B3577" s="3" t="s">
        <v>4969</v>
      </c>
      <c r="C3577" s="3">
        <f>VLOOKUP(B3577,LifeList!$E$2:$J$2038,6)</f>
        <v>7669</v>
      </c>
      <c r="D3577" s="3" t="str">
        <f>VLOOKUP(B3577,LifeList!$E$2:$G$2038,1)</f>
        <v>Striated Heron</v>
      </c>
      <c r="E3577" s="3" t="str">
        <f>VLOOKUP(B3577,LifeList!$E$2:$G$2038,2)</f>
        <v>Héron strié</v>
      </c>
      <c r="F3577" s="3" t="str">
        <f>VLOOKUP(B3577,LifeList!$E$2:$G$2038,3)</f>
        <v>Butorides striata</v>
      </c>
      <c r="G3577" s="3" t="str">
        <f>VLOOKUP(B3577,LifeList!$E$2:$I$2038,4)</f>
        <v>Pelecaniformes</v>
      </c>
      <c r="H3577" s="3" t="str">
        <f>VLOOKUP(B3577,LifeList!$E$2:$I$2038,5)</f>
        <v>Ardeidae (Herons, Egrets, and Bitterns)</v>
      </c>
      <c r="I3577" s="3"/>
    </row>
    <row r="3578" spans="1:9" ht="10.5" customHeight="1">
      <c r="A3578" s="3" t="s">
        <v>4971</v>
      </c>
      <c r="B3578" s="3" t="s">
        <v>4969</v>
      </c>
      <c r="C3578" s="3">
        <f>VLOOKUP(B3578,LifeList!$E$2:$J$2038,6)</f>
        <v>7669</v>
      </c>
      <c r="D3578" s="3" t="str">
        <f>VLOOKUP(B3578,LifeList!$E$2:$G$2038,1)</f>
        <v>Striated Heron</v>
      </c>
      <c r="E3578" s="3" t="str">
        <f>VLOOKUP(B3578,LifeList!$E$2:$G$2038,2)</f>
        <v>Héron strié</v>
      </c>
      <c r="F3578" s="3" t="str">
        <f>VLOOKUP(B3578,LifeList!$E$2:$G$2038,3)</f>
        <v>Butorides striata</v>
      </c>
      <c r="G3578" s="3" t="str">
        <f>VLOOKUP(B3578,LifeList!$E$2:$I$2038,4)</f>
        <v>Pelecaniformes</v>
      </c>
      <c r="H3578" s="3" t="str">
        <f>VLOOKUP(B3578,LifeList!$E$2:$I$2038,5)</f>
        <v>Ardeidae (Herons, Egrets, and Bitterns)</v>
      </c>
      <c r="I3578" s="3"/>
    </row>
    <row r="3579" spans="1:9" ht="10.5" customHeight="1">
      <c r="A3579" s="7" t="s">
        <v>4972</v>
      </c>
      <c r="B3579" s="9" t="s">
        <v>4973</v>
      </c>
      <c r="C3579" s="6">
        <f>VLOOKUP(B3579,LifeList!$E$2:$J$2038,6)</f>
        <v>18235</v>
      </c>
      <c r="D3579" s="3" t="str">
        <f>VLOOKUP(B3579,LifeList!$E$2:$G$2038,1)</f>
        <v>Striated Pardalote</v>
      </c>
      <c r="E3579" s="3" t="str">
        <f>VLOOKUP(B3579,LifeList!$E$2:$G$2038,2)</f>
        <v>Pardalote à point jaune</v>
      </c>
      <c r="F3579" s="3" t="str">
        <f>VLOOKUP(B3579,LifeList!$E$2:$G$2038,3)</f>
        <v>Pardalotus striatus</v>
      </c>
      <c r="G3579" s="3" t="str">
        <f>VLOOKUP(B3579,LifeList!$E$2:$I$2038,4)</f>
        <v>Passeriformes</v>
      </c>
      <c r="H3579" s="3" t="str">
        <f>VLOOKUP(B3579,LifeList!$E$2:$I$2038,5)</f>
        <v>Pardalotidae (Pardalotes)</v>
      </c>
      <c r="I3579" s="3"/>
    </row>
    <row r="3580" spans="1:9" ht="10.5" customHeight="1">
      <c r="A3580" s="7" t="s">
        <v>4974</v>
      </c>
      <c r="B3580" s="9" t="s">
        <v>4973</v>
      </c>
      <c r="C3580" s="6">
        <f>VLOOKUP(B3580,LifeList!$E$2:$J$2038,6)</f>
        <v>18235</v>
      </c>
      <c r="D3580" s="3" t="str">
        <f>VLOOKUP(B3580,LifeList!$E$2:$G$2038,1)</f>
        <v>Striated Pardalote</v>
      </c>
      <c r="E3580" s="3" t="str">
        <f>VLOOKUP(B3580,LifeList!$E$2:$G$2038,2)</f>
        <v>Pardalote à point jaune</v>
      </c>
      <c r="F3580" s="3" t="str">
        <f>VLOOKUP(B3580,LifeList!$E$2:$G$2038,3)</f>
        <v>Pardalotus striatus</v>
      </c>
      <c r="G3580" s="3" t="str">
        <f>VLOOKUP(B3580,LifeList!$E$2:$I$2038,4)</f>
        <v>Passeriformes</v>
      </c>
      <c r="H3580" s="3" t="str">
        <f>VLOOKUP(B3580,LifeList!$E$2:$I$2038,5)</f>
        <v>Pardalotidae (Pardalotes)</v>
      </c>
      <c r="I3580" s="3"/>
    </row>
    <row r="3581" spans="1:9" ht="10.5" customHeight="1">
      <c r="A3581" s="3" t="s">
        <v>4975</v>
      </c>
      <c r="B3581" s="3" t="s">
        <v>4976</v>
      </c>
      <c r="C3581" s="3">
        <f>VLOOKUP(B3581,LifeList!$E$2:$J$2038,6)</f>
        <v>27422</v>
      </c>
      <c r="D3581" s="3" t="str">
        <f>VLOOKUP(B3581,LifeList!$E$2:$G$2038,1)</f>
        <v>Stripe-backed Wren</v>
      </c>
      <c r="E3581" s="3" t="str">
        <f>VLOOKUP(B3581,LifeList!$E$2:$G$2038,2)</f>
        <v>Troglodyte rayé</v>
      </c>
      <c r="F3581" s="3" t="str">
        <f>VLOOKUP(B3581,LifeList!$E$2:$G$2038,3)</f>
        <v>Campylorhynchus nuchalis</v>
      </c>
      <c r="G3581" s="3" t="str">
        <f>VLOOKUP(B3581,LifeList!$E$2:$I$2038,4)</f>
        <v>Passeriformes</v>
      </c>
      <c r="H3581" s="3" t="str">
        <f>VLOOKUP(B3581,LifeList!$E$2:$I$2038,5)</f>
        <v>Troglodytidae (Wrens)</v>
      </c>
      <c r="I3581" s="3"/>
    </row>
    <row r="3582" spans="1:9" ht="10.5" customHeight="1">
      <c r="A3582" s="3" t="s">
        <v>4977</v>
      </c>
      <c r="B3582" s="3" t="s">
        <v>4976</v>
      </c>
      <c r="C3582" s="3">
        <f>VLOOKUP(B3582,LifeList!$E$2:$J$2038,6)</f>
        <v>27422</v>
      </c>
      <c r="D3582" s="3" t="str">
        <f>VLOOKUP(B3582,LifeList!$E$2:$G$2038,1)</f>
        <v>Stripe-backed Wren</v>
      </c>
      <c r="E3582" s="3" t="str">
        <f>VLOOKUP(B3582,LifeList!$E$2:$G$2038,2)</f>
        <v>Troglodyte rayé</v>
      </c>
      <c r="F3582" s="3" t="str">
        <f>VLOOKUP(B3582,LifeList!$E$2:$G$2038,3)</f>
        <v>Campylorhynchus nuchalis</v>
      </c>
      <c r="G3582" s="3" t="str">
        <f>VLOOKUP(B3582,LifeList!$E$2:$I$2038,4)</f>
        <v>Passeriformes</v>
      </c>
      <c r="H3582" s="3" t="str">
        <f>VLOOKUP(B3582,LifeList!$E$2:$I$2038,5)</f>
        <v>Troglodytidae (Wrens)</v>
      </c>
      <c r="I3582" s="3"/>
    </row>
    <row r="3583" spans="1:9" ht="10.5" customHeight="1">
      <c r="A3583" s="3" t="s">
        <v>4978</v>
      </c>
      <c r="B3583" s="3" t="s">
        <v>4976</v>
      </c>
      <c r="C3583" s="3">
        <f>VLOOKUP(B3583,LifeList!$E$2:$J$2038,6)</f>
        <v>27422</v>
      </c>
      <c r="D3583" s="3" t="str">
        <f>VLOOKUP(B3583,LifeList!$E$2:$G$2038,1)</f>
        <v>Stripe-backed Wren</v>
      </c>
      <c r="E3583" s="3" t="str">
        <f>VLOOKUP(B3583,LifeList!$E$2:$G$2038,2)</f>
        <v>Troglodyte rayé</v>
      </c>
      <c r="F3583" s="3" t="str">
        <f>VLOOKUP(B3583,LifeList!$E$2:$G$2038,3)</f>
        <v>Campylorhynchus nuchalis</v>
      </c>
      <c r="G3583" s="3" t="str">
        <f>VLOOKUP(B3583,LifeList!$E$2:$I$2038,4)</f>
        <v>Passeriformes</v>
      </c>
      <c r="H3583" s="3" t="str">
        <f>VLOOKUP(B3583,LifeList!$E$2:$I$2038,5)</f>
        <v>Troglodytidae (Wrens)</v>
      </c>
      <c r="I3583" s="3"/>
    </row>
    <row r="3584" spans="1:9" ht="10.5" customHeight="1">
      <c r="A3584" s="3" t="s">
        <v>4979</v>
      </c>
      <c r="B3584" s="3" t="s">
        <v>4980</v>
      </c>
      <c r="C3584" s="3">
        <f>VLOOKUP(B3584,LifeList!$E$2:$J$2038,6)</f>
        <v>27531</v>
      </c>
      <c r="D3584" s="3" t="str">
        <f>VLOOKUP(B3584,LifeList!$E$2:$G$2038,1)</f>
        <v>Stripe-breasted Wren</v>
      </c>
      <c r="E3584" s="3" t="str">
        <f>VLOOKUP(B3584,LifeList!$E$2:$G$2038,2)</f>
        <v>Troglodyte flammé</v>
      </c>
      <c r="F3584" s="3" t="str">
        <f>VLOOKUP(B3584,LifeList!$E$2:$G$2038,3)</f>
        <v>Cantorchilus thoracicus</v>
      </c>
      <c r="G3584" s="3" t="str">
        <f>VLOOKUP(B3584,LifeList!$E$2:$I$2038,4)</f>
        <v>Passeriformes</v>
      </c>
      <c r="H3584" s="3" t="str">
        <f>VLOOKUP(B3584,LifeList!$E$2:$I$2038,5)</f>
        <v>Troglodytidae (Wrens)</v>
      </c>
      <c r="I3584" s="3"/>
    </row>
    <row r="3585" spans="1:9" ht="10.5" customHeight="1">
      <c r="A3585" s="3" t="s">
        <v>4981</v>
      </c>
      <c r="B3585" s="3" t="s">
        <v>4980</v>
      </c>
      <c r="C3585" s="3">
        <f>VLOOKUP(B3585,LifeList!$E$2:$J$2038,6)</f>
        <v>27531</v>
      </c>
      <c r="D3585" s="3" t="str">
        <f>VLOOKUP(B3585,LifeList!$E$2:$G$2038,1)</f>
        <v>Stripe-breasted Wren</v>
      </c>
      <c r="E3585" s="3" t="str">
        <f>VLOOKUP(B3585,LifeList!$E$2:$G$2038,2)</f>
        <v>Troglodyte flammé</v>
      </c>
      <c r="F3585" s="3" t="str">
        <f>VLOOKUP(B3585,LifeList!$E$2:$G$2038,3)</f>
        <v>Cantorchilus thoracicus</v>
      </c>
      <c r="G3585" s="3" t="str">
        <f>VLOOKUP(B3585,LifeList!$E$2:$I$2038,4)</f>
        <v>Passeriformes</v>
      </c>
      <c r="H3585" s="3" t="str">
        <f>VLOOKUP(B3585,LifeList!$E$2:$I$2038,5)</f>
        <v>Troglodytidae (Wrens)</v>
      </c>
      <c r="I3585" s="3"/>
    </row>
    <row r="3586" spans="1:9" ht="10.5" customHeight="1">
      <c r="A3586" s="3" t="s">
        <v>4982</v>
      </c>
      <c r="B3586" s="3" t="s">
        <v>4980</v>
      </c>
      <c r="C3586" s="3">
        <f>VLOOKUP(B3586,LifeList!$E$2:$J$2038,6)</f>
        <v>27531</v>
      </c>
      <c r="D3586" s="3" t="str">
        <f>VLOOKUP(B3586,LifeList!$E$2:$G$2038,1)</f>
        <v>Stripe-breasted Wren</v>
      </c>
      <c r="E3586" s="3" t="str">
        <f>VLOOKUP(B3586,LifeList!$E$2:$G$2038,2)</f>
        <v>Troglodyte flammé</v>
      </c>
      <c r="F3586" s="3" t="str">
        <f>VLOOKUP(B3586,LifeList!$E$2:$G$2038,3)</f>
        <v>Cantorchilus thoracicus</v>
      </c>
      <c r="G3586" s="3" t="str">
        <f>VLOOKUP(B3586,LifeList!$E$2:$I$2038,4)</f>
        <v>Passeriformes</v>
      </c>
      <c r="H3586" s="3" t="str">
        <f>VLOOKUP(B3586,LifeList!$E$2:$I$2038,5)</f>
        <v>Troglodytidae (Wrens)</v>
      </c>
      <c r="I3586" s="3"/>
    </row>
    <row r="3587" spans="1:9" ht="10.5" customHeight="1">
      <c r="A3587" s="3" t="s">
        <v>4983</v>
      </c>
      <c r="B3587" s="3" t="s">
        <v>4980</v>
      </c>
      <c r="C3587" s="3">
        <f>VLOOKUP(B3587,LifeList!$E$2:$J$2038,6)</f>
        <v>27531</v>
      </c>
      <c r="D3587" s="3" t="str">
        <f>VLOOKUP(B3587,LifeList!$E$2:$G$2038,1)</f>
        <v>Stripe-breasted Wren</v>
      </c>
      <c r="E3587" s="3" t="str">
        <f>VLOOKUP(B3587,LifeList!$E$2:$G$2038,2)</f>
        <v>Troglodyte flammé</v>
      </c>
      <c r="F3587" s="3" t="str">
        <f>VLOOKUP(B3587,LifeList!$E$2:$G$2038,3)</f>
        <v>Cantorchilus thoracicus</v>
      </c>
      <c r="G3587" s="3" t="str">
        <f>VLOOKUP(B3587,LifeList!$E$2:$I$2038,4)</f>
        <v>Passeriformes</v>
      </c>
      <c r="H3587" s="3" t="str">
        <f>VLOOKUP(B3587,LifeList!$E$2:$I$2038,5)</f>
        <v>Troglodytidae (Wrens)</v>
      </c>
      <c r="I3587" s="3"/>
    </row>
    <row r="3588" spans="1:9" ht="10.5" customHeight="1">
      <c r="A3588" s="3" t="s">
        <v>4984</v>
      </c>
      <c r="B3588" s="3" t="s">
        <v>4985</v>
      </c>
      <c r="C3588" s="3">
        <f>VLOOKUP(B3588,LifeList!$E$2:$J$2038,6)</f>
        <v>32915</v>
      </c>
      <c r="D3588" s="3" t="str">
        <f>VLOOKUP(B3588,LifeList!$E$2:$G$2038,1)</f>
        <v>Stripe-headed Sparrow</v>
      </c>
      <c r="E3588" s="3" t="str">
        <f>VLOOKUP(B3588,LifeList!$E$2:$G$2038,2)</f>
        <v>Bruant ligné</v>
      </c>
      <c r="F3588" s="3" t="str">
        <f>VLOOKUP(B3588,LifeList!$E$2:$G$2038,3)</f>
        <v>Peucaea ruficauda</v>
      </c>
      <c r="G3588" s="3" t="str">
        <f>VLOOKUP(B3588,LifeList!$E$2:$I$2038,4)</f>
        <v>Passeriformes</v>
      </c>
      <c r="H3588" s="3" t="str">
        <f>VLOOKUP(B3588,LifeList!$E$2:$I$2038,5)</f>
        <v>Passerellidae (New World Sparrows)</v>
      </c>
      <c r="I3588" s="3"/>
    </row>
    <row r="3589" spans="1:9" ht="10.5" customHeight="1">
      <c r="A3589" s="3" t="s">
        <v>4986</v>
      </c>
      <c r="B3589" s="3" t="s">
        <v>4987</v>
      </c>
      <c r="C3589" s="3">
        <f>VLOOKUP(B3589,LifeList!$E$2:$J$2038,6)</f>
        <v>5015</v>
      </c>
      <c r="D3589" s="3" t="str">
        <f>VLOOKUP(B3589,LifeList!$E$2:$G$2038,1)</f>
        <v>Stripe-tailed Hummingbird</v>
      </c>
      <c r="E3589" s="3" t="str">
        <f>VLOOKUP(B3589,LifeList!$E$2:$G$2038,2)</f>
        <v>Colibri à épaulettes</v>
      </c>
      <c r="F3589" s="3" t="str">
        <f>VLOOKUP(B3589,LifeList!$E$2:$G$2038,3)</f>
        <v>Eupherusa eximia</v>
      </c>
      <c r="G3589" s="3" t="str">
        <f>VLOOKUP(B3589,LifeList!$E$2:$I$2038,4)</f>
        <v>Apodiformes</v>
      </c>
      <c r="H3589" s="3" t="str">
        <f>VLOOKUP(B3589,LifeList!$E$2:$I$2038,5)</f>
        <v>Trochilidae (Hummingbirds)</v>
      </c>
      <c r="I3589" s="3"/>
    </row>
    <row r="3590" spans="1:9" ht="10.5" customHeight="1">
      <c r="A3590" s="3" t="s">
        <v>4988</v>
      </c>
      <c r="B3590" s="3" t="s">
        <v>4989</v>
      </c>
      <c r="C3590" s="3">
        <f>VLOOKUP(B3590,LifeList!$E$2:$J$2038,6)</f>
        <v>4310</v>
      </c>
      <c r="D3590" s="3" t="str">
        <f>VLOOKUP(B3590,LifeList!$E$2:$G$2038,1)</f>
        <v>Stripe-throated Hermit</v>
      </c>
      <c r="E3590" s="3" t="str">
        <f>VLOOKUP(B3590,LifeList!$E$2:$G$2038,2)</f>
        <v>Ermite à gorge rayée</v>
      </c>
      <c r="F3590" s="3" t="str">
        <f>VLOOKUP(B3590,LifeList!$E$2:$G$2038,3)</f>
        <v>Phaethornis striigularis</v>
      </c>
      <c r="G3590" s="3" t="str">
        <f>VLOOKUP(B3590,LifeList!$E$2:$I$2038,4)</f>
        <v>Apodiformes</v>
      </c>
      <c r="H3590" s="3" t="str">
        <f>VLOOKUP(B3590,LifeList!$E$2:$I$2038,5)</f>
        <v>Trochilidae (Hummingbirds)</v>
      </c>
      <c r="I3590" s="3"/>
    </row>
    <row r="3591" spans="1:9" ht="10.5" customHeight="1">
      <c r="A3591" s="3" t="s">
        <v>4990</v>
      </c>
      <c r="B3591" s="3" t="s">
        <v>4989</v>
      </c>
      <c r="C3591" s="3">
        <f>VLOOKUP(B3591,LifeList!$E$2:$J$2038,6)</f>
        <v>4310</v>
      </c>
      <c r="D3591" s="3" t="str">
        <f>VLOOKUP(B3591,LifeList!$E$2:$G$2038,1)</f>
        <v>Stripe-throated Hermit</v>
      </c>
      <c r="E3591" s="3" t="str">
        <f>VLOOKUP(B3591,LifeList!$E$2:$G$2038,2)</f>
        <v>Ermite à gorge rayée</v>
      </c>
      <c r="F3591" s="3" t="str">
        <f>VLOOKUP(B3591,LifeList!$E$2:$G$2038,3)</f>
        <v>Phaethornis striigularis</v>
      </c>
      <c r="G3591" s="3" t="str">
        <f>VLOOKUP(B3591,LifeList!$E$2:$I$2038,4)</f>
        <v>Apodiformes</v>
      </c>
      <c r="H3591" s="3" t="str">
        <f>VLOOKUP(B3591,LifeList!$E$2:$I$2038,5)</f>
        <v>Trochilidae (Hummingbirds)</v>
      </c>
      <c r="I3591" s="3"/>
    </row>
    <row r="3592" spans="1:9" ht="10.5" customHeight="1">
      <c r="A3592" s="3" t="s">
        <v>4991</v>
      </c>
      <c r="B3592" s="3" t="s">
        <v>4992</v>
      </c>
      <c r="C3592" s="3">
        <f>VLOOKUP(B3592,LifeList!$E$2:$J$2038,6)</f>
        <v>22925</v>
      </c>
      <c r="D3592" s="3" t="str">
        <f>VLOOKUP(B3592,LifeList!$E$2:$G$2038,1)</f>
        <v>Stripe-throated Jery</v>
      </c>
      <c r="E3592" s="3" t="str">
        <f>VLOOKUP(B3592,LifeList!$E$2:$G$2038,2)</f>
        <v>Grande Éroesse</v>
      </c>
      <c r="F3592" s="3" t="str">
        <f>VLOOKUP(B3592,LifeList!$E$2:$G$2038,3)</f>
        <v>Neomixis striatigula</v>
      </c>
      <c r="G3592" s="3" t="str">
        <f>VLOOKUP(B3592,LifeList!$E$2:$I$2038,4)</f>
        <v>Passeriformes</v>
      </c>
      <c r="H3592" s="3" t="str">
        <f>VLOOKUP(B3592,LifeList!$E$2:$I$2038,5)</f>
        <v>Cisticolidae (Cisticolas and Allies)</v>
      </c>
      <c r="I3592" s="3"/>
    </row>
    <row r="3593" spans="1:9" ht="10.5" customHeight="1">
      <c r="A3593" s="3" t="s">
        <v>4993</v>
      </c>
      <c r="B3593" s="3" t="s">
        <v>4992</v>
      </c>
      <c r="C3593" s="3">
        <f>VLOOKUP(B3593,LifeList!$E$2:$J$2038,6)</f>
        <v>22925</v>
      </c>
      <c r="D3593" s="3" t="str">
        <f>VLOOKUP(B3593,LifeList!$E$2:$G$2038,1)</f>
        <v>Stripe-throated Jery</v>
      </c>
      <c r="E3593" s="3" t="str">
        <f>VLOOKUP(B3593,LifeList!$E$2:$G$2038,2)</f>
        <v>Grande Éroesse</v>
      </c>
      <c r="F3593" s="3" t="str">
        <f>VLOOKUP(B3593,LifeList!$E$2:$G$2038,3)</f>
        <v>Neomixis striatigula</v>
      </c>
      <c r="G3593" s="3" t="str">
        <f>VLOOKUP(B3593,LifeList!$E$2:$I$2038,4)</f>
        <v>Passeriformes</v>
      </c>
      <c r="H3593" s="3" t="str">
        <f>VLOOKUP(B3593,LifeList!$E$2:$I$2038,5)</f>
        <v>Cisticolidae (Cisticolas and Allies)</v>
      </c>
      <c r="I3593" s="3"/>
    </row>
    <row r="3594" spans="1:9" ht="10.5" customHeight="1">
      <c r="A3594" s="3" t="s">
        <v>4994</v>
      </c>
      <c r="B3594" s="3" t="s">
        <v>4992</v>
      </c>
      <c r="C3594" s="3">
        <f>VLOOKUP(B3594,LifeList!$E$2:$J$2038,6)</f>
        <v>22925</v>
      </c>
      <c r="D3594" s="3" t="str">
        <f>VLOOKUP(B3594,LifeList!$E$2:$G$2038,1)</f>
        <v>Stripe-throated Jery</v>
      </c>
      <c r="E3594" s="3" t="str">
        <f>VLOOKUP(B3594,LifeList!$E$2:$G$2038,2)</f>
        <v>Grande Éroesse</v>
      </c>
      <c r="F3594" s="3" t="str">
        <f>VLOOKUP(B3594,LifeList!$E$2:$G$2038,3)</f>
        <v>Neomixis striatigula</v>
      </c>
      <c r="G3594" s="3" t="str">
        <f>VLOOKUP(B3594,LifeList!$E$2:$I$2038,4)</f>
        <v>Passeriformes</v>
      </c>
      <c r="H3594" s="3" t="str">
        <f>VLOOKUP(B3594,LifeList!$E$2:$I$2038,5)</f>
        <v>Cisticolidae (Cisticolas and Allies)</v>
      </c>
      <c r="I3594" s="3"/>
    </row>
    <row r="3595" spans="1:9" ht="10.5" customHeight="1">
      <c r="A3595" s="3" t="s">
        <v>4995</v>
      </c>
      <c r="B3595" s="3" t="s">
        <v>4992</v>
      </c>
      <c r="C3595" s="3">
        <f>VLOOKUP(B3595,LifeList!$E$2:$J$2038,6)</f>
        <v>22925</v>
      </c>
      <c r="D3595" s="3" t="str">
        <f>VLOOKUP(B3595,LifeList!$E$2:$G$2038,1)</f>
        <v>Stripe-throated Jery</v>
      </c>
      <c r="E3595" s="3" t="str">
        <f>VLOOKUP(B3595,LifeList!$E$2:$G$2038,2)</f>
        <v>Grande Éroesse</v>
      </c>
      <c r="F3595" s="3" t="str">
        <f>VLOOKUP(B3595,LifeList!$E$2:$G$2038,3)</f>
        <v>Neomixis striatigula</v>
      </c>
      <c r="G3595" s="3" t="str">
        <f>VLOOKUP(B3595,LifeList!$E$2:$I$2038,4)</f>
        <v>Passeriformes</v>
      </c>
      <c r="H3595" s="3" t="str">
        <f>VLOOKUP(B3595,LifeList!$E$2:$I$2038,5)</f>
        <v>Cisticolidae (Cisticolas and Allies)</v>
      </c>
      <c r="I3595" s="3"/>
    </row>
    <row r="3596" spans="1:9" ht="10.5" customHeight="1">
      <c r="A3596" s="7" t="s">
        <v>4996</v>
      </c>
      <c r="B3596" s="9" t="s">
        <v>4997</v>
      </c>
      <c r="C3596" s="6">
        <f>VLOOKUP(B3596,LifeList!$E$2:$J$2038,6)</f>
        <v>18178</v>
      </c>
      <c r="D3596" s="3" t="str">
        <f>VLOOKUP(B3596,LifeList!$E$2:$G$2038,1)</f>
        <v>Striped Honeyeater</v>
      </c>
      <c r="E3596" s="3" t="str">
        <f>VLOOKUP(B3596,LifeList!$E$2:$G$2038,2)</f>
        <v>Méliphage lancéolé</v>
      </c>
      <c r="F3596" s="3" t="str">
        <f>VLOOKUP(B3596,LifeList!$E$2:$G$2038,3)</f>
        <v>Plectorhyncha lanceolata</v>
      </c>
      <c r="G3596" s="3" t="str">
        <f>VLOOKUP(B3596,LifeList!$E$2:$I$2038,4)</f>
        <v>Passeriformes</v>
      </c>
      <c r="H3596" s="3" t="str">
        <f>VLOOKUP(B3596,LifeList!$E$2:$I$2038,5)</f>
        <v>Meliphagidae (Honeyeaters)</v>
      </c>
      <c r="I3596" s="3"/>
    </row>
    <row r="3597" spans="1:9" ht="10.5" customHeight="1">
      <c r="A3597" s="7" t="s">
        <v>4998</v>
      </c>
      <c r="B3597" s="9" t="s">
        <v>4999</v>
      </c>
      <c r="C3597" s="6">
        <f>VLOOKUP(B3597,LifeList!$E$2:$J$2038,6)</f>
        <v>18141</v>
      </c>
      <c r="D3597" s="3" t="str">
        <f>VLOOKUP(B3597,LifeList!$E$2:$G$2038,1)</f>
        <v>Strong-billed Honeyeater</v>
      </c>
      <c r="E3597" s="3" t="str">
        <f>VLOOKUP(B3597,LifeList!$E$2:$G$2038,2)</f>
        <v>Méliphage à bec fort</v>
      </c>
      <c r="F3597" s="3" t="str">
        <f>VLOOKUP(B3597,LifeList!$E$2:$G$2038,3)</f>
        <v>Melithreptus validirostris</v>
      </c>
      <c r="G3597" s="3" t="str">
        <f>VLOOKUP(B3597,LifeList!$E$2:$I$2038,4)</f>
        <v>Passeriformes</v>
      </c>
      <c r="H3597" s="3" t="str">
        <f>VLOOKUP(B3597,LifeList!$E$2:$I$2038,5)</f>
        <v>Meliphagidae (Honeyeaters)</v>
      </c>
      <c r="I3597" s="3"/>
    </row>
    <row r="3598" spans="1:9" ht="10.5" customHeight="1">
      <c r="A3598" s="3" t="s">
        <v>5000</v>
      </c>
      <c r="B3598" s="3" t="s">
        <v>5001</v>
      </c>
      <c r="C3598" s="3">
        <f>VLOOKUP(B3598,LifeList!$E$2:$J$2038,6)</f>
        <v>14749</v>
      </c>
      <c r="D3598" s="3" t="str">
        <f>VLOOKUP(B3598,LifeList!$E$2:$G$2038,1)</f>
        <v>Strong-billed Woodcreeper</v>
      </c>
      <c r="E3598" s="3" t="str">
        <f>VLOOKUP(B3598,LifeList!$E$2:$G$2038,2)</f>
        <v>Grimpar géant</v>
      </c>
      <c r="F3598" s="3" t="str">
        <f>VLOOKUP(B3598,LifeList!$E$2:$G$2038,3)</f>
        <v>Xiphocolaptes promeropirhynchus</v>
      </c>
      <c r="G3598" s="3" t="str">
        <f>VLOOKUP(B3598,LifeList!$E$2:$I$2038,4)</f>
        <v>Passeriformes</v>
      </c>
      <c r="H3598" s="3" t="str">
        <f>VLOOKUP(B3598,LifeList!$E$2:$I$2038,5)</f>
        <v>Furnariidae (Ovenbirds and Woodcreepers)</v>
      </c>
      <c r="I3598" s="3"/>
    </row>
    <row r="3599" spans="1:9" ht="10.5" customHeight="1">
      <c r="A3599" s="3" t="s">
        <v>5002</v>
      </c>
      <c r="B3599" s="3" t="s">
        <v>5003</v>
      </c>
      <c r="C3599" s="3">
        <f>VLOOKUP(B3599,LifeList!$E$2:$J$2038,6)</f>
        <v>9269</v>
      </c>
      <c r="D3599" s="3" t="str">
        <f>VLOOKUP(B3599,LifeList!$E$2:$G$2038,1)</f>
        <v>Stygian Owl</v>
      </c>
      <c r="E3599" s="3" t="str">
        <f>VLOOKUP(B3599,LifeList!$E$2:$G$2038,2)</f>
        <v>Hibou maître-bois</v>
      </c>
      <c r="F3599" s="3" t="str">
        <f>VLOOKUP(B3599,LifeList!$E$2:$G$2038,3)</f>
        <v>Asio stygius</v>
      </c>
      <c r="G3599" s="3" t="str">
        <f>VLOOKUP(B3599,LifeList!$E$2:$I$2038,4)</f>
        <v>Strigiformes</v>
      </c>
      <c r="H3599" s="3" t="str">
        <f>VLOOKUP(B3599,LifeList!$E$2:$I$2038,5)</f>
        <v>Strigidae (Owls)</v>
      </c>
      <c r="I3599" s="3"/>
    </row>
    <row r="3600" spans="1:9" ht="10.5" customHeight="1">
      <c r="A3600" s="3" t="s">
        <v>5004</v>
      </c>
      <c r="B3600" s="3" t="s">
        <v>5003</v>
      </c>
      <c r="C3600" s="3">
        <f>VLOOKUP(B3600,LifeList!$E$2:$J$2038,6)</f>
        <v>9269</v>
      </c>
      <c r="D3600" s="3" t="str">
        <f>VLOOKUP(B3600,LifeList!$E$2:$G$2038,1)</f>
        <v>Stygian Owl</v>
      </c>
      <c r="E3600" s="3" t="str">
        <f>VLOOKUP(B3600,LifeList!$E$2:$G$2038,2)</f>
        <v>Hibou maître-bois</v>
      </c>
      <c r="F3600" s="3" t="str">
        <f>VLOOKUP(B3600,LifeList!$E$2:$G$2038,3)</f>
        <v>Asio stygius</v>
      </c>
      <c r="G3600" s="3" t="str">
        <f>VLOOKUP(B3600,LifeList!$E$2:$I$2038,4)</f>
        <v>Strigiformes</v>
      </c>
      <c r="H3600" s="3" t="str">
        <f>VLOOKUP(B3600,LifeList!$E$2:$I$2038,5)</f>
        <v>Strigidae (Owls)</v>
      </c>
      <c r="I3600" s="3"/>
    </row>
    <row r="3601" spans="1:9" ht="10.5" customHeight="1">
      <c r="A3601" s="3" t="s">
        <v>5005</v>
      </c>
      <c r="B3601" s="3" t="s">
        <v>5006</v>
      </c>
      <c r="C3601" s="3">
        <f>VLOOKUP(B3601,LifeList!$E$2:$J$2038,6)</f>
        <v>23622</v>
      </c>
      <c r="D3601" s="3" t="str">
        <f>VLOOKUP(B3601,LifeList!$E$2:$G$2038,1)</f>
        <v>Subdesert Brush-Warbler</v>
      </c>
      <c r="E3601" s="3" t="str">
        <f>VLOOKUP(B3601,LifeList!$E$2:$G$2038,2)</f>
        <v>Nésille de Lantz</v>
      </c>
      <c r="F3601" s="3" t="str">
        <f>VLOOKUP(B3601,LifeList!$E$2:$G$2038,3)</f>
        <v>Nesillas lantzii</v>
      </c>
      <c r="G3601" s="3" t="str">
        <f>VLOOKUP(B3601,LifeList!$E$2:$I$2038,4)</f>
        <v>Passeriformes</v>
      </c>
      <c r="H3601" s="3" t="str">
        <f>VLOOKUP(B3601,LifeList!$E$2:$I$2038,5)</f>
        <v>Acrocephalidae (Reed Warblers and Allies)</v>
      </c>
      <c r="I3601" s="3"/>
    </row>
    <row r="3602" spans="1:9" ht="10.5" customHeight="1">
      <c r="A3602" s="3" t="s">
        <v>5007</v>
      </c>
      <c r="B3602" s="3" t="s">
        <v>5008</v>
      </c>
      <c r="C3602" s="3">
        <f>VLOOKUP(B3602,LifeList!$E$2:$J$2038,6)</f>
        <v>2860</v>
      </c>
      <c r="D3602" s="3" t="str">
        <f>VLOOKUP(B3602,LifeList!$E$2:$G$2038,1)</f>
        <v>Subdesert Mesite</v>
      </c>
      <c r="E3602" s="3" t="str">
        <f>VLOOKUP(B3602,LifeList!$E$2:$G$2038,2)</f>
        <v>Mésite monias</v>
      </c>
      <c r="F3602" s="3" t="str">
        <f>VLOOKUP(B3602,LifeList!$E$2:$G$2038,3)</f>
        <v>Monias benschi</v>
      </c>
      <c r="G3602" s="3" t="str">
        <f>VLOOKUP(B3602,LifeList!$E$2:$I$2038,4)</f>
        <v>Mesitornithiformes</v>
      </c>
      <c r="H3602" s="3" t="str">
        <f>VLOOKUP(B3602,LifeList!$E$2:$I$2038,5)</f>
        <v>Mesitornithidae (Mesites)</v>
      </c>
      <c r="I3602" s="3"/>
    </row>
    <row r="3603" spans="1:9" ht="10.5" customHeight="1">
      <c r="A3603" s="3" t="s">
        <v>5009</v>
      </c>
      <c r="B3603" s="3" t="s">
        <v>5008</v>
      </c>
      <c r="C3603" s="3">
        <f>VLOOKUP(B3603,LifeList!$E$2:$J$2038,6)</f>
        <v>2860</v>
      </c>
      <c r="D3603" s="3" t="str">
        <f>VLOOKUP(B3603,LifeList!$E$2:$G$2038,1)</f>
        <v>Subdesert Mesite</v>
      </c>
      <c r="E3603" s="3" t="str">
        <f>VLOOKUP(B3603,LifeList!$E$2:$G$2038,2)</f>
        <v>Mésite monias</v>
      </c>
      <c r="F3603" s="3" t="str">
        <f>VLOOKUP(B3603,LifeList!$E$2:$G$2038,3)</f>
        <v>Monias benschi</v>
      </c>
      <c r="G3603" s="3" t="str">
        <f>VLOOKUP(B3603,LifeList!$E$2:$I$2038,4)</f>
        <v>Mesitornithiformes</v>
      </c>
      <c r="H3603" s="3" t="str">
        <f>VLOOKUP(B3603,LifeList!$E$2:$I$2038,5)</f>
        <v>Mesitornithidae (Mesites)</v>
      </c>
      <c r="I3603" s="3"/>
    </row>
    <row r="3604" spans="1:9" ht="10.5" customHeight="1">
      <c r="A3604" s="3" t="s">
        <v>5010</v>
      </c>
      <c r="B3604" s="3" t="s">
        <v>5011</v>
      </c>
      <c r="C3604" s="3">
        <f>VLOOKUP(B3604,LifeList!$E$2:$J$2038,6)</f>
        <v>17438</v>
      </c>
      <c r="D3604" s="3" t="str">
        <f>VLOOKUP(B3604,LifeList!$E$2:$G$2038,1)</f>
        <v>Sulphur-bellied Flycatcher</v>
      </c>
      <c r="E3604" s="3" t="str">
        <f>VLOOKUP(B3604,LifeList!$E$2:$G$2038,2)</f>
        <v>Tyran tigré</v>
      </c>
      <c r="F3604" s="3" t="str">
        <f>VLOOKUP(B3604,LifeList!$E$2:$G$2038,3)</f>
        <v>Myiodynastes luteiventris</v>
      </c>
      <c r="G3604" s="3" t="str">
        <f>VLOOKUP(B3604,LifeList!$E$2:$I$2038,4)</f>
        <v>Passeriformes</v>
      </c>
      <c r="H3604" s="3" t="str">
        <f>VLOOKUP(B3604,LifeList!$E$2:$I$2038,5)</f>
        <v>Tyrannidae (Tyrant Flycatchers)</v>
      </c>
      <c r="I3604" s="3"/>
    </row>
    <row r="3605" spans="1:9" ht="10.5" customHeight="1">
      <c r="A3605" s="3" t="s">
        <v>5012</v>
      </c>
      <c r="B3605" s="3" t="s">
        <v>5011</v>
      </c>
      <c r="C3605" s="3">
        <f>VLOOKUP(B3605,LifeList!$E$2:$J$2038,6)</f>
        <v>17438</v>
      </c>
      <c r="D3605" s="3" t="str">
        <f>VLOOKUP(B3605,LifeList!$E$2:$G$2038,1)</f>
        <v>Sulphur-bellied Flycatcher</v>
      </c>
      <c r="E3605" s="3" t="str">
        <f>VLOOKUP(B3605,LifeList!$E$2:$G$2038,2)</f>
        <v>Tyran tigré</v>
      </c>
      <c r="F3605" s="3" t="str">
        <f>VLOOKUP(B3605,LifeList!$E$2:$G$2038,3)</f>
        <v>Myiodynastes luteiventris</v>
      </c>
      <c r="G3605" s="3" t="str">
        <f>VLOOKUP(B3605,LifeList!$E$2:$I$2038,4)</f>
        <v>Passeriformes</v>
      </c>
      <c r="H3605" s="3" t="str">
        <f>VLOOKUP(B3605,LifeList!$E$2:$I$2038,5)</f>
        <v>Tyrannidae (Tyrant Flycatchers)</v>
      </c>
      <c r="I3605" s="3"/>
    </row>
    <row r="3606" spans="1:9" ht="10.5" customHeight="1">
      <c r="A3606" s="3" t="s">
        <v>5013</v>
      </c>
      <c r="B3606" s="3" t="s">
        <v>5014</v>
      </c>
      <c r="C3606" s="3">
        <f>VLOOKUP(B3606,LifeList!$E$2:$J$2038,6)</f>
        <v>20169</v>
      </c>
      <c r="D3606" s="3" t="str">
        <f>VLOOKUP(B3606,LifeList!$E$2:$G$2038,1)</f>
        <v>Sulphur-breasted Bushshrike</v>
      </c>
      <c r="E3606" s="3" t="str">
        <f>VLOOKUP(B3606,LifeList!$E$2:$G$2038,2)</f>
        <v>Gonolek soufré</v>
      </c>
      <c r="F3606" s="3" t="str">
        <f>VLOOKUP(B3606,LifeList!$E$2:$G$2038,3)</f>
        <v>Chlorophoneus sulfureopectus</v>
      </c>
      <c r="G3606" s="3" t="str">
        <f>VLOOKUP(B3606,LifeList!$E$2:$I$2038,4)</f>
        <v>Passeriformes</v>
      </c>
      <c r="H3606" s="3" t="str">
        <f>VLOOKUP(B3606,LifeList!$E$2:$I$2038,5)</f>
        <v>Malaconotidae (Bushshrikes and Allies)</v>
      </c>
      <c r="I3606" s="3"/>
    </row>
    <row r="3607" spans="1:9" ht="10.5" customHeight="1">
      <c r="A3607" s="3" t="s">
        <v>5015</v>
      </c>
      <c r="B3607" s="3" t="s">
        <v>5016</v>
      </c>
      <c r="C3607" s="3">
        <f>VLOOKUP(B3607,LifeList!$E$2:$J$2038,6)</f>
        <v>12212</v>
      </c>
      <c r="D3607" s="3" t="str">
        <f>VLOOKUP(B3607,LifeList!$E$2:$G$2038,1)</f>
        <v>Sulphur-crested Cockatoo</v>
      </c>
      <c r="E3607" s="3" t="str">
        <f>VLOOKUP(B3607,LifeList!$E$2:$G$2038,2)</f>
        <v>Cacatoès à huppe jaune</v>
      </c>
      <c r="F3607" s="3" t="str">
        <f>VLOOKUP(B3607,LifeList!$E$2:$G$2038,3)</f>
        <v>Cacatua galerita</v>
      </c>
      <c r="G3607" s="3" t="str">
        <f>VLOOKUP(B3607,LifeList!$E$2:$I$2038,4)</f>
        <v>Psittaciformes</v>
      </c>
      <c r="H3607" s="3" t="str">
        <f>VLOOKUP(B3607,LifeList!$E$2:$I$2038,5)</f>
        <v>Cacatuidae (Cockatoos)</v>
      </c>
      <c r="I3607" s="3"/>
    </row>
    <row r="3608" spans="1:9" ht="10.5" customHeight="1">
      <c r="A3608" s="3" t="s">
        <v>5017</v>
      </c>
      <c r="B3608" s="3" t="s">
        <v>5016</v>
      </c>
      <c r="C3608" s="3">
        <f>VLOOKUP(B3608,LifeList!$E$2:$J$2038,6)</f>
        <v>12212</v>
      </c>
      <c r="D3608" s="3" t="str">
        <f>VLOOKUP(B3608,LifeList!$E$2:$G$2038,1)</f>
        <v>Sulphur-crested Cockatoo</v>
      </c>
      <c r="E3608" s="3" t="str">
        <f>VLOOKUP(B3608,LifeList!$E$2:$G$2038,2)</f>
        <v>Cacatoès à huppe jaune</v>
      </c>
      <c r="F3608" s="3" t="str">
        <f>VLOOKUP(B3608,LifeList!$E$2:$G$2038,3)</f>
        <v>Cacatua galerita</v>
      </c>
      <c r="G3608" s="3" t="str">
        <f>VLOOKUP(B3608,LifeList!$E$2:$I$2038,4)</f>
        <v>Psittaciformes</v>
      </c>
      <c r="H3608" s="3" t="str">
        <f>VLOOKUP(B3608,LifeList!$E$2:$I$2038,5)</f>
        <v>Cacatuidae (Cockatoos)</v>
      </c>
      <c r="I3608" s="3"/>
    </row>
    <row r="3609" spans="1:9" ht="10.5" customHeight="1">
      <c r="A3609" s="3" t="s">
        <v>5018</v>
      </c>
      <c r="B3609" s="3" t="s">
        <v>5019</v>
      </c>
      <c r="C3609" s="3">
        <f>VLOOKUP(B3609,LifeList!$E$2:$J$2038,6)</f>
        <v>13072</v>
      </c>
      <c r="D3609" s="3" t="str">
        <f>VLOOKUP(B3609,LifeList!$E$2:$G$2038,1)</f>
        <v>Sulphur-winged Parakeet</v>
      </c>
      <c r="E3609" s="3" t="str">
        <f>VLOOKUP(B3609,LifeList!$E$2:$G$2038,2)</f>
        <v>Conure de Hoffmann</v>
      </c>
      <c r="F3609" s="3" t="str">
        <f>VLOOKUP(B3609,LifeList!$E$2:$G$2038,3)</f>
        <v>Pyrrhura hoffmanni</v>
      </c>
      <c r="G3609" s="3" t="str">
        <f>VLOOKUP(B3609,LifeList!$E$2:$I$2038,4)</f>
        <v>Psittaciformes</v>
      </c>
      <c r="H3609" s="3" t="str">
        <f>VLOOKUP(B3609,LifeList!$E$2:$I$2038,5)</f>
        <v>Psittacidae (New World and African Parrots)</v>
      </c>
      <c r="I3609" s="3"/>
    </row>
    <row r="3610" spans="1:9" ht="10.5" customHeight="1">
      <c r="A3610" s="3" t="s">
        <v>5020</v>
      </c>
      <c r="B3610" s="3" t="s">
        <v>5019</v>
      </c>
      <c r="C3610" s="3">
        <f>VLOOKUP(B3610,LifeList!$E$2:$J$2038,6)</f>
        <v>13072</v>
      </c>
      <c r="D3610" s="3" t="str">
        <f>VLOOKUP(B3610,LifeList!$E$2:$G$2038,1)</f>
        <v>Sulphur-winged Parakeet</v>
      </c>
      <c r="E3610" s="3" t="str">
        <f>VLOOKUP(B3610,LifeList!$E$2:$G$2038,2)</f>
        <v>Conure de Hoffmann</v>
      </c>
      <c r="F3610" s="3" t="str">
        <f>VLOOKUP(B3610,LifeList!$E$2:$G$2038,3)</f>
        <v>Pyrrhura hoffmanni</v>
      </c>
      <c r="G3610" s="3" t="str">
        <f>VLOOKUP(B3610,LifeList!$E$2:$I$2038,4)</f>
        <v>Psittaciformes</v>
      </c>
      <c r="H3610" s="3" t="str">
        <f>VLOOKUP(B3610,LifeList!$E$2:$I$2038,5)</f>
        <v>Psittacidae (New World and African Parrots)</v>
      </c>
      <c r="I3610" s="3"/>
    </row>
    <row r="3611" spans="1:9" ht="10.5" customHeight="1">
      <c r="A3611" s="3" t="s">
        <v>5021</v>
      </c>
      <c r="B3611" s="3" t="s">
        <v>5022</v>
      </c>
      <c r="C3611" s="3">
        <f>VLOOKUP(B3611,LifeList!$E$2:$J$2038,6)</f>
        <v>34432</v>
      </c>
      <c r="D3611" s="3" t="str">
        <f>VLOOKUP(B3611,LifeList!$E$2:$G$2038,1)</f>
        <v>Summer Tanager</v>
      </c>
      <c r="E3611" s="3" t="str">
        <f>VLOOKUP(B3611,LifeList!$E$2:$G$2038,2)</f>
        <v>Piranga vermillon</v>
      </c>
      <c r="F3611" s="3" t="str">
        <f>VLOOKUP(B3611,LifeList!$E$2:$G$2038,3)</f>
        <v>Piranga rubra</v>
      </c>
      <c r="G3611" s="3" t="str">
        <f>VLOOKUP(B3611,LifeList!$E$2:$I$2038,4)</f>
        <v>Passeriformes</v>
      </c>
      <c r="H3611" s="3" t="str">
        <f>VLOOKUP(B3611,LifeList!$E$2:$I$2038,5)</f>
        <v>Cardinalidae (Cardinals and Allies)</v>
      </c>
      <c r="I3611" s="3"/>
    </row>
    <row r="3612" spans="1:9" ht="10.5" customHeight="1">
      <c r="A3612" s="3" t="s">
        <v>5023</v>
      </c>
      <c r="B3612" s="3" t="s">
        <v>5022</v>
      </c>
      <c r="C3612" s="3">
        <f>VLOOKUP(B3612,LifeList!$E$2:$J$2038,6)</f>
        <v>34432</v>
      </c>
      <c r="D3612" s="3" t="str">
        <f>VLOOKUP(B3612,LifeList!$E$2:$G$2038,1)</f>
        <v>Summer Tanager</v>
      </c>
      <c r="E3612" s="3" t="str">
        <f>VLOOKUP(B3612,LifeList!$E$2:$G$2038,2)</f>
        <v>Piranga vermillon</v>
      </c>
      <c r="F3612" s="3" t="str">
        <f>VLOOKUP(B3612,LifeList!$E$2:$G$2038,3)</f>
        <v>Piranga rubra</v>
      </c>
      <c r="G3612" s="3" t="str">
        <f>VLOOKUP(B3612,LifeList!$E$2:$I$2038,4)</f>
        <v>Passeriformes</v>
      </c>
      <c r="H3612" s="3" t="str">
        <f>VLOOKUP(B3612,LifeList!$E$2:$I$2038,5)</f>
        <v>Cardinalidae (Cardinals and Allies)</v>
      </c>
      <c r="I3612" s="3"/>
    </row>
    <row r="3613" spans="1:9" ht="10.5" customHeight="1">
      <c r="A3613" s="3" t="s">
        <v>5024</v>
      </c>
      <c r="B3613" s="3" t="s">
        <v>5022</v>
      </c>
      <c r="C3613" s="3">
        <f>VLOOKUP(B3613,LifeList!$E$2:$J$2038,6)</f>
        <v>34432</v>
      </c>
      <c r="D3613" s="3" t="str">
        <f>VLOOKUP(B3613,LifeList!$E$2:$G$2038,1)</f>
        <v>Summer Tanager</v>
      </c>
      <c r="E3613" s="3" t="str">
        <f>VLOOKUP(B3613,LifeList!$E$2:$G$2038,2)</f>
        <v>Piranga vermillon</v>
      </c>
      <c r="F3613" s="3" t="str">
        <f>VLOOKUP(B3613,LifeList!$E$2:$G$2038,3)</f>
        <v>Piranga rubra</v>
      </c>
      <c r="G3613" s="3" t="str">
        <f>VLOOKUP(B3613,LifeList!$E$2:$I$2038,4)</f>
        <v>Passeriformes</v>
      </c>
      <c r="H3613" s="3" t="str">
        <f>VLOOKUP(B3613,LifeList!$E$2:$I$2038,5)</f>
        <v>Cardinalidae (Cardinals and Allies)</v>
      </c>
      <c r="I3613" s="3"/>
    </row>
    <row r="3614" spans="1:9" ht="10.5" customHeight="1">
      <c r="A3614" s="3" t="s">
        <v>5025</v>
      </c>
      <c r="B3614" s="3" t="s">
        <v>5022</v>
      </c>
      <c r="C3614" s="3">
        <f>VLOOKUP(B3614,LifeList!$E$2:$J$2038,6)</f>
        <v>34432</v>
      </c>
      <c r="D3614" s="3" t="str">
        <f>VLOOKUP(B3614,LifeList!$E$2:$G$2038,1)</f>
        <v>Summer Tanager</v>
      </c>
      <c r="E3614" s="3" t="str">
        <f>VLOOKUP(B3614,LifeList!$E$2:$G$2038,2)</f>
        <v>Piranga vermillon</v>
      </c>
      <c r="F3614" s="3" t="str">
        <f>VLOOKUP(B3614,LifeList!$E$2:$G$2038,3)</f>
        <v>Piranga rubra</v>
      </c>
      <c r="G3614" s="3" t="str">
        <f>VLOOKUP(B3614,LifeList!$E$2:$I$2038,4)</f>
        <v>Passeriformes</v>
      </c>
      <c r="H3614" s="3" t="str">
        <f>VLOOKUP(B3614,LifeList!$E$2:$I$2038,5)</f>
        <v>Cardinalidae (Cardinals and Allies)</v>
      </c>
      <c r="I3614" s="3"/>
    </row>
    <row r="3615" spans="1:9" ht="10.5" customHeight="1">
      <c r="A3615" s="3" t="s">
        <v>5026</v>
      </c>
      <c r="B3615" s="3" t="s">
        <v>5022</v>
      </c>
      <c r="C3615" s="3">
        <f>VLOOKUP(B3615,LifeList!$E$2:$J$2038,6)</f>
        <v>34432</v>
      </c>
      <c r="D3615" s="3" t="str">
        <f>VLOOKUP(B3615,LifeList!$E$2:$G$2038,1)</f>
        <v>Summer Tanager</v>
      </c>
      <c r="E3615" s="3" t="str">
        <f>VLOOKUP(B3615,LifeList!$E$2:$G$2038,2)</f>
        <v>Piranga vermillon</v>
      </c>
      <c r="F3615" s="3" t="str">
        <f>VLOOKUP(B3615,LifeList!$E$2:$G$2038,3)</f>
        <v>Piranga rubra</v>
      </c>
      <c r="G3615" s="3" t="str">
        <f>VLOOKUP(B3615,LifeList!$E$2:$I$2038,4)</f>
        <v>Passeriformes</v>
      </c>
      <c r="H3615" s="3" t="str">
        <f>VLOOKUP(B3615,LifeList!$E$2:$I$2038,5)</f>
        <v>Cardinalidae (Cardinals and Allies)</v>
      </c>
      <c r="I3615" s="3"/>
    </row>
    <row r="3616" spans="1:9" ht="10.5" customHeight="1">
      <c r="A3616" s="3" t="s">
        <v>5027</v>
      </c>
      <c r="B3616" s="3" t="s">
        <v>5022</v>
      </c>
      <c r="C3616" s="3">
        <f>VLOOKUP(B3616,LifeList!$E$2:$J$2038,6)</f>
        <v>34432</v>
      </c>
      <c r="D3616" s="3" t="str">
        <f>VLOOKUP(B3616,LifeList!$E$2:$G$2038,1)</f>
        <v>Summer Tanager</v>
      </c>
      <c r="E3616" s="3" t="str">
        <f>VLOOKUP(B3616,LifeList!$E$2:$G$2038,2)</f>
        <v>Piranga vermillon</v>
      </c>
      <c r="F3616" s="3" t="str">
        <f>VLOOKUP(B3616,LifeList!$E$2:$G$2038,3)</f>
        <v>Piranga rubra</v>
      </c>
      <c r="G3616" s="3" t="str">
        <f>VLOOKUP(B3616,LifeList!$E$2:$I$2038,4)</f>
        <v>Passeriformes</v>
      </c>
      <c r="H3616" s="3" t="str">
        <f>VLOOKUP(B3616,LifeList!$E$2:$I$2038,5)</f>
        <v>Cardinalidae (Cardinals and Allies)</v>
      </c>
      <c r="I3616" s="3"/>
    </row>
    <row r="3617" spans="1:9" ht="10.5" customHeight="1">
      <c r="A3617" s="3" t="s">
        <v>5028</v>
      </c>
      <c r="B3617" s="3" t="s">
        <v>5022</v>
      </c>
      <c r="C3617" s="3">
        <f>VLOOKUP(B3617,LifeList!$E$2:$J$2038,6)</f>
        <v>34432</v>
      </c>
      <c r="D3617" s="3" t="str">
        <f>VLOOKUP(B3617,LifeList!$E$2:$G$2038,1)</f>
        <v>Summer Tanager</v>
      </c>
      <c r="E3617" s="3" t="str">
        <f>VLOOKUP(B3617,LifeList!$E$2:$G$2038,2)</f>
        <v>Piranga vermillon</v>
      </c>
      <c r="F3617" s="3" t="str">
        <f>VLOOKUP(B3617,LifeList!$E$2:$G$2038,3)</f>
        <v>Piranga rubra</v>
      </c>
      <c r="G3617" s="3" t="str">
        <f>VLOOKUP(B3617,LifeList!$E$2:$I$2038,4)</f>
        <v>Passeriformes</v>
      </c>
      <c r="H3617" s="3" t="str">
        <f>VLOOKUP(B3617,LifeList!$E$2:$I$2038,5)</f>
        <v>Cardinalidae (Cardinals and Allies)</v>
      </c>
      <c r="I3617" s="3"/>
    </row>
    <row r="3618" spans="1:9" ht="10.5" customHeight="1">
      <c r="A3618" s="3" t="s">
        <v>5029</v>
      </c>
      <c r="B3618" s="3" t="s">
        <v>5022</v>
      </c>
      <c r="C3618" s="3">
        <f>VLOOKUP(B3618,LifeList!$E$2:$J$2038,6)</f>
        <v>34432</v>
      </c>
      <c r="D3618" s="3" t="str">
        <f>VLOOKUP(B3618,LifeList!$E$2:$G$2038,1)</f>
        <v>Summer Tanager</v>
      </c>
      <c r="E3618" s="3" t="str">
        <f>VLOOKUP(B3618,LifeList!$E$2:$G$2038,2)</f>
        <v>Piranga vermillon</v>
      </c>
      <c r="F3618" s="3" t="str">
        <f>VLOOKUP(B3618,LifeList!$E$2:$G$2038,3)</f>
        <v>Piranga rubra</v>
      </c>
      <c r="G3618" s="3" t="str">
        <f>VLOOKUP(B3618,LifeList!$E$2:$I$2038,4)</f>
        <v>Passeriformes</v>
      </c>
      <c r="H3618" s="3" t="str">
        <f>VLOOKUP(B3618,LifeList!$E$2:$I$2038,5)</f>
        <v>Cardinalidae (Cardinals and Allies)</v>
      </c>
      <c r="I3618" s="3"/>
    </row>
    <row r="3619" spans="1:9" ht="10.5" customHeight="1">
      <c r="A3619" s="3" t="s">
        <v>5030</v>
      </c>
      <c r="B3619" s="3" t="s">
        <v>5031</v>
      </c>
      <c r="C3619" s="3">
        <f>VLOOKUP(B3619,LifeList!$E$2:$J$2038,6)</f>
        <v>6902</v>
      </c>
      <c r="D3619" s="3" t="str">
        <f>VLOOKUP(B3619,LifeList!$E$2:$G$2038,1)</f>
        <v>Sunbittern</v>
      </c>
      <c r="E3619" s="3" t="str">
        <f>VLOOKUP(B3619,LifeList!$E$2:$G$2038,2)</f>
        <v>Caurale soleil</v>
      </c>
      <c r="F3619" s="3" t="str">
        <f>VLOOKUP(B3619,LifeList!$E$2:$G$2038,3)</f>
        <v>Eurypyga helias</v>
      </c>
      <c r="G3619" s="3" t="str">
        <f>VLOOKUP(B3619,LifeList!$E$2:$I$2038,4)</f>
        <v>Eurypygiformes</v>
      </c>
      <c r="H3619" s="3" t="str">
        <f>VLOOKUP(B3619,LifeList!$E$2:$I$2038,5)</f>
        <v>Eurypygidae (Sunbittern)</v>
      </c>
      <c r="I3619" s="3"/>
    </row>
    <row r="3620" spans="1:9" ht="10.5" customHeight="1">
      <c r="A3620" s="3" t="s">
        <v>5032</v>
      </c>
      <c r="B3620" s="3" t="s">
        <v>5031</v>
      </c>
      <c r="C3620" s="3">
        <f>VLOOKUP(B3620,LifeList!$E$2:$J$2038,6)</f>
        <v>6902</v>
      </c>
      <c r="D3620" s="3" t="str">
        <f>VLOOKUP(B3620,LifeList!$E$2:$G$2038,1)</f>
        <v>Sunbittern</v>
      </c>
      <c r="E3620" s="3" t="str">
        <f>VLOOKUP(B3620,LifeList!$E$2:$G$2038,2)</f>
        <v>Caurale soleil</v>
      </c>
      <c r="F3620" s="3" t="str">
        <f>VLOOKUP(B3620,LifeList!$E$2:$G$2038,3)</f>
        <v>Eurypyga helias</v>
      </c>
      <c r="G3620" s="3" t="str">
        <f>VLOOKUP(B3620,LifeList!$E$2:$I$2038,4)</f>
        <v>Eurypygiformes</v>
      </c>
      <c r="H3620" s="3" t="str">
        <f>VLOOKUP(B3620,LifeList!$E$2:$I$2038,5)</f>
        <v>Eurypygidae (Sunbittern)</v>
      </c>
      <c r="I3620" s="3"/>
    </row>
    <row r="3621" spans="1:9" ht="10.5" customHeight="1">
      <c r="A3621" s="3" t="s">
        <v>5033</v>
      </c>
      <c r="B3621" s="3" t="s">
        <v>5031</v>
      </c>
      <c r="C3621" s="3">
        <f>VLOOKUP(B3621,LifeList!$E$2:$J$2038,6)</f>
        <v>6902</v>
      </c>
      <c r="D3621" s="3" t="str">
        <f>VLOOKUP(B3621,LifeList!$E$2:$G$2038,1)</f>
        <v>Sunbittern</v>
      </c>
      <c r="E3621" s="3" t="str">
        <f>VLOOKUP(B3621,LifeList!$E$2:$G$2038,2)</f>
        <v>Caurale soleil</v>
      </c>
      <c r="F3621" s="3" t="str">
        <f>VLOOKUP(B3621,LifeList!$E$2:$G$2038,3)</f>
        <v>Eurypyga helias</v>
      </c>
      <c r="G3621" s="3" t="str">
        <f>VLOOKUP(B3621,LifeList!$E$2:$I$2038,4)</f>
        <v>Eurypygiformes</v>
      </c>
      <c r="H3621" s="3" t="str">
        <f>VLOOKUP(B3621,LifeList!$E$2:$I$2038,5)</f>
        <v>Eurypygidae (Sunbittern)</v>
      </c>
      <c r="I3621" s="3"/>
    </row>
    <row r="3622" spans="1:9" ht="10.5" customHeight="1">
      <c r="A3622" s="3" t="s">
        <v>5034</v>
      </c>
      <c r="B3622" s="3" t="s">
        <v>5031</v>
      </c>
      <c r="C3622" s="3">
        <f>VLOOKUP(B3622,LifeList!$E$2:$J$2038,6)</f>
        <v>6902</v>
      </c>
      <c r="D3622" s="3" t="str">
        <f>VLOOKUP(B3622,LifeList!$E$2:$G$2038,1)</f>
        <v>Sunbittern</v>
      </c>
      <c r="E3622" s="3" t="str">
        <f>VLOOKUP(B3622,LifeList!$E$2:$G$2038,2)</f>
        <v>Caurale soleil</v>
      </c>
      <c r="F3622" s="3" t="str">
        <f>VLOOKUP(B3622,LifeList!$E$2:$G$2038,3)</f>
        <v>Eurypyga helias</v>
      </c>
      <c r="G3622" s="3" t="str">
        <f>VLOOKUP(B3622,LifeList!$E$2:$I$2038,4)</f>
        <v>Eurypygiformes</v>
      </c>
      <c r="H3622" s="3" t="str">
        <f>VLOOKUP(B3622,LifeList!$E$2:$I$2038,5)</f>
        <v>Eurypygidae (Sunbittern)</v>
      </c>
      <c r="I3622" s="3"/>
    </row>
    <row r="3623" spans="1:9" ht="10.5" customHeight="1">
      <c r="A3623" s="3" t="s">
        <v>5035</v>
      </c>
      <c r="B3623" s="3" t="s">
        <v>5036</v>
      </c>
      <c r="C3623" s="3">
        <f>VLOOKUP(B3623,LifeList!$E$2:$J$2038,6)</f>
        <v>17670</v>
      </c>
      <c r="D3623" s="3" t="str">
        <f>VLOOKUP(B3623,LifeList!$E$2:$G$2038,1)</f>
        <v>Superb Fairywren</v>
      </c>
      <c r="E3623" s="3" t="str">
        <f>VLOOKUP(B3623,LifeList!$E$2:$G$2038,2)</f>
        <v>Mérion superbe</v>
      </c>
      <c r="F3623" s="3" t="str">
        <f>VLOOKUP(B3623,LifeList!$E$2:$G$2038,3)</f>
        <v>Malurus cyaneus</v>
      </c>
      <c r="G3623" s="3" t="str">
        <f>VLOOKUP(B3623,LifeList!$E$2:$I$2038,4)</f>
        <v>Passeriformes</v>
      </c>
      <c r="H3623" s="3" t="str">
        <f>VLOOKUP(B3623,LifeList!$E$2:$I$2038,5)</f>
        <v>Maluridae (Fairywrens)</v>
      </c>
      <c r="I3623" s="3"/>
    </row>
    <row r="3624" spans="1:9" ht="10.5" customHeight="1">
      <c r="A3624" s="3" t="s">
        <v>5037</v>
      </c>
      <c r="B3624" s="3" t="s">
        <v>5036</v>
      </c>
      <c r="C3624" s="3">
        <f>VLOOKUP(B3624,LifeList!$E$2:$J$2038,6)</f>
        <v>17670</v>
      </c>
      <c r="D3624" s="3" t="str">
        <f>VLOOKUP(B3624,LifeList!$E$2:$G$2038,1)</f>
        <v>Superb Fairywren</v>
      </c>
      <c r="E3624" s="3" t="str">
        <f>VLOOKUP(B3624,LifeList!$E$2:$G$2038,2)</f>
        <v>Mérion superbe</v>
      </c>
      <c r="F3624" s="3" t="str">
        <f>VLOOKUP(B3624,LifeList!$E$2:$G$2038,3)</f>
        <v>Malurus cyaneus</v>
      </c>
      <c r="G3624" s="3" t="str">
        <f>VLOOKUP(B3624,LifeList!$E$2:$I$2038,4)</f>
        <v>Passeriformes</v>
      </c>
      <c r="H3624" s="3" t="str">
        <f>VLOOKUP(B3624,LifeList!$E$2:$I$2038,5)</f>
        <v>Maluridae (Fairywrens)</v>
      </c>
      <c r="I3624" s="3"/>
    </row>
    <row r="3625" spans="1:9" ht="10.5" customHeight="1">
      <c r="A3625" s="7" t="s">
        <v>5038</v>
      </c>
      <c r="B3625" s="9" t="s">
        <v>5039</v>
      </c>
      <c r="C3625" s="6">
        <f>VLOOKUP(B3625,LifeList!$E$2:$J$2038,6)</f>
        <v>17504</v>
      </c>
      <c r="D3625" s="3" t="str">
        <f>VLOOKUP(B3625,LifeList!$E$2:$G$2038,1)</f>
        <v>Superb Lyrebird</v>
      </c>
      <c r="E3625" s="3" t="str">
        <f>VLOOKUP(B3625,LifeList!$E$2:$G$2038,2)</f>
        <v>Ménure superbe</v>
      </c>
      <c r="F3625" s="3" t="str">
        <f>VLOOKUP(B3625,LifeList!$E$2:$G$2038,3)</f>
        <v>Menura novaehollandiae</v>
      </c>
      <c r="G3625" s="3" t="str">
        <f>VLOOKUP(B3625,LifeList!$E$2:$I$2038,4)</f>
        <v>Passeriformes</v>
      </c>
      <c r="H3625" s="3" t="str">
        <f>VLOOKUP(B3625,LifeList!$E$2:$I$2038,5)</f>
        <v>Menuridae (Lyrebirds)</v>
      </c>
      <c r="I3625" s="3"/>
    </row>
    <row r="3626" spans="1:9" ht="10.5" customHeight="1">
      <c r="A3626" s="7" t="s">
        <v>5040</v>
      </c>
      <c r="B3626" s="9" t="s">
        <v>5041</v>
      </c>
      <c r="C3626" s="6">
        <f>VLOOKUP(B3626,LifeList!$E$2:$J$2038,6)</f>
        <v>12260</v>
      </c>
      <c r="D3626" s="3" t="str">
        <f>VLOOKUP(B3626,LifeList!$E$2:$G$2038,1)</f>
        <v>Superb Parrot</v>
      </c>
      <c r="E3626" s="3" t="str">
        <f>VLOOKUP(B3626,LifeList!$E$2:$G$2038,2)</f>
        <v>Perruche de Barraband</v>
      </c>
      <c r="F3626" s="3" t="str">
        <f>VLOOKUP(B3626,LifeList!$E$2:$G$2038,3)</f>
        <v>Polytelis swainsonii</v>
      </c>
      <c r="G3626" s="3" t="str">
        <f>VLOOKUP(B3626,LifeList!$E$2:$I$2038,4)</f>
        <v>Psittaciformes</v>
      </c>
      <c r="H3626" s="3" t="str">
        <f>VLOOKUP(B3626,LifeList!$E$2:$I$2038,5)</f>
        <v>Psittaculidae (Old World Parrots)</v>
      </c>
      <c r="I3626" s="3"/>
    </row>
    <row r="3627" spans="1:9" ht="10.5" customHeight="1">
      <c r="A3627" s="7" t="s">
        <v>5042</v>
      </c>
      <c r="B3627" s="9" t="s">
        <v>5041</v>
      </c>
      <c r="C3627" s="6">
        <f>VLOOKUP(B3627,LifeList!$E$2:$J$2038,6)</f>
        <v>12260</v>
      </c>
      <c r="D3627" s="3" t="str">
        <f>VLOOKUP(B3627,LifeList!$E$2:$G$2038,1)</f>
        <v>Superb Parrot</v>
      </c>
      <c r="E3627" s="3" t="str">
        <f>VLOOKUP(B3627,LifeList!$E$2:$G$2038,2)</f>
        <v>Perruche de Barraband</v>
      </c>
      <c r="F3627" s="3" t="str">
        <f>VLOOKUP(B3627,LifeList!$E$2:$G$2038,3)</f>
        <v>Polytelis swainsonii</v>
      </c>
      <c r="G3627" s="3" t="str">
        <f>VLOOKUP(B3627,LifeList!$E$2:$I$2038,4)</f>
        <v>Psittaciformes</v>
      </c>
      <c r="H3627" s="3" t="str">
        <f>VLOOKUP(B3627,LifeList!$E$2:$I$2038,5)</f>
        <v>Psittaculidae (Old World Parrots)</v>
      </c>
      <c r="I3627" s="3"/>
    </row>
    <row r="3628" spans="1:9" ht="10.5" customHeight="1">
      <c r="A3628" s="7" t="s">
        <v>5043</v>
      </c>
      <c r="B3628" s="9" t="s">
        <v>5041</v>
      </c>
      <c r="C3628" s="6">
        <f>VLOOKUP(B3628,LifeList!$E$2:$J$2038,6)</f>
        <v>12260</v>
      </c>
      <c r="D3628" s="3" t="str">
        <f>VLOOKUP(B3628,LifeList!$E$2:$G$2038,1)</f>
        <v>Superb Parrot</v>
      </c>
      <c r="E3628" s="3" t="str">
        <f>VLOOKUP(B3628,LifeList!$E$2:$G$2038,2)</f>
        <v>Perruche de Barraband</v>
      </c>
      <c r="F3628" s="3" t="str">
        <f>VLOOKUP(B3628,LifeList!$E$2:$G$2038,3)</f>
        <v>Polytelis swainsonii</v>
      </c>
      <c r="G3628" s="3" t="str">
        <f>VLOOKUP(B3628,LifeList!$E$2:$I$2038,4)</f>
        <v>Psittaciformes</v>
      </c>
      <c r="H3628" s="3" t="str">
        <f>VLOOKUP(B3628,LifeList!$E$2:$I$2038,5)</f>
        <v>Psittaculidae (Old World Parrots)</v>
      </c>
      <c r="I3628" s="3"/>
    </row>
    <row r="3629" spans="1:9" ht="10.5" customHeight="1">
      <c r="A3629" s="3" t="s">
        <v>5044</v>
      </c>
      <c r="B3629" s="3" t="s">
        <v>5045</v>
      </c>
      <c r="C3629" s="3">
        <f>VLOOKUP(B3629,LifeList!$E$2:$J$2038,6)</f>
        <v>27965</v>
      </c>
      <c r="D3629" s="3" t="str">
        <f>VLOOKUP(B3629,LifeList!$E$2:$G$2038,1)</f>
        <v>Superb Starling</v>
      </c>
      <c r="E3629" s="3" t="str">
        <f>VLOOKUP(B3629,LifeList!$E$2:$G$2038,2)</f>
        <v>Choucador superbe</v>
      </c>
      <c r="F3629" s="3" t="str">
        <f>VLOOKUP(B3629,LifeList!$E$2:$G$2038,3)</f>
        <v>Lamprotornis superbus</v>
      </c>
      <c r="G3629" s="3" t="str">
        <f>VLOOKUP(B3629,LifeList!$E$2:$I$2038,4)</f>
        <v>Passeriformes</v>
      </c>
      <c r="H3629" s="3" t="str">
        <f>VLOOKUP(B3629,LifeList!$E$2:$I$2038,5)</f>
        <v>Sturnidae (Starlings)</v>
      </c>
      <c r="I3629" s="3"/>
    </row>
    <row r="3630" spans="1:9" ht="10.5" customHeight="1">
      <c r="A3630" s="3" t="s">
        <v>5046</v>
      </c>
      <c r="B3630" s="3" t="s">
        <v>5047</v>
      </c>
      <c r="C3630" s="3">
        <f>VLOOKUP(B3630,LifeList!$E$2:$J$2038,6)</f>
        <v>34708</v>
      </c>
      <c r="D3630" s="3" t="str">
        <f>VLOOKUP(B3630,LifeList!$E$2:$G$2038,1)</f>
        <v>Superciliaried Hemispingus</v>
      </c>
      <c r="E3630" s="3" t="str">
        <f>VLOOKUP(B3630,LifeList!$E$2:$G$2038,2)</f>
        <v>Tangara bridé</v>
      </c>
      <c r="F3630" s="3" t="str">
        <f>VLOOKUP(B3630,LifeList!$E$2:$G$2038,3)</f>
        <v>Thlypopsis superciliaris</v>
      </c>
      <c r="G3630" s="3" t="str">
        <f>VLOOKUP(B3630,LifeList!$E$2:$I$2038,4)</f>
        <v>Passeriformes</v>
      </c>
      <c r="H3630" s="3" t="str">
        <f>VLOOKUP(B3630,LifeList!$E$2:$I$2038,5)</f>
        <v>Thraupidae (Tanagers and Allies)</v>
      </c>
      <c r="I3630" s="3"/>
    </row>
    <row r="3631" spans="1:9" ht="10.5" customHeight="1">
      <c r="A3631" s="3" t="s">
        <v>5048</v>
      </c>
      <c r="B3631" s="3" t="s">
        <v>5049</v>
      </c>
      <c r="C3631" s="3">
        <f>VLOOKUP(B3631,LifeList!$E$2:$J$2038,6)</f>
        <v>728</v>
      </c>
      <c r="D3631" s="3" t="str">
        <f>VLOOKUP(B3631,LifeList!$E$2:$G$2038,1)</f>
        <v>Surf Scoter</v>
      </c>
      <c r="E3631" s="3" t="str">
        <f>VLOOKUP(B3631,LifeList!$E$2:$G$2038,2)</f>
        <v>Macreuse à front blanc</v>
      </c>
      <c r="F3631" s="3" t="str">
        <f>VLOOKUP(B3631,LifeList!$E$2:$G$2038,3)</f>
        <v>Melanitta perspicillata</v>
      </c>
      <c r="G3631" s="3" t="str">
        <f>VLOOKUP(B3631,LifeList!$E$2:$I$2038,4)</f>
        <v>Anseriformes</v>
      </c>
      <c r="H3631" s="3" t="str">
        <f>VLOOKUP(B3631,LifeList!$E$2:$I$2038,5)</f>
        <v>Anatidae (Ducks, Geese, and Waterfowl)</v>
      </c>
      <c r="I3631" s="3"/>
    </row>
    <row r="3632" spans="1:9" ht="10.5" customHeight="1">
      <c r="A3632" s="3" t="s">
        <v>5050</v>
      </c>
      <c r="B3632" s="3" t="s">
        <v>5049</v>
      </c>
      <c r="C3632" s="3">
        <f>VLOOKUP(B3632,LifeList!$E$2:$J$2038,6)</f>
        <v>728</v>
      </c>
      <c r="D3632" s="3" t="str">
        <f>VLOOKUP(B3632,LifeList!$E$2:$G$2038,1)</f>
        <v>Surf Scoter</v>
      </c>
      <c r="E3632" s="3" t="str">
        <f>VLOOKUP(B3632,LifeList!$E$2:$G$2038,2)</f>
        <v>Macreuse à front blanc</v>
      </c>
      <c r="F3632" s="3" t="str">
        <f>VLOOKUP(B3632,LifeList!$E$2:$G$2038,3)</f>
        <v>Melanitta perspicillata</v>
      </c>
      <c r="G3632" s="3" t="str">
        <f>VLOOKUP(B3632,LifeList!$E$2:$I$2038,4)</f>
        <v>Anseriformes</v>
      </c>
      <c r="H3632" s="3" t="str">
        <f>VLOOKUP(B3632,LifeList!$E$2:$I$2038,5)</f>
        <v>Anatidae (Ducks, Geese, and Waterfowl)</v>
      </c>
      <c r="I3632" s="3"/>
    </row>
    <row r="3633" spans="1:9" ht="10.5" customHeight="1">
      <c r="A3633" s="3" t="s">
        <v>5051</v>
      </c>
      <c r="B3633" s="3" t="s">
        <v>5049</v>
      </c>
      <c r="C3633" s="3">
        <f>VLOOKUP(B3633,LifeList!$E$2:$J$2038,6)</f>
        <v>728</v>
      </c>
      <c r="D3633" s="3" t="str">
        <f>VLOOKUP(B3633,LifeList!$E$2:$G$2038,1)</f>
        <v>Surf Scoter</v>
      </c>
      <c r="E3633" s="3" t="str">
        <f>VLOOKUP(B3633,LifeList!$E$2:$G$2038,2)</f>
        <v>Macreuse à front blanc</v>
      </c>
      <c r="F3633" s="3" t="str">
        <f>VLOOKUP(B3633,LifeList!$E$2:$G$2038,3)</f>
        <v>Melanitta perspicillata</v>
      </c>
      <c r="G3633" s="3" t="str">
        <f>VLOOKUP(B3633,LifeList!$E$2:$I$2038,4)</f>
        <v>Anseriformes</v>
      </c>
      <c r="H3633" s="3" t="str">
        <f>VLOOKUP(B3633,LifeList!$E$2:$I$2038,5)</f>
        <v>Anatidae (Ducks, Geese, and Waterfowl)</v>
      </c>
      <c r="I3633" s="3"/>
    </row>
    <row r="3634" spans="1:9" ht="10.5" customHeight="1">
      <c r="A3634" s="3" t="s">
        <v>5052</v>
      </c>
      <c r="B3634" s="3" t="s">
        <v>5049</v>
      </c>
      <c r="C3634" s="3">
        <f>VLOOKUP(B3634,LifeList!$E$2:$J$2038,6)</f>
        <v>728</v>
      </c>
      <c r="D3634" s="3" t="str">
        <f>VLOOKUP(B3634,LifeList!$E$2:$G$2038,1)</f>
        <v>Surf Scoter</v>
      </c>
      <c r="E3634" s="3" t="str">
        <f>VLOOKUP(B3634,LifeList!$E$2:$G$2038,2)</f>
        <v>Macreuse à front blanc</v>
      </c>
      <c r="F3634" s="3" t="str">
        <f>VLOOKUP(B3634,LifeList!$E$2:$G$2038,3)</f>
        <v>Melanitta perspicillata</v>
      </c>
      <c r="G3634" s="3" t="str">
        <f>VLOOKUP(B3634,LifeList!$E$2:$I$2038,4)</f>
        <v>Anseriformes</v>
      </c>
      <c r="H3634" s="3" t="str">
        <f>VLOOKUP(B3634,LifeList!$E$2:$I$2038,5)</f>
        <v>Anatidae (Ducks, Geese, and Waterfowl)</v>
      </c>
      <c r="I3634" s="3"/>
    </row>
    <row r="3635" spans="1:9" ht="10.5" customHeight="1">
      <c r="A3635" s="3" t="s">
        <v>5053</v>
      </c>
      <c r="B3635" s="5" t="s">
        <v>5054</v>
      </c>
      <c r="C3635" s="3">
        <f>VLOOKUP(B3635,LifeList!$E$2:$J$2038,6)</f>
        <v>28324</v>
      </c>
      <c r="D3635" s="3" t="str">
        <f>VLOOKUP(B3635,LifeList!$E$2:$G$2038,1)</f>
        <v>Swainson's Thrush</v>
      </c>
      <c r="E3635" s="3" t="str">
        <f>VLOOKUP(B3635,LifeList!$E$2:$G$2038,2)</f>
        <v>Grive à dos olive</v>
      </c>
      <c r="F3635" s="3" t="str">
        <f>VLOOKUP(B3635,LifeList!$E$2:$G$2038,3)</f>
        <v>Catharus ustulatus</v>
      </c>
      <c r="G3635" s="3" t="str">
        <f>VLOOKUP(B3635,LifeList!$E$2:$I$2038,4)</f>
        <v>Passeriformes</v>
      </c>
      <c r="H3635" s="3" t="str">
        <f>VLOOKUP(B3635,LifeList!$E$2:$I$2038,5)</f>
        <v>Turdidae (Thrushes and Allies)</v>
      </c>
      <c r="I3635" s="3"/>
    </row>
    <row r="3636" spans="1:9" ht="10.5" customHeight="1">
      <c r="A3636" s="3" t="s">
        <v>5055</v>
      </c>
      <c r="B3636" s="3" t="s">
        <v>5056</v>
      </c>
      <c r="C3636" s="3">
        <f>VLOOKUP(B3636,LifeList!$E$2:$J$2038,6)</f>
        <v>1836</v>
      </c>
      <c r="D3636" s="3" t="str">
        <f>VLOOKUP(B3636,LifeList!$E$2:$G$2038,1)</f>
        <v>Swainson's Spurfowl</v>
      </c>
      <c r="E3636" s="3" t="str">
        <f>VLOOKUP(B3636,LifeList!$E$2:$G$2038,2)</f>
        <v>Francolin de Swainson</v>
      </c>
      <c r="F3636" s="3" t="str">
        <f>VLOOKUP(B3636,LifeList!$E$2:$G$2038,3)</f>
        <v>Pternistis swainsonii</v>
      </c>
      <c r="G3636" s="3" t="str">
        <f>VLOOKUP(B3636,LifeList!$E$2:$I$2038,4)</f>
        <v>Galliformes</v>
      </c>
      <c r="H3636" s="3" t="str">
        <f>VLOOKUP(B3636,LifeList!$E$2:$I$2038,5)</f>
        <v>Phasianidae (Pheasants, Grouse, and Allies)</v>
      </c>
      <c r="I3636" s="3"/>
    </row>
    <row r="3637" spans="1:9" ht="10.5" customHeight="1">
      <c r="A3637" s="3" t="s">
        <v>5057</v>
      </c>
      <c r="B3637" s="3" t="s">
        <v>5054</v>
      </c>
      <c r="C3637" s="3">
        <f>VLOOKUP(B3637,LifeList!$E$2:$J$2038,6)</f>
        <v>28324</v>
      </c>
      <c r="D3637" s="3" t="str">
        <f>VLOOKUP(B3637,LifeList!$E$2:$G$2038,1)</f>
        <v>Swainson's Thrush</v>
      </c>
      <c r="E3637" s="3" t="str">
        <f>VLOOKUP(B3637,LifeList!$E$2:$G$2038,2)</f>
        <v>Grive à dos olive</v>
      </c>
      <c r="F3637" s="3" t="str">
        <f>VLOOKUP(B3637,LifeList!$E$2:$G$2038,3)</f>
        <v>Catharus ustulatus</v>
      </c>
      <c r="G3637" s="3" t="str">
        <f>VLOOKUP(B3637,LifeList!$E$2:$I$2038,4)</f>
        <v>Passeriformes</v>
      </c>
      <c r="H3637" s="3" t="str">
        <f>VLOOKUP(B3637,LifeList!$E$2:$I$2038,5)</f>
        <v>Turdidae (Thrushes and Allies)</v>
      </c>
      <c r="I3637" s="3"/>
    </row>
    <row r="3638" spans="1:9" ht="10.5" customHeight="1">
      <c r="A3638" s="3" t="s">
        <v>5058</v>
      </c>
      <c r="B3638" s="3" t="s">
        <v>5054</v>
      </c>
      <c r="C3638" s="3">
        <f>VLOOKUP(B3638,LifeList!$E$2:$J$2038,6)</f>
        <v>28324</v>
      </c>
      <c r="D3638" s="3" t="str">
        <f>VLOOKUP(B3638,LifeList!$E$2:$G$2038,1)</f>
        <v>Swainson's Thrush</v>
      </c>
      <c r="E3638" s="3" t="str">
        <f>VLOOKUP(B3638,LifeList!$E$2:$G$2038,2)</f>
        <v>Grive à dos olive</v>
      </c>
      <c r="F3638" s="3" t="str">
        <f>VLOOKUP(B3638,LifeList!$E$2:$G$2038,3)</f>
        <v>Catharus ustulatus</v>
      </c>
      <c r="G3638" s="3" t="str">
        <f>VLOOKUP(B3638,LifeList!$E$2:$I$2038,4)</f>
        <v>Passeriformes</v>
      </c>
      <c r="H3638" s="3" t="str">
        <f>VLOOKUP(B3638,LifeList!$E$2:$I$2038,5)</f>
        <v>Turdidae (Thrushes and Allies)</v>
      </c>
      <c r="I3638" s="3"/>
    </row>
    <row r="3639" spans="1:9" ht="10.5" customHeight="1">
      <c r="A3639" s="3" t="s">
        <v>5059</v>
      </c>
      <c r="B3639" s="3" t="s">
        <v>5054</v>
      </c>
      <c r="C3639" s="3">
        <f>VLOOKUP(B3639,LifeList!$E$2:$J$2038,6)</f>
        <v>28324</v>
      </c>
      <c r="D3639" s="3" t="str">
        <f>VLOOKUP(B3639,LifeList!$E$2:$G$2038,1)</f>
        <v>Swainson's Thrush</v>
      </c>
      <c r="E3639" s="3" t="str">
        <f>VLOOKUP(B3639,LifeList!$E$2:$G$2038,2)</f>
        <v>Grive à dos olive</v>
      </c>
      <c r="F3639" s="3" t="str">
        <f>VLOOKUP(B3639,LifeList!$E$2:$G$2038,3)</f>
        <v>Catharus ustulatus</v>
      </c>
      <c r="G3639" s="3" t="str">
        <f>VLOOKUP(B3639,LifeList!$E$2:$I$2038,4)</f>
        <v>Passeriformes</v>
      </c>
      <c r="H3639" s="3" t="str">
        <f>VLOOKUP(B3639,LifeList!$E$2:$I$2038,5)</f>
        <v>Turdidae (Thrushes and Allies)</v>
      </c>
      <c r="I3639" s="3"/>
    </row>
    <row r="3640" spans="1:9" ht="10.5" customHeight="1">
      <c r="A3640" s="3" t="s">
        <v>5060</v>
      </c>
      <c r="B3640" s="3" t="s">
        <v>5054</v>
      </c>
      <c r="C3640" s="3">
        <f>VLOOKUP(B3640,LifeList!$E$2:$J$2038,6)</f>
        <v>28324</v>
      </c>
      <c r="D3640" s="3" t="str">
        <f>VLOOKUP(B3640,LifeList!$E$2:$G$2038,1)</f>
        <v>Swainson's Thrush</v>
      </c>
      <c r="E3640" s="3" t="str">
        <f>VLOOKUP(B3640,LifeList!$E$2:$G$2038,2)</f>
        <v>Grive à dos olive</v>
      </c>
      <c r="F3640" s="3" t="str">
        <f>VLOOKUP(B3640,LifeList!$E$2:$G$2038,3)</f>
        <v>Catharus ustulatus</v>
      </c>
      <c r="G3640" s="3" t="str">
        <f>VLOOKUP(B3640,LifeList!$E$2:$I$2038,4)</f>
        <v>Passeriformes</v>
      </c>
      <c r="H3640" s="3" t="str">
        <f>VLOOKUP(B3640,LifeList!$E$2:$I$2038,5)</f>
        <v>Turdidae (Thrushes and Allies)</v>
      </c>
      <c r="I3640" s="3"/>
    </row>
    <row r="3641" spans="1:9" ht="10.5" customHeight="1">
      <c r="A3641" s="3" t="s">
        <v>5061</v>
      </c>
      <c r="B3641" s="3" t="s">
        <v>5054</v>
      </c>
      <c r="C3641" s="3">
        <f>VLOOKUP(B3641,LifeList!$E$2:$J$2038,6)</f>
        <v>28324</v>
      </c>
      <c r="D3641" s="3" t="str">
        <f>VLOOKUP(B3641,LifeList!$E$2:$G$2038,1)</f>
        <v>Swainson's Thrush</v>
      </c>
      <c r="E3641" s="3" t="str">
        <f>VLOOKUP(B3641,LifeList!$E$2:$G$2038,2)</f>
        <v>Grive à dos olive</v>
      </c>
      <c r="F3641" s="3" t="str">
        <f>VLOOKUP(B3641,LifeList!$E$2:$G$2038,3)</f>
        <v>Catharus ustulatus</v>
      </c>
      <c r="G3641" s="3" t="str">
        <f>VLOOKUP(B3641,LifeList!$E$2:$I$2038,4)</f>
        <v>Passeriformes</v>
      </c>
      <c r="H3641" s="3" t="str">
        <f>VLOOKUP(B3641,LifeList!$E$2:$I$2038,5)</f>
        <v>Turdidae (Thrushes and Allies)</v>
      </c>
      <c r="I3641" s="3"/>
    </row>
    <row r="3642" spans="1:9" ht="10.5" customHeight="1">
      <c r="A3642" s="3" t="s">
        <v>5062</v>
      </c>
      <c r="B3642" s="3" t="s">
        <v>5054</v>
      </c>
      <c r="C3642" s="3">
        <f>VLOOKUP(B3642,LifeList!$E$2:$J$2038,6)</f>
        <v>28324</v>
      </c>
      <c r="D3642" s="3" t="str">
        <f>VLOOKUP(B3642,LifeList!$E$2:$G$2038,1)</f>
        <v>Swainson's Thrush</v>
      </c>
      <c r="E3642" s="3" t="str">
        <f>VLOOKUP(B3642,LifeList!$E$2:$G$2038,2)</f>
        <v>Grive à dos olive</v>
      </c>
      <c r="F3642" s="3" t="str">
        <f>VLOOKUP(B3642,LifeList!$E$2:$G$2038,3)</f>
        <v>Catharus ustulatus</v>
      </c>
      <c r="G3642" s="3" t="str">
        <f>VLOOKUP(B3642,LifeList!$E$2:$I$2038,4)</f>
        <v>Passeriformes</v>
      </c>
      <c r="H3642" s="3" t="str">
        <f>VLOOKUP(B3642,LifeList!$E$2:$I$2038,5)</f>
        <v>Turdidae (Thrushes and Allies)</v>
      </c>
      <c r="I3642" s="3"/>
    </row>
    <row r="3643" spans="1:9" ht="10.5" customHeight="1">
      <c r="A3643" s="3" t="s">
        <v>5063</v>
      </c>
      <c r="B3643" s="3" t="s">
        <v>5054</v>
      </c>
      <c r="C3643" s="3">
        <f>VLOOKUP(B3643,LifeList!$E$2:$J$2038,6)</f>
        <v>28324</v>
      </c>
      <c r="D3643" s="3" t="str">
        <f>VLOOKUP(B3643,LifeList!$E$2:$G$2038,1)</f>
        <v>Swainson's Thrush</v>
      </c>
      <c r="E3643" s="3" t="str">
        <f>VLOOKUP(B3643,LifeList!$E$2:$G$2038,2)</f>
        <v>Grive à dos olive</v>
      </c>
      <c r="F3643" s="3" t="str">
        <f>VLOOKUP(B3643,LifeList!$E$2:$G$2038,3)</f>
        <v>Catharus ustulatus</v>
      </c>
      <c r="G3643" s="3" t="str">
        <f>VLOOKUP(B3643,LifeList!$E$2:$I$2038,4)</f>
        <v>Passeriformes</v>
      </c>
      <c r="H3643" s="3" t="str">
        <f>VLOOKUP(B3643,LifeList!$E$2:$I$2038,5)</f>
        <v>Turdidae (Thrushes and Allies)</v>
      </c>
      <c r="I3643" s="3"/>
    </row>
    <row r="3644" spans="1:9" ht="10.5" customHeight="1">
      <c r="A3644" s="3" t="s">
        <v>5064</v>
      </c>
      <c r="B3644" s="3" t="s">
        <v>5065</v>
      </c>
      <c r="C3644" s="3">
        <f>VLOOKUP(B3644,LifeList!$E$2:$J$2038,6)</f>
        <v>35137</v>
      </c>
      <c r="D3644" s="3" t="str">
        <f>VLOOKUP(B3644,LifeList!$E$2:$G$2038,1)</f>
        <v>Swallow Tanager</v>
      </c>
      <c r="E3644" s="3" t="str">
        <f>VLOOKUP(B3644,LifeList!$E$2:$G$2038,2)</f>
        <v>Tersine hirondelle</v>
      </c>
      <c r="F3644" s="3" t="str">
        <f>VLOOKUP(B3644,LifeList!$E$2:$G$2038,3)</f>
        <v>Tersina viridis</v>
      </c>
      <c r="G3644" s="3" t="str">
        <f>VLOOKUP(B3644,LifeList!$E$2:$I$2038,4)</f>
        <v>Passeriformes</v>
      </c>
      <c r="H3644" s="3" t="str">
        <f>VLOOKUP(B3644,LifeList!$E$2:$I$2038,5)</f>
        <v>Thraupidae (Tanagers and Allies)</v>
      </c>
      <c r="I3644" s="3"/>
    </row>
    <row r="3645" spans="1:9" ht="10.5" customHeight="1">
      <c r="A3645" s="3" t="s">
        <v>5066</v>
      </c>
      <c r="B3645" s="3" t="s">
        <v>5065</v>
      </c>
      <c r="C3645" s="3">
        <f>VLOOKUP(B3645,LifeList!$E$2:$J$2038,6)</f>
        <v>35137</v>
      </c>
      <c r="D3645" s="3" t="str">
        <f>VLOOKUP(B3645,LifeList!$E$2:$G$2038,1)</f>
        <v>Swallow Tanager</v>
      </c>
      <c r="E3645" s="3" t="str">
        <f>VLOOKUP(B3645,LifeList!$E$2:$G$2038,2)</f>
        <v>Tersine hirondelle</v>
      </c>
      <c r="F3645" s="3" t="str">
        <f>VLOOKUP(B3645,LifeList!$E$2:$G$2038,3)</f>
        <v>Tersina viridis</v>
      </c>
      <c r="G3645" s="3" t="str">
        <f>VLOOKUP(B3645,LifeList!$E$2:$I$2038,4)</f>
        <v>Passeriformes</v>
      </c>
      <c r="H3645" s="3" t="str">
        <f>VLOOKUP(B3645,LifeList!$E$2:$I$2038,5)</f>
        <v>Thraupidae (Tanagers and Allies)</v>
      </c>
      <c r="I3645" s="3"/>
    </row>
    <row r="3646" spans="1:9" ht="10.5" customHeight="1">
      <c r="A3646" s="3" t="s">
        <v>5067</v>
      </c>
      <c r="B3646" s="3" t="s">
        <v>5065</v>
      </c>
      <c r="C3646" s="3">
        <f>VLOOKUP(B3646,LifeList!$E$2:$J$2038,6)</f>
        <v>35137</v>
      </c>
      <c r="D3646" s="3" t="str">
        <f>VLOOKUP(B3646,LifeList!$E$2:$G$2038,1)</f>
        <v>Swallow Tanager</v>
      </c>
      <c r="E3646" s="3" t="str">
        <f>VLOOKUP(B3646,LifeList!$E$2:$G$2038,2)</f>
        <v>Tersine hirondelle</v>
      </c>
      <c r="F3646" s="3" t="str">
        <f>VLOOKUP(B3646,LifeList!$E$2:$G$2038,3)</f>
        <v>Tersina viridis</v>
      </c>
      <c r="G3646" s="3" t="str">
        <f>VLOOKUP(B3646,LifeList!$E$2:$I$2038,4)</f>
        <v>Passeriformes</v>
      </c>
      <c r="H3646" s="3" t="str">
        <f>VLOOKUP(B3646,LifeList!$E$2:$I$2038,5)</f>
        <v>Thraupidae (Tanagers and Allies)</v>
      </c>
      <c r="I3646" s="3"/>
    </row>
    <row r="3647" spans="1:9" ht="10.5" customHeight="1">
      <c r="A3647" s="3" t="s">
        <v>5068</v>
      </c>
      <c r="B3647" s="3" t="s">
        <v>5065</v>
      </c>
      <c r="C3647" s="3">
        <f>VLOOKUP(B3647,LifeList!$E$2:$J$2038,6)</f>
        <v>35137</v>
      </c>
      <c r="D3647" s="3" t="str">
        <f>VLOOKUP(B3647,LifeList!$E$2:$G$2038,1)</f>
        <v>Swallow Tanager</v>
      </c>
      <c r="E3647" s="3" t="str">
        <f>VLOOKUP(B3647,LifeList!$E$2:$G$2038,2)</f>
        <v>Tersine hirondelle</v>
      </c>
      <c r="F3647" s="3" t="str">
        <f>VLOOKUP(B3647,LifeList!$E$2:$G$2038,3)</f>
        <v>Tersina viridis</v>
      </c>
      <c r="G3647" s="3" t="str">
        <f>VLOOKUP(B3647,LifeList!$E$2:$I$2038,4)</f>
        <v>Passeriformes</v>
      </c>
      <c r="H3647" s="3" t="str">
        <f>VLOOKUP(B3647,LifeList!$E$2:$I$2038,5)</f>
        <v>Thraupidae (Tanagers and Allies)</v>
      </c>
      <c r="I3647" s="3"/>
    </row>
    <row r="3648" spans="1:9" ht="10.5" customHeight="1">
      <c r="A3648" s="3" t="s">
        <v>5069</v>
      </c>
      <c r="B3648" s="3" t="s">
        <v>5070</v>
      </c>
      <c r="C3648" s="3">
        <f>VLOOKUP(B3648,LifeList!$E$2:$J$2038,6)</f>
        <v>6446</v>
      </c>
      <c r="D3648" s="3" t="str">
        <f>VLOOKUP(B3648,LifeList!$E$2:$G$2038,1)</f>
        <v>Swallow-tailed Gull</v>
      </c>
      <c r="E3648" s="3" t="str">
        <f>VLOOKUP(B3648,LifeList!$E$2:$G$2038,2)</f>
        <v>Mouette à queue fourchue</v>
      </c>
      <c r="F3648" s="3" t="str">
        <f>VLOOKUP(B3648,LifeList!$E$2:$G$2038,3)</f>
        <v>Creagrus furcatus</v>
      </c>
      <c r="G3648" s="3" t="str">
        <f>VLOOKUP(B3648,LifeList!$E$2:$I$2038,4)</f>
        <v>Charadriiformes</v>
      </c>
      <c r="H3648" s="3" t="str">
        <f>VLOOKUP(B3648,LifeList!$E$2:$I$2038,5)</f>
        <v>Laridae (Gulls, Terns, and Skimmers)</v>
      </c>
      <c r="I3648" s="3"/>
    </row>
    <row r="3649" spans="1:9" ht="10.5" customHeight="1">
      <c r="A3649" s="3" t="s">
        <v>5071</v>
      </c>
      <c r="B3649" s="3" t="s">
        <v>5072</v>
      </c>
      <c r="C3649" s="3">
        <f>VLOOKUP(B3649,LifeList!$E$2:$J$2038,6)</f>
        <v>7921</v>
      </c>
      <c r="D3649" s="3" t="str">
        <f>VLOOKUP(B3649,LifeList!$E$2:$G$2038,1)</f>
        <v>Swallow-tailed Kite</v>
      </c>
      <c r="E3649" s="3" t="str">
        <f>VLOOKUP(B3649,LifeList!$E$2:$G$2038,2)</f>
        <v>Naucler à queue fourchue</v>
      </c>
      <c r="F3649" s="3" t="str">
        <f>VLOOKUP(B3649,LifeList!$E$2:$G$2038,3)</f>
        <v>Elanoides forficatus</v>
      </c>
      <c r="G3649" s="3" t="str">
        <f>VLOOKUP(B3649,LifeList!$E$2:$I$2038,4)</f>
        <v>Accipitriformes</v>
      </c>
      <c r="H3649" s="3" t="str">
        <f>VLOOKUP(B3649,LifeList!$E$2:$I$2038,5)</f>
        <v>Accipitridae (Hawks, Eagles, and Kites)</v>
      </c>
      <c r="I3649" s="3"/>
    </row>
    <row r="3650" spans="1:9" ht="10.5" customHeight="1">
      <c r="A3650" s="3" t="s">
        <v>5073</v>
      </c>
      <c r="B3650" s="3" t="s">
        <v>5072</v>
      </c>
      <c r="C3650" s="3">
        <f>VLOOKUP(B3650,LifeList!$E$2:$J$2038,6)</f>
        <v>7921</v>
      </c>
      <c r="D3650" s="3" t="str">
        <f>VLOOKUP(B3650,LifeList!$E$2:$G$2038,1)</f>
        <v>Swallow-tailed Kite</v>
      </c>
      <c r="E3650" s="3" t="str">
        <f>VLOOKUP(B3650,LifeList!$E$2:$G$2038,2)</f>
        <v>Naucler à queue fourchue</v>
      </c>
      <c r="F3650" s="3" t="str">
        <f>VLOOKUP(B3650,LifeList!$E$2:$G$2038,3)</f>
        <v>Elanoides forficatus</v>
      </c>
      <c r="G3650" s="3" t="str">
        <f>VLOOKUP(B3650,LifeList!$E$2:$I$2038,4)</f>
        <v>Accipitriformes</v>
      </c>
      <c r="H3650" s="3" t="str">
        <f>VLOOKUP(B3650,LifeList!$E$2:$I$2038,5)</f>
        <v>Accipitridae (Hawks, Eagles, and Kites)</v>
      </c>
      <c r="I3650" s="3"/>
    </row>
    <row r="3651" spans="1:9" ht="10.5" customHeight="1">
      <c r="A3651" s="3" t="s">
        <v>5074</v>
      </c>
      <c r="B3651" s="3" t="s">
        <v>5072</v>
      </c>
      <c r="C3651" s="3">
        <f>VLOOKUP(B3651,LifeList!$E$2:$J$2038,6)</f>
        <v>7921</v>
      </c>
      <c r="D3651" s="3" t="str">
        <f>VLOOKUP(B3651,LifeList!$E$2:$G$2038,1)</f>
        <v>Swallow-tailed Kite</v>
      </c>
      <c r="E3651" s="3" t="str">
        <f>VLOOKUP(B3651,LifeList!$E$2:$G$2038,2)</f>
        <v>Naucler à queue fourchue</v>
      </c>
      <c r="F3651" s="3" t="str">
        <f>VLOOKUP(B3651,LifeList!$E$2:$G$2038,3)</f>
        <v>Elanoides forficatus</v>
      </c>
      <c r="G3651" s="3" t="str">
        <f>VLOOKUP(B3651,LifeList!$E$2:$I$2038,4)</f>
        <v>Accipitriformes</v>
      </c>
      <c r="H3651" s="3" t="str">
        <f>VLOOKUP(B3651,LifeList!$E$2:$I$2038,5)</f>
        <v>Accipitridae (Hawks, Eagles, and Kites)</v>
      </c>
      <c r="I3651" s="3"/>
    </row>
    <row r="3652" spans="1:9" ht="10.5" customHeight="1">
      <c r="A3652" s="3" t="s">
        <v>5075</v>
      </c>
      <c r="B3652" s="3" t="s">
        <v>5072</v>
      </c>
      <c r="C3652" s="3">
        <f>VLOOKUP(B3652,LifeList!$E$2:$J$2038,6)</f>
        <v>7921</v>
      </c>
      <c r="D3652" s="3" t="str">
        <f>VLOOKUP(B3652,LifeList!$E$2:$G$2038,1)</f>
        <v>Swallow-tailed Kite</v>
      </c>
      <c r="E3652" s="3" t="str">
        <f>VLOOKUP(B3652,LifeList!$E$2:$G$2038,2)</f>
        <v>Naucler à queue fourchue</v>
      </c>
      <c r="F3652" s="3" t="str">
        <f>VLOOKUP(B3652,LifeList!$E$2:$G$2038,3)</f>
        <v>Elanoides forficatus</v>
      </c>
      <c r="G3652" s="3" t="str">
        <f>VLOOKUP(B3652,LifeList!$E$2:$I$2038,4)</f>
        <v>Accipitriformes</v>
      </c>
      <c r="H3652" s="3" t="str">
        <f>VLOOKUP(B3652,LifeList!$E$2:$I$2038,5)</f>
        <v>Accipitridae (Hawks, Eagles, and Kites)</v>
      </c>
      <c r="I3652" s="3"/>
    </row>
    <row r="3653" spans="1:9" ht="10.5" customHeight="1">
      <c r="A3653" s="3" t="s">
        <v>5076</v>
      </c>
      <c r="B3653" s="3" t="s">
        <v>5072</v>
      </c>
      <c r="C3653" s="3">
        <f>VLOOKUP(B3653,LifeList!$E$2:$J$2038,6)</f>
        <v>7921</v>
      </c>
      <c r="D3653" s="3" t="str">
        <f>VLOOKUP(B3653,LifeList!$E$2:$G$2038,1)</f>
        <v>Swallow-tailed Kite</v>
      </c>
      <c r="E3653" s="3" t="str">
        <f>VLOOKUP(B3653,LifeList!$E$2:$G$2038,2)</f>
        <v>Naucler à queue fourchue</v>
      </c>
      <c r="F3653" s="3" t="str">
        <f>VLOOKUP(B3653,LifeList!$E$2:$G$2038,3)</f>
        <v>Elanoides forficatus</v>
      </c>
      <c r="G3653" s="3" t="str">
        <f>VLOOKUP(B3653,LifeList!$E$2:$I$2038,4)</f>
        <v>Accipitriformes</v>
      </c>
      <c r="H3653" s="3" t="str">
        <f>VLOOKUP(B3653,LifeList!$E$2:$I$2038,5)</f>
        <v>Accipitridae (Hawks, Eagles, and Kites)</v>
      </c>
      <c r="I3653" s="3"/>
    </row>
    <row r="3654" spans="1:9" ht="10.5" customHeight="1">
      <c r="A3654" s="3" t="s">
        <v>5077</v>
      </c>
      <c r="B3654" s="3" t="s">
        <v>5072</v>
      </c>
      <c r="C3654" s="3">
        <f>VLOOKUP(B3654,LifeList!$E$2:$J$2038,6)</f>
        <v>7921</v>
      </c>
      <c r="D3654" s="3" t="str">
        <f>VLOOKUP(B3654,LifeList!$E$2:$G$2038,1)</f>
        <v>Swallow-tailed Kite</v>
      </c>
      <c r="E3654" s="3" t="str">
        <f>VLOOKUP(B3654,LifeList!$E$2:$G$2038,2)</f>
        <v>Naucler à queue fourchue</v>
      </c>
      <c r="F3654" s="3" t="str">
        <f>VLOOKUP(B3654,LifeList!$E$2:$G$2038,3)</f>
        <v>Elanoides forficatus</v>
      </c>
      <c r="G3654" s="3" t="str">
        <f>VLOOKUP(B3654,LifeList!$E$2:$I$2038,4)</f>
        <v>Accipitriformes</v>
      </c>
      <c r="H3654" s="3" t="str">
        <f>VLOOKUP(B3654,LifeList!$E$2:$I$2038,5)</f>
        <v>Accipitridae (Hawks, Eagles, and Kites)</v>
      </c>
      <c r="I3654" s="3"/>
    </row>
    <row r="3655" spans="1:9" ht="10.5" customHeight="1">
      <c r="A3655" s="3" t="s">
        <v>5078</v>
      </c>
      <c r="B3655" s="3" t="s">
        <v>5072</v>
      </c>
      <c r="C3655" s="3">
        <f>VLOOKUP(B3655,LifeList!$E$2:$J$2038,6)</f>
        <v>7921</v>
      </c>
      <c r="D3655" s="3" t="str">
        <f>VLOOKUP(B3655,LifeList!$E$2:$G$2038,1)</f>
        <v>Swallow-tailed Kite</v>
      </c>
      <c r="E3655" s="3" t="str">
        <f>VLOOKUP(B3655,LifeList!$E$2:$G$2038,2)</f>
        <v>Naucler à queue fourchue</v>
      </c>
      <c r="F3655" s="3" t="str">
        <f>VLOOKUP(B3655,LifeList!$E$2:$G$2038,3)</f>
        <v>Elanoides forficatus</v>
      </c>
      <c r="G3655" s="3" t="str">
        <f>VLOOKUP(B3655,LifeList!$E$2:$I$2038,4)</f>
        <v>Accipitriformes</v>
      </c>
      <c r="H3655" s="3" t="str">
        <f>VLOOKUP(B3655,LifeList!$E$2:$I$2038,5)</f>
        <v>Accipitridae (Hawks, Eagles, and Kites)</v>
      </c>
      <c r="I3655" s="3"/>
    </row>
    <row r="3656" spans="1:9" ht="10.5" customHeight="1">
      <c r="A3656" s="3" t="s">
        <v>5079</v>
      </c>
      <c r="B3656" s="3" t="s">
        <v>5072</v>
      </c>
      <c r="C3656" s="3">
        <f>VLOOKUP(B3656,LifeList!$E$2:$J$2038,6)</f>
        <v>7921</v>
      </c>
      <c r="D3656" s="3" t="str">
        <f>VLOOKUP(B3656,LifeList!$E$2:$G$2038,1)</f>
        <v>Swallow-tailed Kite</v>
      </c>
      <c r="E3656" s="3" t="str">
        <f>VLOOKUP(B3656,LifeList!$E$2:$G$2038,2)</f>
        <v>Naucler à queue fourchue</v>
      </c>
      <c r="F3656" s="3" t="str">
        <f>VLOOKUP(B3656,LifeList!$E$2:$G$2038,3)</f>
        <v>Elanoides forficatus</v>
      </c>
      <c r="G3656" s="3" t="str">
        <f>VLOOKUP(B3656,LifeList!$E$2:$I$2038,4)</f>
        <v>Accipitriformes</v>
      </c>
      <c r="H3656" s="3" t="str">
        <f>VLOOKUP(B3656,LifeList!$E$2:$I$2038,5)</f>
        <v>Accipitridae (Hawks, Eagles, and Kites)</v>
      </c>
      <c r="I3656" s="3"/>
    </row>
    <row r="3657" spans="1:9" ht="10.5" customHeight="1">
      <c r="A3657" s="3" t="s">
        <v>5080</v>
      </c>
      <c r="B3657" s="3" t="s">
        <v>5072</v>
      </c>
      <c r="C3657" s="3">
        <f>VLOOKUP(B3657,LifeList!$E$2:$J$2038,6)</f>
        <v>7921</v>
      </c>
      <c r="D3657" s="3" t="str">
        <f>VLOOKUP(B3657,LifeList!$E$2:$G$2038,1)</f>
        <v>Swallow-tailed Kite</v>
      </c>
      <c r="E3657" s="3" t="str">
        <f>VLOOKUP(B3657,LifeList!$E$2:$G$2038,2)</f>
        <v>Naucler à queue fourchue</v>
      </c>
      <c r="F3657" s="3" t="str">
        <f>VLOOKUP(B3657,LifeList!$E$2:$G$2038,3)</f>
        <v>Elanoides forficatus</v>
      </c>
      <c r="G3657" s="3" t="str">
        <f>VLOOKUP(B3657,LifeList!$E$2:$I$2038,4)</f>
        <v>Accipitriformes</v>
      </c>
      <c r="H3657" s="3" t="str">
        <f>VLOOKUP(B3657,LifeList!$E$2:$I$2038,5)</f>
        <v>Accipitridae (Hawks, Eagles, and Kites)</v>
      </c>
      <c r="I3657" s="3"/>
    </row>
    <row r="3658" spans="1:9" ht="10.5" customHeight="1">
      <c r="A3658" s="3" t="s">
        <v>5081</v>
      </c>
      <c r="B3658" s="3" t="s">
        <v>5072</v>
      </c>
      <c r="C3658" s="3">
        <f>VLOOKUP(B3658,LifeList!$E$2:$J$2038,6)</f>
        <v>7921</v>
      </c>
      <c r="D3658" s="3" t="str">
        <f>VLOOKUP(B3658,LifeList!$E$2:$G$2038,1)</f>
        <v>Swallow-tailed Kite</v>
      </c>
      <c r="E3658" s="3" t="str">
        <f>VLOOKUP(B3658,LifeList!$E$2:$G$2038,2)</f>
        <v>Naucler à queue fourchue</v>
      </c>
      <c r="F3658" s="3" t="str">
        <f>VLOOKUP(B3658,LifeList!$E$2:$G$2038,3)</f>
        <v>Elanoides forficatus</v>
      </c>
      <c r="G3658" s="3" t="str">
        <f>VLOOKUP(B3658,LifeList!$E$2:$I$2038,4)</f>
        <v>Accipitriformes</v>
      </c>
      <c r="H3658" s="3" t="str">
        <f>VLOOKUP(B3658,LifeList!$E$2:$I$2038,5)</f>
        <v>Accipitridae (Hawks, Eagles, and Kites)</v>
      </c>
      <c r="I3658" s="3"/>
    </row>
    <row r="3659" spans="1:9" ht="10.5" customHeight="1">
      <c r="A3659" s="3" t="s">
        <v>5082</v>
      </c>
      <c r="B3659" s="3" t="s">
        <v>5072</v>
      </c>
      <c r="C3659" s="3">
        <f>VLOOKUP(B3659,LifeList!$E$2:$J$2038,6)</f>
        <v>7921</v>
      </c>
      <c r="D3659" s="3" t="str">
        <f>VLOOKUP(B3659,LifeList!$E$2:$G$2038,1)</f>
        <v>Swallow-tailed Kite</v>
      </c>
      <c r="E3659" s="3" t="str">
        <f>VLOOKUP(B3659,LifeList!$E$2:$G$2038,2)</f>
        <v>Naucler à queue fourchue</v>
      </c>
      <c r="F3659" s="3" t="str">
        <f>VLOOKUP(B3659,LifeList!$E$2:$G$2038,3)</f>
        <v>Elanoides forficatus</v>
      </c>
      <c r="G3659" s="3" t="str">
        <f>VLOOKUP(B3659,LifeList!$E$2:$I$2038,4)</f>
        <v>Accipitriformes</v>
      </c>
      <c r="H3659" s="3" t="str">
        <f>VLOOKUP(B3659,LifeList!$E$2:$I$2038,5)</f>
        <v>Accipitridae (Hawks, Eagles, and Kites)</v>
      </c>
      <c r="I3659" s="3"/>
    </row>
    <row r="3660" spans="1:9" ht="10.5" customHeight="1">
      <c r="A3660" s="5" t="s">
        <v>5083</v>
      </c>
      <c r="B3660" s="3" t="s">
        <v>5084</v>
      </c>
      <c r="C3660" s="3">
        <f>VLOOKUP(B3660,LifeList!$E$2:$J$2038,6)</f>
        <v>33315</v>
      </c>
      <c r="D3660" s="3" t="str">
        <f>VLOOKUP(B3660,LifeList!$E$2:$G$2038,1)</f>
        <v>Swamp Sparrow</v>
      </c>
      <c r="E3660" s="3" t="str">
        <f>VLOOKUP(B3660,LifeList!$E$2:$G$2038,2)</f>
        <v>Bruant des marais</v>
      </c>
      <c r="F3660" s="3" t="str">
        <f>VLOOKUP(B3660,LifeList!$E$2:$G$2038,3)</f>
        <v>Melospiza georgiana</v>
      </c>
      <c r="G3660" s="3" t="str">
        <f>VLOOKUP(B3660,LifeList!$E$2:$I$2038,4)</f>
        <v>Passeriformes</v>
      </c>
      <c r="H3660" s="3" t="str">
        <f>VLOOKUP(B3660,LifeList!$E$2:$I$2038,5)</f>
        <v>Passerellidae (New World Sparrows)</v>
      </c>
      <c r="I3660" s="3"/>
    </row>
    <row r="3661" spans="1:9" ht="10.5" customHeight="1">
      <c r="A3661" s="3" t="s">
        <v>5085</v>
      </c>
      <c r="B3661" s="3" t="s">
        <v>5086</v>
      </c>
      <c r="C3661" s="3">
        <f>VLOOKUP(B3661,LifeList!$E$2:$J$2038,6)</f>
        <v>8315</v>
      </c>
      <c r="D3661" s="3" t="str">
        <f>VLOOKUP(B3661,LifeList!$E$2:$G$2038,1)</f>
        <v>Swamp Harrier</v>
      </c>
      <c r="E3661" s="3" t="str">
        <f>VLOOKUP(B3661,LifeList!$E$2:$G$2038,2)</f>
        <v>Busard de Gould</v>
      </c>
      <c r="F3661" s="3" t="str">
        <f>VLOOKUP(B3661,LifeList!$E$2:$G$2038,3)</f>
        <v>Circus approximans</v>
      </c>
      <c r="G3661" s="3" t="str">
        <f>VLOOKUP(B3661,LifeList!$E$2:$I$2038,4)</f>
        <v>Accipitriformes</v>
      </c>
      <c r="H3661" s="3" t="str">
        <f>VLOOKUP(B3661,LifeList!$E$2:$I$2038,5)</f>
        <v>Accipitridae (Hawks, Eagles, and Kites)</v>
      </c>
      <c r="I3661" s="3"/>
    </row>
    <row r="3662" spans="1:9" ht="10.5" customHeight="1">
      <c r="A3662" s="3" t="s">
        <v>5087</v>
      </c>
      <c r="B3662" s="3" t="s">
        <v>5088</v>
      </c>
      <c r="C3662" s="3">
        <f>VLOOKUP(B3662,LifeList!$E$2:$J$2038,6)</f>
        <v>33315</v>
      </c>
      <c r="D3662" s="3" t="str">
        <f>VLOOKUP(B3662,LifeList!$E$2:$G$2038,1)</f>
        <v>Swamp Sparrow</v>
      </c>
      <c r="E3662" s="3" t="str">
        <f>VLOOKUP(B3662,LifeList!$E$2:$G$2038,2)</f>
        <v>Bruant des marais</v>
      </c>
      <c r="F3662" s="3" t="str">
        <f>VLOOKUP(B3662,LifeList!$E$2:$G$2038,3)</f>
        <v>Melospiza georgiana</v>
      </c>
      <c r="G3662" s="3" t="str">
        <f>VLOOKUP(B3662,LifeList!$E$2:$I$2038,4)</f>
        <v>Passeriformes</v>
      </c>
      <c r="H3662" s="3" t="str">
        <f>VLOOKUP(B3662,LifeList!$E$2:$I$2038,5)</f>
        <v>Passerellidae (New World Sparrows)</v>
      </c>
      <c r="I3662" s="3"/>
    </row>
    <row r="3663" spans="1:9" ht="10.5" customHeight="1">
      <c r="A3663" s="3" t="s">
        <v>5089</v>
      </c>
      <c r="B3663" s="3" t="s">
        <v>5088</v>
      </c>
      <c r="C3663" s="3">
        <f>VLOOKUP(B3663,LifeList!$E$2:$J$2038,6)</f>
        <v>33315</v>
      </c>
      <c r="D3663" s="3" t="str">
        <f>VLOOKUP(B3663,LifeList!$E$2:$G$2038,1)</f>
        <v>Swamp Sparrow</v>
      </c>
      <c r="E3663" s="3" t="str">
        <f>VLOOKUP(B3663,LifeList!$E$2:$G$2038,2)</f>
        <v>Bruant des marais</v>
      </c>
      <c r="F3663" s="3" t="str">
        <f>VLOOKUP(B3663,LifeList!$E$2:$G$2038,3)</f>
        <v>Melospiza georgiana</v>
      </c>
      <c r="G3663" s="3" t="str">
        <f>VLOOKUP(B3663,LifeList!$E$2:$I$2038,4)</f>
        <v>Passeriformes</v>
      </c>
      <c r="H3663" s="3" t="str">
        <f>VLOOKUP(B3663,LifeList!$E$2:$I$2038,5)</f>
        <v>Passerellidae (New World Sparrows)</v>
      </c>
      <c r="I3663" s="3"/>
    </row>
    <row r="3664" spans="1:9" ht="10.5" customHeight="1">
      <c r="A3664" s="3" t="s">
        <v>5090</v>
      </c>
      <c r="B3664" s="3" t="s">
        <v>5088</v>
      </c>
      <c r="C3664" s="3">
        <f>VLOOKUP(B3664,LifeList!$E$2:$J$2038,6)</f>
        <v>33315</v>
      </c>
      <c r="D3664" s="3" t="str">
        <f>VLOOKUP(B3664,LifeList!$E$2:$G$2038,1)</f>
        <v>Swamp Sparrow</v>
      </c>
      <c r="E3664" s="3" t="str">
        <f>VLOOKUP(B3664,LifeList!$E$2:$G$2038,2)</f>
        <v>Bruant des marais</v>
      </c>
      <c r="F3664" s="3" t="str">
        <f>VLOOKUP(B3664,LifeList!$E$2:$G$2038,3)</f>
        <v>Melospiza georgiana</v>
      </c>
      <c r="G3664" s="3" t="str">
        <f>VLOOKUP(B3664,LifeList!$E$2:$I$2038,4)</f>
        <v>Passeriformes</v>
      </c>
      <c r="H3664" s="3" t="str">
        <f>VLOOKUP(B3664,LifeList!$E$2:$I$2038,5)</f>
        <v>Passerellidae (New World Sparrows)</v>
      </c>
      <c r="I3664" s="3"/>
    </row>
    <row r="3665" spans="1:9" ht="10.5" customHeight="1">
      <c r="A3665" s="3" t="s">
        <v>5091</v>
      </c>
      <c r="B3665" s="3" t="s">
        <v>5088</v>
      </c>
      <c r="C3665" s="3">
        <f>VLOOKUP(B3665,LifeList!$E$2:$J$2038,6)</f>
        <v>33315</v>
      </c>
      <c r="D3665" s="3" t="str">
        <f>VLOOKUP(B3665,LifeList!$E$2:$G$2038,1)</f>
        <v>Swamp Sparrow</v>
      </c>
      <c r="E3665" s="3" t="str">
        <f>VLOOKUP(B3665,LifeList!$E$2:$G$2038,2)</f>
        <v>Bruant des marais</v>
      </c>
      <c r="F3665" s="3" t="str">
        <f>VLOOKUP(B3665,LifeList!$E$2:$G$2038,3)</f>
        <v>Melospiza georgiana</v>
      </c>
      <c r="G3665" s="3" t="str">
        <f>VLOOKUP(B3665,LifeList!$E$2:$I$2038,4)</f>
        <v>Passeriformes</v>
      </c>
      <c r="H3665" s="3" t="str">
        <f>VLOOKUP(B3665,LifeList!$E$2:$I$2038,5)</f>
        <v>Passerellidae (New World Sparrows)</v>
      </c>
      <c r="I3665" s="3"/>
    </row>
    <row r="3666" spans="1:9" ht="10.5" customHeight="1">
      <c r="A3666" s="3" t="s">
        <v>5092</v>
      </c>
      <c r="B3666" s="3" t="s">
        <v>5088</v>
      </c>
      <c r="C3666" s="3">
        <f>VLOOKUP(B3666,LifeList!$E$2:$J$2038,6)</f>
        <v>33315</v>
      </c>
      <c r="D3666" s="3" t="str">
        <f>VLOOKUP(B3666,LifeList!$E$2:$G$2038,1)</f>
        <v>Swamp Sparrow</v>
      </c>
      <c r="E3666" s="3" t="str">
        <f>VLOOKUP(B3666,LifeList!$E$2:$G$2038,2)</f>
        <v>Bruant des marais</v>
      </c>
      <c r="F3666" s="3" t="str">
        <f>VLOOKUP(B3666,LifeList!$E$2:$G$2038,3)</f>
        <v>Melospiza georgiana</v>
      </c>
      <c r="G3666" s="3" t="str">
        <f>VLOOKUP(B3666,LifeList!$E$2:$I$2038,4)</f>
        <v>Passeriformes</v>
      </c>
      <c r="H3666" s="3" t="str">
        <f>VLOOKUP(B3666,LifeList!$E$2:$I$2038,5)</f>
        <v>Passerellidae (New World Sparrows)</v>
      </c>
      <c r="I3666" s="3"/>
    </row>
    <row r="3667" spans="1:9" ht="10.5" customHeight="1">
      <c r="A3667" s="3" t="s">
        <v>5093</v>
      </c>
      <c r="B3667" s="3" t="s">
        <v>5088</v>
      </c>
      <c r="C3667" s="3">
        <f>VLOOKUP(B3667,LifeList!$E$2:$J$2038,6)</f>
        <v>33315</v>
      </c>
      <c r="D3667" s="3" t="str">
        <f>VLOOKUP(B3667,LifeList!$E$2:$G$2038,1)</f>
        <v>Swamp Sparrow</v>
      </c>
      <c r="E3667" s="3" t="str">
        <f>VLOOKUP(B3667,LifeList!$E$2:$G$2038,2)</f>
        <v>Bruant des marais</v>
      </c>
      <c r="F3667" s="3" t="str">
        <f>VLOOKUP(B3667,LifeList!$E$2:$G$2038,3)</f>
        <v>Melospiza georgiana</v>
      </c>
      <c r="G3667" s="3" t="str">
        <f>VLOOKUP(B3667,LifeList!$E$2:$I$2038,4)</f>
        <v>Passeriformes</v>
      </c>
      <c r="H3667" s="3" t="str">
        <f>VLOOKUP(B3667,LifeList!$E$2:$I$2038,5)</f>
        <v>Passerellidae (New World Sparrows)</v>
      </c>
      <c r="I3667" s="3"/>
    </row>
    <row r="3668" spans="1:9" ht="10.5" customHeight="1">
      <c r="A3668" s="3" t="s">
        <v>5094</v>
      </c>
      <c r="B3668" s="3" t="s">
        <v>5088</v>
      </c>
      <c r="C3668" s="3">
        <f>VLOOKUP(B3668,LifeList!$E$2:$J$2038,6)</f>
        <v>33315</v>
      </c>
      <c r="D3668" s="3" t="str">
        <f>VLOOKUP(B3668,LifeList!$E$2:$G$2038,1)</f>
        <v>Swamp Sparrow</v>
      </c>
      <c r="E3668" s="3" t="str">
        <f>VLOOKUP(B3668,LifeList!$E$2:$G$2038,2)</f>
        <v>Bruant des marais</v>
      </c>
      <c r="F3668" s="3" t="str">
        <f>VLOOKUP(B3668,LifeList!$E$2:$G$2038,3)</f>
        <v>Melospiza georgiana</v>
      </c>
      <c r="G3668" s="3" t="str">
        <f>VLOOKUP(B3668,LifeList!$E$2:$I$2038,4)</f>
        <v>Passeriformes</v>
      </c>
      <c r="H3668" s="3" t="str">
        <f>VLOOKUP(B3668,LifeList!$E$2:$I$2038,5)</f>
        <v>Passerellidae (New World Sparrows)</v>
      </c>
      <c r="I3668" s="3"/>
    </row>
    <row r="3669" spans="1:9" ht="10.5" customHeight="1">
      <c r="A3669" s="3" t="s">
        <v>5095</v>
      </c>
      <c r="B3669" s="3" t="s">
        <v>5088</v>
      </c>
      <c r="C3669" s="3">
        <f>VLOOKUP(B3669,LifeList!$E$2:$J$2038,6)</f>
        <v>33315</v>
      </c>
      <c r="D3669" s="3" t="str">
        <f>VLOOKUP(B3669,LifeList!$E$2:$G$2038,1)</f>
        <v>Swamp Sparrow</v>
      </c>
      <c r="E3669" s="3" t="str">
        <f>VLOOKUP(B3669,LifeList!$E$2:$G$2038,2)</f>
        <v>Bruant des marais</v>
      </c>
      <c r="F3669" s="3" t="str">
        <f>VLOOKUP(B3669,LifeList!$E$2:$G$2038,3)</f>
        <v>Melospiza georgiana</v>
      </c>
      <c r="G3669" s="3" t="str">
        <f>VLOOKUP(B3669,LifeList!$E$2:$I$2038,4)</f>
        <v>Passeriformes</v>
      </c>
      <c r="H3669" s="3" t="str">
        <f>VLOOKUP(B3669,LifeList!$E$2:$I$2038,5)</f>
        <v>Passerellidae (New World Sparrows)</v>
      </c>
      <c r="I3669" s="3"/>
    </row>
    <row r="3670" spans="1:9" ht="10.5" customHeight="1">
      <c r="A3670" s="3" t="s">
        <v>5096</v>
      </c>
      <c r="B3670" s="3" t="s">
        <v>5088</v>
      </c>
      <c r="C3670" s="3">
        <f>VLOOKUP(B3670,LifeList!$E$2:$J$2038,6)</f>
        <v>33315</v>
      </c>
      <c r="D3670" s="3" t="str">
        <f>VLOOKUP(B3670,LifeList!$E$2:$G$2038,1)</f>
        <v>Swamp Sparrow</v>
      </c>
      <c r="E3670" s="3" t="str">
        <f>VLOOKUP(B3670,LifeList!$E$2:$G$2038,2)</f>
        <v>Bruant des marais</v>
      </c>
      <c r="F3670" s="3" t="str">
        <f>VLOOKUP(B3670,LifeList!$E$2:$G$2038,3)</f>
        <v>Melospiza georgiana</v>
      </c>
      <c r="G3670" s="3" t="str">
        <f>VLOOKUP(B3670,LifeList!$E$2:$I$2038,4)</f>
        <v>Passeriformes</v>
      </c>
      <c r="H3670" s="3" t="str">
        <f>VLOOKUP(B3670,LifeList!$E$2:$I$2038,5)</f>
        <v>Passerellidae (New World Sparrows)</v>
      </c>
      <c r="I3670" s="3"/>
    </row>
    <row r="3671" spans="1:9" ht="10.5" customHeight="1">
      <c r="A3671" s="3" t="s">
        <v>5097</v>
      </c>
      <c r="B3671" s="3" t="s">
        <v>5088</v>
      </c>
      <c r="C3671" s="3">
        <f>VLOOKUP(B3671,LifeList!$E$2:$J$2038,6)</f>
        <v>33315</v>
      </c>
      <c r="D3671" s="3" t="str">
        <f>VLOOKUP(B3671,LifeList!$E$2:$G$2038,1)</f>
        <v>Swamp Sparrow</v>
      </c>
      <c r="E3671" s="3" t="str">
        <f>VLOOKUP(B3671,LifeList!$E$2:$G$2038,2)</f>
        <v>Bruant des marais</v>
      </c>
      <c r="F3671" s="3" t="str">
        <f>VLOOKUP(B3671,LifeList!$E$2:$G$2038,3)</f>
        <v>Melospiza georgiana</v>
      </c>
      <c r="G3671" s="3" t="str">
        <f>VLOOKUP(B3671,LifeList!$E$2:$I$2038,4)</f>
        <v>Passeriformes</v>
      </c>
      <c r="H3671" s="3" t="str">
        <f>VLOOKUP(B3671,LifeList!$E$2:$I$2038,5)</f>
        <v>Passerellidae (New World Sparrows)</v>
      </c>
      <c r="I3671" s="3"/>
    </row>
    <row r="3672" spans="1:9" ht="10.5" customHeight="1">
      <c r="A3672" s="3" t="s">
        <v>5098</v>
      </c>
      <c r="B3672" s="3" t="s">
        <v>5088</v>
      </c>
      <c r="C3672" s="3">
        <f>VLOOKUP(B3672,LifeList!$E$2:$J$2038,6)</f>
        <v>33315</v>
      </c>
      <c r="D3672" s="3" t="str">
        <f>VLOOKUP(B3672,LifeList!$E$2:$G$2038,1)</f>
        <v>Swamp Sparrow</v>
      </c>
      <c r="E3672" s="3" t="str">
        <f>VLOOKUP(B3672,LifeList!$E$2:$G$2038,2)</f>
        <v>Bruant des marais</v>
      </c>
      <c r="F3672" s="3" t="str">
        <f>VLOOKUP(B3672,LifeList!$E$2:$G$2038,3)</f>
        <v>Melospiza georgiana</v>
      </c>
      <c r="G3672" s="3" t="str">
        <f>VLOOKUP(B3672,LifeList!$E$2:$I$2038,4)</f>
        <v>Passeriformes</v>
      </c>
      <c r="H3672" s="3" t="str">
        <f>VLOOKUP(B3672,LifeList!$E$2:$I$2038,5)</f>
        <v>Passerellidae (New World Sparrows)</v>
      </c>
      <c r="I3672" s="3"/>
    </row>
    <row r="3673" spans="1:9" ht="10.5" customHeight="1">
      <c r="A3673" s="3" t="s">
        <v>5099</v>
      </c>
      <c r="B3673" s="3" t="s">
        <v>5088</v>
      </c>
      <c r="C3673" s="3">
        <f>VLOOKUP(B3673,LifeList!$E$2:$J$2038,6)</f>
        <v>33315</v>
      </c>
      <c r="D3673" s="3" t="str">
        <f>VLOOKUP(B3673,LifeList!$E$2:$G$2038,1)</f>
        <v>Swamp Sparrow</v>
      </c>
      <c r="E3673" s="3" t="str">
        <f>VLOOKUP(B3673,LifeList!$E$2:$G$2038,2)</f>
        <v>Bruant des marais</v>
      </c>
      <c r="F3673" s="3" t="str">
        <f>VLOOKUP(B3673,LifeList!$E$2:$G$2038,3)</f>
        <v>Melospiza georgiana</v>
      </c>
      <c r="G3673" s="3" t="str">
        <f>VLOOKUP(B3673,LifeList!$E$2:$I$2038,4)</f>
        <v>Passeriformes</v>
      </c>
      <c r="H3673" s="3" t="str">
        <f>VLOOKUP(B3673,LifeList!$E$2:$I$2038,5)</f>
        <v>Passerellidae (New World Sparrows)</v>
      </c>
      <c r="I3673" s="3"/>
    </row>
    <row r="3674" spans="1:9" ht="10.5" customHeight="1">
      <c r="A3674" s="3" t="s">
        <v>5100</v>
      </c>
      <c r="B3674" s="3" t="s">
        <v>5088</v>
      </c>
      <c r="C3674" s="3">
        <f>VLOOKUP(B3674,LifeList!$E$2:$J$2038,6)</f>
        <v>33315</v>
      </c>
      <c r="D3674" s="3" t="str">
        <f>VLOOKUP(B3674,LifeList!$E$2:$G$2038,1)</f>
        <v>Swamp Sparrow</v>
      </c>
      <c r="E3674" s="3" t="str">
        <f>VLOOKUP(B3674,LifeList!$E$2:$G$2038,2)</f>
        <v>Bruant des marais</v>
      </c>
      <c r="F3674" s="3" t="str">
        <f>VLOOKUP(B3674,LifeList!$E$2:$G$2038,3)</f>
        <v>Melospiza georgiana</v>
      </c>
      <c r="G3674" s="3" t="str">
        <f>VLOOKUP(B3674,LifeList!$E$2:$I$2038,4)</f>
        <v>Passeriformes</v>
      </c>
      <c r="H3674" s="3" t="str">
        <f>VLOOKUP(B3674,LifeList!$E$2:$I$2038,5)</f>
        <v>Passerellidae (New World Sparrows)</v>
      </c>
      <c r="I3674" s="3"/>
    </row>
    <row r="3675" spans="1:9" ht="10.5" customHeight="1">
      <c r="A3675" s="7" t="s">
        <v>5101</v>
      </c>
      <c r="B3675" s="9" t="s">
        <v>5102</v>
      </c>
      <c r="C3675" s="6">
        <f>VLOOKUP(B3675,LifeList!$E$2:$J$2038,6)</f>
        <v>12445</v>
      </c>
      <c r="D3675" s="3" t="str">
        <f>VLOOKUP(B3675,LifeList!$E$2:$G$2038,1)</f>
        <v>Swift Parrot</v>
      </c>
      <c r="E3675" s="3" t="str">
        <f>VLOOKUP(B3675,LifeList!$E$2:$G$2038,2)</f>
        <v>Perruche de Latham</v>
      </c>
      <c r="F3675" s="3" t="str">
        <f>VLOOKUP(B3675,LifeList!$E$2:$G$2038,3)</f>
        <v>Lathamus discolor</v>
      </c>
      <c r="G3675" s="3" t="str">
        <f>VLOOKUP(B3675,LifeList!$E$2:$I$2038,4)</f>
        <v>Psittaciformes</v>
      </c>
      <c r="H3675" s="3" t="str">
        <f>VLOOKUP(B3675,LifeList!$E$2:$I$2038,5)</f>
        <v>Psittaculidae (Old World Parrots)</v>
      </c>
      <c r="I3675" s="3"/>
    </row>
    <row r="3676" spans="1:9" ht="10.5" customHeight="1">
      <c r="A3676" s="3" t="s">
        <v>5103</v>
      </c>
      <c r="B3676" s="3" t="s">
        <v>5104</v>
      </c>
      <c r="C3676" s="3">
        <f>VLOOKUP(B3676,LifeList!$E$2:$J$2038,6)</f>
        <v>4667</v>
      </c>
      <c r="D3676" s="3" t="str">
        <f>VLOOKUP(B3676,LifeList!$E$2:$G$2038,1)</f>
        <v>Sword-billed Hummingbird</v>
      </c>
      <c r="E3676" s="3" t="str">
        <f>VLOOKUP(B3676,LifeList!$E$2:$G$2038,2)</f>
        <v>Colibri porte-épée</v>
      </c>
      <c r="F3676" s="3" t="str">
        <f>VLOOKUP(B3676,LifeList!$E$2:$G$2038,3)</f>
        <v>Ensifera ensifera</v>
      </c>
      <c r="G3676" s="3" t="str">
        <f>VLOOKUP(B3676,LifeList!$E$2:$I$2038,4)</f>
        <v>Apodiformes</v>
      </c>
      <c r="H3676" s="3" t="str">
        <f>VLOOKUP(B3676,LifeList!$E$2:$I$2038,5)</f>
        <v>Trochilidae (Hummingbirds)</v>
      </c>
      <c r="I3676" s="3"/>
    </row>
    <row r="3677" spans="1:9" ht="10.5" customHeight="1">
      <c r="A3677" s="3" t="s">
        <v>5105</v>
      </c>
      <c r="B3677" s="3" t="s">
        <v>5106</v>
      </c>
      <c r="C3677" s="3">
        <f>VLOOKUP(B3677,LifeList!$E$2:$J$2038,6)</f>
        <v>4724</v>
      </c>
      <c r="D3677" s="3" t="str">
        <f>VLOOKUP(B3677,LifeList!$E$2:$G$2038,1)</f>
        <v>Talamanca Hummingbird</v>
      </c>
      <c r="E3677" s="3" t="str">
        <f>VLOOKUP(B3677,LifeList!$E$2:$G$2038,2)</f>
        <v>Colibri de la Talamanca</v>
      </c>
      <c r="F3677" s="3" t="str">
        <f>VLOOKUP(B3677,LifeList!$E$2:$G$2038,3)</f>
        <v>Eugenes spectabilis</v>
      </c>
      <c r="G3677" s="3" t="str">
        <f>VLOOKUP(B3677,LifeList!$E$2:$I$2038,4)</f>
        <v>Apodiformes</v>
      </c>
      <c r="H3677" s="3" t="str">
        <f>VLOOKUP(B3677,LifeList!$E$2:$I$2038,5)</f>
        <v>Trochilidae (Hummingbirds)</v>
      </c>
      <c r="I3677" s="3"/>
    </row>
    <row r="3678" spans="1:9" ht="10.5" customHeight="1">
      <c r="A3678" s="3" t="s">
        <v>5107</v>
      </c>
      <c r="B3678" s="3" t="s">
        <v>5106</v>
      </c>
      <c r="C3678" s="3">
        <f>VLOOKUP(B3678,LifeList!$E$2:$J$2038,6)</f>
        <v>4724</v>
      </c>
      <c r="D3678" s="3" t="str">
        <f>VLOOKUP(B3678,LifeList!$E$2:$G$2038,1)</f>
        <v>Talamanca Hummingbird</v>
      </c>
      <c r="E3678" s="3" t="str">
        <f>VLOOKUP(B3678,LifeList!$E$2:$G$2038,2)</f>
        <v>Colibri de la Talamanca</v>
      </c>
      <c r="F3678" s="3" t="str">
        <f>VLOOKUP(B3678,LifeList!$E$2:$G$2038,3)</f>
        <v>Eugenes spectabilis</v>
      </c>
      <c r="G3678" s="3" t="str">
        <f>VLOOKUP(B3678,LifeList!$E$2:$I$2038,4)</f>
        <v>Apodiformes</v>
      </c>
      <c r="H3678" s="3" t="str">
        <f>VLOOKUP(B3678,LifeList!$E$2:$I$2038,5)</f>
        <v>Trochilidae (Hummingbirds)</v>
      </c>
      <c r="I3678" s="3"/>
    </row>
    <row r="3679" spans="1:9" ht="10.5" customHeight="1">
      <c r="A3679" s="3" t="s">
        <v>5108</v>
      </c>
      <c r="B3679" s="3" t="s">
        <v>5106</v>
      </c>
      <c r="C3679" s="3">
        <f>VLOOKUP(B3679,LifeList!$E$2:$J$2038,6)</f>
        <v>4724</v>
      </c>
      <c r="D3679" s="3" t="str">
        <f>VLOOKUP(B3679,LifeList!$E$2:$G$2038,1)</f>
        <v>Talamanca Hummingbird</v>
      </c>
      <c r="E3679" s="3" t="str">
        <f>VLOOKUP(B3679,LifeList!$E$2:$G$2038,2)</f>
        <v>Colibri de la Talamanca</v>
      </c>
      <c r="F3679" s="3" t="str">
        <f>VLOOKUP(B3679,LifeList!$E$2:$G$2038,3)</f>
        <v>Eugenes spectabilis</v>
      </c>
      <c r="G3679" s="3" t="str">
        <f>VLOOKUP(B3679,LifeList!$E$2:$I$2038,4)</f>
        <v>Apodiformes</v>
      </c>
      <c r="H3679" s="3" t="str">
        <f>VLOOKUP(B3679,LifeList!$E$2:$I$2038,5)</f>
        <v>Trochilidae (Hummingbirds)</v>
      </c>
      <c r="I3679" s="3"/>
    </row>
    <row r="3680" spans="1:9" ht="10.5" customHeight="1">
      <c r="A3680" s="3" t="s">
        <v>5109</v>
      </c>
      <c r="B3680" s="3" t="s">
        <v>5106</v>
      </c>
      <c r="C3680" s="3">
        <f>VLOOKUP(B3680,LifeList!$E$2:$J$2038,6)</f>
        <v>4724</v>
      </c>
      <c r="D3680" s="3" t="str">
        <f>VLOOKUP(B3680,LifeList!$E$2:$G$2038,1)</f>
        <v>Talamanca Hummingbird</v>
      </c>
      <c r="E3680" s="3" t="str">
        <f>VLOOKUP(B3680,LifeList!$E$2:$G$2038,2)</f>
        <v>Colibri de la Talamanca</v>
      </c>
      <c r="F3680" s="3" t="str">
        <f>VLOOKUP(B3680,LifeList!$E$2:$G$2038,3)</f>
        <v>Eugenes spectabilis</v>
      </c>
      <c r="G3680" s="3" t="str">
        <f>VLOOKUP(B3680,LifeList!$E$2:$I$2038,4)</f>
        <v>Apodiformes</v>
      </c>
      <c r="H3680" s="3" t="str">
        <f>VLOOKUP(B3680,LifeList!$E$2:$I$2038,5)</f>
        <v>Trochilidae (Hummingbirds)</v>
      </c>
      <c r="I3680" s="3"/>
    </row>
    <row r="3681" spans="1:9" ht="10.5" customHeight="1">
      <c r="A3681" s="3" t="s">
        <v>5110</v>
      </c>
      <c r="B3681" s="3" t="s">
        <v>5111</v>
      </c>
      <c r="C3681" s="3">
        <f>VLOOKUP(B3681,LifeList!$E$2:$J$2038,6)</f>
        <v>5450</v>
      </c>
      <c r="D3681" s="3" t="str">
        <f>VLOOKUP(B3681,LifeList!$E$2:$G$2038,1)</f>
        <v>Tasmanian Nativehen</v>
      </c>
      <c r="E3681" s="3" t="str">
        <f>VLOOKUP(B3681,LifeList!$E$2:$G$2038,2)</f>
        <v>Gallinule de Tasmanie</v>
      </c>
      <c r="F3681" s="3" t="str">
        <f>VLOOKUP(B3681,LifeList!$E$2:$G$2038,3)</f>
        <v>Tribonyx mortierii</v>
      </c>
      <c r="G3681" s="3" t="str">
        <f>VLOOKUP(B3681,LifeList!$E$2:$I$2038,4)</f>
        <v>Gruiformes</v>
      </c>
      <c r="H3681" s="3" t="str">
        <f>VLOOKUP(B3681,LifeList!$E$2:$I$2038,5)</f>
        <v>Rallidae (Rails, Gallinules, and Coots)</v>
      </c>
      <c r="I3681" s="3"/>
    </row>
    <row r="3682" spans="1:9" ht="10.5" customHeight="1">
      <c r="A3682" s="7" t="s">
        <v>5112</v>
      </c>
      <c r="B3682" s="9" t="s">
        <v>5113</v>
      </c>
      <c r="C3682" s="6">
        <f>VLOOKUP(B3682,LifeList!$E$2:$J$2038,6)</f>
        <v>18306</v>
      </c>
      <c r="D3682" s="3" t="str">
        <f>VLOOKUP(B3682,LifeList!$E$2:$G$2038,1)</f>
        <v>Tasmanian Scrubwren</v>
      </c>
      <c r="E3682" s="3" t="str">
        <f>VLOOKUP(B3682,LifeList!$E$2:$G$2038,2)</f>
        <v>Séricorne brun</v>
      </c>
      <c r="F3682" s="3" t="str">
        <f>VLOOKUP(B3682,LifeList!$E$2:$G$2038,3)</f>
        <v>Sericornis humilis</v>
      </c>
      <c r="G3682" s="3" t="str">
        <f>VLOOKUP(B3682,LifeList!$E$2:$I$2038,4)</f>
        <v>Passeriformes</v>
      </c>
      <c r="H3682" s="3" t="str">
        <f>VLOOKUP(B3682,LifeList!$E$2:$I$2038,5)</f>
        <v>Acanthizidae (Thornbills and Allies)</v>
      </c>
      <c r="I3682" s="3"/>
    </row>
    <row r="3683" spans="1:9" ht="10.5" customHeight="1">
      <c r="A3683" s="3" t="s">
        <v>5114</v>
      </c>
      <c r="B3683" s="3" t="s">
        <v>5115</v>
      </c>
      <c r="C3683" s="3">
        <f>VLOOKUP(B3683,LifeList!$E$2:$J$2038,6)</f>
        <v>18398</v>
      </c>
      <c r="D3683" s="3" t="str">
        <f>VLOOKUP(B3683,LifeList!$E$2:$G$2038,1)</f>
        <v>Tasmanian Thornbill</v>
      </c>
      <c r="E3683" s="3" t="str">
        <f>VLOOKUP(B3683,LifeList!$E$2:$G$2038,2)</f>
        <v>Acanthize de Tasmanie</v>
      </c>
      <c r="F3683" s="3" t="str">
        <f>VLOOKUP(B3683,LifeList!$E$2:$G$2038,3)</f>
        <v>Acanthiza ewingii</v>
      </c>
      <c r="G3683" s="3" t="str">
        <f>VLOOKUP(B3683,LifeList!$E$2:$I$2038,4)</f>
        <v>Passeriformes</v>
      </c>
      <c r="H3683" s="3" t="str">
        <f>VLOOKUP(B3683,LifeList!$E$2:$I$2038,5)</f>
        <v>Acanthizidae (Thornbills and Allies)</v>
      </c>
      <c r="I3683" s="3"/>
    </row>
    <row r="3684" spans="1:9" ht="10.5" customHeight="1">
      <c r="A3684" s="3" t="s">
        <v>5116</v>
      </c>
      <c r="B3684" s="3" t="s">
        <v>5115</v>
      </c>
      <c r="C3684" s="3">
        <f>VLOOKUP(B3684,LifeList!$E$2:$J$2038,6)</f>
        <v>18398</v>
      </c>
      <c r="D3684" s="3" t="str">
        <f>VLOOKUP(B3684,LifeList!$E$2:$G$2038,1)</f>
        <v>Tasmanian Thornbill</v>
      </c>
      <c r="E3684" s="3" t="str">
        <f>VLOOKUP(B3684,LifeList!$E$2:$G$2038,2)</f>
        <v>Acanthize de Tasmanie</v>
      </c>
      <c r="F3684" s="3" t="str">
        <f>VLOOKUP(B3684,LifeList!$E$2:$G$2038,3)</f>
        <v>Acanthiza ewingii</v>
      </c>
      <c r="G3684" s="3" t="str">
        <f>VLOOKUP(B3684,LifeList!$E$2:$I$2038,4)</f>
        <v>Passeriformes</v>
      </c>
      <c r="H3684" s="3" t="str">
        <f>VLOOKUP(B3684,LifeList!$E$2:$I$2038,5)</f>
        <v>Acanthizidae (Thornbills and Allies)</v>
      </c>
      <c r="I3684" s="3"/>
    </row>
    <row r="3685" spans="1:9" ht="10.5" customHeight="1">
      <c r="A3685" s="7" t="s">
        <v>5117</v>
      </c>
      <c r="B3685" s="9" t="s">
        <v>5118</v>
      </c>
      <c r="C3685" s="6">
        <f>VLOOKUP(B3685,LifeList!$E$2:$J$2038,6)</f>
        <v>14286</v>
      </c>
      <c r="D3685" s="3" t="str">
        <f>VLOOKUP(B3685,LifeList!$E$2:$G$2038,1)</f>
        <v>Tawny Antpitta</v>
      </c>
      <c r="E3685" s="3" t="str">
        <f>VLOOKUP(B3685,LifeList!$E$2:$G$2038,2)</f>
        <v>Grallaire de Quito</v>
      </c>
      <c r="F3685" s="3" t="str">
        <f>VLOOKUP(B3685,LifeList!$E$2:$G$2038,3)</f>
        <v>Grallaria quitensis</v>
      </c>
      <c r="G3685" s="3" t="str">
        <f>VLOOKUP(B3685,LifeList!$E$2:$I$2038,4)</f>
        <v>Passeriformes</v>
      </c>
      <c r="H3685" s="3" t="str">
        <f>VLOOKUP(B3685,LifeList!$E$2:$I$2038,5)</f>
        <v>Grallariidae (Antpittas)</v>
      </c>
      <c r="I3685" s="3"/>
    </row>
    <row r="3686" spans="1:9" ht="10.5" customHeight="1">
      <c r="A3686" s="3" t="s">
        <v>5119</v>
      </c>
      <c r="B3686" s="3" t="s">
        <v>5120</v>
      </c>
      <c r="C3686" s="3">
        <f>VLOOKUP(B3686,LifeList!$E$2:$J$2038,6)</f>
        <v>8054</v>
      </c>
      <c r="D3686" s="3" t="str">
        <f>VLOOKUP(B3686,LifeList!$E$2:$G$2038,1)</f>
        <v>Tawny Eagle</v>
      </c>
      <c r="E3686" s="3" t="str">
        <f>VLOOKUP(B3686,LifeList!$E$2:$G$2038,2)</f>
        <v>Aigle ravisseur</v>
      </c>
      <c r="F3686" s="3" t="str">
        <f>VLOOKUP(B3686,LifeList!$E$2:$G$2038,3)</f>
        <v>Aquila rapax</v>
      </c>
      <c r="G3686" s="3" t="str">
        <f>VLOOKUP(B3686,LifeList!$E$2:$I$2038,4)</f>
        <v>Accipitriformes</v>
      </c>
      <c r="H3686" s="3" t="str">
        <f>VLOOKUP(B3686,LifeList!$E$2:$I$2038,5)</f>
        <v>Accipitridae (Hawks, Eagles, and Kites)</v>
      </c>
      <c r="I3686" s="3"/>
    </row>
    <row r="3687" spans="1:9" ht="10.5" customHeight="1">
      <c r="A3687" s="3" t="s">
        <v>5121</v>
      </c>
      <c r="B3687" s="3" t="s">
        <v>5120</v>
      </c>
      <c r="C3687" s="3">
        <f>VLOOKUP(B3687,LifeList!$E$2:$J$2038,6)</f>
        <v>8054</v>
      </c>
      <c r="D3687" s="3" t="str">
        <f>VLOOKUP(B3687,LifeList!$E$2:$G$2038,1)</f>
        <v>Tawny Eagle</v>
      </c>
      <c r="E3687" s="3" t="str">
        <f>VLOOKUP(B3687,LifeList!$E$2:$G$2038,2)</f>
        <v>Aigle ravisseur</v>
      </c>
      <c r="F3687" s="3" t="str">
        <f>VLOOKUP(B3687,LifeList!$E$2:$G$2038,3)</f>
        <v>Aquila rapax</v>
      </c>
      <c r="G3687" s="3" t="str">
        <f>VLOOKUP(B3687,LifeList!$E$2:$I$2038,4)</f>
        <v>Accipitriformes</v>
      </c>
      <c r="H3687" s="3" t="str">
        <f>VLOOKUP(B3687,LifeList!$E$2:$I$2038,5)</f>
        <v>Accipitridae (Hawks, Eagles, and Kites)</v>
      </c>
      <c r="I3687" s="3"/>
    </row>
    <row r="3688" spans="1:9" ht="10.5" customHeight="1">
      <c r="A3688" s="3" t="s">
        <v>5122</v>
      </c>
      <c r="B3688" s="3" t="s">
        <v>5123</v>
      </c>
      <c r="C3688" s="3">
        <f>VLOOKUP(B3688,LifeList!$E$2:$J$2038,6)</f>
        <v>3768</v>
      </c>
      <c r="D3688" s="3" t="str">
        <f>VLOOKUP(B3688,LifeList!$E$2:$G$2038,1)</f>
        <v>Tawny Frogmouth</v>
      </c>
      <c r="E3688" s="3" t="str">
        <f>VLOOKUP(B3688,LifeList!$E$2:$G$2038,2)</f>
        <v>Podarge gris</v>
      </c>
      <c r="F3688" s="3" t="str">
        <f>VLOOKUP(B3688,LifeList!$E$2:$G$2038,3)</f>
        <v>Podargus strigoides</v>
      </c>
      <c r="G3688" s="3" t="str">
        <f>VLOOKUP(B3688,LifeList!$E$2:$I$2038,4)</f>
        <v>Podargiformes</v>
      </c>
      <c r="H3688" s="3" t="str">
        <f>VLOOKUP(B3688,LifeList!$E$2:$I$2038,5)</f>
        <v>Podargidae (Frogmouths)</v>
      </c>
      <c r="I3688" s="3"/>
    </row>
    <row r="3689" spans="1:9" ht="10.5" customHeight="1">
      <c r="A3689" s="3" t="s">
        <v>5124</v>
      </c>
      <c r="B3689" s="3" t="s">
        <v>5125</v>
      </c>
      <c r="C3689" s="3">
        <f>VLOOKUP(B3689,LifeList!$E$2:$J$2038,6)</f>
        <v>32049</v>
      </c>
      <c r="D3689" s="3" t="str">
        <f>VLOOKUP(B3689,LifeList!$E$2:$G$2038,1)</f>
        <v>Tawny-capped Euphonia</v>
      </c>
      <c r="E3689" s="3" t="str">
        <f>VLOOKUP(B3689,LifeList!$E$2:$G$2038,2)</f>
        <v>Organiste à couronne rousse</v>
      </c>
      <c r="F3689" s="3" t="str">
        <f>VLOOKUP(B3689,LifeList!$E$2:$G$2038,3)</f>
        <v>Euphonia anneae</v>
      </c>
      <c r="G3689" s="3" t="str">
        <f>VLOOKUP(B3689,LifeList!$E$2:$I$2038,4)</f>
        <v>Passeriformes</v>
      </c>
      <c r="H3689" s="3" t="str">
        <f>VLOOKUP(B3689,LifeList!$E$2:$I$2038,5)</f>
        <v>Fringillidae (Finches, Euphonias, and Allies)</v>
      </c>
      <c r="I3689" s="3"/>
    </row>
    <row r="3690" spans="1:9" ht="10.5" customHeight="1">
      <c r="A3690" s="3" t="s">
        <v>5126</v>
      </c>
      <c r="B3690" s="3" t="s">
        <v>5127</v>
      </c>
      <c r="C3690" s="3">
        <f>VLOOKUP(B3690,LifeList!$E$2:$J$2038,6)</f>
        <v>34775</v>
      </c>
      <c r="D3690" s="3" t="str">
        <f>VLOOKUP(B3690,LifeList!$E$2:$G$2038,1)</f>
        <v>Tawny-crested Tanager</v>
      </c>
      <c r="E3690" s="3" t="str">
        <f>VLOOKUP(B3690,LifeList!$E$2:$G$2038,2)</f>
        <v>Tangara de Delattre</v>
      </c>
      <c r="F3690" s="3" t="str">
        <f>VLOOKUP(B3690,LifeList!$E$2:$G$2038,3)</f>
        <v>Tachyphonus delatrii</v>
      </c>
      <c r="G3690" s="3" t="str">
        <f>VLOOKUP(B3690,LifeList!$E$2:$I$2038,4)</f>
        <v>Passeriformes</v>
      </c>
      <c r="H3690" s="3" t="str">
        <f>VLOOKUP(B3690,LifeList!$E$2:$I$2038,5)</f>
        <v>Thraupidae (Tanagers and Allies)</v>
      </c>
      <c r="I3690" s="3"/>
    </row>
    <row r="3691" spans="1:9" ht="10.5" customHeight="1">
      <c r="A3691" s="3" t="s">
        <v>5128</v>
      </c>
      <c r="B3691" s="3" t="s">
        <v>5127</v>
      </c>
      <c r="C3691" s="3">
        <f>VLOOKUP(B3691,LifeList!$E$2:$J$2038,6)</f>
        <v>34775</v>
      </c>
      <c r="D3691" s="3" t="str">
        <f>VLOOKUP(B3691,LifeList!$E$2:$G$2038,1)</f>
        <v>Tawny-crested Tanager</v>
      </c>
      <c r="E3691" s="3" t="str">
        <f>VLOOKUP(B3691,LifeList!$E$2:$G$2038,2)</f>
        <v>Tangara de Delattre</v>
      </c>
      <c r="F3691" s="3" t="str">
        <f>VLOOKUP(B3691,LifeList!$E$2:$G$2038,3)</f>
        <v>Tachyphonus delatrii</v>
      </c>
      <c r="G3691" s="3" t="str">
        <f>VLOOKUP(B3691,LifeList!$E$2:$I$2038,4)</f>
        <v>Passeriformes</v>
      </c>
      <c r="H3691" s="3" t="str">
        <f>VLOOKUP(B3691,LifeList!$E$2:$I$2038,5)</f>
        <v>Thraupidae (Tanagers and Allies)</v>
      </c>
      <c r="I3691" s="3"/>
    </row>
    <row r="3692" spans="1:9" ht="10.5" customHeight="1">
      <c r="A3692" s="3" t="s">
        <v>5129</v>
      </c>
      <c r="B3692" s="3" t="s">
        <v>5130</v>
      </c>
      <c r="C3692" s="3">
        <f>VLOOKUP(B3692,LifeList!$E$2:$J$2038,6)</f>
        <v>23278</v>
      </c>
      <c r="D3692" s="3" t="str">
        <f>VLOOKUP(B3692,LifeList!$E$2:$G$2038,1)</f>
        <v>Tawny-flanked Prinia</v>
      </c>
      <c r="E3692" s="3" t="str">
        <f>VLOOKUP(B3692,LifeList!$E$2:$G$2038,2)</f>
        <v>Prinia modeste</v>
      </c>
      <c r="F3692" s="3" t="str">
        <f>VLOOKUP(B3692,LifeList!$E$2:$G$2038,3)</f>
        <v>Prinia subflava</v>
      </c>
      <c r="G3692" s="3" t="str">
        <f>VLOOKUP(B3692,LifeList!$E$2:$I$2038,4)</f>
        <v>Passeriformes</v>
      </c>
      <c r="H3692" s="3" t="str">
        <f>VLOOKUP(B3692,LifeList!$E$2:$I$2038,5)</f>
        <v>Cisticolidae (Cisticolas and Allies)</v>
      </c>
      <c r="I3692" s="3"/>
    </row>
    <row r="3693" spans="1:9" ht="10.5" customHeight="1">
      <c r="A3693" s="3" t="s">
        <v>5131</v>
      </c>
      <c r="B3693" s="3" t="s">
        <v>5132</v>
      </c>
      <c r="C3693" s="3">
        <f>VLOOKUP(B3693,LifeList!$E$2:$J$2038,6)</f>
        <v>14660</v>
      </c>
      <c r="D3693" s="3" t="str">
        <f>VLOOKUP(B3693,LifeList!$E$2:$G$2038,1)</f>
        <v>Tawny-winged Woodcreeper</v>
      </c>
      <c r="E3693" s="3" t="str">
        <f>VLOOKUP(B3693,LifeList!$E$2:$G$2038,2)</f>
        <v>Grimpar à ailes rousses</v>
      </c>
      <c r="F3693" s="3" t="str">
        <f>VLOOKUP(B3693,LifeList!$E$2:$G$2038,3)</f>
        <v>Dendrocincla anabatina</v>
      </c>
      <c r="G3693" s="3" t="str">
        <f>VLOOKUP(B3693,LifeList!$E$2:$I$2038,4)</f>
        <v>Passeriformes</v>
      </c>
      <c r="H3693" s="3" t="str">
        <f>VLOOKUP(B3693,LifeList!$E$2:$I$2038,5)</f>
        <v>Furnariidae (Ovenbirds and Woodcreepers)</v>
      </c>
      <c r="I3693" s="3"/>
    </row>
    <row r="3694" spans="1:9" ht="10.5" customHeight="1">
      <c r="A3694" s="3" t="s">
        <v>5133</v>
      </c>
      <c r="B3694" s="3" t="s">
        <v>5134</v>
      </c>
      <c r="C3694" s="3">
        <f>VLOOKUP(B3694,LifeList!$E$2:$J$2038,6)</f>
        <v>33972</v>
      </c>
      <c r="D3694" s="3" t="str">
        <f>VLOOKUP(B3694,LifeList!$E$2:$G$2038,1)</f>
        <v>Tennessee Warbler</v>
      </c>
      <c r="E3694" s="3" t="str">
        <f>VLOOKUP(B3694,LifeList!$E$2:$G$2038,2)</f>
        <v>Paruline obscure</v>
      </c>
      <c r="F3694" s="3" t="str">
        <f>VLOOKUP(B3694,LifeList!$E$2:$G$2038,3)</f>
        <v>Leiothlypis peregrina</v>
      </c>
      <c r="G3694" s="3" t="str">
        <f>VLOOKUP(B3694,LifeList!$E$2:$I$2038,4)</f>
        <v>Passeriformes</v>
      </c>
      <c r="H3694" s="3" t="str">
        <f>VLOOKUP(B3694,LifeList!$E$2:$I$2038,5)</f>
        <v>Parulidae (New World Warblers)</v>
      </c>
      <c r="I3694" s="3"/>
    </row>
    <row r="3695" spans="1:9" ht="10.5" customHeight="1">
      <c r="A3695" s="3" t="s">
        <v>5135</v>
      </c>
      <c r="B3695" s="3" t="s">
        <v>5134</v>
      </c>
      <c r="C3695" s="3">
        <f>VLOOKUP(B3695,LifeList!$E$2:$J$2038,6)</f>
        <v>33972</v>
      </c>
      <c r="D3695" s="3" t="str">
        <f>VLOOKUP(B3695,LifeList!$E$2:$G$2038,1)</f>
        <v>Tennessee Warbler</v>
      </c>
      <c r="E3695" s="3" t="str">
        <f>VLOOKUP(B3695,LifeList!$E$2:$G$2038,2)</f>
        <v>Paruline obscure</v>
      </c>
      <c r="F3695" s="3" t="str">
        <f>VLOOKUP(B3695,LifeList!$E$2:$G$2038,3)</f>
        <v>Leiothlypis peregrina</v>
      </c>
      <c r="G3695" s="3" t="str">
        <f>VLOOKUP(B3695,LifeList!$E$2:$I$2038,4)</f>
        <v>Passeriformes</v>
      </c>
      <c r="H3695" s="3" t="str">
        <f>VLOOKUP(B3695,LifeList!$E$2:$I$2038,5)</f>
        <v>Parulidae (New World Warblers)</v>
      </c>
      <c r="I3695" s="3"/>
    </row>
    <row r="3696" spans="1:9" ht="10.5" customHeight="1">
      <c r="A3696" s="3" t="s">
        <v>5136</v>
      </c>
      <c r="B3696" s="3" t="s">
        <v>5134</v>
      </c>
      <c r="C3696" s="3">
        <f>VLOOKUP(B3696,LifeList!$E$2:$J$2038,6)</f>
        <v>33972</v>
      </c>
      <c r="D3696" s="3" t="str">
        <f>VLOOKUP(B3696,LifeList!$E$2:$G$2038,1)</f>
        <v>Tennessee Warbler</v>
      </c>
      <c r="E3696" s="3" t="str">
        <f>VLOOKUP(B3696,LifeList!$E$2:$G$2038,2)</f>
        <v>Paruline obscure</v>
      </c>
      <c r="F3696" s="3" t="str">
        <f>VLOOKUP(B3696,LifeList!$E$2:$G$2038,3)</f>
        <v>Leiothlypis peregrina</v>
      </c>
      <c r="G3696" s="3" t="str">
        <f>VLOOKUP(B3696,LifeList!$E$2:$I$2038,4)</f>
        <v>Passeriformes</v>
      </c>
      <c r="H3696" s="3" t="str">
        <f>VLOOKUP(B3696,LifeList!$E$2:$I$2038,5)</f>
        <v>Parulidae (New World Warblers)</v>
      </c>
      <c r="I3696" s="3"/>
    </row>
    <row r="3697" spans="1:9" ht="10.5" customHeight="1">
      <c r="A3697" s="3" t="s">
        <v>5137</v>
      </c>
      <c r="B3697" s="3" t="s">
        <v>5134</v>
      </c>
      <c r="C3697" s="3">
        <f>VLOOKUP(B3697,LifeList!$E$2:$J$2038,6)</f>
        <v>33972</v>
      </c>
      <c r="D3697" s="3" t="str">
        <f>VLOOKUP(B3697,LifeList!$E$2:$G$2038,1)</f>
        <v>Tennessee Warbler</v>
      </c>
      <c r="E3697" s="3" t="str">
        <f>VLOOKUP(B3697,LifeList!$E$2:$G$2038,2)</f>
        <v>Paruline obscure</v>
      </c>
      <c r="F3697" s="3" t="str">
        <f>VLOOKUP(B3697,LifeList!$E$2:$G$2038,3)</f>
        <v>Leiothlypis peregrina</v>
      </c>
      <c r="G3697" s="3" t="str">
        <f>VLOOKUP(B3697,LifeList!$E$2:$I$2038,4)</f>
        <v>Passeriformes</v>
      </c>
      <c r="H3697" s="3" t="str">
        <f>VLOOKUP(B3697,LifeList!$E$2:$I$2038,5)</f>
        <v>Parulidae (New World Warblers)</v>
      </c>
      <c r="I3697" s="3"/>
    </row>
    <row r="3698" spans="1:9" ht="10.5" customHeight="1">
      <c r="A3698" s="3" t="s">
        <v>5138</v>
      </c>
      <c r="B3698" s="3" t="s">
        <v>5134</v>
      </c>
      <c r="C3698" s="3">
        <f>VLOOKUP(B3698,LifeList!$E$2:$J$2038,6)</f>
        <v>33972</v>
      </c>
      <c r="D3698" s="3" t="str">
        <f>VLOOKUP(B3698,LifeList!$E$2:$G$2038,1)</f>
        <v>Tennessee Warbler</v>
      </c>
      <c r="E3698" s="3" t="str">
        <f>VLOOKUP(B3698,LifeList!$E$2:$G$2038,2)</f>
        <v>Paruline obscure</v>
      </c>
      <c r="F3698" s="3" t="str">
        <f>VLOOKUP(B3698,LifeList!$E$2:$G$2038,3)</f>
        <v>Leiothlypis peregrina</v>
      </c>
      <c r="G3698" s="3" t="str">
        <f>VLOOKUP(B3698,LifeList!$E$2:$I$2038,4)</f>
        <v>Passeriformes</v>
      </c>
      <c r="H3698" s="3" t="str">
        <f>VLOOKUP(B3698,LifeList!$E$2:$I$2038,5)</f>
        <v>Parulidae (New World Warblers)</v>
      </c>
      <c r="I3698" s="3"/>
    </row>
    <row r="3699" spans="1:9" ht="10.5" customHeight="1">
      <c r="A3699" s="3" t="s">
        <v>5139</v>
      </c>
      <c r="B3699" s="3" t="s">
        <v>5140</v>
      </c>
      <c r="C3699" s="3">
        <f>VLOOKUP(B3699,LifeList!$E$2:$J$2038,6)</f>
        <v>32033</v>
      </c>
      <c r="D3699" s="3" t="str">
        <f>VLOOKUP(B3699,LifeList!$E$2:$G$2038,1)</f>
        <v>Thick-billed Euphonia</v>
      </c>
      <c r="E3699" s="3" t="str">
        <f>VLOOKUP(B3699,LifeList!$E$2:$G$2038,2)</f>
        <v>Organiste à bec épais</v>
      </c>
      <c r="F3699" s="3" t="str">
        <f>VLOOKUP(B3699,LifeList!$E$2:$G$2038,3)</f>
        <v>Euphonia laniirostris</v>
      </c>
      <c r="G3699" s="3" t="str">
        <f>VLOOKUP(B3699,LifeList!$E$2:$I$2038,4)</f>
        <v>Passeriformes</v>
      </c>
      <c r="H3699" s="3" t="str">
        <f>VLOOKUP(B3699,LifeList!$E$2:$I$2038,5)</f>
        <v>Fringillidae (Finches, Euphonias, and Allies)</v>
      </c>
      <c r="I3699" s="3"/>
    </row>
    <row r="3700" spans="1:9" ht="10.5" customHeight="1">
      <c r="A3700" s="3" t="s">
        <v>5141</v>
      </c>
      <c r="B3700" s="3" t="s">
        <v>5140</v>
      </c>
      <c r="C3700" s="3">
        <f>VLOOKUP(B3700,LifeList!$E$2:$J$2038,6)</f>
        <v>32033</v>
      </c>
      <c r="D3700" s="3" t="str">
        <f>VLOOKUP(B3700,LifeList!$E$2:$G$2038,1)</f>
        <v>Thick-billed Euphonia</v>
      </c>
      <c r="E3700" s="3" t="str">
        <f>VLOOKUP(B3700,LifeList!$E$2:$G$2038,2)</f>
        <v>Organiste à bec épais</v>
      </c>
      <c r="F3700" s="3" t="str">
        <f>VLOOKUP(B3700,LifeList!$E$2:$G$2038,3)</f>
        <v>Euphonia laniirostris</v>
      </c>
      <c r="G3700" s="3" t="str">
        <f>VLOOKUP(B3700,LifeList!$E$2:$I$2038,4)</f>
        <v>Passeriformes</v>
      </c>
      <c r="H3700" s="3" t="str">
        <f>VLOOKUP(B3700,LifeList!$E$2:$I$2038,5)</f>
        <v>Fringillidae (Finches, Euphonias, and Allies)</v>
      </c>
      <c r="I3700" s="3"/>
    </row>
    <row r="3701" spans="1:9" ht="10.5" customHeight="1">
      <c r="A3701" s="3" t="s">
        <v>5142</v>
      </c>
      <c r="B3701" s="3" t="s">
        <v>5140</v>
      </c>
      <c r="C3701" s="3">
        <f>VLOOKUP(B3701,LifeList!$E$2:$J$2038,6)</f>
        <v>32033</v>
      </c>
      <c r="D3701" s="3" t="str">
        <f>VLOOKUP(B3701,LifeList!$E$2:$G$2038,1)</f>
        <v>Thick-billed Euphonia</v>
      </c>
      <c r="E3701" s="3" t="str">
        <f>VLOOKUP(B3701,LifeList!$E$2:$G$2038,2)</f>
        <v>Organiste à bec épais</v>
      </c>
      <c r="F3701" s="3" t="str">
        <f>VLOOKUP(B3701,LifeList!$E$2:$G$2038,3)</f>
        <v>Euphonia laniirostris</v>
      </c>
      <c r="G3701" s="3" t="str">
        <f>VLOOKUP(B3701,LifeList!$E$2:$I$2038,4)</f>
        <v>Passeriformes</v>
      </c>
      <c r="H3701" s="3" t="str">
        <f>VLOOKUP(B3701,LifeList!$E$2:$I$2038,5)</f>
        <v>Fringillidae (Finches, Euphonias, and Allies)</v>
      </c>
      <c r="I3701" s="3"/>
    </row>
    <row r="3702" spans="1:9" ht="10.5" customHeight="1">
      <c r="A3702" s="3" t="s">
        <v>5143</v>
      </c>
      <c r="B3702" s="3" t="s">
        <v>5140</v>
      </c>
      <c r="C3702" s="3">
        <f>VLOOKUP(B3702,LifeList!$E$2:$J$2038,6)</f>
        <v>32033</v>
      </c>
      <c r="D3702" s="3" t="str">
        <f>VLOOKUP(B3702,LifeList!$E$2:$G$2038,1)</f>
        <v>Thick-billed Euphonia</v>
      </c>
      <c r="E3702" s="3" t="str">
        <f>VLOOKUP(B3702,LifeList!$E$2:$G$2038,2)</f>
        <v>Organiste à bec épais</v>
      </c>
      <c r="F3702" s="3" t="str">
        <f>VLOOKUP(B3702,LifeList!$E$2:$G$2038,3)</f>
        <v>Euphonia laniirostris</v>
      </c>
      <c r="G3702" s="3" t="str">
        <f>VLOOKUP(B3702,LifeList!$E$2:$I$2038,4)</f>
        <v>Passeriformes</v>
      </c>
      <c r="H3702" s="3" t="str">
        <f>VLOOKUP(B3702,LifeList!$E$2:$I$2038,5)</f>
        <v>Fringillidae (Finches, Euphonias, and Allies)</v>
      </c>
      <c r="I3702" s="3"/>
    </row>
    <row r="3703" spans="1:9" ht="10.5" customHeight="1">
      <c r="A3703" s="3" t="s">
        <v>5144</v>
      </c>
      <c r="B3703" s="3" t="s">
        <v>5140</v>
      </c>
      <c r="C3703" s="3">
        <f>VLOOKUP(B3703,LifeList!$E$2:$J$2038,6)</f>
        <v>32033</v>
      </c>
      <c r="D3703" s="3" t="str">
        <f>VLOOKUP(B3703,LifeList!$E$2:$G$2038,1)</f>
        <v>Thick-billed Euphonia</v>
      </c>
      <c r="E3703" s="3" t="str">
        <f>VLOOKUP(B3703,LifeList!$E$2:$G$2038,2)</f>
        <v>Organiste à bec épais</v>
      </c>
      <c r="F3703" s="3" t="str">
        <f>VLOOKUP(B3703,LifeList!$E$2:$G$2038,3)</f>
        <v>Euphonia laniirostris</v>
      </c>
      <c r="G3703" s="3" t="str">
        <f>VLOOKUP(B3703,LifeList!$E$2:$I$2038,4)</f>
        <v>Passeriformes</v>
      </c>
      <c r="H3703" s="3" t="str">
        <f>VLOOKUP(B3703,LifeList!$E$2:$I$2038,5)</f>
        <v>Fringillidae (Finches, Euphonias, and Allies)</v>
      </c>
      <c r="I3703" s="3"/>
    </row>
    <row r="3704" spans="1:9" ht="10.5" customHeight="1">
      <c r="A3704" s="3" t="s">
        <v>5145</v>
      </c>
      <c r="B3704" s="3" t="s">
        <v>5146</v>
      </c>
      <c r="C3704" s="3">
        <f>VLOOKUP(B3704,LifeList!$E$2:$J$2038,6)</f>
        <v>35546</v>
      </c>
      <c r="D3704" s="3" t="str">
        <f>VLOOKUP(B3704,LifeList!$E$2:$G$2038,1)</f>
        <v>Thick-billed Seed-Finch</v>
      </c>
      <c r="E3704" s="3" t="str">
        <f>VLOOKUP(B3704,LifeList!$E$2:$G$2038,2)</f>
        <v>Sporophile à bec fort</v>
      </c>
      <c r="F3704" s="3" t="str">
        <f>VLOOKUP(B3704,LifeList!$E$2:$G$2038,3)</f>
        <v>Sporophila funerea</v>
      </c>
      <c r="G3704" s="3" t="str">
        <f>VLOOKUP(B3704,LifeList!$E$2:$I$2038,4)</f>
        <v>Passeriformes</v>
      </c>
      <c r="H3704" s="3" t="str">
        <f>VLOOKUP(B3704,LifeList!$E$2:$I$2038,5)</f>
        <v>Thraupidae (Tanagers and Allies)</v>
      </c>
      <c r="I3704" s="3"/>
    </row>
    <row r="3705" spans="1:9" ht="10.5" customHeight="1">
      <c r="A3705" s="3" t="s">
        <v>5147</v>
      </c>
      <c r="B3705" s="3" t="s">
        <v>5148</v>
      </c>
      <c r="C3705" s="3">
        <f>VLOOKUP(B3705,LifeList!$E$2:$J$2038,6)</f>
        <v>5845</v>
      </c>
      <c r="D3705" s="3" t="str">
        <f>VLOOKUP(B3705,LifeList!$E$2:$G$2038,1)</f>
        <v>Three-banded Plover</v>
      </c>
      <c r="E3705" s="3" t="str">
        <f>VLOOKUP(B3705,LifeList!$E$2:$G$2038,2)</f>
        <v>Pluvier à triple collier</v>
      </c>
      <c r="F3705" s="3" t="str">
        <f>VLOOKUP(B3705,LifeList!$E$2:$G$2038,3)</f>
        <v>Thinornis tricollaris</v>
      </c>
      <c r="G3705" s="3" t="str">
        <f>VLOOKUP(B3705,LifeList!$E$2:$I$2038,4)</f>
        <v>Charadriiformes</v>
      </c>
      <c r="H3705" s="3" t="str">
        <f>VLOOKUP(B3705,LifeList!$E$2:$I$2038,5)</f>
        <v>Charadriidae (Plovers and Lapwings)</v>
      </c>
      <c r="I3705" s="3"/>
    </row>
    <row r="3706" spans="1:9" ht="10.5" customHeight="1">
      <c r="A3706" s="3" t="s">
        <v>5149</v>
      </c>
      <c r="B3706" s="3" t="s">
        <v>5148</v>
      </c>
      <c r="C3706" s="3">
        <f>VLOOKUP(B3706,LifeList!$E$2:$J$2038,6)</f>
        <v>5845</v>
      </c>
      <c r="D3706" s="3" t="str">
        <f>VLOOKUP(B3706,LifeList!$E$2:$G$2038,1)</f>
        <v>Three-banded Plover</v>
      </c>
      <c r="E3706" s="3" t="str">
        <f>VLOOKUP(B3706,LifeList!$E$2:$G$2038,2)</f>
        <v>Pluvier à triple collier</v>
      </c>
      <c r="F3706" s="3" t="str">
        <f>VLOOKUP(B3706,LifeList!$E$2:$G$2038,3)</f>
        <v>Thinornis tricollaris</v>
      </c>
      <c r="G3706" s="3" t="str">
        <f>VLOOKUP(B3706,LifeList!$E$2:$I$2038,4)</f>
        <v>Charadriiformes</v>
      </c>
      <c r="H3706" s="3" t="str">
        <f>VLOOKUP(B3706,LifeList!$E$2:$I$2038,5)</f>
        <v>Charadriidae (Plovers and Lapwings)</v>
      </c>
      <c r="I3706" s="3"/>
    </row>
    <row r="3707" spans="1:9" ht="10.5" customHeight="1">
      <c r="A3707" s="3" t="s">
        <v>5150</v>
      </c>
      <c r="B3707" s="3" t="s">
        <v>5151</v>
      </c>
      <c r="C3707" s="3">
        <f>VLOOKUP(B3707,LifeList!$E$2:$J$2038,6)</f>
        <v>15940</v>
      </c>
      <c r="D3707" s="3" t="str">
        <f>VLOOKUP(B3707,LifeList!$E$2:$G$2038,1)</f>
        <v>Three-wattled Bellbird</v>
      </c>
      <c r="E3707" s="3" t="str">
        <f>VLOOKUP(B3707,LifeList!$E$2:$G$2038,2)</f>
        <v>Araponga tricaronculé</v>
      </c>
      <c r="F3707" s="3" t="str">
        <f>VLOOKUP(B3707,LifeList!$E$2:$G$2038,3)</f>
        <v>Procnias tricarunculatus</v>
      </c>
      <c r="G3707" s="3" t="str">
        <f>VLOOKUP(B3707,LifeList!$E$2:$I$2038,4)</f>
        <v>Passeriformes</v>
      </c>
      <c r="H3707" s="3" t="str">
        <f>VLOOKUP(B3707,LifeList!$E$2:$I$2038,5)</f>
        <v>Cotingidae (Cotingas)</v>
      </c>
      <c r="I3707" s="3"/>
    </row>
    <row r="3708" spans="1:9" ht="10.5" customHeight="1">
      <c r="A3708" s="3" t="s">
        <v>5152</v>
      </c>
      <c r="B3708" s="3" t="s">
        <v>5151</v>
      </c>
      <c r="C3708" s="3">
        <f>VLOOKUP(B3708,LifeList!$E$2:$J$2038,6)</f>
        <v>15940</v>
      </c>
      <c r="D3708" s="3" t="str">
        <f>VLOOKUP(B3708,LifeList!$E$2:$G$2038,1)</f>
        <v>Three-wattled Bellbird</v>
      </c>
      <c r="E3708" s="3" t="str">
        <f>VLOOKUP(B3708,LifeList!$E$2:$G$2038,2)</f>
        <v>Araponga tricaronculé</v>
      </c>
      <c r="F3708" s="3" t="str">
        <f>VLOOKUP(B3708,LifeList!$E$2:$G$2038,3)</f>
        <v>Procnias tricarunculatus</v>
      </c>
      <c r="G3708" s="3" t="str">
        <f>VLOOKUP(B3708,LifeList!$E$2:$I$2038,4)</f>
        <v>Passeriformes</v>
      </c>
      <c r="H3708" s="3" t="str">
        <f>VLOOKUP(B3708,LifeList!$E$2:$I$2038,5)</f>
        <v>Cotingidae (Cotingas)</v>
      </c>
      <c r="I3708" s="3"/>
    </row>
    <row r="3709" spans="1:9" ht="10.5" customHeight="1">
      <c r="A3709" s="3" t="s">
        <v>5153</v>
      </c>
      <c r="B3709" s="3" t="s">
        <v>5154</v>
      </c>
      <c r="C3709" s="3">
        <f>VLOOKUP(B3709,LifeList!$E$2:$J$2038,6)</f>
        <v>27299</v>
      </c>
      <c r="D3709" s="3" t="str">
        <f>VLOOKUP(B3709,LifeList!$E$2:$G$2038,1)</f>
        <v>Timberline Wren</v>
      </c>
      <c r="E3709" s="3" t="str">
        <f>VLOOKUP(B3709,LifeList!$E$2:$G$2038,2)</f>
        <v>Troglodyte des volcans</v>
      </c>
      <c r="F3709" s="3" t="str">
        <f>VLOOKUP(B3709,LifeList!$E$2:$G$2038,3)</f>
        <v>Thryorchilus browni</v>
      </c>
      <c r="G3709" s="3" t="str">
        <f>VLOOKUP(B3709,LifeList!$E$2:$I$2038,4)</f>
        <v>Passeriformes</v>
      </c>
      <c r="H3709" s="3" t="str">
        <f>VLOOKUP(B3709,LifeList!$E$2:$I$2038,5)</f>
        <v>Troglodytidae (Wrens)</v>
      </c>
      <c r="I3709" s="3"/>
    </row>
    <row r="3710" spans="1:9" ht="10.5" customHeight="1">
      <c r="A3710" s="3" t="s">
        <v>5155</v>
      </c>
      <c r="B3710" s="3" t="s">
        <v>5156</v>
      </c>
      <c r="C3710" s="3">
        <f>VLOOKUP(B3710,LifeList!$E$2:$J$2038,6)</f>
        <v>8334</v>
      </c>
      <c r="D3710" s="3" t="str">
        <f>VLOOKUP(B3710,LifeList!$E$2:$G$2038,1)</f>
        <v>Tiny Hawk</v>
      </c>
      <c r="E3710" s="3" t="str">
        <f>VLOOKUP(B3710,LifeList!$E$2:$G$2038,2)</f>
        <v>Épervier nain</v>
      </c>
      <c r="F3710" s="3" t="str">
        <f>VLOOKUP(B3710,LifeList!$E$2:$G$2038,3)</f>
        <v>Microspizias superciliosus</v>
      </c>
      <c r="G3710" s="3" t="str">
        <f>VLOOKUP(B3710,LifeList!$E$2:$I$2038,4)</f>
        <v>Accipitriformes</v>
      </c>
      <c r="H3710" s="3" t="str">
        <f>VLOOKUP(B3710,LifeList!$E$2:$I$2038,5)</f>
        <v>Accipitridae (Hawks, Eagles, and Kites)</v>
      </c>
      <c r="I3710" s="3"/>
    </row>
    <row r="3711" spans="1:9" ht="10.5" customHeight="1">
      <c r="A3711" s="3" t="s">
        <v>5157</v>
      </c>
      <c r="B3711" s="3" t="s">
        <v>5156</v>
      </c>
      <c r="C3711" s="3">
        <f>VLOOKUP(B3711,LifeList!$E$2:$J$2038,6)</f>
        <v>8334</v>
      </c>
      <c r="D3711" s="3" t="str">
        <f>VLOOKUP(B3711,LifeList!$E$2:$G$2038,1)</f>
        <v>Tiny Hawk</v>
      </c>
      <c r="E3711" s="3" t="str">
        <f>VLOOKUP(B3711,LifeList!$E$2:$G$2038,2)</f>
        <v>Épervier nain</v>
      </c>
      <c r="F3711" s="3" t="str">
        <f>VLOOKUP(B3711,LifeList!$E$2:$G$2038,3)</f>
        <v>Microspizias superciliosus</v>
      </c>
      <c r="G3711" s="3" t="str">
        <f>VLOOKUP(B3711,LifeList!$E$2:$I$2038,4)</f>
        <v>Accipitriformes</v>
      </c>
      <c r="H3711" s="3" t="str">
        <f>VLOOKUP(B3711,LifeList!$E$2:$I$2038,5)</f>
        <v>Accipitridae (Hawks, Eagles, and Kites)</v>
      </c>
      <c r="I3711" s="3"/>
    </row>
    <row r="3712" spans="1:9" ht="10.5" customHeight="1">
      <c r="A3712" s="3" t="s">
        <v>5158</v>
      </c>
      <c r="B3712" s="3" t="s">
        <v>5159</v>
      </c>
      <c r="C3712" s="3">
        <f>VLOOKUP(B3712,LifeList!$E$2:$J$2038,6)</f>
        <v>9846</v>
      </c>
      <c r="D3712" s="3" t="str">
        <f>VLOOKUP(B3712,LifeList!$E$2:$G$2038,1)</f>
        <v>Tody Motmot</v>
      </c>
      <c r="E3712" s="3" t="str">
        <f>VLOOKUP(B3712,LifeList!$E$2:$G$2038,2)</f>
        <v>Motmot nain</v>
      </c>
      <c r="F3712" s="3" t="str">
        <f>VLOOKUP(B3712,LifeList!$E$2:$G$2038,3)</f>
        <v>Hylomanes momotula</v>
      </c>
      <c r="G3712" s="3" t="str">
        <f>VLOOKUP(B3712,LifeList!$E$2:$I$2038,4)</f>
        <v>Coraciiformes</v>
      </c>
      <c r="H3712" s="3" t="str">
        <f>VLOOKUP(B3712,LifeList!$E$2:$I$2038,5)</f>
        <v>Momotidae (Motmots)</v>
      </c>
      <c r="I3712" s="3"/>
    </row>
    <row r="3713" spans="1:9" ht="10.5" customHeight="1">
      <c r="A3713" s="3" t="s">
        <v>5160</v>
      </c>
      <c r="B3713" s="3" t="s">
        <v>5159</v>
      </c>
      <c r="C3713" s="3">
        <f>VLOOKUP(B3713,LifeList!$E$2:$J$2038,6)</f>
        <v>9846</v>
      </c>
      <c r="D3713" s="3" t="str">
        <f>VLOOKUP(B3713,LifeList!$E$2:$G$2038,1)</f>
        <v>Tody Motmot</v>
      </c>
      <c r="E3713" s="3" t="str">
        <f>VLOOKUP(B3713,LifeList!$E$2:$G$2038,2)</f>
        <v>Motmot nain</v>
      </c>
      <c r="F3713" s="3" t="str">
        <f>VLOOKUP(B3713,LifeList!$E$2:$G$2038,3)</f>
        <v>Hylomanes momotula</v>
      </c>
      <c r="G3713" s="3" t="str">
        <f>VLOOKUP(B3713,LifeList!$E$2:$I$2038,4)</f>
        <v>Coraciiformes</v>
      </c>
      <c r="H3713" s="3" t="str">
        <f>VLOOKUP(B3713,LifeList!$E$2:$I$2038,5)</f>
        <v>Momotidae (Motmots)</v>
      </c>
      <c r="I3713" s="3"/>
    </row>
    <row r="3714" spans="1:9" ht="10.5" customHeight="1">
      <c r="A3714" s="3" t="s">
        <v>5161</v>
      </c>
      <c r="B3714" s="3" t="s">
        <v>5162</v>
      </c>
      <c r="C3714" s="3">
        <f>VLOOKUP(B3714,LifeList!$E$2:$J$2038,6)</f>
        <v>468</v>
      </c>
      <c r="D3714" s="3" t="str">
        <f>VLOOKUP(B3714,LifeList!$E$2:$G$2038,1)</f>
        <v>Torrent Duck</v>
      </c>
      <c r="E3714" s="3" t="str">
        <f>VLOOKUP(B3714,LifeList!$E$2:$G$2038,2)</f>
        <v>Merganette des torrents</v>
      </c>
      <c r="F3714" s="3" t="str">
        <f>VLOOKUP(B3714,LifeList!$E$2:$G$2038,3)</f>
        <v>Merganetta armata</v>
      </c>
      <c r="G3714" s="3" t="str">
        <f>VLOOKUP(B3714,LifeList!$E$2:$I$2038,4)</f>
        <v>Anseriformes</v>
      </c>
      <c r="H3714" s="3" t="str">
        <f>VLOOKUP(B3714,LifeList!$E$2:$I$2038,5)</f>
        <v>Anatidae (Ducks, Geese, and Waterfowl)</v>
      </c>
      <c r="I3714" s="3"/>
    </row>
    <row r="3715" spans="1:9" ht="10.5" customHeight="1">
      <c r="A3715" s="3" t="s">
        <v>5163</v>
      </c>
      <c r="B3715" s="3" t="s">
        <v>5164</v>
      </c>
      <c r="C3715" s="3">
        <f>VLOOKUP(B3715,LifeList!$E$2:$J$2038,6)</f>
        <v>16746</v>
      </c>
      <c r="D3715" s="3" t="str">
        <f>VLOOKUP(B3715,LifeList!$E$2:$G$2038,1)</f>
        <v>Torrent Tyrannulet</v>
      </c>
      <c r="E3715" s="3" t="str">
        <f>VLOOKUP(B3715,LifeList!$E$2:$G$2038,2)</f>
        <v>Tyranneau des torrents</v>
      </c>
      <c r="F3715" s="3" t="str">
        <f>VLOOKUP(B3715,LifeList!$E$2:$G$2038,3)</f>
        <v>Serpophaga cinerea</v>
      </c>
      <c r="G3715" s="3" t="str">
        <f>VLOOKUP(B3715,LifeList!$E$2:$I$2038,4)</f>
        <v>Passeriformes</v>
      </c>
      <c r="H3715" s="3" t="str">
        <f>VLOOKUP(B3715,LifeList!$E$2:$I$2038,5)</f>
        <v>Tyrannidae (Tyrant Flycatchers)</v>
      </c>
      <c r="I3715" s="3"/>
    </row>
    <row r="3716" spans="1:9" ht="10.5" customHeight="1">
      <c r="A3716" s="3" t="s">
        <v>5165</v>
      </c>
      <c r="B3716" s="3" t="s">
        <v>5164</v>
      </c>
      <c r="C3716" s="3">
        <f>VLOOKUP(B3716,LifeList!$E$2:$J$2038,6)</f>
        <v>16746</v>
      </c>
      <c r="D3716" s="3" t="str">
        <f>VLOOKUP(B3716,LifeList!$E$2:$G$2038,1)</f>
        <v>Torrent Tyrannulet</v>
      </c>
      <c r="E3716" s="3" t="str">
        <f>VLOOKUP(B3716,LifeList!$E$2:$G$2038,2)</f>
        <v>Tyranneau des torrents</v>
      </c>
      <c r="F3716" s="3" t="str">
        <f>VLOOKUP(B3716,LifeList!$E$2:$G$2038,3)</f>
        <v>Serpophaga cinerea</v>
      </c>
      <c r="G3716" s="3" t="str">
        <f>VLOOKUP(B3716,LifeList!$E$2:$I$2038,4)</f>
        <v>Passeriformes</v>
      </c>
      <c r="H3716" s="3" t="str">
        <f>VLOOKUP(B3716,LifeList!$E$2:$I$2038,5)</f>
        <v>Tyrannidae (Tyrant Flycatchers)</v>
      </c>
      <c r="I3716" s="3"/>
    </row>
    <row r="3717" spans="1:9" ht="10.5" customHeight="1">
      <c r="A3717" s="3" t="s">
        <v>5166</v>
      </c>
      <c r="B3717" s="3" t="s">
        <v>5164</v>
      </c>
      <c r="C3717" s="3">
        <f>VLOOKUP(B3717,LifeList!$E$2:$J$2038,6)</f>
        <v>16746</v>
      </c>
      <c r="D3717" s="3" t="str">
        <f>VLOOKUP(B3717,LifeList!$E$2:$G$2038,1)</f>
        <v>Torrent Tyrannulet</v>
      </c>
      <c r="E3717" s="3" t="str">
        <f>VLOOKUP(B3717,LifeList!$E$2:$G$2038,2)</f>
        <v>Tyranneau des torrents</v>
      </c>
      <c r="F3717" s="3" t="str">
        <f>VLOOKUP(B3717,LifeList!$E$2:$G$2038,3)</f>
        <v>Serpophaga cinerea</v>
      </c>
      <c r="G3717" s="3" t="str">
        <f>VLOOKUP(B3717,LifeList!$E$2:$I$2038,4)</f>
        <v>Passeriformes</v>
      </c>
      <c r="H3717" s="3" t="str">
        <f>VLOOKUP(B3717,LifeList!$E$2:$I$2038,5)</f>
        <v>Tyrannidae (Tyrant Flycatchers)</v>
      </c>
      <c r="I3717" s="3"/>
    </row>
    <row r="3718" spans="1:9" ht="10.5" customHeight="1">
      <c r="A3718" s="3" t="s">
        <v>5167</v>
      </c>
      <c r="B3718" s="3" t="s">
        <v>5164</v>
      </c>
      <c r="C3718" s="3">
        <f>VLOOKUP(B3718,LifeList!$E$2:$J$2038,6)</f>
        <v>16746</v>
      </c>
      <c r="D3718" s="3" t="str">
        <f>VLOOKUP(B3718,LifeList!$E$2:$G$2038,1)</f>
        <v>Torrent Tyrannulet</v>
      </c>
      <c r="E3718" s="3" t="str">
        <f>VLOOKUP(B3718,LifeList!$E$2:$G$2038,2)</f>
        <v>Tyranneau des torrents</v>
      </c>
      <c r="F3718" s="3" t="str">
        <f>VLOOKUP(B3718,LifeList!$E$2:$G$2038,3)</f>
        <v>Serpophaga cinerea</v>
      </c>
      <c r="G3718" s="3" t="str">
        <f>VLOOKUP(B3718,LifeList!$E$2:$I$2038,4)</f>
        <v>Passeriformes</v>
      </c>
      <c r="H3718" s="3" t="str">
        <f>VLOOKUP(B3718,LifeList!$E$2:$I$2038,5)</f>
        <v>Tyrannidae (Tyrant Flycatchers)</v>
      </c>
      <c r="I3718" s="3"/>
    </row>
    <row r="3719" spans="1:9" ht="10.5" customHeight="1">
      <c r="A3719" s="3" t="s">
        <v>5168</v>
      </c>
      <c r="B3719" s="3" t="s">
        <v>5164</v>
      </c>
      <c r="C3719" s="3">
        <f>VLOOKUP(B3719,LifeList!$E$2:$J$2038,6)</f>
        <v>16746</v>
      </c>
      <c r="D3719" s="3" t="str">
        <f>VLOOKUP(B3719,LifeList!$E$2:$G$2038,1)</f>
        <v>Torrent Tyrannulet</v>
      </c>
      <c r="E3719" s="3" t="str">
        <f>VLOOKUP(B3719,LifeList!$E$2:$G$2038,2)</f>
        <v>Tyranneau des torrents</v>
      </c>
      <c r="F3719" s="3" t="str">
        <f>VLOOKUP(B3719,LifeList!$E$2:$G$2038,3)</f>
        <v>Serpophaga cinerea</v>
      </c>
      <c r="G3719" s="3" t="str">
        <f>VLOOKUP(B3719,LifeList!$E$2:$I$2038,4)</f>
        <v>Passeriformes</v>
      </c>
      <c r="H3719" s="3" t="str">
        <f>VLOOKUP(B3719,LifeList!$E$2:$I$2038,5)</f>
        <v>Tyrannidae (Tyrant Flycatchers)</v>
      </c>
      <c r="I3719" s="3"/>
    </row>
    <row r="3720" spans="1:9" ht="10.5" customHeight="1">
      <c r="A3720" s="3" t="s">
        <v>5169</v>
      </c>
      <c r="B3720" s="3" t="s">
        <v>5170</v>
      </c>
      <c r="C3720" s="3">
        <f>VLOOKUP(B3720,LifeList!$E$2:$J$2038,6)</f>
        <v>10832</v>
      </c>
      <c r="D3720" s="3" t="str">
        <f>VLOOKUP(B3720,LifeList!$E$2:$G$2038,1)</f>
        <v>Toucan Barbet</v>
      </c>
      <c r="E3720" s="3" t="str">
        <f>VLOOKUP(B3720,LifeList!$E$2:$G$2038,2)</f>
        <v>Cabézon toucan</v>
      </c>
      <c r="F3720" s="3" t="str">
        <f>VLOOKUP(B3720,LifeList!$E$2:$G$2038,3)</f>
        <v>Semnornis ramphastinus</v>
      </c>
      <c r="G3720" s="3" t="str">
        <f>VLOOKUP(B3720,LifeList!$E$2:$I$2038,4)</f>
        <v>Piciformes</v>
      </c>
      <c r="H3720" s="3" t="str">
        <f>VLOOKUP(B3720,LifeList!$E$2:$I$2038,5)</f>
        <v>Semnornithidae (Toucan-Barbets)</v>
      </c>
      <c r="I3720" s="3"/>
    </row>
    <row r="3721" spans="1:9" ht="10.5" customHeight="1">
      <c r="A3721" s="3" t="s">
        <v>5171</v>
      </c>
      <c r="B3721" s="3" t="s">
        <v>5172</v>
      </c>
      <c r="C3721" s="3">
        <f>VLOOKUP(B3721,LifeList!$E$2:$J$2038,6)</f>
        <v>4414</v>
      </c>
      <c r="D3721" s="3" t="str">
        <f>VLOOKUP(B3721,LifeList!$E$2:$G$2038,1)</f>
        <v>Tourmaline Sunangel</v>
      </c>
      <c r="E3721" s="3" t="str">
        <f>VLOOKUP(B3721,LifeList!$E$2:$G$2038,2)</f>
        <v>Héliange tourmaline</v>
      </c>
      <c r="F3721" s="3" t="str">
        <f>VLOOKUP(B3721,LifeList!$E$2:$G$2038,3)</f>
        <v>Heliangelus exortis</v>
      </c>
      <c r="G3721" s="3" t="str">
        <f>VLOOKUP(B3721,LifeList!$E$2:$I$2038,4)</f>
        <v>Apodiformes</v>
      </c>
      <c r="H3721" s="3" t="str">
        <f>VLOOKUP(B3721,LifeList!$E$2:$I$2038,5)</f>
        <v>Trochilidae (Hummingbirds)</v>
      </c>
      <c r="I3721" s="3"/>
    </row>
    <row r="3722" spans="1:9" ht="10.5" customHeight="1">
      <c r="A3722" s="3" t="s">
        <v>5173</v>
      </c>
      <c r="B3722" s="3" t="s">
        <v>5172</v>
      </c>
      <c r="C3722" s="3">
        <f>VLOOKUP(B3722,LifeList!$E$2:$J$2038,6)</f>
        <v>4414</v>
      </c>
      <c r="D3722" s="3" t="str">
        <f>VLOOKUP(B3722,LifeList!$E$2:$G$2038,1)</f>
        <v>Tourmaline Sunangel</v>
      </c>
      <c r="E3722" s="3" t="str">
        <f>VLOOKUP(B3722,LifeList!$E$2:$G$2038,2)</f>
        <v>Héliange tourmaline</v>
      </c>
      <c r="F3722" s="3" t="str">
        <f>VLOOKUP(B3722,LifeList!$E$2:$G$2038,3)</f>
        <v>Heliangelus exortis</v>
      </c>
      <c r="G3722" s="3" t="str">
        <f>VLOOKUP(B3722,LifeList!$E$2:$I$2038,4)</f>
        <v>Apodiformes</v>
      </c>
      <c r="H3722" s="3" t="str">
        <f>VLOOKUP(B3722,LifeList!$E$2:$I$2038,5)</f>
        <v>Trochilidae (Hummingbirds)</v>
      </c>
      <c r="I3722" s="3"/>
    </row>
    <row r="3723" spans="1:9" ht="10.5" customHeight="1">
      <c r="A3723" s="3" t="s">
        <v>5174</v>
      </c>
      <c r="B3723" s="3" t="s">
        <v>5175</v>
      </c>
      <c r="C3723" s="3">
        <f>VLOOKUP(B3723,LifeList!$E$2:$J$2038,6)</f>
        <v>34206</v>
      </c>
      <c r="D3723" s="3" t="str">
        <f>VLOOKUP(B3723,LifeList!$E$2:$G$2038,1)</f>
        <v>Townsend's Warbler</v>
      </c>
      <c r="E3723" s="3" t="str">
        <f>VLOOKUP(B3723,LifeList!$E$2:$G$2038,2)</f>
        <v>Paruline de Townsend</v>
      </c>
      <c r="F3723" s="3" t="str">
        <f>VLOOKUP(B3723,LifeList!$E$2:$G$2038,3)</f>
        <v>Setophaga townsendi</v>
      </c>
      <c r="G3723" s="3" t="str">
        <f>VLOOKUP(B3723,LifeList!$E$2:$I$2038,4)</f>
        <v>Passeriformes</v>
      </c>
      <c r="H3723" s="3" t="str">
        <f>VLOOKUP(B3723,LifeList!$E$2:$I$2038,5)</f>
        <v>Parulidae (New World Warblers)</v>
      </c>
      <c r="I3723" s="3"/>
    </row>
    <row r="3724" spans="1:9" ht="10.5" customHeight="1">
      <c r="A3724" s="5" t="s">
        <v>5176</v>
      </c>
      <c r="B3724" s="3" t="s">
        <v>5177</v>
      </c>
      <c r="C3724" s="3">
        <f>VLOOKUP(B3724,LifeList!$E$2:$J$2038,6)</f>
        <v>24064</v>
      </c>
      <c r="D3724" s="3" t="str">
        <f>VLOOKUP(B3724,LifeList!$E$2:$G$2038,1)</f>
        <v>Tree Swallow</v>
      </c>
      <c r="E3724" s="3" t="str">
        <f>VLOOKUP(B3724,LifeList!$E$2:$G$2038,2)</f>
        <v>Hirondelle bicolore</v>
      </c>
      <c r="F3724" s="3" t="str">
        <f>VLOOKUP(B3724,LifeList!$E$2:$G$2038,3)</f>
        <v>Tachycineta bicolor</v>
      </c>
      <c r="G3724" s="3" t="str">
        <f>VLOOKUP(B3724,LifeList!$E$2:$I$2038,4)</f>
        <v>Passeriformes</v>
      </c>
      <c r="H3724" s="3" t="str">
        <f>VLOOKUP(B3724,LifeList!$E$2:$I$2038,5)</f>
        <v>Hirundinidae (Swallows)</v>
      </c>
      <c r="I3724" s="3"/>
    </row>
    <row r="3725" spans="1:9" ht="10.5" customHeight="1">
      <c r="A3725" s="3" t="s">
        <v>5178</v>
      </c>
      <c r="B3725" s="3" t="s">
        <v>5179</v>
      </c>
      <c r="C3725" s="3">
        <f>VLOOKUP(B3725,LifeList!$E$2:$J$2038,6)</f>
        <v>24064</v>
      </c>
      <c r="D3725" s="3" t="str">
        <f>VLOOKUP(B3725,LifeList!$E$2:$G$2038,1)</f>
        <v>Tree Swallow</v>
      </c>
      <c r="E3725" s="3" t="str">
        <f>VLOOKUP(B3725,LifeList!$E$2:$G$2038,2)</f>
        <v>Hirondelle bicolore</v>
      </c>
      <c r="F3725" s="3" t="str">
        <f>VLOOKUP(B3725,LifeList!$E$2:$G$2038,3)</f>
        <v>Tachycineta bicolor</v>
      </c>
      <c r="G3725" s="3" t="str">
        <f>VLOOKUP(B3725,LifeList!$E$2:$I$2038,4)</f>
        <v>Passeriformes</v>
      </c>
      <c r="H3725" s="3" t="str">
        <f>VLOOKUP(B3725,LifeList!$E$2:$I$2038,5)</f>
        <v>Hirundinidae (Swallows)</v>
      </c>
      <c r="I3725" s="3"/>
    </row>
    <row r="3726" spans="1:9" ht="10.5" customHeight="1">
      <c r="A3726" s="3" t="s">
        <v>5180</v>
      </c>
      <c r="B3726" s="3" t="s">
        <v>5179</v>
      </c>
      <c r="C3726" s="3">
        <f>VLOOKUP(B3726,LifeList!$E$2:$J$2038,6)</f>
        <v>24064</v>
      </c>
      <c r="D3726" s="3" t="str">
        <f>VLOOKUP(B3726,LifeList!$E$2:$G$2038,1)</f>
        <v>Tree Swallow</v>
      </c>
      <c r="E3726" s="3" t="str">
        <f>VLOOKUP(B3726,LifeList!$E$2:$G$2038,2)</f>
        <v>Hirondelle bicolore</v>
      </c>
      <c r="F3726" s="3" t="str">
        <f>VLOOKUP(B3726,LifeList!$E$2:$G$2038,3)</f>
        <v>Tachycineta bicolor</v>
      </c>
      <c r="G3726" s="3" t="str">
        <f>VLOOKUP(B3726,LifeList!$E$2:$I$2038,4)</f>
        <v>Passeriformes</v>
      </c>
      <c r="H3726" s="3" t="str">
        <f>VLOOKUP(B3726,LifeList!$E$2:$I$2038,5)</f>
        <v>Hirundinidae (Swallows)</v>
      </c>
      <c r="I3726" s="3"/>
    </row>
    <row r="3727" spans="1:9" ht="10.5" customHeight="1">
      <c r="A3727" s="3" t="s">
        <v>5181</v>
      </c>
      <c r="B3727" s="3" t="s">
        <v>5182</v>
      </c>
      <c r="C3727" s="3">
        <f>VLOOKUP(B3727,LifeList!$E$2:$J$2038,6)</f>
        <v>7630</v>
      </c>
      <c r="D3727" s="3" t="str">
        <f>VLOOKUP(B3727,LifeList!$E$2:$G$2038,1)</f>
        <v>Tricolored Heron</v>
      </c>
      <c r="E3727" s="3" t="str">
        <f>VLOOKUP(B3727,LifeList!$E$2:$G$2038,2)</f>
        <v>Aigrette tricolore</v>
      </c>
      <c r="F3727" s="3" t="str">
        <f>VLOOKUP(B3727,LifeList!$E$2:$G$2038,3)</f>
        <v>Egretta tricolor</v>
      </c>
      <c r="G3727" s="3" t="str">
        <f>VLOOKUP(B3727,LifeList!$E$2:$I$2038,4)</f>
        <v>Pelecaniformes</v>
      </c>
      <c r="H3727" s="3" t="str">
        <f>VLOOKUP(B3727,LifeList!$E$2:$I$2038,5)</f>
        <v>Ardeidae (Herons, Egrets, and Bitterns)</v>
      </c>
      <c r="I3727" s="3"/>
    </row>
    <row r="3728" spans="1:9" ht="10.5" customHeight="1">
      <c r="A3728" s="3" t="s">
        <v>5183</v>
      </c>
      <c r="B3728" s="3" t="s">
        <v>5182</v>
      </c>
      <c r="C3728" s="3">
        <f>VLOOKUP(B3728,LifeList!$E$2:$J$2038,6)</f>
        <v>7630</v>
      </c>
      <c r="D3728" s="3" t="str">
        <f>VLOOKUP(B3728,LifeList!$E$2:$G$2038,1)</f>
        <v>Tricolored Heron</v>
      </c>
      <c r="E3728" s="3" t="str">
        <f>VLOOKUP(B3728,LifeList!$E$2:$G$2038,2)</f>
        <v>Aigrette tricolore</v>
      </c>
      <c r="F3728" s="3" t="str">
        <f>VLOOKUP(B3728,LifeList!$E$2:$G$2038,3)</f>
        <v>Egretta tricolor</v>
      </c>
      <c r="G3728" s="3" t="str">
        <f>VLOOKUP(B3728,LifeList!$E$2:$I$2038,4)</f>
        <v>Pelecaniformes</v>
      </c>
      <c r="H3728" s="3" t="str">
        <f>VLOOKUP(B3728,LifeList!$E$2:$I$2038,5)</f>
        <v>Ardeidae (Herons, Egrets, and Bitterns)</v>
      </c>
      <c r="I3728" s="3"/>
    </row>
    <row r="3729" spans="1:9" ht="10.5" customHeight="1">
      <c r="A3729" s="3" t="s">
        <v>5184</v>
      </c>
      <c r="B3729" s="3" t="s">
        <v>5182</v>
      </c>
      <c r="C3729" s="3">
        <f>VLOOKUP(B3729,LifeList!$E$2:$J$2038,6)</f>
        <v>7630</v>
      </c>
      <c r="D3729" s="3" t="str">
        <f>VLOOKUP(B3729,LifeList!$E$2:$G$2038,1)</f>
        <v>Tricolored Heron</v>
      </c>
      <c r="E3729" s="3" t="str">
        <f>VLOOKUP(B3729,LifeList!$E$2:$G$2038,2)</f>
        <v>Aigrette tricolore</v>
      </c>
      <c r="F3729" s="3" t="str">
        <f>VLOOKUP(B3729,LifeList!$E$2:$G$2038,3)</f>
        <v>Egretta tricolor</v>
      </c>
      <c r="G3729" s="3" t="str">
        <f>VLOOKUP(B3729,LifeList!$E$2:$I$2038,4)</f>
        <v>Pelecaniformes</v>
      </c>
      <c r="H3729" s="3" t="str">
        <f>VLOOKUP(B3729,LifeList!$E$2:$I$2038,5)</f>
        <v>Ardeidae (Herons, Egrets, and Bitterns)</v>
      </c>
      <c r="I3729" s="3"/>
    </row>
    <row r="3730" spans="1:9" ht="10.5" customHeight="1">
      <c r="A3730" s="3" t="s">
        <v>5185</v>
      </c>
      <c r="B3730" s="3" t="s">
        <v>5182</v>
      </c>
      <c r="C3730" s="3">
        <f>VLOOKUP(B3730,LifeList!$E$2:$J$2038,6)</f>
        <v>7630</v>
      </c>
      <c r="D3730" s="3" t="str">
        <f>VLOOKUP(B3730,LifeList!$E$2:$G$2038,1)</f>
        <v>Tricolored Heron</v>
      </c>
      <c r="E3730" s="3" t="str">
        <f>VLOOKUP(B3730,LifeList!$E$2:$G$2038,2)</f>
        <v>Aigrette tricolore</v>
      </c>
      <c r="F3730" s="3" t="str">
        <f>VLOOKUP(B3730,LifeList!$E$2:$G$2038,3)</f>
        <v>Egretta tricolor</v>
      </c>
      <c r="G3730" s="3" t="str">
        <f>VLOOKUP(B3730,LifeList!$E$2:$I$2038,4)</f>
        <v>Pelecaniformes</v>
      </c>
      <c r="H3730" s="3" t="str">
        <f>VLOOKUP(B3730,LifeList!$E$2:$I$2038,5)</f>
        <v>Ardeidae (Herons, Egrets, and Bitterns)</v>
      </c>
      <c r="I3730" s="3"/>
    </row>
    <row r="3731" spans="1:9" ht="10.5" customHeight="1">
      <c r="A3731" s="3" t="s">
        <v>5186</v>
      </c>
      <c r="B3731" s="3" t="s">
        <v>5182</v>
      </c>
      <c r="C3731" s="3">
        <f>VLOOKUP(B3731,LifeList!$E$2:$J$2038,6)</f>
        <v>7630</v>
      </c>
      <c r="D3731" s="3" t="str">
        <f>VLOOKUP(B3731,LifeList!$E$2:$G$2038,1)</f>
        <v>Tricolored Heron</v>
      </c>
      <c r="E3731" s="3" t="str">
        <f>VLOOKUP(B3731,LifeList!$E$2:$G$2038,2)</f>
        <v>Aigrette tricolore</v>
      </c>
      <c r="F3731" s="3" t="str">
        <f>VLOOKUP(B3731,LifeList!$E$2:$G$2038,3)</f>
        <v>Egretta tricolor</v>
      </c>
      <c r="G3731" s="3" t="str">
        <f>VLOOKUP(B3731,LifeList!$E$2:$I$2038,4)</f>
        <v>Pelecaniformes</v>
      </c>
      <c r="H3731" s="3" t="str">
        <f>VLOOKUP(B3731,LifeList!$E$2:$I$2038,5)</f>
        <v>Ardeidae (Herons, Egrets, and Bitterns)</v>
      </c>
      <c r="I3731" s="3"/>
    </row>
    <row r="3732" spans="1:9" ht="10.5" customHeight="1">
      <c r="A3732" s="3" t="s">
        <v>5187</v>
      </c>
      <c r="B3732" s="3" t="s">
        <v>5182</v>
      </c>
      <c r="C3732" s="3">
        <f>VLOOKUP(B3732,LifeList!$E$2:$J$2038,6)</f>
        <v>7630</v>
      </c>
      <c r="D3732" s="3" t="str">
        <f>VLOOKUP(B3732,LifeList!$E$2:$G$2038,1)</f>
        <v>Tricolored Heron</v>
      </c>
      <c r="E3732" s="3" t="str">
        <f>VLOOKUP(B3732,LifeList!$E$2:$G$2038,2)</f>
        <v>Aigrette tricolore</v>
      </c>
      <c r="F3732" s="3" t="str">
        <f>VLOOKUP(B3732,LifeList!$E$2:$G$2038,3)</f>
        <v>Egretta tricolor</v>
      </c>
      <c r="G3732" s="3" t="str">
        <f>VLOOKUP(B3732,LifeList!$E$2:$I$2038,4)</f>
        <v>Pelecaniformes</v>
      </c>
      <c r="H3732" s="3" t="str">
        <f>VLOOKUP(B3732,LifeList!$E$2:$I$2038,5)</f>
        <v>Ardeidae (Herons, Egrets, and Bitterns)</v>
      </c>
      <c r="I3732" s="3"/>
    </row>
    <row r="3733" spans="1:9" ht="10.5" customHeight="1">
      <c r="A3733" s="3" t="s">
        <v>5188</v>
      </c>
      <c r="B3733" s="3" t="s">
        <v>5182</v>
      </c>
      <c r="C3733" s="3">
        <f>VLOOKUP(B3733,LifeList!$E$2:$J$2038,6)</f>
        <v>7630</v>
      </c>
      <c r="D3733" s="3" t="str">
        <f>VLOOKUP(B3733,LifeList!$E$2:$G$2038,1)</f>
        <v>Tricolored Heron</v>
      </c>
      <c r="E3733" s="3" t="str">
        <f>VLOOKUP(B3733,LifeList!$E$2:$G$2038,2)</f>
        <v>Aigrette tricolore</v>
      </c>
      <c r="F3733" s="3" t="str">
        <f>VLOOKUP(B3733,LifeList!$E$2:$G$2038,3)</f>
        <v>Egretta tricolor</v>
      </c>
      <c r="G3733" s="3" t="str">
        <f>VLOOKUP(B3733,LifeList!$E$2:$I$2038,4)</f>
        <v>Pelecaniformes</v>
      </c>
      <c r="H3733" s="3" t="str">
        <f>VLOOKUP(B3733,LifeList!$E$2:$I$2038,5)</f>
        <v>Ardeidae (Herons, Egrets, and Bitterns)</v>
      </c>
      <c r="I3733" s="3"/>
    </row>
    <row r="3734" spans="1:9" ht="10.5" customHeight="1">
      <c r="A3734" s="3" t="s">
        <v>5189</v>
      </c>
      <c r="B3734" s="3" t="s">
        <v>5182</v>
      </c>
      <c r="C3734" s="3">
        <f>VLOOKUP(B3734,LifeList!$E$2:$J$2038,6)</f>
        <v>7630</v>
      </c>
      <c r="D3734" s="3" t="str">
        <f>VLOOKUP(B3734,LifeList!$E$2:$G$2038,1)</f>
        <v>Tricolored Heron</v>
      </c>
      <c r="E3734" s="3" t="str">
        <f>VLOOKUP(B3734,LifeList!$E$2:$G$2038,2)</f>
        <v>Aigrette tricolore</v>
      </c>
      <c r="F3734" s="3" t="str">
        <f>VLOOKUP(B3734,LifeList!$E$2:$G$2038,3)</f>
        <v>Egretta tricolor</v>
      </c>
      <c r="G3734" s="3" t="str">
        <f>VLOOKUP(B3734,LifeList!$E$2:$I$2038,4)</f>
        <v>Pelecaniformes</v>
      </c>
      <c r="H3734" s="3" t="str">
        <f>VLOOKUP(B3734,LifeList!$E$2:$I$2038,5)</f>
        <v>Ardeidae (Herons, Egrets, and Bitterns)</v>
      </c>
      <c r="I3734" s="3"/>
    </row>
    <row r="3735" spans="1:9" ht="10.5" customHeight="1">
      <c r="A3735" s="3" t="s">
        <v>5190</v>
      </c>
      <c r="B3735" s="3" t="s">
        <v>5182</v>
      </c>
      <c r="C3735" s="3">
        <f>VLOOKUP(B3735,LifeList!$E$2:$J$2038,6)</f>
        <v>7630</v>
      </c>
      <c r="D3735" s="3" t="str">
        <f>VLOOKUP(B3735,LifeList!$E$2:$G$2038,1)</f>
        <v>Tricolored Heron</v>
      </c>
      <c r="E3735" s="3" t="str">
        <f>VLOOKUP(B3735,LifeList!$E$2:$G$2038,2)</f>
        <v>Aigrette tricolore</v>
      </c>
      <c r="F3735" s="3" t="str">
        <f>VLOOKUP(B3735,LifeList!$E$2:$G$2038,3)</f>
        <v>Egretta tricolor</v>
      </c>
      <c r="G3735" s="3" t="str">
        <f>VLOOKUP(B3735,LifeList!$E$2:$I$2038,4)</f>
        <v>Pelecaniformes</v>
      </c>
      <c r="H3735" s="3" t="str">
        <f>VLOOKUP(B3735,LifeList!$E$2:$I$2038,5)</f>
        <v>Ardeidae (Herons, Egrets, and Bitterns)</v>
      </c>
      <c r="I3735" s="3"/>
    </row>
    <row r="3736" spans="1:9" ht="10.5" customHeight="1">
      <c r="A3736" s="3" t="s">
        <v>5191</v>
      </c>
      <c r="B3736" s="3" t="s">
        <v>5182</v>
      </c>
      <c r="C3736" s="3">
        <f>VLOOKUP(B3736,LifeList!$E$2:$J$2038,6)</f>
        <v>7630</v>
      </c>
      <c r="D3736" s="3" t="str">
        <f>VLOOKUP(B3736,LifeList!$E$2:$G$2038,1)</f>
        <v>Tricolored Heron</v>
      </c>
      <c r="E3736" s="3" t="str">
        <f>VLOOKUP(B3736,LifeList!$E$2:$G$2038,2)</f>
        <v>Aigrette tricolore</v>
      </c>
      <c r="F3736" s="3" t="str">
        <f>VLOOKUP(B3736,LifeList!$E$2:$G$2038,3)</f>
        <v>Egretta tricolor</v>
      </c>
      <c r="G3736" s="3" t="str">
        <f>VLOOKUP(B3736,LifeList!$E$2:$I$2038,4)</f>
        <v>Pelecaniformes</v>
      </c>
      <c r="H3736" s="3" t="str">
        <f>VLOOKUP(B3736,LifeList!$E$2:$I$2038,5)</f>
        <v>Ardeidae (Herons, Egrets, and Bitterns)</v>
      </c>
      <c r="I3736" s="3"/>
    </row>
    <row r="3737" spans="1:9" ht="10.5" customHeight="1">
      <c r="A3737" s="3" t="s">
        <v>5192</v>
      </c>
      <c r="B3737" s="3" t="s">
        <v>5182</v>
      </c>
      <c r="C3737" s="3">
        <f>VLOOKUP(B3737,LifeList!$E$2:$J$2038,6)</f>
        <v>7630</v>
      </c>
      <c r="D3737" s="3" t="str">
        <f>VLOOKUP(B3737,LifeList!$E$2:$G$2038,1)</f>
        <v>Tricolored Heron</v>
      </c>
      <c r="E3737" s="3" t="str">
        <f>VLOOKUP(B3737,LifeList!$E$2:$G$2038,2)</f>
        <v>Aigrette tricolore</v>
      </c>
      <c r="F3737" s="3" t="str">
        <f>VLOOKUP(B3737,LifeList!$E$2:$G$2038,3)</f>
        <v>Egretta tricolor</v>
      </c>
      <c r="G3737" s="3" t="str">
        <f>VLOOKUP(B3737,LifeList!$E$2:$I$2038,4)</f>
        <v>Pelecaniformes</v>
      </c>
      <c r="H3737" s="3" t="str">
        <f>VLOOKUP(B3737,LifeList!$E$2:$I$2038,5)</f>
        <v>Ardeidae (Herons, Egrets, and Bitterns)</v>
      </c>
      <c r="I3737" s="3"/>
    </row>
    <row r="3738" spans="1:9" ht="10.5" customHeight="1">
      <c r="A3738" s="3" t="s">
        <v>5193</v>
      </c>
      <c r="B3738" s="3" t="s">
        <v>5182</v>
      </c>
      <c r="C3738" s="3">
        <f>VLOOKUP(B3738,LifeList!$E$2:$J$2038,6)</f>
        <v>7630</v>
      </c>
      <c r="D3738" s="3" t="str">
        <f>VLOOKUP(B3738,LifeList!$E$2:$G$2038,1)</f>
        <v>Tricolored Heron</v>
      </c>
      <c r="E3738" s="3" t="str">
        <f>VLOOKUP(B3738,LifeList!$E$2:$G$2038,2)</f>
        <v>Aigrette tricolore</v>
      </c>
      <c r="F3738" s="3" t="str">
        <f>VLOOKUP(B3738,LifeList!$E$2:$G$2038,3)</f>
        <v>Egretta tricolor</v>
      </c>
      <c r="G3738" s="3" t="str">
        <f>VLOOKUP(B3738,LifeList!$E$2:$I$2038,4)</f>
        <v>Pelecaniformes</v>
      </c>
      <c r="H3738" s="3" t="str">
        <f>VLOOKUP(B3738,LifeList!$E$2:$I$2038,5)</f>
        <v>Ardeidae (Herons, Egrets, and Bitterns)</v>
      </c>
      <c r="I3738" s="3"/>
    </row>
    <row r="3739" spans="1:9" ht="10.5" customHeight="1">
      <c r="A3739" s="3" t="s">
        <v>5194</v>
      </c>
      <c r="B3739" s="3" t="s">
        <v>5182</v>
      </c>
      <c r="C3739" s="3">
        <f>VLOOKUP(B3739,LifeList!$E$2:$J$2038,6)</f>
        <v>7630</v>
      </c>
      <c r="D3739" s="3" t="str">
        <f>VLOOKUP(B3739,LifeList!$E$2:$G$2038,1)</f>
        <v>Tricolored Heron</v>
      </c>
      <c r="E3739" s="3" t="str">
        <f>VLOOKUP(B3739,LifeList!$E$2:$G$2038,2)</f>
        <v>Aigrette tricolore</v>
      </c>
      <c r="F3739" s="3" t="str">
        <f>VLOOKUP(B3739,LifeList!$E$2:$G$2038,3)</f>
        <v>Egretta tricolor</v>
      </c>
      <c r="G3739" s="3" t="str">
        <f>VLOOKUP(B3739,LifeList!$E$2:$I$2038,4)</f>
        <v>Pelecaniformes</v>
      </c>
      <c r="H3739" s="3" t="str">
        <f>VLOOKUP(B3739,LifeList!$E$2:$I$2038,5)</f>
        <v>Ardeidae (Herons, Egrets, and Bitterns)</v>
      </c>
      <c r="I3739" s="3"/>
    </row>
    <row r="3740" spans="1:9" ht="10.5" customHeight="1">
      <c r="A3740" s="3" t="s">
        <v>5195</v>
      </c>
      <c r="B3740" s="3" t="s">
        <v>5182</v>
      </c>
      <c r="C3740" s="3">
        <f>VLOOKUP(B3740,LifeList!$E$2:$J$2038,6)</f>
        <v>7630</v>
      </c>
      <c r="D3740" s="3" t="str">
        <f>VLOOKUP(B3740,LifeList!$E$2:$G$2038,1)</f>
        <v>Tricolored Heron</v>
      </c>
      <c r="E3740" s="3" t="str">
        <f>VLOOKUP(B3740,LifeList!$E$2:$G$2038,2)</f>
        <v>Aigrette tricolore</v>
      </c>
      <c r="F3740" s="3" t="str">
        <f>VLOOKUP(B3740,LifeList!$E$2:$G$2038,3)</f>
        <v>Egretta tricolor</v>
      </c>
      <c r="G3740" s="3" t="str">
        <f>VLOOKUP(B3740,LifeList!$E$2:$I$2038,4)</f>
        <v>Pelecaniformes</v>
      </c>
      <c r="H3740" s="3" t="str">
        <f>VLOOKUP(B3740,LifeList!$E$2:$I$2038,5)</f>
        <v>Ardeidae (Herons, Egrets, and Bitterns)</v>
      </c>
      <c r="I3740" s="3"/>
    </row>
    <row r="3741" spans="1:9" ht="10.5" customHeight="1">
      <c r="A3741" s="3" t="s">
        <v>5196</v>
      </c>
      <c r="B3741" s="3" t="s">
        <v>5182</v>
      </c>
      <c r="C3741" s="3">
        <f>VLOOKUP(B3741,LifeList!$E$2:$J$2038,6)</f>
        <v>7630</v>
      </c>
      <c r="D3741" s="3" t="str">
        <f>VLOOKUP(B3741,LifeList!$E$2:$G$2038,1)</f>
        <v>Tricolored Heron</v>
      </c>
      <c r="E3741" s="3" t="str">
        <f>VLOOKUP(B3741,LifeList!$E$2:$G$2038,2)</f>
        <v>Aigrette tricolore</v>
      </c>
      <c r="F3741" s="3" t="str">
        <f>VLOOKUP(B3741,LifeList!$E$2:$G$2038,3)</f>
        <v>Egretta tricolor</v>
      </c>
      <c r="G3741" s="3" t="str">
        <f>VLOOKUP(B3741,LifeList!$E$2:$I$2038,4)</f>
        <v>Pelecaniformes</v>
      </c>
      <c r="H3741" s="3" t="str">
        <f>VLOOKUP(B3741,LifeList!$E$2:$I$2038,5)</f>
        <v>Ardeidae (Herons, Egrets, and Bitterns)</v>
      </c>
      <c r="I3741" s="3"/>
    </row>
    <row r="3742" spans="1:9" ht="10.5" customHeight="1">
      <c r="A3742" s="3" t="s">
        <v>5197</v>
      </c>
      <c r="B3742" s="3" t="s">
        <v>5182</v>
      </c>
      <c r="C3742" s="3">
        <f>VLOOKUP(B3742,LifeList!$E$2:$J$2038,6)</f>
        <v>7630</v>
      </c>
      <c r="D3742" s="3" t="str">
        <f>VLOOKUP(B3742,LifeList!$E$2:$G$2038,1)</f>
        <v>Tricolored Heron</v>
      </c>
      <c r="E3742" s="3" t="str">
        <f>VLOOKUP(B3742,LifeList!$E$2:$G$2038,2)</f>
        <v>Aigrette tricolore</v>
      </c>
      <c r="F3742" s="3" t="str">
        <f>VLOOKUP(B3742,LifeList!$E$2:$G$2038,3)</f>
        <v>Egretta tricolor</v>
      </c>
      <c r="G3742" s="3" t="str">
        <f>VLOOKUP(B3742,LifeList!$E$2:$I$2038,4)</f>
        <v>Pelecaniformes</v>
      </c>
      <c r="H3742" s="3" t="str">
        <f>VLOOKUP(B3742,LifeList!$E$2:$I$2038,5)</f>
        <v>Ardeidae (Herons, Egrets, and Bitterns)</v>
      </c>
      <c r="I3742" s="3"/>
    </row>
    <row r="3743" spans="1:9" ht="10.5" customHeight="1">
      <c r="A3743" s="3" t="s">
        <v>5198</v>
      </c>
      <c r="B3743" s="3" t="s">
        <v>5199</v>
      </c>
      <c r="C3743" s="3">
        <f>VLOOKUP(B3743,LifeList!$E$2:$J$2038,6)</f>
        <v>32011</v>
      </c>
      <c r="D3743" s="3" t="str">
        <f>VLOOKUP(B3743,LifeList!$E$2:$G$2038,1)</f>
        <v>Trinidad Euphonia</v>
      </c>
      <c r="E3743" s="3" t="str">
        <f>VLOOKUP(B3743,LifeList!$E$2:$G$2038,2)</f>
        <v>Organiste de Trinidad</v>
      </c>
      <c r="F3743" s="3" t="str">
        <f>VLOOKUP(B3743,LifeList!$E$2:$G$2038,3)</f>
        <v>Euphonia trinitatis</v>
      </c>
      <c r="G3743" s="3" t="str">
        <f>VLOOKUP(B3743,LifeList!$E$2:$I$2038,4)</f>
        <v>Passeriformes</v>
      </c>
      <c r="H3743" s="3" t="str">
        <f>VLOOKUP(B3743,LifeList!$E$2:$I$2038,5)</f>
        <v>Fringillidae (Finches, Euphonias, and Allies)</v>
      </c>
      <c r="I3743" s="3"/>
    </row>
    <row r="3744" spans="1:9" ht="10.5" customHeight="1">
      <c r="A3744" s="3" t="s">
        <v>5200</v>
      </c>
      <c r="B3744" s="3" t="s">
        <v>5201</v>
      </c>
      <c r="C3744" s="3">
        <f>VLOOKUP(B3744,LifeList!$E$2:$J$2038,6)</f>
        <v>9869</v>
      </c>
      <c r="D3744" s="3" t="str">
        <f>VLOOKUP(B3744,LifeList!$E$2:$G$2038,1)</f>
        <v>Trinidad Motmot</v>
      </c>
      <c r="E3744" s="3" t="str">
        <f>VLOOKUP(B3744,LifeList!$E$2:$G$2038,2)</f>
        <v>Motmot de Trinidad</v>
      </c>
      <c r="F3744" s="3" t="str">
        <f>VLOOKUP(B3744,LifeList!$E$2:$G$2038,3)</f>
        <v>Momotus bahamensis</v>
      </c>
      <c r="G3744" s="3" t="str">
        <f>VLOOKUP(B3744,LifeList!$E$2:$I$2038,4)</f>
        <v>Coraciiformes</v>
      </c>
      <c r="H3744" s="3" t="str">
        <f>VLOOKUP(B3744,LifeList!$E$2:$I$2038,5)</f>
        <v>Momotidae (Motmots)</v>
      </c>
      <c r="I3744" s="3"/>
    </row>
    <row r="3745" spans="1:9" ht="10.5" customHeight="1">
      <c r="A3745" s="3" t="s">
        <v>5202</v>
      </c>
      <c r="B3745" s="3" t="s">
        <v>5203</v>
      </c>
      <c r="C3745" s="3">
        <f>VLOOKUP(B3745,LifeList!$E$2:$J$2038,6)</f>
        <v>27107</v>
      </c>
      <c r="D3745" s="3" t="str">
        <f>VLOOKUP(B3745,LifeList!$E$2:$G$2038,1)</f>
        <v>Tropical Gnatcatcher</v>
      </c>
      <c r="E3745" s="3" t="str">
        <f>VLOOKUP(B3745,LifeList!$E$2:$G$2038,2)</f>
        <v>Gobemoucheron tropical</v>
      </c>
      <c r="F3745" s="3" t="str">
        <f>VLOOKUP(B3745,LifeList!$E$2:$G$2038,3)</f>
        <v>Polioptila plumbea</v>
      </c>
      <c r="G3745" s="3" t="str">
        <f>VLOOKUP(B3745,LifeList!$E$2:$I$2038,4)</f>
        <v>Passeriformes</v>
      </c>
      <c r="H3745" s="3" t="str">
        <f>VLOOKUP(B3745,LifeList!$E$2:$I$2038,5)</f>
        <v>Polioptilidae (Gnatcatchers)</v>
      </c>
      <c r="I3745" s="3"/>
    </row>
    <row r="3746" spans="1:9" ht="10.5" customHeight="1">
      <c r="A3746" s="3" t="s">
        <v>5204</v>
      </c>
      <c r="B3746" s="3" t="s">
        <v>5203</v>
      </c>
      <c r="C3746" s="3">
        <f>VLOOKUP(B3746,LifeList!$E$2:$J$2038,6)</f>
        <v>27107</v>
      </c>
      <c r="D3746" s="3" t="str">
        <f>VLOOKUP(B3746,LifeList!$E$2:$G$2038,1)</f>
        <v>Tropical Gnatcatcher</v>
      </c>
      <c r="E3746" s="3" t="str">
        <f>VLOOKUP(B3746,LifeList!$E$2:$G$2038,2)</f>
        <v>Gobemoucheron tropical</v>
      </c>
      <c r="F3746" s="3" t="str">
        <f>VLOOKUP(B3746,LifeList!$E$2:$G$2038,3)</f>
        <v>Polioptila plumbea</v>
      </c>
      <c r="G3746" s="3" t="str">
        <f>VLOOKUP(B3746,LifeList!$E$2:$I$2038,4)</f>
        <v>Passeriformes</v>
      </c>
      <c r="H3746" s="3" t="str">
        <f>VLOOKUP(B3746,LifeList!$E$2:$I$2038,5)</f>
        <v>Polioptilidae (Gnatcatchers)</v>
      </c>
      <c r="I3746" s="3"/>
    </row>
    <row r="3747" spans="1:9" ht="10.5" customHeight="1">
      <c r="A3747" s="3" t="s">
        <v>5205</v>
      </c>
      <c r="B3747" s="3" t="s">
        <v>5203</v>
      </c>
      <c r="C3747" s="3">
        <f>VLOOKUP(B3747,LifeList!$E$2:$J$2038,6)</f>
        <v>27107</v>
      </c>
      <c r="D3747" s="3" t="str">
        <f>VLOOKUP(B3747,LifeList!$E$2:$G$2038,1)</f>
        <v>Tropical Gnatcatcher</v>
      </c>
      <c r="E3747" s="3" t="str">
        <f>VLOOKUP(B3747,LifeList!$E$2:$G$2038,2)</f>
        <v>Gobemoucheron tropical</v>
      </c>
      <c r="F3747" s="3" t="str">
        <f>VLOOKUP(B3747,LifeList!$E$2:$G$2038,3)</f>
        <v>Polioptila plumbea</v>
      </c>
      <c r="G3747" s="3" t="str">
        <f>VLOOKUP(B3747,LifeList!$E$2:$I$2038,4)</f>
        <v>Passeriformes</v>
      </c>
      <c r="H3747" s="3" t="str">
        <f>VLOOKUP(B3747,LifeList!$E$2:$I$2038,5)</f>
        <v>Polioptilidae (Gnatcatchers)</v>
      </c>
      <c r="I3747" s="3"/>
    </row>
    <row r="3748" spans="1:9" ht="10.5" customHeight="1">
      <c r="A3748" s="3" t="s">
        <v>5206</v>
      </c>
      <c r="B3748" s="3" t="s">
        <v>5207</v>
      </c>
      <c r="C3748" s="3">
        <f>VLOOKUP(B3748,LifeList!$E$2:$J$2038,6)</f>
        <v>17452</v>
      </c>
      <c r="D3748" s="3" t="str">
        <f>VLOOKUP(B3748,LifeList!$E$2:$G$2038,1)</f>
        <v>Tropical Kingbird</v>
      </c>
      <c r="E3748" s="3" t="str">
        <f>VLOOKUP(B3748,LifeList!$E$2:$G$2038,2)</f>
        <v>Tyran mélancolique</v>
      </c>
      <c r="F3748" s="3" t="str">
        <f>VLOOKUP(B3748,LifeList!$E$2:$G$2038,3)</f>
        <v>Tyrannus melancholicus</v>
      </c>
      <c r="G3748" s="3" t="str">
        <f>VLOOKUP(B3748,LifeList!$E$2:$I$2038,4)</f>
        <v>Passeriformes</v>
      </c>
      <c r="H3748" s="3" t="str">
        <f>VLOOKUP(B3748,LifeList!$E$2:$I$2038,5)</f>
        <v>Tyrannidae (Tyrant Flycatchers)</v>
      </c>
      <c r="I3748" s="3"/>
    </row>
    <row r="3749" spans="1:9" ht="10.5" customHeight="1">
      <c r="A3749" s="3" t="s">
        <v>5208</v>
      </c>
      <c r="B3749" s="3" t="s">
        <v>5207</v>
      </c>
      <c r="C3749" s="3">
        <f>VLOOKUP(B3749,LifeList!$E$2:$J$2038,6)</f>
        <v>17452</v>
      </c>
      <c r="D3749" s="3" t="str">
        <f>VLOOKUP(B3749,LifeList!$E$2:$G$2038,1)</f>
        <v>Tropical Kingbird</v>
      </c>
      <c r="E3749" s="3" t="str">
        <f>VLOOKUP(B3749,LifeList!$E$2:$G$2038,2)</f>
        <v>Tyran mélancolique</v>
      </c>
      <c r="F3749" s="3" t="str">
        <f>VLOOKUP(B3749,LifeList!$E$2:$G$2038,3)</f>
        <v>Tyrannus melancholicus</v>
      </c>
      <c r="G3749" s="3" t="str">
        <f>VLOOKUP(B3749,LifeList!$E$2:$I$2038,4)</f>
        <v>Passeriformes</v>
      </c>
      <c r="H3749" s="3" t="str">
        <f>VLOOKUP(B3749,LifeList!$E$2:$I$2038,5)</f>
        <v>Tyrannidae (Tyrant Flycatchers)</v>
      </c>
      <c r="I3749" s="3"/>
    </row>
    <row r="3750" spans="1:9" ht="10.5" customHeight="1">
      <c r="A3750" s="3" t="s">
        <v>5209</v>
      </c>
      <c r="B3750" s="3" t="s">
        <v>5207</v>
      </c>
      <c r="C3750" s="3">
        <f>VLOOKUP(B3750,LifeList!$E$2:$J$2038,6)</f>
        <v>17452</v>
      </c>
      <c r="D3750" s="3" t="str">
        <f>VLOOKUP(B3750,LifeList!$E$2:$G$2038,1)</f>
        <v>Tropical Kingbird</v>
      </c>
      <c r="E3750" s="3" t="str">
        <f>VLOOKUP(B3750,LifeList!$E$2:$G$2038,2)</f>
        <v>Tyran mélancolique</v>
      </c>
      <c r="F3750" s="3" t="str">
        <f>VLOOKUP(B3750,LifeList!$E$2:$G$2038,3)</f>
        <v>Tyrannus melancholicus</v>
      </c>
      <c r="G3750" s="3" t="str">
        <f>VLOOKUP(B3750,LifeList!$E$2:$I$2038,4)</f>
        <v>Passeriformes</v>
      </c>
      <c r="H3750" s="3" t="str">
        <f>VLOOKUP(B3750,LifeList!$E$2:$I$2038,5)</f>
        <v>Tyrannidae (Tyrant Flycatchers)</v>
      </c>
      <c r="I3750" s="3"/>
    </row>
    <row r="3751" spans="1:9" ht="10.5" customHeight="1">
      <c r="A3751" s="3" t="s">
        <v>5210</v>
      </c>
      <c r="B3751" s="3" t="s">
        <v>5207</v>
      </c>
      <c r="C3751" s="3">
        <f>VLOOKUP(B3751,LifeList!$E$2:$J$2038,6)</f>
        <v>17452</v>
      </c>
      <c r="D3751" s="3" t="str">
        <f>VLOOKUP(B3751,LifeList!$E$2:$G$2038,1)</f>
        <v>Tropical Kingbird</v>
      </c>
      <c r="E3751" s="3" t="str">
        <f>VLOOKUP(B3751,LifeList!$E$2:$G$2038,2)</f>
        <v>Tyran mélancolique</v>
      </c>
      <c r="F3751" s="3" t="str">
        <f>VLOOKUP(B3751,LifeList!$E$2:$G$2038,3)</f>
        <v>Tyrannus melancholicus</v>
      </c>
      <c r="G3751" s="3" t="str">
        <f>VLOOKUP(B3751,LifeList!$E$2:$I$2038,4)</f>
        <v>Passeriformes</v>
      </c>
      <c r="H3751" s="3" t="str">
        <f>VLOOKUP(B3751,LifeList!$E$2:$I$2038,5)</f>
        <v>Tyrannidae (Tyrant Flycatchers)</v>
      </c>
      <c r="I3751" s="3"/>
    </row>
    <row r="3752" spans="1:9" ht="10.5" customHeight="1">
      <c r="A3752" s="3" t="s">
        <v>5211</v>
      </c>
      <c r="B3752" s="3" t="s">
        <v>5207</v>
      </c>
      <c r="C3752" s="3">
        <f>VLOOKUP(B3752,LifeList!$E$2:$J$2038,6)</f>
        <v>17452</v>
      </c>
      <c r="D3752" s="3" t="str">
        <f>VLOOKUP(B3752,LifeList!$E$2:$G$2038,1)</f>
        <v>Tropical Kingbird</v>
      </c>
      <c r="E3752" s="3" t="str">
        <f>VLOOKUP(B3752,LifeList!$E$2:$G$2038,2)</f>
        <v>Tyran mélancolique</v>
      </c>
      <c r="F3752" s="3" t="str">
        <f>VLOOKUP(B3752,LifeList!$E$2:$G$2038,3)</f>
        <v>Tyrannus melancholicus</v>
      </c>
      <c r="G3752" s="3" t="str">
        <f>VLOOKUP(B3752,LifeList!$E$2:$I$2038,4)</f>
        <v>Passeriformes</v>
      </c>
      <c r="H3752" s="3" t="str">
        <f>VLOOKUP(B3752,LifeList!$E$2:$I$2038,5)</f>
        <v>Tyrannidae (Tyrant Flycatchers)</v>
      </c>
      <c r="I3752" s="3"/>
    </row>
    <row r="3753" spans="1:9" ht="10.5" customHeight="1">
      <c r="A3753" s="3" t="s">
        <v>5212</v>
      </c>
      <c r="B3753" s="3" t="s">
        <v>5207</v>
      </c>
      <c r="C3753" s="3">
        <f>VLOOKUP(B3753,LifeList!$E$2:$J$2038,6)</f>
        <v>17452</v>
      </c>
      <c r="D3753" s="3" t="str">
        <f>VLOOKUP(B3753,LifeList!$E$2:$G$2038,1)</f>
        <v>Tropical Kingbird</v>
      </c>
      <c r="E3753" s="3" t="str">
        <f>VLOOKUP(B3753,LifeList!$E$2:$G$2038,2)</f>
        <v>Tyran mélancolique</v>
      </c>
      <c r="F3753" s="3" t="str">
        <f>VLOOKUP(B3753,LifeList!$E$2:$G$2038,3)</f>
        <v>Tyrannus melancholicus</v>
      </c>
      <c r="G3753" s="3" t="str">
        <f>VLOOKUP(B3753,LifeList!$E$2:$I$2038,4)</f>
        <v>Passeriformes</v>
      </c>
      <c r="H3753" s="3" t="str">
        <f>VLOOKUP(B3753,LifeList!$E$2:$I$2038,5)</f>
        <v>Tyrannidae (Tyrant Flycatchers)</v>
      </c>
      <c r="I3753" s="3"/>
    </row>
    <row r="3754" spans="1:9" ht="10.5" customHeight="1">
      <c r="A3754" s="3" t="s">
        <v>5213</v>
      </c>
      <c r="B3754" s="3" t="s">
        <v>5207</v>
      </c>
      <c r="C3754" s="3">
        <f>VLOOKUP(B3754,LifeList!$E$2:$J$2038,6)</f>
        <v>17452</v>
      </c>
      <c r="D3754" s="3" t="str">
        <f>VLOOKUP(B3754,LifeList!$E$2:$G$2038,1)</f>
        <v>Tropical Kingbird</v>
      </c>
      <c r="E3754" s="3" t="str">
        <f>VLOOKUP(B3754,LifeList!$E$2:$G$2038,2)</f>
        <v>Tyran mélancolique</v>
      </c>
      <c r="F3754" s="3" t="str">
        <f>VLOOKUP(B3754,LifeList!$E$2:$G$2038,3)</f>
        <v>Tyrannus melancholicus</v>
      </c>
      <c r="G3754" s="3" t="str">
        <f>VLOOKUP(B3754,LifeList!$E$2:$I$2038,4)</f>
        <v>Passeriformes</v>
      </c>
      <c r="H3754" s="3" t="str">
        <f>VLOOKUP(B3754,LifeList!$E$2:$I$2038,5)</f>
        <v>Tyrannidae (Tyrant Flycatchers)</v>
      </c>
      <c r="I3754" s="3"/>
    </row>
    <row r="3755" spans="1:9" ht="10.5" customHeight="1">
      <c r="A3755" s="3" t="s">
        <v>5214</v>
      </c>
      <c r="B3755" s="3" t="s">
        <v>5207</v>
      </c>
      <c r="C3755" s="3">
        <f>VLOOKUP(B3755,LifeList!$E$2:$J$2038,6)</f>
        <v>17452</v>
      </c>
      <c r="D3755" s="3" t="str">
        <f>VLOOKUP(B3755,LifeList!$E$2:$G$2038,1)</f>
        <v>Tropical Kingbird</v>
      </c>
      <c r="E3755" s="3" t="str">
        <f>VLOOKUP(B3755,LifeList!$E$2:$G$2038,2)</f>
        <v>Tyran mélancolique</v>
      </c>
      <c r="F3755" s="3" t="str">
        <f>VLOOKUP(B3755,LifeList!$E$2:$G$2038,3)</f>
        <v>Tyrannus melancholicus</v>
      </c>
      <c r="G3755" s="3" t="str">
        <f>VLOOKUP(B3755,LifeList!$E$2:$I$2038,4)</f>
        <v>Passeriformes</v>
      </c>
      <c r="H3755" s="3" t="str">
        <f>VLOOKUP(B3755,LifeList!$E$2:$I$2038,5)</f>
        <v>Tyrannidae (Tyrant Flycatchers)</v>
      </c>
      <c r="I3755" s="3"/>
    </row>
    <row r="3756" spans="1:9" ht="10.5" customHeight="1">
      <c r="A3756" s="3" t="s">
        <v>5215</v>
      </c>
      <c r="B3756" s="3" t="s">
        <v>5216</v>
      </c>
      <c r="C3756" s="3">
        <f>VLOOKUP(B3756,LifeList!$E$2:$J$2038,6)</f>
        <v>28101</v>
      </c>
      <c r="D3756" s="3" t="str">
        <f>VLOOKUP(B3756,LifeList!$E$2:$G$2038,1)</f>
        <v>Tropical Mockingbird</v>
      </c>
      <c r="E3756" s="3" t="str">
        <f>VLOOKUP(B3756,LifeList!$E$2:$G$2038,2)</f>
        <v>Moqueur des savanes</v>
      </c>
      <c r="F3756" s="3" t="str">
        <f>VLOOKUP(B3756,LifeList!$E$2:$G$2038,3)</f>
        <v>Mimus gilvus</v>
      </c>
      <c r="G3756" s="3" t="str">
        <f>VLOOKUP(B3756,LifeList!$E$2:$I$2038,4)</f>
        <v>Passeriformes</v>
      </c>
      <c r="H3756" s="3" t="str">
        <f>VLOOKUP(B3756,LifeList!$E$2:$I$2038,5)</f>
        <v>Mimidae (Mockingbirds and Thrashers)</v>
      </c>
      <c r="I3756" s="3"/>
    </row>
    <row r="3757" spans="1:9" ht="10.5" customHeight="1">
      <c r="A3757" s="3" t="s">
        <v>5217</v>
      </c>
      <c r="B3757" s="3" t="s">
        <v>5216</v>
      </c>
      <c r="C3757" s="3">
        <f>VLOOKUP(B3757,LifeList!$E$2:$J$2038,6)</f>
        <v>28101</v>
      </c>
      <c r="D3757" s="3" t="str">
        <f>VLOOKUP(B3757,LifeList!$E$2:$G$2038,1)</f>
        <v>Tropical Mockingbird</v>
      </c>
      <c r="E3757" s="3" t="str">
        <f>VLOOKUP(B3757,LifeList!$E$2:$G$2038,2)</f>
        <v>Moqueur des savanes</v>
      </c>
      <c r="F3757" s="3" t="str">
        <f>VLOOKUP(B3757,LifeList!$E$2:$G$2038,3)</f>
        <v>Mimus gilvus</v>
      </c>
      <c r="G3757" s="3" t="str">
        <f>VLOOKUP(B3757,LifeList!$E$2:$I$2038,4)</f>
        <v>Passeriformes</v>
      </c>
      <c r="H3757" s="3" t="str">
        <f>VLOOKUP(B3757,LifeList!$E$2:$I$2038,5)</f>
        <v>Mimidae (Mockingbirds and Thrashers)</v>
      </c>
      <c r="I3757" s="3"/>
    </row>
    <row r="3758" spans="1:9" ht="10.5" customHeight="1">
      <c r="A3758" s="3" t="s">
        <v>5218</v>
      </c>
      <c r="B3758" s="3" t="s">
        <v>5216</v>
      </c>
      <c r="C3758" s="3">
        <f>VLOOKUP(B3758,LifeList!$E$2:$J$2038,6)</f>
        <v>28101</v>
      </c>
      <c r="D3758" s="3" t="str">
        <f>VLOOKUP(B3758,LifeList!$E$2:$G$2038,1)</f>
        <v>Tropical Mockingbird</v>
      </c>
      <c r="E3758" s="3" t="str">
        <f>VLOOKUP(B3758,LifeList!$E$2:$G$2038,2)</f>
        <v>Moqueur des savanes</v>
      </c>
      <c r="F3758" s="3" t="str">
        <f>VLOOKUP(B3758,LifeList!$E$2:$G$2038,3)</f>
        <v>Mimus gilvus</v>
      </c>
      <c r="G3758" s="3" t="str">
        <f>VLOOKUP(B3758,LifeList!$E$2:$I$2038,4)</f>
        <v>Passeriformes</v>
      </c>
      <c r="H3758" s="3" t="str">
        <f>VLOOKUP(B3758,LifeList!$E$2:$I$2038,5)</f>
        <v>Mimidae (Mockingbirds and Thrashers)</v>
      </c>
      <c r="I3758" s="3"/>
    </row>
    <row r="3759" spans="1:9" ht="10.5" customHeight="1">
      <c r="A3759" s="3" t="s">
        <v>5219</v>
      </c>
      <c r="B3759" s="3" t="s">
        <v>5216</v>
      </c>
      <c r="C3759" s="3">
        <f>VLOOKUP(B3759,LifeList!$E$2:$J$2038,6)</f>
        <v>28101</v>
      </c>
      <c r="D3759" s="3" t="str">
        <f>VLOOKUP(B3759,LifeList!$E$2:$G$2038,1)</f>
        <v>Tropical Mockingbird</v>
      </c>
      <c r="E3759" s="3" t="str">
        <f>VLOOKUP(B3759,LifeList!$E$2:$G$2038,2)</f>
        <v>Moqueur des savanes</v>
      </c>
      <c r="F3759" s="3" t="str">
        <f>VLOOKUP(B3759,LifeList!$E$2:$G$2038,3)</f>
        <v>Mimus gilvus</v>
      </c>
      <c r="G3759" s="3" t="str">
        <f>VLOOKUP(B3759,LifeList!$E$2:$I$2038,4)</f>
        <v>Passeriformes</v>
      </c>
      <c r="H3759" s="3" t="str">
        <f>VLOOKUP(B3759,LifeList!$E$2:$I$2038,5)</f>
        <v>Mimidae (Mockingbirds and Thrashers)</v>
      </c>
      <c r="I3759" s="3"/>
    </row>
    <row r="3760" spans="1:9" ht="10.5" customHeight="1">
      <c r="A3760" s="3" t="s">
        <v>5220</v>
      </c>
      <c r="B3760" s="3" t="s">
        <v>5216</v>
      </c>
      <c r="C3760" s="3">
        <f>VLOOKUP(B3760,LifeList!$E$2:$J$2038,6)</f>
        <v>28101</v>
      </c>
      <c r="D3760" s="3" t="str">
        <f>VLOOKUP(B3760,LifeList!$E$2:$G$2038,1)</f>
        <v>Tropical Mockingbird</v>
      </c>
      <c r="E3760" s="3" t="str">
        <f>VLOOKUP(B3760,LifeList!$E$2:$G$2038,2)</f>
        <v>Moqueur des savanes</v>
      </c>
      <c r="F3760" s="3" t="str">
        <f>VLOOKUP(B3760,LifeList!$E$2:$G$2038,3)</f>
        <v>Mimus gilvus</v>
      </c>
      <c r="G3760" s="3" t="str">
        <f>VLOOKUP(B3760,LifeList!$E$2:$I$2038,4)</f>
        <v>Passeriformes</v>
      </c>
      <c r="H3760" s="3" t="str">
        <f>VLOOKUP(B3760,LifeList!$E$2:$I$2038,5)</f>
        <v>Mimidae (Mockingbirds and Thrashers)</v>
      </c>
      <c r="I3760" s="3"/>
    </row>
    <row r="3761" spans="1:9" ht="10.5" customHeight="1">
      <c r="A3761" s="3" t="s">
        <v>5221</v>
      </c>
      <c r="B3761" s="3" t="s">
        <v>5216</v>
      </c>
      <c r="C3761" s="3">
        <f>VLOOKUP(B3761,LifeList!$E$2:$J$2038,6)</f>
        <v>28101</v>
      </c>
      <c r="D3761" s="3" t="str">
        <f>VLOOKUP(B3761,LifeList!$E$2:$G$2038,1)</f>
        <v>Tropical Mockingbird</v>
      </c>
      <c r="E3761" s="3" t="str">
        <f>VLOOKUP(B3761,LifeList!$E$2:$G$2038,2)</f>
        <v>Moqueur des savanes</v>
      </c>
      <c r="F3761" s="3" t="str">
        <f>VLOOKUP(B3761,LifeList!$E$2:$G$2038,3)</f>
        <v>Mimus gilvus</v>
      </c>
      <c r="G3761" s="3" t="str">
        <f>VLOOKUP(B3761,LifeList!$E$2:$I$2038,4)</f>
        <v>Passeriformes</v>
      </c>
      <c r="H3761" s="3" t="str">
        <f>VLOOKUP(B3761,LifeList!$E$2:$I$2038,5)</f>
        <v>Mimidae (Mockingbirds and Thrashers)</v>
      </c>
      <c r="I3761" s="3"/>
    </row>
    <row r="3762" spans="1:9" ht="10.5" customHeight="1">
      <c r="A3762" s="3" t="s">
        <v>5222</v>
      </c>
      <c r="B3762" s="3" t="s">
        <v>5216</v>
      </c>
      <c r="C3762" s="3">
        <f>VLOOKUP(B3762,LifeList!$E$2:$J$2038,6)</f>
        <v>28101</v>
      </c>
      <c r="D3762" s="3" t="str">
        <f>VLOOKUP(B3762,LifeList!$E$2:$G$2038,1)</f>
        <v>Tropical Mockingbird</v>
      </c>
      <c r="E3762" s="3" t="str">
        <f>VLOOKUP(B3762,LifeList!$E$2:$G$2038,2)</f>
        <v>Moqueur des savanes</v>
      </c>
      <c r="F3762" s="3" t="str">
        <f>VLOOKUP(B3762,LifeList!$E$2:$G$2038,3)</f>
        <v>Mimus gilvus</v>
      </c>
      <c r="G3762" s="3" t="str">
        <f>VLOOKUP(B3762,LifeList!$E$2:$I$2038,4)</f>
        <v>Passeriformes</v>
      </c>
      <c r="H3762" s="3" t="str">
        <f>VLOOKUP(B3762,LifeList!$E$2:$I$2038,5)</f>
        <v>Mimidae (Mockingbirds and Thrashers)</v>
      </c>
      <c r="I3762" s="3"/>
    </row>
    <row r="3763" spans="1:9" ht="10.5" customHeight="1">
      <c r="A3763" s="3" t="s">
        <v>5223</v>
      </c>
      <c r="B3763" s="3" t="s">
        <v>5216</v>
      </c>
      <c r="C3763" s="3">
        <f>VLOOKUP(B3763,LifeList!$E$2:$J$2038,6)</f>
        <v>28101</v>
      </c>
      <c r="D3763" s="3" t="str">
        <f>VLOOKUP(B3763,LifeList!$E$2:$G$2038,1)</f>
        <v>Tropical Mockingbird</v>
      </c>
      <c r="E3763" s="3" t="str">
        <f>VLOOKUP(B3763,LifeList!$E$2:$G$2038,2)</f>
        <v>Moqueur des savanes</v>
      </c>
      <c r="F3763" s="3" t="str">
        <f>VLOOKUP(B3763,LifeList!$E$2:$G$2038,3)</f>
        <v>Mimus gilvus</v>
      </c>
      <c r="G3763" s="3" t="str">
        <f>VLOOKUP(B3763,LifeList!$E$2:$I$2038,4)</f>
        <v>Passeriformes</v>
      </c>
      <c r="H3763" s="3" t="str">
        <f>VLOOKUP(B3763,LifeList!$E$2:$I$2038,5)</f>
        <v>Mimidae (Mockingbirds and Thrashers)</v>
      </c>
      <c r="I3763" s="3"/>
    </row>
    <row r="3764" spans="1:9" ht="10.5" customHeight="1">
      <c r="A3764" s="3" t="s">
        <v>5224</v>
      </c>
      <c r="B3764" s="3" t="s">
        <v>5225</v>
      </c>
      <c r="C3764" s="3">
        <f>VLOOKUP(B3764,LifeList!$E$2:$J$2038,6)</f>
        <v>34066</v>
      </c>
      <c r="D3764" s="3" t="str">
        <f>VLOOKUP(B3764,LifeList!$E$2:$G$2038,1)</f>
        <v>Tropical Parula</v>
      </c>
      <c r="E3764" s="3" t="str">
        <f>VLOOKUP(B3764,LifeList!$E$2:$G$2038,2)</f>
        <v>Paruline à joues noires</v>
      </c>
      <c r="F3764" s="3" t="str">
        <f>VLOOKUP(B3764,LifeList!$E$2:$G$2038,3)</f>
        <v>Setophaga pitiayumi</v>
      </c>
      <c r="G3764" s="3" t="str">
        <f>VLOOKUP(B3764,LifeList!$E$2:$I$2038,4)</f>
        <v>Passeriformes</v>
      </c>
      <c r="H3764" s="3" t="str">
        <f>VLOOKUP(B3764,LifeList!$E$2:$I$2038,5)</f>
        <v>Parulidae (New World Warblers)</v>
      </c>
      <c r="I3764" s="3"/>
    </row>
    <row r="3765" spans="1:9" ht="10.5" customHeight="1">
      <c r="A3765" s="3" t="s">
        <v>5226</v>
      </c>
      <c r="B3765" s="3" t="s">
        <v>5225</v>
      </c>
      <c r="C3765" s="3">
        <f>VLOOKUP(B3765,LifeList!$E$2:$J$2038,6)</f>
        <v>34066</v>
      </c>
      <c r="D3765" s="3" t="str">
        <f>VLOOKUP(B3765,LifeList!$E$2:$G$2038,1)</f>
        <v>Tropical Parula</v>
      </c>
      <c r="E3765" s="3" t="str">
        <f>VLOOKUP(B3765,LifeList!$E$2:$G$2038,2)</f>
        <v>Paruline à joues noires</v>
      </c>
      <c r="F3765" s="3" t="str">
        <f>VLOOKUP(B3765,LifeList!$E$2:$G$2038,3)</f>
        <v>Setophaga pitiayumi</v>
      </c>
      <c r="G3765" s="3" t="str">
        <f>VLOOKUP(B3765,LifeList!$E$2:$I$2038,4)</f>
        <v>Passeriformes</v>
      </c>
      <c r="H3765" s="3" t="str">
        <f>VLOOKUP(B3765,LifeList!$E$2:$I$2038,5)</f>
        <v>Parulidae (New World Warblers)</v>
      </c>
      <c r="I3765" s="3"/>
    </row>
    <row r="3766" spans="1:9" ht="10.5" customHeight="1">
      <c r="A3766" s="3" t="s">
        <v>5227</v>
      </c>
      <c r="B3766" s="3" t="s">
        <v>5228</v>
      </c>
      <c r="C3766" s="3">
        <f>VLOOKUP(B3766,LifeList!$E$2:$J$2038,6)</f>
        <v>16101</v>
      </c>
      <c r="D3766" s="3" t="str">
        <f>VLOOKUP(B3766,LifeList!$E$2:$G$2038,1)</f>
        <v>Tropical Royal Flycatcher</v>
      </c>
      <c r="E3766" s="3" t="str">
        <f>VLOOKUP(B3766,LifeList!$E$2:$G$2038,2)</f>
        <v>Porte-éventail roi</v>
      </c>
      <c r="F3766" s="3" t="str">
        <f>VLOOKUP(B3766,LifeList!$E$2:$G$2038,3)</f>
        <v>Onychorhynchus coronatus</v>
      </c>
      <c r="G3766" s="3" t="str">
        <f>VLOOKUP(B3766,LifeList!$E$2:$I$2038,4)</f>
        <v>Passeriformes</v>
      </c>
      <c r="H3766" s="3" t="str">
        <f>VLOOKUP(B3766,LifeList!$E$2:$I$2038,5)</f>
        <v>Onychorhynchidae (Royal Flycatchers and Allies)</v>
      </c>
      <c r="I3766" s="3"/>
    </row>
    <row r="3767" spans="1:9" ht="10.5" customHeight="1">
      <c r="A3767" s="3" t="s">
        <v>5229</v>
      </c>
      <c r="B3767" s="3" t="s">
        <v>5228</v>
      </c>
      <c r="C3767" s="3">
        <f>VLOOKUP(B3767,LifeList!$E$2:$J$2038,6)</f>
        <v>16101</v>
      </c>
      <c r="D3767" s="3" t="str">
        <f>VLOOKUP(B3767,LifeList!$E$2:$G$2038,1)</f>
        <v>Tropical Royal Flycatcher</v>
      </c>
      <c r="E3767" s="3" t="str">
        <f>VLOOKUP(B3767,LifeList!$E$2:$G$2038,2)</f>
        <v>Porte-éventail roi</v>
      </c>
      <c r="F3767" s="3" t="str">
        <f>VLOOKUP(B3767,LifeList!$E$2:$G$2038,3)</f>
        <v>Onychorhynchus coronatus</v>
      </c>
      <c r="G3767" s="3" t="str">
        <f>VLOOKUP(B3767,LifeList!$E$2:$I$2038,4)</f>
        <v>Passeriformes</v>
      </c>
      <c r="H3767" s="3" t="str">
        <f>VLOOKUP(B3767,LifeList!$E$2:$I$2038,5)</f>
        <v>Onychorhynchidae (Royal Flycatchers and Allies)</v>
      </c>
      <c r="I3767" s="3"/>
    </row>
    <row r="3768" spans="1:9" ht="10.5" customHeight="1">
      <c r="A3768" s="3" t="s">
        <v>5230</v>
      </c>
      <c r="B3768" s="3" t="s">
        <v>5231</v>
      </c>
      <c r="C3768" s="3">
        <f>VLOOKUP(B3768,LifeList!$E$2:$J$2038,6)</f>
        <v>8810</v>
      </c>
      <c r="D3768" s="3" t="str">
        <f>VLOOKUP(B3768,LifeList!$E$2:$G$2038,1)</f>
        <v>Tropical Screech-Owl</v>
      </c>
      <c r="E3768" s="3" t="str">
        <f>VLOOKUP(B3768,LifeList!$E$2:$G$2038,2)</f>
        <v>Petit-duc choliba</v>
      </c>
      <c r="F3768" s="3" t="str">
        <f>VLOOKUP(B3768,LifeList!$E$2:$G$2038,3)</f>
        <v>Megascops choliba</v>
      </c>
      <c r="G3768" s="3" t="str">
        <f>VLOOKUP(B3768,LifeList!$E$2:$I$2038,4)</f>
        <v>Strigiformes</v>
      </c>
      <c r="H3768" s="3" t="str">
        <f>VLOOKUP(B3768,LifeList!$E$2:$I$2038,5)</f>
        <v>Strigidae (Owls)</v>
      </c>
      <c r="I3768" s="3"/>
    </row>
    <row r="3769" spans="1:9" ht="10.5" customHeight="1">
      <c r="A3769" s="3" t="s">
        <v>5232</v>
      </c>
      <c r="B3769" s="3" t="s">
        <v>5231</v>
      </c>
      <c r="C3769" s="3">
        <f>VLOOKUP(B3769,LifeList!$E$2:$J$2038,6)</f>
        <v>8810</v>
      </c>
      <c r="D3769" s="3" t="str">
        <f>VLOOKUP(B3769,LifeList!$E$2:$G$2038,1)</f>
        <v>Tropical Screech-Owl</v>
      </c>
      <c r="E3769" s="3" t="str">
        <f>VLOOKUP(B3769,LifeList!$E$2:$G$2038,2)</f>
        <v>Petit-duc choliba</v>
      </c>
      <c r="F3769" s="3" t="str">
        <f>VLOOKUP(B3769,LifeList!$E$2:$G$2038,3)</f>
        <v>Megascops choliba</v>
      </c>
      <c r="G3769" s="3" t="str">
        <f>VLOOKUP(B3769,LifeList!$E$2:$I$2038,4)</f>
        <v>Strigiformes</v>
      </c>
      <c r="H3769" s="3" t="str">
        <f>VLOOKUP(B3769,LifeList!$E$2:$I$2038,5)</f>
        <v>Strigidae (Owls)</v>
      </c>
      <c r="I3769" s="3"/>
    </row>
    <row r="3770" spans="1:9" ht="10.5" customHeight="1">
      <c r="A3770" s="5" t="s">
        <v>5233</v>
      </c>
      <c r="B3770" s="3" t="s">
        <v>5234</v>
      </c>
      <c r="C3770" s="6">
        <f>VLOOKUP(B3770,LifeList!$E$2:$J$2038,6)</f>
        <v>9704</v>
      </c>
      <c r="D3770" s="3" t="str">
        <f>VLOOKUP(B3770,LifeList!$E$2:$G$2038,1)</f>
        <v>Trumpeter Hornbill</v>
      </c>
      <c r="E3770" s="3" t="str">
        <f>VLOOKUP(B3770,LifeList!$E$2:$G$2038,2)</f>
        <v>Calao trompette</v>
      </c>
      <c r="F3770" s="3" t="str">
        <f>VLOOKUP(B3770,LifeList!$E$2:$G$2038,3)</f>
        <v>Bycanistes bucinator</v>
      </c>
      <c r="G3770" s="3" t="str">
        <f>VLOOKUP(B3770,LifeList!$E$2:$I$2038,4)</f>
        <v>Bucerotiformes</v>
      </c>
      <c r="H3770" s="3" t="str">
        <f>VLOOKUP(B3770,LifeList!$E$2:$I$2038,5)</f>
        <v>Bucerotidae (Hornbills)</v>
      </c>
      <c r="I3770" s="3"/>
    </row>
    <row r="3771" spans="1:9" ht="10.5" customHeight="1">
      <c r="A3771" s="3" t="s">
        <v>5235</v>
      </c>
      <c r="B3771" s="3" t="s">
        <v>5236</v>
      </c>
      <c r="C3771" s="3">
        <f>VLOOKUP(B3771,LifeList!$E$2:$J$2038,6)</f>
        <v>382</v>
      </c>
      <c r="D3771" s="3" t="str">
        <f>VLOOKUP(B3771,LifeList!$E$2:$G$2038,1)</f>
        <v>Trumpeter Swan</v>
      </c>
      <c r="E3771" s="3" t="str">
        <f>VLOOKUP(B3771,LifeList!$E$2:$G$2038,2)</f>
        <v>Cygne trompette</v>
      </c>
      <c r="F3771" s="3" t="str">
        <f>VLOOKUP(B3771,LifeList!$E$2:$G$2038,3)</f>
        <v>Cygnus buccinator</v>
      </c>
      <c r="G3771" s="3" t="str">
        <f>VLOOKUP(B3771,LifeList!$E$2:$I$2038,4)</f>
        <v>Anseriformes</v>
      </c>
      <c r="H3771" s="3" t="str">
        <f>VLOOKUP(B3771,LifeList!$E$2:$I$2038,5)</f>
        <v>Anatidae (Ducks, Geese, and Waterfowl)</v>
      </c>
      <c r="I3771" s="3"/>
    </row>
    <row r="3772" spans="1:9" ht="10.5" customHeight="1">
      <c r="A3772" s="3" t="s">
        <v>5237</v>
      </c>
      <c r="B3772" s="3" t="s">
        <v>5236</v>
      </c>
      <c r="C3772" s="3">
        <f>VLOOKUP(B3772,LifeList!$E$2:$J$2038,6)</f>
        <v>382</v>
      </c>
      <c r="D3772" s="3" t="str">
        <f>VLOOKUP(B3772,LifeList!$E$2:$G$2038,1)</f>
        <v>Trumpeter Swan</v>
      </c>
      <c r="E3772" s="3" t="str">
        <f>VLOOKUP(B3772,LifeList!$E$2:$G$2038,2)</f>
        <v>Cygne trompette</v>
      </c>
      <c r="F3772" s="3" t="str">
        <f>VLOOKUP(B3772,LifeList!$E$2:$G$2038,3)</f>
        <v>Cygnus buccinator</v>
      </c>
      <c r="G3772" s="3" t="str">
        <f>VLOOKUP(B3772,LifeList!$E$2:$I$2038,4)</f>
        <v>Anseriformes</v>
      </c>
      <c r="H3772" s="3" t="str">
        <f>VLOOKUP(B3772,LifeList!$E$2:$I$2038,5)</f>
        <v>Anatidae (Ducks, Geese, and Waterfowl)</v>
      </c>
      <c r="I3772" s="3"/>
    </row>
    <row r="3773" spans="1:9" ht="10.5" customHeight="1">
      <c r="A3773" s="3" t="s">
        <v>5238</v>
      </c>
      <c r="B3773" s="3" t="s">
        <v>5239</v>
      </c>
      <c r="C3773" s="3">
        <f>VLOOKUP(B3773,LifeList!$E$2:$J$2038,6)</f>
        <v>4440</v>
      </c>
      <c r="D3773" s="3" t="str">
        <f>VLOOKUP(B3773,LifeList!$E$2:$G$2038,1)</f>
        <v>Tufted Coquette</v>
      </c>
      <c r="E3773" s="3" t="str">
        <f>VLOOKUP(B3773,LifeList!$E$2:$G$2038,2)</f>
        <v>Coquette huppe-col</v>
      </c>
      <c r="F3773" s="3" t="str">
        <f>VLOOKUP(B3773,LifeList!$E$2:$G$2038,3)</f>
        <v>Lophornis ornatus</v>
      </c>
      <c r="G3773" s="3" t="str">
        <f>VLOOKUP(B3773,LifeList!$E$2:$I$2038,4)</f>
        <v>Apodiformes</v>
      </c>
      <c r="H3773" s="3" t="str">
        <f>VLOOKUP(B3773,LifeList!$E$2:$I$2038,5)</f>
        <v>Trochilidae (Hummingbirds)</v>
      </c>
      <c r="I3773" s="3"/>
    </row>
    <row r="3774" spans="1:9" ht="10.5" customHeight="1">
      <c r="A3774" s="3" t="s">
        <v>5240</v>
      </c>
      <c r="B3774" s="3" t="s">
        <v>5239</v>
      </c>
      <c r="C3774" s="3">
        <f>VLOOKUP(B3774,LifeList!$E$2:$J$2038,6)</f>
        <v>4440</v>
      </c>
      <c r="D3774" s="3" t="str">
        <f>VLOOKUP(B3774,LifeList!$E$2:$G$2038,1)</f>
        <v>Tufted Coquette</v>
      </c>
      <c r="E3774" s="3" t="str">
        <f>VLOOKUP(B3774,LifeList!$E$2:$G$2038,2)</f>
        <v>Coquette huppe-col</v>
      </c>
      <c r="F3774" s="3" t="str">
        <f>VLOOKUP(B3774,LifeList!$E$2:$G$2038,3)</f>
        <v>Lophornis ornatus</v>
      </c>
      <c r="G3774" s="3" t="str">
        <f>VLOOKUP(B3774,LifeList!$E$2:$I$2038,4)</f>
        <v>Apodiformes</v>
      </c>
      <c r="H3774" s="3" t="str">
        <f>VLOOKUP(B3774,LifeList!$E$2:$I$2038,5)</f>
        <v>Trochilidae (Hummingbirds)</v>
      </c>
      <c r="I3774" s="3"/>
    </row>
    <row r="3775" spans="1:9" ht="10.5" customHeight="1">
      <c r="A3775" s="3" t="s">
        <v>5241</v>
      </c>
      <c r="B3775" s="3" t="s">
        <v>5242</v>
      </c>
      <c r="C3775" s="3">
        <f>VLOOKUP(B3775,LifeList!$E$2:$J$2038,6)</f>
        <v>16883</v>
      </c>
      <c r="D3775" s="3" t="str">
        <f>VLOOKUP(B3775,LifeList!$E$2:$G$2038,1)</f>
        <v>Tufted Flycatcher</v>
      </c>
      <c r="E3775" s="3" t="str">
        <f>VLOOKUP(B3775,LifeList!$E$2:$G$2038,2)</f>
        <v>Moucherolle huppé</v>
      </c>
      <c r="F3775" s="3" t="str">
        <f>VLOOKUP(B3775,LifeList!$E$2:$G$2038,3)</f>
        <v>Mitrephanes phaeocercus</v>
      </c>
      <c r="G3775" s="3" t="str">
        <f>VLOOKUP(B3775,LifeList!$E$2:$I$2038,4)</f>
        <v>Passeriformes</v>
      </c>
      <c r="H3775" s="3" t="str">
        <f>VLOOKUP(B3775,LifeList!$E$2:$I$2038,5)</f>
        <v>Tyrannidae (Tyrant Flycatchers)</v>
      </c>
      <c r="I3775" s="3"/>
    </row>
    <row r="3776" spans="1:9" ht="10.5" customHeight="1">
      <c r="A3776" s="3" t="s">
        <v>5243</v>
      </c>
      <c r="B3776" s="3" t="s">
        <v>5244</v>
      </c>
      <c r="C3776" s="3">
        <f>VLOOKUP(B3776,LifeList!$E$2:$J$2038,6)</f>
        <v>22160</v>
      </c>
      <c r="D3776" s="3" t="str">
        <f>VLOOKUP(B3776,LifeList!$E$2:$G$2038,1)</f>
        <v>Tufted Titmouse</v>
      </c>
      <c r="E3776" s="3" t="str">
        <f>VLOOKUP(B3776,LifeList!$E$2:$G$2038,2)</f>
        <v>Mésange bicolore</v>
      </c>
      <c r="F3776" s="3" t="str">
        <f>VLOOKUP(B3776,LifeList!$E$2:$G$2038,3)</f>
        <v>Baeolophus bicolor</v>
      </c>
      <c r="G3776" s="3" t="str">
        <f>VLOOKUP(B3776,LifeList!$E$2:$I$2038,4)</f>
        <v>Passeriformes</v>
      </c>
      <c r="H3776" s="3" t="str">
        <f>VLOOKUP(B3776,LifeList!$E$2:$I$2038,5)</f>
        <v>Paridae (Tits, Chickadees, and Titmice)</v>
      </c>
      <c r="I3776" s="3"/>
    </row>
    <row r="3777" spans="1:9" ht="10.5" customHeight="1">
      <c r="A3777" s="3" t="s">
        <v>5245</v>
      </c>
      <c r="B3777" s="3" t="s">
        <v>5244</v>
      </c>
      <c r="C3777" s="3">
        <f>VLOOKUP(B3777,LifeList!$E$2:$J$2038,6)</f>
        <v>22160</v>
      </c>
      <c r="D3777" s="3" t="str">
        <f>VLOOKUP(B3777,LifeList!$E$2:$G$2038,1)</f>
        <v>Tufted Titmouse</v>
      </c>
      <c r="E3777" s="3" t="str">
        <f>VLOOKUP(B3777,LifeList!$E$2:$G$2038,2)</f>
        <v>Mésange bicolore</v>
      </c>
      <c r="F3777" s="3" t="str">
        <f>VLOOKUP(B3777,LifeList!$E$2:$G$2038,3)</f>
        <v>Baeolophus bicolor</v>
      </c>
      <c r="G3777" s="3" t="str">
        <f>VLOOKUP(B3777,LifeList!$E$2:$I$2038,4)</f>
        <v>Passeriformes</v>
      </c>
      <c r="H3777" s="3" t="str">
        <f>VLOOKUP(B3777,LifeList!$E$2:$I$2038,5)</f>
        <v>Paridae (Tits, Chickadees, and Titmice)</v>
      </c>
      <c r="I3777" s="3"/>
    </row>
    <row r="3778" spans="1:9" ht="10.5" customHeight="1">
      <c r="A3778" s="3" t="s">
        <v>5246</v>
      </c>
      <c r="B3778" s="3" t="s">
        <v>5244</v>
      </c>
      <c r="C3778" s="3">
        <f>VLOOKUP(B3778,LifeList!$E$2:$J$2038,6)</f>
        <v>22160</v>
      </c>
      <c r="D3778" s="3" t="str">
        <f>VLOOKUP(B3778,LifeList!$E$2:$G$2038,1)</f>
        <v>Tufted Titmouse</v>
      </c>
      <c r="E3778" s="3" t="str">
        <f>VLOOKUP(B3778,LifeList!$E$2:$G$2038,2)</f>
        <v>Mésange bicolore</v>
      </c>
      <c r="F3778" s="3" t="str">
        <f>VLOOKUP(B3778,LifeList!$E$2:$G$2038,3)</f>
        <v>Baeolophus bicolor</v>
      </c>
      <c r="G3778" s="3" t="str">
        <f>VLOOKUP(B3778,LifeList!$E$2:$I$2038,4)</f>
        <v>Passeriformes</v>
      </c>
      <c r="H3778" s="3" t="str">
        <f>VLOOKUP(B3778,LifeList!$E$2:$I$2038,5)</f>
        <v>Paridae (Tits, Chickadees, and Titmice)</v>
      </c>
      <c r="I3778" s="3"/>
    </row>
    <row r="3779" spans="1:9" ht="10.5" customHeight="1">
      <c r="A3779" s="3" t="s">
        <v>5247</v>
      </c>
      <c r="B3779" s="3" t="s">
        <v>5244</v>
      </c>
      <c r="C3779" s="3">
        <f>VLOOKUP(B3779,LifeList!$E$2:$J$2038,6)</f>
        <v>22160</v>
      </c>
      <c r="D3779" s="3" t="str">
        <f>VLOOKUP(B3779,LifeList!$E$2:$G$2038,1)</f>
        <v>Tufted Titmouse</v>
      </c>
      <c r="E3779" s="3" t="str">
        <f>VLOOKUP(B3779,LifeList!$E$2:$G$2038,2)</f>
        <v>Mésange bicolore</v>
      </c>
      <c r="F3779" s="3" t="str">
        <f>VLOOKUP(B3779,LifeList!$E$2:$G$2038,3)</f>
        <v>Baeolophus bicolor</v>
      </c>
      <c r="G3779" s="3" t="str">
        <f>VLOOKUP(B3779,LifeList!$E$2:$I$2038,4)</f>
        <v>Passeriformes</v>
      </c>
      <c r="H3779" s="3" t="str">
        <f>VLOOKUP(B3779,LifeList!$E$2:$I$2038,5)</f>
        <v>Paridae (Tits, Chickadees, and Titmice)</v>
      </c>
      <c r="I3779" s="3"/>
    </row>
    <row r="3780" spans="1:9" ht="10.5" customHeight="1">
      <c r="A3780" s="3" t="s">
        <v>5248</v>
      </c>
      <c r="B3780" s="3" t="s">
        <v>5244</v>
      </c>
      <c r="C3780" s="3">
        <f>VLOOKUP(B3780,LifeList!$E$2:$J$2038,6)</f>
        <v>22160</v>
      </c>
      <c r="D3780" s="3" t="str">
        <f>VLOOKUP(B3780,LifeList!$E$2:$G$2038,1)</f>
        <v>Tufted Titmouse</v>
      </c>
      <c r="E3780" s="3" t="str">
        <f>VLOOKUP(B3780,LifeList!$E$2:$G$2038,2)</f>
        <v>Mésange bicolore</v>
      </c>
      <c r="F3780" s="3" t="str">
        <f>VLOOKUP(B3780,LifeList!$E$2:$G$2038,3)</f>
        <v>Baeolophus bicolor</v>
      </c>
      <c r="G3780" s="3" t="str">
        <f>VLOOKUP(B3780,LifeList!$E$2:$I$2038,4)</f>
        <v>Passeriformes</v>
      </c>
      <c r="H3780" s="3" t="str">
        <f>VLOOKUP(B3780,LifeList!$E$2:$I$2038,5)</f>
        <v>Paridae (Tits, Chickadees, and Titmice)</v>
      </c>
      <c r="I3780" s="3"/>
    </row>
    <row r="3781" spans="1:9" ht="10.5" customHeight="1">
      <c r="A3781" s="5" t="s">
        <v>5249</v>
      </c>
      <c r="B3781" s="3" t="s">
        <v>5250</v>
      </c>
      <c r="C3781" s="3">
        <f>VLOOKUP(B3781,LifeList!$E$2:$J$2038,6)</f>
        <v>384</v>
      </c>
      <c r="D3781" s="3" t="str">
        <f>VLOOKUP(B3781,LifeList!$E$2:$G$2038,1)</f>
        <v>Tundra Swan</v>
      </c>
      <c r="E3781" s="3" t="str">
        <f>VLOOKUP(B3781,LifeList!$E$2:$G$2038,2)</f>
        <v>Cygne siffleur</v>
      </c>
      <c r="F3781" s="3" t="str">
        <f>VLOOKUP(B3781,LifeList!$E$2:$G$2038,3)</f>
        <v>Cygnus columbianus</v>
      </c>
      <c r="G3781" s="3" t="str">
        <f>VLOOKUP(B3781,LifeList!$E$2:$I$2038,4)</f>
        <v>Anseriformes</v>
      </c>
      <c r="H3781" s="3" t="str">
        <f>VLOOKUP(B3781,LifeList!$E$2:$I$2038,5)</f>
        <v>Anatidae (Ducks, Geese, and Waterfowl)</v>
      </c>
      <c r="I3781" s="3"/>
    </row>
    <row r="3782" spans="1:9" ht="10.5" customHeight="1">
      <c r="A3782" s="3" t="s">
        <v>5251</v>
      </c>
      <c r="B3782" s="3" t="s">
        <v>5252</v>
      </c>
      <c r="C3782" s="3">
        <f>VLOOKUP(B3782,LifeList!$E$2:$J$2038,6)</f>
        <v>384</v>
      </c>
      <c r="D3782" s="3" t="str">
        <f>VLOOKUP(B3782,LifeList!$E$2:$G$2038,1)</f>
        <v>Tundra Swan</v>
      </c>
      <c r="E3782" s="3" t="str">
        <f>VLOOKUP(B3782,LifeList!$E$2:$G$2038,2)</f>
        <v>Cygne siffleur</v>
      </c>
      <c r="F3782" s="3" t="str">
        <f>VLOOKUP(B3782,LifeList!$E$2:$G$2038,3)</f>
        <v>Cygnus columbianus</v>
      </c>
      <c r="G3782" s="3" t="str">
        <f>VLOOKUP(B3782,LifeList!$E$2:$I$2038,4)</f>
        <v>Anseriformes</v>
      </c>
      <c r="H3782" s="3" t="str">
        <f>VLOOKUP(B3782,LifeList!$E$2:$I$2038,5)</f>
        <v>Anatidae (Ducks, Geese, and Waterfowl)</v>
      </c>
      <c r="I3782" s="3"/>
    </row>
    <row r="3783" spans="1:9" ht="10.5" customHeight="1">
      <c r="A3783" s="3" t="s">
        <v>5253</v>
      </c>
      <c r="B3783" s="3" t="s">
        <v>5252</v>
      </c>
      <c r="C3783" s="3">
        <f>VLOOKUP(B3783,LifeList!$E$2:$J$2038,6)</f>
        <v>384</v>
      </c>
      <c r="D3783" s="3" t="str">
        <f>VLOOKUP(B3783,LifeList!$E$2:$G$2038,1)</f>
        <v>Tundra Swan</v>
      </c>
      <c r="E3783" s="3" t="str">
        <f>VLOOKUP(B3783,LifeList!$E$2:$G$2038,2)</f>
        <v>Cygne siffleur</v>
      </c>
      <c r="F3783" s="3" t="str">
        <f>VLOOKUP(B3783,LifeList!$E$2:$G$2038,3)</f>
        <v>Cygnus columbianus</v>
      </c>
      <c r="G3783" s="3" t="str">
        <f>VLOOKUP(B3783,LifeList!$E$2:$I$2038,4)</f>
        <v>Anseriformes</v>
      </c>
      <c r="H3783" s="3" t="str">
        <f>VLOOKUP(B3783,LifeList!$E$2:$I$2038,5)</f>
        <v>Anatidae (Ducks, Geese, and Waterfowl)</v>
      </c>
      <c r="I3783" s="3"/>
    </row>
    <row r="3784" spans="1:9" ht="10.5" customHeight="1">
      <c r="A3784" s="3" t="s">
        <v>5254</v>
      </c>
      <c r="B3784" s="3" t="s">
        <v>5255</v>
      </c>
      <c r="C3784" s="3">
        <f>VLOOKUP(B3784,LifeList!$E$2:$J$2038,6)</f>
        <v>7815</v>
      </c>
      <c r="D3784" s="3" t="str">
        <f>VLOOKUP(B3784,LifeList!$E$2:$G$2038,1)</f>
        <v>Turkey Vulture</v>
      </c>
      <c r="E3784" s="3" t="str">
        <f>VLOOKUP(B3784,LifeList!$E$2:$G$2038,2)</f>
        <v>Urubu à tête rouge</v>
      </c>
      <c r="F3784" s="3" t="str">
        <f>VLOOKUP(B3784,LifeList!$E$2:$G$2038,3)</f>
        <v>Cathartes aura</v>
      </c>
      <c r="G3784" s="3" t="str">
        <f>VLOOKUP(B3784,LifeList!$E$2:$I$2038,4)</f>
        <v>Cathartiformes</v>
      </c>
      <c r="H3784" s="3" t="str">
        <f>VLOOKUP(B3784,LifeList!$E$2:$I$2038,5)</f>
        <v>Cathartidae (New World Vultures)</v>
      </c>
      <c r="I3784" s="3"/>
    </row>
    <row r="3785" spans="1:9" ht="10.5" customHeight="1">
      <c r="A3785" s="3" t="s">
        <v>5256</v>
      </c>
      <c r="B3785" s="3" t="s">
        <v>5255</v>
      </c>
      <c r="C3785" s="3">
        <f>VLOOKUP(B3785,LifeList!$E$2:$J$2038,6)</f>
        <v>7815</v>
      </c>
      <c r="D3785" s="3" t="str">
        <f>VLOOKUP(B3785,LifeList!$E$2:$G$2038,1)</f>
        <v>Turkey Vulture</v>
      </c>
      <c r="E3785" s="3" t="str">
        <f>VLOOKUP(B3785,LifeList!$E$2:$G$2038,2)</f>
        <v>Urubu à tête rouge</v>
      </c>
      <c r="F3785" s="3" t="str">
        <f>VLOOKUP(B3785,LifeList!$E$2:$G$2038,3)</f>
        <v>Cathartes aura</v>
      </c>
      <c r="G3785" s="3" t="str">
        <f>VLOOKUP(B3785,LifeList!$E$2:$I$2038,4)</f>
        <v>Cathartiformes</v>
      </c>
      <c r="H3785" s="3" t="str">
        <f>VLOOKUP(B3785,LifeList!$E$2:$I$2038,5)</f>
        <v>Cathartidae (New World Vultures)</v>
      </c>
      <c r="I3785" s="3"/>
    </row>
    <row r="3786" spans="1:9" ht="10.5" customHeight="1">
      <c r="A3786" s="3" t="s">
        <v>5257</v>
      </c>
      <c r="B3786" s="3" t="s">
        <v>5255</v>
      </c>
      <c r="C3786" s="3">
        <f>VLOOKUP(B3786,LifeList!$E$2:$J$2038,6)</f>
        <v>7815</v>
      </c>
      <c r="D3786" s="3" t="str">
        <f>VLOOKUP(B3786,LifeList!$E$2:$G$2038,1)</f>
        <v>Turkey Vulture</v>
      </c>
      <c r="E3786" s="3" t="str">
        <f>VLOOKUP(B3786,LifeList!$E$2:$G$2038,2)</f>
        <v>Urubu à tête rouge</v>
      </c>
      <c r="F3786" s="3" t="str">
        <f>VLOOKUP(B3786,LifeList!$E$2:$G$2038,3)</f>
        <v>Cathartes aura</v>
      </c>
      <c r="G3786" s="3" t="str">
        <f>VLOOKUP(B3786,LifeList!$E$2:$I$2038,4)</f>
        <v>Cathartiformes</v>
      </c>
      <c r="H3786" s="3" t="str">
        <f>VLOOKUP(B3786,LifeList!$E$2:$I$2038,5)</f>
        <v>Cathartidae (New World Vultures)</v>
      </c>
      <c r="I3786" s="3"/>
    </row>
    <row r="3787" spans="1:9" ht="10.5" customHeight="1">
      <c r="A3787" s="3" t="s">
        <v>5258</v>
      </c>
      <c r="B3787" s="3" t="s">
        <v>5255</v>
      </c>
      <c r="C3787" s="3">
        <f>VLOOKUP(B3787,LifeList!$E$2:$J$2038,6)</f>
        <v>7815</v>
      </c>
      <c r="D3787" s="3" t="str">
        <f>VLOOKUP(B3787,LifeList!$E$2:$G$2038,1)</f>
        <v>Turkey Vulture</v>
      </c>
      <c r="E3787" s="3" t="str">
        <f>VLOOKUP(B3787,LifeList!$E$2:$G$2038,2)</f>
        <v>Urubu à tête rouge</v>
      </c>
      <c r="F3787" s="3" t="str">
        <f>VLOOKUP(B3787,LifeList!$E$2:$G$2038,3)</f>
        <v>Cathartes aura</v>
      </c>
      <c r="G3787" s="3" t="str">
        <f>VLOOKUP(B3787,LifeList!$E$2:$I$2038,4)</f>
        <v>Cathartiformes</v>
      </c>
      <c r="H3787" s="3" t="str">
        <f>VLOOKUP(B3787,LifeList!$E$2:$I$2038,5)</f>
        <v>Cathartidae (New World Vultures)</v>
      </c>
      <c r="I3787" s="3"/>
    </row>
    <row r="3788" spans="1:9" ht="10.5" customHeight="1">
      <c r="A3788" s="3" t="s">
        <v>5259</v>
      </c>
      <c r="B3788" s="3" t="s">
        <v>5255</v>
      </c>
      <c r="C3788" s="3">
        <f>VLOOKUP(B3788,LifeList!$E$2:$J$2038,6)</f>
        <v>7815</v>
      </c>
      <c r="D3788" s="3" t="str">
        <f>VLOOKUP(B3788,LifeList!$E$2:$G$2038,1)</f>
        <v>Turkey Vulture</v>
      </c>
      <c r="E3788" s="3" t="str">
        <f>VLOOKUP(B3788,LifeList!$E$2:$G$2038,2)</f>
        <v>Urubu à tête rouge</v>
      </c>
      <c r="F3788" s="3" t="str">
        <f>VLOOKUP(B3788,LifeList!$E$2:$G$2038,3)</f>
        <v>Cathartes aura</v>
      </c>
      <c r="G3788" s="3" t="str">
        <f>VLOOKUP(B3788,LifeList!$E$2:$I$2038,4)</f>
        <v>Cathartiformes</v>
      </c>
      <c r="H3788" s="3" t="str">
        <f>VLOOKUP(B3788,LifeList!$E$2:$I$2038,5)</f>
        <v>Cathartidae (New World Vultures)</v>
      </c>
      <c r="I3788" s="3"/>
    </row>
    <row r="3789" spans="1:9" ht="10.5" customHeight="1">
      <c r="A3789" s="3" t="s">
        <v>5260</v>
      </c>
      <c r="B3789" s="3" t="s">
        <v>5255</v>
      </c>
      <c r="C3789" s="3">
        <f>VLOOKUP(B3789,LifeList!$E$2:$J$2038,6)</f>
        <v>7815</v>
      </c>
      <c r="D3789" s="3" t="str">
        <f>VLOOKUP(B3789,LifeList!$E$2:$G$2038,1)</f>
        <v>Turkey Vulture</v>
      </c>
      <c r="E3789" s="3" t="str">
        <f>VLOOKUP(B3789,LifeList!$E$2:$G$2038,2)</f>
        <v>Urubu à tête rouge</v>
      </c>
      <c r="F3789" s="3" t="str">
        <f>VLOOKUP(B3789,LifeList!$E$2:$G$2038,3)</f>
        <v>Cathartes aura</v>
      </c>
      <c r="G3789" s="3" t="str">
        <f>VLOOKUP(B3789,LifeList!$E$2:$I$2038,4)</f>
        <v>Cathartiformes</v>
      </c>
      <c r="H3789" s="3" t="str">
        <f>VLOOKUP(B3789,LifeList!$E$2:$I$2038,5)</f>
        <v>Cathartidae (New World Vultures)</v>
      </c>
      <c r="I3789" s="3"/>
    </row>
    <row r="3790" spans="1:9" ht="10.5" customHeight="1">
      <c r="A3790" s="7" t="s">
        <v>5261</v>
      </c>
      <c r="B3790" s="9" t="s">
        <v>5262</v>
      </c>
      <c r="C3790" s="6">
        <f>VLOOKUP(B3790,LifeList!$E$2:$J$2038,6)</f>
        <v>12442</v>
      </c>
      <c r="D3790" s="3" t="str">
        <f>VLOOKUP(B3790,LifeList!$E$2:$G$2038,1)</f>
        <v>Turquoise Parrot</v>
      </c>
      <c r="E3790" s="3" t="str">
        <f>VLOOKUP(B3790,LifeList!$E$2:$G$2038,2)</f>
        <v>Perruche turquoisine</v>
      </c>
      <c r="F3790" s="3" t="str">
        <f>VLOOKUP(B3790,LifeList!$E$2:$G$2038,3)</f>
        <v>Neophema pulchella</v>
      </c>
      <c r="G3790" s="3" t="str">
        <f>VLOOKUP(B3790,LifeList!$E$2:$I$2038,4)</f>
        <v>Psittaciformes</v>
      </c>
      <c r="H3790" s="3" t="str">
        <f>VLOOKUP(B3790,LifeList!$E$2:$I$2038,5)</f>
        <v>Psittaculidae (Old World Parrots)</v>
      </c>
      <c r="I3790" s="3"/>
    </row>
    <row r="3791" spans="1:9" ht="10.5" customHeight="1">
      <c r="A3791" s="3" t="s">
        <v>5263</v>
      </c>
      <c r="B3791" s="3" t="s">
        <v>5264</v>
      </c>
      <c r="C3791" s="3">
        <f>VLOOKUP(B3791,LifeList!$E$2:$J$2038,6)</f>
        <v>9901</v>
      </c>
      <c r="D3791" s="3" t="str">
        <f>VLOOKUP(B3791,LifeList!$E$2:$G$2038,1)</f>
        <v>Turquoise-browed Motmot</v>
      </c>
      <c r="E3791" s="3" t="str">
        <f>VLOOKUP(B3791,LifeList!$E$2:$G$2038,2)</f>
        <v>Motmot à sourcils bleus</v>
      </c>
      <c r="F3791" s="3" t="str">
        <f>VLOOKUP(B3791,LifeList!$E$2:$G$2038,3)</f>
        <v>Eumomota superciliosa</v>
      </c>
      <c r="G3791" s="3" t="str">
        <f>VLOOKUP(B3791,LifeList!$E$2:$I$2038,4)</f>
        <v>Coraciiformes</v>
      </c>
      <c r="H3791" s="3" t="str">
        <f>VLOOKUP(B3791,LifeList!$E$2:$I$2038,5)</f>
        <v>Momotidae (Motmots)</v>
      </c>
      <c r="I3791" s="3"/>
    </row>
    <row r="3792" spans="1:9" ht="10.5" customHeight="1">
      <c r="A3792" s="3" t="s">
        <v>5265</v>
      </c>
      <c r="B3792" s="3" t="s">
        <v>5264</v>
      </c>
      <c r="C3792" s="3">
        <f>VLOOKUP(B3792,LifeList!$E$2:$J$2038,6)</f>
        <v>9901</v>
      </c>
      <c r="D3792" s="3" t="str">
        <f>VLOOKUP(B3792,LifeList!$E$2:$G$2038,1)</f>
        <v>Turquoise-browed Motmot</v>
      </c>
      <c r="E3792" s="3" t="str">
        <f>VLOOKUP(B3792,LifeList!$E$2:$G$2038,2)</f>
        <v>Motmot à sourcils bleus</v>
      </c>
      <c r="F3792" s="3" t="str">
        <f>VLOOKUP(B3792,LifeList!$E$2:$G$2038,3)</f>
        <v>Eumomota superciliosa</v>
      </c>
      <c r="G3792" s="3" t="str">
        <f>VLOOKUP(B3792,LifeList!$E$2:$I$2038,4)</f>
        <v>Coraciiformes</v>
      </c>
      <c r="H3792" s="3" t="str">
        <f>VLOOKUP(B3792,LifeList!$E$2:$I$2038,5)</f>
        <v>Momotidae (Motmots)</v>
      </c>
      <c r="I3792" s="3"/>
    </row>
    <row r="3793" spans="1:9" ht="10.5" customHeight="1">
      <c r="A3793" s="3" t="s">
        <v>5266</v>
      </c>
      <c r="B3793" s="3" t="s">
        <v>5267</v>
      </c>
      <c r="C3793" s="3">
        <f>VLOOKUP(B3793,LifeList!$E$2:$J$2038,6)</f>
        <v>12984</v>
      </c>
      <c r="D3793" s="3" t="str">
        <f>VLOOKUP(B3793,LifeList!$E$2:$G$2038,1)</f>
        <v>Turquoise-winged Parrotlet</v>
      </c>
      <c r="E3793" s="3" t="str">
        <f>VLOOKUP(B3793,LifeList!$E$2:$G$2038,2)</f>
        <v>Toui de Spengel</v>
      </c>
      <c r="F3793" s="3" t="str">
        <f>VLOOKUP(B3793,LifeList!$E$2:$G$2038,3)</f>
        <v>Forpus spengeli</v>
      </c>
      <c r="G3793" s="3" t="str">
        <f>VLOOKUP(B3793,LifeList!$E$2:$I$2038,4)</f>
        <v>Psittaciformes</v>
      </c>
      <c r="H3793" s="3" t="str">
        <f>VLOOKUP(B3793,LifeList!$E$2:$I$2038,5)</f>
        <v>Psittacidae (New World and African Parrots)</v>
      </c>
      <c r="I3793" s="3"/>
    </row>
    <row r="3794" spans="1:9" ht="10.5" customHeight="1">
      <c r="A3794" s="3" t="s">
        <v>5268</v>
      </c>
      <c r="B3794" s="3" t="s">
        <v>5269</v>
      </c>
      <c r="C3794" s="3">
        <f>VLOOKUP(B3794,LifeList!$E$2:$J$2038,6)</f>
        <v>19977</v>
      </c>
      <c r="D3794" s="3" t="str">
        <f>VLOOKUP(B3794,LifeList!$E$2:$G$2038,1)</f>
        <v>Tylas Vanga</v>
      </c>
      <c r="E3794" s="3" t="str">
        <f>VLOOKUP(B3794,LifeList!$E$2:$G$2038,2)</f>
        <v>Tylas à tête noire</v>
      </c>
      <c r="F3794" s="3" t="str">
        <f>VLOOKUP(B3794,LifeList!$E$2:$G$2038,3)</f>
        <v>Tylas eduardi</v>
      </c>
      <c r="G3794" s="3" t="str">
        <f>VLOOKUP(B3794,LifeList!$E$2:$I$2038,4)</f>
        <v>Passeriformes</v>
      </c>
      <c r="H3794" s="3" t="str">
        <f>VLOOKUP(B3794,LifeList!$E$2:$I$2038,5)</f>
        <v>Vangidae (Vangas, Helmetshrikes, and Allies)</v>
      </c>
      <c r="I3794" s="3"/>
    </row>
    <row r="3795" spans="1:9" ht="10.5" customHeight="1">
      <c r="A3795" s="3" t="s">
        <v>5270</v>
      </c>
      <c r="B3795" s="3" t="s">
        <v>5271</v>
      </c>
      <c r="C3795" s="3">
        <f>VLOOKUP(B3795,LifeList!$E$2:$J$2038,6)</f>
        <v>14642</v>
      </c>
      <c r="D3795" s="3" t="str">
        <f>VLOOKUP(B3795,LifeList!$E$2:$G$2038,1)</f>
        <v>Tyrannine Woodcreeper</v>
      </c>
      <c r="E3795" s="3" t="str">
        <f>VLOOKUP(B3795,LifeList!$E$2:$G$2038,2)</f>
        <v>Grimpar tyran</v>
      </c>
      <c r="F3795" s="3" t="str">
        <f>VLOOKUP(B3795,LifeList!$E$2:$G$2038,3)</f>
        <v>Dendrocincla tyrannina</v>
      </c>
      <c r="G3795" s="3" t="str">
        <f>VLOOKUP(B3795,LifeList!$E$2:$I$2038,4)</f>
        <v>Passeriformes</v>
      </c>
      <c r="H3795" s="3" t="str">
        <f>VLOOKUP(B3795,LifeList!$E$2:$I$2038,5)</f>
        <v>Furnariidae (Ovenbirds and Woodcreepers)</v>
      </c>
      <c r="I3795" s="3"/>
    </row>
    <row r="3796" spans="1:9" ht="10.5" customHeight="1">
      <c r="A3796" s="3" t="s">
        <v>5272</v>
      </c>
      <c r="B3796" s="3" t="s">
        <v>5273</v>
      </c>
      <c r="C3796" s="3">
        <f>VLOOKUP(B3796,LifeList!$E$2:$J$2038,6)</f>
        <v>5432</v>
      </c>
      <c r="D3796" s="3" t="str">
        <f>VLOOKUP(B3796,LifeList!$E$2:$G$2038,1)</f>
        <v>Uniform Crake</v>
      </c>
      <c r="E3796" s="3" t="str">
        <f>VLOOKUP(B3796,LifeList!$E$2:$G$2038,2)</f>
        <v>Râle concolore</v>
      </c>
      <c r="F3796" s="3" t="str">
        <f>VLOOKUP(B3796,LifeList!$E$2:$G$2038,3)</f>
        <v>Amaurolimnas concolor</v>
      </c>
      <c r="G3796" s="3" t="str">
        <f>VLOOKUP(B3796,LifeList!$E$2:$I$2038,4)</f>
        <v>Gruiformes</v>
      </c>
      <c r="H3796" s="3" t="str">
        <f>VLOOKUP(B3796,LifeList!$E$2:$I$2038,5)</f>
        <v>Rallidae (Rails, Gallinules, and Coots)</v>
      </c>
      <c r="I3796" s="3"/>
    </row>
    <row r="3797" spans="1:9" ht="10.5" customHeight="1">
      <c r="A3797" s="5" t="s">
        <v>5274</v>
      </c>
      <c r="B3797" s="3" t="s">
        <v>5275</v>
      </c>
      <c r="C3797" s="3">
        <f>VLOOKUP(B3797,LifeList!$E$2:$J$2038,6)</f>
        <v>6009</v>
      </c>
      <c r="D3797" s="3" t="str">
        <f>VLOOKUP(B3797,LifeList!$E$2:$G$2038,1)</f>
        <v>Upland Sandpiper</v>
      </c>
      <c r="E3797" s="3" t="str">
        <f>VLOOKUP(B3797,LifeList!$E$2:$G$2038,2)</f>
        <v>Maubèche des champs</v>
      </c>
      <c r="F3797" s="3" t="str">
        <f>VLOOKUP(B3797,LifeList!$E$2:$G$2038,3)</f>
        <v>Bartramia longicauda</v>
      </c>
      <c r="G3797" s="3" t="str">
        <f>VLOOKUP(B3797,LifeList!$E$2:$I$2038,4)</f>
        <v>Charadriiformes</v>
      </c>
      <c r="H3797" s="3" t="str">
        <f>VLOOKUP(B3797,LifeList!$E$2:$I$2038,5)</f>
        <v>Scolopacidae (Sandpipers and Allies)</v>
      </c>
      <c r="I3797" s="3"/>
    </row>
    <row r="3798" spans="1:9" ht="10.5" customHeight="1">
      <c r="A3798" s="3" t="s">
        <v>5276</v>
      </c>
      <c r="B3798" s="3" t="s">
        <v>5277</v>
      </c>
      <c r="C3798" s="3">
        <f>VLOOKUP(B3798,LifeList!$E$2:$J$2038,6)</f>
        <v>6009</v>
      </c>
      <c r="D3798" s="3" t="str">
        <f>VLOOKUP(B3798,LifeList!$E$2:$G$2038,1)</f>
        <v>Upland Sandpiper</v>
      </c>
      <c r="E3798" s="3" t="str">
        <f>VLOOKUP(B3798,LifeList!$E$2:$G$2038,2)</f>
        <v>Maubèche des champs</v>
      </c>
      <c r="F3798" s="3" t="str">
        <f>VLOOKUP(B3798,LifeList!$E$2:$G$2038,3)</f>
        <v>Bartramia longicauda</v>
      </c>
      <c r="G3798" s="3" t="str">
        <f>VLOOKUP(B3798,LifeList!$E$2:$I$2038,4)</f>
        <v>Charadriiformes</v>
      </c>
      <c r="H3798" s="3" t="str">
        <f>VLOOKUP(B3798,LifeList!$E$2:$I$2038,5)</f>
        <v>Scolopacidae (Sandpipers and Allies)</v>
      </c>
      <c r="I3798" s="3"/>
    </row>
    <row r="3799" spans="1:9" ht="10.5" customHeight="1">
      <c r="A3799" s="3" t="s">
        <v>5278</v>
      </c>
      <c r="B3799" s="3" t="s">
        <v>5279</v>
      </c>
      <c r="C3799" s="3">
        <f>VLOOKUP(B3799,LifeList!$E$2:$J$2038,6)</f>
        <v>35560</v>
      </c>
      <c r="D3799" s="3" t="str">
        <f>VLOOKUP(B3799,LifeList!$E$2:$G$2038,1)</f>
        <v>Variable Seedeater</v>
      </c>
      <c r="E3799" s="3" t="str">
        <f>VLOOKUP(B3799,LifeList!$E$2:$G$2038,2)</f>
        <v>Sporophile variable</v>
      </c>
      <c r="F3799" s="3" t="str">
        <f>VLOOKUP(B3799,LifeList!$E$2:$G$2038,3)</f>
        <v>Sporophila corvina</v>
      </c>
      <c r="G3799" s="3" t="str">
        <f>VLOOKUP(B3799,LifeList!$E$2:$I$2038,4)</f>
        <v>Passeriformes</v>
      </c>
      <c r="H3799" s="3" t="str">
        <f>VLOOKUP(B3799,LifeList!$E$2:$I$2038,5)</f>
        <v>Thraupidae (Tanagers and Allies)</v>
      </c>
      <c r="I3799" s="3"/>
    </row>
    <row r="3800" spans="1:9" ht="10.5" customHeight="1">
      <c r="A3800" s="3" t="s">
        <v>5280</v>
      </c>
      <c r="B3800" s="3" t="s">
        <v>5281</v>
      </c>
      <c r="C3800" s="3">
        <f>VLOOKUP(B3800,LifeList!$E$2:$J$2038,6)</f>
        <v>28313</v>
      </c>
      <c r="D3800" s="3" t="str">
        <f>VLOOKUP(B3800,LifeList!$E$2:$G$2038,1)</f>
        <v>Veery</v>
      </c>
      <c r="E3800" s="3" t="str">
        <f>VLOOKUP(B3800,LifeList!$E$2:$G$2038,2)</f>
        <v>Grive fauve</v>
      </c>
      <c r="F3800" s="3" t="str">
        <f>VLOOKUP(B3800,LifeList!$E$2:$G$2038,3)</f>
        <v>Catharus fuscescens</v>
      </c>
      <c r="G3800" s="3" t="str">
        <f>VLOOKUP(B3800,LifeList!$E$2:$I$2038,4)</f>
        <v>Passeriformes</v>
      </c>
      <c r="H3800" s="3" t="str">
        <f>VLOOKUP(B3800,LifeList!$E$2:$I$2038,5)</f>
        <v>Turdidae (Thrushes and Allies)</v>
      </c>
      <c r="I3800" s="3"/>
    </row>
    <row r="3801" spans="1:9" ht="10.5" customHeight="1">
      <c r="A3801" s="3" t="s">
        <v>5282</v>
      </c>
      <c r="B3801" s="3" t="s">
        <v>5281</v>
      </c>
      <c r="C3801" s="3">
        <f>VLOOKUP(B3801,LifeList!$E$2:$J$2038,6)</f>
        <v>28313</v>
      </c>
      <c r="D3801" s="3" t="str">
        <f>VLOOKUP(B3801,LifeList!$E$2:$G$2038,1)</f>
        <v>Veery</v>
      </c>
      <c r="E3801" s="3" t="str">
        <f>VLOOKUP(B3801,LifeList!$E$2:$G$2038,2)</f>
        <v>Grive fauve</v>
      </c>
      <c r="F3801" s="3" t="str">
        <f>VLOOKUP(B3801,LifeList!$E$2:$G$2038,3)</f>
        <v>Catharus fuscescens</v>
      </c>
      <c r="G3801" s="3" t="str">
        <f>VLOOKUP(B3801,LifeList!$E$2:$I$2038,4)</f>
        <v>Passeriformes</v>
      </c>
      <c r="H3801" s="3" t="str">
        <f>VLOOKUP(B3801,LifeList!$E$2:$I$2038,5)</f>
        <v>Turdidae (Thrushes and Allies)</v>
      </c>
      <c r="I3801" s="3"/>
    </row>
    <row r="3802" spans="1:9" ht="10.5" customHeight="1">
      <c r="A3802" s="3" t="s">
        <v>5283</v>
      </c>
      <c r="B3802" s="3" t="s">
        <v>5281</v>
      </c>
      <c r="C3802" s="3">
        <f>VLOOKUP(B3802,LifeList!$E$2:$J$2038,6)</f>
        <v>28313</v>
      </c>
      <c r="D3802" s="3" t="str">
        <f>VLOOKUP(B3802,LifeList!$E$2:$G$2038,1)</f>
        <v>Veery</v>
      </c>
      <c r="E3802" s="3" t="str">
        <f>VLOOKUP(B3802,LifeList!$E$2:$G$2038,2)</f>
        <v>Grive fauve</v>
      </c>
      <c r="F3802" s="3" t="str">
        <f>VLOOKUP(B3802,LifeList!$E$2:$G$2038,3)</f>
        <v>Catharus fuscescens</v>
      </c>
      <c r="G3802" s="3" t="str">
        <f>VLOOKUP(B3802,LifeList!$E$2:$I$2038,4)</f>
        <v>Passeriformes</v>
      </c>
      <c r="H3802" s="3" t="str">
        <f>VLOOKUP(B3802,LifeList!$E$2:$I$2038,5)</f>
        <v>Turdidae (Thrushes and Allies)</v>
      </c>
      <c r="I3802" s="3"/>
    </row>
    <row r="3803" spans="1:9" ht="10.5" customHeight="1">
      <c r="A3803" s="3" t="s">
        <v>5284</v>
      </c>
      <c r="B3803" s="3" t="s">
        <v>5281</v>
      </c>
      <c r="C3803" s="3">
        <f>VLOOKUP(B3803,LifeList!$E$2:$J$2038,6)</f>
        <v>28313</v>
      </c>
      <c r="D3803" s="3" t="str">
        <f>VLOOKUP(B3803,LifeList!$E$2:$G$2038,1)</f>
        <v>Veery</v>
      </c>
      <c r="E3803" s="3" t="str">
        <f>VLOOKUP(B3803,LifeList!$E$2:$G$2038,2)</f>
        <v>Grive fauve</v>
      </c>
      <c r="F3803" s="3" t="str">
        <f>VLOOKUP(B3803,LifeList!$E$2:$G$2038,3)</f>
        <v>Catharus fuscescens</v>
      </c>
      <c r="G3803" s="3" t="str">
        <f>VLOOKUP(B3803,LifeList!$E$2:$I$2038,4)</f>
        <v>Passeriformes</v>
      </c>
      <c r="H3803" s="3" t="str">
        <f>VLOOKUP(B3803,LifeList!$E$2:$I$2038,5)</f>
        <v>Turdidae (Thrushes and Allies)</v>
      </c>
      <c r="I3803" s="3"/>
    </row>
    <row r="3804" spans="1:9" ht="10.5" customHeight="1">
      <c r="A3804" s="3" t="s">
        <v>5285</v>
      </c>
      <c r="B3804" s="3" t="s">
        <v>5281</v>
      </c>
      <c r="C3804" s="3">
        <f>VLOOKUP(B3804,LifeList!$E$2:$J$2038,6)</f>
        <v>28313</v>
      </c>
      <c r="D3804" s="3" t="str">
        <f>VLOOKUP(B3804,LifeList!$E$2:$G$2038,1)</f>
        <v>Veery</v>
      </c>
      <c r="E3804" s="3" t="str">
        <f>VLOOKUP(B3804,LifeList!$E$2:$G$2038,2)</f>
        <v>Grive fauve</v>
      </c>
      <c r="F3804" s="3" t="str">
        <f>VLOOKUP(B3804,LifeList!$E$2:$G$2038,3)</f>
        <v>Catharus fuscescens</v>
      </c>
      <c r="G3804" s="3" t="str">
        <f>VLOOKUP(B3804,LifeList!$E$2:$I$2038,4)</f>
        <v>Passeriformes</v>
      </c>
      <c r="H3804" s="3" t="str">
        <f>VLOOKUP(B3804,LifeList!$E$2:$I$2038,5)</f>
        <v>Turdidae (Thrushes and Allies)</v>
      </c>
      <c r="I3804" s="3"/>
    </row>
    <row r="3805" spans="1:9" ht="10.5" customHeight="1">
      <c r="A3805" s="3" t="s">
        <v>5286</v>
      </c>
      <c r="B3805" s="3" t="s">
        <v>5281</v>
      </c>
      <c r="C3805" s="3">
        <f>VLOOKUP(B3805,LifeList!$E$2:$J$2038,6)</f>
        <v>28313</v>
      </c>
      <c r="D3805" s="3" t="str">
        <f>VLOOKUP(B3805,LifeList!$E$2:$G$2038,1)</f>
        <v>Veery</v>
      </c>
      <c r="E3805" s="3" t="str">
        <f>VLOOKUP(B3805,LifeList!$E$2:$G$2038,2)</f>
        <v>Grive fauve</v>
      </c>
      <c r="F3805" s="3" t="str">
        <f>VLOOKUP(B3805,LifeList!$E$2:$G$2038,3)</f>
        <v>Catharus fuscescens</v>
      </c>
      <c r="G3805" s="3" t="str">
        <f>VLOOKUP(B3805,LifeList!$E$2:$I$2038,4)</f>
        <v>Passeriformes</v>
      </c>
      <c r="H3805" s="3" t="str">
        <f>VLOOKUP(B3805,LifeList!$E$2:$I$2038,5)</f>
        <v>Turdidae (Thrushes and Allies)</v>
      </c>
      <c r="I3805" s="3"/>
    </row>
    <row r="3806" spans="1:9" ht="10.5" customHeight="1">
      <c r="A3806" s="3" t="s">
        <v>5287</v>
      </c>
      <c r="B3806" s="3" t="s">
        <v>5281</v>
      </c>
      <c r="C3806" s="3">
        <f>VLOOKUP(B3806,LifeList!$E$2:$J$2038,6)</f>
        <v>28313</v>
      </c>
      <c r="D3806" s="3" t="str">
        <f>VLOOKUP(B3806,LifeList!$E$2:$G$2038,1)</f>
        <v>Veery</v>
      </c>
      <c r="E3806" s="3" t="str">
        <f>VLOOKUP(B3806,LifeList!$E$2:$G$2038,2)</f>
        <v>Grive fauve</v>
      </c>
      <c r="F3806" s="3" t="str">
        <f>VLOOKUP(B3806,LifeList!$E$2:$G$2038,3)</f>
        <v>Catharus fuscescens</v>
      </c>
      <c r="G3806" s="3" t="str">
        <f>VLOOKUP(B3806,LifeList!$E$2:$I$2038,4)</f>
        <v>Passeriformes</v>
      </c>
      <c r="H3806" s="3" t="str">
        <f>VLOOKUP(B3806,LifeList!$E$2:$I$2038,5)</f>
        <v>Turdidae (Thrushes and Allies)</v>
      </c>
      <c r="I3806" s="3"/>
    </row>
    <row r="3807" spans="1:9" ht="10.5" customHeight="1">
      <c r="A3807" s="3" t="s">
        <v>5288</v>
      </c>
      <c r="B3807" s="3" t="s">
        <v>5289</v>
      </c>
      <c r="C3807" s="3">
        <f>VLOOKUP(B3807,LifeList!$E$2:$J$2038,6)</f>
        <v>13300</v>
      </c>
      <c r="D3807" s="3" t="str">
        <f>VLOOKUP(B3807,LifeList!$E$2:$G$2038,1)</f>
        <v>Velvet Asity</v>
      </c>
      <c r="E3807" s="3" t="str">
        <f>VLOOKUP(B3807,LifeList!$E$2:$G$2038,2)</f>
        <v>Philépitte veloutée</v>
      </c>
      <c r="F3807" s="3" t="str">
        <f>VLOOKUP(B3807,LifeList!$E$2:$G$2038,3)</f>
        <v>Philepitta castanea</v>
      </c>
      <c r="G3807" s="3" t="str">
        <f>VLOOKUP(B3807,LifeList!$E$2:$I$2038,4)</f>
        <v>Passeriformes</v>
      </c>
      <c r="H3807" s="3" t="str">
        <f>VLOOKUP(B3807,LifeList!$E$2:$I$2038,5)</f>
        <v>Philepittidae (Asities)</v>
      </c>
      <c r="I3807" s="3"/>
    </row>
    <row r="3808" spans="1:9" ht="10.5" customHeight="1">
      <c r="A3808" s="3" t="s">
        <v>5290</v>
      </c>
      <c r="B3808" s="3" t="s">
        <v>5289</v>
      </c>
      <c r="C3808" s="3">
        <f>VLOOKUP(B3808,LifeList!$E$2:$J$2038,6)</f>
        <v>13300</v>
      </c>
      <c r="D3808" s="3" t="str">
        <f>VLOOKUP(B3808,LifeList!$E$2:$G$2038,1)</f>
        <v>Velvet Asity</v>
      </c>
      <c r="E3808" s="3" t="str">
        <f>VLOOKUP(B3808,LifeList!$E$2:$G$2038,2)</f>
        <v>Philépitte veloutée</v>
      </c>
      <c r="F3808" s="3" t="str">
        <f>VLOOKUP(B3808,LifeList!$E$2:$G$2038,3)</f>
        <v>Philepitta castanea</v>
      </c>
      <c r="G3808" s="3" t="str">
        <f>VLOOKUP(B3808,LifeList!$E$2:$I$2038,4)</f>
        <v>Passeriformes</v>
      </c>
      <c r="H3808" s="3" t="str">
        <f>VLOOKUP(B3808,LifeList!$E$2:$I$2038,5)</f>
        <v>Philepittidae (Asities)</v>
      </c>
      <c r="I3808" s="3"/>
    </row>
    <row r="3809" spans="1:9" ht="10.5" customHeight="1">
      <c r="A3809" s="3" t="s">
        <v>5291</v>
      </c>
      <c r="B3809" s="3" t="s">
        <v>5289</v>
      </c>
      <c r="C3809" s="3">
        <f>VLOOKUP(B3809,LifeList!$E$2:$J$2038,6)</f>
        <v>13300</v>
      </c>
      <c r="D3809" s="3" t="str">
        <f>VLOOKUP(B3809,LifeList!$E$2:$G$2038,1)</f>
        <v>Velvet Asity</v>
      </c>
      <c r="E3809" s="3" t="str">
        <f>VLOOKUP(B3809,LifeList!$E$2:$G$2038,2)</f>
        <v>Philépitte veloutée</v>
      </c>
      <c r="F3809" s="3" t="str">
        <f>VLOOKUP(B3809,LifeList!$E$2:$G$2038,3)</f>
        <v>Philepitta castanea</v>
      </c>
      <c r="G3809" s="3" t="str">
        <f>VLOOKUP(B3809,LifeList!$E$2:$I$2038,4)</f>
        <v>Passeriformes</v>
      </c>
      <c r="H3809" s="3" t="str">
        <f>VLOOKUP(B3809,LifeList!$E$2:$I$2038,5)</f>
        <v>Philepittidae (Asities)</v>
      </c>
      <c r="I3809" s="3"/>
    </row>
    <row r="3810" spans="1:9" ht="10.5" customHeight="1">
      <c r="A3810" s="3" t="s">
        <v>5292</v>
      </c>
      <c r="B3810" s="3" t="s">
        <v>5289</v>
      </c>
      <c r="C3810" s="3">
        <f>VLOOKUP(B3810,LifeList!$E$2:$J$2038,6)</f>
        <v>13300</v>
      </c>
      <c r="D3810" s="3" t="str">
        <f>VLOOKUP(B3810,LifeList!$E$2:$G$2038,1)</f>
        <v>Velvet Asity</v>
      </c>
      <c r="E3810" s="3" t="str">
        <f>VLOOKUP(B3810,LifeList!$E$2:$G$2038,2)</f>
        <v>Philépitte veloutée</v>
      </c>
      <c r="F3810" s="3" t="str">
        <f>VLOOKUP(B3810,LifeList!$E$2:$G$2038,3)</f>
        <v>Philepitta castanea</v>
      </c>
      <c r="G3810" s="3" t="str">
        <f>VLOOKUP(B3810,LifeList!$E$2:$I$2038,4)</f>
        <v>Passeriformes</v>
      </c>
      <c r="H3810" s="3" t="str">
        <f>VLOOKUP(B3810,LifeList!$E$2:$I$2038,5)</f>
        <v>Philepittidae (Asities)</v>
      </c>
      <c r="I3810" s="3"/>
    </row>
    <row r="3811" spans="1:9" ht="10.5" customHeight="1">
      <c r="A3811" s="3" t="s">
        <v>5293</v>
      </c>
      <c r="B3811" s="3" t="s">
        <v>5289</v>
      </c>
      <c r="C3811" s="3">
        <f>VLOOKUP(B3811,LifeList!$E$2:$J$2038,6)</f>
        <v>13300</v>
      </c>
      <c r="D3811" s="3" t="str">
        <f>VLOOKUP(B3811,LifeList!$E$2:$G$2038,1)</f>
        <v>Velvet Asity</v>
      </c>
      <c r="E3811" s="3" t="str">
        <f>VLOOKUP(B3811,LifeList!$E$2:$G$2038,2)</f>
        <v>Philépitte veloutée</v>
      </c>
      <c r="F3811" s="3" t="str">
        <f>VLOOKUP(B3811,LifeList!$E$2:$G$2038,3)</f>
        <v>Philepitta castanea</v>
      </c>
      <c r="G3811" s="3" t="str">
        <f>VLOOKUP(B3811,LifeList!$E$2:$I$2038,4)</f>
        <v>Passeriformes</v>
      </c>
      <c r="H3811" s="3" t="str">
        <f>VLOOKUP(B3811,LifeList!$E$2:$I$2038,5)</f>
        <v>Philepittidae (Asities)</v>
      </c>
      <c r="I3811" s="3"/>
    </row>
    <row r="3812" spans="1:9" ht="10.5" customHeight="1">
      <c r="A3812" s="3" t="s">
        <v>5294</v>
      </c>
      <c r="B3812" s="3" t="s">
        <v>5289</v>
      </c>
      <c r="C3812" s="3">
        <f>VLOOKUP(B3812,LifeList!$E$2:$J$2038,6)</f>
        <v>13300</v>
      </c>
      <c r="D3812" s="3" t="str">
        <f>VLOOKUP(B3812,LifeList!$E$2:$G$2038,1)</f>
        <v>Velvet Asity</v>
      </c>
      <c r="E3812" s="3" t="str">
        <f>VLOOKUP(B3812,LifeList!$E$2:$G$2038,2)</f>
        <v>Philépitte veloutée</v>
      </c>
      <c r="F3812" s="3" t="str">
        <f>VLOOKUP(B3812,LifeList!$E$2:$G$2038,3)</f>
        <v>Philepitta castanea</v>
      </c>
      <c r="G3812" s="3" t="str">
        <f>VLOOKUP(B3812,LifeList!$E$2:$I$2038,4)</f>
        <v>Passeriformes</v>
      </c>
      <c r="H3812" s="3" t="str">
        <f>VLOOKUP(B3812,LifeList!$E$2:$I$2038,5)</f>
        <v>Philepittidae (Asities)</v>
      </c>
      <c r="I3812" s="3"/>
    </row>
    <row r="3813" spans="1:9" ht="10.5" customHeight="1">
      <c r="A3813" s="3" t="s">
        <v>5295</v>
      </c>
      <c r="B3813" s="3" t="s">
        <v>5296</v>
      </c>
      <c r="C3813" s="3">
        <f>VLOOKUP(B3813,LifeList!$E$2:$J$2038,6)</f>
        <v>4676</v>
      </c>
      <c r="D3813" s="3" t="str">
        <f>VLOOKUP(B3813,LifeList!$E$2:$G$2038,1)</f>
        <v>Velvet-purple Coronet</v>
      </c>
      <c r="E3813" s="3" t="str">
        <f>VLOOKUP(B3813,LifeList!$E$2:$G$2038,2)</f>
        <v>Colibri de Jardine</v>
      </c>
      <c r="F3813" s="3" t="str">
        <f>VLOOKUP(B3813,LifeList!$E$2:$G$2038,3)</f>
        <v>Boissonneaua jardini</v>
      </c>
      <c r="G3813" s="3" t="str">
        <f>VLOOKUP(B3813,LifeList!$E$2:$I$2038,4)</f>
        <v>Apodiformes</v>
      </c>
      <c r="H3813" s="3" t="str">
        <f>VLOOKUP(B3813,LifeList!$E$2:$I$2038,5)</f>
        <v>Trochilidae (Hummingbirds)</v>
      </c>
      <c r="I3813" s="3"/>
    </row>
    <row r="3814" spans="1:9" ht="10.5" customHeight="1">
      <c r="A3814" s="3" t="s">
        <v>5297</v>
      </c>
      <c r="B3814" s="3" t="s">
        <v>5298</v>
      </c>
      <c r="C3814" s="3">
        <f>VLOOKUP(B3814,LifeList!$E$2:$J$2038,6)</f>
        <v>15733</v>
      </c>
      <c r="D3814" s="3" t="str">
        <f>VLOOKUP(B3814,LifeList!$E$2:$G$2038,1)</f>
        <v>Velvety Manakin</v>
      </c>
      <c r="E3814" s="3" t="str">
        <f>VLOOKUP(B3814,LifeList!$E$2:$G$2038,2)</f>
        <v>Manakin velouté</v>
      </c>
      <c r="F3814" s="3" t="str">
        <f>VLOOKUP(B3814,LifeList!$E$2:$G$2038,3)</f>
        <v>Lepidothrix velutina</v>
      </c>
      <c r="G3814" s="3" t="str">
        <f>VLOOKUP(B3814,LifeList!$E$2:$I$2038,4)</f>
        <v>Passeriformes</v>
      </c>
      <c r="H3814" s="3" t="str">
        <f>VLOOKUP(B3814,LifeList!$E$2:$I$2038,5)</f>
        <v>Pipridae (Manakins)</v>
      </c>
      <c r="I3814" s="3"/>
    </row>
    <row r="3815" spans="1:9" ht="10.5" customHeight="1">
      <c r="A3815" s="3" t="s">
        <v>5299</v>
      </c>
      <c r="B3815" s="3" t="s">
        <v>5300</v>
      </c>
      <c r="C3815" s="3">
        <f>VLOOKUP(B3815,LifeList!$E$2:$J$2038,6)</f>
        <v>17307</v>
      </c>
      <c r="D3815" s="3" t="str">
        <f>VLOOKUP(B3815,LifeList!$E$2:$G$2038,1)</f>
        <v>Venezuelan Flycatcher</v>
      </c>
      <c r="E3815" s="3" t="str">
        <f>VLOOKUP(B3815,LifeList!$E$2:$G$2038,2)</f>
        <v>Tyran du Venezuela</v>
      </c>
      <c r="F3815" s="3" t="str">
        <f>VLOOKUP(B3815,LifeList!$E$2:$G$2038,3)</f>
        <v>Myiarchus venezuelensis</v>
      </c>
      <c r="G3815" s="3" t="str">
        <f>VLOOKUP(B3815,LifeList!$E$2:$I$2038,4)</f>
        <v>Passeriformes</v>
      </c>
      <c r="H3815" s="3" t="str">
        <f>VLOOKUP(B3815,LifeList!$E$2:$I$2038,5)</f>
        <v>Tyrannidae (Tyrant Flycatchers)</v>
      </c>
      <c r="I3815" s="3"/>
    </row>
    <row r="3816" spans="1:9" ht="10.5" customHeight="1">
      <c r="A3816" s="5" t="s">
        <v>5301</v>
      </c>
      <c r="B3816" s="3" t="s">
        <v>5302</v>
      </c>
      <c r="C3816" s="3">
        <f>VLOOKUP(B3816,LifeList!$E$2:$J$2038,6)</f>
        <v>4393</v>
      </c>
      <c r="D3816" s="3" t="str">
        <f>VLOOKUP(B3816,LifeList!$E$2:$G$2038,1)</f>
        <v>Veraguan Mango</v>
      </c>
      <c r="E3816" s="3" t="str">
        <f>VLOOKUP(B3816,LifeList!$E$2:$G$2038,2)</f>
        <v>Mango de Veraguas</v>
      </c>
      <c r="F3816" s="3" t="str">
        <f>VLOOKUP(B3816,LifeList!$E$2:$G$2038,3)</f>
        <v>Anthracothorax veraguensis</v>
      </c>
      <c r="G3816" s="3" t="str">
        <f>VLOOKUP(B3816,LifeList!$E$2:$I$2038,4)</f>
        <v>Apodiformes</v>
      </c>
      <c r="H3816" s="3" t="str">
        <f>VLOOKUP(B3816,LifeList!$E$2:$I$2038,5)</f>
        <v>Trochilidae (Hummingbirds)</v>
      </c>
      <c r="I3816" s="3"/>
    </row>
    <row r="3817" spans="1:9" ht="10.5" customHeight="1">
      <c r="A3817" s="3" t="s">
        <v>5303</v>
      </c>
      <c r="B3817" s="3" t="s">
        <v>5304</v>
      </c>
      <c r="C3817" s="3">
        <f>VLOOKUP(B3817,LifeList!$E$2:$J$2038,6)</f>
        <v>34514</v>
      </c>
      <c r="D3817" s="3" t="str">
        <f>VLOOKUP(B3817,LifeList!$E$2:$G$2038,1)</f>
        <v>Vermilion Cardinal</v>
      </c>
      <c r="E3817" s="3" t="str">
        <f>VLOOKUP(B3817,LifeList!$E$2:$G$2038,2)</f>
        <v>Cardinal vermillon</v>
      </c>
      <c r="F3817" s="3" t="str">
        <f>VLOOKUP(B3817,LifeList!$E$2:$G$2038,3)</f>
        <v>Cardinalis phoeniceus</v>
      </c>
      <c r="G3817" s="3" t="str">
        <f>VLOOKUP(B3817,LifeList!$E$2:$I$2038,4)</f>
        <v>Passeriformes</v>
      </c>
      <c r="H3817" s="3" t="str">
        <f>VLOOKUP(B3817,LifeList!$E$2:$I$2038,5)</f>
        <v>Cardinalidae (Cardinals and Allies)</v>
      </c>
      <c r="I3817" s="3"/>
    </row>
    <row r="3818" spans="1:9" ht="10.5" customHeight="1">
      <c r="A3818" s="3" t="s">
        <v>5305</v>
      </c>
      <c r="B3818" s="3" t="s">
        <v>5304</v>
      </c>
      <c r="C3818" s="3">
        <f>VLOOKUP(B3818,LifeList!$E$2:$J$2038,6)</f>
        <v>34514</v>
      </c>
      <c r="D3818" s="3" t="str">
        <f>VLOOKUP(B3818,LifeList!$E$2:$G$2038,1)</f>
        <v>Vermilion Cardinal</v>
      </c>
      <c r="E3818" s="3" t="str">
        <f>VLOOKUP(B3818,LifeList!$E$2:$G$2038,2)</f>
        <v>Cardinal vermillon</v>
      </c>
      <c r="F3818" s="3" t="str">
        <f>VLOOKUP(B3818,LifeList!$E$2:$G$2038,3)</f>
        <v>Cardinalis phoeniceus</v>
      </c>
      <c r="G3818" s="3" t="str">
        <f>VLOOKUP(B3818,LifeList!$E$2:$I$2038,4)</f>
        <v>Passeriformes</v>
      </c>
      <c r="H3818" s="3" t="str">
        <f>VLOOKUP(B3818,LifeList!$E$2:$I$2038,5)</f>
        <v>Cardinalidae (Cardinals and Allies)</v>
      </c>
      <c r="I3818" s="3"/>
    </row>
    <row r="3819" spans="1:9" ht="10.5" customHeight="1">
      <c r="A3819" s="3" t="s">
        <v>5306</v>
      </c>
      <c r="B3819" s="3" t="s">
        <v>5304</v>
      </c>
      <c r="C3819" s="3">
        <f>VLOOKUP(B3819,LifeList!$E$2:$J$2038,6)</f>
        <v>34514</v>
      </c>
      <c r="D3819" s="3" t="str">
        <f>VLOOKUP(B3819,LifeList!$E$2:$G$2038,1)</f>
        <v>Vermilion Cardinal</v>
      </c>
      <c r="E3819" s="3" t="str">
        <f>VLOOKUP(B3819,LifeList!$E$2:$G$2038,2)</f>
        <v>Cardinal vermillon</v>
      </c>
      <c r="F3819" s="3" t="str">
        <f>VLOOKUP(B3819,LifeList!$E$2:$G$2038,3)</f>
        <v>Cardinalis phoeniceus</v>
      </c>
      <c r="G3819" s="3" t="str">
        <f>VLOOKUP(B3819,LifeList!$E$2:$I$2038,4)</f>
        <v>Passeriformes</v>
      </c>
      <c r="H3819" s="3" t="str">
        <f>VLOOKUP(B3819,LifeList!$E$2:$I$2038,5)</f>
        <v>Cardinalidae (Cardinals and Allies)</v>
      </c>
      <c r="I3819" s="3"/>
    </row>
    <row r="3820" spans="1:9" ht="10.5" customHeight="1">
      <c r="A3820" s="3" t="s">
        <v>5307</v>
      </c>
      <c r="B3820" s="3" t="s">
        <v>5304</v>
      </c>
      <c r="C3820" s="3">
        <f>VLOOKUP(B3820,LifeList!$E$2:$J$2038,6)</f>
        <v>34514</v>
      </c>
      <c r="D3820" s="3" t="str">
        <f>VLOOKUP(B3820,LifeList!$E$2:$G$2038,1)</f>
        <v>Vermilion Cardinal</v>
      </c>
      <c r="E3820" s="3" t="str">
        <f>VLOOKUP(B3820,LifeList!$E$2:$G$2038,2)</f>
        <v>Cardinal vermillon</v>
      </c>
      <c r="F3820" s="3" t="str">
        <f>VLOOKUP(B3820,LifeList!$E$2:$G$2038,3)</f>
        <v>Cardinalis phoeniceus</v>
      </c>
      <c r="G3820" s="3" t="str">
        <f>VLOOKUP(B3820,LifeList!$E$2:$I$2038,4)</f>
        <v>Passeriformes</v>
      </c>
      <c r="H3820" s="3" t="str">
        <f>VLOOKUP(B3820,LifeList!$E$2:$I$2038,5)</f>
        <v>Cardinalidae (Cardinals and Allies)</v>
      </c>
      <c r="I3820" s="3"/>
    </row>
    <row r="3821" spans="1:9" ht="10.5" customHeight="1">
      <c r="A3821" s="3" t="s">
        <v>5308</v>
      </c>
      <c r="B3821" s="3" t="s">
        <v>5304</v>
      </c>
      <c r="C3821" s="3">
        <f>VLOOKUP(B3821,LifeList!$E$2:$J$2038,6)</f>
        <v>34514</v>
      </c>
      <c r="D3821" s="3" t="str">
        <f>VLOOKUP(B3821,LifeList!$E$2:$G$2038,1)</f>
        <v>Vermilion Cardinal</v>
      </c>
      <c r="E3821" s="3" t="str">
        <f>VLOOKUP(B3821,LifeList!$E$2:$G$2038,2)</f>
        <v>Cardinal vermillon</v>
      </c>
      <c r="F3821" s="3" t="str">
        <f>VLOOKUP(B3821,LifeList!$E$2:$G$2038,3)</f>
        <v>Cardinalis phoeniceus</v>
      </c>
      <c r="G3821" s="3" t="str">
        <f>VLOOKUP(B3821,LifeList!$E$2:$I$2038,4)</f>
        <v>Passeriformes</v>
      </c>
      <c r="H3821" s="3" t="str">
        <f>VLOOKUP(B3821,LifeList!$E$2:$I$2038,5)</f>
        <v>Cardinalidae (Cardinals and Allies)</v>
      </c>
      <c r="I3821" s="3"/>
    </row>
    <row r="3822" spans="1:9" ht="10.5" customHeight="1">
      <c r="A3822" s="3" t="s">
        <v>5309</v>
      </c>
      <c r="B3822" s="3" t="s">
        <v>5310</v>
      </c>
      <c r="C3822" s="3">
        <f>VLOOKUP(B3822,LifeList!$E$2:$J$2038,6)</f>
        <v>17029</v>
      </c>
      <c r="D3822" s="3" t="str">
        <f>VLOOKUP(B3822,LifeList!$E$2:$G$2038,1)</f>
        <v>Vermilion Flycatcher</v>
      </c>
      <c r="E3822" s="3" t="str">
        <f>VLOOKUP(B3822,LifeList!$E$2:$G$2038,2)</f>
        <v>Moucherolle vermillon</v>
      </c>
      <c r="F3822" s="3" t="str">
        <f>VLOOKUP(B3822,LifeList!$E$2:$G$2038,3)</f>
        <v>Pyrocephalus rubinus</v>
      </c>
      <c r="G3822" s="3" t="str">
        <f>VLOOKUP(B3822,LifeList!$E$2:$I$2038,4)</f>
        <v>Passeriformes</v>
      </c>
      <c r="H3822" s="3" t="str">
        <f>VLOOKUP(B3822,LifeList!$E$2:$I$2038,5)</f>
        <v>Tyrannidae (Tyrant Flycatchers)</v>
      </c>
      <c r="I3822" s="3"/>
    </row>
    <row r="3823" spans="1:9" ht="10.5" customHeight="1">
      <c r="A3823" s="3" t="s">
        <v>5311</v>
      </c>
      <c r="B3823" s="3" t="s">
        <v>5310</v>
      </c>
      <c r="C3823" s="3">
        <f>VLOOKUP(B3823,LifeList!$E$2:$J$2038,6)</f>
        <v>17029</v>
      </c>
      <c r="D3823" s="3" t="str">
        <f>VLOOKUP(B3823,LifeList!$E$2:$G$2038,1)</f>
        <v>Vermilion Flycatcher</v>
      </c>
      <c r="E3823" s="3" t="str">
        <f>VLOOKUP(B3823,LifeList!$E$2:$G$2038,2)</f>
        <v>Moucherolle vermillon</v>
      </c>
      <c r="F3823" s="3" t="str">
        <f>VLOOKUP(B3823,LifeList!$E$2:$G$2038,3)</f>
        <v>Pyrocephalus rubinus</v>
      </c>
      <c r="G3823" s="3" t="str">
        <f>VLOOKUP(B3823,LifeList!$E$2:$I$2038,4)</f>
        <v>Passeriformes</v>
      </c>
      <c r="H3823" s="3" t="str">
        <f>VLOOKUP(B3823,LifeList!$E$2:$I$2038,5)</f>
        <v>Tyrannidae (Tyrant Flycatchers)</v>
      </c>
      <c r="I3823" s="3"/>
    </row>
    <row r="3824" spans="1:9" ht="10.5" customHeight="1">
      <c r="A3824" s="3" t="s">
        <v>5312</v>
      </c>
      <c r="B3824" s="3" t="s">
        <v>5310</v>
      </c>
      <c r="C3824" s="3">
        <f>VLOOKUP(B3824,LifeList!$E$2:$J$2038,6)</f>
        <v>17029</v>
      </c>
      <c r="D3824" s="3" t="str">
        <f>VLOOKUP(B3824,LifeList!$E$2:$G$2038,1)</f>
        <v>Vermilion Flycatcher</v>
      </c>
      <c r="E3824" s="3" t="str">
        <f>VLOOKUP(B3824,LifeList!$E$2:$G$2038,2)</f>
        <v>Moucherolle vermillon</v>
      </c>
      <c r="F3824" s="3" t="str">
        <f>VLOOKUP(B3824,LifeList!$E$2:$G$2038,3)</f>
        <v>Pyrocephalus rubinus</v>
      </c>
      <c r="G3824" s="3" t="str">
        <f>VLOOKUP(B3824,LifeList!$E$2:$I$2038,4)</f>
        <v>Passeriformes</v>
      </c>
      <c r="H3824" s="3" t="str">
        <f>VLOOKUP(B3824,LifeList!$E$2:$I$2038,5)</f>
        <v>Tyrannidae (Tyrant Flycatchers)</v>
      </c>
      <c r="I3824" s="3"/>
    </row>
    <row r="3825" spans="1:9" ht="10.5" customHeight="1">
      <c r="A3825" s="3" t="s">
        <v>5313</v>
      </c>
      <c r="B3825" s="3" t="s">
        <v>5310</v>
      </c>
      <c r="C3825" s="3">
        <f>VLOOKUP(B3825,LifeList!$E$2:$J$2038,6)</f>
        <v>17029</v>
      </c>
      <c r="D3825" s="3" t="str">
        <f>VLOOKUP(B3825,LifeList!$E$2:$G$2038,1)</f>
        <v>Vermilion Flycatcher</v>
      </c>
      <c r="E3825" s="3" t="str">
        <f>VLOOKUP(B3825,LifeList!$E$2:$G$2038,2)</f>
        <v>Moucherolle vermillon</v>
      </c>
      <c r="F3825" s="3" t="str">
        <f>VLOOKUP(B3825,LifeList!$E$2:$G$2038,3)</f>
        <v>Pyrocephalus rubinus</v>
      </c>
      <c r="G3825" s="3" t="str">
        <f>VLOOKUP(B3825,LifeList!$E$2:$I$2038,4)</f>
        <v>Passeriformes</v>
      </c>
      <c r="H3825" s="3" t="str">
        <f>VLOOKUP(B3825,LifeList!$E$2:$I$2038,5)</f>
        <v>Tyrannidae (Tyrant Flycatchers)</v>
      </c>
      <c r="I3825" s="3"/>
    </row>
    <row r="3826" spans="1:9" ht="10.5" customHeight="1">
      <c r="A3826" s="3" t="s">
        <v>5314</v>
      </c>
      <c r="B3826" s="3" t="s">
        <v>5310</v>
      </c>
      <c r="C3826" s="3">
        <f>VLOOKUP(B3826,LifeList!$E$2:$J$2038,6)</f>
        <v>17029</v>
      </c>
      <c r="D3826" s="3" t="str">
        <f>VLOOKUP(B3826,LifeList!$E$2:$G$2038,1)</f>
        <v>Vermilion Flycatcher</v>
      </c>
      <c r="E3826" s="3" t="str">
        <f>VLOOKUP(B3826,LifeList!$E$2:$G$2038,2)</f>
        <v>Moucherolle vermillon</v>
      </c>
      <c r="F3826" s="3" t="str">
        <f>VLOOKUP(B3826,LifeList!$E$2:$G$2038,3)</f>
        <v>Pyrocephalus rubinus</v>
      </c>
      <c r="G3826" s="3" t="str">
        <f>VLOOKUP(B3826,LifeList!$E$2:$I$2038,4)</f>
        <v>Passeriformes</v>
      </c>
      <c r="H3826" s="3" t="str">
        <f>VLOOKUP(B3826,LifeList!$E$2:$I$2038,5)</f>
        <v>Tyrannidae (Tyrant Flycatchers)</v>
      </c>
      <c r="I3826" s="3"/>
    </row>
    <row r="3827" spans="1:9" ht="10.5" customHeight="1">
      <c r="A3827" s="3" t="s">
        <v>5315</v>
      </c>
      <c r="B3827" s="3" t="s">
        <v>5310</v>
      </c>
      <c r="C3827" s="3">
        <f>VLOOKUP(B3827,LifeList!$E$2:$J$2038,6)</f>
        <v>17029</v>
      </c>
      <c r="D3827" s="3" t="str">
        <f>VLOOKUP(B3827,LifeList!$E$2:$G$2038,1)</f>
        <v>Vermilion Flycatcher</v>
      </c>
      <c r="E3827" s="3" t="str">
        <f>VLOOKUP(B3827,LifeList!$E$2:$G$2038,2)</f>
        <v>Moucherolle vermillon</v>
      </c>
      <c r="F3827" s="3" t="str">
        <f>VLOOKUP(B3827,LifeList!$E$2:$G$2038,3)</f>
        <v>Pyrocephalus rubinus</v>
      </c>
      <c r="G3827" s="3" t="str">
        <f>VLOOKUP(B3827,LifeList!$E$2:$I$2038,4)</f>
        <v>Passeriformes</v>
      </c>
      <c r="H3827" s="3" t="str">
        <f>VLOOKUP(B3827,LifeList!$E$2:$I$2038,5)</f>
        <v>Tyrannidae (Tyrant Flycatchers)</v>
      </c>
      <c r="I3827" s="3"/>
    </row>
    <row r="3828" spans="1:9" ht="10.5" customHeight="1">
      <c r="A3828" s="3" t="s">
        <v>5316</v>
      </c>
      <c r="B3828" s="3" t="s">
        <v>5310</v>
      </c>
      <c r="C3828" s="3">
        <f>VLOOKUP(B3828,LifeList!$E$2:$J$2038,6)</f>
        <v>17029</v>
      </c>
      <c r="D3828" s="3" t="str">
        <f>VLOOKUP(B3828,LifeList!$E$2:$G$2038,1)</f>
        <v>Vermilion Flycatcher</v>
      </c>
      <c r="E3828" s="3" t="str">
        <f>VLOOKUP(B3828,LifeList!$E$2:$G$2038,2)</f>
        <v>Moucherolle vermillon</v>
      </c>
      <c r="F3828" s="3" t="str">
        <f>VLOOKUP(B3828,LifeList!$E$2:$G$2038,3)</f>
        <v>Pyrocephalus rubinus</v>
      </c>
      <c r="G3828" s="3" t="str">
        <f>VLOOKUP(B3828,LifeList!$E$2:$I$2038,4)</f>
        <v>Passeriformes</v>
      </c>
      <c r="H3828" s="3" t="str">
        <f>VLOOKUP(B3828,LifeList!$E$2:$I$2038,5)</f>
        <v>Tyrannidae (Tyrant Flycatchers)</v>
      </c>
      <c r="I3828" s="3"/>
    </row>
    <row r="3829" spans="1:9" ht="10.5" customHeight="1">
      <c r="A3829" s="3" t="s">
        <v>5317</v>
      </c>
      <c r="B3829" s="3" t="s">
        <v>5310</v>
      </c>
      <c r="C3829" s="3">
        <f>VLOOKUP(B3829,LifeList!$E$2:$J$2038,6)</f>
        <v>17029</v>
      </c>
      <c r="D3829" s="3" t="str">
        <f>VLOOKUP(B3829,LifeList!$E$2:$G$2038,1)</f>
        <v>Vermilion Flycatcher</v>
      </c>
      <c r="E3829" s="3" t="str">
        <f>VLOOKUP(B3829,LifeList!$E$2:$G$2038,2)</f>
        <v>Moucherolle vermillon</v>
      </c>
      <c r="F3829" s="3" t="str">
        <f>VLOOKUP(B3829,LifeList!$E$2:$G$2038,3)</f>
        <v>Pyrocephalus rubinus</v>
      </c>
      <c r="G3829" s="3" t="str">
        <f>VLOOKUP(B3829,LifeList!$E$2:$I$2038,4)</f>
        <v>Passeriformes</v>
      </c>
      <c r="H3829" s="3" t="str">
        <f>VLOOKUP(B3829,LifeList!$E$2:$I$2038,5)</f>
        <v>Tyrannidae (Tyrant Flycatchers)</v>
      </c>
      <c r="I3829" s="3"/>
    </row>
    <row r="3830" spans="1:9" ht="10.5" customHeight="1">
      <c r="A3830" s="3" t="s">
        <v>5318</v>
      </c>
      <c r="B3830" s="3" t="s">
        <v>5319</v>
      </c>
      <c r="C3830" s="3">
        <f>VLOOKUP(B3830,LifeList!$E$2:$J$2038,6)</f>
        <v>3065</v>
      </c>
      <c r="D3830" s="3" t="str">
        <f>VLOOKUP(B3830,LifeList!$E$2:$G$2038,1)</f>
        <v>Verreaux's Coua</v>
      </c>
      <c r="E3830" s="3" t="str">
        <f>VLOOKUP(B3830,LifeList!$E$2:$G$2038,2)</f>
        <v>Coua de Verreaux</v>
      </c>
      <c r="F3830" s="3" t="str">
        <f>VLOOKUP(B3830,LifeList!$E$2:$G$2038,3)</f>
        <v>Coua verreauxi</v>
      </c>
      <c r="G3830" s="3" t="str">
        <f>VLOOKUP(B3830,LifeList!$E$2:$I$2038,4)</f>
        <v>Cuculiformes</v>
      </c>
      <c r="H3830" s="3" t="str">
        <f>VLOOKUP(B3830,LifeList!$E$2:$I$2038,5)</f>
        <v>Cuculidae (Cuckoos)</v>
      </c>
      <c r="I3830" s="3"/>
    </row>
    <row r="3831" spans="1:9" ht="10.5" customHeight="1">
      <c r="A3831" s="3" t="s">
        <v>5320</v>
      </c>
      <c r="B3831" s="3" t="s">
        <v>5319</v>
      </c>
      <c r="C3831" s="3">
        <f>VLOOKUP(B3831,LifeList!$E$2:$J$2038,6)</f>
        <v>3065</v>
      </c>
      <c r="D3831" s="3" t="str">
        <f>VLOOKUP(B3831,LifeList!$E$2:$G$2038,1)</f>
        <v>Verreaux's Coua</v>
      </c>
      <c r="E3831" s="3" t="str">
        <f>VLOOKUP(B3831,LifeList!$E$2:$G$2038,2)</f>
        <v>Coua de Verreaux</v>
      </c>
      <c r="F3831" s="3" t="str">
        <f>VLOOKUP(B3831,LifeList!$E$2:$G$2038,3)</f>
        <v>Coua verreauxi</v>
      </c>
      <c r="G3831" s="3" t="str">
        <f>VLOOKUP(B3831,LifeList!$E$2:$I$2038,4)</f>
        <v>Cuculiformes</v>
      </c>
      <c r="H3831" s="3" t="str">
        <f>VLOOKUP(B3831,LifeList!$E$2:$I$2038,5)</f>
        <v>Cuculidae (Cuckoos)</v>
      </c>
      <c r="I3831" s="3"/>
    </row>
    <row r="3832" spans="1:9" ht="10.5" customHeight="1">
      <c r="A3832" s="3" t="s">
        <v>5321</v>
      </c>
      <c r="B3832" s="3" t="s">
        <v>5322</v>
      </c>
      <c r="C3832" s="3">
        <f>VLOOKUP(B3832,LifeList!$E$2:$J$2038,6)</f>
        <v>8966</v>
      </c>
      <c r="D3832" s="3" t="str">
        <f>VLOOKUP(B3832,LifeList!$E$2:$G$2038,1)</f>
        <v>Verreaux's Eagle-Owl</v>
      </c>
      <c r="E3832" s="3" t="str">
        <f>VLOOKUP(B3832,LifeList!$E$2:$G$2038,2)</f>
        <v>Grand-duc de Verreaux</v>
      </c>
      <c r="F3832" s="3" t="str">
        <f>VLOOKUP(B3832,LifeList!$E$2:$G$2038,3)</f>
        <v>Ketupa lactea</v>
      </c>
      <c r="G3832" s="3" t="str">
        <f>VLOOKUP(B3832,LifeList!$E$2:$I$2038,4)</f>
        <v>Strigiformes</v>
      </c>
      <c r="H3832" s="3" t="str">
        <f>VLOOKUP(B3832,LifeList!$E$2:$I$2038,5)</f>
        <v>Strigidae (Owls)</v>
      </c>
      <c r="I3832" s="3"/>
    </row>
    <row r="3833" spans="1:9" ht="10.5" customHeight="1">
      <c r="A3833" s="5" t="s">
        <v>5323</v>
      </c>
      <c r="B3833" s="3" t="s">
        <v>5324</v>
      </c>
      <c r="C3833" s="3">
        <f>VLOOKUP(B3833,LifeList!$E$2:$J$2038,6)</f>
        <v>33217</v>
      </c>
      <c r="D3833" s="3" t="str">
        <f>VLOOKUP(B3833,LifeList!$E$2:$G$2038,1)</f>
        <v>Vesper Sparrow</v>
      </c>
      <c r="E3833" s="3" t="str">
        <f>VLOOKUP(B3833,LifeList!$E$2:$G$2038,2)</f>
        <v>Bruant vespéral</v>
      </c>
      <c r="F3833" s="3" t="str">
        <f>VLOOKUP(B3833,LifeList!$E$2:$G$2038,3)</f>
        <v>Pooecetes gramineus</v>
      </c>
      <c r="G3833" s="3" t="str">
        <f>VLOOKUP(B3833,LifeList!$E$2:$I$2038,4)</f>
        <v>Passeriformes</v>
      </c>
      <c r="H3833" s="3" t="str">
        <f>VLOOKUP(B3833,LifeList!$E$2:$I$2038,5)</f>
        <v>Passerellidae (New World Sparrows)</v>
      </c>
      <c r="I3833" s="3"/>
    </row>
    <row r="3834" spans="1:9" ht="10.5" customHeight="1">
      <c r="A3834" s="3" t="s">
        <v>5325</v>
      </c>
      <c r="B3834" s="3" t="s">
        <v>5326</v>
      </c>
      <c r="C3834" s="3">
        <f>VLOOKUP(B3834,LifeList!$E$2:$J$2038,6)</f>
        <v>33217</v>
      </c>
      <c r="D3834" s="3" t="str">
        <f>VLOOKUP(B3834,LifeList!$E$2:$G$2038,1)</f>
        <v>Vesper Sparrow</v>
      </c>
      <c r="E3834" s="3" t="str">
        <f>VLOOKUP(B3834,LifeList!$E$2:$G$2038,2)</f>
        <v>Bruant vespéral</v>
      </c>
      <c r="F3834" s="3" t="str">
        <f>VLOOKUP(B3834,LifeList!$E$2:$G$2038,3)</f>
        <v>Pooecetes gramineus</v>
      </c>
      <c r="G3834" s="3" t="str">
        <f>VLOOKUP(B3834,LifeList!$E$2:$I$2038,4)</f>
        <v>Passeriformes</v>
      </c>
      <c r="H3834" s="3" t="str">
        <f>VLOOKUP(B3834,LifeList!$E$2:$I$2038,5)</f>
        <v>Passerellidae (New World Sparrows)</v>
      </c>
      <c r="I3834" s="3"/>
    </row>
    <row r="3835" spans="1:9" ht="10.5" customHeight="1">
      <c r="A3835" s="3" t="s">
        <v>5327</v>
      </c>
      <c r="B3835" s="3" t="s">
        <v>5328</v>
      </c>
      <c r="C3835" s="3">
        <f>VLOOKUP(B3835,LifeList!$E$2:$J$2038,6)</f>
        <v>30843</v>
      </c>
      <c r="D3835" s="3" t="str">
        <f>VLOOKUP(B3835,LifeList!$E$2:$G$2038,1)</f>
        <v>Village Weaver</v>
      </c>
      <c r="E3835" s="3" t="str">
        <f>VLOOKUP(B3835,LifeList!$E$2:$G$2038,2)</f>
        <v>Tisserin gendarme</v>
      </c>
      <c r="F3835" s="3" t="str">
        <f>VLOOKUP(B3835,LifeList!$E$2:$G$2038,3)</f>
        <v>Ploceus cucullatus</v>
      </c>
      <c r="G3835" s="3" t="str">
        <f>VLOOKUP(B3835,LifeList!$E$2:$I$2038,4)</f>
        <v>Passeriformes</v>
      </c>
      <c r="H3835" s="3" t="str">
        <f>VLOOKUP(B3835,LifeList!$E$2:$I$2038,5)</f>
        <v>Ploceidae (Weavers and Allies)</v>
      </c>
      <c r="I3835" s="3"/>
    </row>
    <row r="3836" spans="1:9" ht="10.5" customHeight="1">
      <c r="A3836" s="3" t="s">
        <v>5329</v>
      </c>
      <c r="B3836" s="3" t="s">
        <v>5328</v>
      </c>
      <c r="C3836" s="3">
        <f>VLOOKUP(B3836,LifeList!$E$2:$J$2038,6)</f>
        <v>30843</v>
      </c>
      <c r="D3836" s="3" t="str">
        <f>VLOOKUP(B3836,LifeList!$E$2:$G$2038,1)</f>
        <v>Village Weaver</v>
      </c>
      <c r="E3836" s="3" t="str">
        <f>VLOOKUP(B3836,LifeList!$E$2:$G$2038,2)</f>
        <v>Tisserin gendarme</v>
      </c>
      <c r="F3836" s="3" t="str">
        <f>VLOOKUP(B3836,LifeList!$E$2:$G$2038,3)</f>
        <v>Ploceus cucullatus</v>
      </c>
      <c r="G3836" s="3" t="str">
        <f>VLOOKUP(B3836,LifeList!$E$2:$I$2038,4)</f>
        <v>Passeriformes</v>
      </c>
      <c r="H3836" s="3" t="str">
        <f>VLOOKUP(B3836,LifeList!$E$2:$I$2038,5)</f>
        <v>Ploceidae (Weavers and Allies)</v>
      </c>
      <c r="I3836" s="3"/>
    </row>
    <row r="3837" spans="1:9" ht="10.5" customHeight="1">
      <c r="A3837" s="3" t="s">
        <v>5330</v>
      </c>
      <c r="B3837" s="3" t="s">
        <v>5328</v>
      </c>
      <c r="C3837" s="3">
        <f>VLOOKUP(B3837,LifeList!$E$2:$J$2038,6)</f>
        <v>30843</v>
      </c>
      <c r="D3837" s="3" t="str">
        <f>VLOOKUP(B3837,LifeList!$E$2:$G$2038,1)</f>
        <v>Village Weaver</v>
      </c>
      <c r="E3837" s="3" t="str">
        <f>VLOOKUP(B3837,LifeList!$E$2:$G$2038,2)</f>
        <v>Tisserin gendarme</v>
      </c>
      <c r="F3837" s="3" t="str">
        <f>VLOOKUP(B3837,LifeList!$E$2:$G$2038,3)</f>
        <v>Ploceus cucullatus</v>
      </c>
      <c r="G3837" s="3" t="str">
        <f>VLOOKUP(B3837,LifeList!$E$2:$I$2038,4)</f>
        <v>Passeriformes</v>
      </c>
      <c r="H3837" s="3" t="str">
        <f>VLOOKUP(B3837,LifeList!$E$2:$I$2038,5)</f>
        <v>Ploceidae (Weavers and Allies)</v>
      </c>
      <c r="I3837" s="3"/>
    </row>
    <row r="3838" spans="1:9" ht="10.5" customHeight="1">
      <c r="A3838" s="3" t="s">
        <v>5331</v>
      </c>
      <c r="B3838" s="3" t="s">
        <v>5332</v>
      </c>
      <c r="C3838" s="3">
        <f>VLOOKUP(B3838,LifeList!$E$2:$J$2038,6)</f>
        <v>32026</v>
      </c>
      <c r="D3838" s="3" t="str">
        <f>VLOOKUP(B3838,LifeList!$E$2:$G$2038,1)</f>
        <v>Violaceous Euphonia</v>
      </c>
      <c r="E3838" s="3" t="str">
        <f>VLOOKUP(B3838,LifeList!$E$2:$G$2038,2)</f>
        <v>Organiste teité</v>
      </c>
      <c r="F3838" s="3" t="str">
        <f>VLOOKUP(B3838,LifeList!$E$2:$G$2038,3)</f>
        <v>Euphonia violacea</v>
      </c>
      <c r="G3838" s="3" t="str">
        <f>VLOOKUP(B3838,LifeList!$E$2:$I$2038,4)</f>
        <v>Passeriformes</v>
      </c>
      <c r="H3838" s="3" t="str">
        <f>VLOOKUP(B3838,LifeList!$E$2:$I$2038,5)</f>
        <v>Fringillidae (Finches, Euphonias, and Allies)</v>
      </c>
      <c r="I3838" s="3"/>
    </row>
    <row r="3839" spans="1:9" ht="10.5" customHeight="1">
      <c r="A3839" s="3" t="s">
        <v>5333</v>
      </c>
      <c r="B3839" s="3" t="s">
        <v>5334</v>
      </c>
      <c r="C3839" s="3">
        <f>VLOOKUP(B3839,LifeList!$E$2:$J$2038,6)</f>
        <v>4952</v>
      </c>
      <c r="D3839" s="3" t="str">
        <f>VLOOKUP(B3839,LifeList!$E$2:$G$2038,1)</f>
        <v>Violet Sabrewing</v>
      </c>
      <c r="E3839" s="3" t="str">
        <f>VLOOKUP(B3839,LifeList!$E$2:$G$2038,2)</f>
        <v>Campyloptère violet</v>
      </c>
      <c r="F3839" s="3" t="str">
        <f>VLOOKUP(B3839,LifeList!$E$2:$G$2038,3)</f>
        <v>Campylopterus hemileucurus</v>
      </c>
      <c r="G3839" s="3" t="str">
        <f>VLOOKUP(B3839,LifeList!$E$2:$I$2038,4)</f>
        <v>Apodiformes</v>
      </c>
      <c r="H3839" s="3" t="str">
        <f>VLOOKUP(B3839,LifeList!$E$2:$I$2038,5)</f>
        <v>Trochilidae (Hummingbirds)</v>
      </c>
      <c r="I3839" s="3"/>
    </row>
    <row r="3840" spans="1:9" ht="10.5" customHeight="1">
      <c r="A3840" s="3" t="s">
        <v>5335</v>
      </c>
      <c r="B3840" s="3" t="s">
        <v>5334</v>
      </c>
      <c r="C3840" s="3">
        <f>VLOOKUP(B3840,LifeList!$E$2:$J$2038,6)</f>
        <v>4952</v>
      </c>
      <c r="D3840" s="3" t="str">
        <f>VLOOKUP(B3840,LifeList!$E$2:$G$2038,1)</f>
        <v>Violet Sabrewing</v>
      </c>
      <c r="E3840" s="3" t="str">
        <f>VLOOKUP(B3840,LifeList!$E$2:$G$2038,2)</f>
        <v>Campyloptère violet</v>
      </c>
      <c r="F3840" s="3" t="str">
        <f>VLOOKUP(B3840,LifeList!$E$2:$G$2038,3)</f>
        <v>Campylopterus hemileucurus</v>
      </c>
      <c r="G3840" s="3" t="str">
        <f>VLOOKUP(B3840,LifeList!$E$2:$I$2038,4)</f>
        <v>Apodiformes</v>
      </c>
      <c r="H3840" s="3" t="str">
        <f>VLOOKUP(B3840,LifeList!$E$2:$I$2038,5)</f>
        <v>Trochilidae (Hummingbirds)</v>
      </c>
      <c r="I3840" s="3"/>
    </row>
    <row r="3841" spans="1:9" ht="10.5" customHeight="1">
      <c r="A3841" s="3" t="s">
        <v>5336</v>
      </c>
      <c r="B3841" s="3" t="s">
        <v>5334</v>
      </c>
      <c r="C3841" s="3">
        <f>VLOOKUP(B3841,LifeList!$E$2:$J$2038,6)</f>
        <v>4952</v>
      </c>
      <c r="D3841" s="3" t="str">
        <f>VLOOKUP(B3841,LifeList!$E$2:$G$2038,1)</f>
        <v>Violet Sabrewing</v>
      </c>
      <c r="E3841" s="3" t="str">
        <f>VLOOKUP(B3841,LifeList!$E$2:$G$2038,2)</f>
        <v>Campyloptère violet</v>
      </c>
      <c r="F3841" s="3" t="str">
        <f>VLOOKUP(B3841,LifeList!$E$2:$G$2038,3)</f>
        <v>Campylopterus hemileucurus</v>
      </c>
      <c r="G3841" s="3" t="str">
        <f>VLOOKUP(B3841,LifeList!$E$2:$I$2038,4)</f>
        <v>Apodiformes</v>
      </c>
      <c r="H3841" s="3" t="str">
        <f>VLOOKUP(B3841,LifeList!$E$2:$I$2038,5)</f>
        <v>Trochilidae (Hummingbirds)</v>
      </c>
      <c r="I3841" s="3"/>
    </row>
    <row r="3842" spans="1:9" ht="10.5" customHeight="1">
      <c r="A3842" s="3" t="s">
        <v>5337</v>
      </c>
      <c r="B3842" s="3" t="s">
        <v>5334</v>
      </c>
      <c r="C3842" s="3">
        <f>VLOOKUP(B3842,LifeList!$E$2:$J$2038,6)</f>
        <v>4952</v>
      </c>
      <c r="D3842" s="3" t="str">
        <f>VLOOKUP(B3842,LifeList!$E$2:$G$2038,1)</f>
        <v>Violet Sabrewing</v>
      </c>
      <c r="E3842" s="3" t="str">
        <f>VLOOKUP(B3842,LifeList!$E$2:$G$2038,2)</f>
        <v>Campyloptère violet</v>
      </c>
      <c r="F3842" s="3" t="str">
        <f>VLOOKUP(B3842,LifeList!$E$2:$G$2038,3)</f>
        <v>Campylopterus hemileucurus</v>
      </c>
      <c r="G3842" s="3" t="str">
        <f>VLOOKUP(B3842,LifeList!$E$2:$I$2038,4)</f>
        <v>Apodiformes</v>
      </c>
      <c r="H3842" s="3" t="str">
        <f>VLOOKUP(B3842,LifeList!$E$2:$I$2038,5)</f>
        <v>Trochilidae (Hummingbirds)</v>
      </c>
      <c r="I3842" s="3"/>
    </row>
    <row r="3843" spans="1:9" ht="10.5" customHeight="1">
      <c r="A3843" s="3" t="s">
        <v>5338</v>
      </c>
      <c r="B3843" s="3" t="s">
        <v>5339</v>
      </c>
      <c r="C3843" s="3">
        <f>VLOOKUP(B3843,LifeList!$E$2:$J$2038,6)</f>
        <v>5205</v>
      </c>
      <c r="D3843" s="3" t="str">
        <f>VLOOKUP(B3843,LifeList!$E$2:$G$2038,1)</f>
        <v>Violet-bellied Hummingbird</v>
      </c>
      <c r="E3843" s="3" t="str">
        <f>VLOOKUP(B3843,LifeList!$E$2:$G$2038,2)</f>
        <v>Colibri de Julie</v>
      </c>
      <c r="F3843" s="3" t="str">
        <f>VLOOKUP(B3843,LifeList!$E$2:$G$2038,3)</f>
        <v>Chlorestes julie</v>
      </c>
      <c r="G3843" s="3" t="str">
        <f>VLOOKUP(B3843,LifeList!$E$2:$I$2038,4)</f>
        <v>Apodiformes</v>
      </c>
      <c r="H3843" s="3" t="str">
        <f>VLOOKUP(B3843,LifeList!$E$2:$I$2038,5)</f>
        <v>Trochilidae (Hummingbirds)</v>
      </c>
      <c r="I3843" s="3"/>
    </row>
    <row r="3844" spans="1:9" ht="10.5" customHeight="1">
      <c r="A3844" s="3" t="s">
        <v>5340</v>
      </c>
      <c r="B3844" s="3" t="s">
        <v>5341</v>
      </c>
      <c r="C3844" s="3">
        <f>VLOOKUP(B3844,LifeList!$E$2:$J$2038,6)</f>
        <v>31358</v>
      </c>
      <c r="D3844" s="3" t="str">
        <f>VLOOKUP(B3844,LifeList!$E$2:$G$2038,1)</f>
        <v>Violet-eared Waxbill</v>
      </c>
      <c r="E3844" s="3" t="str">
        <f>VLOOKUP(B3844,LifeList!$E$2:$G$2038,2)</f>
        <v>Cordonbleu grenadin</v>
      </c>
      <c r="F3844" s="3" t="str">
        <f>VLOOKUP(B3844,LifeList!$E$2:$G$2038,3)</f>
        <v>Granatina granatina</v>
      </c>
      <c r="G3844" s="3" t="str">
        <f>VLOOKUP(B3844,LifeList!$E$2:$I$2038,4)</f>
        <v>Passeriformes</v>
      </c>
      <c r="H3844" s="3" t="str">
        <f>VLOOKUP(B3844,LifeList!$E$2:$I$2038,5)</f>
        <v>Estrildidae (Waxbills and Allies)</v>
      </c>
      <c r="I3844" s="3"/>
    </row>
    <row r="3845" spans="1:9" ht="10.5" customHeight="1">
      <c r="A3845" s="3" t="s">
        <v>5342</v>
      </c>
      <c r="B3845" s="3" t="s">
        <v>5341</v>
      </c>
      <c r="C3845" s="3">
        <f>VLOOKUP(B3845,LifeList!$E$2:$J$2038,6)</f>
        <v>31358</v>
      </c>
      <c r="D3845" s="3" t="str">
        <f>VLOOKUP(B3845,LifeList!$E$2:$G$2038,1)</f>
        <v>Violet-eared Waxbill</v>
      </c>
      <c r="E3845" s="3" t="str">
        <f>VLOOKUP(B3845,LifeList!$E$2:$G$2038,2)</f>
        <v>Cordonbleu grenadin</v>
      </c>
      <c r="F3845" s="3" t="str">
        <f>VLOOKUP(B3845,LifeList!$E$2:$G$2038,3)</f>
        <v>Granatina granatina</v>
      </c>
      <c r="G3845" s="3" t="str">
        <f>VLOOKUP(B3845,LifeList!$E$2:$I$2038,4)</f>
        <v>Passeriformes</v>
      </c>
      <c r="H3845" s="3" t="str">
        <f>VLOOKUP(B3845,LifeList!$E$2:$I$2038,5)</f>
        <v>Estrildidae (Waxbills and Allies)</v>
      </c>
      <c r="I3845" s="3"/>
    </row>
    <row r="3846" spans="1:9" ht="10.5" customHeight="1">
      <c r="A3846" s="3" t="s">
        <v>5343</v>
      </c>
      <c r="B3846" s="3" t="s">
        <v>5344</v>
      </c>
      <c r="C3846" s="3">
        <f>VLOOKUP(B3846,LifeList!$E$2:$J$2038,6)</f>
        <v>4478</v>
      </c>
      <c r="D3846" s="3" t="str">
        <f>VLOOKUP(B3846,LifeList!$E$2:$G$2038,1)</f>
        <v>Violet-tailed Sylph</v>
      </c>
      <c r="E3846" s="3" t="str">
        <f>VLOOKUP(B3846,LifeList!$E$2:$G$2038,2)</f>
        <v>Sylphe à queue violette</v>
      </c>
      <c r="F3846" s="3" t="str">
        <f>VLOOKUP(B3846,LifeList!$E$2:$G$2038,3)</f>
        <v>Aglaiocercus coelestis</v>
      </c>
      <c r="G3846" s="3" t="str">
        <f>VLOOKUP(B3846,LifeList!$E$2:$I$2038,4)</f>
        <v>Apodiformes</v>
      </c>
      <c r="H3846" s="3" t="str">
        <f>VLOOKUP(B3846,LifeList!$E$2:$I$2038,5)</f>
        <v>Trochilidae (Hummingbirds)</v>
      </c>
      <c r="I3846" s="3"/>
    </row>
    <row r="3847" spans="1:9" ht="10.5" customHeight="1">
      <c r="A3847" s="3" t="s">
        <v>5345</v>
      </c>
      <c r="B3847" s="3" t="s">
        <v>5344</v>
      </c>
      <c r="C3847" s="3">
        <f>VLOOKUP(B3847,LifeList!$E$2:$J$2038,6)</f>
        <v>4478</v>
      </c>
      <c r="D3847" s="3" t="str">
        <f>VLOOKUP(B3847,LifeList!$E$2:$G$2038,1)</f>
        <v>Violet-tailed Sylph</v>
      </c>
      <c r="E3847" s="3" t="str">
        <f>VLOOKUP(B3847,LifeList!$E$2:$G$2038,2)</f>
        <v>Sylphe à queue violette</v>
      </c>
      <c r="F3847" s="3" t="str">
        <f>VLOOKUP(B3847,LifeList!$E$2:$G$2038,3)</f>
        <v>Aglaiocercus coelestis</v>
      </c>
      <c r="G3847" s="3" t="str">
        <f>VLOOKUP(B3847,LifeList!$E$2:$I$2038,4)</f>
        <v>Apodiformes</v>
      </c>
      <c r="H3847" s="3" t="str">
        <f>VLOOKUP(B3847,LifeList!$E$2:$I$2038,5)</f>
        <v>Trochilidae (Hummingbirds)</v>
      </c>
      <c r="I3847" s="3"/>
    </row>
    <row r="3848" spans="1:9" ht="10.5" customHeight="1">
      <c r="A3848" s="3" t="s">
        <v>5346</v>
      </c>
      <c r="B3848" s="3" t="s">
        <v>5347</v>
      </c>
      <c r="C3848" s="3">
        <f>VLOOKUP(B3848,LifeList!$E$2:$J$2038,6)</f>
        <v>5297</v>
      </c>
      <c r="D3848" s="3" t="str">
        <f>VLOOKUP(B3848,LifeList!$E$2:$G$2038,1)</f>
        <v>Virginia Rail</v>
      </c>
      <c r="E3848" s="3" t="str">
        <f>VLOOKUP(B3848,LifeList!$E$2:$G$2038,2)</f>
        <v>Râle de Virginie</v>
      </c>
      <c r="F3848" s="3" t="str">
        <f>VLOOKUP(B3848,LifeList!$E$2:$G$2038,3)</f>
        <v>Rallus limicola</v>
      </c>
      <c r="G3848" s="3" t="str">
        <f>VLOOKUP(B3848,LifeList!$E$2:$I$2038,4)</f>
        <v>Gruiformes</v>
      </c>
      <c r="H3848" s="3" t="str">
        <f>VLOOKUP(B3848,LifeList!$E$2:$I$2038,5)</f>
        <v>Rallidae (Rails, Gallinules, and Coots)</v>
      </c>
      <c r="I3848" s="3"/>
    </row>
    <row r="3849" spans="1:9" ht="10.5" customHeight="1">
      <c r="A3849" s="3" t="s">
        <v>5348</v>
      </c>
      <c r="B3849" s="3" t="s">
        <v>5347</v>
      </c>
      <c r="C3849" s="3">
        <f>VLOOKUP(B3849,LifeList!$E$2:$J$2038,6)</f>
        <v>5297</v>
      </c>
      <c r="D3849" s="3" t="str">
        <f>VLOOKUP(B3849,LifeList!$E$2:$G$2038,1)</f>
        <v>Virginia Rail</v>
      </c>
      <c r="E3849" s="3" t="str">
        <f>VLOOKUP(B3849,LifeList!$E$2:$G$2038,2)</f>
        <v>Râle de Virginie</v>
      </c>
      <c r="F3849" s="3" t="str">
        <f>VLOOKUP(B3849,LifeList!$E$2:$G$2038,3)</f>
        <v>Rallus limicola</v>
      </c>
      <c r="G3849" s="3" t="str">
        <f>VLOOKUP(B3849,LifeList!$E$2:$I$2038,4)</f>
        <v>Gruiformes</v>
      </c>
      <c r="H3849" s="3" t="str">
        <f>VLOOKUP(B3849,LifeList!$E$2:$I$2038,5)</f>
        <v>Rallidae (Rails, Gallinules, and Coots)</v>
      </c>
      <c r="I3849" s="3"/>
    </row>
    <row r="3850" spans="1:9" ht="10.5" customHeight="1">
      <c r="A3850" s="3" t="s">
        <v>5349</v>
      </c>
      <c r="B3850" s="3" t="s">
        <v>5347</v>
      </c>
      <c r="C3850" s="3">
        <f>VLOOKUP(B3850,LifeList!$E$2:$J$2038,6)</f>
        <v>5297</v>
      </c>
      <c r="D3850" s="3" t="str">
        <f>VLOOKUP(B3850,LifeList!$E$2:$G$2038,1)</f>
        <v>Virginia Rail</v>
      </c>
      <c r="E3850" s="3" t="str">
        <f>VLOOKUP(B3850,LifeList!$E$2:$G$2038,2)</f>
        <v>Râle de Virginie</v>
      </c>
      <c r="F3850" s="3" t="str">
        <f>VLOOKUP(B3850,LifeList!$E$2:$G$2038,3)</f>
        <v>Rallus limicola</v>
      </c>
      <c r="G3850" s="3" t="str">
        <f>VLOOKUP(B3850,LifeList!$E$2:$I$2038,4)</f>
        <v>Gruiformes</v>
      </c>
      <c r="H3850" s="3" t="str">
        <f>VLOOKUP(B3850,LifeList!$E$2:$I$2038,5)</f>
        <v>Rallidae (Rails, Gallinules, and Coots)</v>
      </c>
      <c r="I3850" s="3"/>
    </row>
    <row r="3851" spans="1:9" ht="10.5" customHeight="1">
      <c r="A3851" s="3" t="s">
        <v>5350</v>
      </c>
      <c r="B3851" s="3" t="s">
        <v>5347</v>
      </c>
      <c r="C3851" s="3">
        <f>VLOOKUP(B3851,LifeList!$E$2:$J$2038,6)</f>
        <v>5297</v>
      </c>
      <c r="D3851" s="3" t="str">
        <f>VLOOKUP(B3851,LifeList!$E$2:$G$2038,1)</f>
        <v>Virginia Rail</v>
      </c>
      <c r="E3851" s="3" t="str">
        <f>VLOOKUP(B3851,LifeList!$E$2:$G$2038,2)</f>
        <v>Râle de Virginie</v>
      </c>
      <c r="F3851" s="3" t="str">
        <f>VLOOKUP(B3851,LifeList!$E$2:$G$2038,3)</f>
        <v>Rallus limicola</v>
      </c>
      <c r="G3851" s="3" t="str">
        <f>VLOOKUP(B3851,LifeList!$E$2:$I$2038,4)</f>
        <v>Gruiformes</v>
      </c>
      <c r="H3851" s="3" t="str">
        <f>VLOOKUP(B3851,LifeList!$E$2:$I$2038,5)</f>
        <v>Rallidae (Rails, Gallinules, and Coots)</v>
      </c>
      <c r="I3851" s="3"/>
    </row>
    <row r="3852" spans="1:9" ht="10.5" customHeight="1">
      <c r="A3852" s="3" t="s">
        <v>5351</v>
      </c>
      <c r="B3852" s="3" t="s">
        <v>5347</v>
      </c>
      <c r="C3852" s="3">
        <f>VLOOKUP(B3852,LifeList!$E$2:$J$2038,6)</f>
        <v>5297</v>
      </c>
      <c r="D3852" s="3" t="str">
        <f>VLOOKUP(B3852,LifeList!$E$2:$G$2038,1)</f>
        <v>Virginia Rail</v>
      </c>
      <c r="E3852" s="3" t="str">
        <f>VLOOKUP(B3852,LifeList!$E$2:$G$2038,2)</f>
        <v>Râle de Virginie</v>
      </c>
      <c r="F3852" s="3" t="str">
        <f>VLOOKUP(B3852,LifeList!$E$2:$G$2038,3)</f>
        <v>Rallus limicola</v>
      </c>
      <c r="G3852" s="3" t="str">
        <f>VLOOKUP(B3852,LifeList!$E$2:$I$2038,4)</f>
        <v>Gruiformes</v>
      </c>
      <c r="H3852" s="3" t="str">
        <f>VLOOKUP(B3852,LifeList!$E$2:$I$2038,5)</f>
        <v>Rallidae (Rails, Gallinules, and Coots)</v>
      </c>
      <c r="I3852" s="3"/>
    </row>
    <row r="3853" spans="1:9" ht="10.5" customHeight="1">
      <c r="A3853" s="3" t="s">
        <v>5352</v>
      </c>
      <c r="B3853" s="3" t="s">
        <v>5347</v>
      </c>
      <c r="C3853" s="3">
        <f>VLOOKUP(B3853,LifeList!$E$2:$J$2038,6)</f>
        <v>5297</v>
      </c>
      <c r="D3853" s="3" t="str">
        <f>VLOOKUP(B3853,LifeList!$E$2:$G$2038,1)</f>
        <v>Virginia Rail</v>
      </c>
      <c r="E3853" s="3" t="str">
        <f>VLOOKUP(B3853,LifeList!$E$2:$G$2038,2)</f>
        <v>Râle de Virginie</v>
      </c>
      <c r="F3853" s="3" t="str">
        <f>VLOOKUP(B3853,LifeList!$E$2:$G$2038,3)</f>
        <v>Rallus limicola</v>
      </c>
      <c r="G3853" s="3" t="str">
        <f>VLOOKUP(B3853,LifeList!$E$2:$I$2038,4)</f>
        <v>Gruiformes</v>
      </c>
      <c r="H3853" s="3" t="str">
        <f>VLOOKUP(B3853,LifeList!$E$2:$I$2038,5)</f>
        <v>Rallidae (Rails, Gallinules, and Coots)</v>
      </c>
      <c r="I3853" s="3"/>
    </row>
    <row r="3854" spans="1:9" ht="10.5" customHeight="1">
      <c r="A3854" s="3" t="s">
        <v>5353</v>
      </c>
      <c r="B3854" s="3" t="s">
        <v>5347</v>
      </c>
      <c r="C3854" s="3">
        <f>VLOOKUP(B3854,LifeList!$E$2:$J$2038,6)</f>
        <v>5297</v>
      </c>
      <c r="D3854" s="3" t="str">
        <f>VLOOKUP(B3854,LifeList!$E$2:$G$2038,1)</f>
        <v>Virginia Rail</v>
      </c>
      <c r="E3854" s="3" t="str">
        <f>VLOOKUP(B3854,LifeList!$E$2:$G$2038,2)</f>
        <v>Râle de Virginie</v>
      </c>
      <c r="F3854" s="3" t="str">
        <f>VLOOKUP(B3854,LifeList!$E$2:$G$2038,3)</f>
        <v>Rallus limicola</v>
      </c>
      <c r="G3854" s="3" t="str">
        <f>VLOOKUP(B3854,LifeList!$E$2:$I$2038,4)</f>
        <v>Gruiformes</v>
      </c>
      <c r="H3854" s="3" t="str">
        <f>VLOOKUP(B3854,LifeList!$E$2:$I$2038,5)</f>
        <v>Rallidae (Rails, Gallinules, and Coots)</v>
      </c>
      <c r="I3854" s="3"/>
    </row>
    <row r="3855" spans="1:9" ht="10.5" customHeight="1">
      <c r="A3855" s="3" t="s">
        <v>5354</v>
      </c>
      <c r="B3855" s="3" t="s">
        <v>5347</v>
      </c>
      <c r="C3855" s="3">
        <f>VLOOKUP(B3855,LifeList!$E$2:$J$2038,6)</f>
        <v>5297</v>
      </c>
      <c r="D3855" s="3" t="str">
        <f>VLOOKUP(B3855,LifeList!$E$2:$G$2038,1)</f>
        <v>Virginia Rail</v>
      </c>
      <c r="E3855" s="3" t="str">
        <f>VLOOKUP(B3855,LifeList!$E$2:$G$2038,2)</f>
        <v>Râle de Virginie</v>
      </c>
      <c r="F3855" s="3" t="str">
        <f>VLOOKUP(B3855,LifeList!$E$2:$G$2038,3)</f>
        <v>Rallus limicola</v>
      </c>
      <c r="G3855" s="3" t="str">
        <f>VLOOKUP(B3855,LifeList!$E$2:$I$2038,4)</f>
        <v>Gruiformes</v>
      </c>
      <c r="H3855" s="3" t="str">
        <f>VLOOKUP(B3855,LifeList!$E$2:$I$2038,5)</f>
        <v>Rallidae (Rails, Gallinules, and Coots)</v>
      </c>
      <c r="I3855" s="3"/>
    </row>
    <row r="3856" spans="1:9" ht="10.5" customHeight="1">
      <c r="A3856" s="3" t="s">
        <v>5355</v>
      </c>
      <c r="B3856" s="3" t="s">
        <v>5347</v>
      </c>
      <c r="C3856" s="3">
        <f>VLOOKUP(B3856,LifeList!$E$2:$J$2038,6)</f>
        <v>5297</v>
      </c>
      <c r="D3856" s="3" t="str">
        <f>VLOOKUP(B3856,LifeList!$E$2:$G$2038,1)</f>
        <v>Virginia Rail</v>
      </c>
      <c r="E3856" s="3" t="str">
        <f>VLOOKUP(B3856,LifeList!$E$2:$G$2038,2)</f>
        <v>Râle de Virginie</v>
      </c>
      <c r="F3856" s="3" t="str">
        <f>VLOOKUP(B3856,LifeList!$E$2:$G$2038,3)</f>
        <v>Rallus limicola</v>
      </c>
      <c r="G3856" s="3" t="str">
        <f>VLOOKUP(B3856,LifeList!$E$2:$I$2038,4)</f>
        <v>Gruiformes</v>
      </c>
      <c r="H3856" s="3" t="str">
        <f>VLOOKUP(B3856,LifeList!$E$2:$I$2038,5)</f>
        <v>Rallidae (Rails, Gallinules, and Coots)</v>
      </c>
      <c r="I3856" s="3"/>
    </row>
    <row r="3857" spans="1:9" ht="10.5" customHeight="1">
      <c r="A3857" s="3" t="s">
        <v>5356</v>
      </c>
      <c r="B3857" s="3" t="s">
        <v>5347</v>
      </c>
      <c r="C3857" s="3">
        <f>VLOOKUP(B3857,LifeList!$E$2:$J$2038,6)</f>
        <v>5297</v>
      </c>
      <c r="D3857" s="3" t="str">
        <f>VLOOKUP(B3857,LifeList!$E$2:$G$2038,1)</f>
        <v>Virginia Rail</v>
      </c>
      <c r="E3857" s="3" t="str">
        <f>VLOOKUP(B3857,LifeList!$E$2:$G$2038,2)</f>
        <v>Râle de Virginie</v>
      </c>
      <c r="F3857" s="3" t="str">
        <f>VLOOKUP(B3857,LifeList!$E$2:$G$2038,3)</f>
        <v>Rallus limicola</v>
      </c>
      <c r="G3857" s="3" t="str">
        <f>VLOOKUP(B3857,LifeList!$E$2:$I$2038,4)</f>
        <v>Gruiformes</v>
      </c>
      <c r="H3857" s="3" t="str">
        <f>VLOOKUP(B3857,LifeList!$E$2:$I$2038,5)</f>
        <v>Rallidae (Rails, Gallinules, and Coots)</v>
      </c>
      <c r="I3857" s="3"/>
    </row>
    <row r="3858" spans="1:9" ht="10.5" customHeight="1">
      <c r="A3858" s="3" t="s">
        <v>5357</v>
      </c>
      <c r="B3858" s="3" t="s">
        <v>5347</v>
      </c>
      <c r="C3858" s="3">
        <f>VLOOKUP(B3858,LifeList!$E$2:$J$2038,6)</f>
        <v>5297</v>
      </c>
      <c r="D3858" s="3" t="str">
        <f>VLOOKUP(B3858,LifeList!$E$2:$G$2038,1)</f>
        <v>Virginia Rail</v>
      </c>
      <c r="E3858" s="3" t="str">
        <f>VLOOKUP(B3858,LifeList!$E$2:$G$2038,2)</f>
        <v>Râle de Virginie</v>
      </c>
      <c r="F3858" s="3" t="str">
        <f>VLOOKUP(B3858,LifeList!$E$2:$G$2038,3)</f>
        <v>Rallus limicola</v>
      </c>
      <c r="G3858" s="3" t="str">
        <f>VLOOKUP(B3858,LifeList!$E$2:$I$2038,4)</f>
        <v>Gruiformes</v>
      </c>
      <c r="H3858" s="3" t="str">
        <f>VLOOKUP(B3858,LifeList!$E$2:$I$2038,5)</f>
        <v>Rallidae (Rails, Gallinules, and Coots)</v>
      </c>
      <c r="I3858" s="3"/>
    </row>
    <row r="3859" spans="1:9" ht="10.5" customHeight="1">
      <c r="A3859" s="3" t="s">
        <v>5358</v>
      </c>
      <c r="B3859" s="3" t="s">
        <v>5347</v>
      </c>
      <c r="C3859" s="3">
        <f>VLOOKUP(B3859,LifeList!$E$2:$J$2038,6)</f>
        <v>5297</v>
      </c>
      <c r="D3859" s="3" t="str">
        <f>VLOOKUP(B3859,LifeList!$E$2:$G$2038,1)</f>
        <v>Virginia Rail</v>
      </c>
      <c r="E3859" s="3" t="str">
        <f>VLOOKUP(B3859,LifeList!$E$2:$G$2038,2)</f>
        <v>Râle de Virginie</v>
      </c>
      <c r="F3859" s="3" t="str">
        <f>VLOOKUP(B3859,LifeList!$E$2:$G$2038,3)</f>
        <v>Rallus limicola</v>
      </c>
      <c r="G3859" s="3" t="str">
        <f>VLOOKUP(B3859,LifeList!$E$2:$I$2038,4)</f>
        <v>Gruiformes</v>
      </c>
      <c r="H3859" s="3" t="str">
        <f>VLOOKUP(B3859,LifeList!$E$2:$I$2038,5)</f>
        <v>Rallidae (Rails, Gallinules, and Coots)</v>
      </c>
      <c r="I3859" s="3"/>
    </row>
    <row r="3860" spans="1:9" ht="10.5" customHeight="1">
      <c r="A3860" s="3" t="s">
        <v>5359</v>
      </c>
      <c r="B3860" s="3" t="s">
        <v>5347</v>
      </c>
      <c r="C3860" s="3">
        <f>VLOOKUP(B3860,LifeList!$E$2:$J$2038,6)</f>
        <v>5297</v>
      </c>
      <c r="D3860" s="3" t="str">
        <f>VLOOKUP(B3860,LifeList!$E$2:$G$2038,1)</f>
        <v>Virginia Rail</v>
      </c>
      <c r="E3860" s="3" t="str">
        <f>VLOOKUP(B3860,LifeList!$E$2:$G$2038,2)</f>
        <v>Râle de Virginie</v>
      </c>
      <c r="F3860" s="3" t="str">
        <f>VLOOKUP(B3860,LifeList!$E$2:$G$2038,3)</f>
        <v>Rallus limicola</v>
      </c>
      <c r="G3860" s="3" t="str">
        <f>VLOOKUP(B3860,LifeList!$E$2:$I$2038,4)</f>
        <v>Gruiformes</v>
      </c>
      <c r="H3860" s="3" t="str">
        <f>VLOOKUP(B3860,LifeList!$E$2:$I$2038,5)</f>
        <v>Rallidae (Rails, Gallinules, and Coots)</v>
      </c>
      <c r="I3860" s="3"/>
    </row>
    <row r="3861" spans="1:9" ht="10.5" customHeight="1">
      <c r="A3861" s="3" t="s">
        <v>5360</v>
      </c>
      <c r="B3861" s="3" t="s">
        <v>5347</v>
      </c>
      <c r="C3861" s="3">
        <f>VLOOKUP(B3861,LifeList!$E$2:$J$2038,6)</f>
        <v>5297</v>
      </c>
      <c r="D3861" s="3" t="str">
        <f>VLOOKUP(B3861,LifeList!$E$2:$G$2038,1)</f>
        <v>Virginia Rail</v>
      </c>
      <c r="E3861" s="3" t="str">
        <f>VLOOKUP(B3861,LifeList!$E$2:$G$2038,2)</f>
        <v>Râle de Virginie</v>
      </c>
      <c r="F3861" s="3" t="str">
        <f>VLOOKUP(B3861,LifeList!$E$2:$G$2038,3)</f>
        <v>Rallus limicola</v>
      </c>
      <c r="G3861" s="3" t="str">
        <f>VLOOKUP(B3861,LifeList!$E$2:$I$2038,4)</f>
        <v>Gruiformes</v>
      </c>
      <c r="H3861" s="3" t="str">
        <f>VLOOKUP(B3861,LifeList!$E$2:$I$2038,5)</f>
        <v>Rallidae (Rails, Gallinules, and Coots)</v>
      </c>
      <c r="I3861" s="3"/>
    </row>
    <row r="3862" spans="1:9" ht="10.5" customHeight="1">
      <c r="A3862" s="3" t="s">
        <v>5361</v>
      </c>
      <c r="B3862" s="3" t="s">
        <v>5347</v>
      </c>
      <c r="C3862" s="3">
        <f>VLOOKUP(B3862,LifeList!$E$2:$J$2038,6)</f>
        <v>5297</v>
      </c>
      <c r="D3862" s="3" t="str">
        <f>VLOOKUP(B3862,LifeList!$E$2:$G$2038,1)</f>
        <v>Virginia Rail</v>
      </c>
      <c r="E3862" s="3" t="str">
        <f>VLOOKUP(B3862,LifeList!$E$2:$G$2038,2)</f>
        <v>Râle de Virginie</v>
      </c>
      <c r="F3862" s="3" t="str">
        <f>VLOOKUP(B3862,LifeList!$E$2:$G$2038,3)</f>
        <v>Rallus limicola</v>
      </c>
      <c r="G3862" s="3" t="str">
        <f>VLOOKUP(B3862,LifeList!$E$2:$I$2038,4)</f>
        <v>Gruiformes</v>
      </c>
      <c r="H3862" s="3" t="str">
        <f>VLOOKUP(B3862,LifeList!$E$2:$I$2038,5)</f>
        <v>Rallidae (Rails, Gallinules, and Coots)</v>
      </c>
      <c r="I3862" s="3"/>
    </row>
    <row r="3863" spans="1:9" ht="10.5" customHeight="1">
      <c r="A3863" s="3" t="s">
        <v>5362</v>
      </c>
      <c r="B3863" s="3" t="s">
        <v>5347</v>
      </c>
      <c r="C3863" s="3">
        <f>VLOOKUP(B3863,LifeList!$E$2:$J$2038,6)</f>
        <v>5297</v>
      </c>
      <c r="D3863" s="3" t="str">
        <f>VLOOKUP(B3863,LifeList!$E$2:$G$2038,1)</f>
        <v>Virginia Rail</v>
      </c>
      <c r="E3863" s="3" t="str">
        <f>VLOOKUP(B3863,LifeList!$E$2:$G$2038,2)</f>
        <v>Râle de Virginie</v>
      </c>
      <c r="F3863" s="3" t="str">
        <f>VLOOKUP(B3863,LifeList!$E$2:$G$2038,3)</f>
        <v>Rallus limicola</v>
      </c>
      <c r="G3863" s="3" t="str">
        <f>VLOOKUP(B3863,LifeList!$E$2:$I$2038,4)</f>
        <v>Gruiformes</v>
      </c>
      <c r="H3863" s="3" t="str">
        <f>VLOOKUP(B3863,LifeList!$E$2:$I$2038,5)</f>
        <v>Rallidae (Rails, Gallinules, and Coots)</v>
      </c>
      <c r="I3863" s="3"/>
    </row>
    <row r="3864" spans="1:9" ht="10.5" customHeight="1">
      <c r="A3864" s="3" t="s">
        <v>5363</v>
      </c>
      <c r="B3864" s="3" t="s">
        <v>5364</v>
      </c>
      <c r="C3864" s="3">
        <f>VLOOKUP(B3864,LifeList!$E$2:$J$2038,6)</f>
        <v>4552</v>
      </c>
      <c r="D3864" s="3" t="str">
        <f>VLOOKUP(B3864,LifeList!$E$2:$G$2038,1)</f>
        <v>Viridian Metaltail</v>
      </c>
      <c r="E3864" s="3" t="str">
        <f>VLOOKUP(B3864,LifeList!$E$2:$G$2038,2)</f>
        <v>Métallure verte</v>
      </c>
      <c r="F3864" s="3" t="str">
        <f>VLOOKUP(B3864,LifeList!$E$2:$G$2038,3)</f>
        <v>Metallura williami</v>
      </c>
      <c r="G3864" s="3" t="str">
        <f>VLOOKUP(B3864,LifeList!$E$2:$I$2038,4)</f>
        <v>Apodiformes</v>
      </c>
      <c r="H3864" s="3" t="str">
        <f>VLOOKUP(B3864,LifeList!$E$2:$I$2038,5)</f>
        <v>Trochilidae (Hummingbirds)</v>
      </c>
      <c r="I3864" s="3"/>
    </row>
    <row r="3865" spans="1:9" ht="10.5" customHeight="1">
      <c r="A3865" s="3" t="s">
        <v>5365</v>
      </c>
      <c r="B3865" s="3" t="s">
        <v>5366</v>
      </c>
      <c r="C3865" s="3">
        <f>VLOOKUP(B3865,LifeList!$E$2:$J$2038,6)</f>
        <v>4852</v>
      </c>
      <c r="D3865" s="3" t="str">
        <f>VLOOKUP(B3865,LifeList!$E$2:$G$2038,1)</f>
        <v>Volcano Hummingbird</v>
      </c>
      <c r="E3865" s="3" t="str">
        <f>VLOOKUP(B3865,LifeList!$E$2:$G$2038,2)</f>
        <v>Colibri flammule</v>
      </c>
      <c r="F3865" s="3" t="str">
        <f>VLOOKUP(B3865,LifeList!$E$2:$G$2038,3)</f>
        <v>Selasphorus flammula</v>
      </c>
      <c r="G3865" s="3" t="str">
        <f>VLOOKUP(B3865,LifeList!$E$2:$I$2038,4)</f>
        <v>Apodiformes</v>
      </c>
      <c r="H3865" s="3" t="str">
        <f>VLOOKUP(B3865,LifeList!$E$2:$I$2038,5)</f>
        <v>Trochilidae (Hummingbirds)</v>
      </c>
      <c r="I3865" s="3"/>
    </row>
    <row r="3866" spans="1:9" ht="10.5" customHeight="1">
      <c r="A3866" s="3" t="s">
        <v>5367</v>
      </c>
      <c r="B3866" s="3" t="s">
        <v>5366</v>
      </c>
      <c r="C3866" s="3">
        <f>VLOOKUP(B3866,LifeList!$E$2:$J$2038,6)</f>
        <v>4852</v>
      </c>
      <c r="D3866" s="3" t="str">
        <f>VLOOKUP(B3866,LifeList!$E$2:$G$2038,1)</f>
        <v>Volcano Hummingbird</v>
      </c>
      <c r="E3866" s="3" t="str">
        <f>VLOOKUP(B3866,LifeList!$E$2:$G$2038,2)</f>
        <v>Colibri flammule</v>
      </c>
      <c r="F3866" s="3" t="str">
        <f>VLOOKUP(B3866,LifeList!$E$2:$G$2038,3)</f>
        <v>Selasphorus flammula</v>
      </c>
      <c r="G3866" s="3" t="str">
        <f>VLOOKUP(B3866,LifeList!$E$2:$I$2038,4)</f>
        <v>Apodiformes</v>
      </c>
      <c r="H3866" s="3" t="str">
        <f>VLOOKUP(B3866,LifeList!$E$2:$I$2038,5)</f>
        <v>Trochilidae (Hummingbirds)</v>
      </c>
      <c r="I3866" s="3"/>
    </row>
    <row r="3867" spans="1:9" ht="10.5" customHeight="1">
      <c r="A3867" s="3" t="s">
        <v>5368</v>
      </c>
      <c r="B3867" s="3" t="s">
        <v>5366</v>
      </c>
      <c r="C3867" s="3">
        <f>VLOOKUP(B3867,LifeList!$E$2:$J$2038,6)</f>
        <v>4852</v>
      </c>
      <c r="D3867" s="3" t="str">
        <f>VLOOKUP(B3867,LifeList!$E$2:$G$2038,1)</f>
        <v>Volcano Hummingbird</v>
      </c>
      <c r="E3867" s="3" t="str">
        <f>VLOOKUP(B3867,LifeList!$E$2:$G$2038,2)</f>
        <v>Colibri flammule</v>
      </c>
      <c r="F3867" s="3" t="str">
        <f>VLOOKUP(B3867,LifeList!$E$2:$G$2038,3)</f>
        <v>Selasphorus flammula</v>
      </c>
      <c r="G3867" s="3" t="str">
        <f>VLOOKUP(B3867,LifeList!$E$2:$I$2038,4)</f>
        <v>Apodiformes</v>
      </c>
      <c r="H3867" s="3" t="str">
        <f>VLOOKUP(B3867,LifeList!$E$2:$I$2038,5)</f>
        <v>Trochilidae (Hummingbirds)</v>
      </c>
      <c r="I3867" s="3"/>
    </row>
    <row r="3868" spans="1:9" ht="10.5" customHeight="1">
      <c r="A3868" s="3" t="s">
        <v>5369</v>
      </c>
      <c r="B3868" s="3" t="s">
        <v>5370</v>
      </c>
      <c r="C3868" s="3">
        <f>VLOOKUP(B3868,LifeList!$E$2:$J$2038,6)</f>
        <v>33157</v>
      </c>
      <c r="D3868" s="3" t="str">
        <f>VLOOKUP(B3868,LifeList!$E$2:$G$2038,1)</f>
        <v>Volcano Junco</v>
      </c>
      <c r="E3868" s="3" t="str">
        <f>VLOOKUP(B3868,LifeList!$E$2:$G$2038,2)</f>
        <v>Junco des volcans</v>
      </c>
      <c r="F3868" s="3" t="str">
        <f>VLOOKUP(B3868,LifeList!$E$2:$G$2038,3)</f>
        <v>Junco vulcani</v>
      </c>
      <c r="G3868" s="3" t="str">
        <f>VLOOKUP(B3868,LifeList!$E$2:$I$2038,4)</f>
        <v>Passeriformes</v>
      </c>
      <c r="H3868" s="3" t="str">
        <f>VLOOKUP(B3868,LifeList!$E$2:$I$2038,5)</f>
        <v>Passerellidae (New World Sparrows)</v>
      </c>
      <c r="I3868" s="3"/>
    </row>
    <row r="3869" spans="1:9" ht="10.5" customHeight="1">
      <c r="A3869" s="3" t="s">
        <v>5371</v>
      </c>
      <c r="B3869" s="3" t="s">
        <v>5372</v>
      </c>
      <c r="C3869" s="3">
        <f>VLOOKUP(B3869,LifeList!$E$2:$J$2038,6)</f>
        <v>9676</v>
      </c>
      <c r="D3869" s="3" t="str">
        <f>VLOOKUP(B3869,LifeList!$E$2:$G$2038,1)</f>
        <v>Von der Decken's Hornbill</v>
      </c>
      <c r="E3869" s="3" t="str">
        <f>VLOOKUP(B3869,LifeList!$E$2:$G$2038,2)</f>
        <v>Calao de der Decken</v>
      </c>
      <c r="F3869" s="3" t="str">
        <f>VLOOKUP(B3869,LifeList!$E$2:$G$2038,3)</f>
        <v>Tockus deckeni</v>
      </c>
      <c r="G3869" s="3" t="str">
        <f>VLOOKUP(B3869,LifeList!$E$2:$I$2038,4)</f>
        <v>Bucerotiformes</v>
      </c>
      <c r="H3869" s="3" t="str">
        <f>VLOOKUP(B3869,LifeList!$E$2:$I$2038,5)</f>
        <v>Bucerotidae (Hornbills)</v>
      </c>
      <c r="I3869" s="3"/>
    </row>
    <row r="3870" spans="1:9" ht="10.5" customHeight="1">
      <c r="A3870" s="5" t="s">
        <v>5373</v>
      </c>
      <c r="B3870" s="3" t="s">
        <v>5374</v>
      </c>
      <c r="C3870" s="6">
        <f>VLOOKUP(B3870,LifeList!$E$2:$J$2038,6)</f>
        <v>8044</v>
      </c>
      <c r="D3870" s="3" t="str">
        <f>VLOOKUP(B3870,LifeList!$E$2:$G$2038,1)</f>
        <v>Wahlberg's Eagle</v>
      </c>
      <c r="E3870" s="3" t="str">
        <f>VLOOKUP(B3870,LifeList!$E$2:$G$2038,2)</f>
        <v>Aigle de Wahlberg</v>
      </c>
      <c r="F3870" s="3" t="str">
        <f>VLOOKUP(B3870,LifeList!$E$2:$G$2038,3)</f>
        <v>Hieraaetus wahlbergi</v>
      </c>
      <c r="G3870" s="3" t="str">
        <f>VLOOKUP(B3870,LifeList!$E$2:$I$2038,4)</f>
        <v>Accipitriformes</v>
      </c>
      <c r="H3870" s="3" t="str">
        <f>VLOOKUP(B3870,LifeList!$E$2:$I$2038,5)</f>
        <v>Accipitridae (Hawks, Eagles, and Kites)</v>
      </c>
      <c r="I3870" s="3"/>
    </row>
    <row r="3871" spans="1:9" ht="10.5" customHeight="1">
      <c r="A3871" s="3" t="s">
        <v>5375</v>
      </c>
      <c r="B3871" s="3" t="s">
        <v>5374</v>
      </c>
      <c r="C3871" s="3">
        <f>VLOOKUP(B3871,LifeList!$E$2:$J$2038,6)</f>
        <v>8044</v>
      </c>
      <c r="D3871" s="3" t="str">
        <f>VLOOKUP(B3871,LifeList!$E$2:$G$2038,1)</f>
        <v>Wahlberg's Eagle</v>
      </c>
      <c r="E3871" s="3" t="str">
        <f>VLOOKUP(B3871,LifeList!$E$2:$G$2038,2)</f>
        <v>Aigle de Wahlberg</v>
      </c>
      <c r="F3871" s="3" t="str">
        <f>VLOOKUP(B3871,LifeList!$E$2:$G$2038,3)</f>
        <v>Hieraaetus wahlbergi</v>
      </c>
      <c r="G3871" s="3" t="str">
        <f>VLOOKUP(B3871,LifeList!$E$2:$I$2038,4)</f>
        <v>Accipitriformes</v>
      </c>
      <c r="H3871" s="3" t="str">
        <f>VLOOKUP(B3871,LifeList!$E$2:$I$2038,5)</f>
        <v>Accipitridae (Hawks, Eagles, and Kites)</v>
      </c>
      <c r="I3871" s="3"/>
    </row>
    <row r="3872" spans="1:9" ht="10.5" customHeight="1">
      <c r="A3872" s="3" t="s">
        <v>5376</v>
      </c>
      <c r="B3872" s="3" t="s">
        <v>5377</v>
      </c>
      <c r="C3872" s="3">
        <f>VLOOKUP(B3872,LifeList!$E$2:$J$2038,6)</f>
        <v>6134</v>
      </c>
      <c r="D3872" s="3" t="str">
        <f>VLOOKUP(B3872,LifeList!$E$2:$G$2038,1)</f>
        <v>Wandering Tattler</v>
      </c>
      <c r="E3872" s="3" t="str">
        <f>VLOOKUP(B3872,LifeList!$E$2:$G$2038,2)</f>
        <v>Chevalier errant</v>
      </c>
      <c r="F3872" s="3" t="str">
        <f>VLOOKUP(B3872,LifeList!$E$2:$G$2038,3)</f>
        <v>Tringa incana</v>
      </c>
      <c r="G3872" s="3" t="str">
        <f>VLOOKUP(B3872,LifeList!$E$2:$I$2038,4)</f>
        <v>Charadriiformes</v>
      </c>
      <c r="H3872" s="3" t="str">
        <f>VLOOKUP(B3872,LifeList!$E$2:$I$2038,5)</f>
        <v>Scolopacidae (Sandpipers and Allies)</v>
      </c>
      <c r="I3872" s="3"/>
    </row>
    <row r="3873" spans="1:9" ht="10.5" customHeight="1">
      <c r="A3873" s="3" t="s">
        <v>5378</v>
      </c>
      <c r="B3873" s="5" t="s">
        <v>1703</v>
      </c>
      <c r="C3873" s="3">
        <f>VLOOKUP(B3873,LifeList!$E$2:$J$2038,6)</f>
        <v>19245</v>
      </c>
      <c r="D3873" s="3" t="str">
        <f>VLOOKUP(B3873,LifeList!$E$2:$G$2038,1)</f>
        <v>Eastern Warbling Vireo</v>
      </c>
      <c r="E3873" s="3" t="str">
        <f>VLOOKUP(B3873,LifeList!$E$2:$G$2038,2)</f>
        <v>Viréo mélodieux</v>
      </c>
      <c r="F3873" s="3" t="str">
        <f>VLOOKUP(B3873,LifeList!$E$2:$G$2038,3)</f>
        <v>Vireo gilvus</v>
      </c>
      <c r="G3873" s="3" t="str">
        <f>VLOOKUP(B3873,LifeList!$E$2:$I$2038,4)</f>
        <v>Passeriformes</v>
      </c>
      <c r="H3873" s="3" t="str">
        <f>VLOOKUP(B3873,LifeList!$E$2:$I$2038,5)</f>
        <v>Vireonidae (Vireos, Shrike-Babblers, and Erpornis)</v>
      </c>
      <c r="I3873" s="3"/>
    </row>
    <row r="3874" spans="1:9" ht="10.5" customHeight="1">
      <c r="A3874" s="3" t="s">
        <v>5379</v>
      </c>
      <c r="B3874" s="3" t="s">
        <v>5380</v>
      </c>
      <c r="C3874" s="3">
        <f>VLOOKUP(B3874,LifeList!$E$2:$J$2038,6)</f>
        <v>25630</v>
      </c>
      <c r="D3874" s="3" t="str">
        <f>VLOOKUP(B3874,LifeList!$E$2:$G$2038,1)</f>
        <v>Warbling White-eye</v>
      </c>
      <c r="E3874" s="3" t="str">
        <f>VLOOKUP(B3874,LifeList!$E$2:$G$2038,2)</f>
        <v>Zostérops du Japon</v>
      </c>
      <c r="F3874" s="3" t="str">
        <f>VLOOKUP(B3874,LifeList!$E$2:$G$2038,3)</f>
        <v>Zosterops japonicus</v>
      </c>
      <c r="G3874" s="3" t="str">
        <f>VLOOKUP(B3874,LifeList!$E$2:$I$2038,4)</f>
        <v>Passeriformes</v>
      </c>
      <c r="H3874" s="3" t="str">
        <f>VLOOKUP(B3874,LifeList!$E$2:$I$2038,5)</f>
        <v>Zosteropidae (White-eyes, Yuhinas, and Allies)</v>
      </c>
      <c r="I3874" s="3"/>
    </row>
    <row r="3875" spans="1:9" ht="10.5" customHeight="1">
      <c r="A3875" s="3" t="s">
        <v>5381</v>
      </c>
      <c r="B3875" s="3" t="s">
        <v>5382</v>
      </c>
      <c r="C3875" s="3">
        <f>VLOOKUP(B3875,LifeList!$E$2:$J$2038,6)</f>
        <v>5747</v>
      </c>
      <c r="D3875" s="3" t="str">
        <f>VLOOKUP(B3875,LifeList!$E$2:$G$2038,1)</f>
        <v>Water Thick-knee</v>
      </c>
      <c r="E3875" s="3" t="str">
        <f>VLOOKUP(B3875,LifeList!$E$2:$G$2038,2)</f>
        <v>Oedicnème vermiculé</v>
      </c>
      <c r="F3875" s="3" t="str">
        <f>VLOOKUP(B3875,LifeList!$E$2:$G$2038,3)</f>
        <v>Burhinus vermiculatus</v>
      </c>
      <c r="G3875" s="3" t="str">
        <f>VLOOKUP(B3875,LifeList!$E$2:$I$2038,4)</f>
        <v>Charadriiformes</v>
      </c>
      <c r="H3875" s="3" t="str">
        <f>VLOOKUP(B3875,LifeList!$E$2:$I$2038,5)</f>
        <v>Burhinidae (Thick-knees)</v>
      </c>
      <c r="I3875" s="3"/>
    </row>
    <row r="3876" spans="1:9" ht="10.5" customHeight="1">
      <c r="A3876" s="5" t="s">
        <v>5383</v>
      </c>
      <c r="B3876" s="3" t="s">
        <v>5384</v>
      </c>
      <c r="C3876" s="6">
        <f>VLOOKUP(B3876,LifeList!$E$2:$J$2038,6)</f>
        <v>5876</v>
      </c>
      <c r="D3876" s="3" t="str">
        <f>VLOOKUP(B3876,LifeList!$E$2:$G$2038,1)</f>
        <v>Wattled Lapwing</v>
      </c>
      <c r="E3876" s="3" t="str">
        <f>VLOOKUP(B3876,LifeList!$E$2:$G$2038,2)</f>
        <v>Vanneau du Sénégal</v>
      </c>
      <c r="F3876" s="3" t="str">
        <f>VLOOKUP(B3876,LifeList!$E$2:$G$2038,3)</f>
        <v>Vanellus senegallus</v>
      </c>
      <c r="G3876" s="3" t="str">
        <f>VLOOKUP(B3876,LifeList!$E$2:$I$2038,4)</f>
        <v>Charadriiformes</v>
      </c>
      <c r="H3876" s="3" t="str">
        <f>VLOOKUP(B3876,LifeList!$E$2:$I$2038,5)</f>
        <v>Charadriidae (Plovers and Lapwings)</v>
      </c>
      <c r="I3876" s="3"/>
    </row>
    <row r="3877" spans="1:9" ht="10.5" customHeight="1">
      <c r="A3877" s="3" t="s">
        <v>5385</v>
      </c>
      <c r="B3877" s="3" t="s">
        <v>5386</v>
      </c>
      <c r="C3877" s="3">
        <f>VLOOKUP(B3877,LifeList!$E$2:$J$2038,6)</f>
        <v>5712</v>
      </c>
      <c r="D3877" s="3" t="str">
        <f>VLOOKUP(B3877,LifeList!$E$2:$G$2038,1)</f>
        <v>Wattled Crane</v>
      </c>
      <c r="E3877" s="3" t="str">
        <f>VLOOKUP(B3877,LifeList!$E$2:$G$2038,2)</f>
        <v>Grue caronculée</v>
      </c>
      <c r="F3877" s="3" t="str">
        <f>VLOOKUP(B3877,LifeList!$E$2:$G$2038,3)</f>
        <v>Grus carunculatus</v>
      </c>
      <c r="G3877" s="3" t="str">
        <f>VLOOKUP(B3877,LifeList!$E$2:$I$2038,4)</f>
        <v>Gruiformes</v>
      </c>
      <c r="H3877" s="3" t="str">
        <f>VLOOKUP(B3877,LifeList!$E$2:$I$2038,5)</f>
        <v>Gruidae (Cranes)</v>
      </c>
      <c r="I3877" s="3"/>
    </row>
    <row r="3878" spans="1:9" ht="10.5" customHeight="1">
      <c r="A3878" s="3" t="s">
        <v>5387</v>
      </c>
      <c r="B3878" s="3" t="s">
        <v>5388</v>
      </c>
      <c r="C3878" s="3">
        <f>VLOOKUP(B3878,LifeList!$E$2:$J$2038,6)</f>
        <v>5989</v>
      </c>
      <c r="D3878" s="3" t="str">
        <f>VLOOKUP(B3878,LifeList!$E$2:$G$2038,1)</f>
        <v>Wattled Jacana</v>
      </c>
      <c r="E3878" s="3" t="str">
        <f>VLOOKUP(B3878,LifeList!$E$2:$G$2038,2)</f>
        <v>Jacana noir</v>
      </c>
      <c r="F3878" s="3" t="str">
        <f>VLOOKUP(B3878,LifeList!$E$2:$G$2038,3)</f>
        <v>Jacana jacana</v>
      </c>
      <c r="G3878" s="3" t="str">
        <f>VLOOKUP(B3878,LifeList!$E$2:$I$2038,4)</f>
        <v>Charadriiformes</v>
      </c>
      <c r="H3878" s="3" t="str">
        <f>VLOOKUP(B3878,LifeList!$E$2:$I$2038,5)</f>
        <v>Jacanidae (Jacanas)</v>
      </c>
      <c r="I3878" s="3"/>
    </row>
    <row r="3879" spans="1:9" ht="10.5" customHeight="1">
      <c r="A3879" s="3" t="s">
        <v>5389</v>
      </c>
      <c r="B3879" s="3" t="s">
        <v>5388</v>
      </c>
      <c r="C3879" s="3">
        <f>VLOOKUP(B3879,LifeList!$E$2:$J$2038,6)</f>
        <v>5989</v>
      </c>
      <c r="D3879" s="3" t="str">
        <f>VLOOKUP(B3879,LifeList!$E$2:$G$2038,1)</f>
        <v>Wattled Jacana</v>
      </c>
      <c r="E3879" s="3" t="str">
        <f>VLOOKUP(B3879,LifeList!$E$2:$G$2038,2)</f>
        <v>Jacana noir</v>
      </c>
      <c r="F3879" s="3" t="str">
        <f>VLOOKUP(B3879,LifeList!$E$2:$G$2038,3)</f>
        <v>Jacana jacana</v>
      </c>
      <c r="G3879" s="3" t="str">
        <f>VLOOKUP(B3879,LifeList!$E$2:$I$2038,4)</f>
        <v>Charadriiformes</v>
      </c>
      <c r="H3879" s="3" t="str">
        <f>VLOOKUP(B3879,LifeList!$E$2:$I$2038,5)</f>
        <v>Jacanidae (Jacanas)</v>
      </c>
      <c r="I3879" s="3"/>
    </row>
    <row r="3880" spans="1:9" ht="10.5" customHeight="1">
      <c r="A3880" s="3" t="s">
        <v>5390</v>
      </c>
      <c r="B3880" s="3" t="s">
        <v>5388</v>
      </c>
      <c r="C3880" s="3">
        <f>VLOOKUP(B3880,LifeList!$E$2:$J$2038,6)</f>
        <v>5989</v>
      </c>
      <c r="D3880" s="3" t="str">
        <f>VLOOKUP(B3880,LifeList!$E$2:$G$2038,1)</f>
        <v>Wattled Jacana</v>
      </c>
      <c r="E3880" s="3" t="str">
        <f>VLOOKUP(B3880,LifeList!$E$2:$G$2038,2)</f>
        <v>Jacana noir</v>
      </c>
      <c r="F3880" s="3" t="str">
        <f>VLOOKUP(B3880,LifeList!$E$2:$G$2038,3)</f>
        <v>Jacana jacana</v>
      </c>
      <c r="G3880" s="3" t="str">
        <f>VLOOKUP(B3880,LifeList!$E$2:$I$2038,4)</f>
        <v>Charadriiformes</v>
      </c>
      <c r="H3880" s="3" t="str">
        <f>VLOOKUP(B3880,LifeList!$E$2:$I$2038,5)</f>
        <v>Jacanidae (Jacanas)</v>
      </c>
      <c r="I3880" s="3"/>
    </row>
    <row r="3881" spans="1:9" ht="10.5" customHeight="1">
      <c r="A3881" s="3" t="s">
        <v>5391</v>
      </c>
      <c r="B3881" s="3" t="s">
        <v>5388</v>
      </c>
      <c r="C3881" s="3">
        <f>VLOOKUP(B3881,LifeList!$E$2:$J$2038,6)</f>
        <v>5989</v>
      </c>
      <c r="D3881" s="3" t="str">
        <f>VLOOKUP(B3881,LifeList!$E$2:$G$2038,1)</f>
        <v>Wattled Jacana</v>
      </c>
      <c r="E3881" s="3" t="str">
        <f>VLOOKUP(B3881,LifeList!$E$2:$G$2038,2)</f>
        <v>Jacana noir</v>
      </c>
      <c r="F3881" s="3" t="str">
        <f>VLOOKUP(B3881,LifeList!$E$2:$G$2038,3)</f>
        <v>Jacana jacana</v>
      </c>
      <c r="G3881" s="3" t="str">
        <f>VLOOKUP(B3881,LifeList!$E$2:$I$2038,4)</f>
        <v>Charadriiformes</v>
      </c>
      <c r="H3881" s="3" t="str">
        <f>VLOOKUP(B3881,LifeList!$E$2:$I$2038,5)</f>
        <v>Jacanidae (Jacanas)</v>
      </c>
      <c r="I3881" s="3"/>
    </row>
    <row r="3882" spans="1:9" ht="10.5" customHeight="1">
      <c r="A3882" s="3" t="s">
        <v>5392</v>
      </c>
      <c r="B3882" s="3" t="s">
        <v>5388</v>
      </c>
      <c r="C3882" s="3">
        <f>VLOOKUP(B3882,LifeList!$E$2:$J$2038,6)</f>
        <v>5989</v>
      </c>
      <c r="D3882" s="3" t="str">
        <f>VLOOKUP(B3882,LifeList!$E$2:$G$2038,1)</f>
        <v>Wattled Jacana</v>
      </c>
      <c r="E3882" s="3" t="str">
        <f>VLOOKUP(B3882,LifeList!$E$2:$G$2038,2)</f>
        <v>Jacana noir</v>
      </c>
      <c r="F3882" s="3" t="str">
        <f>VLOOKUP(B3882,LifeList!$E$2:$G$2038,3)</f>
        <v>Jacana jacana</v>
      </c>
      <c r="G3882" s="3" t="str">
        <f>VLOOKUP(B3882,LifeList!$E$2:$I$2038,4)</f>
        <v>Charadriiformes</v>
      </c>
      <c r="H3882" s="3" t="str">
        <f>VLOOKUP(B3882,LifeList!$E$2:$I$2038,5)</f>
        <v>Jacanidae (Jacanas)</v>
      </c>
      <c r="I3882" s="3"/>
    </row>
    <row r="3883" spans="1:9" ht="10.5" customHeight="1">
      <c r="A3883" s="3" t="s">
        <v>5393</v>
      </c>
      <c r="B3883" s="3" t="s">
        <v>5388</v>
      </c>
      <c r="C3883" s="3">
        <f>VLOOKUP(B3883,LifeList!$E$2:$J$2038,6)</f>
        <v>5989</v>
      </c>
      <c r="D3883" s="3" t="str">
        <f>VLOOKUP(B3883,LifeList!$E$2:$G$2038,1)</f>
        <v>Wattled Jacana</v>
      </c>
      <c r="E3883" s="3" t="str">
        <f>VLOOKUP(B3883,LifeList!$E$2:$G$2038,2)</f>
        <v>Jacana noir</v>
      </c>
      <c r="F3883" s="3" t="str">
        <f>VLOOKUP(B3883,LifeList!$E$2:$G$2038,3)</f>
        <v>Jacana jacana</v>
      </c>
      <c r="G3883" s="3" t="str">
        <f>VLOOKUP(B3883,LifeList!$E$2:$I$2038,4)</f>
        <v>Charadriiformes</v>
      </c>
      <c r="H3883" s="3" t="str">
        <f>VLOOKUP(B3883,LifeList!$E$2:$I$2038,5)</f>
        <v>Jacanidae (Jacanas)</v>
      </c>
      <c r="I3883" s="3"/>
    </row>
    <row r="3884" spans="1:9" ht="10.5" customHeight="1">
      <c r="A3884" s="3" t="s">
        <v>5394</v>
      </c>
      <c r="B3884" s="3" t="s">
        <v>5388</v>
      </c>
      <c r="C3884" s="3">
        <f>VLOOKUP(B3884,LifeList!$E$2:$J$2038,6)</f>
        <v>5989</v>
      </c>
      <c r="D3884" s="3" t="str">
        <f>VLOOKUP(B3884,LifeList!$E$2:$G$2038,1)</f>
        <v>Wattled Jacana</v>
      </c>
      <c r="E3884" s="3" t="str">
        <f>VLOOKUP(B3884,LifeList!$E$2:$G$2038,2)</f>
        <v>Jacana noir</v>
      </c>
      <c r="F3884" s="3" t="str">
        <f>VLOOKUP(B3884,LifeList!$E$2:$G$2038,3)</f>
        <v>Jacana jacana</v>
      </c>
      <c r="G3884" s="3" t="str">
        <f>VLOOKUP(B3884,LifeList!$E$2:$I$2038,4)</f>
        <v>Charadriiformes</v>
      </c>
      <c r="H3884" s="3" t="str">
        <f>VLOOKUP(B3884,LifeList!$E$2:$I$2038,5)</f>
        <v>Jacanidae (Jacanas)</v>
      </c>
      <c r="I3884" s="3"/>
    </row>
    <row r="3885" spans="1:9" ht="10.5" customHeight="1">
      <c r="A3885" s="3" t="s">
        <v>5395</v>
      </c>
      <c r="B3885" s="3" t="s">
        <v>5388</v>
      </c>
      <c r="C3885" s="3">
        <f>VLOOKUP(B3885,LifeList!$E$2:$J$2038,6)</f>
        <v>5989</v>
      </c>
      <c r="D3885" s="3" t="str">
        <f>VLOOKUP(B3885,LifeList!$E$2:$G$2038,1)</f>
        <v>Wattled Jacana</v>
      </c>
      <c r="E3885" s="3" t="str">
        <f>VLOOKUP(B3885,LifeList!$E$2:$G$2038,2)</f>
        <v>Jacana noir</v>
      </c>
      <c r="F3885" s="3" t="str">
        <f>VLOOKUP(B3885,LifeList!$E$2:$G$2038,3)</f>
        <v>Jacana jacana</v>
      </c>
      <c r="G3885" s="3" t="str">
        <f>VLOOKUP(B3885,LifeList!$E$2:$I$2038,4)</f>
        <v>Charadriiformes</v>
      </c>
      <c r="H3885" s="3" t="str">
        <f>VLOOKUP(B3885,LifeList!$E$2:$I$2038,5)</f>
        <v>Jacanidae (Jacanas)</v>
      </c>
      <c r="I3885" s="3"/>
    </row>
    <row r="3886" spans="1:9" ht="10.5" customHeight="1">
      <c r="A3886" s="3" t="s">
        <v>5396</v>
      </c>
      <c r="B3886" s="3" t="s">
        <v>5397</v>
      </c>
      <c r="C3886" s="3">
        <f>VLOOKUP(B3886,LifeList!$E$2:$J$2038,6)</f>
        <v>5876</v>
      </c>
      <c r="D3886" s="3" t="str">
        <f>VLOOKUP(B3886,LifeList!$E$2:$G$2038,1)</f>
        <v>Wattled Lapwing</v>
      </c>
      <c r="E3886" s="3" t="str">
        <f>VLOOKUP(B3886,LifeList!$E$2:$G$2038,2)</f>
        <v>Vanneau du Sénégal</v>
      </c>
      <c r="F3886" s="3" t="str">
        <f>VLOOKUP(B3886,LifeList!$E$2:$G$2038,3)</f>
        <v>Vanellus senegallus</v>
      </c>
      <c r="G3886" s="3" t="str">
        <f>VLOOKUP(B3886,LifeList!$E$2:$I$2038,4)</f>
        <v>Charadriiformes</v>
      </c>
      <c r="H3886" s="3" t="str">
        <f>VLOOKUP(B3886,LifeList!$E$2:$I$2038,5)</f>
        <v>Charadriidae (Plovers and Lapwings)</v>
      </c>
      <c r="I3886" s="3"/>
    </row>
    <row r="3887" spans="1:9" ht="10.5" customHeight="1">
      <c r="A3887" s="3" t="s">
        <v>5398</v>
      </c>
      <c r="B3887" s="3" t="s">
        <v>5399</v>
      </c>
      <c r="C3887" s="3">
        <f>VLOOKUP(B3887,LifeList!$E$2:$J$2038,6)</f>
        <v>27828</v>
      </c>
      <c r="D3887" s="3" t="str">
        <f>VLOOKUP(B3887,LifeList!$E$2:$G$2038,1)</f>
        <v>Wattled Starling</v>
      </c>
      <c r="E3887" s="3" t="str">
        <f>VLOOKUP(B3887,LifeList!$E$2:$G$2038,2)</f>
        <v>Étourneau caronculé</v>
      </c>
      <c r="F3887" s="3" t="str">
        <f>VLOOKUP(B3887,LifeList!$E$2:$G$2038,3)</f>
        <v>Creatophora cinerea</v>
      </c>
      <c r="G3887" s="3" t="str">
        <f>VLOOKUP(B3887,LifeList!$E$2:$I$2038,4)</f>
        <v>Passeriformes</v>
      </c>
      <c r="H3887" s="3" t="str">
        <f>VLOOKUP(B3887,LifeList!$E$2:$I$2038,5)</f>
        <v>Sturnidae (Starlings)</v>
      </c>
      <c r="I3887" s="3"/>
    </row>
    <row r="3888" spans="1:9" ht="10.5" customHeight="1">
      <c r="A3888" s="3" t="s">
        <v>5400</v>
      </c>
      <c r="B3888" s="3" t="s">
        <v>5401</v>
      </c>
      <c r="C3888" s="3">
        <f>VLOOKUP(B3888,LifeList!$E$2:$J$2038,6)</f>
        <v>6986</v>
      </c>
      <c r="D3888" s="3" t="str">
        <f>VLOOKUP(B3888,LifeList!$E$2:$G$2038,1)</f>
        <v>Waved Albatross</v>
      </c>
      <c r="E3888" s="3" t="str">
        <f>VLOOKUP(B3888,LifeList!$E$2:$G$2038,2)</f>
        <v>Albatros des Galapagos</v>
      </c>
      <c r="F3888" s="3" t="str">
        <f>VLOOKUP(B3888,LifeList!$E$2:$G$2038,3)</f>
        <v>Phoebastria irrorata</v>
      </c>
      <c r="G3888" s="3" t="str">
        <f>VLOOKUP(B3888,LifeList!$E$2:$I$2038,4)</f>
        <v>Procellariiformes</v>
      </c>
      <c r="H3888" s="3" t="str">
        <f>VLOOKUP(B3888,LifeList!$E$2:$I$2038,5)</f>
        <v>Diomedeidae (Albatrosses)</v>
      </c>
      <c r="I3888" s="3"/>
    </row>
    <row r="3889" spans="1:9" ht="10.5" customHeight="1">
      <c r="A3889" s="3" t="s">
        <v>5402</v>
      </c>
      <c r="B3889" s="3" t="s">
        <v>5403</v>
      </c>
      <c r="C3889" s="3">
        <f>VLOOKUP(B3889,LifeList!$E$2:$J$2038,6)</f>
        <v>8061</v>
      </c>
      <c r="D3889" s="3" t="str">
        <f>VLOOKUP(B3889,LifeList!$E$2:$G$2038,1)</f>
        <v>Wedge-tailed Eagle</v>
      </c>
      <c r="E3889" s="3" t="str">
        <f>VLOOKUP(B3889,LifeList!$E$2:$G$2038,2)</f>
        <v>Aigle d'Australie</v>
      </c>
      <c r="F3889" s="3" t="str">
        <f>VLOOKUP(B3889,LifeList!$E$2:$G$2038,3)</f>
        <v>Aquila audax</v>
      </c>
      <c r="G3889" s="3" t="str">
        <f>VLOOKUP(B3889,LifeList!$E$2:$I$2038,4)</f>
        <v>Accipitriformes</v>
      </c>
      <c r="H3889" s="3" t="str">
        <f>VLOOKUP(B3889,LifeList!$E$2:$I$2038,5)</f>
        <v>Accipitridae (Hawks, Eagles, and Kites)</v>
      </c>
      <c r="I3889" s="3"/>
    </row>
    <row r="3890" spans="1:9" ht="10.5" customHeight="1">
      <c r="A3890" s="5" t="s">
        <v>5404</v>
      </c>
      <c r="B3890" s="3" t="s">
        <v>5405</v>
      </c>
      <c r="C3890" s="3">
        <f>VLOOKUP(B3890,LifeList!$E$2:$J$2038,6)</f>
        <v>18281</v>
      </c>
      <c r="D3890" s="3" t="str">
        <f>VLOOKUP(B3890,LifeList!$E$2:$G$2038,1)</f>
        <v>Weebill</v>
      </c>
      <c r="E3890" s="3" t="str">
        <f>VLOOKUP(B3890,LifeList!$E$2:$G$2038,2)</f>
        <v>Séricorne à bec court</v>
      </c>
      <c r="F3890" s="3" t="str">
        <f>VLOOKUP(B3890,LifeList!$E$2:$G$2038,3)</f>
        <v>Smicrornis brevirostris</v>
      </c>
      <c r="G3890" s="3" t="str">
        <f>VLOOKUP(B3890,LifeList!$E$2:$I$2038,4)</f>
        <v>Passeriformes</v>
      </c>
      <c r="H3890" s="3" t="str">
        <f>VLOOKUP(B3890,LifeList!$E$2:$I$2038,5)</f>
        <v>Acanthizidae (Thornbills and Allies)</v>
      </c>
      <c r="I3890" s="3"/>
    </row>
    <row r="3891" spans="1:9" ht="10.5" customHeight="1">
      <c r="A3891" s="3" t="s">
        <v>5406</v>
      </c>
      <c r="B3891" s="3" t="s">
        <v>5407</v>
      </c>
      <c r="C3891" s="3">
        <f>VLOOKUP(B3891,LifeList!$E$2:$J$2038,6)</f>
        <v>24184</v>
      </c>
      <c r="D3891" s="3" t="str">
        <f>VLOOKUP(B3891,LifeList!$E$2:$G$2038,1)</f>
        <v>Welcome Swallow</v>
      </c>
      <c r="E3891" s="3" t="str">
        <f>VLOOKUP(B3891,LifeList!$E$2:$G$2038,2)</f>
        <v>Hirondelle messagère</v>
      </c>
      <c r="F3891" s="3" t="str">
        <f>VLOOKUP(B3891,LifeList!$E$2:$G$2038,3)</f>
        <v>Hirundo neoxena</v>
      </c>
      <c r="G3891" s="3" t="str">
        <f>VLOOKUP(B3891,LifeList!$E$2:$I$2038,4)</f>
        <v>Passeriformes</v>
      </c>
      <c r="H3891" s="3" t="str">
        <f>VLOOKUP(B3891,LifeList!$E$2:$I$2038,5)</f>
        <v>Hirundinidae (Swallows)</v>
      </c>
      <c r="I3891" s="3"/>
    </row>
    <row r="3892" spans="1:9" ht="10.5" customHeight="1">
      <c r="A3892" s="3" t="s">
        <v>5408</v>
      </c>
      <c r="B3892" s="3" t="s">
        <v>5407</v>
      </c>
      <c r="C3892" s="3">
        <f>VLOOKUP(B3892,LifeList!$E$2:$J$2038,6)</f>
        <v>24184</v>
      </c>
      <c r="D3892" s="3" t="str">
        <f>VLOOKUP(B3892,LifeList!$E$2:$G$2038,1)</f>
        <v>Welcome Swallow</v>
      </c>
      <c r="E3892" s="3" t="str">
        <f>VLOOKUP(B3892,LifeList!$E$2:$G$2038,2)</f>
        <v>Hirondelle messagère</v>
      </c>
      <c r="F3892" s="3" t="str">
        <f>VLOOKUP(B3892,LifeList!$E$2:$G$2038,3)</f>
        <v>Hirundo neoxena</v>
      </c>
      <c r="G3892" s="3" t="str">
        <f>VLOOKUP(B3892,LifeList!$E$2:$I$2038,4)</f>
        <v>Passeriformes</v>
      </c>
      <c r="H3892" s="3" t="str">
        <f>VLOOKUP(B3892,LifeList!$E$2:$I$2038,5)</f>
        <v>Hirundinidae (Swallows)</v>
      </c>
      <c r="I3892" s="3"/>
    </row>
    <row r="3893" spans="1:9" ht="10.5" customHeight="1">
      <c r="A3893" s="5" t="s">
        <v>5409</v>
      </c>
      <c r="B3893" s="3" t="s">
        <v>5410</v>
      </c>
      <c r="C3893" s="3">
        <f>VLOOKUP(B3893,LifeList!$E$2:$J$2038,6)</f>
        <v>28136</v>
      </c>
      <c r="D3893" s="3" t="str">
        <f>VLOOKUP(B3893,LifeList!$E$2:$G$2038,1)</f>
        <v>Western Bluebird</v>
      </c>
      <c r="E3893" s="3" t="str">
        <f>VLOOKUP(B3893,LifeList!$E$2:$G$2038,2)</f>
        <v>Merlebleu de l'Ouest</v>
      </c>
      <c r="F3893" s="3" t="str">
        <f>VLOOKUP(B3893,LifeList!$E$2:$G$2038,3)</f>
        <v>Sialia mexicana</v>
      </c>
      <c r="G3893" s="3" t="str">
        <f>VLOOKUP(B3893,LifeList!$E$2:$I$2038,4)</f>
        <v>Passeriformes</v>
      </c>
      <c r="H3893" s="3" t="str">
        <f>VLOOKUP(B3893,LifeList!$E$2:$I$2038,5)</f>
        <v>Turdidae (Thrushes and Allies)</v>
      </c>
      <c r="I3893" s="3"/>
    </row>
    <row r="3894" spans="1:9" ht="10.5" customHeight="1">
      <c r="A3894" s="5" t="s">
        <v>5411</v>
      </c>
      <c r="B3894" s="3" t="s">
        <v>5412</v>
      </c>
      <c r="C3894" s="3">
        <f>VLOOKUP(B3894,LifeList!$E$2:$J$2038,6)</f>
        <v>6888</v>
      </c>
      <c r="D3894" s="3" t="str">
        <f>VLOOKUP(B3894,LifeList!$E$2:$G$2038,1)</f>
        <v>Western Grebe</v>
      </c>
      <c r="E3894" s="3" t="str">
        <f>VLOOKUP(B3894,LifeList!$E$2:$G$2038,2)</f>
        <v>Grèbe élégant</v>
      </c>
      <c r="F3894" s="3" t="str">
        <f>VLOOKUP(B3894,LifeList!$E$2:$G$2038,3)</f>
        <v>Aechmophorus occidentalis</v>
      </c>
      <c r="G3894" s="3" t="str">
        <f>VLOOKUP(B3894,LifeList!$E$2:$I$2038,4)</f>
        <v>Podicipediformes</v>
      </c>
      <c r="H3894" s="3" t="str">
        <f>VLOOKUP(B3894,LifeList!$E$2:$I$2038,5)</f>
        <v>Podicipedidae (Grebes)</v>
      </c>
      <c r="I3894" s="3"/>
    </row>
    <row r="3895" spans="1:9" ht="10.5" customHeight="1">
      <c r="A3895" s="5" t="s">
        <v>5413</v>
      </c>
      <c r="B3895" s="3" t="s">
        <v>5414</v>
      </c>
      <c r="C3895" s="3">
        <f>VLOOKUP(B3895,LifeList!$E$2:$J$2038,6)</f>
        <v>33565</v>
      </c>
      <c r="D3895" s="3" t="str">
        <f>VLOOKUP(B3895,LifeList!$E$2:$G$2038,1)</f>
        <v>Western Meadowlark</v>
      </c>
      <c r="E3895" s="3" t="str">
        <f>VLOOKUP(B3895,LifeList!$E$2:$G$2038,2)</f>
        <v>Sturnelle de l'Ouest</v>
      </c>
      <c r="F3895" s="3" t="str">
        <f>VLOOKUP(B3895,LifeList!$E$2:$G$2038,3)</f>
        <v>Sturnella neglecta</v>
      </c>
      <c r="G3895" s="3" t="str">
        <f>VLOOKUP(B3895,LifeList!$E$2:$I$2038,4)</f>
        <v>Passeriformes</v>
      </c>
      <c r="H3895" s="3" t="str">
        <f>VLOOKUP(B3895,LifeList!$E$2:$I$2038,5)</f>
        <v>Icteridae (Troupials and Allies)</v>
      </c>
      <c r="I3895" s="3"/>
    </row>
    <row r="3896" spans="1:9" ht="10.5" customHeight="1">
      <c r="A3896" s="5" t="s">
        <v>5415</v>
      </c>
      <c r="B3896" s="3" t="s">
        <v>5414</v>
      </c>
      <c r="C3896" s="3">
        <f>VLOOKUP(B3896,LifeList!$E$2:$J$2038,6)</f>
        <v>33565</v>
      </c>
      <c r="D3896" s="3" t="str">
        <f>VLOOKUP(B3896,LifeList!$E$2:$G$2038,1)</f>
        <v>Western Meadowlark</v>
      </c>
      <c r="E3896" s="3" t="str">
        <f>VLOOKUP(B3896,LifeList!$E$2:$G$2038,2)</f>
        <v>Sturnelle de l'Ouest</v>
      </c>
      <c r="F3896" s="3" t="str">
        <f>VLOOKUP(B3896,LifeList!$E$2:$G$2038,3)</f>
        <v>Sturnella neglecta</v>
      </c>
      <c r="G3896" s="3" t="str">
        <f>VLOOKUP(B3896,LifeList!$E$2:$I$2038,4)</f>
        <v>Passeriformes</v>
      </c>
      <c r="H3896" s="3" t="str">
        <f>VLOOKUP(B3896,LifeList!$E$2:$I$2038,5)</f>
        <v>Icteridae (Troupials and Allies)</v>
      </c>
      <c r="I3896" s="3"/>
    </row>
    <row r="3897" spans="1:9" ht="10.5" customHeight="1">
      <c r="A3897" s="3" t="s">
        <v>5416</v>
      </c>
      <c r="B3897" s="3" t="s">
        <v>5417</v>
      </c>
      <c r="C3897" s="3">
        <f>VLOOKUP(B3897,LifeList!$E$2:$J$2038,6)</f>
        <v>7724</v>
      </c>
      <c r="D3897" s="3" t="str">
        <f>VLOOKUP(B3897,LifeList!$E$2:$G$2038,1)</f>
        <v>Western Cattle-Egret</v>
      </c>
      <c r="E3897" s="3" t="str">
        <f>VLOOKUP(B3897,LifeList!$E$2:$G$2038,2)</f>
        <v>Héron garde-boeufs</v>
      </c>
      <c r="F3897" s="3" t="str">
        <f>VLOOKUP(B3897,LifeList!$E$2:$G$2038,3)</f>
        <v>Ardea ibis</v>
      </c>
      <c r="G3897" s="3" t="str">
        <f>VLOOKUP(B3897,LifeList!$E$2:$I$2038,4)</f>
        <v>Pelecaniformes</v>
      </c>
      <c r="H3897" s="3" t="str">
        <f>VLOOKUP(B3897,LifeList!$E$2:$I$2038,5)</f>
        <v>Ardeidae (Herons, Egrets, and Bitterns)</v>
      </c>
      <c r="I3897" s="3"/>
    </row>
    <row r="3898" spans="1:9" ht="10.5" customHeight="1">
      <c r="A3898" s="3" t="s">
        <v>5418</v>
      </c>
      <c r="B3898" s="3" t="s">
        <v>5417</v>
      </c>
      <c r="C3898" s="3">
        <f>VLOOKUP(B3898,LifeList!$E$2:$J$2038,6)</f>
        <v>7724</v>
      </c>
      <c r="D3898" s="3" t="str">
        <f>VLOOKUP(B3898,LifeList!$E$2:$G$2038,1)</f>
        <v>Western Cattle-Egret</v>
      </c>
      <c r="E3898" s="3" t="str">
        <f>VLOOKUP(B3898,LifeList!$E$2:$G$2038,2)</f>
        <v>Héron garde-boeufs</v>
      </c>
      <c r="F3898" s="3" t="str">
        <f>VLOOKUP(B3898,LifeList!$E$2:$G$2038,3)</f>
        <v>Ardea ibis</v>
      </c>
      <c r="G3898" s="3" t="str">
        <f>VLOOKUP(B3898,LifeList!$E$2:$I$2038,4)</f>
        <v>Pelecaniformes</v>
      </c>
      <c r="H3898" s="3" t="str">
        <f>VLOOKUP(B3898,LifeList!$E$2:$I$2038,5)</f>
        <v>Ardeidae (Herons, Egrets, and Bitterns)</v>
      </c>
      <c r="I3898" s="3"/>
    </row>
    <row r="3899" spans="1:9" ht="10.5" customHeight="1">
      <c r="A3899" s="3" t="s">
        <v>5419</v>
      </c>
      <c r="B3899" s="3" t="s">
        <v>5420</v>
      </c>
      <c r="C3899" s="3">
        <f>VLOOKUP(B3899,LifeList!$E$2:$J$2038,6)</f>
        <v>4914</v>
      </c>
      <c r="D3899" s="3" t="str">
        <f>VLOOKUP(B3899,LifeList!$E$2:$G$2038,1)</f>
        <v>Western Emerald</v>
      </c>
      <c r="E3899" s="3" t="str">
        <f>VLOOKUP(B3899,LifeList!$E$2:$G$2038,2)</f>
        <v>Émeraude à bec noir</v>
      </c>
      <c r="F3899" s="3" t="str">
        <f>VLOOKUP(B3899,LifeList!$E$2:$G$2038,3)</f>
        <v>Chlorostilbon melanorhynchus</v>
      </c>
      <c r="G3899" s="3" t="str">
        <f>VLOOKUP(B3899,LifeList!$E$2:$I$2038,4)</f>
        <v>Apodiformes</v>
      </c>
      <c r="H3899" s="3" t="str">
        <f>VLOOKUP(B3899,LifeList!$E$2:$I$2038,5)</f>
        <v>Trochilidae (Hummingbirds)</v>
      </c>
      <c r="I3899" s="3"/>
    </row>
    <row r="3900" spans="1:9" ht="10.5" customHeight="1">
      <c r="A3900" s="7" t="s">
        <v>5421</v>
      </c>
      <c r="B3900" s="9" t="s">
        <v>5422</v>
      </c>
      <c r="C3900" s="6">
        <f>VLOOKUP(B3900,LifeList!$E$2:$J$2038,6)</f>
        <v>18488</v>
      </c>
      <c r="D3900" s="3" t="str">
        <f>VLOOKUP(B3900,LifeList!$E$2:$G$2038,1)</f>
        <v>Western Gerygone</v>
      </c>
      <c r="E3900" s="3" t="str">
        <f>VLOOKUP(B3900,LifeList!$E$2:$G$2038,2)</f>
        <v>Gérygone à queue blanche</v>
      </c>
      <c r="F3900" s="3" t="str">
        <f>VLOOKUP(B3900,LifeList!$E$2:$G$2038,3)</f>
        <v>Gerygone fusca</v>
      </c>
      <c r="G3900" s="3" t="str">
        <f>VLOOKUP(B3900,LifeList!$E$2:$I$2038,4)</f>
        <v>Passeriformes</v>
      </c>
      <c r="H3900" s="3" t="str">
        <f>VLOOKUP(B3900,LifeList!$E$2:$I$2038,5)</f>
        <v>Acanthizidae (Thornbills and Allies)</v>
      </c>
      <c r="I3900" s="3"/>
    </row>
    <row r="3901" spans="1:9" ht="10.5" customHeight="1">
      <c r="A3901" s="3" t="s">
        <v>5423</v>
      </c>
      <c r="B3901" s="3" t="s">
        <v>5424</v>
      </c>
      <c r="C3901" s="3">
        <f>VLOOKUP(B3901,LifeList!$E$2:$J$2038,6)</f>
        <v>6528</v>
      </c>
      <c r="D3901" s="3" t="str">
        <f>VLOOKUP(B3901,LifeList!$E$2:$G$2038,1)</f>
        <v>Western Gull</v>
      </c>
      <c r="E3901" s="3" t="str">
        <f>VLOOKUP(B3901,LifeList!$E$2:$G$2038,2)</f>
        <v>Goéland d'Audubon</v>
      </c>
      <c r="F3901" s="3" t="str">
        <f>VLOOKUP(B3901,LifeList!$E$2:$G$2038,3)</f>
        <v>Larus occidentalis</v>
      </c>
      <c r="G3901" s="3" t="str">
        <f>VLOOKUP(B3901,LifeList!$E$2:$I$2038,4)</f>
        <v>Charadriiformes</v>
      </c>
      <c r="H3901" s="3" t="str">
        <f>VLOOKUP(B3901,LifeList!$E$2:$I$2038,5)</f>
        <v>Laridae (Gulls, Terns, and Skimmers)</v>
      </c>
      <c r="I3901" s="3"/>
    </row>
    <row r="3902" spans="1:9" ht="10.5" customHeight="1">
      <c r="A3902" s="3" t="s">
        <v>5425</v>
      </c>
      <c r="B3902" s="3" t="s">
        <v>5426</v>
      </c>
      <c r="C3902" s="3">
        <f>VLOOKUP(B3902,LifeList!$E$2:$J$2038,6)</f>
        <v>17467</v>
      </c>
      <c r="D3902" s="3" t="str">
        <f>VLOOKUP(B3902,LifeList!$E$2:$G$2038,1)</f>
        <v>Western Kingbird</v>
      </c>
      <c r="E3902" s="3" t="str">
        <f>VLOOKUP(B3902,LifeList!$E$2:$G$2038,2)</f>
        <v>Tyran de l'Ouest</v>
      </c>
      <c r="F3902" s="3" t="str">
        <f>VLOOKUP(B3902,LifeList!$E$2:$G$2038,3)</f>
        <v>Tyrannus verticalis</v>
      </c>
      <c r="G3902" s="3" t="str">
        <f>VLOOKUP(B3902,LifeList!$E$2:$I$2038,4)</f>
        <v>Passeriformes</v>
      </c>
      <c r="H3902" s="3" t="str">
        <f>VLOOKUP(B3902,LifeList!$E$2:$I$2038,5)</f>
        <v>Tyrannidae (Tyrant Flycatchers)</v>
      </c>
      <c r="I3902" s="3"/>
    </row>
    <row r="3903" spans="1:9" ht="10.5" customHeight="1">
      <c r="A3903" s="3" t="s">
        <v>5427</v>
      </c>
      <c r="B3903" s="3" t="s">
        <v>5426</v>
      </c>
      <c r="C3903" s="3">
        <f>VLOOKUP(B3903,LifeList!$E$2:$J$2038,6)</f>
        <v>17467</v>
      </c>
      <c r="D3903" s="3" t="str">
        <f>VLOOKUP(B3903,LifeList!$E$2:$G$2038,1)</f>
        <v>Western Kingbird</v>
      </c>
      <c r="E3903" s="3" t="str">
        <f>VLOOKUP(B3903,LifeList!$E$2:$G$2038,2)</f>
        <v>Tyran de l'Ouest</v>
      </c>
      <c r="F3903" s="3" t="str">
        <f>VLOOKUP(B3903,LifeList!$E$2:$G$2038,3)</f>
        <v>Tyrannus verticalis</v>
      </c>
      <c r="G3903" s="3" t="str">
        <f>VLOOKUP(B3903,LifeList!$E$2:$I$2038,4)</f>
        <v>Passeriformes</v>
      </c>
      <c r="H3903" s="3" t="str">
        <f>VLOOKUP(B3903,LifeList!$E$2:$I$2038,5)</f>
        <v>Tyrannidae (Tyrant Flycatchers)</v>
      </c>
      <c r="I3903" s="3"/>
    </row>
    <row r="3904" spans="1:9" ht="10.5" customHeight="1">
      <c r="A3904" s="3" t="s">
        <v>5428</v>
      </c>
      <c r="B3904" s="3" t="s">
        <v>5429</v>
      </c>
      <c r="C3904" s="3">
        <f>VLOOKUP(B3904,LifeList!$E$2:$J$2038,6)</f>
        <v>33565</v>
      </c>
      <c r="D3904" s="3" t="str">
        <f>VLOOKUP(B3904,LifeList!$E$2:$G$2038,1)</f>
        <v>Western Meadowlark</v>
      </c>
      <c r="E3904" s="3" t="str">
        <f>VLOOKUP(B3904,LifeList!$E$2:$G$2038,2)</f>
        <v>Sturnelle de l'Ouest</v>
      </c>
      <c r="F3904" s="3" t="str">
        <f>VLOOKUP(B3904,LifeList!$E$2:$G$2038,3)</f>
        <v>Sturnella neglecta</v>
      </c>
      <c r="G3904" s="3" t="str">
        <f>VLOOKUP(B3904,LifeList!$E$2:$I$2038,4)</f>
        <v>Passeriformes</v>
      </c>
      <c r="H3904" s="3" t="str">
        <f>VLOOKUP(B3904,LifeList!$E$2:$I$2038,5)</f>
        <v>Icteridae (Troupials and Allies)</v>
      </c>
      <c r="I3904" s="3"/>
    </row>
    <row r="3905" spans="1:9" ht="10.5" customHeight="1">
      <c r="A3905" s="3" t="s">
        <v>5430</v>
      </c>
      <c r="B3905" s="3" t="s">
        <v>5431</v>
      </c>
      <c r="C3905" s="3">
        <f>VLOOKUP(B3905,LifeList!$E$2:$J$2038,6)</f>
        <v>16457</v>
      </c>
      <c r="D3905" s="3" t="str">
        <f>VLOOKUP(B3905,LifeList!$E$2:$G$2038,1)</f>
        <v>Western Olivaceous Flatbill</v>
      </c>
      <c r="E3905" s="3" t="str">
        <f>VLOOKUP(B3905,LifeList!$E$2:$G$2038,2)</f>
        <v>Tyranneau du Napo</v>
      </c>
      <c r="F3905" s="3" t="str">
        <f>VLOOKUP(B3905,LifeList!$E$2:$G$2038,3)</f>
        <v>Rhynchocyclus aequinoctialis</v>
      </c>
      <c r="G3905" s="3" t="str">
        <f>VLOOKUP(B3905,LifeList!$E$2:$I$2038,4)</f>
        <v>Passeriformes</v>
      </c>
      <c r="H3905" s="3" t="str">
        <f>VLOOKUP(B3905,LifeList!$E$2:$I$2038,5)</f>
        <v>Tyrannidae (Tyrant Flycatchers)</v>
      </c>
      <c r="I3905" s="3"/>
    </row>
    <row r="3906" spans="1:9" ht="10.5" customHeight="1">
      <c r="A3906" s="3" t="s">
        <v>5432</v>
      </c>
      <c r="B3906" s="3" t="s">
        <v>5433</v>
      </c>
      <c r="C3906" s="3">
        <f>VLOOKUP(B3906,LifeList!$E$2:$J$2038,6)</f>
        <v>6231</v>
      </c>
      <c r="D3906" s="3" t="str">
        <f>VLOOKUP(B3906,LifeList!$E$2:$G$2038,1)</f>
        <v>Western Sandpiper</v>
      </c>
      <c r="E3906" s="3" t="str">
        <f>VLOOKUP(B3906,LifeList!$E$2:$G$2038,2)</f>
        <v>Bécasseau d'Alaska</v>
      </c>
      <c r="F3906" s="3" t="str">
        <f>VLOOKUP(B3906,LifeList!$E$2:$G$2038,3)</f>
        <v>Calidris mauri</v>
      </c>
      <c r="G3906" s="3" t="str">
        <f>VLOOKUP(B3906,LifeList!$E$2:$I$2038,4)</f>
        <v>Charadriiformes</v>
      </c>
      <c r="H3906" s="3" t="str">
        <f>VLOOKUP(B3906,LifeList!$E$2:$I$2038,5)</f>
        <v>Scolopacidae (Sandpipers and Allies)</v>
      </c>
      <c r="I3906" s="3"/>
    </row>
    <row r="3907" spans="1:9" ht="10.5" customHeight="1">
      <c r="A3907" s="3" t="s">
        <v>5434</v>
      </c>
      <c r="B3907" s="3" t="s">
        <v>5433</v>
      </c>
      <c r="C3907" s="3">
        <f>VLOOKUP(B3907,LifeList!$E$2:$J$2038,6)</f>
        <v>6231</v>
      </c>
      <c r="D3907" s="3" t="str">
        <f>VLOOKUP(B3907,LifeList!$E$2:$G$2038,1)</f>
        <v>Western Sandpiper</v>
      </c>
      <c r="E3907" s="3" t="str">
        <f>VLOOKUP(B3907,LifeList!$E$2:$G$2038,2)</f>
        <v>Bécasseau d'Alaska</v>
      </c>
      <c r="F3907" s="3" t="str">
        <f>VLOOKUP(B3907,LifeList!$E$2:$G$2038,3)</f>
        <v>Calidris mauri</v>
      </c>
      <c r="G3907" s="3" t="str">
        <f>VLOOKUP(B3907,LifeList!$E$2:$I$2038,4)</f>
        <v>Charadriiformes</v>
      </c>
      <c r="H3907" s="3" t="str">
        <f>VLOOKUP(B3907,LifeList!$E$2:$I$2038,5)</f>
        <v>Scolopacidae (Sandpipers and Allies)</v>
      </c>
      <c r="I3907" s="3"/>
    </row>
    <row r="3908" spans="1:9" ht="10.5" customHeight="1">
      <c r="A3908" s="3" t="s">
        <v>5435</v>
      </c>
      <c r="B3908" s="3" t="s">
        <v>5433</v>
      </c>
      <c r="C3908" s="3">
        <f>VLOOKUP(B3908,LifeList!$E$2:$J$2038,6)</f>
        <v>6231</v>
      </c>
      <c r="D3908" s="3" t="str">
        <f>VLOOKUP(B3908,LifeList!$E$2:$G$2038,1)</f>
        <v>Western Sandpiper</v>
      </c>
      <c r="E3908" s="3" t="str">
        <f>VLOOKUP(B3908,LifeList!$E$2:$G$2038,2)</f>
        <v>Bécasseau d'Alaska</v>
      </c>
      <c r="F3908" s="3" t="str">
        <f>VLOOKUP(B3908,LifeList!$E$2:$G$2038,3)</f>
        <v>Calidris mauri</v>
      </c>
      <c r="G3908" s="3" t="str">
        <f>VLOOKUP(B3908,LifeList!$E$2:$I$2038,4)</f>
        <v>Charadriiformes</v>
      </c>
      <c r="H3908" s="3" t="str">
        <f>VLOOKUP(B3908,LifeList!$E$2:$I$2038,5)</f>
        <v>Scolopacidae (Sandpipers and Allies)</v>
      </c>
      <c r="I3908" s="3"/>
    </row>
    <row r="3909" spans="1:9" ht="10.5" customHeight="1">
      <c r="A3909" s="7" t="s">
        <v>5436</v>
      </c>
      <c r="B3909" s="9" t="s">
        <v>5437</v>
      </c>
      <c r="C3909" s="6">
        <f>VLOOKUP(B3909,LifeList!$E$2:$J$2038,6)</f>
        <v>33540</v>
      </c>
      <c r="D3909" s="3" t="str">
        <f>VLOOKUP(B3909,LifeList!$E$2:$G$2038,1)</f>
        <v>Western Spindalis</v>
      </c>
      <c r="E3909" s="3" t="str">
        <f>VLOOKUP(B3909,LifeList!$E$2:$G$2038,2)</f>
        <v>Zéna à tête rayée</v>
      </c>
      <c r="F3909" s="3" t="str">
        <f>VLOOKUP(B3909,LifeList!$E$2:$G$2038,3)</f>
        <v>Spindalis zena</v>
      </c>
      <c r="G3909" s="3" t="str">
        <f>VLOOKUP(B3909,LifeList!$E$2:$I$2038,4)</f>
        <v>Passeriformes</v>
      </c>
      <c r="H3909" s="3" t="str">
        <f>VLOOKUP(B3909,LifeList!$E$2:$I$2038,5)</f>
        <v>Phaenicophilidae (Greater Antillean Tanagers)</v>
      </c>
      <c r="I3909" s="3"/>
    </row>
    <row r="3910" spans="1:9" ht="10.5" customHeight="1">
      <c r="A3910" s="3" t="s">
        <v>5438</v>
      </c>
      <c r="B3910" s="3" t="s">
        <v>5439</v>
      </c>
      <c r="C3910" s="3">
        <f>VLOOKUP(B3910,LifeList!$E$2:$J$2038,6)</f>
        <v>16912</v>
      </c>
      <c r="D3910" s="3" t="str">
        <f>VLOOKUP(B3910,LifeList!$E$2:$G$2038,1)</f>
        <v>Western Wood-Pewee</v>
      </c>
      <c r="E3910" s="3" t="str">
        <f>VLOOKUP(B3910,LifeList!$E$2:$G$2038,2)</f>
        <v>Pioui de l'Ouest</v>
      </c>
      <c r="F3910" s="3" t="str">
        <f>VLOOKUP(B3910,LifeList!$E$2:$G$2038,3)</f>
        <v>Contopus sordidulus</v>
      </c>
      <c r="G3910" s="3" t="str">
        <f>VLOOKUP(B3910,LifeList!$E$2:$I$2038,4)</f>
        <v>Passeriformes</v>
      </c>
      <c r="H3910" s="3" t="str">
        <f>VLOOKUP(B3910,LifeList!$E$2:$I$2038,5)</f>
        <v>Tyrannidae (Tyrant Flycatchers)</v>
      </c>
      <c r="I3910" s="3"/>
    </row>
    <row r="3911" spans="1:9" ht="10.5" customHeight="1">
      <c r="A3911" s="3" t="s">
        <v>5440</v>
      </c>
      <c r="B3911" s="3" t="s">
        <v>5441</v>
      </c>
      <c r="C3911" s="3">
        <f>VLOOKUP(B3911,LifeList!$E$2:$J$2038,6)</f>
        <v>15265</v>
      </c>
      <c r="D3911" s="3" t="str">
        <f>VLOOKUP(B3911,LifeList!$E$2:$G$2038,1)</f>
        <v>Western Woodhaunter</v>
      </c>
      <c r="E3911" s="3" t="str">
        <f>VLOOKUP(B3911,LifeList!$E$2:$G$2038,2)</f>
        <v>Anabate de Lawrence</v>
      </c>
      <c r="F3911" s="3" t="str">
        <f>VLOOKUP(B3911,LifeList!$E$2:$G$2038,3)</f>
        <v>Automolus virgatus</v>
      </c>
      <c r="G3911" s="3" t="str">
        <f>VLOOKUP(B3911,LifeList!$E$2:$I$2038,4)</f>
        <v>Passeriformes</v>
      </c>
      <c r="H3911" s="3" t="str">
        <f>VLOOKUP(B3911,LifeList!$E$2:$I$2038,5)</f>
        <v>Furnariidae (Ovenbirds and Woodcreepers)</v>
      </c>
      <c r="I3911" s="3"/>
    </row>
    <row r="3912" spans="1:9" ht="10.5" customHeight="1">
      <c r="A3912" s="3" t="s">
        <v>5442</v>
      </c>
      <c r="B3912" s="3" t="s">
        <v>5443</v>
      </c>
      <c r="C3912" s="3">
        <f>VLOOKUP(B3912,LifeList!$E$2:$J$2038,6)</f>
        <v>6720</v>
      </c>
      <c r="D3912" s="3" t="str">
        <f>VLOOKUP(B3912,LifeList!$E$2:$G$2038,1)</f>
        <v>Whiskered Tern</v>
      </c>
      <c r="E3912" s="3" t="str">
        <f>VLOOKUP(B3912,LifeList!$E$2:$G$2038,2)</f>
        <v>Guifette moustac</v>
      </c>
      <c r="F3912" s="3" t="str">
        <f>VLOOKUP(B3912,LifeList!$E$2:$G$2038,3)</f>
        <v>Chlidonias hybrida</v>
      </c>
      <c r="G3912" s="3" t="str">
        <f>VLOOKUP(B3912,LifeList!$E$2:$I$2038,4)</f>
        <v>Charadriiformes</v>
      </c>
      <c r="H3912" s="3" t="str">
        <f>VLOOKUP(B3912,LifeList!$E$2:$I$2038,5)</f>
        <v>Laridae (Gulls, Terns, and Skimmers)</v>
      </c>
      <c r="I3912" s="3"/>
    </row>
    <row r="3913" spans="1:9" ht="10.5" customHeight="1">
      <c r="A3913" s="3" t="s">
        <v>5444</v>
      </c>
      <c r="B3913" s="3" t="s">
        <v>5445</v>
      </c>
      <c r="C3913" s="3">
        <f>VLOOKUP(B3913,LifeList!$E$2:$J$2038,6)</f>
        <v>8363</v>
      </c>
      <c r="D3913" s="3" t="str">
        <f>VLOOKUP(B3913,LifeList!$E$2:$G$2038,1)</f>
        <v>Whistling Kite</v>
      </c>
      <c r="E3913" s="3" t="str">
        <f>VLOOKUP(B3913,LifeList!$E$2:$G$2038,2)</f>
        <v>Milan siffleur</v>
      </c>
      <c r="F3913" s="3" t="str">
        <f>VLOOKUP(B3913,LifeList!$E$2:$G$2038,3)</f>
        <v>Haliastur sphenurus</v>
      </c>
      <c r="G3913" s="3" t="str">
        <f>VLOOKUP(B3913,LifeList!$E$2:$I$2038,4)</f>
        <v>Accipitriformes</v>
      </c>
      <c r="H3913" s="3" t="str">
        <f>VLOOKUP(B3913,LifeList!$E$2:$I$2038,5)</f>
        <v>Accipitridae (Hawks, Eagles, and Kites)</v>
      </c>
      <c r="I3913" s="3"/>
    </row>
    <row r="3914" spans="1:9" ht="10.5" customHeight="1">
      <c r="A3914" s="3" t="s">
        <v>5446</v>
      </c>
      <c r="B3914" s="3" t="s">
        <v>5447</v>
      </c>
      <c r="C3914" s="3">
        <f>VLOOKUP(B3914,LifeList!$E$2:$J$2038,6)</f>
        <v>8463</v>
      </c>
      <c r="D3914" s="3" t="str">
        <f>VLOOKUP(B3914,LifeList!$E$2:$G$2038,1)</f>
        <v>White Hawk</v>
      </c>
      <c r="E3914" s="3" t="str">
        <f>VLOOKUP(B3914,LifeList!$E$2:$G$2038,2)</f>
        <v>Buse blanche</v>
      </c>
      <c r="F3914" s="3" t="str">
        <f>VLOOKUP(B3914,LifeList!$E$2:$G$2038,3)</f>
        <v>Pseudastur albicollis</v>
      </c>
      <c r="G3914" s="3" t="str">
        <f>VLOOKUP(B3914,LifeList!$E$2:$I$2038,4)</f>
        <v>Accipitriformes</v>
      </c>
      <c r="H3914" s="3" t="str">
        <f>VLOOKUP(B3914,LifeList!$E$2:$I$2038,5)</f>
        <v>Accipitridae (Hawks, Eagles, and Kites)</v>
      </c>
      <c r="I3914" s="3"/>
    </row>
    <row r="3915" spans="1:9" ht="10.5" customHeight="1">
      <c r="A3915" s="3" t="s">
        <v>5448</v>
      </c>
      <c r="B3915" s="3" t="s">
        <v>5447</v>
      </c>
      <c r="C3915" s="3">
        <f>VLOOKUP(B3915,LifeList!$E$2:$J$2038,6)</f>
        <v>8463</v>
      </c>
      <c r="D3915" s="3" t="str">
        <f>VLOOKUP(B3915,LifeList!$E$2:$G$2038,1)</f>
        <v>White Hawk</v>
      </c>
      <c r="E3915" s="3" t="str">
        <f>VLOOKUP(B3915,LifeList!$E$2:$G$2038,2)</f>
        <v>Buse blanche</v>
      </c>
      <c r="F3915" s="3" t="str">
        <f>VLOOKUP(B3915,LifeList!$E$2:$G$2038,3)</f>
        <v>Pseudastur albicollis</v>
      </c>
      <c r="G3915" s="3" t="str">
        <f>VLOOKUP(B3915,LifeList!$E$2:$I$2038,4)</f>
        <v>Accipitriformes</v>
      </c>
      <c r="H3915" s="3" t="str">
        <f>VLOOKUP(B3915,LifeList!$E$2:$I$2038,5)</f>
        <v>Accipitridae (Hawks, Eagles, and Kites)</v>
      </c>
      <c r="I3915" s="3"/>
    </row>
    <row r="3916" spans="1:9" ht="10.5" customHeight="1">
      <c r="A3916" s="3" t="s">
        <v>5449</v>
      </c>
      <c r="B3916" s="3" t="s">
        <v>5450</v>
      </c>
      <c r="C3916" s="3">
        <f>VLOOKUP(B3916,LifeList!$E$2:$J$2038,6)</f>
        <v>7462</v>
      </c>
      <c r="D3916" s="3" t="str">
        <f>VLOOKUP(B3916,LifeList!$E$2:$G$2038,1)</f>
        <v>White Ibis</v>
      </c>
      <c r="E3916" s="3" t="str">
        <f>VLOOKUP(B3916,LifeList!$E$2:$G$2038,2)</f>
        <v>Ibis blanc</v>
      </c>
      <c r="F3916" s="3" t="str">
        <f>VLOOKUP(B3916,LifeList!$E$2:$G$2038,3)</f>
        <v>Eudocimus albus</v>
      </c>
      <c r="G3916" s="3" t="str">
        <f>VLOOKUP(B3916,LifeList!$E$2:$I$2038,4)</f>
        <v>Pelecaniformes</v>
      </c>
      <c r="H3916" s="3" t="str">
        <f>VLOOKUP(B3916,LifeList!$E$2:$I$2038,5)</f>
        <v>Threskiornithidae (Ibises and Spoonbills)</v>
      </c>
      <c r="I3916" s="3"/>
    </row>
    <row r="3917" spans="1:9" ht="10.5" customHeight="1">
      <c r="A3917" s="3" t="s">
        <v>5451</v>
      </c>
      <c r="B3917" s="3" t="s">
        <v>5450</v>
      </c>
      <c r="C3917" s="3">
        <f>VLOOKUP(B3917,LifeList!$E$2:$J$2038,6)</f>
        <v>7462</v>
      </c>
      <c r="D3917" s="3" t="str">
        <f>VLOOKUP(B3917,LifeList!$E$2:$G$2038,1)</f>
        <v>White Ibis</v>
      </c>
      <c r="E3917" s="3" t="str">
        <f>VLOOKUP(B3917,LifeList!$E$2:$G$2038,2)</f>
        <v>Ibis blanc</v>
      </c>
      <c r="F3917" s="3" t="str">
        <f>VLOOKUP(B3917,LifeList!$E$2:$G$2038,3)</f>
        <v>Eudocimus albus</v>
      </c>
      <c r="G3917" s="3" t="str">
        <f>VLOOKUP(B3917,LifeList!$E$2:$I$2038,4)</f>
        <v>Pelecaniformes</v>
      </c>
      <c r="H3917" s="3" t="str">
        <f>VLOOKUP(B3917,LifeList!$E$2:$I$2038,5)</f>
        <v>Threskiornithidae (Ibises and Spoonbills)</v>
      </c>
      <c r="I3917" s="3"/>
    </row>
    <row r="3918" spans="1:9" ht="10.5" customHeight="1">
      <c r="A3918" s="3" t="s">
        <v>5452</v>
      </c>
      <c r="B3918" s="3" t="s">
        <v>5450</v>
      </c>
      <c r="C3918" s="3">
        <f>VLOOKUP(B3918,LifeList!$E$2:$J$2038,6)</f>
        <v>7462</v>
      </c>
      <c r="D3918" s="3" t="str">
        <f>VLOOKUP(B3918,LifeList!$E$2:$G$2038,1)</f>
        <v>White Ibis</v>
      </c>
      <c r="E3918" s="3" t="str">
        <f>VLOOKUP(B3918,LifeList!$E$2:$G$2038,2)</f>
        <v>Ibis blanc</v>
      </c>
      <c r="F3918" s="3" t="str">
        <f>VLOOKUP(B3918,LifeList!$E$2:$G$2038,3)</f>
        <v>Eudocimus albus</v>
      </c>
      <c r="G3918" s="3" t="str">
        <f>VLOOKUP(B3918,LifeList!$E$2:$I$2038,4)</f>
        <v>Pelecaniformes</v>
      </c>
      <c r="H3918" s="3" t="str">
        <f>VLOOKUP(B3918,LifeList!$E$2:$I$2038,5)</f>
        <v>Threskiornithidae (Ibises and Spoonbills)</v>
      </c>
      <c r="I3918" s="3"/>
    </row>
    <row r="3919" spans="1:9" ht="10.5" customHeight="1">
      <c r="A3919" s="3" t="s">
        <v>5453</v>
      </c>
      <c r="B3919" s="3" t="s">
        <v>5450</v>
      </c>
      <c r="C3919" s="3">
        <f>VLOOKUP(B3919,LifeList!$E$2:$J$2038,6)</f>
        <v>7462</v>
      </c>
      <c r="D3919" s="3" t="str">
        <f>VLOOKUP(B3919,LifeList!$E$2:$G$2038,1)</f>
        <v>White Ibis</v>
      </c>
      <c r="E3919" s="3" t="str">
        <f>VLOOKUP(B3919,LifeList!$E$2:$G$2038,2)</f>
        <v>Ibis blanc</v>
      </c>
      <c r="F3919" s="3" t="str">
        <f>VLOOKUP(B3919,LifeList!$E$2:$G$2038,3)</f>
        <v>Eudocimus albus</v>
      </c>
      <c r="G3919" s="3" t="str">
        <f>VLOOKUP(B3919,LifeList!$E$2:$I$2038,4)</f>
        <v>Pelecaniformes</v>
      </c>
      <c r="H3919" s="3" t="str">
        <f>VLOOKUP(B3919,LifeList!$E$2:$I$2038,5)</f>
        <v>Threskiornithidae (Ibises and Spoonbills)</v>
      </c>
      <c r="I3919" s="3"/>
    </row>
    <row r="3920" spans="1:9" ht="10.5" customHeight="1">
      <c r="A3920" s="3" t="s">
        <v>5454</v>
      </c>
      <c r="B3920" s="3" t="s">
        <v>5450</v>
      </c>
      <c r="C3920" s="3">
        <f>VLOOKUP(B3920,LifeList!$E$2:$J$2038,6)</f>
        <v>7462</v>
      </c>
      <c r="D3920" s="3" t="str">
        <f>VLOOKUP(B3920,LifeList!$E$2:$G$2038,1)</f>
        <v>White Ibis</v>
      </c>
      <c r="E3920" s="3" t="str">
        <f>VLOOKUP(B3920,LifeList!$E$2:$G$2038,2)</f>
        <v>Ibis blanc</v>
      </c>
      <c r="F3920" s="3" t="str">
        <f>VLOOKUP(B3920,LifeList!$E$2:$G$2038,3)</f>
        <v>Eudocimus albus</v>
      </c>
      <c r="G3920" s="3" t="str">
        <f>VLOOKUP(B3920,LifeList!$E$2:$I$2038,4)</f>
        <v>Pelecaniformes</v>
      </c>
      <c r="H3920" s="3" t="str">
        <f>VLOOKUP(B3920,LifeList!$E$2:$I$2038,5)</f>
        <v>Threskiornithidae (Ibises and Spoonbills)</v>
      </c>
      <c r="I3920" s="3"/>
    </row>
    <row r="3921" spans="1:9" ht="10.5" customHeight="1">
      <c r="A3921" s="3" t="s">
        <v>5455</v>
      </c>
      <c r="B3921" s="3" t="s">
        <v>5450</v>
      </c>
      <c r="C3921" s="3">
        <f>VLOOKUP(B3921,LifeList!$E$2:$J$2038,6)</f>
        <v>7462</v>
      </c>
      <c r="D3921" s="3" t="str">
        <f>VLOOKUP(B3921,LifeList!$E$2:$G$2038,1)</f>
        <v>White Ibis</v>
      </c>
      <c r="E3921" s="3" t="str">
        <f>VLOOKUP(B3921,LifeList!$E$2:$G$2038,2)</f>
        <v>Ibis blanc</v>
      </c>
      <c r="F3921" s="3" t="str">
        <f>VLOOKUP(B3921,LifeList!$E$2:$G$2038,3)</f>
        <v>Eudocimus albus</v>
      </c>
      <c r="G3921" s="3" t="str">
        <f>VLOOKUP(B3921,LifeList!$E$2:$I$2038,4)</f>
        <v>Pelecaniformes</v>
      </c>
      <c r="H3921" s="3" t="str">
        <f>VLOOKUP(B3921,LifeList!$E$2:$I$2038,5)</f>
        <v>Threskiornithidae (Ibises and Spoonbills)</v>
      </c>
      <c r="I3921" s="3"/>
    </row>
    <row r="3922" spans="1:9" ht="10.5" customHeight="1">
      <c r="A3922" s="3" t="s">
        <v>5456</v>
      </c>
      <c r="B3922" s="3" t="s">
        <v>5450</v>
      </c>
      <c r="C3922" s="3">
        <f>VLOOKUP(B3922,LifeList!$E$2:$J$2038,6)</f>
        <v>7462</v>
      </c>
      <c r="D3922" s="3" t="str">
        <f>VLOOKUP(B3922,LifeList!$E$2:$G$2038,1)</f>
        <v>White Ibis</v>
      </c>
      <c r="E3922" s="3" t="str">
        <f>VLOOKUP(B3922,LifeList!$E$2:$G$2038,2)</f>
        <v>Ibis blanc</v>
      </c>
      <c r="F3922" s="3" t="str">
        <f>VLOOKUP(B3922,LifeList!$E$2:$G$2038,3)</f>
        <v>Eudocimus albus</v>
      </c>
      <c r="G3922" s="3" t="str">
        <f>VLOOKUP(B3922,LifeList!$E$2:$I$2038,4)</f>
        <v>Pelecaniformes</v>
      </c>
      <c r="H3922" s="3" t="str">
        <f>VLOOKUP(B3922,LifeList!$E$2:$I$2038,5)</f>
        <v>Threskiornithidae (Ibises and Spoonbills)</v>
      </c>
      <c r="I3922" s="3"/>
    </row>
    <row r="3923" spans="1:9" ht="10.5" customHeight="1">
      <c r="A3923" s="3" t="s">
        <v>5457</v>
      </c>
      <c r="B3923" s="3" t="s">
        <v>5450</v>
      </c>
      <c r="C3923" s="3">
        <f>VLOOKUP(B3923,LifeList!$E$2:$J$2038,6)</f>
        <v>7462</v>
      </c>
      <c r="D3923" s="3" t="str">
        <f>VLOOKUP(B3923,LifeList!$E$2:$G$2038,1)</f>
        <v>White Ibis</v>
      </c>
      <c r="E3923" s="3" t="str">
        <f>VLOOKUP(B3923,LifeList!$E$2:$G$2038,2)</f>
        <v>Ibis blanc</v>
      </c>
      <c r="F3923" s="3" t="str">
        <f>VLOOKUP(B3923,LifeList!$E$2:$G$2038,3)</f>
        <v>Eudocimus albus</v>
      </c>
      <c r="G3923" s="3" t="str">
        <f>VLOOKUP(B3923,LifeList!$E$2:$I$2038,4)</f>
        <v>Pelecaniformes</v>
      </c>
      <c r="H3923" s="3" t="str">
        <f>VLOOKUP(B3923,LifeList!$E$2:$I$2038,5)</f>
        <v>Threskiornithidae (Ibises and Spoonbills)</v>
      </c>
      <c r="I3923" s="3"/>
    </row>
    <row r="3924" spans="1:9" ht="10.5" customHeight="1">
      <c r="A3924" s="3" t="s">
        <v>5458</v>
      </c>
      <c r="B3924" s="3" t="s">
        <v>5450</v>
      </c>
      <c r="C3924" s="3">
        <f>VLOOKUP(B3924,LifeList!$E$2:$J$2038,6)</f>
        <v>7462</v>
      </c>
      <c r="D3924" s="3" t="str">
        <f>VLOOKUP(B3924,LifeList!$E$2:$G$2038,1)</f>
        <v>White Ibis</v>
      </c>
      <c r="E3924" s="3" t="str">
        <f>VLOOKUP(B3924,LifeList!$E$2:$G$2038,2)</f>
        <v>Ibis blanc</v>
      </c>
      <c r="F3924" s="3" t="str">
        <f>VLOOKUP(B3924,LifeList!$E$2:$G$2038,3)</f>
        <v>Eudocimus albus</v>
      </c>
      <c r="G3924" s="3" t="str">
        <f>VLOOKUP(B3924,LifeList!$E$2:$I$2038,4)</f>
        <v>Pelecaniformes</v>
      </c>
      <c r="H3924" s="3" t="str">
        <f>VLOOKUP(B3924,LifeList!$E$2:$I$2038,5)</f>
        <v>Threskiornithidae (Ibises and Spoonbills)</v>
      </c>
      <c r="I3924" s="3"/>
    </row>
    <row r="3925" spans="1:9" ht="10.5" customHeight="1">
      <c r="A3925" s="3" t="s">
        <v>5459</v>
      </c>
      <c r="B3925" s="3" t="s">
        <v>5450</v>
      </c>
      <c r="C3925" s="3">
        <f>VLOOKUP(B3925,LifeList!$E$2:$J$2038,6)</f>
        <v>7462</v>
      </c>
      <c r="D3925" s="3" t="str">
        <f>VLOOKUP(B3925,LifeList!$E$2:$G$2038,1)</f>
        <v>White Ibis</v>
      </c>
      <c r="E3925" s="3" t="str">
        <f>VLOOKUP(B3925,LifeList!$E$2:$G$2038,2)</f>
        <v>Ibis blanc</v>
      </c>
      <c r="F3925" s="3" t="str">
        <f>VLOOKUP(B3925,LifeList!$E$2:$G$2038,3)</f>
        <v>Eudocimus albus</v>
      </c>
      <c r="G3925" s="3" t="str">
        <f>VLOOKUP(B3925,LifeList!$E$2:$I$2038,4)</f>
        <v>Pelecaniformes</v>
      </c>
      <c r="H3925" s="3" t="str">
        <f>VLOOKUP(B3925,LifeList!$E$2:$I$2038,5)</f>
        <v>Threskiornithidae (Ibises and Spoonbills)</v>
      </c>
      <c r="I3925" s="3"/>
    </row>
    <row r="3926" spans="1:9" ht="10.5" customHeight="1">
      <c r="A3926" s="3" t="s">
        <v>5460</v>
      </c>
      <c r="B3926" s="3" t="s">
        <v>5450</v>
      </c>
      <c r="C3926" s="3">
        <f>VLOOKUP(B3926,LifeList!$E$2:$J$2038,6)</f>
        <v>7462</v>
      </c>
      <c r="D3926" s="3" t="str">
        <f>VLOOKUP(B3926,LifeList!$E$2:$G$2038,1)</f>
        <v>White Ibis</v>
      </c>
      <c r="E3926" s="3" t="str">
        <f>VLOOKUP(B3926,LifeList!$E$2:$G$2038,2)</f>
        <v>Ibis blanc</v>
      </c>
      <c r="F3926" s="3" t="str">
        <f>VLOOKUP(B3926,LifeList!$E$2:$G$2038,3)</f>
        <v>Eudocimus albus</v>
      </c>
      <c r="G3926" s="3" t="str">
        <f>VLOOKUP(B3926,LifeList!$E$2:$I$2038,4)</f>
        <v>Pelecaniformes</v>
      </c>
      <c r="H3926" s="3" t="str">
        <f>VLOOKUP(B3926,LifeList!$E$2:$I$2038,5)</f>
        <v>Threskiornithidae (Ibises and Spoonbills)</v>
      </c>
      <c r="I3926" s="3"/>
    </row>
    <row r="3927" spans="1:9" ht="10.5" customHeight="1">
      <c r="A3927" s="5" t="s">
        <v>5461</v>
      </c>
      <c r="B3927" s="3" t="s">
        <v>5462</v>
      </c>
      <c r="C3927" s="3">
        <f>VLOOKUP(B3927,LifeList!$E$2:$J$2038,6)</f>
        <v>7938</v>
      </c>
      <c r="D3927" s="3" t="str">
        <f>VLOOKUP(B3927,LifeList!$E$2:$G$2038,1)</f>
        <v>White-backed Vulture</v>
      </c>
      <c r="E3927" s="3" t="str">
        <f>VLOOKUP(B3927,LifeList!$E$2:$G$2038,2)</f>
        <v>Vautour africain</v>
      </c>
      <c r="F3927" s="3" t="str">
        <f>VLOOKUP(B3927,LifeList!$E$2:$G$2038,3)</f>
        <v>Gyps africanus</v>
      </c>
      <c r="G3927" s="3" t="str">
        <f>VLOOKUP(B3927,LifeList!$E$2:$I$2038,4)</f>
        <v>Accipitriformes</v>
      </c>
      <c r="H3927" s="3" t="str">
        <f>VLOOKUP(B3927,LifeList!$E$2:$I$2038,5)</f>
        <v>Accipitridae (Hawks, Eagles, and Kites)</v>
      </c>
      <c r="I3927" s="3"/>
    </row>
    <row r="3928" spans="1:9" ht="10.5" customHeight="1">
      <c r="A3928" s="5" t="s">
        <v>5463</v>
      </c>
      <c r="B3928" s="3" t="s">
        <v>5462</v>
      </c>
      <c r="C3928" s="3">
        <f>VLOOKUP(B3928,LifeList!$E$2:$J$2038,6)</f>
        <v>7938</v>
      </c>
      <c r="D3928" s="3" t="str">
        <f>VLOOKUP(B3928,LifeList!$E$2:$G$2038,1)</f>
        <v>White-backed Vulture</v>
      </c>
      <c r="E3928" s="3" t="str">
        <f>VLOOKUP(B3928,LifeList!$E$2:$G$2038,2)</f>
        <v>Vautour africain</v>
      </c>
      <c r="F3928" s="3" t="str">
        <f>VLOOKUP(B3928,LifeList!$E$2:$G$2038,3)</f>
        <v>Gyps africanus</v>
      </c>
      <c r="G3928" s="3" t="str">
        <f>VLOOKUP(B3928,LifeList!$E$2:$I$2038,4)</f>
        <v>Accipitriformes</v>
      </c>
      <c r="H3928" s="3" t="str">
        <f>VLOOKUP(B3928,LifeList!$E$2:$I$2038,5)</f>
        <v>Accipitridae (Hawks, Eagles, and Kites)</v>
      </c>
      <c r="I3928" s="3"/>
    </row>
    <row r="3929" spans="1:9" ht="10.5" customHeight="1">
      <c r="A3929" s="7" t="s">
        <v>5464</v>
      </c>
      <c r="B3929" s="9" t="s">
        <v>5465</v>
      </c>
      <c r="C3929" s="6">
        <f>VLOOKUP(B3929,LifeList!$E$2:$J$2038,6)</f>
        <v>24026</v>
      </c>
      <c r="D3929" s="3" t="str">
        <f>VLOOKUP(B3929,LifeList!$E$2:$G$2038,1)</f>
        <v>White-backed Swallow</v>
      </c>
      <c r="E3929" s="3" t="str">
        <f>VLOOKUP(B3929,LifeList!$E$2:$G$2038,2)</f>
        <v>Hirondelle à dos blanc</v>
      </c>
      <c r="F3929" s="3" t="str">
        <f>VLOOKUP(B3929,LifeList!$E$2:$G$2038,3)</f>
        <v>Cheramoeca leucosterna</v>
      </c>
      <c r="G3929" s="3" t="str">
        <f>VLOOKUP(B3929,LifeList!$E$2:$I$2038,4)</f>
        <v>Passeriformes</v>
      </c>
      <c r="H3929" s="3" t="str">
        <f>VLOOKUP(B3929,LifeList!$E$2:$I$2038,5)</f>
        <v>Hirundinidae (Swallows)</v>
      </c>
      <c r="I3929" s="3"/>
    </row>
    <row r="3930" spans="1:9" ht="10.5" customHeight="1">
      <c r="A3930" s="3" t="s">
        <v>5466</v>
      </c>
      <c r="B3930" s="3" t="s">
        <v>5467</v>
      </c>
      <c r="C3930" s="3">
        <f>VLOOKUP(B3930,LifeList!$E$2:$J$2038,6)</f>
        <v>16578</v>
      </c>
      <c r="D3930" s="3" t="str">
        <f>VLOOKUP(B3930,LifeList!$E$2:$G$2038,1)</f>
        <v>White-banded Tyrannulet</v>
      </c>
      <c r="E3930" s="3" t="str">
        <f>VLOOKUP(B3930,LifeList!$E$2:$G$2038,2)</f>
        <v>Tyranneau à sourcils blancs</v>
      </c>
      <c r="F3930" s="3" t="str">
        <f>VLOOKUP(B3930,LifeList!$E$2:$G$2038,3)</f>
        <v>Mecocerculus stictopterus</v>
      </c>
      <c r="G3930" s="3" t="str">
        <f>VLOOKUP(B3930,LifeList!$E$2:$I$2038,4)</f>
        <v>Passeriformes</v>
      </c>
      <c r="H3930" s="3" t="str">
        <f>VLOOKUP(B3930,LifeList!$E$2:$I$2038,5)</f>
        <v>Tyrannidae (Tyrant Flycatchers)</v>
      </c>
      <c r="I3930" s="3"/>
    </row>
    <row r="3931" spans="1:9" ht="10.5" customHeight="1">
      <c r="A3931" s="3" t="s">
        <v>5468</v>
      </c>
      <c r="B3931" s="3" t="s">
        <v>5469</v>
      </c>
      <c r="C3931" s="3">
        <f>VLOOKUP(B3931,LifeList!$E$2:$J$2038,6)</f>
        <v>15772</v>
      </c>
      <c r="D3931" s="3" t="str">
        <f>VLOOKUP(B3931,LifeList!$E$2:$G$2038,1)</f>
        <v>White-bearded Manakin</v>
      </c>
      <c r="E3931" s="3" t="str">
        <f>VLOOKUP(B3931,LifeList!$E$2:$G$2038,2)</f>
        <v>Manakin casse-noisette</v>
      </c>
      <c r="F3931" s="3" t="str">
        <f>VLOOKUP(B3931,LifeList!$E$2:$G$2038,3)</f>
        <v>Manacus manacus</v>
      </c>
      <c r="G3931" s="3" t="str">
        <f>VLOOKUP(B3931,LifeList!$E$2:$I$2038,4)</f>
        <v>Passeriformes</v>
      </c>
      <c r="H3931" s="3" t="str">
        <f>VLOOKUP(B3931,LifeList!$E$2:$I$2038,5)</f>
        <v>Pipridae (Manakins)</v>
      </c>
      <c r="I3931" s="3"/>
    </row>
    <row r="3932" spans="1:9" ht="10.5" customHeight="1">
      <c r="A3932" s="3" t="s">
        <v>5470</v>
      </c>
      <c r="B3932" s="3" t="s">
        <v>5471</v>
      </c>
      <c r="C3932" s="3">
        <f>VLOOKUP(B3932,LifeList!$E$2:$J$2038,6)</f>
        <v>14015</v>
      </c>
      <c r="D3932" s="3" t="str">
        <f>VLOOKUP(B3932,LifeList!$E$2:$G$2038,1)</f>
        <v>White-bellied Antbird</v>
      </c>
      <c r="E3932" s="3" t="str">
        <f>VLOOKUP(B3932,LifeList!$E$2:$G$2038,2)</f>
        <v>Alapi à ventre blanc</v>
      </c>
      <c r="F3932" s="3" t="str">
        <f>VLOOKUP(B3932,LifeList!$E$2:$G$2038,3)</f>
        <v>Myrmeciza longipes</v>
      </c>
      <c r="G3932" s="3" t="str">
        <f>VLOOKUP(B3932,LifeList!$E$2:$I$2038,4)</f>
        <v>Passeriformes</v>
      </c>
      <c r="H3932" s="3" t="str">
        <f>VLOOKUP(B3932,LifeList!$E$2:$I$2038,5)</f>
        <v>Thamnophilidae (Typical Antbirds)</v>
      </c>
      <c r="I3932" s="3"/>
    </row>
    <row r="3933" spans="1:9" ht="10.5" customHeight="1">
      <c r="A3933" s="3" t="s">
        <v>5472</v>
      </c>
      <c r="B3933" s="3" t="s">
        <v>5471</v>
      </c>
      <c r="C3933" s="3">
        <f>VLOOKUP(B3933,LifeList!$E$2:$J$2038,6)</f>
        <v>14015</v>
      </c>
      <c r="D3933" s="3" t="str">
        <f>VLOOKUP(B3933,LifeList!$E$2:$G$2038,1)</f>
        <v>White-bellied Antbird</v>
      </c>
      <c r="E3933" s="3" t="str">
        <f>VLOOKUP(B3933,LifeList!$E$2:$G$2038,2)</f>
        <v>Alapi à ventre blanc</v>
      </c>
      <c r="F3933" s="3" t="str">
        <f>VLOOKUP(B3933,LifeList!$E$2:$G$2038,3)</f>
        <v>Myrmeciza longipes</v>
      </c>
      <c r="G3933" s="3" t="str">
        <f>VLOOKUP(B3933,LifeList!$E$2:$I$2038,4)</f>
        <v>Passeriformes</v>
      </c>
      <c r="H3933" s="3" t="str">
        <f>VLOOKUP(B3933,LifeList!$E$2:$I$2038,5)</f>
        <v>Thamnophilidae (Typical Antbirds)</v>
      </c>
      <c r="I3933" s="3"/>
    </row>
    <row r="3934" spans="1:9" ht="10.5" customHeight="1">
      <c r="A3934" s="3" t="s">
        <v>5473</v>
      </c>
      <c r="B3934" s="3" t="s">
        <v>5474</v>
      </c>
      <c r="C3934" s="3">
        <f>VLOOKUP(B3934,LifeList!$E$2:$J$2038,6)</f>
        <v>2978</v>
      </c>
      <c r="D3934" s="3" t="str">
        <f>VLOOKUP(B3934,LifeList!$E$2:$G$2038,1)</f>
        <v>White-bellied Go-away-bird</v>
      </c>
      <c r="E3934" s="3" t="str">
        <f>VLOOKUP(B3934,LifeList!$E$2:$G$2038,2)</f>
        <v>Touraco à ventre blanc</v>
      </c>
      <c r="F3934" s="3" t="str">
        <f>VLOOKUP(B3934,LifeList!$E$2:$G$2038,3)</f>
        <v>Crinifer leucogaster</v>
      </c>
      <c r="G3934" s="3" t="str">
        <f>VLOOKUP(B3934,LifeList!$E$2:$I$2038,4)</f>
        <v>Musophagiformes</v>
      </c>
      <c r="H3934" s="3" t="str">
        <f>VLOOKUP(B3934,LifeList!$E$2:$I$2038,5)</f>
        <v>Musophagidae (Turacos)</v>
      </c>
      <c r="I3934" s="3"/>
    </row>
    <row r="3935" spans="1:9" ht="10.5" customHeight="1">
      <c r="A3935" s="3" t="s">
        <v>5475</v>
      </c>
      <c r="B3935" s="3" t="s">
        <v>5476</v>
      </c>
      <c r="C3935" s="3">
        <f>VLOOKUP(B3935,LifeList!$E$2:$J$2038,6)</f>
        <v>8376</v>
      </c>
      <c r="D3935" s="3" t="str">
        <f>VLOOKUP(B3935,LifeList!$E$2:$G$2038,1)</f>
        <v>White-bellied Sea-Eagle</v>
      </c>
      <c r="E3935" s="3" t="str">
        <f>VLOOKUP(B3935,LifeList!$E$2:$G$2038,2)</f>
        <v>Pygargue blagre</v>
      </c>
      <c r="F3935" s="3" t="str">
        <f>VLOOKUP(B3935,LifeList!$E$2:$G$2038,3)</f>
        <v>Icthyophaga leucogaster</v>
      </c>
      <c r="G3935" s="3" t="str">
        <f>VLOOKUP(B3935,LifeList!$E$2:$I$2038,4)</f>
        <v>Accipitriformes</v>
      </c>
      <c r="H3935" s="3" t="str">
        <f>VLOOKUP(B3935,LifeList!$E$2:$I$2038,5)</f>
        <v>Accipitridae (Hawks, Eagles, and Kites)</v>
      </c>
      <c r="I3935" s="3"/>
    </row>
    <row r="3936" spans="1:9" ht="10.5" customHeight="1">
      <c r="A3936" s="3" t="s">
        <v>5477</v>
      </c>
      <c r="B3936" s="3" t="s">
        <v>5478</v>
      </c>
      <c r="C3936" s="3">
        <f>VLOOKUP(B3936,LifeList!$E$2:$J$2038,6)</f>
        <v>30434</v>
      </c>
      <c r="D3936" s="3" t="str">
        <f>VLOOKUP(B3936,LifeList!$E$2:$G$2038,1)</f>
        <v>White-bellied Sunbird</v>
      </c>
      <c r="E3936" s="3" t="str">
        <f>VLOOKUP(B3936,LifeList!$E$2:$G$2038,2)</f>
        <v>Souimanga à ventre blanc</v>
      </c>
      <c r="F3936" s="3" t="str">
        <f>VLOOKUP(B3936,LifeList!$E$2:$G$2038,3)</f>
        <v>Cinnyris talatala</v>
      </c>
      <c r="G3936" s="3" t="str">
        <f>VLOOKUP(B3936,LifeList!$E$2:$I$2038,4)</f>
        <v>Passeriformes</v>
      </c>
      <c r="H3936" s="3" t="str">
        <f>VLOOKUP(B3936,LifeList!$E$2:$I$2038,5)</f>
        <v>Nectariniidae (Sunbirds and Spiderhunters)</v>
      </c>
      <c r="I3936" s="3"/>
    </row>
    <row r="3937" spans="1:9" ht="10.5" customHeight="1">
      <c r="A3937" s="3" t="s">
        <v>5479</v>
      </c>
      <c r="B3937" s="3" t="s">
        <v>5480</v>
      </c>
      <c r="C3937" s="3">
        <f>VLOOKUP(B3937,LifeList!$E$2:$J$2038,6)</f>
        <v>4782</v>
      </c>
      <c r="D3937" s="3" t="str">
        <f>VLOOKUP(B3937,LifeList!$E$2:$G$2038,1)</f>
        <v>White-bellied Woodstar</v>
      </c>
      <c r="E3937" s="3" t="str">
        <f>VLOOKUP(B3937,LifeList!$E$2:$G$2038,2)</f>
        <v>Colibri de Mulsant</v>
      </c>
      <c r="F3937" s="3" t="str">
        <f>VLOOKUP(B3937,LifeList!$E$2:$G$2038,3)</f>
        <v>Chaetocercus mulsant</v>
      </c>
      <c r="G3937" s="3" t="str">
        <f>VLOOKUP(B3937,LifeList!$E$2:$I$2038,4)</f>
        <v>Apodiformes</v>
      </c>
      <c r="H3937" s="3" t="str">
        <f>VLOOKUP(B3937,LifeList!$E$2:$I$2038,5)</f>
        <v>Trochilidae (Hummingbirds)</v>
      </c>
      <c r="I3937" s="3"/>
    </row>
    <row r="3938" spans="1:9" ht="10.5" customHeight="1">
      <c r="A3938" s="3" t="s">
        <v>5481</v>
      </c>
      <c r="B3938" s="3" t="s">
        <v>5480</v>
      </c>
      <c r="C3938" s="3">
        <f>VLOOKUP(B3938,LifeList!$E$2:$J$2038,6)</f>
        <v>4782</v>
      </c>
      <c r="D3938" s="3" t="str">
        <f>VLOOKUP(B3938,LifeList!$E$2:$G$2038,1)</f>
        <v>White-bellied Woodstar</v>
      </c>
      <c r="E3938" s="3" t="str">
        <f>VLOOKUP(B3938,LifeList!$E$2:$G$2038,2)</f>
        <v>Colibri de Mulsant</v>
      </c>
      <c r="F3938" s="3" t="str">
        <f>VLOOKUP(B3938,LifeList!$E$2:$G$2038,3)</f>
        <v>Chaetocercus mulsant</v>
      </c>
      <c r="G3938" s="3" t="str">
        <f>VLOOKUP(B3938,LifeList!$E$2:$I$2038,4)</f>
        <v>Apodiformes</v>
      </c>
      <c r="H3938" s="3" t="str">
        <f>VLOOKUP(B3938,LifeList!$E$2:$I$2038,5)</f>
        <v>Trochilidae (Hummingbirds)</v>
      </c>
      <c r="I3938" s="3"/>
    </row>
    <row r="3939" spans="1:9" ht="10.5" customHeight="1">
      <c r="A3939" s="3" t="s">
        <v>5482</v>
      </c>
      <c r="B3939" s="3" t="s">
        <v>5480</v>
      </c>
      <c r="C3939" s="3">
        <f>VLOOKUP(B3939,LifeList!$E$2:$J$2038,6)</f>
        <v>4782</v>
      </c>
      <c r="D3939" s="3" t="str">
        <f>VLOOKUP(B3939,LifeList!$E$2:$G$2038,1)</f>
        <v>White-bellied Woodstar</v>
      </c>
      <c r="E3939" s="3" t="str">
        <f>VLOOKUP(B3939,LifeList!$E$2:$G$2038,2)</f>
        <v>Colibri de Mulsant</v>
      </c>
      <c r="F3939" s="3" t="str">
        <f>VLOOKUP(B3939,LifeList!$E$2:$G$2038,3)</f>
        <v>Chaetocercus mulsant</v>
      </c>
      <c r="G3939" s="3" t="str">
        <f>VLOOKUP(B3939,LifeList!$E$2:$I$2038,4)</f>
        <v>Apodiformes</v>
      </c>
      <c r="H3939" s="3" t="str">
        <f>VLOOKUP(B3939,LifeList!$E$2:$I$2038,5)</f>
        <v>Trochilidae (Hummingbirds)</v>
      </c>
      <c r="I3939" s="3"/>
    </row>
    <row r="3940" spans="1:9" ht="10.5" customHeight="1">
      <c r="A3940" s="3" t="s">
        <v>5483</v>
      </c>
      <c r="B3940" s="3" t="s">
        <v>5484</v>
      </c>
      <c r="C3940" s="3">
        <f>VLOOKUP(B3940,LifeList!$E$2:$J$2038,6)</f>
        <v>4678</v>
      </c>
      <c r="D3940" s="3" t="str">
        <f>VLOOKUP(B3940,LifeList!$E$2:$G$2038,1)</f>
        <v>White-booted Racket-tail</v>
      </c>
      <c r="E3940" s="3" t="str">
        <f>VLOOKUP(B3940,LifeList!$E$2:$G$2038,2)</f>
        <v>Haut-de-chausses à palettes</v>
      </c>
      <c r="F3940" s="3" t="str">
        <f>VLOOKUP(B3940,LifeList!$E$2:$G$2038,3)</f>
        <v>Ocreatus underwoodii</v>
      </c>
      <c r="G3940" s="3" t="str">
        <f>VLOOKUP(B3940,LifeList!$E$2:$I$2038,4)</f>
        <v>Apodiformes</v>
      </c>
      <c r="H3940" s="3" t="str">
        <f>VLOOKUP(B3940,LifeList!$E$2:$I$2038,5)</f>
        <v>Trochilidae (Hummingbirds)</v>
      </c>
      <c r="I3940" s="3"/>
    </row>
    <row r="3941" spans="1:9" ht="10.5" customHeight="1">
      <c r="A3941" s="3" t="s">
        <v>5485</v>
      </c>
      <c r="B3941" s="3" t="s">
        <v>5486</v>
      </c>
      <c r="C3941" s="3">
        <f>VLOOKUP(B3941,LifeList!$E$2:$J$2038,6)</f>
        <v>26889</v>
      </c>
      <c r="D3941" s="3" t="str">
        <f>VLOOKUP(B3941,LifeList!$E$2:$G$2038,1)</f>
        <v>White-breasted Nuthatch</v>
      </c>
      <c r="E3941" s="3" t="str">
        <f>VLOOKUP(B3941,LifeList!$E$2:$G$2038,2)</f>
        <v>Sittelle à poitrine blanche</v>
      </c>
      <c r="F3941" s="3" t="str">
        <f>VLOOKUP(B3941,LifeList!$E$2:$G$2038,3)</f>
        <v>Sitta carolinensis</v>
      </c>
      <c r="G3941" s="3" t="str">
        <f>VLOOKUP(B3941,LifeList!$E$2:$I$2038,4)</f>
        <v>Passeriformes</v>
      </c>
      <c r="H3941" s="3" t="str">
        <f>VLOOKUP(B3941,LifeList!$E$2:$I$2038,5)</f>
        <v>Sittidae (Nuthatches)</v>
      </c>
      <c r="I3941" s="3"/>
    </row>
    <row r="3942" spans="1:9" ht="10.5" customHeight="1">
      <c r="A3942" s="3" t="s">
        <v>5487</v>
      </c>
      <c r="B3942" s="3" t="s">
        <v>5486</v>
      </c>
      <c r="C3942" s="3">
        <f>VLOOKUP(B3942,LifeList!$E$2:$J$2038,6)</f>
        <v>26889</v>
      </c>
      <c r="D3942" s="3" t="str">
        <f>VLOOKUP(B3942,LifeList!$E$2:$G$2038,1)</f>
        <v>White-breasted Nuthatch</v>
      </c>
      <c r="E3942" s="3" t="str">
        <f>VLOOKUP(B3942,LifeList!$E$2:$G$2038,2)</f>
        <v>Sittelle à poitrine blanche</v>
      </c>
      <c r="F3942" s="3" t="str">
        <f>VLOOKUP(B3942,LifeList!$E$2:$G$2038,3)</f>
        <v>Sitta carolinensis</v>
      </c>
      <c r="G3942" s="3" t="str">
        <f>VLOOKUP(B3942,LifeList!$E$2:$I$2038,4)</f>
        <v>Passeriformes</v>
      </c>
      <c r="H3942" s="3" t="str">
        <f>VLOOKUP(B3942,LifeList!$E$2:$I$2038,5)</f>
        <v>Sittidae (Nuthatches)</v>
      </c>
      <c r="I3942" s="3"/>
    </row>
    <row r="3943" spans="1:9" ht="10.5" customHeight="1">
      <c r="A3943" s="3" t="s">
        <v>5488</v>
      </c>
      <c r="B3943" s="3" t="s">
        <v>5486</v>
      </c>
      <c r="C3943" s="3">
        <f>VLOOKUP(B3943,LifeList!$E$2:$J$2038,6)</f>
        <v>26889</v>
      </c>
      <c r="D3943" s="3" t="str">
        <f>VLOOKUP(B3943,LifeList!$E$2:$G$2038,1)</f>
        <v>White-breasted Nuthatch</v>
      </c>
      <c r="E3943" s="3" t="str">
        <f>VLOOKUP(B3943,LifeList!$E$2:$G$2038,2)</f>
        <v>Sittelle à poitrine blanche</v>
      </c>
      <c r="F3943" s="3" t="str">
        <f>VLOOKUP(B3943,LifeList!$E$2:$G$2038,3)</f>
        <v>Sitta carolinensis</v>
      </c>
      <c r="G3943" s="3" t="str">
        <f>VLOOKUP(B3943,LifeList!$E$2:$I$2038,4)</f>
        <v>Passeriformes</v>
      </c>
      <c r="H3943" s="3" t="str">
        <f>VLOOKUP(B3943,LifeList!$E$2:$I$2038,5)</f>
        <v>Sittidae (Nuthatches)</v>
      </c>
      <c r="I3943" s="3"/>
    </row>
    <row r="3944" spans="1:9" ht="10.5" customHeight="1">
      <c r="A3944" s="3" t="s">
        <v>5489</v>
      </c>
      <c r="B3944" s="3" t="s">
        <v>5486</v>
      </c>
      <c r="C3944" s="3">
        <f>VLOOKUP(B3944,LifeList!$E$2:$J$2038,6)</f>
        <v>26889</v>
      </c>
      <c r="D3944" s="3" t="str">
        <f>VLOOKUP(B3944,LifeList!$E$2:$G$2038,1)</f>
        <v>White-breasted Nuthatch</v>
      </c>
      <c r="E3944" s="3" t="str">
        <f>VLOOKUP(B3944,LifeList!$E$2:$G$2038,2)</f>
        <v>Sittelle à poitrine blanche</v>
      </c>
      <c r="F3944" s="3" t="str">
        <f>VLOOKUP(B3944,LifeList!$E$2:$G$2038,3)</f>
        <v>Sitta carolinensis</v>
      </c>
      <c r="G3944" s="3" t="str">
        <f>VLOOKUP(B3944,LifeList!$E$2:$I$2038,4)</f>
        <v>Passeriformes</v>
      </c>
      <c r="H3944" s="3" t="str">
        <f>VLOOKUP(B3944,LifeList!$E$2:$I$2038,5)</f>
        <v>Sittidae (Nuthatches)</v>
      </c>
      <c r="I3944" s="3"/>
    </row>
    <row r="3945" spans="1:9" ht="10.5" customHeight="1">
      <c r="A3945" s="3" t="s">
        <v>5490</v>
      </c>
      <c r="B3945" s="3" t="s">
        <v>5486</v>
      </c>
      <c r="C3945" s="3">
        <f>VLOOKUP(B3945,LifeList!$E$2:$J$2038,6)</f>
        <v>26889</v>
      </c>
      <c r="D3945" s="3" t="str">
        <f>VLOOKUP(B3945,LifeList!$E$2:$G$2038,1)</f>
        <v>White-breasted Nuthatch</v>
      </c>
      <c r="E3945" s="3" t="str">
        <f>VLOOKUP(B3945,LifeList!$E$2:$G$2038,2)</f>
        <v>Sittelle à poitrine blanche</v>
      </c>
      <c r="F3945" s="3" t="str">
        <f>VLOOKUP(B3945,LifeList!$E$2:$G$2038,3)</f>
        <v>Sitta carolinensis</v>
      </c>
      <c r="G3945" s="3" t="str">
        <f>VLOOKUP(B3945,LifeList!$E$2:$I$2038,4)</f>
        <v>Passeriformes</v>
      </c>
      <c r="H3945" s="3" t="str">
        <f>VLOOKUP(B3945,LifeList!$E$2:$I$2038,5)</f>
        <v>Sittidae (Nuthatches)</v>
      </c>
      <c r="I3945" s="3"/>
    </row>
    <row r="3946" spans="1:9" ht="10.5" customHeight="1">
      <c r="A3946" s="3" t="s">
        <v>5491</v>
      </c>
      <c r="B3946" s="3" t="s">
        <v>5492</v>
      </c>
      <c r="C3946" s="3">
        <f>VLOOKUP(B3946,LifeList!$E$2:$J$2038,6)</f>
        <v>27594</v>
      </c>
      <c r="D3946" s="3" t="str">
        <f>VLOOKUP(B3946,LifeList!$E$2:$G$2038,1)</f>
        <v>White-breasted Wood-Wren</v>
      </c>
      <c r="E3946" s="3" t="str">
        <f>VLOOKUP(B3946,LifeList!$E$2:$G$2038,2)</f>
        <v>Troglodyte à poitrine blanche</v>
      </c>
      <c r="F3946" s="3" t="str">
        <f>VLOOKUP(B3946,LifeList!$E$2:$G$2038,3)</f>
        <v>Henicorhina leucosticta</v>
      </c>
      <c r="G3946" s="3" t="str">
        <f>VLOOKUP(B3946,LifeList!$E$2:$I$2038,4)</f>
        <v>Passeriformes</v>
      </c>
      <c r="H3946" s="3" t="str">
        <f>VLOOKUP(B3946,LifeList!$E$2:$I$2038,5)</f>
        <v>Troglodytidae (Wrens)</v>
      </c>
      <c r="I3946" s="3"/>
    </row>
    <row r="3947" spans="1:9" ht="10.5" customHeight="1">
      <c r="A3947" s="7" t="s">
        <v>5493</v>
      </c>
      <c r="B3947" s="9" t="s">
        <v>5494</v>
      </c>
      <c r="C3947" s="6">
        <f>VLOOKUP(B3947,LifeList!$E$2:$J$2038,6)</f>
        <v>19738</v>
      </c>
      <c r="D3947" s="3" t="str">
        <f>VLOOKUP(B3947,LifeList!$E$2:$G$2038,1)</f>
        <v>White-breasted Woodswallow</v>
      </c>
      <c r="E3947" s="3" t="str">
        <f>VLOOKUP(B3947,LifeList!$E$2:$G$2038,2)</f>
        <v>Langrayen à ventre blanc</v>
      </c>
      <c r="F3947" s="3" t="str">
        <f>VLOOKUP(B3947,LifeList!$E$2:$G$2038,3)</f>
        <v>Artamus leucorynchus</v>
      </c>
      <c r="G3947" s="3" t="str">
        <f>VLOOKUP(B3947,LifeList!$E$2:$I$2038,4)</f>
        <v>Passeriformes</v>
      </c>
      <c r="H3947" s="3" t="str">
        <f>VLOOKUP(B3947,LifeList!$E$2:$I$2038,5)</f>
        <v>Artamidae (Woodswallows, Bellmagpies, and Allies)</v>
      </c>
      <c r="I3947" s="3"/>
    </row>
    <row r="3948" spans="1:9" ht="10.5" customHeight="1">
      <c r="A3948" s="5" t="s">
        <v>5495</v>
      </c>
      <c r="B3948" s="5" t="s">
        <v>5496</v>
      </c>
      <c r="C3948" s="6">
        <f>VLOOKUP(B3948,LifeList!$E$2:$J$2038,6)</f>
        <v>28978</v>
      </c>
      <c r="D3948" s="3" t="str">
        <f>VLOOKUP(B3948,LifeList!$E$2:$G$2038,1)</f>
        <v>White-browed Scrub-Robin</v>
      </c>
      <c r="E3948" s="3" t="str">
        <f>VLOOKUP(B3948,LifeList!$E$2:$G$2038,2)</f>
        <v>Agrobate à dos roux</v>
      </c>
      <c r="F3948" s="3" t="str">
        <f>VLOOKUP(B3948,LifeList!$E$2:$G$2038,3)</f>
        <v>Cercotrichas leucophrys</v>
      </c>
      <c r="G3948" s="3" t="str">
        <f>VLOOKUP(B3948,LifeList!$E$2:$I$2038,4)</f>
        <v>Passeriformes</v>
      </c>
      <c r="H3948" s="3" t="str">
        <f>VLOOKUP(B3948,LifeList!$E$2:$I$2038,5)</f>
        <v>Muscicapidae (Old World Flycatchers)</v>
      </c>
      <c r="I3948" s="3"/>
    </row>
    <row r="3949" spans="1:9" ht="10.5" customHeight="1">
      <c r="A3949" s="5" t="s">
        <v>5497</v>
      </c>
      <c r="B3949" s="3" t="s">
        <v>5498</v>
      </c>
      <c r="C3949" s="3">
        <f>VLOOKUP(B3949,LifeList!$E$2:$J$2038,6)</f>
        <v>17582</v>
      </c>
      <c r="D3949" s="3" t="str">
        <f>VLOOKUP(B3949,LifeList!$E$2:$G$2038,1)</f>
        <v>White-browed Treecreeper</v>
      </c>
      <c r="E3949" s="3" t="str">
        <f>VLOOKUP(B3949,LifeList!$E$2:$G$2038,2)</f>
        <v>Échelet à sourcils blancs</v>
      </c>
      <c r="F3949" s="3" t="str">
        <f>VLOOKUP(B3949,LifeList!$E$2:$G$2038,3)</f>
        <v>Climacteris affinis</v>
      </c>
      <c r="G3949" s="3" t="str">
        <f>VLOOKUP(B3949,LifeList!$E$2:$I$2038,4)</f>
        <v>Passeriformes</v>
      </c>
      <c r="H3949" s="3" t="str">
        <f>VLOOKUP(B3949,LifeList!$E$2:$I$2038,5)</f>
        <v>Climacteridae (Australasian Treecreepers)</v>
      </c>
      <c r="I3949" s="3"/>
    </row>
    <row r="3950" spans="1:9" ht="10.5" customHeight="1">
      <c r="A3950" s="7" t="s">
        <v>5499</v>
      </c>
      <c r="B3950" s="9" t="s">
        <v>5500</v>
      </c>
      <c r="C3950" s="6">
        <f>VLOOKUP(B3950,LifeList!$E$2:$J$2038,6)</f>
        <v>18509</v>
      </c>
      <c r="D3950" s="3" t="str">
        <f>VLOOKUP(B3950,LifeList!$E$2:$G$2038,1)</f>
        <v>White-browed Babbler</v>
      </c>
      <c r="E3950" s="3" t="str">
        <f>VLOOKUP(B3950,LifeList!$E$2:$G$2038,2)</f>
        <v>Pomatostome bridé</v>
      </c>
      <c r="F3950" s="3" t="str">
        <f>VLOOKUP(B3950,LifeList!$E$2:$G$2038,3)</f>
        <v>Pomatostomus superciliosus</v>
      </c>
      <c r="G3950" s="3" t="str">
        <f>VLOOKUP(B3950,LifeList!$E$2:$I$2038,4)</f>
        <v>Passeriformes</v>
      </c>
      <c r="H3950" s="3" t="str">
        <f>VLOOKUP(B3950,LifeList!$E$2:$I$2038,5)</f>
        <v>Pomatostomidae (Pseudo-Babblers)</v>
      </c>
      <c r="I3950" s="3"/>
    </row>
    <row r="3951" spans="1:9" ht="10.5" customHeight="1">
      <c r="A3951" s="7" t="s">
        <v>5501</v>
      </c>
      <c r="B3951" s="9" t="s">
        <v>5500</v>
      </c>
      <c r="C3951" s="6">
        <f>VLOOKUP(B3951,LifeList!$E$2:$J$2038,6)</f>
        <v>18509</v>
      </c>
      <c r="D3951" s="3" t="str">
        <f>VLOOKUP(B3951,LifeList!$E$2:$G$2038,1)</f>
        <v>White-browed Babbler</v>
      </c>
      <c r="E3951" s="3" t="str">
        <f>VLOOKUP(B3951,LifeList!$E$2:$G$2038,2)</f>
        <v>Pomatostome bridé</v>
      </c>
      <c r="F3951" s="3" t="str">
        <f>VLOOKUP(B3951,LifeList!$E$2:$G$2038,3)</f>
        <v>Pomatostomus superciliosus</v>
      </c>
      <c r="G3951" s="3" t="str">
        <f>VLOOKUP(B3951,LifeList!$E$2:$I$2038,4)</f>
        <v>Passeriformes</v>
      </c>
      <c r="H3951" s="3" t="str">
        <f>VLOOKUP(B3951,LifeList!$E$2:$I$2038,5)</f>
        <v>Pomatostomidae (Pseudo-Babblers)</v>
      </c>
      <c r="I3951" s="3"/>
    </row>
    <row r="3952" spans="1:9" ht="10.5" customHeight="1">
      <c r="A3952" s="3" t="s">
        <v>5502</v>
      </c>
      <c r="B3952" s="3" t="s">
        <v>5503</v>
      </c>
      <c r="C3952" s="3">
        <f>VLOOKUP(B3952,LifeList!$E$2:$J$2038,6)</f>
        <v>3111</v>
      </c>
      <c r="D3952" s="3" t="str">
        <f>VLOOKUP(B3952,LifeList!$E$2:$G$2038,1)</f>
        <v>White-browed Coucal</v>
      </c>
      <c r="E3952" s="3" t="str">
        <f>VLOOKUP(B3952,LifeList!$E$2:$G$2038,2)</f>
        <v>Coucal à sourcils blancs</v>
      </c>
      <c r="F3952" s="3" t="str">
        <f>VLOOKUP(B3952,LifeList!$E$2:$G$2038,3)</f>
        <v>Centropus superciliosus</v>
      </c>
      <c r="G3952" s="3" t="str">
        <f>VLOOKUP(B3952,LifeList!$E$2:$I$2038,4)</f>
        <v>Cuculiformes</v>
      </c>
      <c r="H3952" s="3" t="str">
        <f>VLOOKUP(B3952,LifeList!$E$2:$I$2038,5)</f>
        <v>Cuculidae (Cuckoos)</v>
      </c>
      <c r="I3952" s="3"/>
    </row>
    <row r="3953" spans="1:9" ht="10.5" customHeight="1">
      <c r="A3953" s="3" t="s">
        <v>5504</v>
      </c>
      <c r="B3953" s="3" t="s">
        <v>5505</v>
      </c>
      <c r="C3953" s="3">
        <f>VLOOKUP(B3953,LifeList!$E$2:$J$2038,6)</f>
        <v>9132</v>
      </c>
      <c r="D3953" s="3" t="str">
        <f>VLOOKUP(B3953,LifeList!$E$2:$G$2038,1)</f>
        <v>White-browed Owl</v>
      </c>
      <c r="E3953" s="3" t="str">
        <f>VLOOKUP(B3953,LifeList!$E$2:$G$2038,2)</f>
        <v>Chevêche à sourcils blancs</v>
      </c>
      <c r="F3953" s="3" t="str">
        <f>VLOOKUP(B3953,LifeList!$E$2:$G$2038,3)</f>
        <v>Athene superciliaris</v>
      </c>
      <c r="G3953" s="3" t="str">
        <f>VLOOKUP(B3953,LifeList!$E$2:$I$2038,4)</f>
        <v>Strigiformes</v>
      </c>
      <c r="H3953" s="3" t="str">
        <f>VLOOKUP(B3953,LifeList!$E$2:$I$2038,5)</f>
        <v>Strigidae (Owls)</v>
      </c>
      <c r="I3953" s="3"/>
    </row>
    <row r="3954" spans="1:9" ht="10.5" customHeight="1">
      <c r="A3954" s="3" t="s">
        <v>5506</v>
      </c>
      <c r="B3954" s="3" t="s">
        <v>5507</v>
      </c>
      <c r="C3954" s="3">
        <f>VLOOKUP(B3954,LifeList!$E$2:$J$2038,6)</f>
        <v>29225</v>
      </c>
      <c r="D3954" s="3" t="str">
        <f>VLOOKUP(B3954,LifeList!$E$2:$G$2038,1)</f>
        <v>White-browed Robin-Chat</v>
      </c>
      <c r="E3954" s="3" t="str">
        <f>VLOOKUP(B3954,LifeList!$E$2:$G$2038,2)</f>
        <v>Cossyphe de Heuglin</v>
      </c>
      <c r="F3954" s="3" t="str">
        <f>VLOOKUP(B3954,LifeList!$E$2:$G$2038,3)</f>
        <v>Cossypha heuglini</v>
      </c>
      <c r="G3954" s="3" t="str">
        <f>VLOOKUP(B3954,LifeList!$E$2:$I$2038,4)</f>
        <v>Passeriformes</v>
      </c>
      <c r="H3954" s="3" t="str">
        <f>VLOOKUP(B3954,LifeList!$E$2:$I$2038,5)</f>
        <v>Muscicapidae (Old World Flycatchers)</v>
      </c>
      <c r="I3954" s="3"/>
    </row>
    <row r="3955" spans="1:9" ht="10.5" customHeight="1">
      <c r="A3955" s="3" t="s">
        <v>5508</v>
      </c>
      <c r="B3955" s="3" t="s">
        <v>5509</v>
      </c>
      <c r="C3955" s="3">
        <f>VLOOKUP(B3955,LifeList!$E$2:$J$2038,6)</f>
        <v>28978</v>
      </c>
      <c r="D3955" s="3" t="str">
        <f>VLOOKUP(B3955,LifeList!$E$2:$G$2038,1)</f>
        <v>White-browed Scrub-Robin</v>
      </c>
      <c r="E3955" s="3" t="str">
        <f>VLOOKUP(B3955,LifeList!$E$2:$G$2038,2)</f>
        <v>Agrobate à dos roux</v>
      </c>
      <c r="F3955" s="3" t="str">
        <f>VLOOKUP(B3955,LifeList!$E$2:$G$2038,3)</f>
        <v>Cercotrichas leucophrys</v>
      </c>
      <c r="G3955" s="3" t="str">
        <f>VLOOKUP(B3955,LifeList!$E$2:$I$2038,4)</f>
        <v>Passeriformes</v>
      </c>
      <c r="H3955" s="3" t="str">
        <f>VLOOKUP(B3955,LifeList!$E$2:$I$2038,5)</f>
        <v>Muscicapidae (Old World Flycatchers)</v>
      </c>
      <c r="I3955" s="3"/>
    </row>
    <row r="3956" spans="1:9" ht="10.5" customHeight="1">
      <c r="A3956" s="3" t="s">
        <v>5510</v>
      </c>
      <c r="B3956" s="3" t="s">
        <v>5511</v>
      </c>
      <c r="C3956" s="3">
        <f>VLOOKUP(B3956,LifeList!$E$2:$J$2038,6)</f>
        <v>18309</v>
      </c>
      <c r="D3956" s="3" t="str">
        <f>VLOOKUP(B3956,LifeList!$E$2:$G$2038,1)</f>
        <v>White-browed Scrubwren</v>
      </c>
      <c r="E3956" s="3" t="str">
        <f>VLOOKUP(B3956,LifeList!$E$2:$G$2038,2)</f>
        <v>Séricorne à sourcils blancs</v>
      </c>
      <c r="F3956" s="3" t="str">
        <f>VLOOKUP(B3956,LifeList!$E$2:$G$2038,3)</f>
        <v>Sericornis frontalis</v>
      </c>
      <c r="G3956" s="3" t="str">
        <f>VLOOKUP(B3956,LifeList!$E$2:$I$2038,4)</f>
        <v>Passeriformes</v>
      </c>
      <c r="H3956" s="3" t="str">
        <f>VLOOKUP(B3956,LifeList!$E$2:$I$2038,5)</f>
        <v>Acanthizidae (Thornbills and Allies)</v>
      </c>
      <c r="I3956" s="3"/>
    </row>
    <row r="3957" spans="1:9" ht="10.5" customHeight="1">
      <c r="A3957" s="7" t="s">
        <v>5512</v>
      </c>
      <c r="B3957" s="9" t="s">
        <v>5513</v>
      </c>
      <c r="C3957" s="6">
        <f>VLOOKUP(B3957,LifeList!$E$2:$J$2038,6)</f>
        <v>19750</v>
      </c>
      <c r="D3957" s="3" t="str">
        <f>VLOOKUP(B3957,LifeList!$E$2:$G$2038,1)</f>
        <v>White-browed Woodswallow</v>
      </c>
      <c r="E3957" s="3" t="str">
        <f>VLOOKUP(B3957,LifeList!$E$2:$G$2038,2)</f>
        <v>Langrayen bridé</v>
      </c>
      <c r="F3957" s="3" t="str">
        <f>VLOOKUP(B3957,LifeList!$E$2:$G$2038,3)</f>
        <v>Artamus superciliosus</v>
      </c>
      <c r="G3957" s="3" t="str">
        <f>VLOOKUP(B3957,LifeList!$E$2:$I$2038,4)</f>
        <v>Passeriformes</v>
      </c>
      <c r="H3957" s="3" t="str">
        <f>VLOOKUP(B3957,LifeList!$E$2:$I$2038,5)</f>
        <v>Artamidae (Woodswallows, Bellmagpies, and Allies)</v>
      </c>
      <c r="I3957" s="3"/>
    </row>
    <row r="3958" spans="1:9" ht="10.5" customHeight="1">
      <c r="A3958" s="3" t="s">
        <v>5514</v>
      </c>
      <c r="B3958" s="3" t="s">
        <v>5515</v>
      </c>
      <c r="C3958" s="3">
        <f>VLOOKUP(B3958,LifeList!$E$2:$J$2038,6)</f>
        <v>27674</v>
      </c>
      <c r="D3958" s="3" t="str">
        <f>VLOOKUP(B3958,LifeList!$E$2:$G$2038,1)</f>
        <v>White-capped Dipper</v>
      </c>
      <c r="E3958" s="3" t="str">
        <f>VLOOKUP(B3958,LifeList!$E$2:$G$2038,2)</f>
        <v>Cincle à tête blanche</v>
      </c>
      <c r="F3958" s="3" t="str">
        <f>VLOOKUP(B3958,LifeList!$E$2:$G$2038,3)</f>
        <v>Cinclus leucocephalus</v>
      </c>
      <c r="G3958" s="3" t="str">
        <f>VLOOKUP(B3958,LifeList!$E$2:$I$2038,4)</f>
        <v>Passeriformes</v>
      </c>
      <c r="H3958" s="3" t="str">
        <f>VLOOKUP(B3958,LifeList!$E$2:$I$2038,5)</f>
        <v>Cinclidae (Dippers)</v>
      </c>
      <c r="I3958" s="3"/>
    </row>
    <row r="3959" spans="1:9" ht="10.5" customHeight="1">
      <c r="A3959" s="3" t="s">
        <v>5516</v>
      </c>
      <c r="B3959" s="3" t="s">
        <v>5515</v>
      </c>
      <c r="C3959" s="3">
        <f>VLOOKUP(B3959,LifeList!$E$2:$J$2038,6)</f>
        <v>27674</v>
      </c>
      <c r="D3959" s="3" t="str">
        <f>VLOOKUP(B3959,LifeList!$E$2:$G$2038,1)</f>
        <v>White-capped Dipper</v>
      </c>
      <c r="E3959" s="3" t="str">
        <f>VLOOKUP(B3959,LifeList!$E$2:$G$2038,2)</f>
        <v>Cincle à tête blanche</v>
      </c>
      <c r="F3959" s="3" t="str">
        <f>VLOOKUP(B3959,LifeList!$E$2:$G$2038,3)</f>
        <v>Cinclus leucocephalus</v>
      </c>
      <c r="G3959" s="3" t="str">
        <f>VLOOKUP(B3959,LifeList!$E$2:$I$2038,4)</f>
        <v>Passeriformes</v>
      </c>
      <c r="H3959" s="3" t="str">
        <f>VLOOKUP(B3959,LifeList!$E$2:$I$2038,5)</f>
        <v>Cinclidae (Dippers)</v>
      </c>
      <c r="I3959" s="3"/>
    </row>
    <row r="3960" spans="1:9" ht="10.5" customHeight="1">
      <c r="A3960" s="3" t="s">
        <v>5517</v>
      </c>
      <c r="B3960" s="3" t="s">
        <v>5518</v>
      </c>
      <c r="C3960" s="3">
        <f>VLOOKUP(B3960,LifeList!$E$2:$J$2038,6)</f>
        <v>34661</v>
      </c>
      <c r="D3960" s="3" t="str">
        <f>VLOOKUP(B3960,LifeList!$E$2:$G$2038,1)</f>
        <v>White-capped Tanager</v>
      </c>
      <c r="E3960" s="3" t="str">
        <f>VLOOKUP(B3960,LifeList!$E$2:$G$2038,2)</f>
        <v>Tangara à coiffe blanche</v>
      </c>
      <c r="F3960" s="3" t="str">
        <f>VLOOKUP(B3960,LifeList!$E$2:$G$2038,3)</f>
        <v>Sericossypha albocristata</v>
      </c>
      <c r="G3960" s="3" t="str">
        <f>VLOOKUP(B3960,LifeList!$E$2:$I$2038,4)</f>
        <v>Passeriformes</v>
      </c>
      <c r="H3960" s="3" t="str">
        <f>VLOOKUP(B3960,LifeList!$E$2:$I$2038,5)</f>
        <v>Thraupidae (Tanagers and Allies)</v>
      </c>
      <c r="I3960" s="3"/>
    </row>
    <row r="3961" spans="1:9" ht="10.5" customHeight="1">
      <c r="A3961" s="3" t="s">
        <v>5519</v>
      </c>
      <c r="B3961" s="3" t="s">
        <v>5518</v>
      </c>
      <c r="C3961" s="3">
        <f>VLOOKUP(B3961,LifeList!$E$2:$J$2038,6)</f>
        <v>34661</v>
      </c>
      <c r="D3961" s="3" t="str">
        <f>VLOOKUP(B3961,LifeList!$E$2:$G$2038,1)</f>
        <v>White-capped Tanager</v>
      </c>
      <c r="E3961" s="3" t="str">
        <f>VLOOKUP(B3961,LifeList!$E$2:$G$2038,2)</f>
        <v>Tangara à coiffe blanche</v>
      </c>
      <c r="F3961" s="3" t="str">
        <f>VLOOKUP(B3961,LifeList!$E$2:$G$2038,3)</f>
        <v>Sericossypha albocristata</v>
      </c>
      <c r="G3961" s="3" t="str">
        <f>VLOOKUP(B3961,LifeList!$E$2:$I$2038,4)</f>
        <v>Passeriformes</v>
      </c>
      <c r="H3961" s="3" t="str">
        <f>VLOOKUP(B3961,LifeList!$E$2:$I$2038,5)</f>
        <v>Thraupidae (Tanagers and Allies)</v>
      </c>
      <c r="I3961" s="3"/>
    </row>
    <row r="3962" spans="1:9" ht="10.5" customHeight="1">
      <c r="A3962" s="3" t="s">
        <v>5520</v>
      </c>
      <c r="B3962" s="3" t="s">
        <v>5518</v>
      </c>
      <c r="C3962" s="3">
        <f>VLOOKUP(B3962,LifeList!$E$2:$J$2038,6)</f>
        <v>34661</v>
      </c>
      <c r="D3962" s="3" t="str">
        <f>VLOOKUP(B3962,LifeList!$E$2:$G$2038,1)</f>
        <v>White-capped Tanager</v>
      </c>
      <c r="E3962" s="3" t="str">
        <f>VLOOKUP(B3962,LifeList!$E$2:$G$2038,2)</f>
        <v>Tangara à coiffe blanche</v>
      </c>
      <c r="F3962" s="3" t="str">
        <f>VLOOKUP(B3962,LifeList!$E$2:$G$2038,3)</f>
        <v>Sericossypha albocristata</v>
      </c>
      <c r="G3962" s="3" t="str">
        <f>VLOOKUP(B3962,LifeList!$E$2:$I$2038,4)</f>
        <v>Passeriformes</v>
      </c>
      <c r="H3962" s="3" t="str">
        <f>VLOOKUP(B3962,LifeList!$E$2:$I$2038,5)</f>
        <v>Thraupidae (Tanagers and Allies)</v>
      </c>
      <c r="I3962" s="3"/>
    </row>
    <row r="3963" spans="1:9" ht="10.5" customHeight="1">
      <c r="A3963" s="7" t="s">
        <v>5521</v>
      </c>
      <c r="B3963" s="9" t="s">
        <v>5522</v>
      </c>
      <c r="C3963" s="6">
        <f>VLOOKUP(B3963,LifeList!$E$2:$J$2038,6)</f>
        <v>18108</v>
      </c>
      <c r="D3963" s="3" t="str">
        <f>VLOOKUP(B3963,LifeList!$E$2:$G$2038,1)</f>
        <v>White-cheeked Honeyeater</v>
      </c>
      <c r="E3963" s="3" t="str">
        <f>VLOOKUP(B3963,LifeList!$E$2:$G$2038,2)</f>
        <v>Méliphage fardé</v>
      </c>
      <c r="F3963" s="3" t="str">
        <f>VLOOKUP(B3963,LifeList!$E$2:$G$2038,3)</f>
        <v>Phylidonyris niger</v>
      </c>
      <c r="G3963" s="3" t="str">
        <f>VLOOKUP(B3963,LifeList!$E$2:$I$2038,4)</f>
        <v>Passeriformes</v>
      </c>
      <c r="H3963" s="3" t="str">
        <f>VLOOKUP(B3963,LifeList!$E$2:$I$2038,5)</f>
        <v>Meliphagidae (Honeyeaters)</v>
      </c>
      <c r="I3963" s="3"/>
    </row>
    <row r="3964" spans="1:9" ht="10.5" customHeight="1">
      <c r="A3964" s="3" t="s">
        <v>5523</v>
      </c>
      <c r="B3964" s="3" t="s">
        <v>5524</v>
      </c>
      <c r="C3964" s="3">
        <f>VLOOKUP(B3964,LifeList!$E$2:$J$2038,6)</f>
        <v>5160</v>
      </c>
      <c r="D3964" s="3" t="str">
        <f>VLOOKUP(B3964,LifeList!$E$2:$G$2038,1)</f>
        <v>White-chested Emerald</v>
      </c>
      <c r="E3964" s="3" t="str">
        <f>VLOOKUP(B3964,LifeList!$E$2:$G$2038,2)</f>
        <v>Ariane à poitrine blanche</v>
      </c>
      <c r="F3964" s="3" t="str">
        <f>VLOOKUP(B3964,LifeList!$E$2:$G$2038,3)</f>
        <v>Chrysuronia brevirostris</v>
      </c>
      <c r="G3964" s="3" t="str">
        <f>VLOOKUP(B3964,LifeList!$E$2:$I$2038,4)</f>
        <v>Apodiformes</v>
      </c>
      <c r="H3964" s="3" t="str">
        <f>VLOOKUP(B3964,LifeList!$E$2:$I$2038,5)</f>
        <v>Trochilidae (Hummingbirds)</v>
      </c>
      <c r="I3964" s="3"/>
    </row>
    <row r="3965" spans="1:9" ht="10.5" customHeight="1">
      <c r="A3965" s="3" t="s">
        <v>5525</v>
      </c>
      <c r="B3965" s="3" t="s">
        <v>5526</v>
      </c>
      <c r="C3965" s="3">
        <f>VLOOKUP(B3965,LifeList!$E$2:$J$2038,6)</f>
        <v>15451</v>
      </c>
      <c r="D3965" s="3" t="str">
        <f>VLOOKUP(B3965,LifeList!$E$2:$G$2038,1)</f>
        <v>White-chinned Thistletail</v>
      </c>
      <c r="E3965" s="3" t="str">
        <f>VLOOKUP(B3965,LifeList!$E$2:$G$2038,2)</f>
        <v>Synallaxe à menton blanc</v>
      </c>
      <c r="F3965" s="3" t="str">
        <f>VLOOKUP(B3965,LifeList!$E$2:$G$2038,3)</f>
        <v>Asthenes fuliginosa</v>
      </c>
      <c r="G3965" s="3" t="str">
        <f>VLOOKUP(B3965,LifeList!$E$2:$I$2038,4)</f>
        <v>Passeriformes</v>
      </c>
      <c r="H3965" s="3" t="str">
        <f>VLOOKUP(B3965,LifeList!$E$2:$I$2038,5)</f>
        <v>Furnariidae (Ovenbirds and Woodcreepers)</v>
      </c>
      <c r="I3965" s="3"/>
    </row>
    <row r="3966" spans="1:9" ht="10.5" customHeight="1">
      <c r="A3966" s="3" t="s">
        <v>5527</v>
      </c>
      <c r="B3966" s="3" t="s">
        <v>5528</v>
      </c>
      <c r="C3966" s="3">
        <f>VLOOKUP(B3966,LifeList!$E$2:$J$2038,6)</f>
        <v>15764</v>
      </c>
      <c r="D3966" s="3" t="str">
        <f>VLOOKUP(B3966,LifeList!$E$2:$G$2038,1)</f>
        <v>White-collared Manakin</v>
      </c>
      <c r="E3966" s="3" t="str">
        <f>VLOOKUP(B3966,LifeList!$E$2:$G$2038,2)</f>
        <v>Manakin à col blanc</v>
      </c>
      <c r="F3966" s="3" t="str">
        <f>VLOOKUP(B3966,LifeList!$E$2:$G$2038,3)</f>
        <v>Manacus candei</v>
      </c>
      <c r="G3966" s="3" t="str">
        <f>VLOOKUP(B3966,LifeList!$E$2:$I$2038,4)</f>
        <v>Passeriformes</v>
      </c>
      <c r="H3966" s="3" t="str">
        <f>VLOOKUP(B3966,LifeList!$E$2:$I$2038,5)</f>
        <v>Pipridae (Manakins)</v>
      </c>
      <c r="I3966" s="3"/>
    </row>
    <row r="3967" spans="1:9" ht="10.5" customHeight="1">
      <c r="A3967" s="3" t="s">
        <v>5529</v>
      </c>
      <c r="B3967" s="3" t="s">
        <v>5528</v>
      </c>
      <c r="C3967" s="3">
        <f>VLOOKUP(B3967,LifeList!$E$2:$J$2038,6)</f>
        <v>15764</v>
      </c>
      <c r="D3967" s="3" t="str">
        <f>VLOOKUP(B3967,LifeList!$E$2:$G$2038,1)</f>
        <v>White-collared Manakin</v>
      </c>
      <c r="E3967" s="3" t="str">
        <f>VLOOKUP(B3967,LifeList!$E$2:$G$2038,2)</f>
        <v>Manakin à col blanc</v>
      </c>
      <c r="F3967" s="3" t="str">
        <f>VLOOKUP(B3967,LifeList!$E$2:$G$2038,3)</f>
        <v>Manacus candei</v>
      </c>
      <c r="G3967" s="3" t="str">
        <f>VLOOKUP(B3967,LifeList!$E$2:$I$2038,4)</f>
        <v>Passeriformes</v>
      </c>
      <c r="H3967" s="3" t="str">
        <f>VLOOKUP(B3967,LifeList!$E$2:$I$2038,5)</f>
        <v>Pipridae (Manakins)</v>
      </c>
      <c r="I3967" s="3"/>
    </row>
    <row r="3968" spans="1:9" ht="10.5" customHeight="1">
      <c r="A3968" s="3" t="s">
        <v>5530</v>
      </c>
      <c r="B3968" s="3" t="s">
        <v>5531</v>
      </c>
      <c r="C3968" s="3">
        <f>VLOOKUP(B3968,LifeList!$E$2:$J$2038,6)</f>
        <v>3843</v>
      </c>
      <c r="D3968" s="3" t="str">
        <f>VLOOKUP(B3968,LifeList!$E$2:$G$2038,1)</f>
        <v>White-collared Swift</v>
      </c>
      <c r="E3968" s="3" t="str">
        <f>VLOOKUP(B3968,LifeList!$E$2:$G$2038,2)</f>
        <v>Martinet à collier blanc</v>
      </c>
      <c r="F3968" s="3" t="str">
        <f>VLOOKUP(B3968,LifeList!$E$2:$G$2038,3)</f>
        <v>Streptoprocne zonaris</v>
      </c>
      <c r="G3968" s="3" t="str">
        <f>VLOOKUP(B3968,LifeList!$E$2:$I$2038,4)</f>
        <v>Apodiformes</v>
      </c>
      <c r="H3968" s="3" t="str">
        <f>VLOOKUP(B3968,LifeList!$E$2:$I$2038,5)</f>
        <v>Apodidae (Swifts)</v>
      </c>
      <c r="I3968" s="3"/>
    </row>
    <row r="3969" spans="1:9" ht="10.5" customHeight="1">
      <c r="A3969" s="3" t="s">
        <v>5532</v>
      </c>
      <c r="B3969" s="3" t="s">
        <v>5531</v>
      </c>
      <c r="C3969" s="3">
        <f>VLOOKUP(B3969,LifeList!$E$2:$J$2038,6)</f>
        <v>3843</v>
      </c>
      <c r="D3969" s="3" t="str">
        <f>VLOOKUP(B3969,LifeList!$E$2:$G$2038,1)</f>
        <v>White-collared Swift</v>
      </c>
      <c r="E3969" s="3" t="str">
        <f>VLOOKUP(B3969,LifeList!$E$2:$G$2038,2)</f>
        <v>Martinet à collier blanc</v>
      </c>
      <c r="F3969" s="3" t="str">
        <f>VLOOKUP(B3969,LifeList!$E$2:$G$2038,3)</f>
        <v>Streptoprocne zonaris</v>
      </c>
      <c r="G3969" s="3" t="str">
        <f>VLOOKUP(B3969,LifeList!$E$2:$I$2038,4)</f>
        <v>Apodiformes</v>
      </c>
      <c r="H3969" s="3" t="str">
        <f>VLOOKUP(B3969,LifeList!$E$2:$I$2038,5)</f>
        <v>Apodidae (Swifts)</v>
      </c>
      <c r="I3969" s="3"/>
    </row>
    <row r="3970" spans="1:9" ht="10.5" customHeight="1">
      <c r="A3970" s="7" t="s">
        <v>5533</v>
      </c>
      <c r="B3970" s="9" t="s">
        <v>5534</v>
      </c>
      <c r="C3970" s="6">
        <f>VLOOKUP(B3970,LifeList!$E$2:$J$2038,6)</f>
        <v>19905</v>
      </c>
      <c r="D3970" s="3" t="str">
        <f>VLOOKUP(B3970,LifeList!$E$2:$G$2038,1)</f>
        <v>White-crested Helmetshrike</v>
      </c>
      <c r="E3970" s="3" t="str">
        <f>VLOOKUP(B3970,LifeList!$E$2:$G$2038,2)</f>
        <v>Bagadais casqué</v>
      </c>
      <c r="F3970" s="3" t="str">
        <f>VLOOKUP(B3970,LifeList!$E$2:$G$2038,3)</f>
        <v>Prionops plumatus</v>
      </c>
      <c r="G3970" s="3" t="str">
        <f>VLOOKUP(B3970,LifeList!$E$2:$I$2038,4)</f>
        <v>Passeriformes</v>
      </c>
      <c r="H3970" s="3" t="str">
        <f>VLOOKUP(B3970,LifeList!$E$2:$I$2038,5)</f>
        <v>Vangidae (Vangas, Helmetshrikes, and Allies)</v>
      </c>
      <c r="I3970" s="3"/>
    </row>
    <row r="3971" spans="1:9" ht="10.5" customHeight="1">
      <c r="A3971" s="3" t="s">
        <v>5535</v>
      </c>
      <c r="B3971" s="3" t="s">
        <v>5536</v>
      </c>
      <c r="C3971" s="3">
        <f>VLOOKUP(B3971,LifeList!$E$2:$J$2038,6)</f>
        <v>33187</v>
      </c>
      <c r="D3971" s="3" t="str">
        <f>VLOOKUP(B3971,LifeList!$E$2:$G$2038,1)</f>
        <v>White-crowned Sparrow</v>
      </c>
      <c r="E3971" s="3" t="str">
        <f>VLOOKUP(B3971,LifeList!$E$2:$G$2038,2)</f>
        <v>Bruant à couronne blanche</v>
      </c>
      <c r="F3971" s="3" t="str">
        <f>VLOOKUP(B3971,LifeList!$E$2:$G$2038,3)</f>
        <v>Zonotrichia leucophrys</v>
      </c>
      <c r="G3971" s="3" t="str">
        <f>VLOOKUP(B3971,LifeList!$E$2:$I$2038,4)</f>
        <v>Passeriformes</v>
      </c>
      <c r="H3971" s="3" t="str">
        <f>VLOOKUP(B3971,LifeList!$E$2:$I$2038,5)</f>
        <v>Passerellidae (New World Sparrows)</v>
      </c>
      <c r="I3971" s="3"/>
    </row>
    <row r="3972" spans="1:9" ht="10.5" customHeight="1">
      <c r="A3972" s="7" t="s">
        <v>5537</v>
      </c>
      <c r="B3972" s="9" t="s">
        <v>5538</v>
      </c>
      <c r="C3972" s="6">
        <f>VLOOKUP(B3972,LifeList!$E$2:$J$2038,6)</f>
        <v>5867</v>
      </c>
      <c r="D3972" s="3" t="str">
        <f>VLOOKUP(B3972,LifeList!$E$2:$G$2038,1)</f>
        <v>White-crowned Lapwing</v>
      </c>
      <c r="E3972" s="3" t="str">
        <f>VLOOKUP(B3972,LifeList!$E$2:$G$2038,2)</f>
        <v>Vanneau à tête blanche</v>
      </c>
      <c r="F3972" s="3" t="str">
        <f>VLOOKUP(B3972,LifeList!$E$2:$G$2038,3)</f>
        <v>Vanellus albiceps</v>
      </c>
      <c r="G3972" s="3" t="str">
        <f>VLOOKUP(B3972,LifeList!$E$2:$I$2038,4)</f>
        <v>Charadriiformes</v>
      </c>
      <c r="H3972" s="3" t="str">
        <f>VLOOKUP(B3972,LifeList!$E$2:$I$2038,5)</f>
        <v>Charadriidae (Plovers and Lapwings)</v>
      </c>
      <c r="I3972" s="3"/>
    </row>
    <row r="3973" spans="1:9" ht="10.5" customHeight="1">
      <c r="A3973" s="3" t="s">
        <v>5539</v>
      </c>
      <c r="B3973" s="3" t="s">
        <v>5540</v>
      </c>
      <c r="C3973" s="3">
        <f>VLOOKUP(B3973,LifeList!$E$2:$J$2038,6)</f>
        <v>12894</v>
      </c>
      <c r="D3973" s="3" t="str">
        <f>VLOOKUP(B3973,LifeList!$E$2:$G$2038,1)</f>
        <v>White-crowned Parrot</v>
      </c>
      <c r="E3973" s="3" t="str">
        <f>VLOOKUP(B3973,LifeList!$E$2:$G$2038,2)</f>
        <v>Pione à couronne blanche</v>
      </c>
      <c r="F3973" s="3" t="str">
        <f>VLOOKUP(B3973,LifeList!$E$2:$G$2038,3)</f>
        <v>Pionus senilis</v>
      </c>
      <c r="G3973" s="3" t="str">
        <f>VLOOKUP(B3973,LifeList!$E$2:$I$2038,4)</f>
        <v>Psittaciformes</v>
      </c>
      <c r="H3973" s="3" t="str">
        <f>VLOOKUP(B3973,LifeList!$E$2:$I$2038,5)</f>
        <v>Psittacidae (New World and African Parrots)</v>
      </c>
      <c r="I3973" s="3"/>
    </row>
    <row r="3974" spans="1:9" ht="10.5" customHeight="1">
      <c r="A3974" s="3" t="s">
        <v>5541</v>
      </c>
      <c r="B3974" s="3" t="s">
        <v>5542</v>
      </c>
      <c r="C3974" s="3">
        <f>VLOOKUP(B3974,LifeList!$E$2:$J$2038,6)</f>
        <v>21168</v>
      </c>
      <c r="D3974" s="3" t="str">
        <f>VLOOKUP(B3974,LifeList!$E$2:$G$2038,1)</f>
        <v>White-crowned Shrike</v>
      </c>
      <c r="E3974" s="3" t="str">
        <f>VLOOKUP(B3974,LifeList!$E$2:$G$2038,2)</f>
        <v>Eurocéphale à couronne blanche</v>
      </c>
      <c r="F3974" s="3" t="str">
        <f>VLOOKUP(B3974,LifeList!$E$2:$G$2038,3)</f>
        <v>Eurocephalus anguitimens</v>
      </c>
      <c r="G3974" s="3" t="str">
        <f>VLOOKUP(B3974,LifeList!$E$2:$I$2038,4)</f>
        <v>Passeriformes</v>
      </c>
      <c r="H3974" s="3" t="str">
        <f>VLOOKUP(B3974,LifeList!$E$2:$I$2038,5)</f>
        <v>Laniidae (Shrikes)</v>
      </c>
      <c r="I3974" s="3"/>
    </row>
    <row r="3975" spans="1:9" ht="10.5" customHeight="1">
      <c r="A3975" s="3" t="s">
        <v>5543</v>
      </c>
      <c r="B3975" s="3" t="s">
        <v>5544</v>
      </c>
      <c r="C3975" s="3">
        <f>VLOOKUP(B3975,LifeList!$E$2:$J$2038,6)</f>
        <v>33187</v>
      </c>
      <c r="D3975" s="3" t="str">
        <f>VLOOKUP(B3975,LifeList!$E$2:$G$2038,1)</f>
        <v>White-crowned Sparrow</v>
      </c>
      <c r="E3975" s="3" t="str">
        <f>VLOOKUP(B3975,LifeList!$E$2:$G$2038,2)</f>
        <v>Bruant à couronne blanche</v>
      </c>
      <c r="F3975" s="3" t="str">
        <f>VLOOKUP(B3975,LifeList!$E$2:$G$2038,3)</f>
        <v>Zonotrichia leucophrys</v>
      </c>
      <c r="G3975" s="3" t="str">
        <f>VLOOKUP(B3975,LifeList!$E$2:$I$2038,4)</f>
        <v>Passeriformes</v>
      </c>
      <c r="H3975" s="3" t="str">
        <f>VLOOKUP(B3975,LifeList!$E$2:$I$2038,5)</f>
        <v>Passerellidae (New World Sparrows)</v>
      </c>
      <c r="I3975" s="3"/>
    </row>
    <row r="3976" spans="1:9" ht="10.5" customHeight="1">
      <c r="A3976" s="3" t="s">
        <v>5545</v>
      </c>
      <c r="B3976" s="3" t="s">
        <v>5544</v>
      </c>
      <c r="C3976" s="3">
        <f>VLOOKUP(B3976,LifeList!$E$2:$J$2038,6)</f>
        <v>33187</v>
      </c>
      <c r="D3976" s="3" t="str">
        <f>VLOOKUP(B3976,LifeList!$E$2:$G$2038,1)</f>
        <v>White-crowned Sparrow</v>
      </c>
      <c r="E3976" s="3" t="str">
        <f>VLOOKUP(B3976,LifeList!$E$2:$G$2038,2)</f>
        <v>Bruant à couronne blanche</v>
      </c>
      <c r="F3976" s="3" t="str">
        <f>VLOOKUP(B3976,LifeList!$E$2:$G$2038,3)</f>
        <v>Zonotrichia leucophrys</v>
      </c>
      <c r="G3976" s="3" t="str">
        <f>VLOOKUP(B3976,LifeList!$E$2:$I$2038,4)</f>
        <v>Passeriformes</v>
      </c>
      <c r="H3976" s="3" t="str">
        <f>VLOOKUP(B3976,LifeList!$E$2:$I$2038,5)</f>
        <v>Passerellidae (New World Sparrows)</v>
      </c>
      <c r="I3976" s="3"/>
    </row>
    <row r="3977" spans="1:9" ht="10.5" customHeight="1">
      <c r="A3977" s="3" t="s">
        <v>5546</v>
      </c>
      <c r="B3977" s="3" t="s">
        <v>5544</v>
      </c>
      <c r="C3977" s="3">
        <f>VLOOKUP(B3977,LifeList!$E$2:$J$2038,6)</f>
        <v>33187</v>
      </c>
      <c r="D3977" s="3" t="str">
        <f>VLOOKUP(B3977,LifeList!$E$2:$G$2038,1)</f>
        <v>White-crowned Sparrow</v>
      </c>
      <c r="E3977" s="3" t="str">
        <f>VLOOKUP(B3977,LifeList!$E$2:$G$2038,2)</f>
        <v>Bruant à couronne blanche</v>
      </c>
      <c r="F3977" s="3" t="str">
        <f>VLOOKUP(B3977,LifeList!$E$2:$G$2038,3)</f>
        <v>Zonotrichia leucophrys</v>
      </c>
      <c r="G3977" s="3" t="str">
        <f>VLOOKUP(B3977,LifeList!$E$2:$I$2038,4)</f>
        <v>Passeriformes</v>
      </c>
      <c r="H3977" s="3" t="str">
        <f>VLOOKUP(B3977,LifeList!$E$2:$I$2038,5)</f>
        <v>Passerellidae (New World Sparrows)</v>
      </c>
      <c r="I3977" s="3"/>
    </row>
    <row r="3978" spans="1:9" ht="10.5" customHeight="1">
      <c r="A3978" s="3" t="s">
        <v>5547</v>
      </c>
      <c r="B3978" s="3" t="s">
        <v>5544</v>
      </c>
      <c r="C3978" s="3">
        <f>VLOOKUP(B3978,LifeList!$E$2:$J$2038,6)</f>
        <v>33187</v>
      </c>
      <c r="D3978" s="3" t="str">
        <f>VLOOKUP(B3978,LifeList!$E$2:$G$2038,1)</f>
        <v>White-crowned Sparrow</v>
      </c>
      <c r="E3978" s="3" t="str">
        <f>VLOOKUP(B3978,LifeList!$E$2:$G$2038,2)</f>
        <v>Bruant à couronne blanche</v>
      </c>
      <c r="F3978" s="3" t="str">
        <f>VLOOKUP(B3978,LifeList!$E$2:$G$2038,3)</f>
        <v>Zonotrichia leucophrys</v>
      </c>
      <c r="G3978" s="3" t="str">
        <f>VLOOKUP(B3978,LifeList!$E$2:$I$2038,4)</f>
        <v>Passeriformes</v>
      </c>
      <c r="H3978" s="3" t="str">
        <f>VLOOKUP(B3978,LifeList!$E$2:$I$2038,5)</f>
        <v>Passerellidae (New World Sparrows)</v>
      </c>
      <c r="I3978" s="3"/>
    </row>
    <row r="3979" spans="1:9" ht="10.5" customHeight="1">
      <c r="A3979" s="3" t="s">
        <v>5548</v>
      </c>
      <c r="B3979" s="3" t="s">
        <v>5544</v>
      </c>
      <c r="C3979" s="3">
        <f>VLOOKUP(B3979,LifeList!$E$2:$J$2038,6)</f>
        <v>33187</v>
      </c>
      <c r="D3979" s="3" t="str">
        <f>VLOOKUP(B3979,LifeList!$E$2:$G$2038,1)</f>
        <v>White-crowned Sparrow</v>
      </c>
      <c r="E3979" s="3" t="str">
        <f>VLOOKUP(B3979,LifeList!$E$2:$G$2038,2)</f>
        <v>Bruant à couronne blanche</v>
      </c>
      <c r="F3979" s="3" t="str">
        <f>VLOOKUP(B3979,LifeList!$E$2:$G$2038,3)</f>
        <v>Zonotrichia leucophrys</v>
      </c>
      <c r="G3979" s="3" t="str">
        <f>VLOOKUP(B3979,LifeList!$E$2:$I$2038,4)</f>
        <v>Passeriformes</v>
      </c>
      <c r="H3979" s="3" t="str">
        <f>VLOOKUP(B3979,LifeList!$E$2:$I$2038,5)</f>
        <v>Passerellidae (New World Sparrows)</v>
      </c>
      <c r="I3979" s="3"/>
    </row>
    <row r="3980" spans="1:9" ht="10.5" customHeight="1">
      <c r="A3980" s="3" t="s">
        <v>5549</v>
      </c>
      <c r="B3980" s="3" t="s">
        <v>5544</v>
      </c>
      <c r="C3980" s="3">
        <f>VLOOKUP(B3980,LifeList!$E$2:$J$2038,6)</f>
        <v>33187</v>
      </c>
      <c r="D3980" s="3" t="str">
        <f>VLOOKUP(B3980,LifeList!$E$2:$G$2038,1)</f>
        <v>White-crowned Sparrow</v>
      </c>
      <c r="E3980" s="3" t="str">
        <f>VLOOKUP(B3980,LifeList!$E$2:$G$2038,2)</f>
        <v>Bruant à couronne blanche</v>
      </c>
      <c r="F3980" s="3" t="str">
        <f>VLOOKUP(B3980,LifeList!$E$2:$G$2038,3)</f>
        <v>Zonotrichia leucophrys</v>
      </c>
      <c r="G3980" s="3" t="str">
        <f>VLOOKUP(B3980,LifeList!$E$2:$I$2038,4)</f>
        <v>Passeriformes</v>
      </c>
      <c r="H3980" s="3" t="str">
        <f>VLOOKUP(B3980,LifeList!$E$2:$I$2038,5)</f>
        <v>Passerellidae (New World Sparrows)</v>
      </c>
      <c r="I3980" s="3"/>
    </row>
    <row r="3981" spans="1:9" ht="10.5" customHeight="1">
      <c r="A3981" s="3" t="s">
        <v>5550</v>
      </c>
      <c r="B3981" s="3" t="s">
        <v>5544</v>
      </c>
      <c r="C3981" s="3">
        <f>VLOOKUP(B3981,LifeList!$E$2:$J$2038,6)</f>
        <v>33187</v>
      </c>
      <c r="D3981" s="3" t="str">
        <f>VLOOKUP(B3981,LifeList!$E$2:$G$2038,1)</f>
        <v>White-crowned Sparrow</v>
      </c>
      <c r="E3981" s="3" t="str">
        <f>VLOOKUP(B3981,LifeList!$E$2:$G$2038,2)</f>
        <v>Bruant à couronne blanche</v>
      </c>
      <c r="F3981" s="3" t="str">
        <f>VLOOKUP(B3981,LifeList!$E$2:$G$2038,3)</f>
        <v>Zonotrichia leucophrys</v>
      </c>
      <c r="G3981" s="3" t="str">
        <f>VLOOKUP(B3981,LifeList!$E$2:$I$2038,4)</f>
        <v>Passeriformes</v>
      </c>
      <c r="H3981" s="3" t="str">
        <f>VLOOKUP(B3981,LifeList!$E$2:$I$2038,5)</f>
        <v>Passerellidae (New World Sparrows)</v>
      </c>
      <c r="I3981" s="3"/>
    </row>
    <row r="3982" spans="1:9" ht="10.5" customHeight="1">
      <c r="A3982" s="3" t="s">
        <v>5551</v>
      </c>
      <c r="B3982" s="3" t="s">
        <v>5544</v>
      </c>
      <c r="C3982" s="3">
        <f>VLOOKUP(B3982,LifeList!$E$2:$J$2038,6)</f>
        <v>33187</v>
      </c>
      <c r="D3982" s="3" t="str">
        <f>VLOOKUP(B3982,LifeList!$E$2:$G$2038,1)</f>
        <v>White-crowned Sparrow</v>
      </c>
      <c r="E3982" s="3" t="str">
        <f>VLOOKUP(B3982,LifeList!$E$2:$G$2038,2)</f>
        <v>Bruant à couronne blanche</v>
      </c>
      <c r="F3982" s="3" t="str">
        <f>VLOOKUP(B3982,LifeList!$E$2:$G$2038,3)</f>
        <v>Zonotrichia leucophrys</v>
      </c>
      <c r="G3982" s="3" t="str">
        <f>VLOOKUP(B3982,LifeList!$E$2:$I$2038,4)</f>
        <v>Passeriformes</v>
      </c>
      <c r="H3982" s="3" t="str">
        <f>VLOOKUP(B3982,LifeList!$E$2:$I$2038,5)</f>
        <v>Passerellidae (New World Sparrows)</v>
      </c>
      <c r="I3982" s="3"/>
    </row>
    <row r="3983" spans="1:9" ht="10.5" customHeight="1">
      <c r="A3983" s="5" t="s">
        <v>5552</v>
      </c>
      <c r="B3983" s="3" t="s">
        <v>5553</v>
      </c>
      <c r="C3983" s="6">
        <f>VLOOKUP(B3983,LifeList!$E$2:$J$2038,6)</f>
        <v>10567</v>
      </c>
      <c r="D3983" s="3" t="str">
        <f>VLOOKUP(B3983,LifeList!$E$2:$G$2038,1)</f>
        <v>White-eared Barbet</v>
      </c>
      <c r="E3983" s="3" t="str">
        <f>VLOOKUP(B3983,LifeList!$E$2:$G$2038,2)</f>
        <v>Barbican oreillard</v>
      </c>
      <c r="F3983" s="3" t="str">
        <f>VLOOKUP(B3983,LifeList!$E$2:$G$2038,3)</f>
        <v>Stactolaema leucotis</v>
      </c>
      <c r="G3983" s="3" t="str">
        <f>VLOOKUP(B3983,LifeList!$E$2:$I$2038,4)</f>
        <v>Piciformes</v>
      </c>
      <c r="H3983" s="3" t="str">
        <f>VLOOKUP(B3983,LifeList!$E$2:$I$2038,5)</f>
        <v>Lybiidae (African Barbets)</v>
      </c>
      <c r="I3983" s="3"/>
    </row>
    <row r="3984" spans="1:9" ht="10.5" customHeight="1">
      <c r="A3984" s="3" t="s">
        <v>5554</v>
      </c>
      <c r="B3984" s="3" t="s">
        <v>5555</v>
      </c>
      <c r="C3984" s="3">
        <f>VLOOKUP(B3984,LifeList!$E$2:$J$2038,6)</f>
        <v>33358</v>
      </c>
      <c r="D3984" s="3" t="str">
        <f>VLOOKUP(B3984,LifeList!$E$2:$G$2038,1)</f>
        <v>White-eared Ground-Sparrow</v>
      </c>
      <c r="E3984" s="3" t="str">
        <f>VLOOKUP(B3984,LifeList!$E$2:$G$2038,2)</f>
        <v>Tohi oreillard</v>
      </c>
      <c r="F3984" s="3" t="str">
        <f>VLOOKUP(B3984,LifeList!$E$2:$G$2038,3)</f>
        <v>Melozone leucotis</v>
      </c>
      <c r="G3984" s="3" t="str">
        <f>VLOOKUP(B3984,LifeList!$E$2:$I$2038,4)</f>
        <v>Passeriformes</v>
      </c>
      <c r="H3984" s="3" t="str">
        <f>VLOOKUP(B3984,LifeList!$E$2:$I$2038,5)</f>
        <v>Passerellidae (New World Sparrows)</v>
      </c>
      <c r="I3984" s="3"/>
    </row>
    <row r="3985" spans="1:9" ht="10.5" customHeight="1">
      <c r="A3985" s="3" t="s">
        <v>5556</v>
      </c>
      <c r="B3985" s="3" t="s">
        <v>5557</v>
      </c>
      <c r="C3985" s="3">
        <f>VLOOKUP(B3985,LifeList!$E$2:$J$2038,6)</f>
        <v>18113</v>
      </c>
      <c r="D3985" s="3" t="str">
        <f>VLOOKUP(B3985,LifeList!$E$2:$G$2038,1)</f>
        <v>White-eared Honeyeater</v>
      </c>
      <c r="E3985" s="3" t="str">
        <f>VLOOKUP(B3985,LifeList!$E$2:$G$2038,2)</f>
        <v>Méliphage leucotique</v>
      </c>
      <c r="F3985" s="3" t="str">
        <f>VLOOKUP(B3985,LifeList!$E$2:$G$2038,3)</f>
        <v>Nesoptilotis leucotis</v>
      </c>
      <c r="G3985" s="3" t="str">
        <f>VLOOKUP(B3985,LifeList!$E$2:$I$2038,4)</f>
        <v>Passeriformes</v>
      </c>
      <c r="H3985" s="3" t="str">
        <f>VLOOKUP(B3985,LifeList!$E$2:$I$2038,5)</f>
        <v>Meliphagidae (Honeyeaters)</v>
      </c>
      <c r="I3985" s="3"/>
    </row>
    <row r="3986" spans="1:9" ht="10.5" customHeight="1">
      <c r="A3986" s="3" t="s">
        <v>5558</v>
      </c>
      <c r="B3986" s="3" t="s">
        <v>5559</v>
      </c>
      <c r="C3986" s="3">
        <f>VLOOKUP(B3986,LifeList!$E$2:$J$2038,6)</f>
        <v>19165</v>
      </c>
      <c r="D3986" s="3" t="str">
        <f>VLOOKUP(B3986,LifeList!$E$2:$G$2038,1)</f>
        <v>White-eyed Vireo</v>
      </c>
      <c r="E3986" s="3" t="str">
        <f>VLOOKUP(B3986,LifeList!$E$2:$G$2038,2)</f>
        <v>Viréo aux yeux blancs</v>
      </c>
      <c r="F3986" s="3" t="str">
        <f>VLOOKUP(B3986,LifeList!$E$2:$G$2038,3)</f>
        <v>Vireo griseus</v>
      </c>
      <c r="G3986" s="3" t="str">
        <f>VLOOKUP(B3986,LifeList!$E$2:$I$2038,4)</f>
        <v>Passeriformes</v>
      </c>
      <c r="H3986" s="3" t="str">
        <f>VLOOKUP(B3986,LifeList!$E$2:$I$2038,5)</f>
        <v>Vireonidae (Vireos, Shrike-Babblers, and Erpornis)</v>
      </c>
      <c r="I3986" s="3"/>
    </row>
    <row r="3987" spans="1:9" ht="10.5" customHeight="1">
      <c r="A3987" s="3" t="s">
        <v>5560</v>
      </c>
      <c r="B3987" s="3" t="s">
        <v>5559</v>
      </c>
      <c r="C3987" s="3">
        <f>VLOOKUP(B3987,LifeList!$E$2:$J$2038,6)</f>
        <v>19165</v>
      </c>
      <c r="D3987" s="3" t="str">
        <f>VLOOKUP(B3987,LifeList!$E$2:$G$2038,1)</f>
        <v>White-eyed Vireo</v>
      </c>
      <c r="E3987" s="3" t="str">
        <f>VLOOKUP(B3987,LifeList!$E$2:$G$2038,2)</f>
        <v>Viréo aux yeux blancs</v>
      </c>
      <c r="F3987" s="3" t="str">
        <f>VLOOKUP(B3987,LifeList!$E$2:$G$2038,3)</f>
        <v>Vireo griseus</v>
      </c>
      <c r="G3987" s="3" t="str">
        <f>VLOOKUP(B3987,LifeList!$E$2:$I$2038,4)</f>
        <v>Passeriformes</v>
      </c>
      <c r="H3987" s="3" t="str">
        <f>VLOOKUP(B3987,LifeList!$E$2:$I$2038,5)</f>
        <v>Vireonidae (Vireos, Shrike-Babblers, and Erpornis)</v>
      </c>
      <c r="I3987" s="3"/>
    </row>
    <row r="3988" spans="1:9" ht="10.5" customHeight="1">
      <c r="A3988" s="3" t="s">
        <v>5561</v>
      </c>
      <c r="B3988" s="3" t="s">
        <v>5559</v>
      </c>
      <c r="C3988" s="3">
        <f>VLOOKUP(B3988,LifeList!$E$2:$J$2038,6)</f>
        <v>19165</v>
      </c>
      <c r="D3988" s="3" t="str">
        <f>VLOOKUP(B3988,LifeList!$E$2:$G$2038,1)</f>
        <v>White-eyed Vireo</v>
      </c>
      <c r="E3988" s="3" t="str">
        <f>VLOOKUP(B3988,LifeList!$E$2:$G$2038,2)</f>
        <v>Viréo aux yeux blancs</v>
      </c>
      <c r="F3988" s="3" t="str">
        <f>VLOOKUP(B3988,LifeList!$E$2:$G$2038,3)</f>
        <v>Vireo griseus</v>
      </c>
      <c r="G3988" s="3" t="str">
        <f>VLOOKUP(B3988,LifeList!$E$2:$I$2038,4)</f>
        <v>Passeriformes</v>
      </c>
      <c r="H3988" s="3" t="str">
        <f>VLOOKUP(B3988,LifeList!$E$2:$I$2038,5)</f>
        <v>Vireonidae (Vireos, Shrike-Babblers, and Erpornis)</v>
      </c>
      <c r="I3988" s="3"/>
    </row>
    <row r="3989" spans="1:9" ht="10.5" customHeight="1">
      <c r="A3989" s="3" t="s">
        <v>5562</v>
      </c>
      <c r="B3989" s="3" t="s">
        <v>5559</v>
      </c>
      <c r="C3989" s="3">
        <f>VLOOKUP(B3989,LifeList!$E$2:$J$2038,6)</f>
        <v>19165</v>
      </c>
      <c r="D3989" s="3" t="str">
        <f>VLOOKUP(B3989,LifeList!$E$2:$G$2038,1)</f>
        <v>White-eyed Vireo</v>
      </c>
      <c r="E3989" s="3" t="str">
        <f>VLOOKUP(B3989,LifeList!$E$2:$G$2038,2)</f>
        <v>Viréo aux yeux blancs</v>
      </c>
      <c r="F3989" s="3" t="str">
        <f>VLOOKUP(B3989,LifeList!$E$2:$G$2038,3)</f>
        <v>Vireo griseus</v>
      </c>
      <c r="G3989" s="3" t="str">
        <f>VLOOKUP(B3989,LifeList!$E$2:$I$2038,4)</f>
        <v>Passeriformes</v>
      </c>
      <c r="H3989" s="3" t="str">
        <f>VLOOKUP(B3989,LifeList!$E$2:$I$2038,5)</f>
        <v>Vireonidae (Vireos, Shrike-Babblers, and Erpornis)</v>
      </c>
      <c r="I3989" s="3"/>
    </row>
    <row r="3990" spans="1:9" ht="10.5" customHeight="1">
      <c r="A3990" s="3" t="s">
        <v>5563</v>
      </c>
      <c r="B3990" s="3" t="s">
        <v>5559</v>
      </c>
      <c r="C3990" s="3">
        <f>VLOOKUP(B3990,LifeList!$E$2:$J$2038,6)</f>
        <v>19165</v>
      </c>
      <c r="D3990" s="3" t="str">
        <f>VLOOKUP(B3990,LifeList!$E$2:$G$2038,1)</f>
        <v>White-eyed Vireo</v>
      </c>
      <c r="E3990" s="3" t="str">
        <f>VLOOKUP(B3990,LifeList!$E$2:$G$2038,2)</f>
        <v>Viréo aux yeux blancs</v>
      </c>
      <c r="F3990" s="3" t="str">
        <f>VLOOKUP(B3990,LifeList!$E$2:$G$2038,3)</f>
        <v>Vireo griseus</v>
      </c>
      <c r="G3990" s="3" t="str">
        <f>VLOOKUP(B3990,LifeList!$E$2:$I$2038,4)</f>
        <v>Passeriformes</v>
      </c>
      <c r="H3990" s="3" t="str">
        <f>VLOOKUP(B3990,LifeList!$E$2:$I$2038,5)</f>
        <v>Vireonidae (Vireos, Shrike-Babblers, and Erpornis)</v>
      </c>
      <c r="I3990" s="3"/>
    </row>
    <row r="3991" spans="1:9" ht="10.5" customHeight="1">
      <c r="A3991" s="3" t="s">
        <v>5564</v>
      </c>
      <c r="B3991" s="3" t="s">
        <v>5559</v>
      </c>
      <c r="C3991" s="3">
        <f>VLOOKUP(B3991,LifeList!$E$2:$J$2038,6)</f>
        <v>19165</v>
      </c>
      <c r="D3991" s="3" t="str">
        <f>VLOOKUP(B3991,LifeList!$E$2:$G$2038,1)</f>
        <v>White-eyed Vireo</v>
      </c>
      <c r="E3991" s="3" t="str">
        <f>VLOOKUP(B3991,LifeList!$E$2:$G$2038,2)</f>
        <v>Viréo aux yeux blancs</v>
      </c>
      <c r="F3991" s="3" t="str">
        <f>VLOOKUP(B3991,LifeList!$E$2:$G$2038,3)</f>
        <v>Vireo griseus</v>
      </c>
      <c r="G3991" s="3" t="str">
        <f>VLOOKUP(B3991,LifeList!$E$2:$I$2038,4)</f>
        <v>Passeriformes</v>
      </c>
      <c r="H3991" s="3" t="str">
        <f>VLOOKUP(B3991,LifeList!$E$2:$I$2038,5)</f>
        <v>Vireonidae (Vireos, Shrike-Babblers, and Erpornis)</v>
      </c>
      <c r="I3991" s="3"/>
    </row>
    <row r="3992" spans="1:9" ht="10.5" customHeight="1">
      <c r="A3992" s="3" t="s">
        <v>5565</v>
      </c>
      <c r="B3992" s="3" t="s">
        <v>5559</v>
      </c>
      <c r="C3992" s="3">
        <f>VLOOKUP(B3992,LifeList!$E$2:$J$2038,6)</f>
        <v>19165</v>
      </c>
      <c r="D3992" s="3" t="str">
        <f>VLOOKUP(B3992,LifeList!$E$2:$G$2038,1)</f>
        <v>White-eyed Vireo</v>
      </c>
      <c r="E3992" s="3" t="str">
        <f>VLOOKUP(B3992,LifeList!$E$2:$G$2038,2)</f>
        <v>Viréo aux yeux blancs</v>
      </c>
      <c r="F3992" s="3" t="str">
        <f>VLOOKUP(B3992,LifeList!$E$2:$G$2038,3)</f>
        <v>Vireo griseus</v>
      </c>
      <c r="G3992" s="3" t="str">
        <f>VLOOKUP(B3992,LifeList!$E$2:$I$2038,4)</f>
        <v>Passeriformes</v>
      </c>
      <c r="H3992" s="3" t="str">
        <f>VLOOKUP(B3992,LifeList!$E$2:$I$2038,5)</f>
        <v>Vireonidae (Vireos, Shrike-Babblers, and Erpornis)</v>
      </c>
      <c r="I3992" s="3"/>
    </row>
    <row r="3993" spans="1:9" ht="10.5" customHeight="1">
      <c r="A3993" s="3" t="s">
        <v>5566</v>
      </c>
      <c r="B3993" s="3" t="s">
        <v>5559</v>
      </c>
      <c r="C3993" s="3">
        <f>VLOOKUP(B3993,LifeList!$E$2:$J$2038,6)</f>
        <v>19165</v>
      </c>
      <c r="D3993" s="3" t="str">
        <f>VLOOKUP(B3993,LifeList!$E$2:$G$2038,1)</f>
        <v>White-eyed Vireo</v>
      </c>
      <c r="E3993" s="3" t="str">
        <f>VLOOKUP(B3993,LifeList!$E$2:$G$2038,2)</f>
        <v>Viréo aux yeux blancs</v>
      </c>
      <c r="F3993" s="3" t="str">
        <f>VLOOKUP(B3993,LifeList!$E$2:$G$2038,3)</f>
        <v>Vireo griseus</v>
      </c>
      <c r="G3993" s="3" t="str">
        <f>VLOOKUP(B3993,LifeList!$E$2:$I$2038,4)</f>
        <v>Passeriformes</v>
      </c>
      <c r="H3993" s="3" t="str">
        <f>VLOOKUP(B3993,LifeList!$E$2:$I$2038,5)</f>
        <v>Vireonidae (Vireos, Shrike-Babblers, and Erpornis)</v>
      </c>
      <c r="I3993" s="3"/>
    </row>
    <row r="3994" spans="1:9" ht="10.5" customHeight="1">
      <c r="A3994" s="3" t="s">
        <v>5567</v>
      </c>
      <c r="B3994" s="3" t="s">
        <v>5559</v>
      </c>
      <c r="C3994" s="3">
        <f>VLOOKUP(B3994,LifeList!$E$2:$J$2038,6)</f>
        <v>19165</v>
      </c>
      <c r="D3994" s="3" t="str">
        <f>VLOOKUP(B3994,LifeList!$E$2:$G$2038,1)</f>
        <v>White-eyed Vireo</v>
      </c>
      <c r="E3994" s="3" t="str">
        <f>VLOOKUP(B3994,LifeList!$E$2:$G$2038,2)</f>
        <v>Viréo aux yeux blancs</v>
      </c>
      <c r="F3994" s="3" t="str">
        <f>VLOOKUP(B3994,LifeList!$E$2:$G$2038,3)</f>
        <v>Vireo griseus</v>
      </c>
      <c r="G3994" s="3" t="str">
        <f>VLOOKUP(B3994,LifeList!$E$2:$I$2038,4)</f>
        <v>Passeriformes</v>
      </c>
      <c r="H3994" s="3" t="str">
        <f>VLOOKUP(B3994,LifeList!$E$2:$I$2038,5)</f>
        <v>Vireonidae (Vireos, Shrike-Babblers, and Erpornis)</v>
      </c>
      <c r="I3994" s="3"/>
    </row>
    <row r="3995" spans="1:9" ht="10.5" customHeight="1">
      <c r="A3995" s="5" t="s">
        <v>5568</v>
      </c>
      <c r="B3995" s="3" t="s">
        <v>5569</v>
      </c>
      <c r="C3995" s="3">
        <f>VLOOKUP(B3995,LifeList!$E$2:$J$2038,6)</f>
        <v>7468</v>
      </c>
      <c r="D3995" s="3" t="str">
        <f>VLOOKUP(B3995,LifeList!$E$2:$G$2038,1)</f>
        <v>White-faced Ibis</v>
      </c>
      <c r="E3995" s="3" t="str">
        <f>VLOOKUP(B3995,LifeList!$E$2:$G$2038,2)</f>
        <v>Ibis à face blanche</v>
      </c>
      <c r="F3995" s="3" t="str">
        <f>VLOOKUP(B3995,LifeList!$E$2:$G$2038,3)</f>
        <v>Plegadis chihi</v>
      </c>
      <c r="G3995" s="3" t="str">
        <f>VLOOKUP(B3995,LifeList!$E$2:$I$2038,4)</f>
        <v>Pelecaniformes</v>
      </c>
      <c r="H3995" s="3" t="str">
        <f>VLOOKUP(B3995,LifeList!$E$2:$I$2038,5)</f>
        <v>Threskiornithidae (Ibises and Spoonbills)</v>
      </c>
      <c r="I3995" s="3"/>
    </row>
    <row r="3996" spans="1:9" ht="10.5" customHeight="1">
      <c r="A3996" s="3" t="s">
        <v>5570</v>
      </c>
      <c r="B3996" s="3" t="s">
        <v>5571</v>
      </c>
      <c r="C3996" s="3">
        <f>VLOOKUP(B3996,LifeList!$E$2:$J$2038,6)</f>
        <v>7661</v>
      </c>
      <c r="D3996" s="3" t="str">
        <f>VLOOKUP(B3996,LifeList!$E$2:$G$2038,1)</f>
        <v>White-faced Heron</v>
      </c>
      <c r="E3996" s="3" t="str">
        <f>VLOOKUP(B3996,LifeList!$E$2:$G$2038,2)</f>
        <v>Aigrette à face blanche</v>
      </c>
      <c r="F3996" s="3" t="str">
        <f>VLOOKUP(B3996,LifeList!$E$2:$G$2038,3)</f>
        <v>Egretta novaehollandiae</v>
      </c>
      <c r="G3996" s="3" t="str">
        <f>VLOOKUP(B3996,LifeList!$E$2:$I$2038,4)</f>
        <v>Pelecaniformes</v>
      </c>
      <c r="H3996" s="3" t="str">
        <f>VLOOKUP(B3996,LifeList!$E$2:$I$2038,5)</f>
        <v>Ardeidae (Herons, Egrets, and Bitterns)</v>
      </c>
      <c r="I3996" s="3"/>
    </row>
    <row r="3997" spans="1:9" ht="10.5" customHeight="1">
      <c r="A3997" s="3" t="s">
        <v>5572</v>
      </c>
      <c r="B3997" s="3" t="s">
        <v>5571</v>
      </c>
      <c r="C3997" s="3">
        <f>VLOOKUP(B3997,LifeList!$E$2:$J$2038,6)</f>
        <v>7661</v>
      </c>
      <c r="D3997" s="3" t="str">
        <f>VLOOKUP(B3997,LifeList!$E$2:$G$2038,1)</f>
        <v>White-faced Heron</v>
      </c>
      <c r="E3997" s="3" t="str">
        <f>VLOOKUP(B3997,LifeList!$E$2:$G$2038,2)</f>
        <v>Aigrette à face blanche</v>
      </c>
      <c r="F3997" s="3" t="str">
        <f>VLOOKUP(B3997,LifeList!$E$2:$G$2038,3)</f>
        <v>Egretta novaehollandiae</v>
      </c>
      <c r="G3997" s="3" t="str">
        <f>VLOOKUP(B3997,LifeList!$E$2:$I$2038,4)</f>
        <v>Pelecaniformes</v>
      </c>
      <c r="H3997" s="3" t="str">
        <f>VLOOKUP(B3997,LifeList!$E$2:$I$2038,5)</f>
        <v>Ardeidae (Herons, Egrets, and Bitterns)</v>
      </c>
      <c r="I3997" s="3"/>
    </row>
    <row r="3998" spans="1:9" ht="10.5" customHeight="1">
      <c r="A3998" s="3" t="s">
        <v>5573</v>
      </c>
      <c r="B3998" s="3" t="s">
        <v>5571</v>
      </c>
      <c r="C3998" s="3">
        <f>VLOOKUP(B3998,LifeList!$E$2:$J$2038,6)</f>
        <v>7661</v>
      </c>
      <c r="D3998" s="3" t="str">
        <f>VLOOKUP(B3998,LifeList!$E$2:$G$2038,1)</f>
        <v>White-faced Heron</v>
      </c>
      <c r="E3998" s="3" t="str">
        <f>VLOOKUP(B3998,LifeList!$E$2:$G$2038,2)</f>
        <v>Aigrette à face blanche</v>
      </c>
      <c r="F3998" s="3" t="str">
        <f>VLOOKUP(B3998,LifeList!$E$2:$G$2038,3)</f>
        <v>Egretta novaehollandiae</v>
      </c>
      <c r="G3998" s="3" t="str">
        <f>VLOOKUP(B3998,LifeList!$E$2:$I$2038,4)</f>
        <v>Pelecaniformes</v>
      </c>
      <c r="H3998" s="3" t="str">
        <f>VLOOKUP(B3998,LifeList!$E$2:$I$2038,5)</f>
        <v>Ardeidae (Herons, Egrets, and Bitterns)</v>
      </c>
      <c r="I3998" s="3"/>
    </row>
    <row r="3999" spans="1:9" ht="10.5" customHeight="1">
      <c r="A3999" s="3" t="s">
        <v>5574</v>
      </c>
      <c r="B3999" s="3" t="s">
        <v>5571</v>
      </c>
      <c r="C3999" s="3">
        <f>VLOOKUP(B3999,LifeList!$E$2:$J$2038,6)</f>
        <v>7661</v>
      </c>
      <c r="D3999" s="3" t="str">
        <f>VLOOKUP(B3999,LifeList!$E$2:$G$2038,1)</f>
        <v>White-faced Heron</v>
      </c>
      <c r="E3999" s="3" t="str">
        <f>VLOOKUP(B3999,LifeList!$E$2:$G$2038,2)</f>
        <v>Aigrette à face blanche</v>
      </c>
      <c r="F3999" s="3" t="str">
        <f>VLOOKUP(B3999,LifeList!$E$2:$G$2038,3)</f>
        <v>Egretta novaehollandiae</v>
      </c>
      <c r="G3999" s="3" t="str">
        <f>VLOOKUP(B3999,LifeList!$E$2:$I$2038,4)</f>
        <v>Pelecaniformes</v>
      </c>
      <c r="H3999" s="3" t="str">
        <f>VLOOKUP(B3999,LifeList!$E$2:$I$2038,5)</f>
        <v>Ardeidae (Herons, Egrets, and Bitterns)</v>
      </c>
      <c r="I3999" s="3"/>
    </row>
    <row r="4000" spans="1:9" ht="10.5" customHeight="1">
      <c r="A4000" s="3" t="s">
        <v>5575</v>
      </c>
      <c r="B4000" s="3" t="s">
        <v>5576</v>
      </c>
      <c r="C4000" s="3">
        <f>VLOOKUP(B4000,LifeList!$E$2:$J$2038,6)</f>
        <v>240</v>
      </c>
      <c r="D4000" s="3" t="str">
        <f>VLOOKUP(B4000,LifeList!$E$2:$G$2038,1)</f>
        <v>White-faced Whistling-Duck</v>
      </c>
      <c r="E4000" s="3" t="str">
        <f>VLOOKUP(B4000,LifeList!$E$2:$G$2038,2)</f>
        <v>Dendrocygne veuf</v>
      </c>
      <c r="F4000" s="3" t="str">
        <f>VLOOKUP(B4000,LifeList!$E$2:$G$2038,3)</f>
        <v>Dendrocygna viduata</v>
      </c>
      <c r="G4000" s="3" t="str">
        <f>VLOOKUP(B4000,LifeList!$E$2:$I$2038,4)</f>
        <v>Anseriformes</v>
      </c>
      <c r="H4000" s="3" t="str">
        <f>VLOOKUP(B4000,LifeList!$E$2:$I$2038,5)</f>
        <v>Anatidae (Ducks, Geese, and Waterfowl)</v>
      </c>
      <c r="I4000" s="3"/>
    </row>
    <row r="4001" spans="1:9" ht="10.5" customHeight="1">
      <c r="A4001" s="3" t="s">
        <v>5577</v>
      </c>
      <c r="B4001" s="3" t="s">
        <v>5576</v>
      </c>
      <c r="C4001" s="3">
        <f>VLOOKUP(B4001,LifeList!$E$2:$J$2038,6)</f>
        <v>240</v>
      </c>
      <c r="D4001" s="3" t="str">
        <f>VLOOKUP(B4001,LifeList!$E$2:$G$2038,1)</f>
        <v>White-faced Whistling-Duck</v>
      </c>
      <c r="E4001" s="3" t="str">
        <f>VLOOKUP(B4001,LifeList!$E$2:$G$2038,2)</f>
        <v>Dendrocygne veuf</v>
      </c>
      <c r="F4001" s="3" t="str">
        <f>VLOOKUP(B4001,LifeList!$E$2:$G$2038,3)</f>
        <v>Dendrocygna viduata</v>
      </c>
      <c r="G4001" s="3" t="str">
        <f>VLOOKUP(B4001,LifeList!$E$2:$I$2038,4)</f>
        <v>Anseriformes</v>
      </c>
      <c r="H4001" s="3" t="str">
        <f>VLOOKUP(B4001,LifeList!$E$2:$I$2038,5)</f>
        <v>Anatidae (Ducks, Geese, and Waterfowl)</v>
      </c>
      <c r="I4001" s="3"/>
    </row>
    <row r="4002" spans="1:9" ht="10.5" customHeight="1">
      <c r="A4002" s="3" t="s">
        <v>5578</v>
      </c>
      <c r="B4002" s="3" t="s">
        <v>5576</v>
      </c>
      <c r="C4002" s="3">
        <f>VLOOKUP(B4002,LifeList!$E$2:$J$2038,6)</f>
        <v>240</v>
      </c>
      <c r="D4002" s="3" t="str">
        <f>VLOOKUP(B4002,LifeList!$E$2:$G$2038,1)</f>
        <v>White-faced Whistling-Duck</v>
      </c>
      <c r="E4002" s="3" t="str">
        <f>VLOOKUP(B4002,LifeList!$E$2:$G$2038,2)</f>
        <v>Dendrocygne veuf</v>
      </c>
      <c r="F4002" s="3" t="str">
        <f>VLOOKUP(B4002,LifeList!$E$2:$G$2038,3)</f>
        <v>Dendrocygna viduata</v>
      </c>
      <c r="G4002" s="3" t="str">
        <f>VLOOKUP(B4002,LifeList!$E$2:$I$2038,4)</f>
        <v>Anseriformes</v>
      </c>
      <c r="H4002" s="3" t="str">
        <f>VLOOKUP(B4002,LifeList!$E$2:$I$2038,5)</f>
        <v>Anatidae (Ducks, Geese, and Waterfowl)</v>
      </c>
      <c r="I4002" s="3"/>
    </row>
    <row r="4003" spans="1:9" ht="10.5" customHeight="1">
      <c r="A4003" s="3" t="s">
        <v>5579</v>
      </c>
      <c r="B4003" s="3" t="s">
        <v>5576</v>
      </c>
      <c r="C4003" s="3">
        <f>VLOOKUP(B4003,LifeList!$E$2:$J$2038,6)</f>
        <v>240</v>
      </c>
      <c r="D4003" s="3" t="str">
        <f>VLOOKUP(B4003,LifeList!$E$2:$G$2038,1)</f>
        <v>White-faced Whistling-Duck</v>
      </c>
      <c r="E4003" s="3" t="str">
        <f>VLOOKUP(B4003,LifeList!$E$2:$G$2038,2)</f>
        <v>Dendrocygne veuf</v>
      </c>
      <c r="F4003" s="3" t="str">
        <f>VLOOKUP(B4003,LifeList!$E$2:$G$2038,3)</f>
        <v>Dendrocygna viduata</v>
      </c>
      <c r="G4003" s="3" t="str">
        <f>VLOOKUP(B4003,LifeList!$E$2:$I$2038,4)</f>
        <v>Anseriformes</v>
      </c>
      <c r="H4003" s="3" t="str">
        <f>VLOOKUP(B4003,LifeList!$E$2:$I$2038,5)</f>
        <v>Anatidae (Ducks, Geese, and Waterfowl)</v>
      </c>
      <c r="I4003" s="3"/>
    </row>
    <row r="4004" spans="1:9" ht="10.5" customHeight="1">
      <c r="A4004" s="3" t="s">
        <v>5580</v>
      </c>
      <c r="B4004" s="3" t="s">
        <v>5581</v>
      </c>
      <c r="C4004" s="3">
        <f>VLOOKUP(B4004,LifeList!$E$2:$J$2038,6)</f>
        <v>12943</v>
      </c>
      <c r="D4004" s="3" t="str">
        <f>VLOOKUP(B4004,LifeList!$E$2:$G$2038,1)</f>
        <v>White-fronted Amazon</v>
      </c>
      <c r="E4004" s="3" t="str">
        <f>VLOOKUP(B4004,LifeList!$E$2:$G$2038,2)</f>
        <v>Amazone à front blanc</v>
      </c>
      <c r="F4004" s="3" t="str">
        <f>VLOOKUP(B4004,LifeList!$E$2:$G$2038,3)</f>
        <v>Amazona albifrons</v>
      </c>
      <c r="G4004" s="3" t="str">
        <f>VLOOKUP(B4004,LifeList!$E$2:$I$2038,4)</f>
        <v>Psittaciformes</v>
      </c>
      <c r="H4004" s="3" t="str">
        <f>VLOOKUP(B4004,LifeList!$E$2:$I$2038,5)</f>
        <v>Psittacidae (New World and African Parrots)</v>
      </c>
      <c r="I4004" s="3"/>
    </row>
    <row r="4005" spans="1:9" ht="10.5" customHeight="1">
      <c r="A4005" s="3" t="s">
        <v>5582</v>
      </c>
      <c r="B4005" s="3" t="s">
        <v>5583</v>
      </c>
      <c r="C4005" s="3">
        <f>VLOOKUP(B4005,LifeList!$E$2:$J$2038,6)</f>
        <v>9780</v>
      </c>
      <c r="D4005" s="3" t="str">
        <f>VLOOKUP(B4005,LifeList!$E$2:$G$2038,1)</f>
        <v>White-fronted Bee-eater</v>
      </c>
      <c r="E4005" s="3" t="str">
        <f>VLOOKUP(B4005,LifeList!$E$2:$G$2038,2)</f>
        <v>Guêpier à front blanc</v>
      </c>
      <c r="F4005" s="3" t="str">
        <f>VLOOKUP(B4005,LifeList!$E$2:$G$2038,3)</f>
        <v>Merops bullockoides</v>
      </c>
      <c r="G4005" s="3" t="str">
        <f>VLOOKUP(B4005,LifeList!$E$2:$I$2038,4)</f>
        <v>Coraciiformes</v>
      </c>
      <c r="H4005" s="3" t="str">
        <f>VLOOKUP(B4005,LifeList!$E$2:$I$2038,5)</f>
        <v>Meropidae (Bee-eaters)</v>
      </c>
      <c r="I4005" s="4"/>
    </row>
    <row r="4006" spans="1:9" ht="10.5" customHeight="1">
      <c r="A4006" s="3" t="s">
        <v>5584</v>
      </c>
      <c r="B4006" s="3" t="s">
        <v>5585</v>
      </c>
      <c r="C4006" s="3">
        <f>VLOOKUP(B4006,LifeList!$E$2:$J$2038,6)</f>
        <v>17915</v>
      </c>
      <c r="D4006" s="3" t="str">
        <f>VLOOKUP(B4006,LifeList!$E$2:$G$2038,1)</f>
        <v>White-fronted Chat</v>
      </c>
      <c r="E4006" s="3" t="str">
        <f>VLOOKUP(B4006,LifeList!$E$2:$G$2038,2)</f>
        <v>Epthianure à front blanc</v>
      </c>
      <c r="F4006" s="3" t="str">
        <f>VLOOKUP(B4006,LifeList!$E$2:$G$2038,3)</f>
        <v>Epthianura albifrons</v>
      </c>
      <c r="G4006" s="3" t="str">
        <f>VLOOKUP(B4006,LifeList!$E$2:$I$2038,4)</f>
        <v>Passeriformes</v>
      </c>
      <c r="H4006" s="3" t="str">
        <f>VLOOKUP(B4006,LifeList!$E$2:$I$2038,5)</f>
        <v>Meliphagidae (Honeyeaters)</v>
      </c>
      <c r="I4006" s="3"/>
    </row>
    <row r="4007" spans="1:9" ht="10.5" customHeight="1">
      <c r="A4007" s="7" t="s">
        <v>5586</v>
      </c>
      <c r="B4007" s="9" t="s">
        <v>5587</v>
      </c>
      <c r="C4007" s="6">
        <f>VLOOKUP(B4007,LifeList!$E$2:$J$2038,6)</f>
        <v>17786</v>
      </c>
      <c r="D4007" s="3" t="str">
        <f>VLOOKUP(B4007,LifeList!$E$2:$G$2038,1)</f>
        <v>White-fronted Honeyeater</v>
      </c>
      <c r="E4007" s="3" t="str">
        <f>VLOOKUP(B4007,LifeList!$E$2:$G$2038,2)</f>
        <v>Méliphage à front blanc</v>
      </c>
      <c r="F4007" s="3" t="str">
        <f>VLOOKUP(B4007,LifeList!$E$2:$G$2038,3)</f>
        <v>Purnella albifrons</v>
      </c>
      <c r="G4007" s="3" t="str">
        <f>VLOOKUP(B4007,LifeList!$E$2:$I$2038,4)</f>
        <v>Passeriformes</v>
      </c>
      <c r="H4007" s="3" t="str">
        <f>VLOOKUP(B4007,LifeList!$E$2:$I$2038,5)</f>
        <v>Meliphagidae (Honeyeaters)</v>
      </c>
      <c r="I4007" s="3"/>
    </row>
    <row r="4008" spans="1:9" ht="10.5" customHeight="1">
      <c r="A4008" s="3" t="s">
        <v>5588</v>
      </c>
      <c r="B4008" s="3" t="s">
        <v>5589</v>
      </c>
      <c r="C4008" s="3">
        <f>VLOOKUP(B4008,LifeList!$E$2:$J$2038,6)</f>
        <v>5948</v>
      </c>
      <c r="D4008" s="3" t="str">
        <f>VLOOKUP(B4008,LifeList!$E$2:$G$2038,1)</f>
        <v>White-fronted Plover</v>
      </c>
      <c r="E4008" s="3" t="str">
        <f>VLOOKUP(B4008,LifeList!$E$2:$G$2038,2)</f>
        <v>Pluvier à front blanc</v>
      </c>
      <c r="F4008" s="3" t="str">
        <f>VLOOKUP(B4008,LifeList!$E$2:$G$2038,3)</f>
        <v>Anarhynchus marginatus</v>
      </c>
      <c r="G4008" s="3" t="str">
        <f>VLOOKUP(B4008,LifeList!$E$2:$I$2038,4)</f>
        <v>Charadriiformes</v>
      </c>
      <c r="H4008" s="3" t="str">
        <f>VLOOKUP(B4008,LifeList!$E$2:$I$2038,5)</f>
        <v>Charadriidae (Plovers and Lapwings)</v>
      </c>
      <c r="I4008" s="3"/>
    </row>
    <row r="4009" spans="1:9" ht="10.5" customHeight="1">
      <c r="A4009" s="3" t="s">
        <v>5590</v>
      </c>
      <c r="B4009" s="3" t="s">
        <v>5589</v>
      </c>
      <c r="C4009" s="3">
        <f>VLOOKUP(B4009,LifeList!$E$2:$J$2038,6)</f>
        <v>5948</v>
      </c>
      <c r="D4009" s="3" t="str">
        <f>VLOOKUP(B4009,LifeList!$E$2:$G$2038,1)</f>
        <v>White-fronted Plover</v>
      </c>
      <c r="E4009" s="3" t="str">
        <f>VLOOKUP(B4009,LifeList!$E$2:$G$2038,2)</f>
        <v>Pluvier à front blanc</v>
      </c>
      <c r="F4009" s="3" t="str">
        <f>VLOOKUP(B4009,LifeList!$E$2:$G$2038,3)</f>
        <v>Anarhynchus marginatus</v>
      </c>
      <c r="G4009" s="3" t="str">
        <f>VLOOKUP(B4009,LifeList!$E$2:$I$2038,4)</f>
        <v>Charadriiformes</v>
      </c>
      <c r="H4009" s="3" t="str">
        <f>VLOOKUP(B4009,LifeList!$E$2:$I$2038,5)</f>
        <v>Charadriidae (Plovers and Lapwings)</v>
      </c>
      <c r="I4009" s="3"/>
    </row>
    <row r="4010" spans="1:9" ht="10.5" customHeight="1">
      <c r="A4010" s="3" t="s">
        <v>5591</v>
      </c>
      <c r="B4010" s="3" t="s">
        <v>5592</v>
      </c>
      <c r="C4010" s="3">
        <f>VLOOKUP(B4010,LifeList!$E$2:$J$2038,6)</f>
        <v>30709</v>
      </c>
      <c r="D4010" s="3" t="str">
        <f>VLOOKUP(B4010,LifeList!$E$2:$G$2038,1)</f>
        <v>White-headed Buffalo-Weaver</v>
      </c>
      <c r="E4010" s="3" t="str">
        <f>VLOOKUP(B4010,LifeList!$E$2:$G$2038,2)</f>
        <v>Alecto à tête blanche</v>
      </c>
      <c r="F4010" s="3" t="str">
        <f>VLOOKUP(B4010,LifeList!$E$2:$G$2038,3)</f>
        <v>Dinemellia dinemelli</v>
      </c>
      <c r="G4010" s="3" t="str">
        <f>VLOOKUP(B4010,LifeList!$E$2:$I$2038,4)</f>
        <v>Passeriformes</v>
      </c>
      <c r="H4010" s="3" t="str">
        <f>VLOOKUP(B4010,LifeList!$E$2:$I$2038,5)</f>
        <v>Ploceidae (Weavers and Allies)</v>
      </c>
      <c r="I4010" s="3"/>
    </row>
    <row r="4011" spans="1:9" ht="10.5" customHeight="1">
      <c r="A4011" s="3" t="s">
        <v>5593</v>
      </c>
      <c r="B4011" s="3" t="s">
        <v>5594</v>
      </c>
      <c r="C4011" s="3">
        <f>VLOOKUP(B4011,LifeList!$E$2:$J$2038,6)</f>
        <v>17159</v>
      </c>
      <c r="D4011" s="3" t="str">
        <f>VLOOKUP(B4011,LifeList!$E$2:$G$2038,1)</f>
        <v>White-headed Marsh Tyrant</v>
      </c>
      <c r="E4011" s="3" t="str">
        <f>VLOOKUP(B4011,LifeList!$E$2:$G$2038,2)</f>
        <v>Moucherolle à tête blanche</v>
      </c>
      <c r="F4011" s="3" t="str">
        <f>VLOOKUP(B4011,LifeList!$E$2:$G$2038,3)</f>
        <v>Arundinicola leucocephala</v>
      </c>
      <c r="G4011" s="3" t="str">
        <f>VLOOKUP(B4011,LifeList!$E$2:$I$2038,4)</f>
        <v>Passeriformes</v>
      </c>
      <c r="H4011" s="3" t="str">
        <f>VLOOKUP(B4011,LifeList!$E$2:$I$2038,5)</f>
        <v>Tyrannidae (Tyrant Flycatchers)</v>
      </c>
      <c r="I4011" s="3"/>
    </row>
    <row r="4012" spans="1:9" ht="10.5" customHeight="1">
      <c r="A4012" s="3" t="s">
        <v>5595</v>
      </c>
      <c r="B4012" s="3" t="s">
        <v>5594</v>
      </c>
      <c r="C4012" s="3">
        <f>VLOOKUP(B4012,LifeList!$E$2:$J$2038,6)</f>
        <v>17159</v>
      </c>
      <c r="D4012" s="3" t="str">
        <f>VLOOKUP(B4012,LifeList!$E$2:$G$2038,1)</f>
        <v>White-headed Marsh Tyrant</v>
      </c>
      <c r="E4012" s="3" t="str">
        <f>VLOOKUP(B4012,LifeList!$E$2:$G$2038,2)</f>
        <v>Moucherolle à tête blanche</v>
      </c>
      <c r="F4012" s="3" t="str">
        <f>VLOOKUP(B4012,LifeList!$E$2:$G$2038,3)</f>
        <v>Arundinicola leucocephala</v>
      </c>
      <c r="G4012" s="3" t="str">
        <f>VLOOKUP(B4012,LifeList!$E$2:$I$2038,4)</f>
        <v>Passeriformes</v>
      </c>
      <c r="H4012" s="3" t="str">
        <f>VLOOKUP(B4012,LifeList!$E$2:$I$2038,5)</f>
        <v>Tyrannidae (Tyrant Flycatchers)</v>
      </c>
      <c r="I4012" s="3"/>
    </row>
    <row r="4013" spans="1:9" ht="10.5" customHeight="1">
      <c r="A4013" s="3" t="s">
        <v>5596</v>
      </c>
      <c r="B4013" s="3" t="s">
        <v>5597</v>
      </c>
      <c r="C4013" s="3">
        <f>VLOOKUP(B4013,LifeList!$E$2:$J$2038,6)</f>
        <v>27380</v>
      </c>
      <c r="D4013" s="3" t="str">
        <f>VLOOKUP(B4013,LifeList!$E$2:$G$2038,1)</f>
        <v>White-headed Wren</v>
      </c>
      <c r="E4013" s="3" t="str">
        <f>VLOOKUP(B4013,LifeList!$E$2:$G$2038,2)</f>
        <v>Troglodyte à tête blanche</v>
      </c>
      <c r="F4013" s="3" t="str">
        <f>VLOOKUP(B4013,LifeList!$E$2:$G$2038,3)</f>
        <v>Campylorhynchus albobrunneus</v>
      </c>
      <c r="G4013" s="3" t="str">
        <f>VLOOKUP(B4013,LifeList!$E$2:$I$2038,4)</f>
        <v>Passeriformes</v>
      </c>
      <c r="H4013" s="3" t="str">
        <f>VLOOKUP(B4013,LifeList!$E$2:$I$2038,5)</f>
        <v>Troglodytidae (Wrens)</v>
      </c>
      <c r="I4013" s="3"/>
    </row>
    <row r="4014" spans="1:9" ht="10.5" customHeight="1">
      <c r="A4014" s="3" t="s">
        <v>5598</v>
      </c>
      <c r="B4014" s="3" t="s">
        <v>5599</v>
      </c>
      <c r="C4014" s="3">
        <f>VLOOKUP(B4014,LifeList!$E$2:$J$2038,6)</f>
        <v>34777</v>
      </c>
      <c r="D4014" s="3" t="str">
        <f>VLOOKUP(B4014,LifeList!$E$2:$G$2038,1)</f>
        <v>White-lined Tanager</v>
      </c>
      <c r="E4014" s="3" t="str">
        <f>VLOOKUP(B4014,LifeList!$E$2:$G$2038,2)</f>
        <v>Tangara à galons blancs</v>
      </c>
      <c r="F4014" s="3" t="str">
        <f>VLOOKUP(B4014,LifeList!$E$2:$G$2038,3)</f>
        <v>Tachyphonus rufus</v>
      </c>
      <c r="G4014" s="3" t="str">
        <f>VLOOKUP(B4014,LifeList!$E$2:$I$2038,4)</f>
        <v>Passeriformes</v>
      </c>
      <c r="H4014" s="3" t="str">
        <f>VLOOKUP(B4014,LifeList!$E$2:$I$2038,5)</f>
        <v>Thraupidae (Tanagers and Allies)</v>
      </c>
      <c r="I4014" s="3"/>
    </row>
    <row r="4015" spans="1:9" ht="10.5" customHeight="1">
      <c r="A4015" s="3" t="s">
        <v>5600</v>
      </c>
      <c r="B4015" s="3" t="s">
        <v>5599</v>
      </c>
      <c r="C4015" s="3">
        <f>VLOOKUP(B4015,LifeList!$E$2:$J$2038,6)</f>
        <v>34777</v>
      </c>
      <c r="D4015" s="3" t="str">
        <f>VLOOKUP(B4015,LifeList!$E$2:$G$2038,1)</f>
        <v>White-lined Tanager</v>
      </c>
      <c r="E4015" s="3" t="str">
        <f>VLOOKUP(B4015,LifeList!$E$2:$G$2038,2)</f>
        <v>Tangara à galons blancs</v>
      </c>
      <c r="F4015" s="3" t="str">
        <f>VLOOKUP(B4015,LifeList!$E$2:$G$2038,3)</f>
        <v>Tachyphonus rufus</v>
      </c>
      <c r="G4015" s="3" t="str">
        <f>VLOOKUP(B4015,LifeList!$E$2:$I$2038,4)</f>
        <v>Passeriformes</v>
      </c>
      <c r="H4015" s="3" t="str">
        <f>VLOOKUP(B4015,LifeList!$E$2:$I$2038,5)</f>
        <v>Thraupidae (Tanagers and Allies)</v>
      </c>
      <c r="I4015" s="3"/>
    </row>
    <row r="4016" spans="1:9" ht="10.5" customHeight="1">
      <c r="A4016" s="3" t="s">
        <v>5601</v>
      </c>
      <c r="B4016" s="3" t="s">
        <v>5599</v>
      </c>
      <c r="C4016" s="3">
        <f>VLOOKUP(B4016,LifeList!$E$2:$J$2038,6)</f>
        <v>34777</v>
      </c>
      <c r="D4016" s="3" t="str">
        <f>VLOOKUP(B4016,LifeList!$E$2:$G$2038,1)</f>
        <v>White-lined Tanager</v>
      </c>
      <c r="E4016" s="3" t="str">
        <f>VLOOKUP(B4016,LifeList!$E$2:$G$2038,2)</f>
        <v>Tangara à galons blancs</v>
      </c>
      <c r="F4016" s="3" t="str">
        <f>VLOOKUP(B4016,LifeList!$E$2:$G$2038,3)</f>
        <v>Tachyphonus rufus</v>
      </c>
      <c r="G4016" s="3" t="str">
        <f>VLOOKUP(B4016,LifeList!$E$2:$I$2038,4)</f>
        <v>Passeriformes</v>
      </c>
      <c r="H4016" s="3" t="str">
        <f>VLOOKUP(B4016,LifeList!$E$2:$I$2038,5)</f>
        <v>Thraupidae (Tanagers and Allies)</v>
      </c>
      <c r="I4016" s="3"/>
    </row>
    <row r="4017" spans="1:9" ht="10.5" customHeight="1">
      <c r="A4017" s="3" t="s">
        <v>5602</v>
      </c>
      <c r="B4017" s="3" t="s">
        <v>5599</v>
      </c>
      <c r="C4017" s="3">
        <f>VLOOKUP(B4017,LifeList!$E$2:$J$2038,6)</f>
        <v>34777</v>
      </c>
      <c r="D4017" s="3" t="str">
        <f>VLOOKUP(B4017,LifeList!$E$2:$G$2038,1)</f>
        <v>White-lined Tanager</v>
      </c>
      <c r="E4017" s="3" t="str">
        <f>VLOOKUP(B4017,LifeList!$E$2:$G$2038,2)</f>
        <v>Tangara à galons blancs</v>
      </c>
      <c r="F4017" s="3" t="str">
        <f>VLOOKUP(B4017,LifeList!$E$2:$G$2038,3)</f>
        <v>Tachyphonus rufus</v>
      </c>
      <c r="G4017" s="3" t="str">
        <f>VLOOKUP(B4017,LifeList!$E$2:$I$2038,4)</f>
        <v>Passeriformes</v>
      </c>
      <c r="H4017" s="3" t="str">
        <f>VLOOKUP(B4017,LifeList!$E$2:$I$2038,5)</f>
        <v>Thraupidae (Tanagers and Allies)</v>
      </c>
      <c r="I4017" s="3"/>
    </row>
    <row r="4018" spans="1:9" ht="10.5" customHeight="1">
      <c r="A4018" s="3" t="s">
        <v>5603</v>
      </c>
      <c r="B4018" s="3" t="s">
        <v>5604</v>
      </c>
      <c r="C4018" s="3">
        <f>VLOOKUP(B4018,LifeList!$E$2:$J$2038,6)</f>
        <v>34330</v>
      </c>
      <c r="D4018" s="3" t="str">
        <f>VLOOKUP(B4018,LifeList!$E$2:$G$2038,1)</f>
        <v>White-lored Warbler</v>
      </c>
      <c r="E4018" s="3" t="str">
        <f>VLOOKUP(B4018,LifeList!$E$2:$G$2038,2)</f>
        <v>Paruline à lores blancs</v>
      </c>
      <c r="F4018" s="3" t="str">
        <f>VLOOKUP(B4018,LifeList!$E$2:$G$2038,3)</f>
        <v>Myiothlypis conspicillata</v>
      </c>
      <c r="G4018" s="3" t="str">
        <f>VLOOKUP(B4018,LifeList!$E$2:$I$2038,4)</f>
        <v>Passeriformes</v>
      </c>
      <c r="H4018" s="3" t="str">
        <f>VLOOKUP(B4018,LifeList!$E$2:$I$2038,5)</f>
        <v>Parulidae (New World Warblers)</v>
      </c>
      <c r="I4018" s="3"/>
    </row>
    <row r="4019" spans="1:9" ht="10.5" customHeight="1">
      <c r="A4019" s="3" t="s">
        <v>5605</v>
      </c>
      <c r="B4019" s="3" t="s">
        <v>5604</v>
      </c>
      <c r="C4019" s="3">
        <f>VLOOKUP(B4019,LifeList!$E$2:$J$2038,6)</f>
        <v>34330</v>
      </c>
      <c r="D4019" s="3" t="str">
        <f>VLOOKUP(B4019,LifeList!$E$2:$G$2038,1)</f>
        <v>White-lored Warbler</v>
      </c>
      <c r="E4019" s="3" t="str">
        <f>VLOOKUP(B4019,LifeList!$E$2:$G$2038,2)</f>
        <v>Paruline à lores blancs</v>
      </c>
      <c r="F4019" s="3" t="str">
        <f>VLOOKUP(B4019,LifeList!$E$2:$G$2038,3)</f>
        <v>Myiothlypis conspicillata</v>
      </c>
      <c r="G4019" s="3" t="str">
        <f>VLOOKUP(B4019,LifeList!$E$2:$I$2038,4)</f>
        <v>Passeriformes</v>
      </c>
      <c r="H4019" s="3" t="str">
        <f>VLOOKUP(B4019,LifeList!$E$2:$I$2038,5)</f>
        <v>Parulidae (New World Warblers)</v>
      </c>
      <c r="I4019" s="3"/>
    </row>
    <row r="4020" spans="1:9" ht="10.5" customHeight="1">
      <c r="A4020" s="3" t="s">
        <v>5606</v>
      </c>
      <c r="B4020" s="3" t="s">
        <v>5607</v>
      </c>
      <c r="C4020" s="3">
        <f>VLOOKUP(B4020,LifeList!$E$2:$J$2038,6)</f>
        <v>33436</v>
      </c>
      <c r="D4020" s="3" t="str">
        <f>VLOOKUP(B4020,LifeList!$E$2:$G$2038,1)</f>
        <v>White-naped Brushfinch</v>
      </c>
      <c r="E4020" s="3" t="str">
        <f>VLOOKUP(B4020,LifeList!$E$2:$G$2038,2)</f>
        <v>Tohi à calotte blanche</v>
      </c>
      <c r="F4020" s="3" t="str">
        <f>VLOOKUP(B4020,LifeList!$E$2:$G$2038,3)</f>
        <v>Atlapetes albinucha</v>
      </c>
      <c r="G4020" s="3" t="str">
        <f>VLOOKUP(B4020,LifeList!$E$2:$I$2038,4)</f>
        <v>Passeriformes</v>
      </c>
      <c r="H4020" s="3" t="str">
        <f>VLOOKUP(B4020,LifeList!$E$2:$I$2038,5)</f>
        <v>Passerellidae (New World Sparrows)</v>
      </c>
      <c r="I4020" s="3"/>
    </row>
    <row r="4021" spans="1:9" ht="10.5" customHeight="1">
      <c r="A4021" s="3" t="s">
        <v>5608</v>
      </c>
      <c r="B4021" s="3" t="s">
        <v>5607</v>
      </c>
      <c r="C4021" s="3">
        <f>VLOOKUP(B4021,LifeList!$E$2:$J$2038,6)</f>
        <v>33436</v>
      </c>
      <c r="D4021" s="3" t="str">
        <f>VLOOKUP(B4021,LifeList!$E$2:$G$2038,1)</f>
        <v>White-naped Brushfinch</v>
      </c>
      <c r="E4021" s="3" t="str">
        <f>VLOOKUP(B4021,LifeList!$E$2:$G$2038,2)</f>
        <v>Tohi à calotte blanche</v>
      </c>
      <c r="F4021" s="3" t="str">
        <f>VLOOKUP(B4021,LifeList!$E$2:$G$2038,3)</f>
        <v>Atlapetes albinucha</v>
      </c>
      <c r="G4021" s="3" t="str">
        <f>VLOOKUP(B4021,LifeList!$E$2:$I$2038,4)</f>
        <v>Passeriformes</v>
      </c>
      <c r="H4021" s="3" t="str">
        <f>VLOOKUP(B4021,LifeList!$E$2:$I$2038,5)</f>
        <v>Passerellidae (New World Sparrows)</v>
      </c>
      <c r="I4021" s="3"/>
    </row>
    <row r="4022" spans="1:9" ht="10.5" customHeight="1">
      <c r="A4022" s="3" t="s">
        <v>5609</v>
      </c>
      <c r="B4022" s="3" t="s">
        <v>5607</v>
      </c>
      <c r="C4022" s="3">
        <f>VLOOKUP(B4022,LifeList!$E$2:$J$2038,6)</f>
        <v>33436</v>
      </c>
      <c r="D4022" s="3" t="str">
        <f>VLOOKUP(B4022,LifeList!$E$2:$G$2038,1)</f>
        <v>White-naped Brushfinch</v>
      </c>
      <c r="E4022" s="3" t="str">
        <f>VLOOKUP(B4022,LifeList!$E$2:$G$2038,2)</f>
        <v>Tohi à calotte blanche</v>
      </c>
      <c r="F4022" s="3" t="str">
        <f>VLOOKUP(B4022,LifeList!$E$2:$G$2038,3)</f>
        <v>Atlapetes albinucha</v>
      </c>
      <c r="G4022" s="3" t="str">
        <f>VLOOKUP(B4022,LifeList!$E$2:$I$2038,4)</f>
        <v>Passeriformes</v>
      </c>
      <c r="H4022" s="3" t="str">
        <f>VLOOKUP(B4022,LifeList!$E$2:$I$2038,5)</f>
        <v>Passerellidae (New World Sparrows)</v>
      </c>
      <c r="I4022" s="3"/>
    </row>
    <row r="4023" spans="1:9" ht="10.5" customHeight="1">
      <c r="A4023" s="3" t="s">
        <v>5610</v>
      </c>
      <c r="B4023" s="3" t="s">
        <v>5611</v>
      </c>
      <c r="C4023" s="3">
        <f>VLOOKUP(B4023,LifeList!$E$2:$J$2038,6)</f>
        <v>18130</v>
      </c>
      <c r="D4023" s="3" t="str">
        <f>VLOOKUP(B4023,LifeList!$E$2:$G$2038,1)</f>
        <v>White-naped Honeyeater</v>
      </c>
      <c r="E4023" s="3" t="str">
        <f>VLOOKUP(B4023,LifeList!$E$2:$G$2038,2)</f>
        <v>Méliphage à lunule</v>
      </c>
      <c r="F4023" s="3" t="str">
        <f>VLOOKUP(B4023,LifeList!$E$2:$G$2038,3)</f>
        <v>Melithreptus lunatus</v>
      </c>
      <c r="G4023" s="3" t="str">
        <f>VLOOKUP(B4023,LifeList!$E$2:$I$2038,4)</f>
        <v>Passeriformes</v>
      </c>
      <c r="H4023" s="3" t="str">
        <f>VLOOKUP(B4023,LifeList!$E$2:$I$2038,5)</f>
        <v>Meliphagidae (Honeyeaters)</v>
      </c>
      <c r="I4023" s="3"/>
    </row>
    <row r="4024" spans="1:9" ht="10.5" customHeight="1">
      <c r="A4024" s="3" t="s">
        <v>5612</v>
      </c>
      <c r="B4024" s="3" t="s">
        <v>5613</v>
      </c>
      <c r="C4024" s="3">
        <f>VLOOKUP(B4024,LifeList!$E$2:$J$2038,6)</f>
        <v>4227</v>
      </c>
      <c r="D4024" s="3" t="str">
        <f>VLOOKUP(B4024,LifeList!$E$2:$G$2038,1)</f>
        <v>White-necked Jacobin</v>
      </c>
      <c r="E4024" s="3" t="str">
        <f>VLOOKUP(B4024,LifeList!$E$2:$G$2038,2)</f>
        <v>Colibri jacobin</v>
      </c>
      <c r="F4024" s="3" t="str">
        <f>VLOOKUP(B4024,LifeList!$E$2:$G$2038,3)</f>
        <v>Florisuga mellivora</v>
      </c>
      <c r="G4024" s="3" t="str">
        <f>VLOOKUP(B4024,LifeList!$E$2:$I$2038,4)</f>
        <v>Apodiformes</v>
      </c>
      <c r="H4024" s="3" t="str">
        <f>VLOOKUP(B4024,LifeList!$E$2:$I$2038,5)</f>
        <v>Trochilidae (Hummingbirds)</v>
      </c>
      <c r="I4024" s="3"/>
    </row>
    <row r="4025" spans="1:9" ht="10.5" customHeight="1">
      <c r="A4025" s="3" t="s">
        <v>5614</v>
      </c>
      <c r="B4025" s="3" t="s">
        <v>5613</v>
      </c>
      <c r="C4025" s="3">
        <f>VLOOKUP(B4025,LifeList!$E$2:$J$2038,6)</f>
        <v>4227</v>
      </c>
      <c r="D4025" s="3" t="str">
        <f>VLOOKUP(B4025,LifeList!$E$2:$G$2038,1)</f>
        <v>White-necked Jacobin</v>
      </c>
      <c r="E4025" s="3" t="str">
        <f>VLOOKUP(B4025,LifeList!$E$2:$G$2038,2)</f>
        <v>Colibri jacobin</v>
      </c>
      <c r="F4025" s="3" t="str">
        <f>VLOOKUP(B4025,LifeList!$E$2:$G$2038,3)</f>
        <v>Florisuga mellivora</v>
      </c>
      <c r="G4025" s="3" t="str">
        <f>VLOOKUP(B4025,LifeList!$E$2:$I$2038,4)</f>
        <v>Apodiformes</v>
      </c>
      <c r="H4025" s="3" t="str">
        <f>VLOOKUP(B4025,LifeList!$E$2:$I$2038,5)</f>
        <v>Trochilidae (Hummingbirds)</v>
      </c>
      <c r="I4025" s="3"/>
    </row>
    <row r="4026" spans="1:9" ht="10.5" customHeight="1">
      <c r="A4026" s="3" t="s">
        <v>5615</v>
      </c>
      <c r="B4026" s="3" t="s">
        <v>5613</v>
      </c>
      <c r="C4026" s="3">
        <f>VLOOKUP(B4026,LifeList!$E$2:$J$2038,6)</f>
        <v>4227</v>
      </c>
      <c r="D4026" s="3" t="str">
        <f>VLOOKUP(B4026,LifeList!$E$2:$G$2038,1)</f>
        <v>White-necked Jacobin</v>
      </c>
      <c r="E4026" s="3" t="str">
        <f>VLOOKUP(B4026,LifeList!$E$2:$G$2038,2)</f>
        <v>Colibri jacobin</v>
      </c>
      <c r="F4026" s="3" t="str">
        <f>VLOOKUP(B4026,LifeList!$E$2:$G$2038,3)</f>
        <v>Florisuga mellivora</v>
      </c>
      <c r="G4026" s="3" t="str">
        <f>VLOOKUP(B4026,LifeList!$E$2:$I$2038,4)</f>
        <v>Apodiformes</v>
      </c>
      <c r="H4026" s="3" t="str">
        <f>VLOOKUP(B4026,LifeList!$E$2:$I$2038,5)</f>
        <v>Trochilidae (Hummingbirds)</v>
      </c>
      <c r="I4026" s="3"/>
    </row>
    <row r="4027" spans="1:9" ht="10.5" customHeight="1">
      <c r="A4027" s="3" t="s">
        <v>5616</v>
      </c>
      <c r="B4027" s="3" t="s">
        <v>5613</v>
      </c>
      <c r="C4027" s="3">
        <f>VLOOKUP(B4027,LifeList!$E$2:$J$2038,6)</f>
        <v>4227</v>
      </c>
      <c r="D4027" s="3" t="str">
        <f>VLOOKUP(B4027,LifeList!$E$2:$G$2038,1)</f>
        <v>White-necked Jacobin</v>
      </c>
      <c r="E4027" s="3" t="str">
        <f>VLOOKUP(B4027,LifeList!$E$2:$G$2038,2)</f>
        <v>Colibri jacobin</v>
      </c>
      <c r="F4027" s="3" t="str">
        <f>VLOOKUP(B4027,LifeList!$E$2:$G$2038,3)</f>
        <v>Florisuga mellivora</v>
      </c>
      <c r="G4027" s="3" t="str">
        <f>VLOOKUP(B4027,LifeList!$E$2:$I$2038,4)</f>
        <v>Apodiformes</v>
      </c>
      <c r="H4027" s="3" t="str">
        <f>VLOOKUP(B4027,LifeList!$E$2:$I$2038,5)</f>
        <v>Trochilidae (Hummingbirds)</v>
      </c>
      <c r="I4027" s="3"/>
    </row>
    <row r="4028" spans="1:9" ht="10.5" customHeight="1">
      <c r="A4028" s="3" t="s">
        <v>5617</v>
      </c>
      <c r="B4028" s="3" t="s">
        <v>5613</v>
      </c>
      <c r="C4028" s="3">
        <f>VLOOKUP(B4028,LifeList!$E$2:$J$2038,6)</f>
        <v>4227</v>
      </c>
      <c r="D4028" s="3" t="str">
        <f>VLOOKUP(B4028,LifeList!$E$2:$G$2038,1)</f>
        <v>White-necked Jacobin</v>
      </c>
      <c r="E4028" s="3" t="str">
        <f>VLOOKUP(B4028,LifeList!$E$2:$G$2038,2)</f>
        <v>Colibri jacobin</v>
      </c>
      <c r="F4028" s="3" t="str">
        <f>VLOOKUP(B4028,LifeList!$E$2:$G$2038,3)</f>
        <v>Florisuga mellivora</v>
      </c>
      <c r="G4028" s="3" t="str">
        <f>VLOOKUP(B4028,LifeList!$E$2:$I$2038,4)</f>
        <v>Apodiformes</v>
      </c>
      <c r="H4028" s="3" t="str">
        <f>VLOOKUP(B4028,LifeList!$E$2:$I$2038,5)</f>
        <v>Trochilidae (Hummingbirds)</v>
      </c>
      <c r="I4028" s="3"/>
    </row>
    <row r="4029" spans="1:9" ht="10.5" customHeight="1">
      <c r="A4029" s="3" t="s">
        <v>5618</v>
      </c>
      <c r="B4029" s="3" t="s">
        <v>5619</v>
      </c>
      <c r="C4029" s="3">
        <f>VLOOKUP(B4029,LifeList!$E$2:$J$2038,6)</f>
        <v>10377</v>
      </c>
      <c r="D4029" s="3" t="str">
        <f>VLOOKUP(B4029,LifeList!$E$2:$G$2038,1)</f>
        <v>White-necked Puffbird</v>
      </c>
      <c r="E4029" s="3" t="str">
        <f>VLOOKUP(B4029,LifeList!$E$2:$G$2038,2)</f>
        <v>Tamatia à front blanc</v>
      </c>
      <c r="F4029" s="3" t="str">
        <f>VLOOKUP(B4029,LifeList!$E$2:$G$2038,3)</f>
        <v>Notharchus hyperrhynchus</v>
      </c>
      <c r="G4029" s="3" t="str">
        <f>VLOOKUP(B4029,LifeList!$E$2:$I$2038,4)</f>
        <v>Piciformes</v>
      </c>
      <c r="H4029" s="3" t="str">
        <f>VLOOKUP(B4029,LifeList!$E$2:$I$2038,5)</f>
        <v>Bucconidae (Puffbirds)</v>
      </c>
      <c r="I4029" s="3"/>
    </row>
    <row r="4030" spans="1:9" ht="10.5" customHeight="1">
      <c r="A4030" s="3" t="s">
        <v>5620</v>
      </c>
      <c r="B4030" s="3" t="s">
        <v>5619</v>
      </c>
      <c r="C4030" s="3">
        <f>VLOOKUP(B4030,LifeList!$E$2:$J$2038,6)</f>
        <v>10377</v>
      </c>
      <c r="D4030" s="3" t="str">
        <f>VLOOKUP(B4030,LifeList!$E$2:$G$2038,1)</f>
        <v>White-necked Puffbird</v>
      </c>
      <c r="E4030" s="3" t="str">
        <f>VLOOKUP(B4030,LifeList!$E$2:$G$2038,2)</f>
        <v>Tamatia à front blanc</v>
      </c>
      <c r="F4030" s="3" t="str">
        <f>VLOOKUP(B4030,LifeList!$E$2:$G$2038,3)</f>
        <v>Notharchus hyperrhynchus</v>
      </c>
      <c r="G4030" s="3" t="str">
        <f>VLOOKUP(B4030,LifeList!$E$2:$I$2038,4)</f>
        <v>Piciformes</v>
      </c>
      <c r="H4030" s="3" t="str">
        <f>VLOOKUP(B4030,LifeList!$E$2:$I$2038,5)</f>
        <v>Bucconidae (Puffbirds)</v>
      </c>
      <c r="I4030" s="3"/>
    </row>
    <row r="4031" spans="1:9" ht="10.5" customHeight="1">
      <c r="A4031" s="3" t="s">
        <v>5621</v>
      </c>
      <c r="B4031" s="3" t="s">
        <v>5622</v>
      </c>
      <c r="C4031" s="3">
        <f>VLOOKUP(B4031,LifeList!$E$2:$J$2038,6)</f>
        <v>28735</v>
      </c>
      <c r="D4031" s="3" t="str">
        <f>VLOOKUP(B4031,LifeList!$E$2:$G$2038,1)</f>
        <v>White-necked Thrush</v>
      </c>
      <c r="E4031" s="3" t="str">
        <f>VLOOKUP(B4031,LifeList!$E$2:$G$2038,2)</f>
        <v>Merle à col blanc</v>
      </c>
      <c r="F4031" s="3" t="str">
        <f>VLOOKUP(B4031,LifeList!$E$2:$G$2038,3)</f>
        <v>Turdus albicollis</v>
      </c>
      <c r="G4031" s="3" t="str">
        <f>VLOOKUP(B4031,LifeList!$E$2:$I$2038,4)</f>
        <v>Passeriformes</v>
      </c>
      <c r="H4031" s="3" t="str">
        <f>VLOOKUP(B4031,LifeList!$E$2:$I$2038,5)</f>
        <v>Turdidae (Thrushes and Allies)</v>
      </c>
      <c r="I4031" s="3"/>
    </row>
    <row r="4032" spans="1:9" ht="10.5" customHeight="1">
      <c r="A4032" s="3" t="s">
        <v>5623</v>
      </c>
      <c r="B4032" s="3" t="s">
        <v>5624</v>
      </c>
      <c r="C4032" s="3">
        <f>VLOOKUP(B4032,LifeList!$E$2:$J$2038,6)</f>
        <v>17884</v>
      </c>
      <c r="D4032" s="3" t="str">
        <f>VLOOKUP(B4032,LifeList!$E$2:$G$2038,1)</f>
        <v>White-plumed Honeyeater</v>
      </c>
      <c r="E4032" s="3" t="str">
        <f>VLOOKUP(B4032,LifeList!$E$2:$G$2038,2)</f>
        <v>Méliphage serti</v>
      </c>
      <c r="F4032" s="3" t="str">
        <f>VLOOKUP(B4032,LifeList!$E$2:$G$2038,3)</f>
        <v>Ptilotula penicillata</v>
      </c>
      <c r="G4032" s="3" t="str">
        <f>VLOOKUP(B4032,LifeList!$E$2:$I$2038,4)</f>
        <v>Passeriformes</v>
      </c>
      <c r="H4032" s="3" t="str">
        <f>VLOOKUP(B4032,LifeList!$E$2:$I$2038,5)</f>
        <v>Meliphagidae (Honeyeaters)</v>
      </c>
      <c r="I4032" s="3"/>
    </row>
    <row r="4033" spans="1:9" ht="10.5" customHeight="1">
      <c r="A4033" s="3" t="s">
        <v>5625</v>
      </c>
      <c r="B4033" s="3" t="s">
        <v>5624</v>
      </c>
      <c r="C4033" s="3">
        <f>VLOOKUP(B4033,LifeList!$E$2:$J$2038,6)</f>
        <v>17884</v>
      </c>
      <c r="D4033" s="3" t="str">
        <f>VLOOKUP(B4033,LifeList!$E$2:$G$2038,1)</f>
        <v>White-plumed Honeyeater</v>
      </c>
      <c r="E4033" s="3" t="str">
        <f>VLOOKUP(B4033,LifeList!$E$2:$G$2038,2)</f>
        <v>Méliphage serti</v>
      </c>
      <c r="F4033" s="3" t="str">
        <f>VLOOKUP(B4033,LifeList!$E$2:$G$2038,3)</f>
        <v>Ptilotula penicillata</v>
      </c>
      <c r="G4033" s="3" t="str">
        <f>VLOOKUP(B4033,LifeList!$E$2:$I$2038,4)</f>
        <v>Passeriformes</v>
      </c>
      <c r="H4033" s="3" t="str">
        <f>VLOOKUP(B4033,LifeList!$E$2:$I$2038,5)</f>
        <v>Meliphagidae (Honeyeaters)</v>
      </c>
      <c r="I4033" s="3"/>
    </row>
    <row r="4034" spans="1:9" ht="10.5" customHeight="1">
      <c r="A4034" s="3" t="s">
        <v>5626</v>
      </c>
      <c r="B4034" s="3" t="s">
        <v>5627</v>
      </c>
      <c r="C4034" s="3">
        <f>VLOOKUP(B4034,LifeList!$E$2:$J$2038,6)</f>
        <v>2954</v>
      </c>
      <c r="D4034" s="3" t="str">
        <f>VLOOKUP(B4034,LifeList!$E$2:$G$2038,1)</f>
        <v>White-quilled Bustard</v>
      </c>
      <c r="E4034" s="3" t="str">
        <f>VLOOKUP(B4034,LifeList!$E$2:$G$2038,2)</f>
        <v>Outarde à miroir blanc</v>
      </c>
      <c r="F4034" s="3" t="str">
        <f>VLOOKUP(B4034,LifeList!$E$2:$G$2038,3)</f>
        <v>Afrotis afraoides</v>
      </c>
      <c r="G4034" s="3" t="str">
        <f>VLOOKUP(B4034,LifeList!$E$2:$I$2038,4)</f>
        <v>Otidiformes</v>
      </c>
      <c r="H4034" s="3" t="str">
        <f>VLOOKUP(B4034,LifeList!$E$2:$I$2038,5)</f>
        <v>Otididae (Bustards)</v>
      </c>
      <c r="I4034" s="3"/>
    </row>
    <row r="4035" spans="1:9" ht="10.5" customHeight="1">
      <c r="A4035" s="3" t="s">
        <v>5628</v>
      </c>
      <c r="B4035" s="3" t="s">
        <v>5627</v>
      </c>
      <c r="C4035" s="3">
        <f>VLOOKUP(B4035,LifeList!$E$2:$J$2038,6)</f>
        <v>2954</v>
      </c>
      <c r="D4035" s="3" t="str">
        <f>VLOOKUP(B4035,LifeList!$E$2:$G$2038,1)</f>
        <v>White-quilled Bustard</v>
      </c>
      <c r="E4035" s="3" t="str">
        <f>VLOOKUP(B4035,LifeList!$E$2:$G$2038,2)</f>
        <v>Outarde à miroir blanc</v>
      </c>
      <c r="F4035" s="3" t="str">
        <f>VLOOKUP(B4035,LifeList!$E$2:$G$2038,3)</f>
        <v>Afrotis afraoides</v>
      </c>
      <c r="G4035" s="3" t="str">
        <f>VLOOKUP(B4035,LifeList!$E$2:$I$2038,4)</f>
        <v>Otidiformes</v>
      </c>
      <c r="H4035" s="3" t="str">
        <f>VLOOKUP(B4035,LifeList!$E$2:$I$2038,5)</f>
        <v>Otididae (Bustards)</v>
      </c>
      <c r="I4035" s="3"/>
    </row>
    <row r="4036" spans="1:9" ht="10.5" customHeight="1">
      <c r="A4036" s="3" t="s">
        <v>5629</v>
      </c>
      <c r="B4036" s="3" t="s">
        <v>5630</v>
      </c>
      <c r="C4036" s="3">
        <f>VLOOKUP(B4036,LifeList!$E$2:$J$2038,6)</f>
        <v>8448</v>
      </c>
      <c r="D4036" s="3" t="str">
        <f>VLOOKUP(B4036,LifeList!$E$2:$G$2038,1)</f>
        <v>White-rumped Hawk</v>
      </c>
      <c r="E4036" s="3" t="str">
        <f>VLOOKUP(B4036,LifeList!$E$2:$G$2038,2)</f>
        <v>Buse cul-blanc</v>
      </c>
      <c r="F4036" s="3" t="str">
        <f>VLOOKUP(B4036,LifeList!$E$2:$G$2038,3)</f>
        <v>Parabuteo leucorrhous</v>
      </c>
      <c r="G4036" s="3" t="str">
        <f>VLOOKUP(B4036,LifeList!$E$2:$I$2038,4)</f>
        <v>Accipitriformes</v>
      </c>
      <c r="H4036" s="3" t="str">
        <f>VLOOKUP(B4036,LifeList!$E$2:$I$2038,5)</f>
        <v>Accipitridae (Hawks, Eagles, and Kites)</v>
      </c>
      <c r="I4036" s="3"/>
    </row>
    <row r="4037" spans="1:9" ht="10.5" customHeight="1">
      <c r="A4037" s="3" t="s">
        <v>5631</v>
      </c>
      <c r="B4037" s="3" t="s">
        <v>5632</v>
      </c>
      <c r="C4037" s="3">
        <f>VLOOKUP(B4037,LifeList!$E$2:$J$2038,6)</f>
        <v>6221</v>
      </c>
      <c r="D4037" s="3" t="str">
        <f>VLOOKUP(B4037,LifeList!$E$2:$G$2038,1)</f>
        <v>White-rumped Sandpiper</v>
      </c>
      <c r="E4037" s="3" t="str">
        <f>VLOOKUP(B4037,LifeList!$E$2:$G$2038,2)</f>
        <v>Bécasseau à croupion blanc</v>
      </c>
      <c r="F4037" s="3" t="str">
        <f>VLOOKUP(B4037,LifeList!$E$2:$G$2038,3)</f>
        <v>Calidris fuscicollis</v>
      </c>
      <c r="G4037" s="3" t="str">
        <f>VLOOKUP(B4037,LifeList!$E$2:$I$2038,4)</f>
        <v>Charadriiformes</v>
      </c>
      <c r="H4037" s="3" t="str">
        <f>VLOOKUP(B4037,LifeList!$E$2:$I$2038,5)</f>
        <v>Scolopacidae (Sandpipers and Allies)</v>
      </c>
      <c r="I4037" s="3"/>
    </row>
    <row r="4038" spans="1:9" ht="10.5" customHeight="1">
      <c r="A4038" s="3" t="s">
        <v>5633</v>
      </c>
      <c r="B4038" s="3" t="s">
        <v>5634</v>
      </c>
      <c r="C4038" s="3">
        <f>VLOOKUP(B4038,LifeList!$E$2:$J$2038,6)</f>
        <v>21167</v>
      </c>
      <c r="D4038" s="3" t="str">
        <f>VLOOKUP(B4038,LifeList!$E$2:$G$2038,1)</f>
        <v>White-rumped Shrike</v>
      </c>
      <c r="E4038" s="3" t="str">
        <f>VLOOKUP(B4038,LifeList!$E$2:$G$2038,2)</f>
        <v>Eurocéphale de Rüppell</v>
      </c>
      <c r="F4038" s="3" t="str">
        <f>VLOOKUP(B4038,LifeList!$E$2:$G$2038,3)</f>
        <v>Eurocephalus ruppelli</v>
      </c>
      <c r="G4038" s="3" t="str">
        <f>VLOOKUP(B4038,LifeList!$E$2:$I$2038,4)</f>
        <v>Passeriformes</v>
      </c>
      <c r="H4038" s="3" t="str">
        <f>VLOOKUP(B4038,LifeList!$E$2:$I$2038,5)</f>
        <v>Laniidae (Shrikes)</v>
      </c>
      <c r="I4038" s="3"/>
    </row>
    <row r="4039" spans="1:9" ht="10.5" customHeight="1">
      <c r="A4039" s="3" t="s">
        <v>5635</v>
      </c>
      <c r="B4039" s="3" t="s">
        <v>5636</v>
      </c>
      <c r="C4039" s="3">
        <f>VLOOKUP(B4039,LifeList!$E$2:$J$2038,6)</f>
        <v>34761</v>
      </c>
      <c r="D4039" s="3" t="str">
        <f>VLOOKUP(B4039,LifeList!$E$2:$G$2038,1)</f>
        <v>White-shouldered Tanager</v>
      </c>
      <c r="E4039" s="3" t="str">
        <f>VLOOKUP(B4039,LifeList!$E$2:$G$2038,2)</f>
        <v>Tangara à épaulettes blanches</v>
      </c>
      <c r="F4039" s="3" t="str">
        <f>VLOOKUP(B4039,LifeList!$E$2:$G$2038,3)</f>
        <v>Loriotus luctuosus</v>
      </c>
      <c r="G4039" s="3" t="str">
        <f>VLOOKUP(B4039,LifeList!$E$2:$I$2038,4)</f>
        <v>Passeriformes</v>
      </c>
      <c r="H4039" s="3" t="str">
        <f>VLOOKUP(B4039,LifeList!$E$2:$I$2038,5)</f>
        <v>Thraupidae (Tanagers and Allies)</v>
      </c>
      <c r="I4039" s="3"/>
    </row>
    <row r="4040" spans="1:9" ht="10.5" customHeight="1">
      <c r="A4040" s="3" t="s">
        <v>5637</v>
      </c>
      <c r="B4040" s="3" t="s">
        <v>5636</v>
      </c>
      <c r="C4040" s="3">
        <f>VLOOKUP(B4040,LifeList!$E$2:$J$2038,6)</f>
        <v>34761</v>
      </c>
      <c r="D4040" s="3" t="str">
        <f>VLOOKUP(B4040,LifeList!$E$2:$G$2038,1)</f>
        <v>White-shouldered Tanager</v>
      </c>
      <c r="E4040" s="3" t="str">
        <f>VLOOKUP(B4040,LifeList!$E$2:$G$2038,2)</f>
        <v>Tangara à épaulettes blanches</v>
      </c>
      <c r="F4040" s="3" t="str">
        <f>VLOOKUP(B4040,LifeList!$E$2:$G$2038,3)</f>
        <v>Loriotus luctuosus</v>
      </c>
      <c r="G4040" s="3" t="str">
        <f>VLOOKUP(B4040,LifeList!$E$2:$I$2038,4)</f>
        <v>Passeriformes</v>
      </c>
      <c r="H4040" s="3" t="str">
        <f>VLOOKUP(B4040,LifeList!$E$2:$I$2038,5)</f>
        <v>Thraupidae (Tanagers and Allies)</v>
      </c>
      <c r="I4040" s="3"/>
    </row>
    <row r="4041" spans="1:9" ht="10.5" customHeight="1">
      <c r="A4041" s="3" t="s">
        <v>5638</v>
      </c>
      <c r="B4041" s="3" t="s">
        <v>5639</v>
      </c>
      <c r="C4041" s="3">
        <f>VLOOKUP(B4041,LifeList!$E$2:$J$2038,6)</f>
        <v>35291</v>
      </c>
      <c r="D4041" s="3" t="str">
        <f>VLOOKUP(B4041,LifeList!$E$2:$G$2038,1)</f>
        <v>White-sided Flowerpiercer</v>
      </c>
      <c r="E4041" s="3" t="str">
        <f>VLOOKUP(B4041,LifeList!$E$2:$G$2038,2)</f>
        <v>Percefleur à flancs blancs</v>
      </c>
      <c r="F4041" s="3" t="str">
        <f>VLOOKUP(B4041,LifeList!$E$2:$G$2038,3)</f>
        <v>Diglossa albilatera</v>
      </c>
      <c r="G4041" s="3" t="str">
        <f>VLOOKUP(B4041,LifeList!$E$2:$I$2038,4)</f>
        <v>Passeriformes</v>
      </c>
      <c r="H4041" s="3" t="str">
        <f>VLOOKUP(B4041,LifeList!$E$2:$I$2038,5)</f>
        <v>Thraupidae (Tanagers and Allies)</v>
      </c>
      <c r="I4041" s="3"/>
    </row>
    <row r="4042" spans="1:9" ht="10.5" customHeight="1">
      <c r="A4042" s="3" t="s">
        <v>5640</v>
      </c>
      <c r="B4042" s="3" t="s">
        <v>5639</v>
      </c>
      <c r="C4042" s="3">
        <f>VLOOKUP(B4042,LifeList!$E$2:$J$2038,6)</f>
        <v>35291</v>
      </c>
      <c r="D4042" s="3" t="str">
        <f>VLOOKUP(B4042,LifeList!$E$2:$G$2038,1)</f>
        <v>White-sided Flowerpiercer</v>
      </c>
      <c r="E4042" s="3" t="str">
        <f>VLOOKUP(B4042,LifeList!$E$2:$G$2038,2)</f>
        <v>Percefleur à flancs blancs</v>
      </c>
      <c r="F4042" s="3" t="str">
        <f>VLOOKUP(B4042,LifeList!$E$2:$G$2038,3)</f>
        <v>Diglossa albilatera</v>
      </c>
      <c r="G4042" s="3" t="str">
        <f>VLOOKUP(B4042,LifeList!$E$2:$I$2038,4)</f>
        <v>Passeriformes</v>
      </c>
      <c r="H4042" s="3" t="str">
        <f>VLOOKUP(B4042,LifeList!$E$2:$I$2038,5)</f>
        <v>Thraupidae (Tanagers and Allies)</v>
      </c>
      <c r="I4042" s="3"/>
    </row>
    <row r="4043" spans="1:9" ht="10.5" customHeight="1">
      <c r="A4043" s="3" t="s">
        <v>5641</v>
      </c>
      <c r="B4043" s="3" t="s">
        <v>5639</v>
      </c>
      <c r="C4043" s="3">
        <f>VLOOKUP(B4043,LifeList!$E$2:$J$2038,6)</f>
        <v>35291</v>
      </c>
      <c r="D4043" s="3" t="str">
        <f>VLOOKUP(B4043,LifeList!$E$2:$G$2038,1)</f>
        <v>White-sided Flowerpiercer</v>
      </c>
      <c r="E4043" s="3" t="str">
        <f>VLOOKUP(B4043,LifeList!$E$2:$G$2038,2)</f>
        <v>Percefleur à flancs blancs</v>
      </c>
      <c r="F4043" s="3" t="str">
        <f>VLOOKUP(B4043,LifeList!$E$2:$G$2038,3)</f>
        <v>Diglossa albilatera</v>
      </c>
      <c r="G4043" s="3" t="str">
        <f>VLOOKUP(B4043,LifeList!$E$2:$I$2038,4)</f>
        <v>Passeriformes</v>
      </c>
      <c r="H4043" s="3" t="str">
        <f>VLOOKUP(B4043,LifeList!$E$2:$I$2038,5)</f>
        <v>Thraupidae (Tanagers and Allies)</v>
      </c>
      <c r="I4043" s="3"/>
    </row>
    <row r="4044" spans="1:9" ht="10.5" customHeight="1">
      <c r="A4044" s="3" t="s">
        <v>5642</v>
      </c>
      <c r="B4044" s="3" t="s">
        <v>5639</v>
      </c>
      <c r="C4044" s="3">
        <f>VLOOKUP(B4044,LifeList!$E$2:$J$2038,6)</f>
        <v>35291</v>
      </c>
      <c r="D4044" s="3" t="str">
        <f>VLOOKUP(B4044,LifeList!$E$2:$G$2038,1)</f>
        <v>White-sided Flowerpiercer</v>
      </c>
      <c r="E4044" s="3" t="str">
        <f>VLOOKUP(B4044,LifeList!$E$2:$G$2038,2)</f>
        <v>Percefleur à flancs blancs</v>
      </c>
      <c r="F4044" s="3" t="str">
        <f>VLOOKUP(B4044,LifeList!$E$2:$G$2038,3)</f>
        <v>Diglossa albilatera</v>
      </c>
      <c r="G4044" s="3" t="str">
        <f>VLOOKUP(B4044,LifeList!$E$2:$I$2038,4)</f>
        <v>Passeriformes</v>
      </c>
      <c r="H4044" s="3" t="str">
        <f>VLOOKUP(B4044,LifeList!$E$2:$I$2038,5)</f>
        <v>Thraupidae (Tanagers and Allies)</v>
      </c>
      <c r="I4044" s="3"/>
    </row>
    <row r="4045" spans="1:9" ht="10.5" customHeight="1">
      <c r="A4045" s="3" t="s">
        <v>5643</v>
      </c>
      <c r="B4045" s="3" t="s">
        <v>5644</v>
      </c>
      <c r="C4045" s="3">
        <f>VLOOKUP(B4045,LifeList!$E$2:$J$2038,6)</f>
        <v>7843</v>
      </c>
      <c r="D4045" s="3" t="str">
        <f>VLOOKUP(B4045,LifeList!$E$2:$G$2038,1)</f>
        <v>White-tailed Kite</v>
      </c>
      <c r="E4045" s="3" t="str">
        <f>VLOOKUP(B4045,LifeList!$E$2:$G$2038,2)</f>
        <v>Élanion à queue blanche</v>
      </c>
      <c r="F4045" s="3" t="str">
        <f>VLOOKUP(B4045,LifeList!$E$2:$G$2038,3)</f>
        <v>Elanus leucurus</v>
      </c>
      <c r="G4045" s="3" t="str">
        <f>VLOOKUP(B4045,LifeList!$E$2:$I$2038,4)</f>
        <v>Accipitriformes</v>
      </c>
      <c r="H4045" s="3" t="str">
        <f>VLOOKUP(B4045,LifeList!$E$2:$I$2038,5)</f>
        <v>Accipitridae (Hawks, Eagles, and Kites)</v>
      </c>
      <c r="I4045" s="3"/>
    </row>
    <row r="4046" spans="1:9" ht="10.5" customHeight="1">
      <c r="A4046" s="3" t="s">
        <v>5645</v>
      </c>
      <c r="B4046" s="3" t="s">
        <v>5644</v>
      </c>
      <c r="C4046" s="3">
        <f>VLOOKUP(B4046,LifeList!$E$2:$J$2038,6)</f>
        <v>7843</v>
      </c>
      <c r="D4046" s="3" t="str">
        <f>VLOOKUP(B4046,LifeList!$E$2:$G$2038,1)</f>
        <v>White-tailed Kite</v>
      </c>
      <c r="E4046" s="3" t="str">
        <f>VLOOKUP(B4046,LifeList!$E$2:$G$2038,2)</f>
        <v>Élanion à queue blanche</v>
      </c>
      <c r="F4046" s="3" t="str">
        <f>VLOOKUP(B4046,LifeList!$E$2:$G$2038,3)</f>
        <v>Elanus leucurus</v>
      </c>
      <c r="G4046" s="3" t="str">
        <f>VLOOKUP(B4046,LifeList!$E$2:$I$2038,4)</f>
        <v>Accipitriformes</v>
      </c>
      <c r="H4046" s="3" t="str">
        <f>VLOOKUP(B4046,LifeList!$E$2:$I$2038,5)</f>
        <v>Accipitridae (Hawks, Eagles, and Kites)</v>
      </c>
      <c r="I4046" s="3"/>
    </row>
    <row r="4047" spans="1:9" ht="10.5" customHeight="1">
      <c r="A4047" s="3" t="s">
        <v>5646</v>
      </c>
      <c r="B4047" s="3" t="s">
        <v>5644</v>
      </c>
      <c r="C4047" s="3">
        <f>VLOOKUP(B4047,LifeList!$E$2:$J$2038,6)</f>
        <v>7843</v>
      </c>
      <c r="D4047" s="3" t="str">
        <f>VLOOKUP(B4047,LifeList!$E$2:$G$2038,1)</f>
        <v>White-tailed Kite</v>
      </c>
      <c r="E4047" s="3" t="str">
        <f>VLOOKUP(B4047,LifeList!$E$2:$G$2038,2)</f>
        <v>Élanion à queue blanche</v>
      </c>
      <c r="F4047" s="3" t="str">
        <f>VLOOKUP(B4047,LifeList!$E$2:$G$2038,3)</f>
        <v>Elanus leucurus</v>
      </c>
      <c r="G4047" s="3" t="str">
        <f>VLOOKUP(B4047,LifeList!$E$2:$I$2038,4)</f>
        <v>Accipitriformes</v>
      </c>
      <c r="H4047" s="3" t="str">
        <f>VLOOKUP(B4047,LifeList!$E$2:$I$2038,5)</f>
        <v>Accipitridae (Hawks, Eagles, and Kites)</v>
      </c>
      <c r="I4047" s="3"/>
    </row>
    <row r="4048" spans="1:9" ht="10.5" customHeight="1">
      <c r="A4048" s="3" t="s">
        <v>5647</v>
      </c>
      <c r="B4048" s="3" t="s">
        <v>5648</v>
      </c>
      <c r="C4048" s="3">
        <f>VLOOKUP(B4048,LifeList!$E$2:$J$2038,6)</f>
        <v>3560</v>
      </c>
      <c r="D4048" s="3" t="str">
        <f>VLOOKUP(B4048,LifeList!$E$2:$G$2038,1)</f>
        <v>White-tailed Nightjar</v>
      </c>
      <c r="E4048" s="3" t="str">
        <f>VLOOKUP(B4048,LifeList!$E$2:$G$2038,2)</f>
        <v>Engoulevent coré</v>
      </c>
      <c r="F4048" s="3" t="str">
        <f>VLOOKUP(B4048,LifeList!$E$2:$G$2038,3)</f>
        <v>Hydropsalis cayennensis</v>
      </c>
      <c r="G4048" s="3" t="str">
        <f>VLOOKUP(B4048,LifeList!$E$2:$I$2038,4)</f>
        <v>Caprimulgiformes</v>
      </c>
      <c r="H4048" s="3" t="str">
        <f>VLOOKUP(B4048,LifeList!$E$2:$I$2038,5)</f>
        <v>Caprimulgidae (Nightjars and Allies)</v>
      </c>
      <c r="I4048" s="3"/>
    </row>
    <row r="4049" spans="1:9" ht="10.5" customHeight="1">
      <c r="A4049" s="3" t="s">
        <v>5649</v>
      </c>
      <c r="B4049" s="3" t="s">
        <v>5648</v>
      </c>
      <c r="C4049" s="3">
        <f>VLOOKUP(B4049,LifeList!$E$2:$J$2038,6)</f>
        <v>3560</v>
      </c>
      <c r="D4049" s="3" t="str">
        <f>VLOOKUP(B4049,LifeList!$E$2:$G$2038,1)</f>
        <v>White-tailed Nightjar</v>
      </c>
      <c r="E4049" s="3" t="str">
        <f>VLOOKUP(B4049,LifeList!$E$2:$G$2038,2)</f>
        <v>Engoulevent coré</v>
      </c>
      <c r="F4049" s="3" t="str">
        <f>VLOOKUP(B4049,LifeList!$E$2:$G$2038,3)</f>
        <v>Hydropsalis cayennensis</v>
      </c>
      <c r="G4049" s="3" t="str">
        <f>VLOOKUP(B4049,LifeList!$E$2:$I$2038,4)</f>
        <v>Caprimulgiformes</v>
      </c>
      <c r="H4049" s="3" t="str">
        <f>VLOOKUP(B4049,LifeList!$E$2:$I$2038,5)</f>
        <v>Caprimulgidae (Nightjars and Allies)</v>
      </c>
      <c r="I4049" s="3"/>
    </row>
    <row r="4050" spans="1:9" ht="10.5" customHeight="1">
      <c r="A4050" s="3" t="s">
        <v>5650</v>
      </c>
      <c r="B4050" s="3" t="s">
        <v>5648</v>
      </c>
      <c r="C4050" s="3">
        <f>VLOOKUP(B4050,LifeList!$E$2:$J$2038,6)</f>
        <v>3560</v>
      </c>
      <c r="D4050" s="3" t="str">
        <f>VLOOKUP(B4050,LifeList!$E$2:$G$2038,1)</f>
        <v>White-tailed Nightjar</v>
      </c>
      <c r="E4050" s="3" t="str">
        <f>VLOOKUP(B4050,LifeList!$E$2:$G$2038,2)</f>
        <v>Engoulevent coré</v>
      </c>
      <c r="F4050" s="3" t="str">
        <f>VLOOKUP(B4050,LifeList!$E$2:$G$2038,3)</f>
        <v>Hydropsalis cayennensis</v>
      </c>
      <c r="G4050" s="3" t="str">
        <f>VLOOKUP(B4050,LifeList!$E$2:$I$2038,4)</f>
        <v>Caprimulgiformes</v>
      </c>
      <c r="H4050" s="3" t="str">
        <f>VLOOKUP(B4050,LifeList!$E$2:$I$2038,5)</f>
        <v>Caprimulgidae (Nightjars and Allies)</v>
      </c>
      <c r="I4050" s="3"/>
    </row>
    <row r="4051" spans="1:9" ht="10.5" customHeight="1">
      <c r="A4051" s="3" t="s">
        <v>5651</v>
      </c>
      <c r="B4051" s="3" t="s">
        <v>5648</v>
      </c>
      <c r="C4051" s="3">
        <f>VLOOKUP(B4051,LifeList!$E$2:$J$2038,6)</f>
        <v>3560</v>
      </c>
      <c r="D4051" s="3" t="str">
        <f>VLOOKUP(B4051,LifeList!$E$2:$G$2038,1)</f>
        <v>White-tailed Nightjar</v>
      </c>
      <c r="E4051" s="3" t="str">
        <f>VLOOKUP(B4051,LifeList!$E$2:$G$2038,2)</f>
        <v>Engoulevent coré</v>
      </c>
      <c r="F4051" s="3" t="str">
        <f>VLOOKUP(B4051,LifeList!$E$2:$G$2038,3)</f>
        <v>Hydropsalis cayennensis</v>
      </c>
      <c r="G4051" s="3" t="str">
        <f>VLOOKUP(B4051,LifeList!$E$2:$I$2038,4)</f>
        <v>Caprimulgiformes</v>
      </c>
      <c r="H4051" s="3" t="str">
        <f>VLOOKUP(B4051,LifeList!$E$2:$I$2038,5)</f>
        <v>Caprimulgidae (Nightjars and Allies)</v>
      </c>
      <c r="I4051" s="3"/>
    </row>
    <row r="4052" spans="1:9" ht="10.5" customHeight="1">
      <c r="A4052" s="3" t="s">
        <v>5652</v>
      </c>
      <c r="B4052" s="3" t="s">
        <v>5653</v>
      </c>
      <c r="C4052" s="3">
        <f>VLOOKUP(B4052,LifeList!$E$2:$J$2038,6)</f>
        <v>4962</v>
      </c>
      <c r="D4052" s="3" t="str">
        <f>VLOOKUP(B4052,LifeList!$E$2:$G$2038,1)</f>
        <v>White-tailed Sabrewing</v>
      </c>
      <c r="E4052" s="3" t="str">
        <f>VLOOKUP(B4052,LifeList!$E$2:$G$2038,2)</f>
        <v>Campyloptère à queue blanche</v>
      </c>
      <c r="F4052" s="3" t="str">
        <f>VLOOKUP(B4052,LifeList!$E$2:$G$2038,3)</f>
        <v>Campylopterus ensipennis</v>
      </c>
      <c r="G4052" s="3" t="str">
        <f>VLOOKUP(B4052,LifeList!$E$2:$I$2038,4)</f>
        <v>Apodiformes</v>
      </c>
      <c r="H4052" s="3" t="str">
        <f>VLOOKUP(B4052,LifeList!$E$2:$I$2038,5)</f>
        <v>Trochilidae (Hummingbirds)</v>
      </c>
      <c r="I4052" s="3"/>
    </row>
    <row r="4053" spans="1:9" ht="10.5" customHeight="1">
      <c r="A4053" s="3" t="s">
        <v>5654</v>
      </c>
      <c r="B4053" s="3" t="s">
        <v>5655</v>
      </c>
      <c r="C4053" s="3">
        <f>VLOOKUP(B4053,LifeList!$E$2:$J$2038,6)</f>
        <v>19833</v>
      </c>
      <c r="D4053" s="3" t="str">
        <f>VLOOKUP(B4053,LifeList!$E$2:$G$2038,1)</f>
        <v>White-tailed Shrike</v>
      </c>
      <c r="E4053" s="3" t="str">
        <f>VLOOKUP(B4053,LifeList!$E$2:$G$2038,2)</f>
        <v>Lanielle à queue blanche</v>
      </c>
      <c r="F4053" s="3" t="str">
        <f>VLOOKUP(B4053,LifeList!$E$2:$G$2038,3)</f>
        <v>Lanioturdus torquatus</v>
      </c>
      <c r="G4053" s="3" t="str">
        <f>VLOOKUP(B4053,LifeList!$E$2:$I$2038,4)</f>
        <v>Passeriformes</v>
      </c>
      <c r="H4053" s="3" t="str">
        <f>VLOOKUP(B4053,LifeList!$E$2:$I$2038,5)</f>
        <v>Platysteiridae (Wattle-eyes and Batises)</v>
      </c>
      <c r="I4053" s="3"/>
    </row>
    <row r="4054" spans="1:9" ht="10.5" customHeight="1">
      <c r="A4054" s="3" t="s">
        <v>5656</v>
      </c>
      <c r="B4054" s="3" t="s">
        <v>5657</v>
      </c>
      <c r="C4054" s="3">
        <f>VLOOKUP(B4054,LifeList!$E$2:$J$2038,6)</f>
        <v>4646</v>
      </c>
      <c r="D4054" s="3" t="str">
        <f>VLOOKUP(B4054,LifeList!$E$2:$G$2038,1)</f>
        <v>White-tailed Starfrontlet</v>
      </c>
      <c r="E4054" s="3" t="str">
        <f>VLOOKUP(B4054,LifeList!$E$2:$G$2038,2)</f>
        <v>Inca à queue blanche</v>
      </c>
      <c r="F4054" s="3" t="str">
        <f>VLOOKUP(B4054,LifeList!$E$2:$G$2038,3)</f>
        <v>Coeligena phalerata</v>
      </c>
      <c r="G4054" s="3" t="str">
        <f>VLOOKUP(B4054,LifeList!$E$2:$I$2038,4)</f>
        <v>Apodiformes</v>
      </c>
      <c r="H4054" s="3" t="str">
        <f>VLOOKUP(B4054,LifeList!$E$2:$I$2038,5)</f>
        <v>Trochilidae (Hummingbirds)</v>
      </c>
      <c r="I4054" s="3"/>
    </row>
    <row r="4055" spans="1:9" ht="10.5" customHeight="1">
      <c r="A4055" s="3" t="s">
        <v>5658</v>
      </c>
      <c r="B4055" s="3" t="s">
        <v>5657</v>
      </c>
      <c r="C4055" s="3">
        <f>VLOOKUP(B4055,LifeList!$E$2:$J$2038,6)</f>
        <v>4646</v>
      </c>
      <c r="D4055" s="3" t="str">
        <f>VLOOKUP(B4055,LifeList!$E$2:$G$2038,1)</f>
        <v>White-tailed Starfrontlet</v>
      </c>
      <c r="E4055" s="3" t="str">
        <f>VLOOKUP(B4055,LifeList!$E$2:$G$2038,2)</f>
        <v>Inca à queue blanche</v>
      </c>
      <c r="F4055" s="3" t="str">
        <f>VLOOKUP(B4055,LifeList!$E$2:$G$2038,3)</f>
        <v>Coeligena phalerata</v>
      </c>
      <c r="G4055" s="3" t="str">
        <f>VLOOKUP(B4055,LifeList!$E$2:$I$2038,4)</f>
        <v>Apodiformes</v>
      </c>
      <c r="H4055" s="3" t="str">
        <f>VLOOKUP(B4055,LifeList!$E$2:$I$2038,5)</f>
        <v>Trochilidae (Hummingbirds)</v>
      </c>
      <c r="I4055" s="3"/>
    </row>
    <row r="4056" spans="1:9" ht="10.5" customHeight="1">
      <c r="A4056" s="3" t="s">
        <v>5659</v>
      </c>
      <c r="B4056" s="3" t="s">
        <v>5657</v>
      </c>
      <c r="C4056" s="3">
        <f>VLOOKUP(B4056,LifeList!$E$2:$J$2038,6)</f>
        <v>4646</v>
      </c>
      <c r="D4056" s="3" t="str">
        <f>VLOOKUP(B4056,LifeList!$E$2:$G$2038,1)</f>
        <v>White-tailed Starfrontlet</v>
      </c>
      <c r="E4056" s="3" t="str">
        <f>VLOOKUP(B4056,LifeList!$E$2:$G$2038,2)</f>
        <v>Inca à queue blanche</v>
      </c>
      <c r="F4056" s="3" t="str">
        <f>VLOOKUP(B4056,LifeList!$E$2:$G$2038,3)</f>
        <v>Coeligena phalerata</v>
      </c>
      <c r="G4056" s="3" t="str">
        <f>VLOOKUP(B4056,LifeList!$E$2:$I$2038,4)</f>
        <v>Apodiformes</v>
      </c>
      <c r="H4056" s="3" t="str">
        <f>VLOOKUP(B4056,LifeList!$E$2:$I$2038,5)</f>
        <v>Trochilidae (Hummingbirds)</v>
      </c>
      <c r="I4056" s="3"/>
    </row>
    <row r="4057" spans="1:9" ht="10.5" customHeight="1">
      <c r="A4057" s="3" t="s">
        <v>5660</v>
      </c>
      <c r="B4057" s="3" t="s">
        <v>5657</v>
      </c>
      <c r="C4057" s="3">
        <f>VLOOKUP(B4057,LifeList!$E$2:$J$2038,6)</f>
        <v>4646</v>
      </c>
      <c r="D4057" s="3" t="str">
        <f>VLOOKUP(B4057,LifeList!$E$2:$G$2038,1)</f>
        <v>White-tailed Starfrontlet</v>
      </c>
      <c r="E4057" s="3" t="str">
        <f>VLOOKUP(B4057,LifeList!$E$2:$G$2038,2)</f>
        <v>Inca à queue blanche</v>
      </c>
      <c r="F4057" s="3" t="str">
        <f>VLOOKUP(B4057,LifeList!$E$2:$G$2038,3)</f>
        <v>Coeligena phalerata</v>
      </c>
      <c r="G4057" s="3" t="str">
        <f>VLOOKUP(B4057,LifeList!$E$2:$I$2038,4)</f>
        <v>Apodiformes</v>
      </c>
      <c r="H4057" s="3" t="str">
        <f>VLOOKUP(B4057,LifeList!$E$2:$I$2038,5)</f>
        <v>Trochilidae (Hummingbirds)</v>
      </c>
      <c r="I4057" s="3"/>
    </row>
    <row r="4058" spans="1:9" ht="10.5" customHeight="1">
      <c r="A4058" s="3" t="s">
        <v>5661</v>
      </c>
      <c r="B4058" s="3" t="s">
        <v>5662</v>
      </c>
      <c r="C4058" s="3">
        <f>VLOOKUP(B4058,LifeList!$E$2:$J$2038,6)</f>
        <v>9540</v>
      </c>
      <c r="D4058" s="3" t="str">
        <f>VLOOKUP(B4058,LifeList!$E$2:$G$2038,1)</f>
        <v>White-tailed Trogon</v>
      </c>
      <c r="E4058" s="3" t="str">
        <f>VLOOKUP(B4058,LifeList!$E$2:$G$2038,2)</f>
        <v>Trogon de Sclater</v>
      </c>
      <c r="F4058" s="3" t="str">
        <f>VLOOKUP(B4058,LifeList!$E$2:$G$2038,3)</f>
        <v>Trogon chionurus</v>
      </c>
      <c r="G4058" s="3" t="str">
        <f>VLOOKUP(B4058,LifeList!$E$2:$I$2038,4)</f>
        <v>Trogoniformes</v>
      </c>
      <c r="H4058" s="3" t="str">
        <f>VLOOKUP(B4058,LifeList!$E$2:$I$2038,5)</f>
        <v>Trogonidae (Trogons)</v>
      </c>
      <c r="I4058" s="3"/>
    </row>
    <row r="4059" spans="1:9" ht="10.5" customHeight="1">
      <c r="A4059" s="3" t="s">
        <v>5663</v>
      </c>
      <c r="B4059" s="3" t="s">
        <v>5664</v>
      </c>
      <c r="C4059" s="3">
        <f>VLOOKUP(B4059,LifeList!$E$2:$J$2038,6)</f>
        <v>6908</v>
      </c>
      <c r="D4059" s="3" t="str">
        <f>VLOOKUP(B4059,LifeList!$E$2:$G$2038,1)</f>
        <v>White-tailed Tropicbird</v>
      </c>
      <c r="E4059" s="3" t="str">
        <f>VLOOKUP(B4059,LifeList!$E$2:$G$2038,2)</f>
        <v>Phaéton à bec jaune</v>
      </c>
      <c r="F4059" s="3" t="str">
        <f>VLOOKUP(B4059,LifeList!$E$2:$G$2038,3)</f>
        <v>Phaethon lepturus</v>
      </c>
      <c r="G4059" s="3" t="str">
        <f>VLOOKUP(B4059,LifeList!$E$2:$I$2038,4)</f>
        <v>Phaethontiformes</v>
      </c>
      <c r="H4059" s="3" t="str">
        <f>VLOOKUP(B4059,LifeList!$E$2:$I$2038,5)</f>
        <v>Phaethontidae (Tropicbirds)</v>
      </c>
      <c r="I4059" s="3"/>
    </row>
    <row r="4060" spans="1:9" ht="10.5" customHeight="1">
      <c r="A4060" s="3" t="s">
        <v>5665</v>
      </c>
      <c r="B4060" s="3" t="s">
        <v>5664</v>
      </c>
      <c r="C4060" s="3">
        <f>VLOOKUP(B4060,LifeList!$E$2:$J$2038,6)</f>
        <v>6908</v>
      </c>
      <c r="D4060" s="3" t="str">
        <f>VLOOKUP(B4060,LifeList!$E$2:$G$2038,1)</f>
        <v>White-tailed Tropicbird</v>
      </c>
      <c r="E4060" s="3" t="str">
        <f>VLOOKUP(B4060,LifeList!$E$2:$G$2038,2)</f>
        <v>Phaéton à bec jaune</v>
      </c>
      <c r="F4060" s="3" t="str">
        <f>VLOOKUP(B4060,LifeList!$E$2:$G$2038,3)</f>
        <v>Phaethon lepturus</v>
      </c>
      <c r="G4060" s="3" t="str">
        <f>VLOOKUP(B4060,LifeList!$E$2:$I$2038,4)</f>
        <v>Phaethontiformes</v>
      </c>
      <c r="H4060" s="3" t="str">
        <f>VLOOKUP(B4060,LifeList!$E$2:$I$2038,5)</f>
        <v>Phaethontidae (Tropicbirds)</v>
      </c>
      <c r="I4060" s="3"/>
    </row>
    <row r="4061" spans="1:9" ht="10.5" customHeight="1">
      <c r="A4061" s="3" t="s">
        <v>5666</v>
      </c>
      <c r="B4061" s="3" t="s">
        <v>5667</v>
      </c>
      <c r="C4061" s="3">
        <f>VLOOKUP(B4061,LifeList!$E$2:$J$2038,6)</f>
        <v>33201</v>
      </c>
      <c r="D4061" s="3" t="str">
        <f>VLOOKUP(B4061,LifeList!$E$2:$G$2038,1)</f>
        <v>White-throated Sparrow</v>
      </c>
      <c r="E4061" s="3" t="str">
        <f>VLOOKUP(B4061,LifeList!$E$2:$G$2038,2)</f>
        <v>Bruant à gorge blanche</v>
      </c>
      <c r="F4061" s="3" t="str">
        <f>VLOOKUP(B4061,LifeList!$E$2:$G$2038,3)</f>
        <v>Zonotrichia albicollis</v>
      </c>
      <c r="G4061" s="3" t="str">
        <f>VLOOKUP(B4061,LifeList!$E$2:$I$2038,4)</f>
        <v>Passeriformes</v>
      </c>
      <c r="H4061" s="3" t="str">
        <f>VLOOKUP(B4061,LifeList!$E$2:$I$2038,5)</f>
        <v>Passerellidae (New World Sparrows)</v>
      </c>
      <c r="I4061" s="3"/>
    </row>
    <row r="4062" spans="1:9" ht="10.5" customHeight="1">
      <c r="A4062" s="3" t="s">
        <v>5668</v>
      </c>
      <c r="B4062" s="3" t="s">
        <v>5667</v>
      </c>
      <c r="C4062" s="3">
        <f>VLOOKUP(B4062,LifeList!$E$2:$J$2038,6)</f>
        <v>33201</v>
      </c>
      <c r="D4062" s="3" t="str">
        <f>VLOOKUP(B4062,LifeList!$E$2:$G$2038,1)</f>
        <v>White-throated Sparrow</v>
      </c>
      <c r="E4062" s="3" t="str">
        <f>VLOOKUP(B4062,LifeList!$E$2:$G$2038,2)</f>
        <v>Bruant à gorge blanche</v>
      </c>
      <c r="F4062" s="3" t="str">
        <f>VLOOKUP(B4062,LifeList!$E$2:$G$2038,3)</f>
        <v>Zonotrichia albicollis</v>
      </c>
      <c r="G4062" s="3" t="str">
        <f>VLOOKUP(B4062,LifeList!$E$2:$I$2038,4)</f>
        <v>Passeriformes</v>
      </c>
      <c r="H4062" s="3" t="str">
        <f>VLOOKUP(B4062,LifeList!$E$2:$I$2038,5)</f>
        <v>Passerellidae (New World Sparrows)</v>
      </c>
      <c r="I4062" s="3"/>
    </row>
    <row r="4063" spans="1:9" ht="10.5" customHeight="1">
      <c r="A4063" s="3" t="s">
        <v>5669</v>
      </c>
      <c r="B4063" s="3" t="s">
        <v>5670</v>
      </c>
      <c r="C4063" s="3">
        <f>VLOOKUP(B4063,LifeList!$E$2:$J$2038,6)</f>
        <v>5643</v>
      </c>
      <c r="D4063" s="3" t="str">
        <f>VLOOKUP(B4063,LifeList!$E$2:$G$2038,1)</f>
        <v>White-throated Crake</v>
      </c>
      <c r="E4063" s="3" t="str">
        <f>VLOOKUP(B4063,LifeList!$E$2:$G$2038,2)</f>
        <v>Râle à menton blanc</v>
      </c>
      <c r="F4063" s="3" t="str">
        <f>VLOOKUP(B4063,LifeList!$E$2:$G$2038,3)</f>
        <v>Laterallus albigularis</v>
      </c>
      <c r="G4063" s="3" t="str">
        <f>VLOOKUP(B4063,LifeList!$E$2:$I$2038,4)</f>
        <v>Gruiformes</v>
      </c>
      <c r="H4063" s="3" t="str">
        <f>VLOOKUP(B4063,LifeList!$E$2:$I$2038,5)</f>
        <v>Rallidae (Rails, Gallinules, and Coots)</v>
      </c>
      <c r="I4063" s="3"/>
    </row>
    <row r="4064" spans="1:9" ht="10.5" customHeight="1">
      <c r="A4064" s="7" t="s">
        <v>5671</v>
      </c>
      <c r="B4064" s="9" t="s">
        <v>5672</v>
      </c>
      <c r="C4064" s="6">
        <f>VLOOKUP(B4064,LifeList!$E$2:$J$2038,6)</f>
        <v>18466</v>
      </c>
      <c r="D4064" s="3" t="str">
        <f>VLOOKUP(B4064,LifeList!$E$2:$G$2038,1)</f>
        <v>White-throated Gerygone</v>
      </c>
      <c r="E4064" s="3" t="str">
        <f>VLOOKUP(B4064,LifeList!$E$2:$G$2038,2)</f>
        <v>Gérygone à gorge blanche</v>
      </c>
      <c r="F4064" s="3" t="str">
        <f>VLOOKUP(B4064,LifeList!$E$2:$G$2038,3)</f>
        <v>Gerygone olivacea</v>
      </c>
      <c r="G4064" s="3" t="str">
        <f>VLOOKUP(B4064,LifeList!$E$2:$I$2038,4)</f>
        <v>Passeriformes</v>
      </c>
      <c r="H4064" s="3" t="str">
        <f>VLOOKUP(B4064,LifeList!$E$2:$I$2038,5)</f>
        <v>Acanthizidae (Thornbills and Allies)</v>
      </c>
      <c r="I4064" s="3"/>
    </row>
    <row r="4065" spans="1:9" ht="10.5" customHeight="1">
      <c r="A4065" s="3" t="s">
        <v>5673</v>
      </c>
      <c r="B4065" s="3" t="s">
        <v>5674</v>
      </c>
      <c r="C4065" s="3">
        <f>VLOOKUP(B4065,LifeList!$E$2:$J$2038,6)</f>
        <v>21216</v>
      </c>
      <c r="D4065" s="3" t="str">
        <f>VLOOKUP(B4065,LifeList!$E$2:$G$2038,1)</f>
        <v>White-throated Magpie-Jay</v>
      </c>
      <c r="E4065" s="3" t="str">
        <f>VLOOKUP(B4065,LifeList!$E$2:$G$2038,2)</f>
        <v>Geai à face blanche</v>
      </c>
      <c r="F4065" s="3" t="str">
        <f>VLOOKUP(B4065,LifeList!$E$2:$G$2038,3)</f>
        <v>Cyanocorax formosus</v>
      </c>
      <c r="G4065" s="3" t="str">
        <f>VLOOKUP(B4065,LifeList!$E$2:$I$2038,4)</f>
        <v>Passeriformes</v>
      </c>
      <c r="H4065" s="3" t="str">
        <f>VLOOKUP(B4065,LifeList!$E$2:$I$2038,5)</f>
        <v>Corvidae (Crows, Jays, and Magpies)</v>
      </c>
      <c r="I4065" s="3"/>
    </row>
    <row r="4066" spans="1:9" ht="10.5" customHeight="1">
      <c r="A4066" s="3" t="s">
        <v>5675</v>
      </c>
      <c r="B4066" s="3" t="s">
        <v>5674</v>
      </c>
      <c r="C4066" s="3">
        <f>VLOOKUP(B4066,LifeList!$E$2:$J$2038,6)</f>
        <v>21216</v>
      </c>
      <c r="D4066" s="3" t="str">
        <f>VLOOKUP(B4066,LifeList!$E$2:$G$2038,1)</f>
        <v>White-throated Magpie-Jay</v>
      </c>
      <c r="E4066" s="3" t="str">
        <f>VLOOKUP(B4066,LifeList!$E$2:$G$2038,2)</f>
        <v>Geai à face blanche</v>
      </c>
      <c r="F4066" s="3" t="str">
        <f>VLOOKUP(B4066,LifeList!$E$2:$G$2038,3)</f>
        <v>Cyanocorax formosus</v>
      </c>
      <c r="G4066" s="3" t="str">
        <f>VLOOKUP(B4066,LifeList!$E$2:$I$2038,4)</f>
        <v>Passeriformes</v>
      </c>
      <c r="H4066" s="3" t="str">
        <f>VLOOKUP(B4066,LifeList!$E$2:$I$2038,5)</f>
        <v>Corvidae (Crows, Jays, and Magpies)</v>
      </c>
      <c r="I4066" s="3"/>
    </row>
    <row r="4067" spans="1:9" ht="10.5" customHeight="1">
      <c r="A4067" s="3" t="s">
        <v>5676</v>
      </c>
      <c r="B4067" s="3" t="s">
        <v>5674</v>
      </c>
      <c r="C4067" s="3">
        <f>VLOOKUP(B4067,LifeList!$E$2:$J$2038,6)</f>
        <v>21216</v>
      </c>
      <c r="D4067" s="3" t="str">
        <f>VLOOKUP(B4067,LifeList!$E$2:$G$2038,1)</f>
        <v>White-throated Magpie-Jay</v>
      </c>
      <c r="E4067" s="3" t="str">
        <f>VLOOKUP(B4067,LifeList!$E$2:$G$2038,2)</f>
        <v>Geai à face blanche</v>
      </c>
      <c r="F4067" s="3" t="str">
        <f>VLOOKUP(B4067,LifeList!$E$2:$G$2038,3)</f>
        <v>Cyanocorax formosus</v>
      </c>
      <c r="G4067" s="3" t="str">
        <f>VLOOKUP(B4067,LifeList!$E$2:$I$2038,4)</f>
        <v>Passeriformes</v>
      </c>
      <c r="H4067" s="3" t="str">
        <f>VLOOKUP(B4067,LifeList!$E$2:$I$2038,5)</f>
        <v>Corvidae (Crows, Jays, and Magpies)</v>
      </c>
      <c r="I4067" s="3"/>
    </row>
    <row r="4068" spans="1:9" ht="10.5" customHeight="1">
      <c r="A4068" s="3" t="s">
        <v>5677</v>
      </c>
      <c r="B4068" s="3" t="s">
        <v>5678</v>
      </c>
      <c r="C4068" s="3">
        <f>VLOOKUP(B4068,LifeList!$E$2:$J$2038,6)</f>
        <v>4762</v>
      </c>
      <c r="D4068" s="3" t="str">
        <f>VLOOKUP(B4068,LifeList!$E$2:$G$2038,1)</f>
        <v>White-throated Mountain-gem</v>
      </c>
      <c r="E4068" s="3" t="str">
        <f>VLOOKUP(B4068,LifeList!$E$2:$G$2038,2)</f>
        <v>Colibri à ventre châtain</v>
      </c>
      <c r="F4068" s="3" t="str">
        <f>VLOOKUP(B4068,LifeList!$E$2:$G$2038,3)</f>
        <v>Lampornis castaneoventris</v>
      </c>
      <c r="G4068" s="3" t="str">
        <f>VLOOKUP(B4068,LifeList!$E$2:$I$2038,4)</f>
        <v>Apodiformes</v>
      </c>
      <c r="H4068" s="3" t="str">
        <f>VLOOKUP(B4068,LifeList!$E$2:$I$2038,5)</f>
        <v>Trochilidae (Hummingbirds)</v>
      </c>
      <c r="I4068" s="3"/>
    </row>
    <row r="4069" spans="1:9" ht="10.5" customHeight="1">
      <c r="A4069" s="3" t="s">
        <v>5679</v>
      </c>
      <c r="B4069" s="3" t="s">
        <v>5678</v>
      </c>
      <c r="C4069" s="3">
        <f>VLOOKUP(B4069,LifeList!$E$2:$J$2038,6)</f>
        <v>4762</v>
      </c>
      <c r="D4069" s="3" t="str">
        <f>VLOOKUP(B4069,LifeList!$E$2:$G$2038,1)</f>
        <v>White-throated Mountain-gem</v>
      </c>
      <c r="E4069" s="3" t="str">
        <f>VLOOKUP(B4069,LifeList!$E$2:$G$2038,2)</f>
        <v>Colibri à ventre châtain</v>
      </c>
      <c r="F4069" s="3" t="str">
        <f>VLOOKUP(B4069,LifeList!$E$2:$G$2038,3)</f>
        <v>Lampornis castaneoventris</v>
      </c>
      <c r="G4069" s="3" t="str">
        <f>VLOOKUP(B4069,LifeList!$E$2:$I$2038,4)</f>
        <v>Apodiformes</v>
      </c>
      <c r="H4069" s="3" t="str">
        <f>VLOOKUP(B4069,LifeList!$E$2:$I$2038,5)</f>
        <v>Trochilidae (Hummingbirds)</v>
      </c>
      <c r="I4069" s="3"/>
    </row>
    <row r="4070" spans="1:9" ht="10.5" customHeight="1">
      <c r="A4070" s="3" t="s">
        <v>5680</v>
      </c>
      <c r="B4070" s="3" t="s">
        <v>5678</v>
      </c>
      <c r="C4070" s="3">
        <f>VLOOKUP(B4070,LifeList!$E$2:$J$2038,6)</f>
        <v>4762</v>
      </c>
      <c r="D4070" s="3" t="str">
        <f>VLOOKUP(B4070,LifeList!$E$2:$G$2038,1)</f>
        <v>White-throated Mountain-gem</v>
      </c>
      <c r="E4070" s="3" t="str">
        <f>VLOOKUP(B4070,LifeList!$E$2:$G$2038,2)</f>
        <v>Colibri à ventre châtain</v>
      </c>
      <c r="F4070" s="3" t="str">
        <f>VLOOKUP(B4070,LifeList!$E$2:$G$2038,3)</f>
        <v>Lampornis castaneoventris</v>
      </c>
      <c r="G4070" s="3" t="str">
        <f>VLOOKUP(B4070,LifeList!$E$2:$I$2038,4)</f>
        <v>Apodiformes</v>
      </c>
      <c r="H4070" s="3" t="str">
        <f>VLOOKUP(B4070,LifeList!$E$2:$I$2038,5)</f>
        <v>Trochilidae (Hummingbirds)</v>
      </c>
      <c r="I4070" s="3"/>
    </row>
    <row r="4071" spans="1:9" ht="10.5" customHeight="1">
      <c r="A4071" s="3" t="s">
        <v>5681</v>
      </c>
      <c r="B4071" s="3" t="s">
        <v>5678</v>
      </c>
      <c r="C4071" s="3">
        <f>VLOOKUP(B4071,LifeList!$E$2:$J$2038,6)</f>
        <v>4762</v>
      </c>
      <c r="D4071" s="3" t="str">
        <f>VLOOKUP(B4071,LifeList!$E$2:$G$2038,1)</f>
        <v>White-throated Mountain-gem</v>
      </c>
      <c r="E4071" s="3" t="str">
        <f>VLOOKUP(B4071,LifeList!$E$2:$G$2038,2)</f>
        <v>Colibri à ventre châtain</v>
      </c>
      <c r="F4071" s="3" t="str">
        <f>VLOOKUP(B4071,LifeList!$E$2:$G$2038,3)</f>
        <v>Lampornis castaneoventris</v>
      </c>
      <c r="G4071" s="3" t="str">
        <f>VLOOKUP(B4071,LifeList!$E$2:$I$2038,4)</f>
        <v>Apodiformes</v>
      </c>
      <c r="H4071" s="3" t="str">
        <f>VLOOKUP(B4071,LifeList!$E$2:$I$2038,5)</f>
        <v>Trochilidae (Hummingbirds)</v>
      </c>
      <c r="I4071" s="3"/>
    </row>
    <row r="4072" spans="1:9" ht="10.5" customHeight="1">
      <c r="A4072" s="3" t="s">
        <v>5682</v>
      </c>
      <c r="B4072" s="3" t="s">
        <v>5683</v>
      </c>
      <c r="C4072" s="3">
        <f>VLOOKUP(B4072,LifeList!$E$2:$J$2038,6)</f>
        <v>2375</v>
      </c>
      <c r="D4072" s="3" t="str">
        <f>VLOOKUP(B4072,LifeList!$E$2:$G$2038,1)</f>
        <v>White-throated Quail-Dove</v>
      </c>
      <c r="E4072" s="3" t="str">
        <f>VLOOKUP(B4072,LifeList!$E$2:$G$2038,2)</f>
        <v>Colombe à gorge blanche</v>
      </c>
      <c r="F4072" s="3" t="str">
        <f>VLOOKUP(B4072,LifeList!$E$2:$G$2038,3)</f>
        <v>Zentrygon frenata</v>
      </c>
      <c r="G4072" s="3" t="str">
        <f>VLOOKUP(B4072,LifeList!$E$2:$I$2038,4)</f>
        <v>Columbiformes</v>
      </c>
      <c r="H4072" s="3" t="str">
        <f>VLOOKUP(B4072,LifeList!$E$2:$I$2038,5)</f>
        <v>Columbidae (Pigeons and Doves)</v>
      </c>
      <c r="I4072" s="3"/>
    </row>
    <row r="4073" spans="1:9" ht="10.5" customHeight="1">
      <c r="A4073" s="3" t="s">
        <v>5684</v>
      </c>
      <c r="B4073" s="3" t="s">
        <v>5685</v>
      </c>
      <c r="C4073" s="3">
        <f>VLOOKUP(B4073,LifeList!$E$2:$J$2038,6)</f>
        <v>5317</v>
      </c>
      <c r="D4073" s="3" t="str">
        <f>VLOOKUP(B4073,LifeList!$E$2:$G$2038,1)</f>
        <v>White-throated Rail</v>
      </c>
      <c r="E4073" s="3" t="str">
        <f>VLOOKUP(B4073,LifeList!$E$2:$G$2038,2)</f>
        <v>Râle de Cuvier</v>
      </c>
      <c r="F4073" s="3" t="str">
        <f>VLOOKUP(B4073,LifeList!$E$2:$G$2038,3)</f>
        <v>Dryolimnas cuvieri</v>
      </c>
      <c r="G4073" s="3" t="str">
        <f>VLOOKUP(B4073,LifeList!$E$2:$I$2038,4)</f>
        <v>Gruiformes</v>
      </c>
      <c r="H4073" s="3" t="str">
        <f>VLOOKUP(B4073,LifeList!$E$2:$I$2038,5)</f>
        <v>Rallidae (Rails, Gallinules, and Coots)</v>
      </c>
      <c r="I4073" s="3"/>
    </row>
    <row r="4074" spans="1:9" ht="10.5" customHeight="1">
      <c r="A4074" s="3" t="s">
        <v>5686</v>
      </c>
      <c r="B4074" s="3" t="s">
        <v>5685</v>
      </c>
      <c r="C4074" s="3">
        <f>VLOOKUP(B4074,LifeList!$E$2:$J$2038,6)</f>
        <v>5317</v>
      </c>
      <c r="D4074" s="3" t="str">
        <f>VLOOKUP(B4074,LifeList!$E$2:$G$2038,1)</f>
        <v>White-throated Rail</v>
      </c>
      <c r="E4074" s="3" t="str">
        <f>VLOOKUP(B4074,LifeList!$E$2:$G$2038,2)</f>
        <v>Râle de Cuvier</v>
      </c>
      <c r="F4074" s="3" t="str">
        <f>VLOOKUP(B4074,LifeList!$E$2:$G$2038,3)</f>
        <v>Dryolimnas cuvieri</v>
      </c>
      <c r="G4074" s="3" t="str">
        <f>VLOOKUP(B4074,LifeList!$E$2:$I$2038,4)</f>
        <v>Gruiformes</v>
      </c>
      <c r="H4074" s="3" t="str">
        <f>VLOOKUP(B4074,LifeList!$E$2:$I$2038,5)</f>
        <v>Rallidae (Rails, Gallinules, and Coots)</v>
      </c>
      <c r="I4074" s="3"/>
    </row>
    <row r="4075" spans="1:9" ht="10.5" customHeight="1">
      <c r="A4075" s="3" t="s">
        <v>5687</v>
      </c>
      <c r="B4075" s="3" t="s">
        <v>5685</v>
      </c>
      <c r="C4075" s="3">
        <f>VLOOKUP(B4075,LifeList!$E$2:$J$2038,6)</f>
        <v>5317</v>
      </c>
      <c r="D4075" s="3" t="str">
        <f>VLOOKUP(B4075,LifeList!$E$2:$G$2038,1)</f>
        <v>White-throated Rail</v>
      </c>
      <c r="E4075" s="3" t="str">
        <f>VLOOKUP(B4075,LifeList!$E$2:$G$2038,2)</f>
        <v>Râle de Cuvier</v>
      </c>
      <c r="F4075" s="3" t="str">
        <f>VLOOKUP(B4075,LifeList!$E$2:$G$2038,3)</f>
        <v>Dryolimnas cuvieri</v>
      </c>
      <c r="G4075" s="3" t="str">
        <f>VLOOKUP(B4075,LifeList!$E$2:$I$2038,4)</f>
        <v>Gruiformes</v>
      </c>
      <c r="H4075" s="3" t="str">
        <f>VLOOKUP(B4075,LifeList!$E$2:$I$2038,5)</f>
        <v>Rallidae (Rails, Gallinules, and Coots)</v>
      </c>
      <c r="I4075" s="3"/>
    </row>
    <row r="4076" spans="1:9" ht="10.5" customHeight="1">
      <c r="A4076" s="3" t="s">
        <v>5688</v>
      </c>
      <c r="B4076" s="3" t="s">
        <v>5689</v>
      </c>
      <c r="C4076" s="3">
        <f>VLOOKUP(B4076,LifeList!$E$2:$J$2038,6)</f>
        <v>33201</v>
      </c>
      <c r="D4076" s="3" t="str">
        <f>VLOOKUP(B4076,LifeList!$E$2:$G$2038,1)</f>
        <v>White-throated Sparrow</v>
      </c>
      <c r="E4076" s="3" t="str">
        <f>VLOOKUP(B4076,LifeList!$E$2:$G$2038,2)</f>
        <v>Bruant à gorge blanche</v>
      </c>
      <c r="F4076" s="3" t="str">
        <f>VLOOKUP(B4076,LifeList!$E$2:$G$2038,3)</f>
        <v>Zonotrichia albicollis</v>
      </c>
      <c r="G4076" s="3" t="str">
        <f>VLOOKUP(B4076,LifeList!$E$2:$I$2038,4)</f>
        <v>Passeriformes</v>
      </c>
      <c r="H4076" s="3" t="str">
        <f>VLOOKUP(B4076,LifeList!$E$2:$I$2038,5)</f>
        <v>Passerellidae (New World Sparrows)</v>
      </c>
      <c r="I4076" s="3"/>
    </row>
    <row r="4077" spans="1:9" ht="10.5" customHeight="1">
      <c r="A4077" s="3" t="s">
        <v>5690</v>
      </c>
      <c r="B4077" s="3" t="s">
        <v>5689</v>
      </c>
      <c r="C4077" s="3">
        <f>VLOOKUP(B4077,LifeList!$E$2:$J$2038,6)</f>
        <v>33201</v>
      </c>
      <c r="D4077" s="3" t="str">
        <f>VLOOKUP(B4077,LifeList!$E$2:$G$2038,1)</f>
        <v>White-throated Sparrow</v>
      </c>
      <c r="E4077" s="3" t="str">
        <f>VLOOKUP(B4077,LifeList!$E$2:$G$2038,2)</f>
        <v>Bruant à gorge blanche</v>
      </c>
      <c r="F4077" s="3" t="str">
        <f>VLOOKUP(B4077,LifeList!$E$2:$G$2038,3)</f>
        <v>Zonotrichia albicollis</v>
      </c>
      <c r="G4077" s="3" t="str">
        <f>VLOOKUP(B4077,LifeList!$E$2:$I$2038,4)</f>
        <v>Passeriformes</v>
      </c>
      <c r="H4077" s="3" t="str">
        <f>VLOOKUP(B4077,LifeList!$E$2:$I$2038,5)</f>
        <v>Passerellidae (New World Sparrows)</v>
      </c>
      <c r="I4077" s="3"/>
    </row>
    <row r="4078" spans="1:9" ht="10.5" customHeight="1">
      <c r="A4078" s="3" t="s">
        <v>5691</v>
      </c>
      <c r="B4078" s="3" t="s">
        <v>5689</v>
      </c>
      <c r="C4078" s="3">
        <f>VLOOKUP(B4078,LifeList!$E$2:$J$2038,6)</f>
        <v>33201</v>
      </c>
      <c r="D4078" s="3" t="str">
        <f>VLOOKUP(B4078,LifeList!$E$2:$G$2038,1)</f>
        <v>White-throated Sparrow</v>
      </c>
      <c r="E4078" s="3" t="str">
        <f>VLOOKUP(B4078,LifeList!$E$2:$G$2038,2)</f>
        <v>Bruant à gorge blanche</v>
      </c>
      <c r="F4078" s="3" t="str">
        <f>VLOOKUP(B4078,LifeList!$E$2:$G$2038,3)</f>
        <v>Zonotrichia albicollis</v>
      </c>
      <c r="G4078" s="3" t="str">
        <f>VLOOKUP(B4078,LifeList!$E$2:$I$2038,4)</f>
        <v>Passeriformes</v>
      </c>
      <c r="H4078" s="3" t="str">
        <f>VLOOKUP(B4078,LifeList!$E$2:$I$2038,5)</f>
        <v>Passerellidae (New World Sparrows)</v>
      </c>
      <c r="I4078" s="3"/>
    </row>
    <row r="4079" spans="1:9" ht="10.5" customHeight="1">
      <c r="A4079" s="3" t="s">
        <v>5692</v>
      </c>
      <c r="B4079" s="3" t="s">
        <v>5689</v>
      </c>
      <c r="C4079" s="3">
        <f>VLOOKUP(B4079,LifeList!$E$2:$J$2038,6)</f>
        <v>33201</v>
      </c>
      <c r="D4079" s="3" t="str">
        <f>VLOOKUP(B4079,LifeList!$E$2:$G$2038,1)</f>
        <v>White-throated Sparrow</v>
      </c>
      <c r="E4079" s="3" t="str">
        <f>VLOOKUP(B4079,LifeList!$E$2:$G$2038,2)</f>
        <v>Bruant à gorge blanche</v>
      </c>
      <c r="F4079" s="3" t="str">
        <f>VLOOKUP(B4079,LifeList!$E$2:$G$2038,3)</f>
        <v>Zonotrichia albicollis</v>
      </c>
      <c r="G4079" s="3" t="str">
        <f>VLOOKUP(B4079,LifeList!$E$2:$I$2038,4)</f>
        <v>Passeriformes</v>
      </c>
      <c r="H4079" s="3" t="str">
        <f>VLOOKUP(B4079,LifeList!$E$2:$I$2038,5)</f>
        <v>Passerellidae (New World Sparrows)</v>
      </c>
      <c r="I4079" s="3"/>
    </row>
    <row r="4080" spans="1:9" ht="10.5" customHeight="1">
      <c r="A4080" s="3" t="s">
        <v>5693</v>
      </c>
      <c r="B4080" s="3" t="s">
        <v>5689</v>
      </c>
      <c r="C4080" s="3">
        <f>VLOOKUP(B4080,LifeList!$E$2:$J$2038,6)</f>
        <v>33201</v>
      </c>
      <c r="D4080" s="3" t="str">
        <f>VLOOKUP(B4080,LifeList!$E$2:$G$2038,1)</f>
        <v>White-throated Sparrow</v>
      </c>
      <c r="E4080" s="3" t="str">
        <f>VLOOKUP(B4080,LifeList!$E$2:$G$2038,2)</f>
        <v>Bruant à gorge blanche</v>
      </c>
      <c r="F4080" s="3" t="str">
        <f>VLOOKUP(B4080,LifeList!$E$2:$G$2038,3)</f>
        <v>Zonotrichia albicollis</v>
      </c>
      <c r="G4080" s="3" t="str">
        <f>VLOOKUP(B4080,LifeList!$E$2:$I$2038,4)</f>
        <v>Passeriformes</v>
      </c>
      <c r="H4080" s="3" t="str">
        <f>VLOOKUP(B4080,LifeList!$E$2:$I$2038,5)</f>
        <v>Passerellidae (New World Sparrows)</v>
      </c>
      <c r="I4080" s="3"/>
    </row>
    <row r="4081" spans="1:9" ht="10.5" customHeight="1">
      <c r="A4081" s="3" t="s">
        <v>5694</v>
      </c>
      <c r="B4081" s="3" t="s">
        <v>5689</v>
      </c>
      <c r="C4081" s="3">
        <f>VLOOKUP(B4081,LifeList!$E$2:$J$2038,6)</f>
        <v>33201</v>
      </c>
      <c r="D4081" s="3" t="str">
        <f>VLOOKUP(B4081,LifeList!$E$2:$G$2038,1)</f>
        <v>White-throated Sparrow</v>
      </c>
      <c r="E4081" s="3" t="str">
        <f>VLOOKUP(B4081,LifeList!$E$2:$G$2038,2)</f>
        <v>Bruant à gorge blanche</v>
      </c>
      <c r="F4081" s="3" t="str">
        <f>VLOOKUP(B4081,LifeList!$E$2:$G$2038,3)</f>
        <v>Zonotrichia albicollis</v>
      </c>
      <c r="G4081" s="3" t="str">
        <f>VLOOKUP(B4081,LifeList!$E$2:$I$2038,4)</f>
        <v>Passeriformes</v>
      </c>
      <c r="H4081" s="3" t="str">
        <f>VLOOKUP(B4081,LifeList!$E$2:$I$2038,5)</f>
        <v>Passerellidae (New World Sparrows)</v>
      </c>
      <c r="I4081" s="3"/>
    </row>
    <row r="4082" spans="1:9" ht="10.5" customHeight="1">
      <c r="A4082" s="3" t="s">
        <v>5695</v>
      </c>
      <c r="B4082" s="3" t="s">
        <v>5689</v>
      </c>
      <c r="C4082" s="3">
        <f>VLOOKUP(B4082,LifeList!$E$2:$J$2038,6)</f>
        <v>33201</v>
      </c>
      <c r="D4082" s="3" t="str">
        <f>VLOOKUP(B4082,LifeList!$E$2:$G$2038,1)</f>
        <v>White-throated Sparrow</v>
      </c>
      <c r="E4082" s="3" t="str">
        <f>VLOOKUP(B4082,LifeList!$E$2:$G$2038,2)</f>
        <v>Bruant à gorge blanche</v>
      </c>
      <c r="F4082" s="3" t="str">
        <f>VLOOKUP(B4082,LifeList!$E$2:$G$2038,3)</f>
        <v>Zonotrichia albicollis</v>
      </c>
      <c r="G4082" s="3" t="str">
        <f>VLOOKUP(B4082,LifeList!$E$2:$I$2038,4)</f>
        <v>Passeriformes</v>
      </c>
      <c r="H4082" s="3" t="str">
        <f>VLOOKUP(B4082,LifeList!$E$2:$I$2038,5)</f>
        <v>Passerellidae (New World Sparrows)</v>
      </c>
      <c r="I4082" s="3"/>
    </row>
    <row r="4083" spans="1:9" ht="10.5" customHeight="1">
      <c r="A4083" s="3" t="s">
        <v>5696</v>
      </c>
      <c r="B4083" s="3" t="s">
        <v>5689</v>
      </c>
      <c r="C4083" s="3">
        <f>VLOOKUP(B4083,LifeList!$E$2:$J$2038,6)</f>
        <v>33201</v>
      </c>
      <c r="D4083" s="3" t="str">
        <f>VLOOKUP(B4083,LifeList!$E$2:$G$2038,1)</f>
        <v>White-throated Sparrow</v>
      </c>
      <c r="E4083" s="3" t="str">
        <f>VLOOKUP(B4083,LifeList!$E$2:$G$2038,2)</f>
        <v>Bruant à gorge blanche</v>
      </c>
      <c r="F4083" s="3" t="str">
        <f>VLOOKUP(B4083,LifeList!$E$2:$G$2038,3)</f>
        <v>Zonotrichia albicollis</v>
      </c>
      <c r="G4083" s="3" t="str">
        <f>VLOOKUP(B4083,LifeList!$E$2:$I$2038,4)</f>
        <v>Passeriformes</v>
      </c>
      <c r="H4083" s="3" t="str">
        <f>VLOOKUP(B4083,LifeList!$E$2:$I$2038,5)</f>
        <v>Passerellidae (New World Sparrows)</v>
      </c>
      <c r="I4083" s="3"/>
    </row>
    <row r="4084" spans="1:9" ht="10.5" customHeight="1">
      <c r="A4084" s="3" t="s">
        <v>5697</v>
      </c>
      <c r="B4084" s="3" t="s">
        <v>5698</v>
      </c>
      <c r="C4084" s="3">
        <f>VLOOKUP(B4084,LifeList!$E$2:$J$2038,6)</f>
        <v>28724</v>
      </c>
      <c r="D4084" s="3" t="str">
        <f>VLOOKUP(B4084,LifeList!$E$2:$G$2038,1)</f>
        <v>White-throated Thrush</v>
      </c>
      <c r="E4084" s="3" t="str">
        <f>VLOOKUP(B4084,LifeList!$E$2:$G$2038,2)</f>
        <v>Merle à gorge blanche</v>
      </c>
      <c r="F4084" s="3" t="str">
        <f>VLOOKUP(B4084,LifeList!$E$2:$G$2038,3)</f>
        <v>Turdus assimilis</v>
      </c>
      <c r="G4084" s="3" t="str">
        <f>VLOOKUP(B4084,LifeList!$E$2:$I$2038,4)</f>
        <v>Passeriformes</v>
      </c>
      <c r="H4084" s="3" t="str">
        <f>VLOOKUP(B4084,LifeList!$E$2:$I$2038,5)</f>
        <v>Turdidae (Thrushes and Allies)</v>
      </c>
      <c r="I4084" s="3"/>
    </row>
    <row r="4085" spans="1:9" ht="10.5" customHeight="1">
      <c r="A4085" s="7" t="s">
        <v>5699</v>
      </c>
      <c r="B4085" s="9" t="s">
        <v>5700</v>
      </c>
      <c r="C4085" s="6">
        <f>VLOOKUP(B4085,LifeList!$E$2:$J$2038,6)</f>
        <v>17575</v>
      </c>
      <c r="D4085" s="3" t="str">
        <f>VLOOKUP(B4085,LifeList!$E$2:$G$2038,1)</f>
        <v>White-throated Treecreeper</v>
      </c>
      <c r="E4085" s="3" t="str">
        <f>VLOOKUP(B4085,LifeList!$E$2:$G$2038,2)</f>
        <v>Échelet leucophée</v>
      </c>
      <c r="F4085" s="3" t="str">
        <f>VLOOKUP(B4085,LifeList!$E$2:$G$2038,3)</f>
        <v>Cormobates leucophaea</v>
      </c>
      <c r="G4085" s="3" t="str">
        <f>VLOOKUP(B4085,LifeList!$E$2:$I$2038,4)</f>
        <v>Passeriformes</v>
      </c>
      <c r="H4085" s="3" t="str">
        <f>VLOOKUP(B4085,LifeList!$E$2:$I$2038,5)</f>
        <v>Climacteridae (Australasian Treecreepers)</v>
      </c>
      <c r="I4085" s="3"/>
    </row>
    <row r="4086" spans="1:9" ht="10.5" customHeight="1">
      <c r="A4086" s="3" t="s">
        <v>5701</v>
      </c>
      <c r="B4086" s="3" t="s">
        <v>5702</v>
      </c>
      <c r="C4086" s="3">
        <f>VLOOKUP(B4086,LifeList!$E$2:$J$2038,6)</f>
        <v>16582</v>
      </c>
      <c r="D4086" s="3" t="str">
        <f>VLOOKUP(B4086,LifeList!$E$2:$G$2038,1)</f>
        <v>White-throated Tyrannulet</v>
      </c>
      <c r="E4086" s="3" t="str">
        <f>VLOOKUP(B4086,LifeList!$E$2:$G$2038,2)</f>
        <v>Tyranneau à gorge blanche</v>
      </c>
      <c r="F4086" s="3" t="str">
        <f>VLOOKUP(B4086,LifeList!$E$2:$G$2038,3)</f>
        <v>Mecocerculus leucophrys</v>
      </c>
      <c r="G4086" s="3" t="str">
        <f>VLOOKUP(B4086,LifeList!$E$2:$I$2038,4)</f>
        <v>Passeriformes</v>
      </c>
      <c r="H4086" s="3" t="str">
        <f>VLOOKUP(B4086,LifeList!$E$2:$I$2038,5)</f>
        <v>Tyrannidae (Tyrant Flycatchers)</v>
      </c>
      <c r="I4086" s="3"/>
    </row>
    <row r="4087" spans="1:9" ht="10.5" customHeight="1">
      <c r="A4087" s="3" t="s">
        <v>5703</v>
      </c>
      <c r="B4087" s="3" t="s">
        <v>5702</v>
      </c>
      <c r="C4087" s="3">
        <f>VLOOKUP(B4087,LifeList!$E$2:$J$2038,6)</f>
        <v>16582</v>
      </c>
      <c r="D4087" s="3" t="str">
        <f>VLOOKUP(B4087,LifeList!$E$2:$G$2038,1)</f>
        <v>White-throated Tyrannulet</v>
      </c>
      <c r="E4087" s="3" t="str">
        <f>VLOOKUP(B4087,LifeList!$E$2:$G$2038,2)</f>
        <v>Tyranneau à gorge blanche</v>
      </c>
      <c r="F4087" s="3" t="str">
        <f>VLOOKUP(B4087,LifeList!$E$2:$G$2038,3)</f>
        <v>Mecocerculus leucophrys</v>
      </c>
      <c r="G4087" s="3" t="str">
        <f>VLOOKUP(B4087,LifeList!$E$2:$I$2038,4)</f>
        <v>Passeriformes</v>
      </c>
      <c r="H4087" s="3" t="str">
        <f>VLOOKUP(B4087,LifeList!$E$2:$I$2038,5)</f>
        <v>Tyrannidae (Tyrant Flycatchers)</v>
      </c>
      <c r="I4087" s="3"/>
    </row>
    <row r="4088" spans="1:9" ht="10.5" customHeight="1">
      <c r="A4088" s="3" t="s">
        <v>5704</v>
      </c>
      <c r="B4088" s="3" t="s">
        <v>5705</v>
      </c>
      <c r="C4088" s="3">
        <f>VLOOKUP(B4088,LifeList!$E$2:$J$2038,6)</f>
        <v>2325</v>
      </c>
      <c r="D4088" s="3" t="str">
        <f>VLOOKUP(B4088,LifeList!$E$2:$G$2038,1)</f>
        <v>White-tipped Dove</v>
      </c>
      <c r="E4088" s="3" t="str">
        <f>VLOOKUP(B4088,LifeList!$E$2:$G$2038,2)</f>
        <v>Colombe de Verreaux</v>
      </c>
      <c r="F4088" s="3" t="str">
        <f>VLOOKUP(B4088,LifeList!$E$2:$G$2038,3)</f>
        <v>Leptotila verreauxi</v>
      </c>
      <c r="G4088" s="3" t="str">
        <f>VLOOKUP(B4088,LifeList!$E$2:$I$2038,4)</f>
        <v>Columbiformes</v>
      </c>
      <c r="H4088" s="3" t="str">
        <f>VLOOKUP(B4088,LifeList!$E$2:$I$2038,5)</f>
        <v>Columbidae (Pigeons and Doves)</v>
      </c>
      <c r="I4088" s="3"/>
    </row>
    <row r="4089" spans="1:9" ht="10.5" customHeight="1">
      <c r="A4089" s="3" t="s">
        <v>5706</v>
      </c>
      <c r="B4089" s="3" t="s">
        <v>5707</v>
      </c>
      <c r="C4089" s="3">
        <f>VLOOKUP(B4089,LifeList!$E$2:$J$2038,6)</f>
        <v>4967</v>
      </c>
      <c r="D4089" s="3" t="str">
        <f>VLOOKUP(B4089,LifeList!$E$2:$G$2038,1)</f>
        <v>White-vented Plumeleteer</v>
      </c>
      <c r="E4089" s="3" t="str">
        <f>VLOOKUP(B4089,LifeList!$E$2:$G$2038,2)</f>
        <v>Colibri de Buffon</v>
      </c>
      <c r="F4089" s="3" t="str">
        <f>VLOOKUP(B4089,LifeList!$E$2:$G$2038,3)</f>
        <v>Chalybura buffonii</v>
      </c>
      <c r="G4089" s="3" t="str">
        <f>VLOOKUP(B4089,LifeList!$E$2:$I$2038,4)</f>
        <v>Apodiformes</v>
      </c>
      <c r="H4089" s="3" t="str">
        <f>VLOOKUP(B4089,LifeList!$E$2:$I$2038,5)</f>
        <v>Trochilidae (Hummingbirds)</v>
      </c>
      <c r="I4089" s="3"/>
    </row>
    <row r="4090" spans="1:9" ht="10.5" customHeight="1">
      <c r="A4090" s="3" t="s">
        <v>5708</v>
      </c>
      <c r="B4090" s="3" t="s">
        <v>5707</v>
      </c>
      <c r="C4090" s="3">
        <f>VLOOKUP(B4090,LifeList!$E$2:$J$2038,6)</f>
        <v>4967</v>
      </c>
      <c r="D4090" s="3" t="str">
        <f>VLOOKUP(B4090,LifeList!$E$2:$G$2038,1)</f>
        <v>White-vented Plumeleteer</v>
      </c>
      <c r="E4090" s="3" t="str">
        <f>VLOOKUP(B4090,LifeList!$E$2:$G$2038,2)</f>
        <v>Colibri de Buffon</v>
      </c>
      <c r="F4090" s="3" t="str">
        <f>VLOOKUP(B4090,LifeList!$E$2:$G$2038,3)</f>
        <v>Chalybura buffonii</v>
      </c>
      <c r="G4090" s="3" t="str">
        <f>VLOOKUP(B4090,LifeList!$E$2:$I$2038,4)</f>
        <v>Apodiformes</v>
      </c>
      <c r="H4090" s="3" t="str">
        <f>VLOOKUP(B4090,LifeList!$E$2:$I$2038,5)</f>
        <v>Trochilidae (Hummingbirds)</v>
      </c>
      <c r="I4090" s="3"/>
    </row>
    <row r="4091" spans="1:9" ht="10.5" customHeight="1">
      <c r="A4091" s="3" t="s">
        <v>5709</v>
      </c>
      <c r="B4091" s="3" t="s">
        <v>5710</v>
      </c>
      <c r="C4091" s="3">
        <f>VLOOKUP(B4091,LifeList!$E$2:$J$2038,6)</f>
        <v>4259</v>
      </c>
      <c r="D4091" s="3" t="str">
        <f>VLOOKUP(B4091,LifeList!$E$2:$G$2038,1)</f>
        <v>White-whiskered Hermit</v>
      </c>
      <c r="E4091" s="3" t="str">
        <f>VLOOKUP(B4091,LifeList!$E$2:$G$2038,2)</f>
        <v>Ermite yaruqui</v>
      </c>
      <c r="F4091" s="3" t="str">
        <f>VLOOKUP(B4091,LifeList!$E$2:$G$2038,3)</f>
        <v>Phaethornis yaruqui</v>
      </c>
      <c r="G4091" s="3" t="str">
        <f>VLOOKUP(B4091,LifeList!$E$2:$I$2038,4)</f>
        <v>Apodiformes</v>
      </c>
      <c r="H4091" s="3" t="str">
        <f>VLOOKUP(B4091,LifeList!$E$2:$I$2038,5)</f>
        <v>Trochilidae (Hummingbirds)</v>
      </c>
      <c r="I4091" s="3"/>
    </row>
    <row r="4092" spans="1:9" ht="10.5" customHeight="1">
      <c r="A4092" s="3" t="s">
        <v>5711</v>
      </c>
      <c r="B4092" s="3" t="s">
        <v>5712</v>
      </c>
      <c r="C4092" s="3">
        <f>VLOOKUP(B4092,LifeList!$E$2:$J$2038,6)</f>
        <v>10424</v>
      </c>
      <c r="D4092" s="3" t="str">
        <f>VLOOKUP(B4092,LifeList!$E$2:$G$2038,1)</f>
        <v>White-whiskered Puffbird</v>
      </c>
      <c r="E4092" s="3" t="str">
        <f>VLOOKUP(B4092,LifeList!$E$2:$G$2038,2)</f>
        <v>Tamatia de Lafresnaye</v>
      </c>
      <c r="F4092" s="3" t="str">
        <f>VLOOKUP(B4092,LifeList!$E$2:$G$2038,3)</f>
        <v>Malacoptila panamensis</v>
      </c>
      <c r="G4092" s="3" t="str">
        <f>VLOOKUP(B4092,LifeList!$E$2:$I$2038,4)</f>
        <v>Piciformes</v>
      </c>
      <c r="H4092" s="3" t="str">
        <f>VLOOKUP(B4092,LifeList!$E$2:$I$2038,5)</f>
        <v>Bucconidae (Puffbirds)</v>
      </c>
      <c r="I4092" s="3"/>
    </row>
    <row r="4093" spans="1:9" ht="10.5" customHeight="1">
      <c r="A4093" s="3" t="s">
        <v>5713</v>
      </c>
      <c r="B4093" s="3" t="s">
        <v>5712</v>
      </c>
      <c r="C4093" s="3">
        <f>VLOOKUP(B4093,LifeList!$E$2:$J$2038,6)</f>
        <v>10424</v>
      </c>
      <c r="D4093" s="3" t="str">
        <f>VLOOKUP(B4093,LifeList!$E$2:$G$2038,1)</f>
        <v>White-whiskered Puffbird</v>
      </c>
      <c r="E4093" s="3" t="str">
        <f>VLOOKUP(B4093,LifeList!$E$2:$G$2038,2)</f>
        <v>Tamatia de Lafresnaye</v>
      </c>
      <c r="F4093" s="3" t="str">
        <f>VLOOKUP(B4093,LifeList!$E$2:$G$2038,3)</f>
        <v>Malacoptila panamensis</v>
      </c>
      <c r="G4093" s="3" t="str">
        <f>VLOOKUP(B4093,LifeList!$E$2:$I$2038,4)</f>
        <v>Piciformes</v>
      </c>
      <c r="H4093" s="3" t="str">
        <f>VLOOKUP(B4093,LifeList!$E$2:$I$2038,5)</f>
        <v>Bucconidae (Puffbirds)</v>
      </c>
      <c r="I4093" s="3"/>
    </row>
    <row r="4094" spans="1:9" ht="10.5" customHeight="1">
      <c r="A4094" s="3" t="s">
        <v>5714</v>
      </c>
      <c r="B4094" s="3" t="s">
        <v>5712</v>
      </c>
      <c r="C4094" s="3">
        <f>VLOOKUP(B4094,LifeList!$E$2:$J$2038,6)</f>
        <v>10424</v>
      </c>
      <c r="D4094" s="3" t="str">
        <f>VLOOKUP(B4094,LifeList!$E$2:$G$2038,1)</f>
        <v>White-whiskered Puffbird</v>
      </c>
      <c r="E4094" s="3" t="str">
        <f>VLOOKUP(B4094,LifeList!$E$2:$G$2038,2)</f>
        <v>Tamatia de Lafresnaye</v>
      </c>
      <c r="F4094" s="3" t="str">
        <f>VLOOKUP(B4094,LifeList!$E$2:$G$2038,3)</f>
        <v>Malacoptila panamensis</v>
      </c>
      <c r="G4094" s="3" t="str">
        <f>VLOOKUP(B4094,LifeList!$E$2:$I$2038,4)</f>
        <v>Piciformes</v>
      </c>
      <c r="H4094" s="3" t="str">
        <f>VLOOKUP(B4094,LifeList!$E$2:$I$2038,5)</f>
        <v>Bucconidae (Puffbirds)</v>
      </c>
      <c r="I4094" s="3"/>
    </row>
    <row r="4095" spans="1:9" ht="10.5" customHeight="1">
      <c r="A4095" s="3" t="s">
        <v>5715</v>
      </c>
      <c r="B4095" s="3" t="s">
        <v>5712</v>
      </c>
      <c r="C4095" s="3">
        <f>VLOOKUP(B4095,LifeList!$E$2:$J$2038,6)</f>
        <v>10424</v>
      </c>
      <c r="D4095" s="3" t="str">
        <f>VLOOKUP(B4095,LifeList!$E$2:$G$2038,1)</f>
        <v>White-whiskered Puffbird</v>
      </c>
      <c r="E4095" s="3" t="str">
        <f>VLOOKUP(B4095,LifeList!$E$2:$G$2038,2)</f>
        <v>Tamatia de Lafresnaye</v>
      </c>
      <c r="F4095" s="3" t="str">
        <f>VLOOKUP(B4095,LifeList!$E$2:$G$2038,3)</f>
        <v>Malacoptila panamensis</v>
      </c>
      <c r="G4095" s="3" t="str">
        <f>VLOOKUP(B4095,LifeList!$E$2:$I$2038,4)</f>
        <v>Piciformes</v>
      </c>
      <c r="H4095" s="3" t="str">
        <f>VLOOKUP(B4095,LifeList!$E$2:$I$2038,5)</f>
        <v>Bucconidae (Puffbirds)</v>
      </c>
      <c r="I4095" s="3"/>
    </row>
    <row r="4096" spans="1:9" ht="10.5" customHeight="1">
      <c r="A4096" s="3" t="s">
        <v>5716</v>
      </c>
      <c r="B4096" s="3" t="s">
        <v>5712</v>
      </c>
      <c r="C4096" s="3">
        <f>VLOOKUP(B4096,LifeList!$E$2:$J$2038,6)</f>
        <v>10424</v>
      </c>
      <c r="D4096" s="3" t="str">
        <f>VLOOKUP(B4096,LifeList!$E$2:$G$2038,1)</f>
        <v>White-whiskered Puffbird</v>
      </c>
      <c r="E4096" s="3" t="str">
        <f>VLOOKUP(B4096,LifeList!$E$2:$G$2038,2)</f>
        <v>Tamatia de Lafresnaye</v>
      </c>
      <c r="F4096" s="3" t="str">
        <f>VLOOKUP(B4096,LifeList!$E$2:$G$2038,3)</f>
        <v>Malacoptila panamensis</v>
      </c>
      <c r="G4096" s="3" t="str">
        <f>VLOOKUP(B4096,LifeList!$E$2:$I$2038,4)</f>
        <v>Piciformes</v>
      </c>
      <c r="H4096" s="3" t="str">
        <f>VLOOKUP(B4096,LifeList!$E$2:$I$2038,5)</f>
        <v>Bucconidae (Puffbirds)</v>
      </c>
      <c r="I4096" s="3"/>
    </row>
    <row r="4097" spans="1:9" ht="10.5" customHeight="1">
      <c r="A4097" s="3" t="s">
        <v>5717</v>
      </c>
      <c r="B4097" s="3" t="s">
        <v>5712</v>
      </c>
      <c r="C4097" s="3">
        <f>VLOOKUP(B4097,LifeList!$E$2:$J$2038,6)</f>
        <v>10424</v>
      </c>
      <c r="D4097" s="3" t="str">
        <f>VLOOKUP(B4097,LifeList!$E$2:$G$2038,1)</f>
        <v>White-whiskered Puffbird</v>
      </c>
      <c r="E4097" s="3" t="str">
        <f>VLOOKUP(B4097,LifeList!$E$2:$G$2038,2)</f>
        <v>Tamatia de Lafresnaye</v>
      </c>
      <c r="F4097" s="3" t="str">
        <f>VLOOKUP(B4097,LifeList!$E$2:$G$2038,3)</f>
        <v>Malacoptila panamensis</v>
      </c>
      <c r="G4097" s="3" t="str">
        <f>VLOOKUP(B4097,LifeList!$E$2:$I$2038,4)</f>
        <v>Piciformes</v>
      </c>
      <c r="H4097" s="3" t="str">
        <f>VLOOKUP(B4097,LifeList!$E$2:$I$2038,5)</f>
        <v>Bucconidae (Puffbirds)</v>
      </c>
      <c r="I4097" s="3"/>
    </row>
    <row r="4098" spans="1:9" ht="10.5" customHeight="1">
      <c r="A4098" s="3" t="s">
        <v>5718</v>
      </c>
      <c r="B4098" s="3" t="s">
        <v>5719</v>
      </c>
      <c r="C4098" s="3">
        <f>VLOOKUP(B4098,LifeList!$E$2:$J$2038,6)</f>
        <v>15652</v>
      </c>
      <c r="D4098" s="3" t="str">
        <f>VLOOKUP(B4098,LifeList!$E$2:$G$2038,1)</f>
        <v>White-whiskered Spinetail</v>
      </c>
      <c r="E4098" s="3" t="str">
        <f>VLOOKUP(B4098,LifeList!$E$2:$G$2038,2)</f>
        <v>Synallaxe à moustaches</v>
      </c>
      <c r="F4098" s="3" t="str">
        <f>VLOOKUP(B4098,LifeList!$E$2:$G$2038,3)</f>
        <v>Synallaxis candei</v>
      </c>
      <c r="G4098" s="3" t="str">
        <f>VLOOKUP(B4098,LifeList!$E$2:$I$2038,4)</f>
        <v>Passeriformes</v>
      </c>
      <c r="H4098" s="3" t="str">
        <f>VLOOKUP(B4098,LifeList!$E$2:$I$2038,5)</f>
        <v>Furnariidae (Ovenbirds and Woodcreepers)</v>
      </c>
      <c r="I4098" s="3"/>
    </row>
    <row r="4099" spans="1:9" ht="10.5" customHeight="1">
      <c r="A4099" s="5" t="s">
        <v>5720</v>
      </c>
      <c r="B4099" s="3" t="s">
        <v>5721</v>
      </c>
      <c r="C4099" s="3">
        <f>VLOOKUP(B4099,LifeList!$E$2:$J$2038,6)</f>
        <v>17677</v>
      </c>
      <c r="D4099" s="3" t="str">
        <f>VLOOKUP(B4099,LifeList!$E$2:$G$2038,1)</f>
        <v>White-winged Fairywren</v>
      </c>
      <c r="E4099" s="3" t="str">
        <f>VLOOKUP(B4099,LifeList!$E$2:$G$2038,2)</f>
        <v>Mérion leucoptère</v>
      </c>
      <c r="F4099" s="3" t="str">
        <f>VLOOKUP(B4099,LifeList!$E$2:$G$2038,3)</f>
        <v>Malurus leucopterus</v>
      </c>
      <c r="G4099" s="3" t="str">
        <f>VLOOKUP(B4099,LifeList!$E$2:$I$2038,4)</f>
        <v>Passeriformes</v>
      </c>
      <c r="H4099" s="3" t="str">
        <f>VLOOKUP(B4099,LifeList!$E$2:$I$2038,5)</f>
        <v>Maluridae (Fairywrens)</v>
      </c>
      <c r="I4099" s="3"/>
    </row>
    <row r="4100" spans="1:9" ht="10.5" customHeight="1">
      <c r="A4100" s="7" t="s">
        <v>5722</v>
      </c>
      <c r="B4100" s="9" t="s">
        <v>5723</v>
      </c>
      <c r="C4100" s="6">
        <f>VLOOKUP(B4100,LifeList!$E$2:$J$2038,6)</f>
        <v>16048</v>
      </c>
      <c r="D4100" s="3" t="str">
        <f>VLOOKUP(B4100,LifeList!$E$2:$G$2038,1)</f>
        <v>White-winged Becard</v>
      </c>
      <c r="E4100" s="3" t="str">
        <f>VLOOKUP(B4100,LifeList!$E$2:$G$2038,2)</f>
        <v>Bécarde à ailes blanches</v>
      </c>
      <c r="F4100" s="3" t="str">
        <f>VLOOKUP(B4100,LifeList!$E$2:$G$2038,3)</f>
        <v>Pachyramphus polychopterus</v>
      </c>
      <c r="G4100" s="3" t="str">
        <f>VLOOKUP(B4100,LifeList!$E$2:$I$2038,4)</f>
        <v>Passeriformes</v>
      </c>
      <c r="H4100" s="3" t="str">
        <f>VLOOKUP(B4100,LifeList!$E$2:$I$2038,5)</f>
        <v>Tityridae (Tityras and Allies)</v>
      </c>
      <c r="I4100" s="3"/>
    </row>
    <row r="4101" spans="1:9" ht="10.5" customHeight="1">
      <c r="A4101" s="3" t="s">
        <v>5724</v>
      </c>
      <c r="B4101" s="3" t="s">
        <v>5725</v>
      </c>
      <c r="C4101" s="3">
        <f>VLOOKUP(B4101,LifeList!$E$2:$J$2038,6)</f>
        <v>33495</v>
      </c>
      <c r="D4101" s="3" t="str">
        <f>VLOOKUP(B4101,LifeList!$E$2:$G$2038,1)</f>
        <v>White-winged Brushfinch</v>
      </c>
      <c r="E4101" s="3" t="str">
        <f>VLOOKUP(B4101,LifeList!$E$2:$G$2038,2)</f>
        <v>Tohi leucoptère</v>
      </c>
      <c r="F4101" s="3" t="str">
        <f>VLOOKUP(B4101,LifeList!$E$2:$G$2038,3)</f>
        <v>Atlapetes leucopterus</v>
      </c>
      <c r="G4101" s="3" t="str">
        <f>VLOOKUP(B4101,LifeList!$E$2:$I$2038,4)</f>
        <v>Passeriformes</v>
      </c>
      <c r="H4101" s="3" t="str">
        <f>VLOOKUP(B4101,LifeList!$E$2:$I$2038,5)</f>
        <v>Passerellidae (New World Sparrows)</v>
      </c>
      <c r="I4101" s="3"/>
    </row>
    <row r="4102" spans="1:9" ht="10.5" customHeight="1">
      <c r="A4102" s="7" t="s">
        <v>5726</v>
      </c>
      <c r="B4102" s="9" t="s">
        <v>5727</v>
      </c>
      <c r="C4102" s="6">
        <f>VLOOKUP(B4102,LifeList!$E$2:$J$2038,6)</f>
        <v>21014</v>
      </c>
      <c r="D4102" s="3" t="str">
        <f>VLOOKUP(B4102,LifeList!$E$2:$G$2038,1)</f>
        <v>White-winged Chough</v>
      </c>
      <c r="E4102" s="3" t="str">
        <f>VLOOKUP(B4102,LifeList!$E$2:$G$2038,2)</f>
        <v>Corbicrave leucoptère</v>
      </c>
      <c r="F4102" s="3" t="str">
        <f>VLOOKUP(B4102,LifeList!$E$2:$G$2038,3)</f>
        <v>Corcorax melanorhamphos</v>
      </c>
      <c r="G4102" s="3" t="str">
        <f>VLOOKUP(B4102,LifeList!$E$2:$I$2038,4)</f>
        <v>Passeriformes</v>
      </c>
      <c r="H4102" s="3" t="str">
        <f>VLOOKUP(B4102,LifeList!$E$2:$I$2038,5)</f>
        <v>Corcoracidae (White-winged Chough and Apostlebird)</v>
      </c>
      <c r="I4102" s="3"/>
    </row>
    <row r="4103" spans="1:9" ht="10.5" customHeight="1">
      <c r="A4103" s="3" t="s">
        <v>5728</v>
      </c>
      <c r="B4103" s="3" t="s">
        <v>5729</v>
      </c>
      <c r="C4103" s="3">
        <f>VLOOKUP(B4103,LifeList!$E$2:$J$2038,6)</f>
        <v>2389</v>
      </c>
      <c r="D4103" s="3" t="str">
        <f>VLOOKUP(B4103,LifeList!$E$2:$G$2038,1)</f>
        <v>White-winged Dove</v>
      </c>
      <c r="E4103" s="3" t="str">
        <f>VLOOKUP(B4103,LifeList!$E$2:$G$2038,2)</f>
        <v>Tourterelle à ailes blanches</v>
      </c>
      <c r="F4103" s="3" t="str">
        <f>VLOOKUP(B4103,LifeList!$E$2:$G$2038,3)</f>
        <v>Zenaida asiatica</v>
      </c>
      <c r="G4103" s="3" t="str">
        <f>VLOOKUP(B4103,LifeList!$E$2:$I$2038,4)</f>
        <v>Columbiformes</v>
      </c>
      <c r="H4103" s="3" t="str">
        <f>VLOOKUP(B4103,LifeList!$E$2:$I$2038,5)</f>
        <v>Columbidae (Pigeons and Doves)</v>
      </c>
      <c r="I4103" s="3"/>
    </row>
    <row r="4104" spans="1:9" ht="10.5" customHeight="1">
      <c r="A4104" s="3" t="s">
        <v>5730</v>
      </c>
      <c r="B4104" s="3" t="s">
        <v>5729</v>
      </c>
      <c r="C4104" s="3">
        <f>VLOOKUP(B4104,LifeList!$E$2:$J$2038,6)</f>
        <v>2389</v>
      </c>
      <c r="D4104" s="3" t="str">
        <f>VLOOKUP(B4104,LifeList!$E$2:$G$2038,1)</f>
        <v>White-winged Dove</v>
      </c>
      <c r="E4104" s="3" t="str">
        <f>VLOOKUP(B4104,LifeList!$E$2:$G$2038,2)</f>
        <v>Tourterelle à ailes blanches</v>
      </c>
      <c r="F4104" s="3" t="str">
        <f>VLOOKUP(B4104,LifeList!$E$2:$G$2038,3)</f>
        <v>Zenaida asiatica</v>
      </c>
      <c r="G4104" s="3" t="str">
        <f>VLOOKUP(B4104,LifeList!$E$2:$I$2038,4)</f>
        <v>Columbiformes</v>
      </c>
      <c r="H4104" s="3" t="str">
        <f>VLOOKUP(B4104,LifeList!$E$2:$I$2038,5)</f>
        <v>Columbidae (Pigeons and Doves)</v>
      </c>
      <c r="I4104" s="3"/>
    </row>
    <row r="4105" spans="1:9" ht="10.5" customHeight="1">
      <c r="A4105" s="3" t="s">
        <v>5731</v>
      </c>
      <c r="B4105" s="3" t="s">
        <v>5729</v>
      </c>
      <c r="C4105" s="3">
        <f>VLOOKUP(B4105,LifeList!$E$2:$J$2038,6)</f>
        <v>2389</v>
      </c>
      <c r="D4105" s="3" t="str">
        <f>VLOOKUP(B4105,LifeList!$E$2:$G$2038,1)</f>
        <v>White-winged Dove</v>
      </c>
      <c r="E4105" s="3" t="str">
        <f>VLOOKUP(B4105,LifeList!$E$2:$G$2038,2)</f>
        <v>Tourterelle à ailes blanches</v>
      </c>
      <c r="F4105" s="3" t="str">
        <f>VLOOKUP(B4105,LifeList!$E$2:$G$2038,3)</f>
        <v>Zenaida asiatica</v>
      </c>
      <c r="G4105" s="3" t="str">
        <f>VLOOKUP(B4105,LifeList!$E$2:$I$2038,4)</f>
        <v>Columbiformes</v>
      </c>
      <c r="H4105" s="3" t="str">
        <f>VLOOKUP(B4105,LifeList!$E$2:$I$2038,5)</f>
        <v>Columbidae (Pigeons and Doves)</v>
      </c>
      <c r="I4105" s="3"/>
    </row>
    <row r="4106" spans="1:9" ht="10.5" customHeight="1">
      <c r="A4106" s="3" t="s">
        <v>5732</v>
      </c>
      <c r="B4106" s="3" t="s">
        <v>5729</v>
      </c>
      <c r="C4106" s="3">
        <f>VLOOKUP(B4106,LifeList!$E$2:$J$2038,6)</f>
        <v>2389</v>
      </c>
      <c r="D4106" s="3" t="str">
        <f>VLOOKUP(B4106,LifeList!$E$2:$G$2038,1)</f>
        <v>White-winged Dove</v>
      </c>
      <c r="E4106" s="3" t="str">
        <f>VLOOKUP(B4106,LifeList!$E$2:$G$2038,2)</f>
        <v>Tourterelle à ailes blanches</v>
      </c>
      <c r="F4106" s="3" t="str">
        <f>VLOOKUP(B4106,LifeList!$E$2:$G$2038,3)</f>
        <v>Zenaida asiatica</v>
      </c>
      <c r="G4106" s="3" t="str">
        <f>VLOOKUP(B4106,LifeList!$E$2:$I$2038,4)</f>
        <v>Columbiformes</v>
      </c>
      <c r="H4106" s="3" t="str">
        <f>VLOOKUP(B4106,LifeList!$E$2:$I$2038,5)</f>
        <v>Columbidae (Pigeons and Doves)</v>
      </c>
      <c r="I4106" s="3"/>
    </row>
    <row r="4107" spans="1:9" ht="10.5" customHeight="1">
      <c r="A4107" s="3" t="s">
        <v>5733</v>
      </c>
      <c r="B4107" s="3" t="s">
        <v>5729</v>
      </c>
      <c r="C4107" s="3">
        <f>VLOOKUP(B4107,LifeList!$E$2:$J$2038,6)</f>
        <v>2389</v>
      </c>
      <c r="D4107" s="3" t="str">
        <f>VLOOKUP(B4107,LifeList!$E$2:$G$2038,1)</f>
        <v>White-winged Dove</v>
      </c>
      <c r="E4107" s="3" t="str">
        <f>VLOOKUP(B4107,LifeList!$E$2:$G$2038,2)</f>
        <v>Tourterelle à ailes blanches</v>
      </c>
      <c r="F4107" s="3" t="str">
        <f>VLOOKUP(B4107,LifeList!$E$2:$G$2038,3)</f>
        <v>Zenaida asiatica</v>
      </c>
      <c r="G4107" s="3" t="str">
        <f>VLOOKUP(B4107,LifeList!$E$2:$I$2038,4)</f>
        <v>Columbiformes</v>
      </c>
      <c r="H4107" s="3" t="str">
        <f>VLOOKUP(B4107,LifeList!$E$2:$I$2038,5)</f>
        <v>Columbidae (Pigeons and Doves)</v>
      </c>
      <c r="I4107" s="3"/>
    </row>
    <row r="4108" spans="1:9" ht="10.5" customHeight="1">
      <c r="A4108" s="3" t="s">
        <v>5734</v>
      </c>
      <c r="B4108" s="3" t="s">
        <v>5735</v>
      </c>
      <c r="C4108" s="3">
        <f>VLOOKUP(B4108,LifeList!$E$2:$J$2038,6)</f>
        <v>730</v>
      </c>
      <c r="D4108" s="3" t="str">
        <f>VLOOKUP(B4108,LifeList!$E$2:$G$2038,1)</f>
        <v>White-winged Scoter</v>
      </c>
      <c r="E4108" s="3" t="str">
        <f>VLOOKUP(B4108,LifeList!$E$2:$G$2038,2)</f>
        <v>Macreuse à ailes blanches</v>
      </c>
      <c r="F4108" s="3" t="str">
        <f>VLOOKUP(B4108,LifeList!$E$2:$G$2038,3)</f>
        <v>Melanitta deglandi</v>
      </c>
      <c r="G4108" s="3" t="str">
        <f>VLOOKUP(B4108,LifeList!$E$2:$I$2038,4)</f>
        <v>Anseriformes</v>
      </c>
      <c r="H4108" s="3" t="str">
        <f>VLOOKUP(B4108,LifeList!$E$2:$I$2038,5)</f>
        <v>Anatidae (Ducks, Geese, and Waterfowl)</v>
      </c>
      <c r="I4108" s="3"/>
    </row>
    <row r="4109" spans="1:9" ht="10.5" customHeight="1">
      <c r="A4109" s="3" t="s">
        <v>5736</v>
      </c>
      <c r="B4109" s="3" t="s">
        <v>5735</v>
      </c>
      <c r="C4109" s="3">
        <f>VLOOKUP(B4109,LifeList!$E$2:$J$2038,6)</f>
        <v>730</v>
      </c>
      <c r="D4109" s="3" t="str">
        <f>VLOOKUP(B4109,LifeList!$E$2:$G$2038,1)</f>
        <v>White-winged Scoter</v>
      </c>
      <c r="E4109" s="3" t="str">
        <f>VLOOKUP(B4109,LifeList!$E$2:$G$2038,2)</f>
        <v>Macreuse à ailes blanches</v>
      </c>
      <c r="F4109" s="3" t="str">
        <f>VLOOKUP(B4109,LifeList!$E$2:$G$2038,3)</f>
        <v>Melanitta deglandi</v>
      </c>
      <c r="G4109" s="3" t="str">
        <f>VLOOKUP(B4109,LifeList!$E$2:$I$2038,4)</f>
        <v>Anseriformes</v>
      </c>
      <c r="H4109" s="3" t="str">
        <f>VLOOKUP(B4109,LifeList!$E$2:$I$2038,5)</f>
        <v>Anatidae (Ducks, Geese, and Waterfowl)</v>
      </c>
      <c r="I4109" s="3"/>
    </row>
    <row r="4110" spans="1:9" ht="10.5" customHeight="1">
      <c r="A4110" s="3" t="s">
        <v>5737</v>
      </c>
      <c r="B4110" s="3" t="s">
        <v>5735</v>
      </c>
      <c r="C4110" s="3">
        <f>VLOOKUP(B4110,LifeList!$E$2:$J$2038,6)</f>
        <v>730</v>
      </c>
      <c r="D4110" s="3" t="str">
        <f>VLOOKUP(B4110,LifeList!$E$2:$G$2038,1)</f>
        <v>White-winged Scoter</v>
      </c>
      <c r="E4110" s="3" t="str">
        <f>VLOOKUP(B4110,LifeList!$E$2:$G$2038,2)</f>
        <v>Macreuse à ailes blanches</v>
      </c>
      <c r="F4110" s="3" t="str">
        <f>VLOOKUP(B4110,LifeList!$E$2:$G$2038,3)</f>
        <v>Melanitta deglandi</v>
      </c>
      <c r="G4110" s="3" t="str">
        <f>VLOOKUP(B4110,LifeList!$E$2:$I$2038,4)</f>
        <v>Anseriformes</v>
      </c>
      <c r="H4110" s="3" t="str">
        <f>VLOOKUP(B4110,LifeList!$E$2:$I$2038,5)</f>
        <v>Anatidae (Ducks, Geese, and Waterfowl)</v>
      </c>
      <c r="I4110" s="3"/>
    </row>
    <row r="4111" spans="1:9" ht="10.5" customHeight="1">
      <c r="A4111" s="7" t="s">
        <v>5738</v>
      </c>
      <c r="B4111" s="9" t="s">
        <v>5739</v>
      </c>
      <c r="C4111" s="6">
        <f>VLOOKUP(B4111,LifeList!$E$2:$J$2038,6)</f>
        <v>31641</v>
      </c>
      <c r="D4111" s="3" t="str">
        <f>VLOOKUP(B4111,LifeList!$E$2:$G$2038,1)</f>
        <v>White-winged Snowfinch</v>
      </c>
      <c r="E4111" s="3" t="str">
        <f>VLOOKUP(B4111,LifeList!$E$2:$G$2038,2)</f>
        <v>Niverolle alpine</v>
      </c>
      <c r="F4111" s="3" t="str">
        <f>VLOOKUP(B4111,LifeList!$E$2:$G$2038,3)</f>
        <v>Montifringilla nivalis</v>
      </c>
      <c r="G4111" s="3" t="str">
        <f>VLOOKUP(B4111,LifeList!$E$2:$I$2038,4)</f>
        <v>Passeriformes</v>
      </c>
      <c r="H4111" s="3" t="str">
        <f>VLOOKUP(B4111,LifeList!$E$2:$I$2038,5)</f>
        <v>Passeridae (Old World Sparrows)</v>
      </c>
      <c r="I4111" s="3"/>
    </row>
    <row r="4112" spans="1:9" ht="10.5" customHeight="1">
      <c r="A4112" s="3" t="s">
        <v>5740</v>
      </c>
      <c r="B4112" s="3" t="s">
        <v>5741</v>
      </c>
      <c r="C4112" s="3">
        <f>VLOOKUP(B4112,LifeList!$E$2:$J$2038,6)</f>
        <v>24066</v>
      </c>
      <c r="D4112" s="3" t="str">
        <f>VLOOKUP(B4112,LifeList!$E$2:$G$2038,1)</f>
        <v>White-winged Swallow</v>
      </c>
      <c r="E4112" s="3" t="str">
        <f>VLOOKUP(B4112,LifeList!$E$2:$G$2038,2)</f>
        <v>Hirondelle à ailes blanches</v>
      </c>
      <c r="F4112" s="3" t="str">
        <f>VLOOKUP(B4112,LifeList!$E$2:$G$2038,3)</f>
        <v>Tachycineta albiventer</v>
      </c>
      <c r="G4112" s="3" t="str">
        <f>VLOOKUP(B4112,LifeList!$E$2:$I$2038,4)</f>
        <v>Passeriformes</v>
      </c>
      <c r="H4112" s="3" t="str">
        <f>VLOOKUP(B4112,LifeList!$E$2:$I$2038,5)</f>
        <v>Hirundinidae (Swallows)</v>
      </c>
      <c r="I4112" s="3"/>
    </row>
    <row r="4113" spans="1:9" ht="10.5" customHeight="1">
      <c r="A4113" s="3" t="s">
        <v>5742</v>
      </c>
      <c r="B4113" s="3" t="s">
        <v>5741</v>
      </c>
      <c r="C4113" s="3">
        <f>VLOOKUP(B4113,LifeList!$E$2:$J$2038,6)</f>
        <v>24066</v>
      </c>
      <c r="D4113" s="3" t="str">
        <f>VLOOKUP(B4113,LifeList!$E$2:$G$2038,1)</f>
        <v>White-winged Swallow</v>
      </c>
      <c r="E4113" s="3" t="str">
        <f>VLOOKUP(B4113,LifeList!$E$2:$G$2038,2)</f>
        <v>Hirondelle à ailes blanches</v>
      </c>
      <c r="F4113" s="3" t="str">
        <f>VLOOKUP(B4113,LifeList!$E$2:$G$2038,3)</f>
        <v>Tachycineta albiventer</v>
      </c>
      <c r="G4113" s="3" t="str">
        <f>VLOOKUP(B4113,LifeList!$E$2:$I$2038,4)</f>
        <v>Passeriformes</v>
      </c>
      <c r="H4113" s="3" t="str">
        <f>VLOOKUP(B4113,LifeList!$E$2:$I$2038,5)</f>
        <v>Hirundinidae (Swallows)</v>
      </c>
      <c r="I4113" s="3"/>
    </row>
    <row r="4114" spans="1:9" ht="10.5" customHeight="1">
      <c r="A4114" s="7" t="s">
        <v>5743</v>
      </c>
      <c r="B4114" s="9" t="s">
        <v>5744</v>
      </c>
      <c r="C4114" s="6">
        <f>VLOOKUP(B4114,LifeList!$E$2:$J$2038,6)</f>
        <v>18810</v>
      </c>
      <c r="D4114" s="3" t="str">
        <f>VLOOKUP(B4114,LifeList!$E$2:$G$2038,1)</f>
        <v>White-winged Triller</v>
      </c>
      <c r="E4114" s="3" t="str">
        <f>VLOOKUP(B4114,LifeList!$E$2:$G$2038,2)</f>
        <v>Échenilleur tricolore</v>
      </c>
      <c r="F4114" s="3" t="str">
        <f>VLOOKUP(B4114,LifeList!$E$2:$G$2038,3)</f>
        <v>Lalage tricolor</v>
      </c>
      <c r="G4114" s="3" t="str">
        <f>VLOOKUP(B4114,LifeList!$E$2:$I$2038,4)</f>
        <v>Passeriformes</v>
      </c>
      <c r="H4114" s="3" t="str">
        <f>VLOOKUP(B4114,LifeList!$E$2:$I$2038,5)</f>
        <v>Campephagidae (Cuckooshrikes)</v>
      </c>
      <c r="I4114" s="3"/>
    </row>
    <row r="4115" spans="1:9" ht="10.5" customHeight="1">
      <c r="A4115" s="5" t="s">
        <v>5745</v>
      </c>
      <c r="B4115" s="3" t="s">
        <v>5746</v>
      </c>
      <c r="C4115" s="3">
        <f>VLOOKUP(B4115,LifeList!$E$2:$J$2038,6)</f>
        <v>5716</v>
      </c>
      <c r="D4115" s="3" t="str">
        <f>VLOOKUP(B4115,LifeList!$E$2:$G$2038,1)</f>
        <v>Whooping Crane</v>
      </c>
      <c r="E4115" s="3" t="str">
        <f>VLOOKUP(B4115,LifeList!$E$2:$G$2038,2)</f>
        <v>Grue blanche</v>
      </c>
      <c r="F4115" s="3" t="str">
        <f>VLOOKUP(B4115,LifeList!$E$2:$G$2038,3)</f>
        <v>Grus americana</v>
      </c>
      <c r="G4115" s="3" t="str">
        <f>VLOOKUP(B4115,LifeList!$E$2:$I$2038,4)</f>
        <v>Gruiformes</v>
      </c>
      <c r="H4115" s="3" t="str">
        <f>VLOOKUP(B4115,LifeList!$E$2:$I$2038,5)</f>
        <v>Gruidae (Cranes)</v>
      </c>
      <c r="I4115" s="3"/>
    </row>
    <row r="4116" spans="1:9" ht="10.5" customHeight="1">
      <c r="A4116" s="3" t="s">
        <v>5747</v>
      </c>
      <c r="B4116" s="3" t="s">
        <v>5748</v>
      </c>
      <c r="C4116" s="3">
        <f>VLOOKUP(B4116,LifeList!$E$2:$J$2038,6)</f>
        <v>9863</v>
      </c>
      <c r="D4116" s="3" t="str">
        <f>VLOOKUP(B4116,LifeList!$E$2:$G$2038,1)</f>
        <v>Whooping Motmot</v>
      </c>
      <c r="E4116" s="3" t="str">
        <f>VLOOKUP(B4116,LifeList!$E$2:$G$2038,2)</f>
        <v>Motmot caraïbe</v>
      </c>
      <c r="F4116" s="3" t="str">
        <f>VLOOKUP(B4116,LifeList!$E$2:$G$2038,3)</f>
        <v>Momotus subrufescens</v>
      </c>
      <c r="G4116" s="3" t="str">
        <f>VLOOKUP(B4116,LifeList!$E$2:$I$2038,4)</f>
        <v>Coraciiformes</v>
      </c>
      <c r="H4116" s="3" t="str">
        <f>VLOOKUP(B4116,LifeList!$E$2:$I$2038,5)</f>
        <v>Momotidae (Motmots)</v>
      </c>
      <c r="I4116" s="3"/>
    </row>
    <row r="4117" spans="1:9" ht="10.5" customHeight="1">
      <c r="A4117" s="3" t="s">
        <v>5749</v>
      </c>
      <c r="B4117" s="3" t="s">
        <v>5750</v>
      </c>
      <c r="C4117" s="3">
        <f>VLOOKUP(B4117,LifeList!$E$2:$J$2038,6)</f>
        <v>1274</v>
      </c>
      <c r="D4117" s="3" t="str">
        <f>VLOOKUP(B4117,LifeList!$E$2:$G$2038,1)</f>
        <v>Wild Turkey</v>
      </c>
      <c r="E4117" s="3" t="str">
        <f>VLOOKUP(B4117,LifeList!$E$2:$G$2038,2)</f>
        <v>Dindon sauvage</v>
      </c>
      <c r="F4117" s="3" t="str">
        <f>VLOOKUP(B4117,LifeList!$E$2:$G$2038,3)</f>
        <v>Meleagris gallopavo</v>
      </c>
      <c r="G4117" s="3" t="str">
        <f>VLOOKUP(B4117,LifeList!$E$2:$I$2038,4)</f>
        <v>Galliformes</v>
      </c>
      <c r="H4117" s="3" t="str">
        <f>VLOOKUP(B4117,LifeList!$E$2:$I$2038,5)</f>
        <v>Phasianidae (Pheasants, Grouse, and Allies)</v>
      </c>
      <c r="I4117" s="3"/>
    </row>
    <row r="4118" spans="1:9" ht="10.5" customHeight="1">
      <c r="A4118" s="3" t="s">
        <v>5751</v>
      </c>
      <c r="B4118" s="3" t="s">
        <v>5750</v>
      </c>
      <c r="C4118" s="3">
        <f>VLOOKUP(B4118,LifeList!$E$2:$J$2038,6)</f>
        <v>1274</v>
      </c>
      <c r="D4118" s="3" t="str">
        <f>VLOOKUP(B4118,LifeList!$E$2:$G$2038,1)</f>
        <v>Wild Turkey</v>
      </c>
      <c r="E4118" s="3" t="str">
        <f>VLOOKUP(B4118,LifeList!$E$2:$G$2038,2)</f>
        <v>Dindon sauvage</v>
      </c>
      <c r="F4118" s="3" t="str">
        <f>VLOOKUP(B4118,LifeList!$E$2:$G$2038,3)</f>
        <v>Meleagris gallopavo</v>
      </c>
      <c r="G4118" s="3" t="str">
        <f>VLOOKUP(B4118,LifeList!$E$2:$I$2038,4)</f>
        <v>Galliformes</v>
      </c>
      <c r="H4118" s="3" t="str">
        <f>VLOOKUP(B4118,LifeList!$E$2:$I$2038,5)</f>
        <v>Phasianidae (Pheasants, Grouse, and Allies)</v>
      </c>
      <c r="I4118" s="3"/>
    </row>
    <row r="4119" spans="1:9" ht="10.5" customHeight="1">
      <c r="A4119" s="3" t="s">
        <v>5752</v>
      </c>
      <c r="B4119" s="3" t="s">
        <v>5750</v>
      </c>
      <c r="C4119" s="3">
        <f>VLOOKUP(B4119,LifeList!$E$2:$J$2038,6)</f>
        <v>1274</v>
      </c>
      <c r="D4119" s="3" t="str">
        <f>VLOOKUP(B4119,LifeList!$E$2:$G$2038,1)</f>
        <v>Wild Turkey</v>
      </c>
      <c r="E4119" s="3" t="str">
        <f>VLOOKUP(B4119,LifeList!$E$2:$G$2038,2)</f>
        <v>Dindon sauvage</v>
      </c>
      <c r="F4119" s="3" t="str">
        <f>VLOOKUP(B4119,LifeList!$E$2:$G$2038,3)</f>
        <v>Meleagris gallopavo</v>
      </c>
      <c r="G4119" s="3" t="str">
        <f>VLOOKUP(B4119,LifeList!$E$2:$I$2038,4)</f>
        <v>Galliformes</v>
      </c>
      <c r="H4119" s="3" t="str">
        <f>VLOOKUP(B4119,LifeList!$E$2:$I$2038,5)</f>
        <v>Phasianidae (Pheasants, Grouse, and Allies)</v>
      </c>
      <c r="I4119" s="3"/>
    </row>
    <row r="4120" spans="1:9" ht="10.5" customHeight="1">
      <c r="A4120" s="3" t="s">
        <v>5753</v>
      </c>
      <c r="B4120" s="3" t="s">
        <v>5754</v>
      </c>
      <c r="C4120" s="3">
        <f>VLOOKUP(B4120,LifeList!$E$2:$J$2038,6)</f>
        <v>6147</v>
      </c>
      <c r="D4120" s="3" t="str">
        <f>VLOOKUP(B4120,LifeList!$E$2:$G$2038,1)</f>
        <v>Willet</v>
      </c>
      <c r="E4120" s="3" t="str">
        <f>VLOOKUP(B4120,LifeList!$E$2:$G$2038,2)</f>
        <v>Chevalier semipalmé</v>
      </c>
      <c r="F4120" s="3" t="str">
        <f>VLOOKUP(B4120,LifeList!$E$2:$G$2038,3)</f>
        <v>Tringa semipalmata</v>
      </c>
      <c r="G4120" s="3" t="str">
        <f>VLOOKUP(B4120,LifeList!$E$2:$I$2038,4)</f>
        <v>Charadriiformes</v>
      </c>
      <c r="H4120" s="3" t="str">
        <f>VLOOKUP(B4120,LifeList!$E$2:$I$2038,5)</f>
        <v>Scolopacidae (Sandpipers and Allies)</v>
      </c>
      <c r="I4120" s="3"/>
    </row>
    <row r="4121" spans="1:9" ht="10.5" customHeight="1">
      <c r="A4121" s="3" t="s">
        <v>5755</v>
      </c>
      <c r="B4121" s="3" t="s">
        <v>5754</v>
      </c>
      <c r="C4121" s="3">
        <f>VLOOKUP(B4121,LifeList!$E$2:$J$2038,6)</f>
        <v>6147</v>
      </c>
      <c r="D4121" s="3" t="str">
        <f>VLOOKUP(B4121,LifeList!$E$2:$G$2038,1)</f>
        <v>Willet</v>
      </c>
      <c r="E4121" s="3" t="str">
        <f>VLOOKUP(B4121,LifeList!$E$2:$G$2038,2)</f>
        <v>Chevalier semipalmé</v>
      </c>
      <c r="F4121" s="3" t="str">
        <f>VLOOKUP(B4121,LifeList!$E$2:$G$2038,3)</f>
        <v>Tringa semipalmata</v>
      </c>
      <c r="G4121" s="3" t="str">
        <f>VLOOKUP(B4121,LifeList!$E$2:$I$2038,4)</f>
        <v>Charadriiformes</v>
      </c>
      <c r="H4121" s="3" t="str">
        <f>VLOOKUP(B4121,LifeList!$E$2:$I$2038,5)</f>
        <v>Scolopacidae (Sandpipers and Allies)</v>
      </c>
      <c r="I4121" s="3"/>
    </row>
    <row r="4122" spans="1:9" ht="10.5" customHeight="1">
      <c r="A4122" s="3" t="s">
        <v>5756</v>
      </c>
      <c r="B4122" s="3" t="s">
        <v>5754</v>
      </c>
      <c r="C4122" s="3">
        <f>VLOOKUP(B4122,LifeList!$E$2:$J$2038,6)</f>
        <v>6147</v>
      </c>
      <c r="D4122" s="3" t="str">
        <f>VLOOKUP(B4122,LifeList!$E$2:$G$2038,1)</f>
        <v>Willet</v>
      </c>
      <c r="E4122" s="3" t="str">
        <f>VLOOKUP(B4122,LifeList!$E$2:$G$2038,2)</f>
        <v>Chevalier semipalmé</v>
      </c>
      <c r="F4122" s="3" t="str">
        <f>VLOOKUP(B4122,LifeList!$E$2:$G$2038,3)</f>
        <v>Tringa semipalmata</v>
      </c>
      <c r="G4122" s="3" t="str">
        <f>VLOOKUP(B4122,LifeList!$E$2:$I$2038,4)</f>
        <v>Charadriiformes</v>
      </c>
      <c r="H4122" s="3" t="str">
        <f>VLOOKUP(B4122,LifeList!$E$2:$I$2038,5)</f>
        <v>Scolopacidae (Sandpipers and Allies)</v>
      </c>
      <c r="I4122" s="3"/>
    </row>
    <row r="4123" spans="1:9" ht="10.5" customHeight="1">
      <c r="A4123" s="3" t="s">
        <v>5757</v>
      </c>
      <c r="B4123" s="3" t="s">
        <v>5754</v>
      </c>
      <c r="C4123" s="3">
        <f>VLOOKUP(B4123,LifeList!$E$2:$J$2038,6)</f>
        <v>6147</v>
      </c>
      <c r="D4123" s="3" t="str">
        <f>VLOOKUP(B4123,LifeList!$E$2:$G$2038,1)</f>
        <v>Willet</v>
      </c>
      <c r="E4123" s="3" t="str">
        <f>VLOOKUP(B4123,LifeList!$E$2:$G$2038,2)</f>
        <v>Chevalier semipalmé</v>
      </c>
      <c r="F4123" s="3" t="str">
        <f>VLOOKUP(B4123,LifeList!$E$2:$G$2038,3)</f>
        <v>Tringa semipalmata</v>
      </c>
      <c r="G4123" s="3" t="str">
        <f>VLOOKUP(B4123,LifeList!$E$2:$I$2038,4)</f>
        <v>Charadriiformes</v>
      </c>
      <c r="H4123" s="3" t="str">
        <f>VLOOKUP(B4123,LifeList!$E$2:$I$2038,5)</f>
        <v>Scolopacidae (Sandpipers and Allies)</v>
      </c>
      <c r="I4123" s="3"/>
    </row>
    <row r="4124" spans="1:9" ht="10.5" customHeight="1">
      <c r="A4124" s="3" t="s">
        <v>5758</v>
      </c>
      <c r="B4124" s="3" t="s">
        <v>5754</v>
      </c>
      <c r="C4124" s="3">
        <f>VLOOKUP(B4124,LifeList!$E$2:$J$2038,6)</f>
        <v>6147</v>
      </c>
      <c r="D4124" s="3" t="str">
        <f>VLOOKUP(B4124,LifeList!$E$2:$G$2038,1)</f>
        <v>Willet</v>
      </c>
      <c r="E4124" s="3" t="str">
        <f>VLOOKUP(B4124,LifeList!$E$2:$G$2038,2)</f>
        <v>Chevalier semipalmé</v>
      </c>
      <c r="F4124" s="3" t="str">
        <f>VLOOKUP(B4124,LifeList!$E$2:$G$2038,3)</f>
        <v>Tringa semipalmata</v>
      </c>
      <c r="G4124" s="3" t="str">
        <f>VLOOKUP(B4124,LifeList!$E$2:$I$2038,4)</f>
        <v>Charadriiformes</v>
      </c>
      <c r="H4124" s="3" t="str">
        <f>VLOOKUP(B4124,LifeList!$E$2:$I$2038,5)</f>
        <v>Scolopacidae (Sandpipers and Allies)</v>
      </c>
      <c r="I4124" s="3"/>
    </row>
    <row r="4125" spans="1:9" ht="10.5" customHeight="1">
      <c r="A4125" s="3" t="s">
        <v>5759</v>
      </c>
      <c r="B4125" s="3" t="s">
        <v>5754</v>
      </c>
      <c r="C4125" s="3">
        <f>VLOOKUP(B4125,LifeList!$E$2:$J$2038,6)</f>
        <v>6147</v>
      </c>
      <c r="D4125" s="3" t="str">
        <f>VLOOKUP(B4125,LifeList!$E$2:$G$2038,1)</f>
        <v>Willet</v>
      </c>
      <c r="E4125" s="3" t="str">
        <f>VLOOKUP(B4125,LifeList!$E$2:$G$2038,2)</f>
        <v>Chevalier semipalmé</v>
      </c>
      <c r="F4125" s="3" t="str">
        <f>VLOOKUP(B4125,LifeList!$E$2:$G$2038,3)</f>
        <v>Tringa semipalmata</v>
      </c>
      <c r="G4125" s="3" t="str">
        <f>VLOOKUP(B4125,LifeList!$E$2:$I$2038,4)</f>
        <v>Charadriiformes</v>
      </c>
      <c r="H4125" s="3" t="str">
        <f>VLOOKUP(B4125,LifeList!$E$2:$I$2038,5)</f>
        <v>Scolopacidae (Sandpipers and Allies)</v>
      </c>
      <c r="I4125" s="3"/>
    </row>
    <row r="4126" spans="1:9" ht="10.5" customHeight="1">
      <c r="A4126" s="3" t="s">
        <v>5760</v>
      </c>
      <c r="B4126" s="3" t="s">
        <v>5754</v>
      </c>
      <c r="C4126" s="3">
        <f>VLOOKUP(B4126,LifeList!$E$2:$J$2038,6)</f>
        <v>6147</v>
      </c>
      <c r="D4126" s="3" t="str">
        <f>VLOOKUP(B4126,LifeList!$E$2:$G$2038,1)</f>
        <v>Willet</v>
      </c>
      <c r="E4126" s="3" t="str">
        <f>VLOOKUP(B4126,LifeList!$E$2:$G$2038,2)</f>
        <v>Chevalier semipalmé</v>
      </c>
      <c r="F4126" s="3" t="str">
        <f>VLOOKUP(B4126,LifeList!$E$2:$G$2038,3)</f>
        <v>Tringa semipalmata</v>
      </c>
      <c r="G4126" s="3" t="str">
        <f>VLOOKUP(B4126,LifeList!$E$2:$I$2038,4)</f>
        <v>Charadriiformes</v>
      </c>
      <c r="H4126" s="3" t="str">
        <f>VLOOKUP(B4126,LifeList!$E$2:$I$2038,5)</f>
        <v>Scolopacidae (Sandpipers and Allies)</v>
      </c>
      <c r="I4126" s="3"/>
    </row>
    <row r="4127" spans="1:9" ht="10.5" customHeight="1">
      <c r="A4127" s="3" t="s">
        <v>5761</v>
      </c>
      <c r="B4127" s="3" t="s">
        <v>5762</v>
      </c>
      <c r="C4127" s="3">
        <f>VLOOKUP(B4127,LifeList!$E$2:$J$2038,6)</f>
        <v>6147</v>
      </c>
      <c r="D4127" s="3" t="str">
        <f>VLOOKUP(B4127,LifeList!$E$2:$G$2038,1)</f>
        <v>Willet</v>
      </c>
      <c r="E4127" s="3" t="str">
        <f>VLOOKUP(B4127,LifeList!$E$2:$G$2038,2)</f>
        <v>Chevalier semipalmé</v>
      </c>
      <c r="F4127" s="3" t="str">
        <f>VLOOKUP(B4127,LifeList!$E$2:$G$2038,3)</f>
        <v>Tringa semipalmata</v>
      </c>
      <c r="G4127" s="3" t="str">
        <f>VLOOKUP(B4127,LifeList!$E$2:$I$2038,4)</f>
        <v>Charadriiformes</v>
      </c>
      <c r="H4127" s="3" t="str">
        <f>VLOOKUP(B4127,LifeList!$E$2:$I$2038,5)</f>
        <v>Scolopacidae (Sandpipers and Allies)</v>
      </c>
      <c r="I4127" s="3"/>
    </row>
    <row r="4128" spans="1:9" ht="10.5" customHeight="1">
      <c r="A4128" s="3" t="s">
        <v>5763</v>
      </c>
      <c r="B4128" s="3" t="s">
        <v>5764</v>
      </c>
      <c r="C4128" s="3">
        <f>VLOOKUP(B4128,LifeList!$E$2:$J$2038,6)</f>
        <v>20270</v>
      </c>
      <c r="D4128" s="3" t="str">
        <f>VLOOKUP(B4128,LifeList!$E$2:$G$2038,1)</f>
        <v>Willie-wagtail</v>
      </c>
      <c r="E4128" s="3" t="str">
        <f>VLOOKUP(B4128,LifeList!$E$2:$G$2038,2)</f>
        <v>Rhipidure hochequeue</v>
      </c>
      <c r="F4128" s="3" t="str">
        <f>VLOOKUP(B4128,LifeList!$E$2:$G$2038,3)</f>
        <v>Rhipidura leucophrys</v>
      </c>
      <c r="G4128" s="3" t="str">
        <f>VLOOKUP(B4128,LifeList!$E$2:$I$2038,4)</f>
        <v>Passeriformes</v>
      </c>
      <c r="H4128" s="3" t="str">
        <f>VLOOKUP(B4128,LifeList!$E$2:$I$2038,5)</f>
        <v>Rhipiduridae (Fantails)</v>
      </c>
      <c r="I4128" s="3"/>
    </row>
    <row r="4129" spans="1:9" ht="10.5" customHeight="1">
      <c r="A4129" s="3" t="s">
        <v>5765</v>
      </c>
      <c r="B4129" s="3" t="s">
        <v>5764</v>
      </c>
      <c r="C4129" s="3">
        <f>VLOOKUP(B4129,LifeList!$E$2:$J$2038,6)</f>
        <v>20270</v>
      </c>
      <c r="D4129" s="3" t="str">
        <f>VLOOKUP(B4129,LifeList!$E$2:$G$2038,1)</f>
        <v>Willie-wagtail</v>
      </c>
      <c r="E4129" s="3" t="str">
        <f>VLOOKUP(B4129,LifeList!$E$2:$G$2038,2)</f>
        <v>Rhipidure hochequeue</v>
      </c>
      <c r="F4129" s="3" t="str">
        <f>VLOOKUP(B4129,LifeList!$E$2:$G$2038,3)</f>
        <v>Rhipidura leucophrys</v>
      </c>
      <c r="G4129" s="3" t="str">
        <f>VLOOKUP(B4129,LifeList!$E$2:$I$2038,4)</f>
        <v>Passeriformes</v>
      </c>
      <c r="H4129" s="3" t="str">
        <f>VLOOKUP(B4129,LifeList!$E$2:$I$2038,5)</f>
        <v>Rhipiduridae (Fantails)</v>
      </c>
      <c r="I4129" s="3"/>
    </row>
    <row r="4130" spans="1:9" ht="10.5" customHeight="1">
      <c r="A4130" s="3" t="s">
        <v>5766</v>
      </c>
      <c r="B4130" s="3" t="s">
        <v>5764</v>
      </c>
      <c r="C4130" s="3">
        <f>VLOOKUP(B4130,LifeList!$E$2:$J$2038,6)</f>
        <v>20270</v>
      </c>
      <c r="D4130" s="3" t="str">
        <f>VLOOKUP(B4130,LifeList!$E$2:$G$2038,1)</f>
        <v>Willie-wagtail</v>
      </c>
      <c r="E4130" s="3" t="str">
        <f>VLOOKUP(B4130,LifeList!$E$2:$G$2038,2)</f>
        <v>Rhipidure hochequeue</v>
      </c>
      <c r="F4130" s="3" t="str">
        <f>VLOOKUP(B4130,LifeList!$E$2:$G$2038,3)</f>
        <v>Rhipidura leucophrys</v>
      </c>
      <c r="G4130" s="3" t="str">
        <f>VLOOKUP(B4130,LifeList!$E$2:$I$2038,4)</f>
        <v>Passeriformes</v>
      </c>
      <c r="H4130" s="3" t="str">
        <f>VLOOKUP(B4130,LifeList!$E$2:$I$2038,5)</f>
        <v>Rhipiduridae (Fantails)</v>
      </c>
      <c r="I4130" s="3"/>
    </row>
    <row r="4131" spans="1:9" ht="10.5" customHeight="1">
      <c r="A4131" s="5" t="s">
        <v>5767</v>
      </c>
      <c r="B4131" s="3" t="s">
        <v>5768</v>
      </c>
      <c r="C4131" s="3">
        <f>VLOOKUP(B4131,LifeList!$E$2:$J$2038,6)</f>
        <v>1354</v>
      </c>
      <c r="D4131" s="3" t="str">
        <f>VLOOKUP(B4131,LifeList!$E$2:$G$2038,1)</f>
        <v>Willow Ptarmigan</v>
      </c>
      <c r="E4131" s="3" t="str">
        <f>VLOOKUP(B4131,LifeList!$E$2:$G$2038,2)</f>
        <v>Lagopède des saules</v>
      </c>
      <c r="F4131" s="3" t="str">
        <f>VLOOKUP(B4131,LifeList!$E$2:$G$2038,3)</f>
        <v>Lagopus lagopus</v>
      </c>
      <c r="G4131" s="3" t="str">
        <f>VLOOKUP(B4131,LifeList!$E$2:$I$2038,4)</f>
        <v>Galliformes</v>
      </c>
      <c r="H4131" s="3" t="str">
        <f>VLOOKUP(B4131,LifeList!$E$2:$I$2038,5)</f>
        <v>Phasianidae (Pheasants, Grouse, and Allies)</v>
      </c>
      <c r="I4131" s="3"/>
    </row>
    <row r="4132" spans="1:9" ht="10.5" customHeight="1">
      <c r="A4132" s="5" t="s">
        <v>5769</v>
      </c>
      <c r="B4132" s="3" t="s">
        <v>5768</v>
      </c>
      <c r="C4132" s="3">
        <f>VLOOKUP(B4132,LifeList!$E$2:$J$2038,6)</f>
        <v>1354</v>
      </c>
      <c r="D4132" s="3" t="str">
        <f>VLOOKUP(B4132,LifeList!$E$2:$G$2038,1)</f>
        <v>Willow Ptarmigan</v>
      </c>
      <c r="E4132" s="3" t="str">
        <f>VLOOKUP(B4132,LifeList!$E$2:$G$2038,2)</f>
        <v>Lagopède des saules</v>
      </c>
      <c r="F4132" s="3" t="str">
        <f>VLOOKUP(B4132,LifeList!$E$2:$G$2038,3)</f>
        <v>Lagopus lagopus</v>
      </c>
      <c r="G4132" s="3" t="str">
        <f>VLOOKUP(B4132,LifeList!$E$2:$I$2038,4)</f>
        <v>Galliformes</v>
      </c>
      <c r="H4132" s="3" t="str">
        <f>VLOOKUP(B4132,LifeList!$E$2:$I$2038,5)</f>
        <v>Phasianidae (Pheasants, Grouse, and Allies)</v>
      </c>
      <c r="I4132" s="3"/>
    </row>
    <row r="4133" spans="1:9" ht="10.5" customHeight="1">
      <c r="A4133" s="5" t="s">
        <v>5770</v>
      </c>
      <c r="B4133" s="3" t="s">
        <v>5768</v>
      </c>
      <c r="C4133" s="3">
        <f>VLOOKUP(B4133,LifeList!$E$2:$J$2038,6)</f>
        <v>1354</v>
      </c>
      <c r="D4133" s="3" t="str">
        <f>VLOOKUP(B4133,LifeList!$E$2:$G$2038,1)</f>
        <v>Willow Ptarmigan</v>
      </c>
      <c r="E4133" s="3" t="str">
        <f>VLOOKUP(B4133,LifeList!$E$2:$G$2038,2)</f>
        <v>Lagopède des saules</v>
      </c>
      <c r="F4133" s="3" t="str">
        <f>VLOOKUP(B4133,LifeList!$E$2:$G$2038,3)</f>
        <v>Lagopus lagopus</v>
      </c>
      <c r="G4133" s="3" t="str">
        <f>VLOOKUP(B4133,LifeList!$E$2:$I$2038,4)</f>
        <v>Galliformes</v>
      </c>
      <c r="H4133" s="3" t="str">
        <f>VLOOKUP(B4133,LifeList!$E$2:$I$2038,5)</f>
        <v>Phasianidae (Pheasants, Grouse, and Allies)</v>
      </c>
      <c r="I4133" s="3"/>
    </row>
    <row r="4134" spans="1:9" ht="10.5" customHeight="1">
      <c r="A4134" s="5" t="s">
        <v>5771</v>
      </c>
      <c r="B4134" s="3" t="s">
        <v>5768</v>
      </c>
      <c r="C4134" s="3">
        <f>VLOOKUP(B4134,LifeList!$E$2:$J$2038,6)</f>
        <v>1354</v>
      </c>
      <c r="D4134" s="3" t="str">
        <f>VLOOKUP(B4134,LifeList!$E$2:$G$2038,1)</f>
        <v>Willow Ptarmigan</v>
      </c>
      <c r="E4134" s="3" t="str">
        <f>VLOOKUP(B4134,LifeList!$E$2:$G$2038,2)</f>
        <v>Lagopède des saules</v>
      </c>
      <c r="F4134" s="3" t="str">
        <f>VLOOKUP(B4134,LifeList!$E$2:$G$2038,3)</f>
        <v>Lagopus lagopus</v>
      </c>
      <c r="G4134" s="3" t="str">
        <f>VLOOKUP(B4134,LifeList!$E$2:$I$2038,4)</f>
        <v>Galliformes</v>
      </c>
      <c r="H4134" s="3" t="str">
        <f>VLOOKUP(B4134,LifeList!$E$2:$I$2038,5)</f>
        <v>Phasianidae (Pheasants, Grouse, and Allies)</v>
      </c>
      <c r="I4134" s="3"/>
    </row>
    <row r="4135" spans="1:9" ht="10.5" customHeight="1">
      <c r="A4135" s="3" t="s">
        <v>5772</v>
      </c>
      <c r="B4135" s="3" t="s">
        <v>5773</v>
      </c>
      <c r="C4135" s="3">
        <f>VLOOKUP(B4135,LifeList!$E$2:$J$2038,6)</f>
        <v>16952</v>
      </c>
      <c r="D4135" s="3" t="str">
        <f>VLOOKUP(B4135,LifeList!$E$2:$G$2038,1)</f>
        <v>Willow Flycatcher</v>
      </c>
      <c r="E4135" s="3" t="str">
        <f>VLOOKUP(B4135,LifeList!$E$2:$G$2038,2)</f>
        <v>Moucherolle des saules</v>
      </c>
      <c r="F4135" s="3" t="str">
        <f>VLOOKUP(B4135,LifeList!$E$2:$G$2038,3)</f>
        <v>Empidonax traillii</v>
      </c>
      <c r="G4135" s="3" t="str">
        <f>VLOOKUP(B4135,LifeList!$E$2:$I$2038,4)</f>
        <v>Passeriformes</v>
      </c>
      <c r="H4135" s="3" t="str">
        <f>VLOOKUP(B4135,LifeList!$E$2:$I$2038,5)</f>
        <v>Tyrannidae (Tyrant Flycatchers)</v>
      </c>
      <c r="I4135" s="3"/>
    </row>
    <row r="4136" spans="1:9" ht="10.5" customHeight="1">
      <c r="A4136" s="3" t="s">
        <v>5774</v>
      </c>
      <c r="B4136" s="3" t="s">
        <v>5773</v>
      </c>
      <c r="C4136" s="3">
        <f>VLOOKUP(B4136,LifeList!$E$2:$J$2038,6)</f>
        <v>16952</v>
      </c>
      <c r="D4136" s="3" t="str">
        <f>VLOOKUP(B4136,LifeList!$E$2:$G$2038,1)</f>
        <v>Willow Flycatcher</v>
      </c>
      <c r="E4136" s="3" t="str">
        <f>VLOOKUP(B4136,LifeList!$E$2:$G$2038,2)</f>
        <v>Moucherolle des saules</v>
      </c>
      <c r="F4136" s="3" t="str">
        <f>VLOOKUP(B4136,LifeList!$E$2:$G$2038,3)</f>
        <v>Empidonax traillii</v>
      </c>
      <c r="G4136" s="3" t="str">
        <f>VLOOKUP(B4136,LifeList!$E$2:$I$2038,4)</f>
        <v>Passeriformes</v>
      </c>
      <c r="H4136" s="3" t="str">
        <f>VLOOKUP(B4136,LifeList!$E$2:$I$2038,5)</f>
        <v>Tyrannidae (Tyrant Flycatchers)</v>
      </c>
      <c r="I4136" s="3"/>
    </row>
    <row r="4137" spans="1:9" ht="10.5" customHeight="1">
      <c r="A4137" s="3" t="s">
        <v>5775</v>
      </c>
      <c r="B4137" s="3" t="s">
        <v>5773</v>
      </c>
      <c r="C4137" s="3">
        <f>VLOOKUP(B4137,LifeList!$E$2:$J$2038,6)</f>
        <v>16952</v>
      </c>
      <c r="D4137" s="3" t="str">
        <f>VLOOKUP(B4137,LifeList!$E$2:$G$2038,1)</f>
        <v>Willow Flycatcher</v>
      </c>
      <c r="E4137" s="3" t="str">
        <f>VLOOKUP(B4137,LifeList!$E$2:$G$2038,2)</f>
        <v>Moucherolle des saules</v>
      </c>
      <c r="F4137" s="3" t="str">
        <f>VLOOKUP(B4137,LifeList!$E$2:$G$2038,3)</f>
        <v>Empidonax traillii</v>
      </c>
      <c r="G4137" s="3" t="str">
        <f>VLOOKUP(B4137,LifeList!$E$2:$I$2038,4)</f>
        <v>Passeriformes</v>
      </c>
      <c r="H4137" s="3" t="str">
        <f>VLOOKUP(B4137,LifeList!$E$2:$I$2038,5)</f>
        <v>Tyrannidae (Tyrant Flycatchers)</v>
      </c>
      <c r="I4137" s="3"/>
    </row>
    <row r="4138" spans="1:9" ht="10.5" customHeight="1">
      <c r="A4138" s="3" t="s">
        <v>5776</v>
      </c>
      <c r="B4138" s="3" t="s">
        <v>5773</v>
      </c>
      <c r="C4138" s="3">
        <f>VLOOKUP(B4138,LifeList!$E$2:$J$2038,6)</f>
        <v>16952</v>
      </c>
      <c r="D4138" s="3" t="str">
        <f>VLOOKUP(B4138,LifeList!$E$2:$G$2038,1)</f>
        <v>Willow Flycatcher</v>
      </c>
      <c r="E4138" s="3" t="str">
        <f>VLOOKUP(B4138,LifeList!$E$2:$G$2038,2)</f>
        <v>Moucherolle des saules</v>
      </c>
      <c r="F4138" s="3" t="str">
        <f>VLOOKUP(B4138,LifeList!$E$2:$G$2038,3)</f>
        <v>Empidonax traillii</v>
      </c>
      <c r="G4138" s="3" t="str">
        <f>VLOOKUP(B4138,LifeList!$E$2:$I$2038,4)</f>
        <v>Passeriformes</v>
      </c>
      <c r="H4138" s="3" t="str">
        <f>VLOOKUP(B4138,LifeList!$E$2:$I$2038,5)</f>
        <v>Tyrannidae (Tyrant Flycatchers)</v>
      </c>
      <c r="I4138" s="3"/>
    </row>
    <row r="4139" spans="1:9" ht="10.5" customHeight="1">
      <c r="A4139" s="3" t="s">
        <v>5777</v>
      </c>
      <c r="B4139" s="3" t="s">
        <v>5778</v>
      </c>
      <c r="C4139" s="3">
        <f>VLOOKUP(B4139,LifeList!$E$2:$J$2038,6)</f>
        <v>1354</v>
      </c>
      <c r="D4139" s="3" t="str">
        <f>VLOOKUP(B4139,LifeList!$E$2:$G$2038,1)</f>
        <v>Willow Ptarmigan</v>
      </c>
      <c r="E4139" s="3" t="str">
        <f>VLOOKUP(B4139,LifeList!$E$2:$G$2038,2)</f>
        <v>Lagopède des saules</v>
      </c>
      <c r="F4139" s="3" t="str">
        <f>VLOOKUP(B4139,LifeList!$E$2:$G$2038,3)</f>
        <v>Lagopus lagopus</v>
      </c>
      <c r="G4139" s="3" t="str">
        <f>VLOOKUP(B4139,LifeList!$E$2:$I$2038,4)</f>
        <v>Galliformes</v>
      </c>
      <c r="H4139" s="3" t="str">
        <f>VLOOKUP(B4139,LifeList!$E$2:$I$2038,5)</f>
        <v>Phasianidae (Pheasants, Grouse, and Allies)</v>
      </c>
      <c r="I4139" s="3"/>
    </row>
    <row r="4140" spans="1:9" ht="10.5" customHeight="1">
      <c r="A4140" s="3" t="s">
        <v>5779</v>
      </c>
      <c r="B4140" s="3" t="s">
        <v>5778</v>
      </c>
      <c r="C4140" s="3">
        <f>VLOOKUP(B4140,LifeList!$E$2:$J$2038,6)</f>
        <v>1354</v>
      </c>
      <c r="D4140" s="3" t="str">
        <f>VLOOKUP(B4140,LifeList!$E$2:$G$2038,1)</f>
        <v>Willow Ptarmigan</v>
      </c>
      <c r="E4140" s="3" t="str">
        <f>VLOOKUP(B4140,LifeList!$E$2:$G$2038,2)</f>
        <v>Lagopède des saules</v>
      </c>
      <c r="F4140" s="3" t="str">
        <f>VLOOKUP(B4140,LifeList!$E$2:$G$2038,3)</f>
        <v>Lagopus lagopus</v>
      </c>
      <c r="G4140" s="3" t="str">
        <f>VLOOKUP(B4140,LifeList!$E$2:$I$2038,4)</f>
        <v>Galliformes</v>
      </c>
      <c r="H4140" s="3" t="str">
        <f>VLOOKUP(B4140,LifeList!$E$2:$I$2038,5)</f>
        <v>Phasianidae (Pheasants, Grouse, and Allies)</v>
      </c>
      <c r="I4140" s="3"/>
    </row>
    <row r="4141" spans="1:9" ht="10.5" customHeight="1">
      <c r="A4141" s="5" t="s">
        <v>5780</v>
      </c>
      <c r="B4141" s="3" t="s">
        <v>5781</v>
      </c>
      <c r="C4141" s="3">
        <f>VLOOKUP(B4141,LifeList!$E$2:$J$2038,6)</f>
        <v>6104</v>
      </c>
      <c r="D4141" s="3" t="str">
        <f>VLOOKUP(B4141,LifeList!$E$2:$G$2038,1)</f>
        <v>Wilson's Snipe</v>
      </c>
      <c r="E4141" s="3" t="str">
        <f>VLOOKUP(B4141,LifeList!$E$2:$G$2038,2)</f>
        <v>Bécassine de Wilson</v>
      </c>
      <c r="F4141" s="3" t="str">
        <f>VLOOKUP(B4141,LifeList!$E$2:$G$2038,3)</f>
        <v>Gallinago delicata</v>
      </c>
      <c r="G4141" s="3" t="str">
        <f>VLOOKUP(B4141,LifeList!$E$2:$I$2038,4)</f>
        <v>Charadriiformes</v>
      </c>
      <c r="H4141" s="3" t="str">
        <f>VLOOKUP(B4141,LifeList!$E$2:$I$2038,5)</f>
        <v>Scolopacidae (Sandpipers and Allies)</v>
      </c>
      <c r="I4141" s="3"/>
    </row>
    <row r="4142" spans="1:9" ht="10.5" customHeight="1">
      <c r="A4142" s="3" t="s">
        <v>5782</v>
      </c>
      <c r="B4142" s="3" t="s">
        <v>5783</v>
      </c>
      <c r="C4142" s="3">
        <f>VLOOKUP(B4142,LifeList!$E$2:$J$2038,6)</f>
        <v>6119</v>
      </c>
      <c r="D4142" s="3" t="str">
        <f>VLOOKUP(B4142,LifeList!$E$2:$G$2038,1)</f>
        <v>Wilson's Phalarope</v>
      </c>
      <c r="E4142" s="3" t="str">
        <f>VLOOKUP(B4142,LifeList!$E$2:$G$2038,2)</f>
        <v>Phalarope de Wilson</v>
      </c>
      <c r="F4142" s="3" t="str">
        <f>VLOOKUP(B4142,LifeList!$E$2:$G$2038,3)</f>
        <v>Phalaropus tricolor</v>
      </c>
      <c r="G4142" s="3" t="str">
        <f>VLOOKUP(B4142,LifeList!$E$2:$I$2038,4)</f>
        <v>Charadriiformes</v>
      </c>
      <c r="H4142" s="3" t="str">
        <f>VLOOKUP(B4142,LifeList!$E$2:$I$2038,5)</f>
        <v>Scolopacidae (Sandpipers and Allies)</v>
      </c>
      <c r="I4142" s="3"/>
    </row>
    <row r="4143" spans="1:9" ht="10.5" customHeight="1">
      <c r="A4143" s="3" t="s">
        <v>5784</v>
      </c>
      <c r="B4143" s="3" t="s">
        <v>5783</v>
      </c>
      <c r="C4143" s="3">
        <f>VLOOKUP(B4143,LifeList!$E$2:$J$2038,6)</f>
        <v>6119</v>
      </c>
      <c r="D4143" s="3" t="str">
        <f>VLOOKUP(B4143,LifeList!$E$2:$G$2038,1)</f>
        <v>Wilson's Phalarope</v>
      </c>
      <c r="E4143" s="3" t="str">
        <f>VLOOKUP(B4143,LifeList!$E$2:$G$2038,2)</f>
        <v>Phalarope de Wilson</v>
      </c>
      <c r="F4143" s="3" t="str">
        <f>VLOOKUP(B4143,LifeList!$E$2:$G$2038,3)</f>
        <v>Phalaropus tricolor</v>
      </c>
      <c r="G4143" s="3" t="str">
        <f>VLOOKUP(B4143,LifeList!$E$2:$I$2038,4)</f>
        <v>Charadriiformes</v>
      </c>
      <c r="H4143" s="3" t="str">
        <f>VLOOKUP(B4143,LifeList!$E$2:$I$2038,5)</f>
        <v>Scolopacidae (Sandpipers and Allies)</v>
      </c>
      <c r="I4143" s="3"/>
    </row>
    <row r="4144" spans="1:9" ht="10.5" customHeight="1">
      <c r="A4144" s="3" t="s">
        <v>5785</v>
      </c>
      <c r="B4144" s="3" t="s">
        <v>5786</v>
      </c>
      <c r="C4144" s="3">
        <f>VLOOKUP(B4144,LifeList!$E$2:$J$2038,6)</f>
        <v>5928</v>
      </c>
      <c r="D4144" s="3" t="str">
        <f>VLOOKUP(B4144,LifeList!$E$2:$G$2038,1)</f>
        <v>Wilson's Plover</v>
      </c>
      <c r="E4144" s="3" t="str">
        <f>VLOOKUP(B4144,LifeList!$E$2:$G$2038,2)</f>
        <v>Pluvier de Wilson</v>
      </c>
      <c r="F4144" s="3" t="str">
        <f>VLOOKUP(B4144,LifeList!$E$2:$G$2038,3)</f>
        <v>Anarhynchus wilsonia</v>
      </c>
      <c r="G4144" s="3" t="str">
        <f>VLOOKUP(B4144,LifeList!$E$2:$I$2038,4)</f>
        <v>Charadriiformes</v>
      </c>
      <c r="H4144" s="3" t="str">
        <f>VLOOKUP(B4144,LifeList!$E$2:$I$2038,5)</f>
        <v>Charadriidae (Plovers and Lapwings)</v>
      </c>
      <c r="I4144" s="3"/>
    </row>
    <row r="4145" spans="1:9" ht="10.5" customHeight="1">
      <c r="A4145" s="3" t="s">
        <v>5787</v>
      </c>
      <c r="B4145" s="3" t="s">
        <v>5781</v>
      </c>
      <c r="C4145" s="3">
        <f>VLOOKUP(B4145,LifeList!$E$2:$J$2038,6)</f>
        <v>6104</v>
      </c>
      <c r="D4145" s="3" t="str">
        <f>VLOOKUP(B4145,LifeList!$E$2:$G$2038,1)</f>
        <v>Wilson's Snipe</v>
      </c>
      <c r="E4145" s="3" t="str">
        <f>VLOOKUP(B4145,LifeList!$E$2:$G$2038,2)</f>
        <v>Bécassine de Wilson</v>
      </c>
      <c r="F4145" s="3" t="str">
        <f>VLOOKUP(B4145,LifeList!$E$2:$G$2038,3)</f>
        <v>Gallinago delicata</v>
      </c>
      <c r="G4145" s="3" t="str">
        <f>VLOOKUP(B4145,LifeList!$E$2:$I$2038,4)</f>
        <v>Charadriiformes</v>
      </c>
      <c r="H4145" s="3" t="str">
        <f>VLOOKUP(B4145,LifeList!$E$2:$I$2038,5)</f>
        <v>Scolopacidae (Sandpipers and Allies)</v>
      </c>
      <c r="I4145" s="3"/>
    </row>
    <row r="4146" spans="1:9" ht="10.5" customHeight="1">
      <c r="A4146" s="3" t="s">
        <v>5788</v>
      </c>
      <c r="B4146" s="3" t="s">
        <v>5781</v>
      </c>
      <c r="C4146" s="3">
        <f>VLOOKUP(B4146,LifeList!$E$2:$J$2038,6)</f>
        <v>6104</v>
      </c>
      <c r="D4146" s="3" t="str">
        <f>VLOOKUP(B4146,LifeList!$E$2:$G$2038,1)</f>
        <v>Wilson's Snipe</v>
      </c>
      <c r="E4146" s="3" t="str">
        <f>VLOOKUP(B4146,LifeList!$E$2:$G$2038,2)</f>
        <v>Bécassine de Wilson</v>
      </c>
      <c r="F4146" s="3" t="str">
        <f>VLOOKUP(B4146,LifeList!$E$2:$G$2038,3)</f>
        <v>Gallinago delicata</v>
      </c>
      <c r="G4146" s="3" t="str">
        <f>VLOOKUP(B4146,LifeList!$E$2:$I$2038,4)</f>
        <v>Charadriiformes</v>
      </c>
      <c r="H4146" s="3" t="str">
        <f>VLOOKUP(B4146,LifeList!$E$2:$I$2038,5)</f>
        <v>Scolopacidae (Sandpipers and Allies)</v>
      </c>
      <c r="I4146" s="3"/>
    </row>
    <row r="4147" spans="1:9" ht="10.5" customHeight="1">
      <c r="A4147" s="3" t="s">
        <v>5789</v>
      </c>
      <c r="B4147" s="3" t="s">
        <v>5781</v>
      </c>
      <c r="C4147" s="3">
        <f>VLOOKUP(B4147,LifeList!$E$2:$J$2038,6)</f>
        <v>6104</v>
      </c>
      <c r="D4147" s="3" t="str">
        <f>VLOOKUP(B4147,LifeList!$E$2:$G$2038,1)</f>
        <v>Wilson's Snipe</v>
      </c>
      <c r="E4147" s="3" t="str">
        <f>VLOOKUP(B4147,LifeList!$E$2:$G$2038,2)</f>
        <v>Bécassine de Wilson</v>
      </c>
      <c r="F4147" s="3" t="str">
        <f>VLOOKUP(B4147,LifeList!$E$2:$G$2038,3)</f>
        <v>Gallinago delicata</v>
      </c>
      <c r="G4147" s="3" t="str">
        <f>VLOOKUP(B4147,LifeList!$E$2:$I$2038,4)</f>
        <v>Charadriiformes</v>
      </c>
      <c r="H4147" s="3" t="str">
        <f>VLOOKUP(B4147,LifeList!$E$2:$I$2038,5)</f>
        <v>Scolopacidae (Sandpipers and Allies)</v>
      </c>
      <c r="I4147" s="3"/>
    </row>
    <row r="4148" spans="1:9" ht="10.5" customHeight="1">
      <c r="A4148" s="3" t="s">
        <v>5790</v>
      </c>
      <c r="B4148" s="3" t="s">
        <v>5781</v>
      </c>
      <c r="C4148" s="3">
        <f>VLOOKUP(B4148,LifeList!$E$2:$J$2038,6)</f>
        <v>6104</v>
      </c>
      <c r="D4148" s="3" t="str">
        <f>VLOOKUP(B4148,LifeList!$E$2:$G$2038,1)</f>
        <v>Wilson's Snipe</v>
      </c>
      <c r="E4148" s="3" t="str">
        <f>VLOOKUP(B4148,LifeList!$E$2:$G$2038,2)</f>
        <v>Bécassine de Wilson</v>
      </c>
      <c r="F4148" s="3" t="str">
        <f>VLOOKUP(B4148,LifeList!$E$2:$G$2038,3)</f>
        <v>Gallinago delicata</v>
      </c>
      <c r="G4148" s="3" t="str">
        <f>VLOOKUP(B4148,LifeList!$E$2:$I$2038,4)</f>
        <v>Charadriiformes</v>
      </c>
      <c r="H4148" s="3" t="str">
        <f>VLOOKUP(B4148,LifeList!$E$2:$I$2038,5)</f>
        <v>Scolopacidae (Sandpipers and Allies)</v>
      </c>
      <c r="I4148" s="3"/>
    </row>
    <row r="4149" spans="1:9" ht="10.5" customHeight="1">
      <c r="A4149" s="3" t="s">
        <v>5791</v>
      </c>
      <c r="B4149" s="3" t="s">
        <v>5792</v>
      </c>
      <c r="C4149" s="3">
        <f>VLOOKUP(B4149,LifeList!$E$2:$J$2038,6)</f>
        <v>34346</v>
      </c>
      <c r="D4149" s="3" t="str">
        <f>VLOOKUP(B4149,LifeList!$E$2:$G$2038,1)</f>
        <v>Wilson's Warbler</v>
      </c>
      <c r="E4149" s="3" t="str">
        <f>VLOOKUP(B4149,LifeList!$E$2:$G$2038,2)</f>
        <v>Paruline à calotte noire</v>
      </c>
      <c r="F4149" s="3" t="str">
        <f>VLOOKUP(B4149,LifeList!$E$2:$G$2038,3)</f>
        <v>Cardellina pusilla</v>
      </c>
      <c r="G4149" s="3" t="str">
        <f>VLOOKUP(B4149,LifeList!$E$2:$I$2038,4)</f>
        <v>Passeriformes</v>
      </c>
      <c r="H4149" s="3" t="str">
        <f>VLOOKUP(B4149,LifeList!$E$2:$I$2038,5)</f>
        <v>Parulidae (New World Warblers)</v>
      </c>
      <c r="I4149" s="3"/>
    </row>
    <row r="4150" spans="1:9" ht="10.5" customHeight="1">
      <c r="A4150" s="3" t="s">
        <v>5793</v>
      </c>
      <c r="B4150" s="3" t="s">
        <v>5792</v>
      </c>
      <c r="C4150" s="3">
        <f>VLOOKUP(B4150,LifeList!$E$2:$J$2038,6)</f>
        <v>34346</v>
      </c>
      <c r="D4150" s="3" t="str">
        <f>VLOOKUP(B4150,LifeList!$E$2:$G$2038,1)</f>
        <v>Wilson's Warbler</v>
      </c>
      <c r="E4150" s="3" t="str">
        <f>VLOOKUP(B4150,LifeList!$E$2:$G$2038,2)</f>
        <v>Paruline à calotte noire</v>
      </c>
      <c r="F4150" s="3" t="str">
        <f>VLOOKUP(B4150,LifeList!$E$2:$G$2038,3)</f>
        <v>Cardellina pusilla</v>
      </c>
      <c r="G4150" s="3" t="str">
        <f>VLOOKUP(B4150,LifeList!$E$2:$I$2038,4)</f>
        <v>Passeriformes</v>
      </c>
      <c r="H4150" s="3" t="str">
        <f>VLOOKUP(B4150,LifeList!$E$2:$I$2038,5)</f>
        <v>Parulidae (New World Warblers)</v>
      </c>
      <c r="I4150" s="3"/>
    </row>
    <row r="4151" spans="1:9" ht="10.5" customHeight="1">
      <c r="A4151" s="3" t="s">
        <v>5794</v>
      </c>
      <c r="B4151" s="3" t="s">
        <v>5792</v>
      </c>
      <c r="C4151" s="3">
        <f>VLOOKUP(B4151,LifeList!$E$2:$J$2038,6)</f>
        <v>34346</v>
      </c>
      <c r="D4151" s="3" t="str">
        <f>VLOOKUP(B4151,LifeList!$E$2:$G$2038,1)</f>
        <v>Wilson's Warbler</v>
      </c>
      <c r="E4151" s="3" t="str">
        <f>VLOOKUP(B4151,LifeList!$E$2:$G$2038,2)</f>
        <v>Paruline à calotte noire</v>
      </c>
      <c r="F4151" s="3" t="str">
        <f>VLOOKUP(B4151,LifeList!$E$2:$G$2038,3)</f>
        <v>Cardellina pusilla</v>
      </c>
      <c r="G4151" s="3" t="str">
        <f>VLOOKUP(B4151,LifeList!$E$2:$I$2038,4)</f>
        <v>Passeriformes</v>
      </c>
      <c r="H4151" s="3" t="str">
        <f>VLOOKUP(B4151,LifeList!$E$2:$I$2038,5)</f>
        <v>Parulidae (New World Warblers)</v>
      </c>
      <c r="I4151" s="3"/>
    </row>
    <row r="4152" spans="1:9" ht="10.5" customHeight="1">
      <c r="A4152" s="3" t="s">
        <v>5795</v>
      </c>
      <c r="B4152" s="3" t="s">
        <v>5792</v>
      </c>
      <c r="C4152" s="3">
        <f>VLOOKUP(B4152,LifeList!$E$2:$J$2038,6)</f>
        <v>34346</v>
      </c>
      <c r="D4152" s="3" t="str">
        <f>VLOOKUP(B4152,LifeList!$E$2:$G$2038,1)</f>
        <v>Wilson's Warbler</v>
      </c>
      <c r="E4152" s="3" t="str">
        <f>VLOOKUP(B4152,LifeList!$E$2:$G$2038,2)</f>
        <v>Paruline à calotte noire</v>
      </c>
      <c r="F4152" s="3" t="str">
        <f>VLOOKUP(B4152,LifeList!$E$2:$G$2038,3)</f>
        <v>Cardellina pusilla</v>
      </c>
      <c r="G4152" s="3" t="str">
        <f>VLOOKUP(B4152,LifeList!$E$2:$I$2038,4)</f>
        <v>Passeriformes</v>
      </c>
      <c r="H4152" s="3" t="str">
        <f>VLOOKUP(B4152,LifeList!$E$2:$I$2038,5)</f>
        <v>Parulidae (New World Warblers)</v>
      </c>
      <c r="I4152" s="3"/>
    </row>
    <row r="4153" spans="1:9" ht="10.5" customHeight="1">
      <c r="A4153" s="3" t="s">
        <v>5796</v>
      </c>
      <c r="B4153" s="3" t="s">
        <v>5792</v>
      </c>
      <c r="C4153" s="3">
        <f>VLOOKUP(B4153,LifeList!$E$2:$J$2038,6)</f>
        <v>34346</v>
      </c>
      <c r="D4153" s="3" t="str">
        <f>VLOOKUP(B4153,LifeList!$E$2:$G$2038,1)</f>
        <v>Wilson's Warbler</v>
      </c>
      <c r="E4153" s="3" t="str">
        <f>VLOOKUP(B4153,LifeList!$E$2:$G$2038,2)</f>
        <v>Paruline à calotte noire</v>
      </c>
      <c r="F4153" s="3" t="str">
        <f>VLOOKUP(B4153,LifeList!$E$2:$G$2038,3)</f>
        <v>Cardellina pusilla</v>
      </c>
      <c r="G4153" s="3" t="str">
        <f>VLOOKUP(B4153,LifeList!$E$2:$I$2038,4)</f>
        <v>Passeriformes</v>
      </c>
      <c r="H4153" s="3" t="str">
        <f>VLOOKUP(B4153,LifeList!$E$2:$I$2038,5)</f>
        <v>Parulidae (New World Warblers)</v>
      </c>
      <c r="I4153" s="3"/>
    </row>
    <row r="4154" spans="1:9" ht="10.5" customHeight="1">
      <c r="A4154" s="3" t="s">
        <v>5797</v>
      </c>
      <c r="B4154" s="3" t="s">
        <v>5792</v>
      </c>
      <c r="C4154" s="3">
        <f>VLOOKUP(B4154,LifeList!$E$2:$J$2038,6)</f>
        <v>34346</v>
      </c>
      <c r="D4154" s="3" t="str">
        <f>VLOOKUP(B4154,LifeList!$E$2:$G$2038,1)</f>
        <v>Wilson's Warbler</v>
      </c>
      <c r="E4154" s="3" t="str">
        <f>VLOOKUP(B4154,LifeList!$E$2:$G$2038,2)</f>
        <v>Paruline à calotte noire</v>
      </c>
      <c r="F4154" s="3" t="str">
        <f>VLOOKUP(B4154,LifeList!$E$2:$G$2038,3)</f>
        <v>Cardellina pusilla</v>
      </c>
      <c r="G4154" s="3" t="str">
        <f>VLOOKUP(B4154,LifeList!$E$2:$I$2038,4)</f>
        <v>Passeriformes</v>
      </c>
      <c r="H4154" s="3" t="str">
        <f>VLOOKUP(B4154,LifeList!$E$2:$I$2038,5)</f>
        <v>Parulidae (New World Warblers)</v>
      </c>
      <c r="I4154" s="3"/>
    </row>
    <row r="4155" spans="1:9" ht="10.5" customHeight="1">
      <c r="A4155" s="3" t="s">
        <v>5798</v>
      </c>
      <c r="B4155" s="3" t="s">
        <v>5792</v>
      </c>
      <c r="C4155" s="3">
        <f>VLOOKUP(B4155,LifeList!$E$2:$J$2038,6)</f>
        <v>34346</v>
      </c>
      <c r="D4155" s="3" t="str">
        <f>VLOOKUP(B4155,LifeList!$E$2:$G$2038,1)</f>
        <v>Wilson's Warbler</v>
      </c>
      <c r="E4155" s="3" t="str">
        <f>VLOOKUP(B4155,LifeList!$E$2:$G$2038,2)</f>
        <v>Paruline à calotte noire</v>
      </c>
      <c r="F4155" s="3" t="str">
        <f>VLOOKUP(B4155,LifeList!$E$2:$G$2038,3)</f>
        <v>Cardellina pusilla</v>
      </c>
      <c r="G4155" s="3" t="str">
        <f>VLOOKUP(B4155,LifeList!$E$2:$I$2038,4)</f>
        <v>Passeriformes</v>
      </c>
      <c r="H4155" s="3" t="str">
        <f>VLOOKUP(B4155,LifeList!$E$2:$I$2038,5)</f>
        <v>Parulidae (New World Warblers)</v>
      </c>
      <c r="I4155" s="3"/>
    </row>
    <row r="4156" spans="1:9" ht="10.5" customHeight="1">
      <c r="A4156" s="7" t="s">
        <v>5799</v>
      </c>
      <c r="B4156" s="9" t="s">
        <v>5800</v>
      </c>
      <c r="C4156" s="6">
        <f>VLOOKUP(B4156,LifeList!$E$2:$J$2038,6)</f>
        <v>27295</v>
      </c>
      <c r="D4156" s="3" t="str">
        <f>VLOOKUP(B4156,LifeList!$E$2:$G$2038,1)</f>
        <v>Winter Wren</v>
      </c>
      <c r="E4156" s="3" t="str">
        <f>VLOOKUP(B4156,LifeList!$E$2:$G$2038,2)</f>
        <v>Troglodyte des forêts</v>
      </c>
      <c r="F4156" s="3" t="str">
        <f>VLOOKUP(B4156,LifeList!$E$2:$G$2038,3)</f>
        <v>Troglodytes hiemalis</v>
      </c>
      <c r="G4156" s="3" t="str">
        <f>VLOOKUP(B4156,LifeList!$E$2:$I$2038,4)</f>
        <v>Passeriformes</v>
      </c>
      <c r="H4156" s="3" t="str">
        <f>VLOOKUP(B4156,LifeList!$E$2:$I$2038,5)</f>
        <v>Troglodytidae (Wrens)</v>
      </c>
      <c r="I4156" s="3"/>
    </row>
    <row r="4157" spans="1:9" ht="10.5" customHeight="1">
      <c r="A4157" s="3" t="s">
        <v>5801</v>
      </c>
      <c r="B4157" s="3" t="s">
        <v>5802</v>
      </c>
      <c r="C4157" s="3">
        <f>VLOOKUP(B4157,LifeList!$E$2:$J$2038,6)</f>
        <v>455</v>
      </c>
      <c r="D4157" s="3" t="str">
        <f>VLOOKUP(B4157,LifeList!$E$2:$G$2038,1)</f>
        <v>Wood Duck</v>
      </c>
      <c r="E4157" s="3" t="str">
        <f>VLOOKUP(B4157,LifeList!$E$2:$G$2038,2)</f>
        <v>Canard branchu</v>
      </c>
      <c r="F4157" s="3" t="str">
        <f>VLOOKUP(B4157,LifeList!$E$2:$G$2038,3)</f>
        <v>Aix sponsa</v>
      </c>
      <c r="G4157" s="3" t="str">
        <f>VLOOKUP(B4157,LifeList!$E$2:$I$2038,4)</f>
        <v>Anseriformes</v>
      </c>
      <c r="H4157" s="3" t="str">
        <f>VLOOKUP(B4157,LifeList!$E$2:$I$2038,5)</f>
        <v>Anatidae (Ducks, Geese, and Waterfowl)</v>
      </c>
      <c r="I4157" s="3"/>
    </row>
    <row r="4158" spans="1:9" ht="10.5" customHeight="1">
      <c r="A4158" s="3" t="s">
        <v>5803</v>
      </c>
      <c r="B4158" s="3" t="s">
        <v>5802</v>
      </c>
      <c r="C4158" s="3">
        <f>VLOOKUP(B4158,LifeList!$E$2:$J$2038,6)</f>
        <v>455</v>
      </c>
      <c r="D4158" s="3" t="str">
        <f>VLOOKUP(B4158,LifeList!$E$2:$G$2038,1)</f>
        <v>Wood Duck</v>
      </c>
      <c r="E4158" s="3" t="str">
        <f>VLOOKUP(B4158,LifeList!$E$2:$G$2038,2)</f>
        <v>Canard branchu</v>
      </c>
      <c r="F4158" s="3" t="str">
        <f>VLOOKUP(B4158,LifeList!$E$2:$G$2038,3)</f>
        <v>Aix sponsa</v>
      </c>
      <c r="G4158" s="3" t="str">
        <f>VLOOKUP(B4158,LifeList!$E$2:$I$2038,4)</f>
        <v>Anseriformes</v>
      </c>
      <c r="H4158" s="3" t="str">
        <f>VLOOKUP(B4158,LifeList!$E$2:$I$2038,5)</f>
        <v>Anatidae (Ducks, Geese, and Waterfowl)</v>
      </c>
      <c r="I4158" s="3"/>
    </row>
    <row r="4159" spans="1:9" ht="10.5" customHeight="1">
      <c r="A4159" s="3" t="s">
        <v>5804</v>
      </c>
      <c r="B4159" s="3" t="s">
        <v>5802</v>
      </c>
      <c r="C4159" s="3">
        <f>VLOOKUP(B4159,LifeList!$E$2:$J$2038,6)</f>
        <v>455</v>
      </c>
      <c r="D4159" s="3" t="str">
        <f>VLOOKUP(B4159,LifeList!$E$2:$G$2038,1)</f>
        <v>Wood Duck</v>
      </c>
      <c r="E4159" s="3" t="str">
        <f>VLOOKUP(B4159,LifeList!$E$2:$G$2038,2)</f>
        <v>Canard branchu</v>
      </c>
      <c r="F4159" s="3" t="str">
        <f>VLOOKUP(B4159,LifeList!$E$2:$G$2038,3)</f>
        <v>Aix sponsa</v>
      </c>
      <c r="G4159" s="3" t="str">
        <f>VLOOKUP(B4159,LifeList!$E$2:$I$2038,4)</f>
        <v>Anseriformes</v>
      </c>
      <c r="H4159" s="3" t="str">
        <f>VLOOKUP(B4159,LifeList!$E$2:$I$2038,5)</f>
        <v>Anatidae (Ducks, Geese, and Waterfowl)</v>
      </c>
      <c r="I4159" s="3"/>
    </row>
    <row r="4160" spans="1:9" ht="10.5" customHeight="1">
      <c r="A4160" s="3" t="s">
        <v>5805</v>
      </c>
      <c r="B4160" s="3" t="s">
        <v>5802</v>
      </c>
      <c r="C4160" s="3">
        <f>VLOOKUP(B4160,LifeList!$E$2:$J$2038,6)</f>
        <v>455</v>
      </c>
      <c r="D4160" s="3" t="str">
        <f>VLOOKUP(B4160,LifeList!$E$2:$G$2038,1)</f>
        <v>Wood Duck</v>
      </c>
      <c r="E4160" s="3" t="str">
        <f>VLOOKUP(B4160,LifeList!$E$2:$G$2038,2)</f>
        <v>Canard branchu</v>
      </c>
      <c r="F4160" s="3" t="str">
        <f>VLOOKUP(B4160,LifeList!$E$2:$G$2038,3)</f>
        <v>Aix sponsa</v>
      </c>
      <c r="G4160" s="3" t="str">
        <f>VLOOKUP(B4160,LifeList!$E$2:$I$2038,4)</f>
        <v>Anseriformes</v>
      </c>
      <c r="H4160" s="3" t="str">
        <f>VLOOKUP(B4160,LifeList!$E$2:$I$2038,5)</f>
        <v>Anatidae (Ducks, Geese, and Waterfowl)</v>
      </c>
      <c r="I4160" s="3"/>
    </row>
    <row r="4161" spans="1:9" ht="10.5" customHeight="1">
      <c r="A4161" s="3" t="s">
        <v>5806</v>
      </c>
      <c r="B4161" s="3" t="s">
        <v>5802</v>
      </c>
      <c r="C4161" s="3">
        <f>VLOOKUP(B4161,LifeList!$E$2:$J$2038,6)</f>
        <v>455</v>
      </c>
      <c r="D4161" s="3" t="str">
        <f>VLOOKUP(B4161,LifeList!$E$2:$G$2038,1)</f>
        <v>Wood Duck</v>
      </c>
      <c r="E4161" s="3" t="str">
        <f>VLOOKUP(B4161,LifeList!$E$2:$G$2038,2)</f>
        <v>Canard branchu</v>
      </c>
      <c r="F4161" s="3" t="str">
        <f>VLOOKUP(B4161,LifeList!$E$2:$G$2038,3)</f>
        <v>Aix sponsa</v>
      </c>
      <c r="G4161" s="3" t="str">
        <f>VLOOKUP(B4161,LifeList!$E$2:$I$2038,4)</f>
        <v>Anseriformes</v>
      </c>
      <c r="H4161" s="3" t="str">
        <f>VLOOKUP(B4161,LifeList!$E$2:$I$2038,5)</f>
        <v>Anatidae (Ducks, Geese, and Waterfowl)</v>
      </c>
      <c r="I4161" s="3"/>
    </row>
    <row r="4162" spans="1:9" ht="10.5" customHeight="1">
      <c r="A4162" s="3" t="s">
        <v>5807</v>
      </c>
      <c r="B4162" s="3" t="s">
        <v>5802</v>
      </c>
      <c r="C4162" s="3">
        <f>VLOOKUP(B4162,LifeList!$E$2:$J$2038,6)</f>
        <v>455</v>
      </c>
      <c r="D4162" s="3" t="str">
        <f>VLOOKUP(B4162,LifeList!$E$2:$G$2038,1)</f>
        <v>Wood Duck</v>
      </c>
      <c r="E4162" s="3" t="str">
        <f>VLOOKUP(B4162,LifeList!$E$2:$G$2038,2)</f>
        <v>Canard branchu</v>
      </c>
      <c r="F4162" s="3" t="str">
        <f>VLOOKUP(B4162,LifeList!$E$2:$G$2038,3)</f>
        <v>Aix sponsa</v>
      </c>
      <c r="G4162" s="3" t="str">
        <f>VLOOKUP(B4162,LifeList!$E$2:$I$2038,4)</f>
        <v>Anseriformes</v>
      </c>
      <c r="H4162" s="3" t="str">
        <f>VLOOKUP(B4162,LifeList!$E$2:$I$2038,5)</f>
        <v>Anatidae (Ducks, Geese, and Waterfowl)</v>
      </c>
      <c r="I4162" s="3"/>
    </row>
    <row r="4163" spans="1:9" ht="10.5" customHeight="1">
      <c r="A4163" s="3" t="s">
        <v>5808</v>
      </c>
      <c r="B4163" s="3" t="s">
        <v>5802</v>
      </c>
      <c r="C4163" s="3">
        <f>VLOOKUP(B4163,LifeList!$E$2:$J$2038,6)</f>
        <v>455</v>
      </c>
      <c r="D4163" s="3" t="str">
        <f>VLOOKUP(B4163,LifeList!$E$2:$G$2038,1)</f>
        <v>Wood Duck</v>
      </c>
      <c r="E4163" s="3" t="str">
        <f>VLOOKUP(B4163,LifeList!$E$2:$G$2038,2)</f>
        <v>Canard branchu</v>
      </c>
      <c r="F4163" s="3" t="str">
        <f>VLOOKUP(B4163,LifeList!$E$2:$G$2038,3)</f>
        <v>Aix sponsa</v>
      </c>
      <c r="G4163" s="3" t="str">
        <f>VLOOKUP(B4163,LifeList!$E$2:$I$2038,4)</f>
        <v>Anseriformes</v>
      </c>
      <c r="H4163" s="3" t="str">
        <f>VLOOKUP(B4163,LifeList!$E$2:$I$2038,5)</f>
        <v>Anatidae (Ducks, Geese, and Waterfowl)</v>
      </c>
      <c r="I4163" s="3"/>
    </row>
    <row r="4164" spans="1:9" ht="10.5" customHeight="1">
      <c r="A4164" s="3" t="s">
        <v>5809</v>
      </c>
      <c r="B4164" s="3" t="s">
        <v>5810</v>
      </c>
      <c r="C4164" s="3">
        <f>VLOOKUP(B4164,LifeList!$E$2:$J$2038,6)</f>
        <v>7306</v>
      </c>
      <c r="D4164" s="3" t="str">
        <f>VLOOKUP(B4164,LifeList!$E$2:$G$2038,1)</f>
        <v>Wood Stork</v>
      </c>
      <c r="E4164" s="3" t="str">
        <f>VLOOKUP(B4164,LifeList!$E$2:$G$2038,2)</f>
        <v>Tantale d'Amérique</v>
      </c>
      <c r="F4164" s="3" t="str">
        <f>VLOOKUP(B4164,LifeList!$E$2:$G$2038,3)</f>
        <v>Mycteria americana</v>
      </c>
      <c r="G4164" s="3" t="str">
        <f>VLOOKUP(B4164,LifeList!$E$2:$I$2038,4)</f>
        <v>Ciconiiformes</v>
      </c>
      <c r="H4164" s="3" t="str">
        <f>VLOOKUP(B4164,LifeList!$E$2:$I$2038,5)</f>
        <v>Ciconiidae (Storks)</v>
      </c>
      <c r="I4164" s="3"/>
    </row>
    <row r="4165" spans="1:9" ht="10.5" customHeight="1">
      <c r="A4165" s="3" t="s">
        <v>5811</v>
      </c>
      <c r="B4165" s="3" t="s">
        <v>5810</v>
      </c>
      <c r="C4165" s="3">
        <f>VLOOKUP(B4165,LifeList!$E$2:$J$2038,6)</f>
        <v>7306</v>
      </c>
      <c r="D4165" s="3" t="str">
        <f>VLOOKUP(B4165,LifeList!$E$2:$G$2038,1)</f>
        <v>Wood Stork</v>
      </c>
      <c r="E4165" s="3" t="str">
        <f>VLOOKUP(B4165,LifeList!$E$2:$G$2038,2)</f>
        <v>Tantale d'Amérique</v>
      </c>
      <c r="F4165" s="3" t="str">
        <f>VLOOKUP(B4165,LifeList!$E$2:$G$2038,3)</f>
        <v>Mycteria americana</v>
      </c>
      <c r="G4165" s="3" t="str">
        <f>VLOOKUP(B4165,LifeList!$E$2:$I$2038,4)</f>
        <v>Ciconiiformes</v>
      </c>
      <c r="H4165" s="3" t="str">
        <f>VLOOKUP(B4165,LifeList!$E$2:$I$2038,5)</f>
        <v>Ciconiidae (Storks)</v>
      </c>
      <c r="I4165" s="3"/>
    </row>
    <row r="4166" spans="1:9" ht="10.5" customHeight="1">
      <c r="A4166" s="3" t="s">
        <v>5812</v>
      </c>
      <c r="B4166" s="3" t="s">
        <v>5810</v>
      </c>
      <c r="C4166" s="3">
        <f>VLOOKUP(B4166,LifeList!$E$2:$J$2038,6)</f>
        <v>7306</v>
      </c>
      <c r="D4166" s="3" t="str">
        <f>VLOOKUP(B4166,LifeList!$E$2:$G$2038,1)</f>
        <v>Wood Stork</v>
      </c>
      <c r="E4166" s="3" t="str">
        <f>VLOOKUP(B4166,LifeList!$E$2:$G$2038,2)</f>
        <v>Tantale d'Amérique</v>
      </c>
      <c r="F4166" s="3" t="str">
        <f>VLOOKUP(B4166,LifeList!$E$2:$G$2038,3)</f>
        <v>Mycteria americana</v>
      </c>
      <c r="G4166" s="3" t="str">
        <f>VLOOKUP(B4166,LifeList!$E$2:$I$2038,4)</f>
        <v>Ciconiiformes</v>
      </c>
      <c r="H4166" s="3" t="str">
        <f>VLOOKUP(B4166,LifeList!$E$2:$I$2038,5)</f>
        <v>Ciconiidae (Storks)</v>
      </c>
      <c r="I4166" s="3"/>
    </row>
    <row r="4167" spans="1:9" ht="10.5" customHeight="1">
      <c r="A4167" s="3" t="s">
        <v>5813</v>
      </c>
      <c r="B4167" s="3" t="s">
        <v>5810</v>
      </c>
      <c r="C4167" s="3">
        <f>VLOOKUP(B4167,LifeList!$E$2:$J$2038,6)</f>
        <v>7306</v>
      </c>
      <c r="D4167" s="3" t="str">
        <f>VLOOKUP(B4167,LifeList!$E$2:$G$2038,1)</f>
        <v>Wood Stork</v>
      </c>
      <c r="E4167" s="3" t="str">
        <f>VLOOKUP(B4167,LifeList!$E$2:$G$2038,2)</f>
        <v>Tantale d'Amérique</v>
      </c>
      <c r="F4167" s="3" t="str">
        <f>VLOOKUP(B4167,LifeList!$E$2:$G$2038,3)</f>
        <v>Mycteria americana</v>
      </c>
      <c r="G4167" s="3" t="str">
        <f>VLOOKUP(B4167,LifeList!$E$2:$I$2038,4)</f>
        <v>Ciconiiformes</v>
      </c>
      <c r="H4167" s="3" t="str">
        <f>VLOOKUP(B4167,LifeList!$E$2:$I$2038,5)</f>
        <v>Ciconiidae (Storks)</v>
      </c>
      <c r="I4167" s="3"/>
    </row>
    <row r="4168" spans="1:9" ht="10.5" customHeight="1">
      <c r="A4168" s="3" t="s">
        <v>5814</v>
      </c>
      <c r="B4168" s="3" t="s">
        <v>5810</v>
      </c>
      <c r="C4168" s="3">
        <f>VLOOKUP(B4168,LifeList!$E$2:$J$2038,6)</f>
        <v>7306</v>
      </c>
      <c r="D4168" s="3" t="str">
        <f>VLOOKUP(B4168,LifeList!$E$2:$G$2038,1)</f>
        <v>Wood Stork</v>
      </c>
      <c r="E4168" s="3" t="str">
        <f>VLOOKUP(B4168,LifeList!$E$2:$G$2038,2)</f>
        <v>Tantale d'Amérique</v>
      </c>
      <c r="F4168" s="3" t="str">
        <f>VLOOKUP(B4168,LifeList!$E$2:$G$2038,3)</f>
        <v>Mycteria americana</v>
      </c>
      <c r="G4168" s="3" t="str">
        <f>VLOOKUP(B4168,LifeList!$E$2:$I$2038,4)</f>
        <v>Ciconiiformes</v>
      </c>
      <c r="H4168" s="3" t="str">
        <f>VLOOKUP(B4168,LifeList!$E$2:$I$2038,5)</f>
        <v>Ciconiidae (Storks)</v>
      </c>
      <c r="I4168" s="3"/>
    </row>
    <row r="4169" spans="1:9" ht="10.5" customHeight="1">
      <c r="A4169" s="3" t="s">
        <v>5815</v>
      </c>
      <c r="B4169" s="3" t="s">
        <v>5810</v>
      </c>
      <c r="C4169" s="3">
        <f>VLOOKUP(B4169,LifeList!$E$2:$J$2038,6)</f>
        <v>7306</v>
      </c>
      <c r="D4169" s="3" t="str">
        <f>VLOOKUP(B4169,LifeList!$E$2:$G$2038,1)</f>
        <v>Wood Stork</v>
      </c>
      <c r="E4169" s="3" t="str">
        <f>VLOOKUP(B4169,LifeList!$E$2:$G$2038,2)</f>
        <v>Tantale d'Amérique</v>
      </c>
      <c r="F4169" s="3" t="str">
        <f>VLOOKUP(B4169,LifeList!$E$2:$G$2038,3)</f>
        <v>Mycteria americana</v>
      </c>
      <c r="G4169" s="3" t="str">
        <f>VLOOKUP(B4169,LifeList!$E$2:$I$2038,4)</f>
        <v>Ciconiiformes</v>
      </c>
      <c r="H4169" s="3" t="str">
        <f>VLOOKUP(B4169,LifeList!$E$2:$I$2038,5)</f>
        <v>Ciconiidae (Storks)</v>
      </c>
      <c r="I4169" s="3"/>
    </row>
    <row r="4170" spans="1:9" ht="10.5" customHeight="1">
      <c r="A4170" s="3" t="s">
        <v>5816</v>
      </c>
      <c r="B4170" s="3" t="s">
        <v>5810</v>
      </c>
      <c r="C4170" s="3">
        <f>VLOOKUP(B4170,LifeList!$E$2:$J$2038,6)</f>
        <v>7306</v>
      </c>
      <c r="D4170" s="3" t="str">
        <f>VLOOKUP(B4170,LifeList!$E$2:$G$2038,1)</f>
        <v>Wood Stork</v>
      </c>
      <c r="E4170" s="3" t="str">
        <f>VLOOKUP(B4170,LifeList!$E$2:$G$2038,2)</f>
        <v>Tantale d'Amérique</v>
      </c>
      <c r="F4170" s="3" t="str">
        <f>VLOOKUP(B4170,LifeList!$E$2:$G$2038,3)</f>
        <v>Mycteria americana</v>
      </c>
      <c r="G4170" s="3" t="str">
        <f>VLOOKUP(B4170,LifeList!$E$2:$I$2038,4)</f>
        <v>Ciconiiformes</v>
      </c>
      <c r="H4170" s="3" t="str">
        <f>VLOOKUP(B4170,LifeList!$E$2:$I$2038,5)</f>
        <v>Ciconiidae (Storks)</v>
      </c>
      <c r="I4170" s="3"/>
    </row>
    <row r="4171" spans="1:9" ht="10.5" customHeight="1">
      <c r="A4171" s="3" t="s">
        <v>5817</v>
      </c>
      <c r="B4171" s="3" t="s">
        <v>5810</v>
      </c>
      <c r="C4171" s="3">
        <f>VLOOKUP(B4171,LifeList!$E$2:$J$2038,6)</f>
        <v>7306</v>
      </c>
      <c r="D4171" s="3" t="str">
        <f>VLOOKUP(B4171,LifeList!$E$2:$G$2038,1)</f>
        <v>Wood Stork</v>
      </c>
      <c r="E4171" s="3" t="str">
        <f>VLOOKUP(B4171,LifeList!$E$2:$G$2038,2)</f>
        <v>Tantale d'Amérique</v>
      </c>
      <c r="F4171" s="3" t="str">
        <f>VLOOKUP(B4171,LifeList!$E$2:$G$2038,3)</f>
        <v>Mycteria americana</v>
      </c>
      <c r="G4171" s="3" t="str">
        <f>VLOOKUP(B4171,LifeList!$E$2:$I$2038,4)</f>
        <v>Ciconiiformes</v>
      </c>
      <c r="H4171" s="3" t="str">
        <f>VLOOKUP(B4171,LifeList!$E$2:$I$2038,5)</f>
        <v>Ciconiidae (Storks)</v>
      </c>
      <c r="I4171" s="3"/>
    </row>
    <row r="4172" spans="1:9" ht="10.5" customHeight="1">
      <c r="A4172" s="3" t="s">
        <v>5818</v>
      </c>
      <c r="B4172" s="3" t="s">
        <v>5810</v>
      </c>
      <c r="C4172" s="3">
        <f>VLOOKUP(B4172,LifeList!$E$2:$J$2038,6)</f>
        <v>7306</v>
      </c>
      <c r="D4172" s="3" t="str">
        <f>VLOOKUP(B4172,LifeList!$E$2:$G$2038,1)</f>
        <v>Wood Stork</v>
      </c>
      <c r="E4172" s="3" t="str">
        <f>VLOOKUP(B4172,LifeList!$E$2:$G$2038,2)</f>
        <v>Tantale d'Amérique</v>
      </c>
      <c r="F4172" s="3" t="str">
        <f>VLOOKUP(B4172,LifeList!$E$2:$G$2038,3)</f>
        <v>Mycteria americana</v>
      </c>
      <c r="G4172" s="3" t="str">
        <f>VLOOKUP(B4172,LifeList!$E$2:$I$2038,4)</f>
        <v>Ciconiiformes</v>
      </c>
      <c r="H4172" s="3" t="str">
        <f>VLOOKUP(B4172,LifeList!$E$2:$I$2038,5)</f>
        <v>Ciconiidae (Storks)</v>
      </c>
      <c r="I4172" s="3"/>
    </row>
    <row r="4173" spans="1:9" ht="10.5" customHeight="1">
      <c r="A4173" s="3" t="s">
        <v>5819</v>
      </c>
      <c r="B4173" s="3" t="s">
        <v>5810</v>
      </c>
      <c r="C4173" s="3">
        <f>VLOOKUP(B4173,LifeList!$E$2:$J$2038,6)</f>
        <v>7306</v>
      </c>
      <c r="D4173" s="3" t="str">
        <f>VLOOKUP(B4173,LifeList!$E$2:$G$2038,1)</f>
        <v>Wood Stork</v>
      </c>
      <c r="E4173" s="3" t="str">
        <f>VLOOKUP(B4173,LifeList!$E$2:$G$2038,2)</f>
        <v>Tantale d'Amérique</v>
      </c>
      <c r="F4173" s="3" t="str">
        <f>VLOOKUP(B4173,LifeList!$E$2:$G$2038,3)</f>
        <v>Mycteria americana</v>
      </c>
      <c r="G4173" s="3" t="str">
        <f>VLOOKUP(B4173,LifeList!$E$2:$I$2038,4)</f>
        <v>Ciconiiformes</v>
      </c>
      <c r="H4173" s="3" t="str">
        <f>VLOOKUP(B4173,LifeList!$E$2:$I$2038,5)</f>
        <v>Ciconiidae (Storks)</v>
      </c>
      <c r="I4173" s="3"/>
    </row>
    <row r="4174" spans="1:9" ht="10.5" customHeight="1">
      <c r="A4174" s="3" t="s">
        <v>5820</v>
      </c>
      <c r="B4174" s="3" t="s">
        <v>5810</v>
      </c>
      <c r="C4174" s="3">
        <f>VLOOKUP(B4174,LifeList!$E$2:$J$2038,6)</f>
        <v>7306</v>
      </c>
      <c r="D4174" s="3" t="str">
        <f>VLOOKUP(B4174,LifeList!$E$2:$G$2038,1)</f>
        <v>Wood Stork</v>
      </c>
      <c r="E4174" s="3" t="str">
        <f>VLOOKUP(B4174,LifeList!$E$2:$G$2038,2)</f>
        <v>Tantale d'Amérique</v>
      </c>
      <c r="F4174" s="3" t="str">
        <f>VLOOKUP(B4174,LifeList!$E$2:$G$2038,3)</f>
        <v>Mycteria americana</v>
      </c>
      <c r="G4174" s="3" t="str">
        <f>VLOOKUP(B4174,LifeList!$E$2:$I$2038,4)</f>
        <v>Ciconiiformes</v>
      </c>
      <c r="H4174" s="3" t="str">
        <f>VLOOKUP(B4174,LifeList!$E$2:$I$2038,5)</f>
        <v>Ciconiidae (Storks)</v>
      </c>
      <c r="I4174" s="3"/>
    </row>
    <row r="4175" spans="1:9" ht="10.5" customHeight="1">
      <c r="A4175" s="3" t="s">
        <v>5821</v>
      </c>
      <c r="B4175" s="3" t="s">
        <v>5822</v>
      </c>
      <c r="C4175" s="3">
        <f>VLOOKUP(B4175,LifeList!$E$2:$J$2038,6)</f>
        <v>28347</v>
      </c>
      <c r="D4175" s="3" t="str">
        <f>VLOOKUP(B4175,LifeList!$E$2:$G$2038,1)</f>
        <v>Wood Thrush</v>
      </c>
      <c r="E4175" s="3" t="str">
        <f>VLOOKUP(B4175,LifeList!$E$2:$G$2038,2)</f>
        <v>Grive des bois</v>
      </c>
      <c r="F4175" s="3" t="str">
        <f>VLOOKUP(B4175,LifeList!$E$2:$G$2038,3)</f>
        <v>Hylocichla mustelina</v>
      </c>
      <c r="G4175" s="3" t="str">
        <f>VLOOKUP(B4175,LifeList!$E$2:$I$2038,4)</f>
        <v>Passeriformes</v>
      </c>
      <c r="H4175" s="3" t="str">
        <f>VLOOKUP(B4175,LifeList!$E$2:$I$2038,5)</f>
        <v>Turdidae (Thrushes and Allies)</v>
      </c>
      <c r="I4175" s="3"/>
    </row>
    <row r="4176" spans="1:9" ht="10.5" customHeight="1">
      <c r="A4176" s="3" t="s">
        <v>5823</v>
      </c>
      <c r="B4176" s="3" t="s">
        <v>5822</v>
      </c>
      <c r="C4176" s="3">
        <f>VLOOKUP(B4176,LifeList!$E$2:$J$2038,6)</f>
        <v>28347</v>
      </c>
      <c r="D4176" s="3" t="str">
        <f>VLOOKUP(B4176,LifeList!$E$2:$G$2038,1)</f>
        <v>Wood Thrush</v>
      </c>
      <c r="E4176" s="3" t="str">
        <f>VLOOKUP(B4176,LifeList!$E$2:$G$2038,2)</f>
        <v>Grive des bois</v>
      </c>
      <c r="F4176" s="3" t="str">
        <f>VLOOKUP(B4176,LifeList!$E$2:$G$2038,3)</f>
        <v>Hylocichla mustelina</v>
      </c>
      <c r="G4176" s="3" t="str">
        <f>VLOOKUP(B4176,LifeList!$E$2:$I$2038,4)</f>
        <v>Passeriformes</v>
      </c>
      <c r="H4176" s="3" t="str">
        <f>VLOOKUP(B4176,LifeList!$E$2:$I$2038,5)</f>
        <v>Turdidae (Thrushes and Allies)</v>
      </c>
      <c r="I4176" s="3"/>
    </row>
    <row r="4177" spans="1:9" ht="10.5" customHeight="1">
      <c r="A4177" s="3" t="s">
        <v>5824</v>
      </c>
      <c r="B4177" s="3" t="s">
        <v>5822</v>
      </c>
      <c r="C4177" s="3">
        <f>VLOOKUP(B4177,LifeList!$E$2:$J$2038,6)</f>
        <v>28347</v>
      </c>
      <c r="D4177" s="3" t="str">
        <f>VLOOKUP(B4177,LifeList!$E$2:$G$2038,1)</f>
        <v>Wood Thrush</v>
      </c>
      <c r="E4177" s="3" t="str">
        <f>VLOOKUP(B4177,LifeList!$E$2:$G$2038,2)</f>
        <v>Grive des bois</v>
      </c>
      <c r="F4177" s="3" t="str">
        <f>VLOOKUP(B4177,LifeList!$E$2:$G$2038,3)</f>
        <v>Hylocichla mustelina</v>
      </c>
      <c r="G4177" s="3" t="str">
        <f>VLOOKUP(B4177,LifeList!$E$2:$I$2038,4)</f>
        <v>Passeriformes</v>
      </c>
      <c r="H4177" s="3" t="str">
        <f>VLOOKUP(B4177,LifeList!$E$2:$I$2038,5)</f>
        <v>Turdidae (Thrushes and Allies)</v>
      </c>
      <c r="I4177" s="3"/>
    </row>
    <row r="4178" spans="1:9" ht="10.5" customHeight="1">
      <c r="A4178" s="3" t="s">
        <v>5825</v>
      </c>
      <c r="B4178" s="3" t="s">
        <v>5822</v>
      </c>
      <c r="C4178" s="3">
        <f>VLOOKUP(B4178,LifeList!$E$2:$J$2038,6)</f>
        <v>28347</v>
      </c>
      <c r="D4178" s="3" t="str">
        <f>VLOOKUP(B4178,LifeList!$E$2:$G$2038,1)</f>
        <v>Wood Thrush</v>
      </c>
      <c r="E4178" s="3" t="str">
        <f>VLOOKUP(B4178,LifeList!$E$2:$G$2038,2)</f>
        <v>Grive des bois</v>
      </c>
      <c r="F4178" s="3" t="str">
        <f>VLOOKUP(B4178,LifeList!$E$2:$G$2038,3)</f>
        <v>Hylocichla mustelina</v>
      </c>
      <c r="G4178" s="3" t="str">
        <f>VLOOKUP(B4178,LifeList!$E$2:$I$2038,4)</f>
        <v>Passeriformes</v>
      </c>
      <c r="H4178" s="3" t="str">
        <f>VLOOKUP(B4178,LifeList!$E$2:$I$2038,5)</f>
        <v>Turdidae (Thrushes and Allies)</v>
      </c>
      <c r="I4178" s="3"/>
    </row>
    <row r="4179" spans="1:9" ht="10.5" customHeight="1">
      <c r="A4179" s="3" t="s">
        <v>5826</v>
      </c>
      <c r="B4179" s="3" t="s">
        <v>5822</v>
      </c>
      <c r="C4179" s="3">
        <f>VLOOKUP(B4179,LifeList!$E$2:$J$2038,6)</f>
        <v>28347</v>
      </c>
      <c r="D4179" s="3" t="str">
        <f>VLOOKUP(B4179,LifeList!$E$2:$G$2038,1)</f>
        <v>Wood Thrush</v>
      </c>
      <c r="E4179" s="3" t="str">
        <f>VLOOKUP(B4179,LifeList!$E$2:$G$2038,2)</f>
        <v>Grive des bois</v>
      </c>
      <c r="F4179" s="3" t="str">
        <f>VLOOKUP(B4179,LifeList!$E$2:$G$2038,3)</f>
        <v>Hylocichla mustelina</v>
      </c>
      <c r="G4179" s="3" t="str">
        <f>VLOOKUP(B4179,LifeList!$E$2:$I$2038,4)</f>
        <v>Passeriformes</v>
      </c>
      <c r="H4179" s="3" t="str">
        <f>VLOOKUP(B4179,LifeList!$E$2:$I$2038,5)</f>
        <v>Turdidae (Thrushes and Allies)</v>
      </c>
      <c r="I4179" s="3"/>
    </row>
    <row r="4180" spans="1:9" ht="10.5" customHeight="1">
      <c r="A4180" s="3" t="s">
        <v>5827</v>
      </c>
      <c r="B4180" s="3" t="s">
        <v>5822</v>
      </c>
      <c r="C4180" s="3">
        <f>VLOOKUP(B4180,LifeList!$E$2:$J$2038,6)</f>
        <v>28347</v>
      </c>
      <c r="D4180" s="3" t="str">
        <f>VLOOKUP(B4180,LifeList!$E$2:$G$2038,1)</f>
        <v>Wood Thrush</v>
      </c>
      <c r="E4180" s="3" t="str">
        <f>VLOOKUP(B4180,LifeList!$E$2:$G$2038,2)</f>
        <v>Grive des bois</v>
      </c>
      <c r="F4180" s="3" t="str">
        <f>VLOOKUP(B4180,LifeList!$E$2:$G$2038,3)</f>
        <v>Hylocichla mustelina</v>
      </c>
      <c r="G4180" s="3" t="str">
        <f>VLOOKUP(B4180,LifeList!$E$2:$I$2038,4)</f>
        <v>Passeriformes</v>
      </c>
      <c r="H4180" s="3" t="str">
        <f>VLOOKUP(B4180,LifeList!$E$2:$I$2038,5)</f>
        <v>Turdidae (Thrushes and Allies)</v>
      </c>
      <c r="I4180" s="3"/>
    </row>
    <row r="4181" spans="1:9" ht="10.5" customHeight="1">
      <c r="A4181" s="7" t="s">
        <v>5828</v>
      </c>
      <c r="B4181" s="9" t="s">
        <v>5829</v>
      </c>
      <c r="C4181" s="6">
        <f>VLOOKUP(B4181,LifeList!$E$2:$J$2038,6)</f>
        <v>25431</v>
      </c>
      <c r="D4181" s="3" t="str">
        <f>VLOOKUP(B4181,LifeList!$E$2:$G$2038,1)</f>
        <v>Wrentit</v>
      </c>
      <c r="E4181" s="3" t="str">
        <f>VLOOKUP(B4181,LifeList!$E$2:$G$2038,2)</f>
        <v>Cama brune</v>
      </c>
      <c r="F4181" s="3" t="str">
        <f>VLOOKUP(B4181,LifeList!$E$2:$G$2038,3)</f>
        <v>Chamaea fasciata</v>
      </c>
      <c r="G4181" s="3" t="str">
        <f>VLOOKUP(B4181,LifeList!$E$2:$I$2038,4)</f>
        <v>Passeriformes</v>
      </c>
      <c r="H4181" s="3" t="str">
        <f>VLOOKUP(B4181,LifeList!$E$2:$I$2038,5)</f>
        <v>Paradoxornithidae (Parrotbills)</v>
      </c>
      <c r="I4181" s="3"/>
    </row>
    <row r="4182" spans="1:9" ht="10.5" customHeight="1">
      <c r="A4182" s="3" t="s">
        <v>5830</v>
      </c>
      <c r="B4182" s="3" t="s">
        <v>5831</v>
      </c>
      <c r="C4182" s="3">
        <f>VLOOKUP(B4182,LifeList!$E$2:$J$2038,6)</f>
        <v>33745</v>
      </c>
      <c r="D4182" s="3" t="str">
        <f>VLOOKUP(B4182,LifeList!$E$2:$G$2038,1)</f>
        <v>Yellow Oriole</v>
      </c>
      <c r="E4182" s="3" t="str">
        <f>VLOOKUP(B4182,LifeList!$E$2:$G$2038,2)</f>
        <v>Oriole jaune</v>
      </c>
      <c r="F4182" s="3" t="str">
        <f>VLOOKUP(B4182,LifeList!$E$2:$G$2038,3)</f>
        <v>Icterus nigrogularis</v>
      </c>
      <c r="G4182" s="3" t="str">
        <f>VLOOKUP(B4182,LifeList!$E$2:$I$2038,4)</f>
        <v>Passeriformes</v>
      </c>
      <c r="H4182" s="3" t="str">
        <f>VLOOKUP(B4182,LifeList!$E$2:$I$2038,5)</f>
        <v>Icteridae (Troupials and Allies)</v>
      </c>
      <c r="I4182" s="3"/>
    </row>
    <row r="4183" spans="1:9" ht="10.5" customHeight="1">
      <c r="A4183" s="3" t="s">
        <v>5832</v>
      </c>
      <c r="B4183" s="3" t="s">
        <v>5831</v>
      </c>
      <c r="C4183" s="3">
        <f>VLOOKUP(B4183,LifeList!$E$2:$J$2038,6)</f>
        <v>33745</v>
      </c>
      <c r="D4183" s="3" t="str">
        <f>VLOOKUP(B4183,LifeList!$E$2:$G$2038,1)</f>
        <v>Yellow Oriole</v>
      </c>
      <c r="E4183" s="3" t="str">
        <f>VLOOKUP(B4183,LifeList!$E$2:$G$2038,2)</f>
        <v>Oriole jaune</v>
      </c>
      <c r="F4183" s="3" t="str">
        <f>VLOOKUP(B4183,LifeList!$E$2:$G$2038,3)</f>
        <v>Icterus nigrogularis</v>
      </c>
      <c r="G4183" s="3" t="str">
        <f>VLOOKUP(B4183,LifeList!$E$2:$I$2038,4)</f>
        <v>Passeriformes</v>
      </c>
      <c r="H4183" s="3" t="str">
        <f>VLOOKUP(B4183,LifeList!$E$2:$I$2038,5)</f>
        <v>Icteridae (Troupials and Allies)</v>
      </c>
      <c r="I4183" s="3"/>
    </row>
    <row r="4184" spans="1:9" ht="10.5" customHeight="1">
      <c r="A4184" s="3" t="s">
        <v>5833</v>
      </c>
      <c r="B4184" s="3" t="s">
        <v>5831</v>
      </c>
      <c r="C4184" s="3">
        <f>VLOOKUP(B4184,LifeList!$E$2:$J$2038,6)</f>
        <v>33745</v>
      </c>
      <c r="D4184" s="3" t="str">
        <f>VLOOKUP(B4184,LifeList!$E$2:$G$2038,1)</f>
        <v>Yellow Oriole</v>
      </c>
      <c r="E4184" s="3" t="str">
        <f>VLOOKUP(B4184,LifeList!$E$2:$G$2038,2)</f>
        <v>Oriole jaune</v>
      </c>
      <c r="F4184" s="3" t="str">
        <f>VLOOKUP(B4184,LifeList!$E$2:$G$2038,3)</f>
        <v>Icterus nigrogularis</v>
      </c>
      <c r="G4184" s="3" t="str">
        <f>VLOOKUP(B4184,LifeList!$E$2:$I$2038,4)</f>
        <v>Passeriformes</v>
      </c>
      <c r="H4184" s="3" t="str">
        <f>VLOOKUP(B4184,LifeList!$E$2:$I$2038,5)</f>
        <v>Icteridae (Troupials and Allies)</v>
      </c>
      <c r="I4184" s="3"/>
    </row>
    <row r="4185" spans="1:9" ht="10.5" customHeight="1">
      <c r="A4185" s="3" t="s">
        <v>5834</v>
      </c>
      <c r="B4185" s="3" t="s">
        <v>5831</v>
      </c>
      <c r="C4185" s="3">
        <f>VLOOKUP(B4185,LifeList!$E$2:$J$2038,6)</f>
        <v>33745</v>
      </c>
      <c r="D4185" s="3" t="str">
        <f>VLOOKUP(B4185,LifeList!$E$2:$G$2038,1)</f>
        <v>Yellow Oriole</v>
      </c>
      <c r="E4185" s="3" t="str">
        <f>VLOOKUP(B4185,LifeList!$E$2:$G$2038,2)</f>
        <v>Oriole jaune</v>
      </c>
      <c r="F4185" s="3" t="str">
        <f>VLOOKUP(B4185,LifeList!$E$2:$G$2038,3)</f>
        <v>Icterus nigrogularis</v>
      </c>
      <c r="G4185" s="3" t="str">
        <f>VLOOKUP(B4185,LifeList!$E$2:$I$2038,4)</f>
        <v>Passeriformes</v>
      </c>
      <c r="H4185" s="3" t="str">
        <f>VLOOKUP(B4185,LifeList!$E$2:$I$2038,5)</f>
        <v>Icteridae (Troupials and Allies)</v>
      </c>
      <c r="I4185" s="3"/>
    </row>
    <row r="4186" spans="1:9" ht="10.5" customHeight="1">
      <c r="A4186" s="3" t="s">
        <v>5835</v>
      </c>
      <c r="B4186" s="3" t="s">
        <v>5831</v>
      </c>
      <c r="C4186" s="3">
        <f>VLOOKUP(B4186,LifeList!$E$2:$J$2038,6)</f>
        <v>33745</v>
      </c>
      <c r="D4186" s="3" t="str">
        <f>VLOOKUP(B4186,LifeList!$E$2:$G$2038,1)</f>
        <v>Yellow Oriole</v>
      </c>
      <c r="E4186" s="3" t="str">
        <f>VLOOKUP(B4186,LifeList!$E$2:$G$2038,2)</f>
        <v>Oriole jaune</v>
      </c>
      <c r="F4186" s="3" t="str">
        <f>VLOOKUP(B4186,LifeList!$E$2:$G$2038,3)</f>
        <v>Icterus nigrogularis</v>
      </c>
      <c r="G4186" s="3" t="str">
        <f>VLOOKUP(B4186,LifeList!$E$2:$I$2038,4)</f>
        <v>Passeriformes</v>
      </c>
      <c r="H4186" s="3" t="str">
        <f>VLOOKUP(B4186,LifeList!$E$2:$I$2038,5)</f>
        <v>Icteridae (Troupials and Allies)</v>
      </c>
      <c r="I4186" s="3"/>
    </row>
    <row r="4187" spans="1:9" ht="10.5" customHeight="1">
      <c r="A4187" s="3" t="s">
        <v>5836</v>
      </c>
      <c r="B4187" s="3" t="s">
        <v>5837</v>
      </c>
      <c r="C4187" s="3">
        <f>VLOOKUP(B4187,LifeList!$E$2:$J$2038,6)</f>
        <v>17869</v>
      </c>
      <c r="D4187" s="3" t="str">
        <f>VLOOKUP(B4187,LifeList!$E$2:$G$2038,1)</f>
        <v>Yellow Wattlebird</v>
      </c>
      <c r="E4187" s="3" t="str">
        <f>VLOOKUP(B4187,LifeList!$E$2:$G$2038,2)</f>
        <v>Méliphage à pendeloques</v>
      </c>
      <c r="F4187" s="3" t="str">
        <f>VLOOKUP(B4187,LifeList!$E$2:$G$2038,3)</f>
        <v>Anthochaera paradoxa</v>
      </c>
      <c r="G4187" s="3" t="str">
        <f>VLOOKUP(B4187,LifeList!$E$2:$I$2038,4)</f>
        <v>Passeriformes</v>
      </c>
      <c r="H4187" s="3" t="str">
        <f>VLOOKUP(B4187,LifeList!$E$2:$I$2038,5)</f>
        <v>Meliphagidae (Honeyeaters)</v>
      </c>
      <c r="I4187" s="3"/>
    </row>
    <row r="4188" spans="1:9" ht="10.5" customHeight="1">
      <c r="A4188" s="3" t="s">
        <v>5838</v>
      </c>
      <c r="B4188" s="3" t="s">
        <v>5837</v>
      </c>
      <c r="C4188" s="3">
        <f>VLOOKUP(B4188,LifeList!$E$2:$J$2038,6)</f>
        <v>17869</v>
      </c>
      <c r="D4188" s="3" t="str">
        <f>VLOOKUP(B4188,LifeList!$E$2:$G$2038,1)</f>
        <v>Yellow Wattlebird</v>
      </c>
      <c r="E4188" s="3" t="str">
        <f>VLOOKUP(B4188,LifeList!$E$2:$G$2038,2)</f>
        <v>Méliphage à pendeloques</v>
      </c>
      <c r="F4188" s="3" t="str">
        <f>VLOOKUP(B4188,LifeList!$E$2:$G$2038,3)</f>
        <v>Anthochaera paradoxa</v>
      </c>
      <c r="G4188" s="3" t="str">
        <f>VLOOKUP(B4188,LifeList!$E$2:$I$2038,4)</f>
        <v>Passeriformes</v>
      </c>
      <c r="H4188" s="3" t="str">
        <f>VLOOKUP(B4188,LifeList!$E$2:$I$2038,5)</f>
        <v>Meliphagidae (Honeyeaters)</v>
      </c>
      <c r="I4188" s="3"/>
    </row>
    <row r="4189" spans="1:9" ht="10.5" customHeight="1">
      <c r="A4189" s="3" t="s">
        <v>5839</v>
      </c>
      <c r="B4189" s="3" t="s">
        <v>5840</v>
      </c>
      <c r="C4189" s="3">
        <f>VLOOKUP(B4189,LifeList!$E$2:$J$2038,6)</f>
        <v>33694</v>
      </c>
      <c r="D4189" s="3" t="str">
        <f>VLOOKUP(B4189,LifeList!$E$2:$G$2038,1)</f>
        <v>Yellow-backed Oriole</v>
      </c>
      <c r="E4189" s="3" t="str">
        <f>VLOOKUP(B4189,LifeList!$E$2:$G$2038,2)</f>
        <v>Oriole noir et or</v>
      </c>
      <c r="F4189" s="3" t="str">
        <f>VLOOKUP(B4189,LifeList!$E$2:$G$2038,3)</f>
        <v>Icterus chrysater</v>
      </c>
      <c r="G4189" s="3" t="str">
        <f>VLOOKUP(B4189,LifeList!$E$2:$I$2038,4)</f>
        <v>Passeriformes</v>
      </c>
      <c r="H4189" s="3" t="str">
        <f>VLOOKUP(B4189,LifeList!$E$2:$I$2038,5)</f>
        <v>Icteridae (Troupials and Allies)</v>
      </c>
      <c r="I4189" s="3"/>
    </row>
    <row r="4190" spans="1:9" ht="10.5" customHeight="1">
      <c r="A4190" s="3" t="s">
        <v>5841</v>
      </c>
      <c r="B4190" s="3" t="s">
        <v>5840</v>
      </c>
      <c r="C4190" s="3">
        <f>VLOOKUP(B4190,LifeList!$E$2:$J$2038,6)</f>
        <v>33694</v>
      </c>
      <c r="D4190" s="3" t="str">
        <f>VLOOKUP(B4190,LifeList!$E$2:$G$2038,1)</f>
        <v>Yellow-backed Oriole</v>
      </c>
      <c r="E4190" s="3" t="str">
        <f>VLOOKUP(B4190,LifeList!$E$2:$G$2038,2)</f>
        <v>Oriole noir et or</v>
      </c>
      <c r="F4190" s="3" t="str">
        <f>VLOOKUP(B4190,LifeList!$E$2:$G$2038,3)</f>
        <v>Icterus chrysater</v>
      </c>
      <c r="G4190" s="3" t="str">
        <f>VLOOKUP(B4190,LifeList!$E$2:$I$2038,4)</f>
        <v>Passeriformes</v>
      </c>
      <c r="H4190" s="3" t="str">
        <f>VLOOKUP(B4190,LifeList!$E$2:$I$2038,5)</f>
        <v>Icteridae (Troupials and Allies)</v>
      </c>
      <c r="I4190" s="3"/>
    </row>
    <row r="4191" spans="1:9" ht="10.5" customHeight="1">
      <c r="A4191" s="3" t="s">
        <v>5842</v>
      </c>
      <c r="B4191" s="3" t="s">
        <v>5840</v>
      </c>
      <c r="C4191" s="3">
        <f>VLOOKUP(B4191,LifeList!$E$2:$J$2038,6)</f>
        <v>33694</v>
      </c>
      <c r="D4191" s="3" t="str">
        <f>VLOOKUP(B4191,LifeList!$E$2:$G$2038,1)</f>
        <v>Yellow-backed Oriole</v>
      </c>
      <c r="E4191" s="3" t="str">
        <f>VLOOKUP(B4191,LifeList!$E$2:$G$2038,2)</f>
        <v>Oriole noir et or</v>
      </c>
      <c r="F4191" s="3" t="str">
        <f>VLOOKUP(B4191,LifeList!$E$2:$G$2038,3)</f>
        <v>Icterus chrysater</v>
      </c>
      <c r="G4191" s="3" t="str">
        <f>VLOOKUP(B4191,LifeList!$E$2:$I$2038,4)</f>
        <v>Passeriformes</v>
      </c>
      <c r="H4191" s="3" t="str">
        <f>VLOOKUP(B4191,LifeList!$E$2:$I$2038,5)</f>
        <v>Icteridae (Troupials and Allies)</v>
      </c>
      <c r="I4191" s="3"/>
    </row>
    <row r="4192" spans="1:9" ht="10.5" customHeight="1">
      <c r="A4192" s="5" t="s">
        <v>5843</v>
      </c>
      <c r="B4192" s="3" t="s">
        <v>5844</v>
      </c>
      <c r="C4192" s="6">
        <f>VLOOKUP(B4192,LifeList!$E$2:$J$2038,6)</f>
        <v>24339</v>
      </c>
      <c r="D4192" s="3" t="str">
        <f>VLOOKUP(B4192,LifeList!$E$2:$G$2038,1)</f>
        <v>Yellow-bellied Greenbul</v>
      </c>
      <c r="E4192" s="3" t="str">
        <f>VLOOKUP(B4192,LifeList!$E$2:$G$2038,2)</f>
        <v>Bulbul à poitrine jaune</v>
      </c>
      <c r="F4192" s="3" t="str">
        <f>VLOOKUP(B4192,LifeList!$E$2:$G$2038,3)</f>
        <v>Chlorocichla flaviventris</v>
      </c>
      <c r="G4192" s="3" t="str">
        <f>VLOOKUP(B4192,LifeList!$E$2:$I$2038,4)</f>
        <v>Passeriformes</v>
      </c>
      <c r="H4192" s="3" t="str">
        <f>VLOOKUP(B4192,LifeList!$E$2:$I$2038,5)</f>
        <v>Pycnonotidae (Bulbuls)</v>
      </c>
      <c r="I4192" s="3"/>
    </row>
    <row r="4193" spans="1:9" ht="10.5" customHeight="1">
      <c r="A4193" s="3" t="s">
        <v>5845</v>
      </c>
      <c r="B4193" s="3" t="s">
        <v>5846</v>
      </c>
      <c r="C4193" s="3">
        <f>VLOOKUP(B4193,LifeList!$E$2:$J$2038,6)</f>
        <v>17181</v>
      </c>
      <c r="D4193" s="3" t="str">
        <f>VLOOKUP(B4193,LifeList!$E$2:$G$2038,1)</f>
        <v>Yellow-bellied Chat-Tyrant</v>
      </c>
      <c r="E4193" s="3" t="str">
        <f>VLOOKUP(B4193,LifeList!$E$2:$G$2038,2)</f>
        <v>Pitajo diadème</v>
      </c>
      <c r="F4193" s="3" t="str">
        <f>VLOOKUP(B4193,LifeList!$E$2:$G$2038,3)</f>
        <v>Silvicultrix diadema</v>
      </c>
      <c r="G4193" s="3" t="str">
        <f>VLOOKUP(B4193,LifeList!$E$2:$I$2038,4)</f>
        <v>Passeriformes</v>
      </c>
      <c r="H4193" s="3" t="str">
        <f>VLOOKUP(B4193,LifeList!$E$2:$I$2038,5)</f>
        <v>Tyrannidae (Tyrant Flycatchers)</v>
      </c>
      <c r="I4193" s="3"/>
    </row>
    <row r="4194" spans="1:9" ht="10.5" customHeight="1">
      <c r="A4194" s="3" t="s">
        <v>5847</v>
      </c>
      <c r="B4194" s="3" t="s">
        <v>5848</v>
      </c>
      <c r="C4194" s="3">
        <f>VLOOKUP(B4194,LifeList!$E$2:$J$2038,6)</f>
        <v>16698</v>
      </c>
      <c r="D4194" s="3" t="str">
        <f>VLOOKUP(B4194,LifeList!$E$2:$G$2038,1)</f>
        <v>Yellow-bellied Elaenia</v>
      </c>
      <c r="E4194" s="3" t="str">
        <f>VLOOKUP(B4194,LifeList!$E$2:$G$2038,2)</f>
        <v>Élénie à ventre jaune</v>
      </c>
      <c r="F4194" s="3" t="str">
        <f>VLOOKUP(B4194,LifeList!$E$2:$G$2038,3)</f>
        <v>Elaenia flavogaster</v>
      </c>
      <c r="G4194" s="3" t="str">
        <f>VLOOKUP(B4194,LifeList!$E$2:$I$2038,4)</f>
        <v>Passeriformes</v>
      </c>
      <c r="H4194" s="3" t="str">
        <f>VLOOKUP(B4194,LifeList!$E$2:$I$2038,5)</f>
        <v>Tyrannidae (Tyrant Flycatchers)</v>
      </c>
      <c r="I4194" s="3"/>
    </row>
    <row r="4195" spans="1:9" ht="10.5" customHeight="1">
      <c r="A4195" s="3" t="s">
        <v>5849</v>
      </c>
      <c r="B4195" s="3" t="s">
        <v>5848</v>
      </c>
      <c r="C4195" s="3">
        <f>VLOOKUP(B4195,LifeList!$E$2:$J$2038,6)</f>
        <v>16698</v>
      </c>
      <c r="D4195" s="3" t="str">
        <f>VLOOKUP(B4195,LifeList!$E$2:$G$2038,1)</f>
        <v>Yellow-bellied Elaenia</v>
      </c>
      <c r="E4195" s="3" t="str">
        <f>VLOOKUP(B4195,LifeList!$E$2:$G$2038,2)</f>
        <v>Élénie à ventre jaune</v>
      </c>
      <c r="F4195" s="3" t="str">
        <f>VLOOKUP(B4195,LifeList!$E$2:$G$2038,3)</f>
        <v>Elaenia flavogaster</v>
      </c>
      <c r="G4195" s="3" t="str">
        <f>VLOOKUP(B4195,LifeList!$E$2:$I$2038,4)</f>
        <v>Passeriformes</v>
      </c>
      <c r="H4195" s="3" t="str">
        <f>VLOOKUP(B4195,LifeList!$E$2:$I$2038,5)</f>
        <v>Tyrannidae (Tyrant Flycatchers)</v>
      </c>
      <c r="I4195" s="3"/>
    </row>
    <row r="4196" spans="1:9" ht="10.5" customHeight="1">
      <c r="A4196" s="3" t="s">
        <v>5850</v>
      </c>
      <c r="B4196" s="3" t="s">
        <v>5848</v>
      </c>
      <c r="C4196" s="3">
        <f>VLOOKUP(B4196,LifeList!$E$2:$J$2038,6)</f>
        <v>16698</v>
      </c>
      <c r="D4196" s="3" t="str">
        <f>VLOOKUP(B4196,LifeList!$E$2:$G$2038,1)</f>
        <v>Yellow-bellied Elaenia</v>
      </c>
      <c r="E4196" s="3" t="str">
        <f>VLOOKUP(B4196,LifeList!$E$2:$G$2038,2)</f>
        <v>Élénie à ventre jaune</v>
      </c>
      <c r="F4196" s="3" t="str">
        <f>VLOOKUP(B4196,LifeList!$E$2:$G$2038,3)</f>
        <v>Elaenia flavogaster</v>
      </c>
      <c r="G4196" s="3" t="str">
        <f>VLOOKUP(B4196,LifeList!$E$2:$I$2038,4)</f>
        <v>Passeriformes</v>
      </c>
      <c r="H4196" s="3" t="str">
        <f>VLOOKUP(B4196,LifeList!$E$2:$I$2038,5)</f>
        <v>Tyrannidae (Tyrant Flycatchers)</v>
      </c>
      <c r="I4196" s="3"/>
    </row>
    <row r="4197" spans="1:9" ht="10.5" customHeight="1">
      <c r="A4197" s="3" t="s">
        <v>5851</v>
      </c>
      <c r="B4197" s="3" t="s">
        <v>5848</v>
      </c>
      <c r="C4197" s="3">
        <f>VLOOKUP(B4197,LifeList!$E$2:$J$2038,6)</f>
        <v>16698</v>
      </c>
      <c r="D4197" s="3" t="str">
        <f>VLOOKUP(B4197,LifeList!$E$2:$G$2038,1)</f>
        <v>Yellow-bellied Elaenia</v>
      </c>
      <c r="E4197" s="3" t="str">
        <f>VLOOKUP(B4197,LifeList!$E$2:$G$2038,2)</f>
        <v>Élénie à ventre jaune</v>
      </c>
      <c r="F4197" s="3" t="str">
        <f>VLOOKUP(B4197,LifeList!$E$2:$G$2038,3)</f>
        <v>Elaenia flavogaster</v>
      </c>
      <c r="G4197" s="3" t="str">
        <f>VLOOKUP(B4197,LifeList!$E$2:$I$2038,4)</f>
        <v>Passeriformes</v>
      </c>
      <c r="H4197" s="3" t="str">
        <f>VLOOKUP(B4197,LifeList!$E$2:$I$2038,5)</f>
        <v>Tyrannidae (Tyrant Flycatchers)</v>
      </c>
      <c r="I4197" s="3"/>
    </row>
    <row r="4198" spans="1:9" ht="10.5" customHeight="1">
      <c r="A4198" s="3" t="s">
        <v>5852</v>
      </c>
      <c r="B4198" s="3" t="s">
        <v>5848</v>
      </c>
      <c r="C4198" s="3">
        <f>VLOOKUP(B4198,LifeList!$E$2:$J$2038,6)</f>
        <v>16698</v>
      </c>
      <c r="D4198" s="3" t="str">
        <f>VLOOKUP(B4198,LifeList!$E$2:$G$2038,1)</f>
        <v>Yellow-bellied Elaenia</v>
      </c>
      <c r="E4198" s="3" t="str">
        <f>VLOOKUP(B4198,LifeList!$E$2:$G$2038,2)</f>
        <v>Élénie à ventre jaune</v>
      </c>
      <c r="F4198" s="3" t="str">
        <f>VLOOKUP(B4198,LifeList!$E$2:$G$2038,3)</f>
        <v>Elaenia flavogaster</v>
      </c>
      <c r="G4198" s="3" t="str">
        <f>VLOOKUP(B4198,LifeList!$E$2:$I$2038,4)</f>
        <v>Passeriformes</v>
      </c>
      <c r="H4198" s="3" t="str">
        <f>VLOOKUP(B4198,LifeList!$E$2:$I$2038,5)</f>
        <v>Tyrannidae (Tyrant Flycatchers)</v>
      </c>
      <c r="I4198" s="3"/>
    </row>
    <row r="4199" spans="1:9" ht="10.5" customHeight="1">
      <c r="A4199" s="3" t="s">
        <v>5853</v>
      </c>
      <c r="B4199" s="3" t="s">
        <v>5848</v>
      </c>
      <c r="C4199" s="3">
        <f>VLOOKUP(B4199,LifeList!$E$2:$J$2038,6)</f>
        <v>16698</v>
      </c>
      <c r="D4199" s="3" t="str">
        <f>VLOOKUP(B4199,LifeList!$E$2:$G$2038,1)</f>
        <v>Yellow-bellied Elaenia</v>
      </c>
      <c r="E4199" s="3" t="str">
        <f>VLOOKUP(B4199,LifeList!$E$2:$G$2038,2)</f>
        <v>Élénie à ventre jaune</v>
      </c>
      <c r="F4199" s="3" t="str">
        <f>VLOOKUP(B4199,LifeList!$E$2:$G$2038,3)</f>
        <v>Elaenia flavogaster</v>
      </c>
      <c r="G4199" s="3" t="str">
        <f>VLOOKUP(B4199,LifeList!$E$2:$I$2038,4)</f>
        <v>Passeriformes</v>
      </c>
      <c r="H4199" s="3" t="str">
        <f>VLOOKUP(B4199,LifeList!$E$2:$I$2038,5)</f>
        <v>Tyrannidae (Tyrant Flycatchers)</v>
      </c>
      <c r="I4199" s="3"/>
    </row>
    <row r="4200" spans="1:9" ht="10.5" customHeight="1">
      <c r="A4200" s="3" t="s">
        <v>5854</v>
      </c>
      <c r="B4200" s="3" t="s">
        <v>5848</v>
      </c>
      <c r="C4200" s="3">
        <f>VLOOKUP(B4200,LifeList!$E$2:$J$2038,6)</f>
        <v>16698</v>
      </c>
      <c r="D4200" s="3" t="str">
        <f>VLOOKUP(B4200,LifeList!$E$2:$G$2038,1)</f>
        <v>Yellow-bellied Elaenia</v>
      </c>
      <c r="E4200" s="3" t="str">
        <f>VLOOKUP(B4200,LifeList!$E$2:$G$2038,2)</f>
        <v>Élénie à ventre jaune</v>
      </c>
      <c r="F4200" s="3" t="str">
        <f>VLOOKUP(B4200,LifeList!$E$2:$G$2038,3)</f>
        <v>Elaenia flavogaster</v>
      </c>
      <c r="G4200" s="3" t="str">
        <f>VLOOKUP(B4200,LifeList!$E$2:$I$2038,4)</f>
        <v>Passeriformes</v>
      </c>
      <c r="H4200" s="3" t="str">
        <f>VLOOKUP(B4200,LifeList!$E$2:$I$2038,5)</f>
        <v>Tyrannidae (Tyrant Flycatchers)</v>
      </c>
      <c r="I4200" s="3"/>
    </row>
    <row r="4201" spans="1:9" ht="10.5" customHeight="1">
      <c r="A4201" s="3" t="s">
        <v>5855</v>
      </c>
      <c r="B4201" s="3" t="s">
        <v>5856</v>
      </c>
      <c r="C4201" s="3">
        <f>VLOOKUP(B4201,LifeList!$E$2:$J$2038,6)</f>
        <v>16949</v>
      </c>
      <c r="D4201" s="3" t="str">
        <f>VLOOKUP(B4201,LifeList!$E$2:$G$2038,1)</f>
        <v>Yellow-bellied Flycatcher</v>
      </c>
      <c r="E4201" s="3" t="str">
        <f>VLOOKUP(B4201,LifeList!$E$2:$G$2038,2)</f>
        <v>Moucherolle à ventre jaune</v>
      </c>
      <c r="F4201" s="3" t="str">
        <f>VLOOKUP(B4201,LifeList!$E$2:$G$2038,3)</f>
        <v>Empidonax flaviventris</v>
      </c>
      <c r="G4201" s="3" t="str">
        <f>VLOOKUP(B4201,LifeList!$E$2:$I$2038,4)</f>
        <v>Passeriformes</v>
      </c>
      <c r="H4201" s="3" t="str">
        <f>VLOOKUP(B4201,LifeList!$E$2:$I$2038,5)</f>
        <v>Tyrannidae (Tyrant Flycatchers)</v>
      </c>
      <c r="I4201" s="3"/>
    </row>
    <row r="4202" spans="1:9" ht="10.5" customHeight="1">
      <c r="A4202" s="3" t="s">
        <v>5857</v>
      </c>
      <c r="B4202" s="3" t="s">
        <v>5856</v>
      </c>
      <c r="C4202" s="3">
        <f>VLOOKUP(B4202,LifeList!$E$2:$J$2038,6)</f>
        <v>16949</v>
      </c>
      <c r="D4202" s="3" t="str">
        <f>VLOOKUP(B4202,LifeList!$E$2:$G$2038,1)</f>
        <v>Yellow-bellied Flycatcher</v>
      </c>
      <c r="E4202" s="3" t="str">
        <f>VLOOKUP(B4202,LifeList!$E$2:$G$2038,2)</f>
        <v>Moucherolle à ventre jaune</v>
      </c>
      <c r="F4202" s="3" t="str">
        <f>VLOOKUP(B4202,LifeList!$E$2:$G$2038,3)</f>
        <v>Empidonax flaviventris</v>
      </c>
      <c r="G4202" s="3" t="str">
        <f>VLOOKUP(B4202,LifeList!$E$2:$I$2038,4)</f>
        <v>Passeriformes</v>
      </c>
      <c r="H4202" s="3" t="str">
        <f>VLOOKUP(B4202,LifeList!$E$2:$I$2038,5)</f>
        <v>Tyrannidae (Tyrant Flycatchers)</v>
      </c>
      <c r="I4202" s="3"/>
    </row>
    <row r="4203" spans="1:9" ht="10.5" customHeight="1">
      <c r="A4203" s="3" t="s">
        <v>5858</v>
      </c>
      <c r="B4203" s="3" t="s">
        <v>5859</v>
      </c>
      <c r="C4203" s="3">
        <f>VLOOKUP(B4203,LifeList!$E$2:$J$2038,6)</f>
        <v>11126</v>
      </c>
      <c r="D4203" s="3" t="str">
        <f>VLOOKUP(B4203,LifeList!$E$2:$G$2038,1)</f>
        <v>Yellow-bellied Sapsucker</v>
      </c>
      <c r="E4203" s="3" t="str">
        <f>VLOOKUP(B4203,LifeList!$E$2:$G$2038,2)</f>
        <v>Pic maculé</v>
      </c>
      <c r="F4203" s="3" t="str">
        <f>VLOOKUP(B4203,LifeList!$E$2:$G$2038,3)</f>
        <v>Sphyrapicus varius</v>
      </c>
      <c r="G4203" s="3" t="str">
        <f>VLOOKUP(B4203,LifeList!$E$2:$I$2038,4)</f>
        <v>Piciformes</v>
      </c>
      <c r="H4203" s="3" t="str">
        <f>VLOOKUP(B4203,LifeList!$E$2:$I$2038,5)</f>
        <v>Picidae (Woodpeckers)</v>
      </c>
      <c r="I4203" s="3"/>
    </row>
    <row r="4204" spans="1:9" ht="10.5" customHeight="1">
      <c r="A4204" s="3" t="s">
        <v>5860</v>
      </c>
      <c r="B4204" s="3" t="s">
        <v>5859</v>
      </c>
      <c r="C4204" s="3">
        <f>VLOOKUP(B4204,LifeList!$E$2:$J$2038,6)</f>
        <v>11126</v>
      </c>
      <c r="D4204" s="3" t="str">
        <f>VLOOKUP(B4204,LifeList!$E$2:$G$2038,1)</f>
        <v>Yellow-bellied Sapsucker</v>
      </c>
      <c r="E4204" s="3" t="str">
        <f>VLOOKUP(B4204,LifeList!$E$2:$G$2038,2)</f>
        <v>Pic maculé</v>
      </c>
      <c r="F4204" s="3" t="str">
        <f>VLOOKUP(B4204,LifeList!$E$2:$G$2038,3)</f>
        <v>Sphyrapicus varius</v>
      </c>
      <c r="G4204" s="3" t="str">
        <f>VLOOKUP(B4204,LifeList!$E$2:$I$2038,4)</f>
        <v>Piciformes</v>
      </c>
      <c r="H4204" s="3" t="str">
        <f>VLOOKUP(B4204,LifeList!$E$2:$I$2038,5)</f>
        <v>Picidae (Woodpeckers)</v>
      </c>
      <c r="I4204" s="3"/>
    </row>
    <row r="4205" spans="1:9" ht="10.5" customHeight="1">
      <c r="A4205" s="3" t="s">
        <v>5861</v>
      </c>
      <c r="B4205" s="3" t="s">
        <v>5859</v>
      </c>
      <c r="C4205" s="3">
        <f>VLOOKUP(B4205,LifeList!$E$2:$J$2038,6)</f>
        <v>11126</v>
      </c>
      <c r="D4205" s="3" t="str">
        <f>VLOOKUP(B4205,LifeList!$E$2:$G$2038,1)</f>
        <v>Yellow-bellied Sapsucker</v>
      </c>
      <c r="E4205" s="3" t="str">
        <f>VLOOKUP(B4205,LifeList!$E$2:$G$2038,2)</f>
        <v>Pic maculé</v>
      </c>
      <c r="F4205" s="3" t="str">
        <f>VLOOKUP(B4205,LifeList!$E$2:$G$2038,3)</f>
        <v>Sphyrapicus varius</v>
      </c>
      <c r="G4205" s="3" t="str">
        <f>VLOOKUP(B4205,LifeList!$E$2:$I$2038,4)</f>
        <v>Piciformes</v>
      </c>
      <c r="H4205" s="3" t="str">
        <f>VLOOKUP(B4205,LifeList!$E$2:$I$2038,5)</f>
        <v>Picidae (Woodpeckers)</v>
      </c>
      <c r="I4205" s="3"/>
    </row>
    <row r="4206" spans="1:9" ht="10.5" customHeight="1">
      <c r="A4206" s="3" t="s">
        <v>5862</v>
      </c>
      <c r="B4206" s="3" t="s">
        <v>5859</v>
      </c>
      <c r="C4206" s="3">
        <f>VLOOKUP(B4206,LifeList!$E$2:$J$2038,6)</f>
        <v>11126</v>
      </c>
      <c r="D4206" s="3" t="str">
        <f>VLOOKUP(B4206,LifeList!$E$2:$G$2038,1)</f>
        <v>Yellow-bellied Sapsucker</v>
      </c>
      <c r="E4206" s="3" t="str">
        <f>VLOOKUP(B4206,LifeList!$E$2:$G$2038,2)</f>
        <v>Pic maculé</v>
      </c>
      <c r="F4206" s="3" t="str">
        <f>VLOOKUP(B4206,LifeList!$E$2:$G$2038,3)</f>
        <v>Sphyrapicus varius</v>
      </c>
      <c r="G4206" s="3" t="str">
        <f>VLOOKUP(B4206,LifeList!$E$2:$I$2038,4)</f>
        <v>Piciformes</v>
      </c>
      <c r="H4206" s="3" t="str">
        <f>VLOOKUP(B4206,LifeList!$E$2:$I$2038,5)</f>
        <v>Picidae (Woodpeckers)</v>
      </c>
      <c r="I4206" s="3"/>
    </row>
    <row r="4207" spans="1:9" ht="10.5" customHeight="1">
      <c r="A4207" s="3" t="s">
        <v>5863</v>
      </c>
      <c r="B4207" s="3" t="s">
        <v>5859</v>
      </c>
      <c r="C4207" s="3">
        <f>VLOOKUP(B4207,LifeList!$E$2:$J$2038,6)</f>
        <v>11126</v>
      </c>
      <c r="D4207" s="3" t="str">
        <f>VLOOKUP(B4207,LifeList!$E$2:$G$2038,1)</f>
        <v>Yellow-bellied Sapsucker</v>
      </c>
      <c r="E4207" s="3" t="str">
        <f>VLOOKUP(B4207,LifeList!$E$2:$G$2038,2)</f>
        <v>Pic maculé</v>
      </c>
      <c r="F4207" s="3" t="str">
        <f>VLOOKUP(B4207,LifeList!$E$2:$G$2038,3)</f>
        <v>Sphyrapicus varius</v>
      </c>
      <c r="G4207" s="3" t="str">
        <f>VLOOKUP(B4207,LifeList!$E$2:$I$2038,4)</f>
        <v>Piciformes</v>
      </c>
      <c r="H4207" s="3" t="str">
        <f>VLOOKUP(B4207,LifeList!$E$2:$I$2038,5)</f>
        <v>Picidae (Woodpeckers)</v>
      </c>
      <c r="I4207" s="3"/>
    </row>
    <row r="4208" spans="1:9" ht="10.5" customHeight="1">
      <c r="A4208" s="3" t="s">
        <v>5864</v>
      </c>
      <c r="B4208" s="3" t="s">
        <v>5859</v>
      </c>
      <c r="C4208" s="3">
        <f>VLOOKUP(B4208,LifeList!$E$2:$J$2038,6)</f>
        <v>11126</v>
      </c>
      <c r="D4208" s="3" t="str">
        <f>VLOOKUP(B4208,LifeList!$E$2:$G$2038,1)</f>
        <v>Yellow-bellied Sapsucker</v>
      </c>
      <c r="E4208" s="3" t="str">
        <f>VLOOKUP(B4208,LifeList!$E$2:$G$2038,2)</f>
        <v>Pic maculé</v>
      </c>
      <c r="F4208" s="3" t="str">
        <f>VLOOKUP(B4208,LifeList!$E$2:$G$2038,3)</f>
        <v>Sphyrapicus varius</v>
      </c>
      <c r="G4208" s="3" t="str">
        <f>VLOOKUP(B4208,LifeList!$E$2:$I$2038,4)</f>
        <v>Piciformes</v>
      </c>
      <c r="H4208" s="3" t="str">
        <f>VLOOKUP(B4208,LifeList!$E$2:$I$2038,5)</f>
        <v>Picidae (Woodpeckers)</v>
      </c>
      <c r="I4208" s="3"/>
    </row>
    <row r="4209" spans="1:9" ht="10.5" customHeight="1">
      <c r="A4209" s="3" t="s">
        <v>5865</v>
      </c>
      <c r="B4209" s="3" t="s">
        <v>5859</v>
      </c>
      <c r="C4209" s="3">
        <f>VLOOKUP(B4209,LifeList!$E$2:$J$2038,6)</f>
        <v>11126</v>
      </c>
      <c r="D4209" s="3" t="str">
        <f>VLOOKUP(B4209,LifeList!$E$2:$G$2038,1)</f>
        <v>Yellow-bellied Sapsucker</v>
      </c>
      <c r="E4209" s="3" t="str">
        <f>VLOOKUP(B4209,LifeList!$E$2:$G$2038,2)</f>
        <v>Pic maculé</v>
      </c>
      <c r="F4209" s="3" t="str">
        <f>VLOOKUP(B4209,LifeList!$E$2:$G$2038,3)</f>
        <v>Sphyrapicus varius</v>
      </c>
      <c r="G4209" s="3" t="str">
        <f>VLOOKUP(B4209,LifeList!$E$2:$I$2038,4)</f>
        <v>Piciformes</v>
      </c>
      <c r="H4209" s="3" t="str">
        <f>VLOOKUP(B4209,LifeList!$E$2:$I$2038,5)</f>
        <v>Picidae (Woodpeckers)</v>
      </c>
      <c r="I4209" s="3"/>
    </row>
    <row r="4210" spans="1:9" ht="10.5" customHeight="1">
      <c r="A4210" s="3" t="s">
        <v>5866</v>
      </c>
      <c r="B4210" s="3" t="s">
        <v>5859</v>
      </c>
      <c r="C4210" s="3">
        <f>VLOOKUP(B4210,LifeList!$E$2:$J$2038,6)</f>
        <v>11126</v>
      </c>
      <c r="D4210" s="3" t="str">
        <f>VLOOKUP(B4210,LifeList!$E$2:$G$2038,1)</f>
        <v>Yellow-bellied Sapsucker</v>
      </c>
      <c r="E4210" s="3" t="str">
        <f>VLOOKUP(B4210,LifeList!$E$2:$G$2038,2)</f>
        <v>Pic maculé</v>
      </c>
      <c r="F4210" s="3" t="str">
        <f>VLOOKUP(B4210,LifeList!$E$2:$G$2038,3)</f>
        <v>Sphyrapicus varius</v>
      </c>
      <c r="G4210" s="3" t="str">
        <f>VLOOKUP(B4210,LifeList!$E$2:$I$2038,4)</f>
        <v>Piciformes</v>
      </c>
      <c r="H4210" s="3" t="str">
        <f>VLOOKUP(B4210,LifeList!$E$2:$I$2038,5)</f>
        <v>Picidae (Woodpeckers)</v>
      </c>
      <c r="I4210" s="3"/>
    </row>
    <row r="4211" spans="1:9" ht="10.5" customHeight="1">
      <c r="A4211" s="3" t="s">
        <v>5867</v>
      </c>
      <c r="B4211" s="3" t="s">
        <v>5859</v>
      </c>
      <c r="C4211" s="3">
        <f>VLOOKUP(B4211,LifeList!$E$2:$J$2038,6)</f>
        <v>11126</v>
      </c>
      <c r="D4211" s="3" t="str">
        <f>VLOOKUP(B4211,LifeList!$E$2:$G$2038,1)</f>
        <v>Yellow-bellied Sapsucker</v>
      </c>
      <c r="E4211" s="3" t="str">
        <f>VLOOKUP(B4211,LifeList!$E$2:$G$2038,2)</f>
        <v>Pic maculé</v>
      </c>
      <c r="F4211" s="3" t="str">
        <f>VLOOKUP(B4211,LifeList!$E$2:$G$2038,3)</f>
        <v>Sphyrapicus varius</v>
      </c>
      <c r="G4211" s="3" t="str">
        <f>VLOOKUP(B4211,LifeList!$E$2:$I$2038,4)</f>
        <v>Piciformes</v>
      </c>
      <c r="H4211" s="3" t="str">
        <f>VLOOKUP(B4211,LifeList!$E$2:$I$2038,5)</f>
        <v>Picidae (Woodpeckers)</v>
      </c>
      <c r="I4211" s="3"/>
    </row>
    <row r="4212" spans="1:9" ht="10.5" customHeight="1">
      <c r="A4212" s="3" t="s">
        <v>5868</v>
      </c>
      <c r="B4212" s="3" t="s">
        <v>5859</v>
      </c>
      <c r="C4212" s="3">
        <f>VLOOKUP(B4212,LifeList!$E$2:$J$2038,6)</f>
        <v>11126</v>
      </c>
      <c r="D4212" s="3" t="str">
        <f>VLOOKUP(B4212,LifeList!$E$2:$G$2038,1)</f>
        <v>Yellow-bellied Sapsucker</v>
      </c>
      <c r="E4212" s="3" t="str">
        <f>VLOOKUP(B4212,LifeList!$E$2:$G$2038,2)</f>
        <v>Pic maculé</v>
      </c>
      <c r="F4212" s="3" t="str">
        <f>VLOOKUP(B4212,LifeList!$E$2:$G$2038,3)</f>
        <v>Sphyrapicus varius</v>
      </c>
      <c r="G4212" s="3" t="str">
        <f>VLOOKUP(B4212,LifeList!$E$2:$I$2038,4)</f>
        <v>Piciformes</v>
      </c>
      <c r="H4212" s="3" t="str">
        <f>VLOOKUP(B4212,LifeList!$E$2:$I$2038,5)</f>
        <v>Picidae (Woodpeckers)</v>
      </c>
      <c r="I4212" s="3"/>
    </row>
    <row r="4213" spans="1:9" ht="10.5" customHeight="1">
      <c r="A4213" s="3" t="s">
        <v>5869</v>
      </c>
      <c r="B4213" s="3" t="s">
        <v>5870</v>
      </c>
      <c r="C4213" s="3">
        <f>VLOOKUP(B4213,LifeList!$E$2:$J$2038,6)</f>
        <v>35583</v>
      </c>
      <c r="D4213" s="3" t="str">
        <f>VLOOKUP(B4213,LifeList!$E$2:$G$2038,1)</f>
        <v>Yellow-bellied Seedeater</v>
      </c>
      <c r="E4213" s="3" t="str">
        <f>VLOOKUP(B4213,LifeList!$E$2:$G$2038,2)</f>
        <v>Sporophile à ventre jaune</v>
      </c>
      <c r="F4213" s="3" t="str">
        <f>VLOOKUP(B4213,LifeList!$E$2:$G$2038,3)</f>
        <v>Sporophila nigricollis</v>
      </c>
      <c r="G4213" s="3" t="str">
        <f>VLOOKUP(B4213,LifeList!$E$2:$I$2038,4)</f>
        <v>Passeriformes</v>
      </c>
      <c r="H4213" s="3" t="str">
        <f>VLOOKUP(B4213,LifeList!$E$2:$I$2038,5)</f>
        <v>Thraupidae (Tanagers and Allies)</v>
      </c>
      <c r="I4213" s="3"/>
    </row>
    <row r="4214" spans="1:9" ht="10.5" customHeight="1">
      <c r="A4214" s="3" t="s">
        <v>5871</v>
      </c>
      <c r="B4214" s="3" t="s">
        <v>5872</v>
      </c>
      <c r="C4214" s="3">
        <f>VLOOKUP(B4214,LifeList!$E$2:$J$2038,6)</f>
        <v>32631</v>
      </c>
      <c r="D4214" s="3" t="str">
        <f>VLOOKUP(B4214,LifeList!$E$2:$G$2038,1)</f>
        <v>Yellow-bellied Siskin</v>
      </c>
      <c r="E4214" s="3" t="str">
        <f>VLOOKUP(B4214,LifeList!$E$2:$G$2038,2)</f>
        <v>Tarin à ventre jaune</v>
      </c>
      <c r="F4214" s="3" t="str">
        <f>VLOOKUP(B4214,LifeList!$E$2:$G$2038,3)</f>
        <v>Spinus xanthogastrus</v>
      </c>
      <c r="G4214" s="3" t="str">
        <f>VLOOKUP(B4214,LifeList!$E$2:$I$2038,4)</f>
        <v>Passeriformes</v>
      </c>
      <c r="H4214" s="3" t="str">
        <f>VLOOKUP(B4214,LifeList!$E$2:$I$2038,5)</f>
        <v>Fringillidae (Finches, Euphonias, and Allies)</v>
      </c>
      <c r="I4214" s="3"/>
    </row>
    <row r="4215" spans="1:9" ht="10.5" customHeight="1">
      <c r="A4215" s="5" t="s">
        <v>5873</v>
      </c>
      <c r="B4215" s="3" t="s">
        <v>5874</v>
      </c>
      <c r="C4215" s="6">
        <f>VLOOKUP(B4215,LifeList!$E$2:$J$2038,6)</f>
        <v>530</v>
      </c>
      <c r="D4215" s="3" t="str">
        <f>VLOOKUP(B4215,LifeList!$E$2:$G$2038,1)</f>
        <v>Yellow-billed Duck</v>
      </c>
      <c r="E4215" s="3" t="str">
        <f>VLOOKUP(B4215,LifeList!$E$2:$G$2038,2)</f>
        <v>Canard à bec jaune</v>
      </c>
      <c r="F4215" s="3" t="str">
        <f>VLOOKUP(B4215,LifeList!$E$2:$G$2038,3)</f>
        <v>Anas undulata</v>
      </c>
      <c r="G4215" s="3" t="str">
        <f>VLOOKUP(B4215,LifeList!$E$2:$I$2038,4)</f>
        <v>Anseriformes</v>
      </c>
      <c r="H4215" s="3" t="str">
        <f>VLOOKUP(B4215,LifeList!$E$2:$I$2038,5)</f>
        <v>Anatidae (Ducks, Geese, and Waterfowl)</v>
      </c>
      <c r="I4215" s="3"/>
    </row>
    <row r="4216" spans="1:9" ht="10.5" customHeight="1">
      <c r="A4216" s="3" t="s">
        <v>5875</v>
      </c>
      <c r="B4216" s="3" t="s">
        <v>5876</v>
      </c>
      <c r="C4216" s="3">
        <f>VLOOKUP(B4216,LifeList!$E$2:$J$2038,6)</f>
        <v>33607</v>
      </c>
      <c r="D4216" s="3" t="str">
        <f>VLOOKUP(B4216,LifeList!$E$2:$G$2038,1)</f>
        <v>Yellow-billed Cacique</v>
      </c>
      <c r="E4216" s="3" t="str">
        <f>VLOOKUP(B4216,LifeList!$E$2:$G$2038,2)</f>
        <v>Cassique à bec jaune</v>
      </c>
      <c r="F4216" s="3" t="str">
        <f>VLOOKUP(B4216,LifeList!$E$2:$G$2038,3)</f>
        <v>Amblycercus holosericeus</v>
      </c>
      <c r="G4216" s="3" t="str">
        <f>VLOOKUP(B4216,LifeList!$E$2:$I$2038,4)</f>
        <v>Passeriformes</v>
      </c>
      <c r="H4216" s="3" t="str">
        <f>VLOOKUP(B4216,LifeList!$E$2:$I$2038,5)</f>
        <v>Icteridae (Troupials and Allies)</v>
      </c>
      <c r="I4216" s="3"/>
    </row>
    <row r="4217" spans="1:9" ht="10.5" customHeight="1">
      <c r="A4217" s="3" t="s">
        <v>5877</v>
      </c>
      <c r="B4217" s="3" t="s">
        <v>5876</v>
      </c>
      <c r="C4217" s="3">
        <f>VLOOKUP(B4217,LifeList!$E$2:$J$2038,6)</f>
        <v>33607</v>
      </c>
      <c r="D4217" s="3" t="str">
        <f>VLOOKUP(B4217,LifeList!$E$2:$G$2038,1)</f>
        <v>Yellow-billed Cacique</v>
      </c>
      <c r="E4217" s="3" t="str">
        <f>VLOOKUP(B4217,LifeList!$E$2:$G$2038,2)</f>
        <v>Cassique à bec jaune</v>
      </c>
      <c r="F4217" s="3" t="str">
        <f>VLOOKUP(B4217,LifeList!$E$2:$G$2038,3)</f>
        <v>Amblycercus holosericeus</v>
      </c>
      <c r="G4217" s="3" t="str">
        <f>VLOOKUP(B4217,LifeList!$E$2:$I$2038,4)</f>
        <v>Passeriformes</v>
      </c>
      <c r="H4217" s="3" t="str">
        <f>VLOOKUP(B4217,LifeList!$E$2:$I$2038,5)</f>
        <v>Icteridae (Troupials and Allies)</v>
      </c>
      <c r="I4217" s="3"/>
    </row>
    <row r="4218" spans="1:9" ht="10.5" customHeight="1">
      <c r="A4218" s="3" t="s">
        <v>5878</v>
      </c>
      <c r="B4218" s="3" t="s">
        <v>5879</v>
      </c>
      <c r="C4218" s="3">
        <f>VLOOKUP(B4218,LifeList!$E$2:$J$2038,6)</f>
        <v>34643</v>
      </c>
      <c r="D4218" s="3" t="str">
        <f>VLOOKUP(B4218,LifeList!$E$2:$G$2038,1)</f>
        <v>Yellow-billed Cardinal</v>
      </c>
      <c r="E4218" s="3" t="str">
        <f>VLOOKUP(B4218,LifeList!$E$2:$G$2038,2)</f>
        <v>Paroare à bec jaune</v>
      </c>
      <c r="F4218" s="3" t="str">
        <f>VLOOKUP(B4218,LifeList!$E$2:$G$2038,3)</f>
        <v>Paroaria capitata</v>
      </c>
      <c r="G4218" s="3" t="str">
        <f>VLOOKUP(B4218,LifeList!$E$2:$I$2038,4)</f>
        <v>Passeriformes</v>
      </c>
      <c r="H4218" s="3" t="str">
        <f>VLOOKUP(B4218,LifeList!$E$2:$I$2038,5)</f>
        <v>Thraupidae (Tanagers and Allies)</v>
      </c>
      <c r="I4218" s="3"/>
    </row>
    <row r="4219" spans="1:9" ht="10.5" customHeight="1">
      <c r="A4219" s="3" t="s">
        <v>5880</v>
      </c>
      <c r="B4219" s="3" t="s">
        <v>5881</v>
      </c>
      <c r="C4219" s="3">
        <f>VLOOKUP(B4219,LifeList!$E$2:$J$2038,6)</f>
        <v>3238</v>
      </c>
      <c r="D4219" s="3" t="str">
        <f>VLOOKUP(B4219,LifeList!$E$2:$G$2038,1)</f>
        <v>Yellow-billed Cuckoo</v>
      </c>
      <c r="E4219" s="3" t="str">
        <f>VLOOKUP(B4219,LifeList!$E$2:$G$2038,2)</f>
        <v>Coulicou à bec jaune</v>
      </c>
      <c r="F4219" s="3" t="str">
        <f>VLOOKUP(B4219,LifeList!$E$2:$G$2038,3)</f>
        <v>Coccyzus americanus</v>
      </c>
      <c r="G4219" s="3" t="str">
        <f>VLOOKUP(B4219,LifeList!$E$2:$I$2038,4)</f>
        <v>Cuculiformes</v>
      </c>
      <c r="H4219" s="3" t="str">
        <f>VLOOKUP(B4219,LifeList!$E$2:$I$2038,5)</f>
        <v>Cuculidae (Cuckoos)</v>
      </c>
      <c r="I4219" s="3"/>
    </row>
    <row r="4220" spans="1:9" ht="10.5" customHeight="1">
      <c r="A4220" s="3" t="s">
        <v>5882</v>
      </c>
      <c r="B4220" s="3" t="s">
        <v>5881</v>
      </c>
      <c r="C4220" s="3">
        <f>VLOOKUP(B4220,LifeList!$E$2:$J$2038,6)</f>
        <v>3238</v>
      </c>
      <c r="D4220" s="3" t="str">
        <f>VLOOKUP(B4220,LifeList!$E$2:$G$2038,1)</f>
        <v>Yellow-billed Cuckoo</v>
      </c>
      <c r="E4220" s="3" t="str">
        <f>VLOOKUP(B4220,LifeList!$E$2:$G$2038,2)</f>
        <v>Coulicou à bec jaune</v>
      </c>
      <c r="F4220" s="3" t="str">
        <f>VLOOKUP(B4220,LifeList!$E$2:$G$2038,3)</f>
        <v>Coccyzus americanus</v>
      </c>
      <c r="G4220" s="3" t="str">
        <f>VLOOKUP(B4220,LifeList!$E$2:$I$2038,4)</f>
        <v>Cuculiformes</v>
      </c>
      <c r="H4220" s="3" t="str">
        <f>VLOOKUP(B4220,LifeList!$E$2:$I$2038,5)</f>
        <v>Cuculidae (Cuckoos)</v>
      </c>
      <c r="I4220" s="3"/>
    </row>
    <row r="4221" spans="1:9" ht="10.5" customHeight="1">
      <c r="A4221" s="3" t="s">
        <v>5883</v>
      </c>
      <c r="B4221" s="3" t="s">
        <v>5884</v>
      </c>
      <c r="C4221" s="3">
        <f>VLOOKUP(B4221,LifeList!$E$2:$J$2038,6)</f>
        <v>7532</v>
      </c>
      <c r="D4221" s="3" t="str">
        <f>VLOOKUP(B4221,LifeList!$E$2:$G$2038,1)</f>
        <v>Yellow-billed Spoonbill</v>
      </c>
      <c r="E4221" s="3" t="str">
        <f>VLOOKUP(B4221,LifeList!$E$2:$G$2038,2)</f>
        <v>Spatule à bec jaune</v>
      </c>
      <c r="F4221" s="3" t="str">
        <f>VLOOKUP(B4221,LifeList!$E$2:$G$2038,3)</f>
        <v>Platalea flavipes</v>
      </c>
      <c r="G4221" s="3" t="str">
        <f>VLOOKUP(B4221,LifeList!$E$2:$I$2038,4)</f>
        <v>Pelecaniformes</v>
      </c>
      <c r="H4221" s="3" t="str">
        <f>VLOOKUP(B4221,LifeList!$E$2:$I$2038,5)</f>
        <v>Threskiornithidae (Ibises and Spoonbills)</v>
      </c>
      <c r="I4221" s="3"/>
    </row>
    <row r="4222" spans="1:9" ht="10.5" customHeight="1">
      <c r="A4222" s="3" t="s">
        <v>5885</v>
      </c>
      <c r="B4222" s="3" t="s">
        <v>5884</v>
      </c>
      <c r="C4222" s="3">
        <f>VLOOKUP(B4222,LifeList!$E$2:$J$2038,6)</f>
        <v>7532</v>
      </c>
      <c r="D4222" s="3" t="str">
        <f>VLOOKUP(B4222,LifeList!$E$2:$G$2038,1)</f>
        <v>Yellow-billed Spoonbill</v>
      </c>
      <c r="E4222" s="3" t="str">
        <f>VLOOKUP(B4222,LifeList!$E$2:$G$2038,2)</f>
        <v>Spatule à bec jaune</v>
      </c>
      <c r="F4222" s="3" t="str">
        <f>VLOOKUP(B4222,LifeList!$E$2:$G$2038,3)</f>
        <v>Platalea flavipes</v>
      </c>
      <c r="G4222" s="3" t="str">
        <f>VLOOKUP(B4222,LifeList!$E$2:$I$2038,4)</f>
        <v>Pelecaniformes</v>
      </c>
      <c r="H4222" s="3" t="str">
        <f>VLOOKUP(B4222,LifeList!$E$2:$I$2038,5)</f>
        <v>Threskiornithidae (Ibises and Spoonbills)</v>
      </c>
      <c r="I4222" s="3"/>
    </row>
    <row r="4223" spans="1:9" ht="10.5" customHeight="1">
      <c r="A4223" s="3" t="s">
        <v>5886</v>
      </c>
      <c r="B4223" s="3" t="s">
        <v>5887</v>
      </c>
      <c r="C4223" s="3">
        <f>VLOOKUP(B4223,LifeList!$E$2:$J$2038,6)</f>
        <v>7308</v>
      </c>
      <c r="D4223" s="3" t="str">
        <f>VLOOKUP(B4223,LifeList!$E$2:$G$2038,1)</f>
        <v>Yellow-billed Stork</v>
      </c>
      <c r="E4223" s="3" t="str">
        <f>VLOOKUP(B4223,LifeList!$E$2:$G$2038,2)</f>
        <v>Tantale ibis</v>
      </c>
      <c r="F4223" s="3" t="str">
        <f>VLOOKUP(B4223,LifeList!$E$2:$G$2038,3)</f>
        <v>Mycteria ibis</v>
      </c>
      <c r="G4223" s="3" t="str">
        <f>VLOOKUP(B4223,LifeList!$E$2:$I$2038,4)</f>
        <v>Ciconiiformes</v>
      </c>
      <c r="H4223" s="3" t="str">
        <f>VLOOKUP(B4223,LifeList!$E$2:$I$2038,5)</f>
        <v>Ciconiidae (Storks)</v>
      </c>
      <c r="I4223" s="3"/>
    </row>
    <row r="4224" spans="1:9" ht="10.5" customHeight="1">
      <c r="A4224" s="3" t="s">
        <v>5888</v>
      </c>
      <c r="B4224" s="3" t="s">
        <v>5887</v>
      </c>
      <c r="C4224" s="3">
        <f>VLOOKUP(B4224,LifeList!$E$2:$J$2038,6)</f>
        <v>7308</v>
      </c>
      <c r="D4224" s="3" t="str">
        <f>VLOOKUP(B4224,LifeList!$E$2:$G$2038,1)</f>
        <v>Yellow-billed Stork</v>
      </c>
      <c r="E4224" s="3" t="str">
        <f>VLOOKUP(B4224,LifeList!$E$2:$G$2038,2)</f>
        <v>Tantale ibis</v>
      </c>
      <c r="F4224" s="3" t="str">
        <f>VLOOKUP(B4224,LifeList!$E$2:$G$2038,3)</f>
        <v>Mycteria ibis</v>
      </c>
      <c r="G4224" s="3" t="str">
        <f>VLOOKUP(B4224,LifeList!$E$2:$I$2038,4)</f>
        <v>Ciconiiformes</v>
      </c>
      <c r="H4224" s="3" t="str">
        <f>VLOOKUP(B4224,LifeList!$E$2:$I$2038,5)</f>
        <v>Ciconiidae (Storks)</v>
      </c>
      <c r="I4224" s="3"/>
    </row>
    <row r="4225" spans="1:9" ht="10.5" customHeight="1">
      <c r="A4225" s="3" t="s">
        <v>5889</v>
      </c>
      <c r="B4225" s="3" t="s">
        <v>5890</v>
      </c>
      <c r="C4225" s="3">
        <f>VLOOKUP(B4225,LifeList!$E$2:$J$2038,6)</f>
        <v>33559</v>
      </c>
      <c r="D4225" s="3" t="str">
        <f>VLOOKUP(B4225,LifeList!$E$2:$G$2038,1)</f>
        <v>Yellow-breasted Chat</v>
      </c>
      <c r="E4225" s="3" t="str">
        <f>VLOOKUP(B4225,LifeList!$E$2:$G$2038,2)</f>
        <v>Ictérie polyglotte</v>
      </c>
      <c r="F4225" s="3" t="str">
        <f>VLOOKUP(B4225,LifeList!$E$2:$G$2038,3)</f>
        <v>Icteria virens</v>
      </c>
      <c r="G4225" s="3" t="str">
        <f>VLOOKUP(B4225,LifeList!$E$2:$I$2038,4)</f>
        <v>Passeriformes</v>
      </c>
      <c r="H4225" s="3" t="str">
        <f>VLOOKUP(B4225,LifeList!$E$2:$I$2038,5)</f>
        <v>Icteriidae (Yellow-breasted Chat)</v>
      </c>
      <c r="I4225" s="3"/>
    </row>
    <row r="4226" spans="1:9" ht="10.5" customHeight="1">
      <c r="A4226" s="3" t="s">
        <v>5891</v>
      </c>
      <c r="B4226" s="3" t="s">
        <v>5892</v>
      </c>
      <c r="C4226" s="3">
        <f>VLOOKUP(B4226,LifeList!$E$2:$J$2038,6)</f>
        <v>5631</v>
      </c>
      <c r="D4226" s="3" t="str">
        <f>VLOOKUP(B4226,LifeList!$E$2:$G$2038,1)</f>
        <v>Yellow-breasted Crake</v>
      </c>
      <c r="E4226" s="3" t="str">
        <f>VLOOKUP(B4226,LifeList!$E$2:$G$2038,2)</f>
        <v>Râle à sourcils blancs</v>
      </c>
      <c r="F4226" s="3" t="str">
        <f>VLOOKUP(B4226,LifeList!$E$2:$G$2038,3)</f>
        <v>Laterallus flaviventer</v>
      </c>
      <c r="G4226" s="3" t="str">
        <f>VLOOKUP(B4226,LifeList!$E$2:$I$2038,4)</f>
        <v>Gruiformes</v>
      </c>
      <c r="H4226" s="3" t="str">
        <f>VLOOKUP(B4226,LifeList!$E$2:$I$2038,5)</f>
        <v>Rallidae (Rails, Gallinules, and Coots)</v>
      </c>
      <c r="I4226" s="3"/>
    </row>
    <row r="4227" spans="1:9" ht="10.5" customHeight="1">
      <c r="A4227" s="3" t="s">
        <v>5893</v>
      </c>
      <c r="B4227" s="3" t="s">
        <v>5892</v>
      </c>
      <c r="C4227" s="3">
        <f>VLOOKUP(B4227,LifeList!$E$2:$J$2038,6)</f>
        <v>5631</v>
      </c>
      <c r="D4227" s="3" t="str">
        <f>VLOOKUP(B4227,LifeList!$E$2:$G$2038,1)</f>
        <v>Yellow-breasted Crake</v>
      </c>
      <c r="E4227" s="3" t="str">
        <f>VLOOKUP(B4227,LifeList!$E$2:$G$2038,2)</f>
        <v>Râle à sourcils blancs</v>
      </c>
      <c r="F4227" s="3" t="str">
        <f>VLOOKUP(B4227,LifeList!$E$2:$G$2038,3)</f>
        <v>Laterallus flaviventer</v>
      </c>
      <c r="G4227" s="3" t="str">
        <f>VLOOKUP(B4227,LifeList!$E$2:$I$2038,4)</f>
        <v>Gruiformes</v>
      </c>
      <c r="H4227" s="3" t="str">
        <f>VLOOKUP(B4227,LifeList!$E$2:$I$2038,5)</f>
        <v>Rallidae (Rails, Gallinules, and Coots)</v>
      </c>
      <c r="I4227" s="3"/>
    </row>
    <row r="4228" spans="1:9" ht="10.5" customHeight="1">
      <c r="A4228" s="3" t="s">
        <v>5894</v>
      </c>
      <c r="B4228" s="3" t="s">
        <v>5892</v>
      </c>
      <c r="C4228" s="3">
        <f>VLOOKUP(B4228,LifeList!$E$2:$J$2038,6)</f>
        <v>5631</v>
      </c>
      <c r="D4228" s="3" t="str">
        <f>VLOOKUP(B4228,LifeList!$E$2:$G$2038,1)</f>
        <v>Yellow-breasted Crake</v>
      </c>
      <c r="E4228" s="3" t="str">
        <f>VLOOKUP(B4228,LifeList!$E$2:$G$2038,2)</f>
        <v>Râle à sourcils blancs</v>
      </c>
      <c r="F4228" s="3" t="str">
        <f>VLOOKUP(B4228,LifeList!$E$2:$G$2038,3)</f>
        <v>Laterallus flaviventer</v>
      </c>
      <c r="G4228" s="3" t="str">
        <f>VLOOKUP(B4228,LifeList!$E$2:$I$2038,4)</f>
        <v>Gruiformes</v>
      </c>
      <c r="H4228" s="3" t="str">
        <f>VLOOKUP(B4228,LifeList!$E$2:$I$2038,5)</f>
        <v>Rallidae (Rails, Gallinules, and Coots)</v>
      </c>
      <c r="I4228" s="3"/>
    </row>
    <row r="4229" spans="1:9" ht="10.5" customHeight="1">
      <c r="A4229" s="3" t="s">
        <v>5895</v>
      </c>
      <c r="B4229" s="3" t="s">
        <v>5892</v>
      </c>
      <c r="C4229" s="3">
        <f>VLOOKUP(B4229,LifeList!$E$2:$J$2038,6)</f>
        <v>5631</v>
      </c>
      <c r="D4229" s="3" t="str">
        <f>VLOOKUP(B4229,LifeList!$E$2:$G$2038,1)</f>
        <v>Yellow-breasted Crake</v>
      </c>
      <c r="E4229" s="3" t="str">
        <f>VLOOKUP(B4229,LifeList!$E$2:$G$2038,2)</f>
        <v>Râle à sourcils blancs</v>
      </c>
      <c r="F4229" s="3" t="str">
        <f>VLOOKUP(B4229,LifeList!$E$2:$G$2038,3)</f>
        <v>Laterallus flaviventer</v>
      </c>
      <c r="G4229" s="3" t="str">
        <f>VLOOKUP(B4229,LifeList!$E$2:$I$2038,4)</f>
        <v>Gruiformes</v>
      </c>
      <c r="H4229" s="3" t="str">
        <f>VLOOKUP(B4229,LifeList!$E$2:$I$2038,5)</f>
        <v>Rallidae (Rails, Gallinules, and Coots)</v>
      </c>
      <c r="I4229" s="3"/>
    </row>
    <row r="4230" spans="1:9" ht="10.5" customHeight="1">
      <c r="A4230" s="3" t="s">
        <v>5896</v>
      </c>
      <c r="B4230" s="3" t="s">
        <v>5897</v>
      </c>
      <c r="C4230" s="3">
        <f>VLOOKUP(B4230,LifeList!$E$2:$J$2038,6)</f>
        <v>15554</v>
      </c>
      <c r="D4230" s="3" t="str">
        <f>VLOOKUP(B4230,LifeList!$E$2:$G$2038,1)</f>
        <v>Yellow-chinned Spinetail</v>
      </c>
      <c r="E4230" s="3" t="str">
        <f>VLOOKUP(B4230,LifeList!$E$2:$G$2038,2)</f>
        <v>Synallaxe à gorge jaune</v>
      </c>
      <c r="F4230" s="3" t="str">
        <f>VLOOKUP(B4230,LifeList!$E$2:$G$2038,3)</f>
        <v>Certhiaxis cinnamomeus</v>
      </c>
      <c r="G4230" s="3" t="str">
        <f>VLOOKUP(B4230,LifeList!$E$2:$I$2038,4)</f>
        <v>Passeriformes</v>
      </c>
      <c r="H4230" s="3" t="str">
        <f>VLOOKUP(B4230,LifeList!$E$2:$I$2038,5)</f>
        <v>Furnariidae (Ovenbirds and Woodcreepers)</v>
      </c>
      <c r="I4230" s="3"/>
    </row>
    <row r="4231" spans="1:9" ht="10.5" customHeight="1">
      <c r="A4231" s="3" t="s">
        <v>5898</v>
      </c>
      <c r="B4231" s="3" t="s">
        <v>5897</v>
      </c>
      <c r="C4231" s="3">
        <f>VLOOKUP(B4231,LifeList!$E$2:$J$2038,6)</f>
        <v>15554</v>
      </c>
      <c r="D4231" s="3" t="str">
        <f>VLOOKUP(B4231,LifeList!$E$2:$G$2038,1)</f>
        <v>Yellow-chinned Spinetail</v>
      </c>
      <c r="E4231" s="3" t="str">
        <f>VLOOKUP(B4231,LifeList!$E$2:$G$2038,2)</f>
        <v>Synallaxe à gorge jaune</v>
      </c>
      <c r="F4231" s="3" t="str">
        <f>VLOOKUP(B4231,LifeList!$E$2:$G$2038,3)</f>
        <v>Certhiaxis cinnamomeus</v>
      </c>
      <c r="G4231" s="3" t="str">
        <f>VLOOKUP(B4231,LifeList!$E$2:$I$2038,4)</f>
        <v>Passeriformes</v>
      </c>
      <c r="H4231" s="3" t="str">
        <f>VLOOKUP(B4231,LifeList!$E$2:$I$2038,5)</f>
        <v>Furnariidae (Ovenbirds and Woodcreepers)</v>
      </c>
      <c r="I4231" s="3"/>
    </row>
    <row r="4232" spans="1:9" ht="10.5" customHeight="1">
      <c r="A4232" s="3" t="s">
        <v>5899</v>
      </c>
      <c r="B4232" s="3" t="s">
        <v>5900</v>
      </c>
      <c r="C4232" s="3">
        <f>VLOOKUP(B4232,LifeList!$E$2:$J$2038,6)</f>
        <v>12750</v>
      </c>
      <c r="D4232" s="3" t="str">
        <f>VLOOKUP(B4232,LifeList!$E$2:$G$2038,1)</f>
        <v>Yellow-collared Lovebird</v>
      </c>
      <c r="E4232" s="3" t="str">
        <f>VLOOKUP(B4232,LifeList!$E$2:$G$2038,2)</f>
        <v>Inséparable masqué</v>
      </c>
      <c r="F4232" s="3" t="str">
        <f>VLOOKUP(B4232,LifeList!$E$2:$G$2038,3)</f>
        <v>Agapornis personatus</v>
      </c>
      <c r="G4232" s="3" t="str">
        <f>VLOOKUP(B4232,LifeList!$E$2:$I$2038,4)</f>
        <v>Psittaciformes</v>
      </c>
      <c r="H4232" s="3" t="str">
        <f>VLOOKUP(B4232,LifeList!$E$2:$I$2038,5)</f>
        <v>Psittaculidae (Old World Parrots)</v>
      </c>
      <c r="I4232" s="3"/>
    </row>
    <row r="4233" spans="1:9" ht="10.5" customHeight="1">
      <c r="A4233" s="3" t="s">
        <v>5901</v>
      </c>
      <c r="B4233" s="3" t="s">
        <v>5902</v>
      </c>
      <c r="C4233" s="3">
        <f>VLOOKUP(B4233,LifeList!$E$2:$J$2038,6)</f>
        <v>12933</v>
      </c>
      <c r="D4233" s="3" t="str">
        <f>VLOOKUP(B4233,LifeList!$E$2:$G$2038,1)</f>
        <v>Yellow-crowned Amazon</v>
      </c>
      <c r="E4233" s="3" t="str">
        <f>VLOOKUP(B4233,LifeList!$E$2:$G$2038,2)</f>
        <v>Amazone à front jaune</v>
      </c>
      <c r="F4233" s="3" t="str">
        <f>VLOOKUP(B4233,LifeList!$E$2:$G$2038,3)</f>
        <v>Amazona ochrocephala</v>
      </c>
      <c r="G4233" s="3" t="str">
        <f>VLOOKUP(B4233,LifeList!$E$2:$I$2038,4)</f>
        <v>Psittaciformes</v>
      </c>
      <c r="H4233" s="3" t="str">
        <f>VLOOKUP(B4233,LifeList!$E$2:$I$2038,5)</f>
        <v>Psittacidae (New World and African Parrots)</v>
      </c>
      <c r="I4233" s="3"/>
    </row>
    <row r="4234" spans="1:9" ht="10.5" customHeight="1">
      <c r="A4234" s="3" t="s">
        <v>5903</v>
      </c>
      <c r="B4234" s="3" t="s">
        <v>5902</v>
      </c>
      <c r="C4234" s="3">
        <f>VLOOKUP(B4234,LifeList!$E$2:$J$2038,6)</f>
        <v>12933</v>
      </c>
      <c r="D4234" s="3" t="str">
        <f>VLOOKUP(B4234,LifeList!$E$2:$G$2038,1)</f>
        <v>Yellow-crowned Amazon</v>
      </c>
      <c r="E4234" s="3" t="str">
        <f>VLOOKUP(B4234,LifeList!$E$2:$G$2038,2)</f>
        <v>Amazone à front jaune</v>
      </c>
      <c r="F4234" s="3" t="str">
        <f>VLOOKUP(B4234,LifeList!$E$2:$G$2038,3)</f>
        <v>Amazona ochrocephala</v>
      </c>
      <c r="G4234" s="3" t="str">
        <f>VLOOKUP(B4234,LifeList!$E$2:$I$2038,4)</f>
        <v>Psittaciformes</v>
      </c>
      <c r="H4234" s="3" t="str">
        <f>VLOOKUP(B4234,LifeList!$E$2:$I$2038,5)</f>
        <v>Psittacidae (New World and African Parrots)</v>
      </c>
      <c r="I4234" s="3"/>
    </row>
    <row r="4235" spans="1:9" ht="10.5" customHeight="1">
      <c r="A4235" s="3" t="s">
        <v>5904</v>
      </c>
      <c r="B4235" s="3" t="s">
        <v>5902</v>
      </c>
      <c r="C4235" s="3">
        <f>VLOOKUP(B4235,LifeList!$E$2:$J$2038,6)</f>
        <v>12933</v>
      </c>
      <c r="D4235" s="3" t="str">
        <f>VLOOKUP(B4235,LifeList!$E$2:$G$2038,1)</f>
        <v>Yellow-crowned Amazon</v>
      </c>
      <c r="E4235" s="3" t="str">
        <f>VLOOKUP(B4235,LifeList!$E$2:$G$2038,2)</f>
        <v>Amazone à front jaune</v>
      </c>
      <c r="F4235" s="3" t="str">
        <f>VLOOKUP(B4235,LifeList!$E$2:$G$2038,3)</f>
        <v>Amazona ochrocephala</v>
      </c>
      <c r="G4235" s="3" t="str">
        <f>VLOOKUP(B4235,LifeList!$E$2:$I$2038,4)</f>
        <v>Psittaciformes</v>
      </c>
      <c r="H4235" s="3" t="str">
        <f>VLOOKUP(B4235,LifeList!$E$2:$I$2038,5)</f>
        <v>Psittacidae (New World and African Parrots)</v>
      </c>
      <c r="I4235" s="3"/>
    </row>
    <row r="4236" spans="1:9" ht="10.5" customHeight="1">
      <c r="A4236" s="3" t="s">
        <v>5905</v>
      </c>
      <c r="B4236" s="3" t="s">
        <v>5906</v>
      </c>
      <c r="C4236" s="3">
        <f>VLOOKUP(B4236,LifeList!$E$2:$J$2038,6)</f>
        <v>32018</v>
      </c>
      <c r="D4236" s="3" t="str">
        <f>VLOOKUP(B4236,LifeList!$E$2:$G$2038,1)</f>
        <v>Yellow-crowned Euphonia</v>
      </c>
      <c r="E4236" s="3" t="str">
        <f>VLOOKUP(B4236,LifeList!$E$2:$G$2038,2)</f>
        <v>Organiste à calotte jaune</v>
      </c>
      <c r="F4236" s="3" t="str">
        <f>VLOOKUP(B4236,LifeList!$E$2:$G$2038,3)</f>
        <v>Euphonia luteicapilla</v>
      </c>
      <c r="G4236" s="3" t="str">
        <f>VLOOKUP(B4236,LifeList!$E$2:$I$2038,4)</f>
        <v>Passeriformes</v>
      </c>
      <c r="H4236" s="3" t="str">
        <f>VLOOKUP(B4236,LifeList!$E$2:$I$2038,5)</f>
        <v>Fringillidae (Finches, Euphonias, and Allies)</v>
      </c>
      <c r="I4236" s="3"/>
    </row>
    <row r="4237" spans="1:9" ht="10.5" customHeight="1">
      <c r="A4237" s="3" t="s">
        <v>5907</v>
      </c>
      <c r="B4237" s="3" t="s">
        <v>5906</v>
      </c>
      <c r="C4237" s="3">
        <f>VLOOKUP(B4237,LifeList!$E$2:$J$2038,6)</f>
        <v>32018</v>
      </c>
      <c r="D4237" s="3" t="str">
        <f>VLOOKUP(B4237,LifeList!$E$2:$G$2038,1)</f>
        <v>Yellow-crowned Euphonia</v>
      </c>
      <c r="E4237" s="3" t="str">
        <f>VLOOKUP(B4237,LifeList!$E$2:$G$2038,2)</f>
        <v>Organiste à calotte jaune</v>
      </c>
      <c r="F4237" s="3" t="str">
        <f>VLOOKUP(B4237,LifeList!$E$2:$G$2038,3)</f>
        <v>Euphonia luteicapilla</v>
      </c>
      <c r="G4237" s="3" t="str">
        <f>VLOOKUP(B4237,LifeList!$E$2:$I$2038,4)</f>
        <v>Passeriformes</v>
      </c>
      <c r="H4237" s="3" t="str">
        <f>VLOOKUP(B4237,LifeList!$E$2:$I$2038,5)</f>
        <v>Fringillidae (Finches, Euphonias, and Allies)</v>
      </c>
      <c r="I4237" s="3"/>
    </row>
    <row r="4238" spans="1:9" ht="10.5" customHeight="1">
      <c r="A4238" s="3" t="s">
        <v>5908</v>
      </c>
      <c r="B4238" s="3" t="s">
        <v>5909</v>
      </c>
      <c r="C4238" s="3">
        <f>VLOOKUP(B4238,LifeList!$E$2:$J$2038,6)</f>
        <v>7591</v>
      </c>
      <c r="D4238" s="3" t="str">
        <f>VLOOKUP(B4238,LifeList!$E$2:$G$2038,1)</f>
        <v>Yellow-crowned Night Heron</v>
      </c>
      <c r="E4238" s="3" t="str">
        <f>VLOOKUP(B4238,LifeList!$E$2:$G$2038,2)</f>
        <v>Bihoreau violacé</v>
      </c>
      <c r="F4238" s="3" t="str">
        <f>VLOOKUP(B4238,LifeList!$E$2:$G$2038,3)</f>
        <v>Nyctanassa violacea</v>
      </c>
      <c r="G4238" s="3" t="str">
        <f>VLOOKUP(B4238,LifeList!$E$2:$I$2038,4)</f>
        <v>Pelecaniformes</v>
      </c>
      <c r="H4238" s="3" t="str">
        <f>VLOOKUP(B4238,LifeList!$E$2:$I$2038,5)</f>
        <v>Ardeidae (Herons, Egrets, and Bitterns)</v>
      </c>
      <c r="I4238" s="3"/>
    </row>
    <row r="4239" spans="1:9" ht="10.5" customHeight="1">
      <c r="A4239" s="3" t="s">
        <v>5910</v>
      </c>
      <c r="B4239" s="3" t="s">
        <v>5909</v>
      </c>
      <c r="C4239" s="3">
        <f>VLOOKUP(B4239,LifeList!$E$2:$J$2038,6)</f>
        <v>7591</v>
      </c>
      <c r="D4239" s="3" t="str">
        <f>VLOOKUP(B4239,LifeList!$E$2:$G$2038,1)</f>
        <v>Yellow-crowned Night Heron</v>
      </c>
      <c r="E4239" s="3" t="str">
        <f>VLOOKUP(B4239,LifeList!$E$2:$G$2038,2)</f>
        <v>Bihoreau violacé</v>
      </c>
      <c r="F4239" s="3" t="str">
        <f>VLOOKUP(B4239,LifeList!$E$2:$G$2038,3)</f>
        <v>Nyctanassa violacea</v>
      </c>
      <c r="G4239" s="3" t="str">
        <f>VLOOKUP(B4239,LifeList!$E$2:$I$2038,4)</f>
        <v>Pelecaniformes</v>
      </c>
      <c r="H4239" s="3" t="str">
        <f>VLOOKUP(B4239,LifeList!$E$2:$I$2038,5)</f>
        <v>Ardeidae (Herons, Egrets, and Bitterns)</v>
      </c>
      <c r="I4239" s="3"/>
    </row>
    <row r="4240" spans="1:9" ht="10.5" customHeight="1">
      <c r="A4240" s="3" t="s">
        <v>5911</v>
      </c>
      <c r="B4240" s="3" t="s">
        <v>5909</v>
      </c>
      <c r="C4240" s="3">
        <f>VLOOKUP(B4240,LifeList!$E$2:$J$2038,6)</f>
        <v>7591</v>
      </c>
      <c r="D4240" s="3" t="str">
        <f>VLOOKUP(B4240,LifeList!$E$2:$G$2038,1)</f>
        <v>Yellow-crowned Night Heron</v>
      </c>
      <c r="E4240" s="3" t="str">
        <f>VLOOKUP(B4240,LifeList!$E$2:$G$2038,2)</f>
        <v>Bihoreau violacé</v>
      </c>
      <c r="F4240" s="3" t="str">
        <f>VLOOKUP(B4240,LifeList!$E$2:$G$2038,3)</f>
        <v>Nyctanassa violacea</v>
      </c>
      <c r="G4240" s="3" t="str">
        <f>VLOOKUP(B4240,LifeList!$E$2:$I$2038,4)</f>
        <v>Pelecaniformes</v>
      </c>
      <c r="H4240" s="3" t="str">
        <f>VLOOKUP(B4240,LifeList!$E$2:$I$2038,5)</f>
        <v>Ardeidae (Herons, Egrets, and Bitterns)</v>
      </c>
      <c r="I4240" s="3"/>
    </row>
    <row r="4241" spans="1:9" ht="10.5" customHeight="1">
      <c r="A4241" s="3" t="s">
        <v>5912</v>
      </c>
      <c r="B4241" s="3" t="s">
        <v>5913</v>
      </c>
      <c r="C4241" s="3">
        <f>VLOOKUP(B4241,LifeList!$E$2:$J$2038,6)</f>
        <v>34383</v>
      </c>
      <c r="D4241" s="3" t="str">
        <f>VLOOKUP(B4241,LifeList!$E$2:$G$2038,1)</f>
        <v>Yellow-crowned Redstart</v>
      </c>
      <c r="E4241" s="3" t="str">
        <f>VLOOKUP(B4241,LifeList!$E$2:$G$2038,2)</f>
        <v>Paruline à cimier jaune</v>
      </c>
      <c r="F4241" s="3" t="str">
        <f>VLOOKUP(B4241,LifeList!$E$2:$G$2038,3)</f>
        <v>Myioborus flavivertex</v>
      </c>
      <c r="G4241" s="3" t="str">
        <f>VLOOKUP(B4241,LifeList!$E$2:$I$2038,4)</f>
        <v>Passeriformes</v>
      </c>
      <c r="H4241" s="3" t="str">
        <f>VLOOKUP(B4241,LifeList!$E$2:$I$2038,5)</f>
        <v>Parulidae (New World Warblers)</v>
      </c>
      <c r="I4241" s="3"/>
    </row>
    <row r="4242" spans="1:9" ht="10.5" customHeight="1">
      <c r="A4242" s="3" t="s">
        <v>5914</v>
      </c>
      <c r="B4242" s="3" t="s">
        <v>5913</v>
      </c>
      <c r="C4242" s="3">
        <f>VLOOKUP(B4242,LifeList!$E$2:$J$2038,6)</f>
        <v>34383</v>
      </c>
      <c r="D4242" s="3" t="str">
        <f>VLOOKUP(B4242,LifeList!$E$2:$G$2038,1)</f>
        <v>Yellow-crowned Redstart</v>
      </c>
      <c r="E4242" s="3" t="str">
        <f>VLOOKUP(B4242,LifeList!$E$2:$G$2038,2)</f>
        <v>Paruline à cimier jaune</v>
      </c>
      <c r="F4242" s="3" t="str">
        <f>VLOOKUP(B4242,LifeList!$E$2:$G$2038,3)</f>
        <v>Myioborus flavivertex</v>
      </c>
      <c r="G4242" s="3" t="str">
        <f>VLOOKUP(B4242,LifeList!$E$2:$I$2038,4)</f>
        <v>Passeriformes</v>
      </c>
      <c r="H4242" s="3" t="str">
        <f>VLOOKUP(B4242,LifeList!$E$2:$I$2038,5)</f>
        <v>Parulidae (New World Warblers)</v>
      </c>
      <c r="I4242" s="3"/>
    </row>
    <row r="4243" spans="1:9" ht="10.5" customHeight="1">
      <c r="A4243" s="3" t="s">
        <v>5915</v>
      </c>
      <c r="B4243" s="3" t="s">
        <v>5916</v>
      </c>
      <c r="C4243" s="3">
        <f>VLOOKUP(B4243,LifeList!$E$2:$J$2038,6)</f>
        <v>16653</v>
      </c>
      <c r="D4243" s="3" t="str">
        <f>VLOOKUP(B4243,LifeList!$E$2:$G$2038,1)</f>
        <v>Yellow-crowned Tyrannulet</v>
      </c>
      <c r="E4243" s="3" t="str">
        <f>VLOOKUP(B4243,LifeList!$E$2:$G$2038,2)</f>
        <v>Tyranneau roitelet</v>
      </c>
      <c r="F4243" s="3" t="str">
        <f>VLOOKUP(B4243,LifeList!$E$2:$G$2038,3)</f>
        <v>Tyrannulus elatus</v>
      </c>
      <c r="G4243" s="3" t="str">
        <f>VLOOKUP(B4243,LifeList!$E$2:$I$2038,4)</f>
        <v>Passeriformes</v>
      </c>
      <c r="H4243" s="3" t="str">
        <f>VLOOKUP(B4243,LifeList!$E$2:$I$2038,5)</f>
        <v>Tyrannidae (Tyrant Flycatchers)</v>
      </c>
      <c r="I4243" s="3"/>
    </row>
    <row r="4244" spans="1:9" ht="10.5" customHeight="1">
      <c r="A4244" s="3" t="s">
        <v>5917</v>
      </c>
      <c r="B4244" s="3" t="s">
        <v>5918</v>
      </c>
      <c r="C4244" s="3">
        <f>VLOOKUP(B4244,LifeList!$E$2:$J$2038,6)</f>
        <v>35692</v>
      </c>
      <c r="D4244" s="3" t="str">
        <f>VLOOKUP(B4244,LifeList!$E$2:$G$2038,1)</f>
        <v>Yellow-faced Grassquit</v>
      </c>
      <c r="E4244" s="3" t="str">
        <f>VLOOKUP(B4244,LifeList!$E$2:$G$2038,2)</f>
        <v>Tiaris grand-chanteur</v>
      </c>
      <c r="F4244" s="3" t="str">
        <f>VLOOKUP(B4244,LifeList!$E$2:$G$2038,3)</f>
        <v>Tiaris olivaceus</v>
      </c>
      <c r="G4244" s="3" t="str">
        <f>VLOOKUP(B4244,LifeList!$E$2:$I$2038,4)</f>
        <v>Passeriformes</v>
      </c>
      <c r="H4244" s="3" t="str">
        <f>VLOOKUP(B4244,LifeList!$E$2:$I$2038,5)</f>
        <v>Thraupidae (Tanagers and Allies)</v>
      </c>
      <c r="I4244" s="3"/>
    </row>
    <row r="4245" spans="1:9" ht="10.5" customHeight="1">
      <c r="A4245" s="3" t="s">
        <v>5919</v>
      </c>
      <c r="B4245" s="3" t="s">
        <v>5918</v>
      </c>
      <c r="C4245" s="3">
        <f>VLOOKUP(B4245,LifeList!$E$2:$J$2038,6)</f>
        <v>35692</v>
      </c>
      <c r="D4245" s="3" t="str">
        <f>VLOOKUP(B4245,LifeList!$E$2:$G$2038,1)</f>
        <v>Yellow-faced Grassquit</v>
      </c>
      <c r="E4245" s="3" t="str">
        <f>VLOOKUP(B4245,LifeList!$E$2:$G$2038,2)</f>
        <v>Tiaris grand-chanteur</v>
      </c>
      <c r="F4245" s="3" t="str">
        <f>VLOOKUP(B4245,LifeList!$E$2:$G$2038,3)</f>
        <v>Tiaris olivaceus</v>
      </c>
      <c r="G4245" s="3" t="str">
        <f>VLOOKUP(B4245,LifeList!$E$2:$I$2038,4)</f>
        <v>Passeriformes</v>
      </c>
      <c r="H4245" s="3" t="str">
        <f>VLOOKUP(B4245,LifeList!$E$2:$I$2038,5)</f>
        <v>Thraupidae (Tanagers and Allies)</v>
      </c>
      <c r="I4245" s="3"/>
    </row>
    <row r="4246" spans="1:9" ht="10.5" customHeight="1">
      <c r="A4246" s="3" t="s">
        <v>5920</v>
      </c>
      <c r="B4246" s="3" t="s">
        <v>5918</v>
      </c>
      <c r="C4246" s="3">
        <f>VLOOKUP(B4246,LifeList!$E$2:$J$2038,6)</f>
        <v>35692</v>
      </c>
      <c r="D4246" s="3" t="str">
        <f>VLOOKUP(B4246,LifeList!$E$2:$G$2038,1)</f>
        <v>Yellow-faced Grassquit</v>
      </c>
      <c r="E4246" s="3" t="str">
        <f>VLOOKUP(B4246,LifeList!$E$2:$G$2038,2)</f>
        <v>Tiaris grand-chanteur</v>
      </c>
      <c r="F4246" s="3" t="str">
        <f>VLOOKUP(B4246,LifeList!$E$2:$G$2038,3)</f>
        <v>Tiaris olivaceus</v>
      </c>
      <c r="G4246" s="3" t="str">
        <f>VLOOKUP(B4246,LifeList!$E$2:$I$2038,4)</f>
        <v>Passeriformes</v>
      </c>
      <c r="H4246" s="3" t="str">
        <f>VLOOKUP(B4246,LifeList!$E$2:$I$2038,5)</f>
        <v>Thraupidae (Tanagers and Allies)</v>
      </c>
      <c r="I4246" s="3"/>
    </row>
    <row r="4247" spans="1:9" ht="10.5" customHeight="1">
      <c r="A4247" s="3" t="s">
        <v>5921</v>
      </c>
      <c r="B4247" s="3" t="s">
        <v>5918</v>
      </c>
      <c r="C4247" s="3">
        <f>VLOOKUP(B4247,LifeList!$E$2:$J$2038,6)</f>
        <v>35692</v>
      </c>
      <c r="D4247" s="3" t="str">
        <f>VLOOKUP(B4247,LifeList!$E$2:$G$2038,1)</f>
        <v>Yellow-faced Grassquit</v>
      </c>
      <c r="E4247" s="3" t="str">
        <f>VLOOKUP(B4247,LifeList!$E$2:$G$2038,2)</f>
        <v>Tiaris grand-chanteur</v>
      </c>
      <c r="F4247" s="3" t="str">
        <f>VLOOKUP(B4247,LifeList!$E$2:$G$2038,3)</f>
        <v>Tiaris olivaceus</v>
      </c>
      <c r="G4247" s="3" t="str">
        <f>VLOOKUP(B4247,LifeList!$E$2:$I$2038,4)</f>
        <v>Passeriformes</v>
      </c>
      <c r="H4247" s="3" t="str">
        <f>VLOOKUP(B4247,LifeList!$E$2:$I$2038,5)</f>
        <v>Thraupidae (Tanagers and Allies)</v>
      </c>
      <c r="I4247" s="3"/>
    </row>
    <row r="4248" spans="1:9" ht="10.5" customHeight="1">
      <c r="A4248" s="3" t="s">
        <v>5922</v>
      </c>
      <c r="B4248" s="3" t="s">
        <v>5918</v>
      </c>
      <c r="C4248" s="3">
        <f>VLOOKUP(B4248,LifeList!$E$2:$J$2038,6)</f>
        <v>35692</v>
      </c>
      <c r="D4248" s="3" t="str">
        <f>VLOOKUP(B4248,LifeList!$E$2:$G$2038,1)</f>
        <v>Yellow-faced Grassquit</v>
      </c>
      <c r="E4248" s="3" t="str">
        <f>VLOOKUP(B4248,LifeList!$E$2:$G$2038,2)</f>
        <v>Tiaris grand-chanteur</v>
      </c>
      <c r="F4248" s="3" t="str">
        <f>VLOOKUP(B4248,LifeList!$E$2:$G$2038,3)</f>
        <v>Tiaris olivaceus</v>
      </c>
      <c r="G4248" s="3" t="str">
        <f>VLOOKUP(B4248,LifeList!$E$2:$I$2038,4)</f>
        <v>Passeriformes</v>
      </c>
      <c r="H4248" s="3" t="str">
        <f>VLOOKUP(B4248,LifeList!$E$2:$I$2038,5)</f>
        <v>Thraupidae (Tanagers and Allies)</v>
      </c>
      <c r="I4248" s="3"/>
    </row>
    <row r="4249" spans="1:9" ht="10.5" customHeight="1">
      <c r="A4249" s="3" t="s">
        <v>5923</v>
      </c>
      <c r="B4249" s="3" t="s">
        <v>5918</v>
      </c>
      <c r="C4249" s="3">
        <f>VLOOKUP(B4249,LifeList!$E$2:$J$2038,6)</f>
        <v>35692</v>
      </c>
      <c r="D4249" s="3" t="str">
        <f>VLOOKUP(B4249,LifeList!$E$2:$G$2038,1)</f>
        <v>Yellow-faced Grassquit</v>
      </c>
      <c r="E4249" s="3" t="str">
        <f>VLOOKUP(B4249,LifeList!$E$2:$G$2038,2)</f>
        <v>Tiaris grand-chanteur</v>
      </c>
      <c r="F4249" s="3" t="str">
        <f>VLOOKUP(B4249,LifeList!$E$2:$G$2038,3)</f>
        <v>Tiaris olivaceus</v>
      </c>
      <c r="G4249" s="3" t="str">
        <f>VLOOKUP(B4249,LifeList!$E$2:$I$2038,4)</f>
        <v>Passeriformes</v>
      </c>
      <c r="H4249" s="3" t="str">
        <f>VLOOKUP(B4249,LifeList!$E$2:$I$2038,5)</f>
        <v>Thraupidae (Tanagers and Allies)</v>
      </c>
      <c r="I4249" s="3"/>
    </row>
    <row r="4250" spans="1:9" ht="10.5" customHeight="1">
      <c r="A4250" s="3" t="s">
        <v>5924</v>
      </c>
      <c r="B4250" s="3" t="s">
        <v>5925</v>
      </c>
      <c r="C4250" s="3">
        <f>VLOOKUP(B4250,LifeList!$E$2:$J$2038,6)</f>
        <v>17787</v>
      </c>
      <c r="D4250" s="3" t="str">
        <f>VLOOKUP(B4250,LifeList!$E$2:$G$2038,1)</f>
        <v>Yellow-faced Honeyeater</v>
      </c>
      <c r="E4250" s="3" t="str">
        <f>VLOOKUP(B4250,LifeList!$E$2:$G$2038,2)</f>
        <v>Méliphage à joues d'or</v>
      </c>
      <c r="F4250" s="3" t="str">
        <f>VLOOKUP(B4250,LifeList!$E$2:$G$2038,3)</f>
        <v>Caligavis chrysops</v>
      </c>
      <c r="G4250" s="3" t="str">
        <f>VLOOKUP(B4250,LifeList!$E$2:$I$2038,4)</f>
        <v>Passeriformes</v>
      </c>
      <c r="H4250" s="3" t="str">
        <f>VLOOKUP(B4250,LifeList!$E$2:$I$2038,5)</f>
        <v>Meliphagidae (Honeyeaters)</v>
      </c>
      <c r="I4250" s="3"/>
    </row>
    <row r="4251" spans="1:9" ht="10.5" customHeight="1">
      <c r="A4251" s="3" t="s">
        <v>5926</v>
      </c>
      <c r="B4251" s="3" t="s">
        <v>5925</v>
      </c>
      <c r="C4251" s="3">
        <f>VLOOKUP(B4251,LifeList!$E$2:$J$2038,6)</f>
        <v>17787</v>
      </c>
      <c r="D4251" s="3" t="str">
        <f>VLOOKUP(B4251,LifeList!$E$2:$G$2038,1)</f>
        <v>Yellow-faced Honeyeater</v>
      </c>
      <c r="E4251" s="3" t="str">
        <f>VLOOKUP(B4251,LifeList!$E$2:$G$2038,2)</f>
        <v>Méliphage à joues d'or</v>
      </c>
      <c r="F4251" s="3" t="str">
        <f>VLOOKUP(B4251,LifeList!$E$2:$G$2038,3)</f>
        <v>Caligavis chrysops</v>
      </c>
      <c r="G4251" s="3" t="str">
        <f>VLOOKUP(B4251,LifeList!$E$2:$I$2038,4)</f>
        <v>Passeriformes</v>
      </c>
      <c r="H4251" s="3" t="str">
        <f>VLOOKUP(B4251,LifeList!$E$2:$I$2038,5)</f>
        <v>Meliphagidae (Honeyeaters)</v>
      </c>
      <c r="I4251" s="3"/>
    </row>
    <row r="4252" spans="1:9" ht="10.5" customHeight="1">
      <c r="A4252" s="3" t="s">
        <v>5927</v>
      </c>
      <c r="B4252" s="3" t="s">
        <v>5928</v>
      </c>
      <c r="C4252" s="3">
        <f>VLOOKUP(B4252,LifeList!$E$2:$J$2038,6)</f>
        <v>32368</v>
      </c>
      <c r="D4252" s="3" t="str">
        <f>VLOOKUP(B4252,LifeList!$E$2:$G$2038,1)</f>
        <v>Yellow-fronted Canary</v>
      </c>
      <c r="E4252" s="3" t="str">
        <f>VLOOKUP(B4252,LifeList!$E$2:$G$2038,2)</f>
        <v>Serin du Mozambique</v>
      </c>
      <c r="F4252" s="3" t="str">
        <f>VLOOKUP(B4252,LifeList!$E$2:$G$2038,3)</f>
        <v>Crithagra mozambica</v>
      </c>
      <c r="G4252" s="3" t="str">
        <f>VLOOKUP(B4252,LifeList!$E$2:$I$2038,4)</f>
        <v>Passeriformes</v>
      </c>
      <c r="H4252" s="3" t="str">
        <f>VLOOKUP(B4252,LifeList!$E$2:$I$2038,5)</f>
        <v>Fringillidae (Finches, Euphonias, and Allies)</v>
      </c>
      <c r="I4252" s="3"/>
    </row>
    <row r="4253" spans="1:9" ht="10.5" customHeight="1">
      <c r="A4253" s="3" t="s">
        <v>5929</v>
      </c>
      <c r="B4253" s="3" t="s">
        <v>5928</v>
      </c>
      <c r="C4253" s="3">
        <f>VLOOKUP(B4253,LifeList!$E$2:$J$2038,6)</f>
        <v>32368</v>
      </c>
      <c r="D4253" s="3" t="str">
        <f>VLOOKUP(B4253,LifeList!$E$2:$G$2038,1)</f>
        <v>Yellow-fronted Canary</v>
      </c>
      <c r="E4253" s="3" t="str">
        <f>VLOOKUP(B4253,LifeList!$E$2:$G$2038,2)</f>
        <v>Serin du Mozambique</v>
      </c>
      <c r="F4253" s="3" t="str">
        <f>VLOOKUP(B4253,LifeList!$E$2:$G$2038,3)</f>
        <v>Crithagra mozambica</v>
      </c>
      <c r="G4253" s="3" t="str">
        <f>VLOOKUP(B4253,LifeList!$E$2:$I$2038,4)</f>
        <v>Passeriformes</v>
      </c>
      <c r="H4253" s="3" t="str">
        <f>VLOOKUP(B4253,LifeList!$E$2:$I$2038,5)</f>
        <v>Fringillidae (Finches, Euphonias, and Allies)</v>
      </c>
      <c r="I4253" s="3"/>
    </row>
    <row r="4254" spans="1:9" ht="10.5" customHeight="1">
      <c r="A4254" s="3" t="s">
        <v>5930</v>
      </c>
      <c r="B4254" s="3" t="s">
        <v>5928</v>
      </c>
      <c r="C4254" s="3">
        <f>VLOOKUP(B4254,LifeList!$E$2:$J$2038,6)</f>
        <v>32368</v>
      </c>
      <c r="D4254" s="3" t="str">
        <f>VLOOKUP(B4254,LifeList!$E$2:$G$2038,1)</f>
        <v>Yellow-fronted Canary</v>
      </c>
      <c r="E4254" s="3" t="str">
        <f>VLOOKUP(B4254,LifeList!$E$2:$G$2038,2)</f>
        <v>Serin du Mozambique</v>
      </c>
      <c r="F4254" s="3" t="str">
        <f>VLOOKUP(B4254,LifeList!$E$2:$G$2038,3)</f>
        <v>Crithagra mozambica</v>
      </c>
      <c r="G4254" s="3" t="str">
        <f>VLOOKUP(B4254,LifeList!$E$2:$I$2038,4)</f>
        <v>Passeriformes</v>
      </c>
      <c r="H4254" s="3" t="str">
        <f>VLOOKUP(B4254,LifeList!$E$2:$I$2038,5)</f>
        <v>Fringillidae (Finches, Euphonias, and Allies)</v>
      </c>
      <c r="I4254" s="3"/>
    </row>
    <row r="4255" spans="1:9" ht="10.5" customHeight="1">
      <c r="A4255" s="3" t="s">
        <v>5931</v>
      </c>
      <c r="B4255" s="3" t="s">
        <v>5932</v>
      </c>
      <c r="C4255" s="3">
        <f>VLOOKUP(B4255,LifeList!$E$2:$J$2038,6)</f>
        <v>19287</v>
      </c>
      <c r="D4255" s="3" t="str">
        <f>VLOOKUP(B4255,LifeList!$E$2:$G$2038,1)</f>
        <v>Yellow-green Vireo</v>
      </c>
      <c r="E4255" s="3" t="str">
        <f>VLOOKUP(B4255,LifeList!$E$2:$G$2038,2)</f>
        <v>Viréo jaune-verdâtre</v>
      </c>
      <c r="F4255" s="3" t="str">
        <f>VLOOKUP(B4255,LifeList!$E$2:$G$2038,3)</f>
        <v>Vireo flavoviridis</v>
      </c>
      <c r="G4255" s="3" t="str">
        <f>VLOOKUP(B4255,LifeList!$E$2:$I$2038,4)</f>
        <v>Passeriformes</v>
      </c>
      <c r="H4255" s="3" t="str">
        <f>VLOOKUP(B4255,LifeList!$E$2:$I$2038,5)</f>
        <v>Vireonidae (Vireos, Shrike-Babblers, and Erpornis)</v>
      </c>
      <c r="I4255" s="3"/>
    </row>
    <row r="4256" spans="1:9" ht="10.5" customHeight="1">
      <c r="A4256" s="3" t="s">
        <v>5933</v>
      </c>
      <c r="B4256" s="3" t="s">
        <v>5932</v>
      </c>
      <c r="C4256" s="3">
        <f>VLOOKUP(B4256,LifeList!$E$2:$J$2038,6)</f>
        <v>19287</v>
      </c>
      <c r="D4256" s="3" t="str">
        <f>VLOOKUP(B4256,LifeList!$E$2:$G$2038,1)</f>
        <v>Yellow-green Vireo</v>
      </c>
      <c r="E4256" s="3" t="str">
        <f>VLOOKUP(B4256,LifeList!$E$2:$G$2038,2)</f>
        <v>Viréo jaune-verdâtre</v>
      </c>
      <c r="F4256" s="3" t="str">
        <f>VLOOKUP(B4256,LifeList!$E$2:$G$2038,3)</f>
        <v>Vireo flavoviridis</v>
      </c>
      <c r="G4256" s="3" t="str">
        <f>VLOOKUP(B4256,LifeList!$E$2:$I$2038,4)</f>
        <v>Passeriformes</v>
      </c>
      <c r="H4256" s="3" t="str">
        <f>VLOOKUP(B4256,LifeList!$E$2:$I$2038,5)</f>
        <v>Vireonidae (Vireos, Shrike-Babblers, and Erpornis)</v>
      </c>
      <c r="I4256" s="3"/>
    </row>
    <row r="4257" spans="1:9" ht="10.5" customHeight="1">
      <c r="A4257" s="5" t="s">
        <v>5934</v>
      </c>
      <c r="B4257" s="3" t="s">
        <v>5935</v>
      </c>
      <c r="C4257" s="3">
        <f>VLOOKUP(B4257,LifeList!$E$2:$J$2038,6)</f>
        <v>33563</v>
      </c>
      <c r="D4257" s="3" t="str">
        <f>VLOOKUP(B4257,LifeList!$E$2:$G$2038,1)</f>
        <v>Yellow-headed Blackbird</v>
      </c>
      <c r="E4257" s="3" t="str">
        <f>VLOOKUP(B4257,LifeList!$E$2:$G$2038,2)</f>
        <v>Carouge à tête jaune</v>
      </c>
      <c r="F4257" s="3" t="str">
        <f>VLOOKUP(B4257,LifeList!$E$2:$G$2038,3)</f>
        <v>Xanthocephalus xanthocephalus</v>
      </c>
      <c r="G4257" s="3" t="str">
        <f>VLOOKUP(B4257,LifeList!$E$2:$I$2038,4)</f>
        <v>Passeriformes</v>
      </c>
      <c r="H4257" s="3" t="str">
        <f>VLOOKUP(B4257,LifeList!$E$2:$I$2038,5)</f>
        <v>Icteridae (Troupials and Allies)</v>
      </c>
      <c r="I4257" s="3"/>
    </row>
    <row r="4258" spans="1:9" ht="10.5" customHeight="1">
      <c r="A4258" s="3" t="s">
        <v>5936</v>
      </c>
      <c r="B4258" s="3" t="s">
        <v>5937</v>
      </c>
      <c r="C4258" s="3">
        <f>VLOOKUP(B4258,LifeList!$E$2:$J$2038,6)</f>
        <v>33563</v>
      </c>
      <c r="D4258" s="3" t="str">
        <f>VLOOKUP(B4258,LifeList!$E$2:$G$2038,1)</f>
        <v>Yellow-headed Blackbird</v>
      </c>
      <c r="E4258" s="3" t="str">
        <f>VLOOKUP(B4258,LifeList!$E$2:$G$2038,2)</f>
        <v>Carouge à tête jaune</v>
      </c>
      <c r="F4258" s="3" t="str">
        <f>VLOOKUP(B4258,LifeList!$E$2:$G$2038,3)</f>
        <v>Xanthocephalus xanthocephalus</v>
      </c>
      <c r="G4258" s="3" t="str">
        <f>VLOOKUP(B4258,LifeList!$E$2:$I$2038,4)</f>
        <v>Passeriformes</v>
      </c>
      <c r="H4258" s="3" t="str">
        <f>VLOOKUP(B4258,LifeList!$E$2:$I$2038,5)</f>
        <v>Icteridae (Troupials and Allies)</v>
      </c>
      <c r="I4258" s="3"/>
    </row>
    <row r="4259" spans="1:9" ht="10.5" customHeight="1">
      <c r="A4259" s="3" t="s">
        <v>5938</v>
      </c>
      <c r="B4259" s="3" t="s">
        <v>5937</v>
      </c>
      <c r="C4259" s="3">
        <f>VLOOKUP(B4259,LifeList!$E$2:$J$2038,6)</f>
        <v>33563</v>
      </c>
      <c r="D4259" s="3" t="str">
        <f>VLOOKUP(B4259,LifeList!$E$2:$G$2038,1)</f>
        <v>Yellow-headed Blackbird</v>
      </c>
      <c r="E4259" s="3" t="str">
        <f>VLOOKUP(B4259,LifeList!$E$2:$G$2038,2)</f>
        <v>Carouge à tête jaune</v>
      </c>
      <c r="F4259" s="3" t="str">
        <f>VLOOKUP(B4259,LifeList!$E$2:$G$2038,3)</f>
        <v>Xanthocephalus xanthocephalus</v>
      </c>
      <c r="G4259" s="3" t="str">
        <f>VLOOKUP(B4259,LifeList!$E$2:$I$2038,4)</f>
        <v>Passeriformes</v>
      </c>
      <c r="H4259" s="3" t="str">
        <f>VLOOKUP(B4259,LifeList!$E$2:$I$2038,5)</f>
        <v>Icteridae (Troupials and Allies)</v>
      </c>
      <c r="I4259" s="3"/>
    </row>
    <row r="4260" spans="1:9" ht="10.5" customHeight="1">
      <c r="A4260" s="3" t="s">
        <v>5939</v>
      </c>
      <c r="B4260" s="3" t="s">
        <v>5940</v>
      </c>
      <c r="C4260" s="3">
        <f>VLOOKUP(B4260,LifeList!$E$2:$J$2038,6)</f>
        <v>11966</v>
      </c>
      <c r="D4260" s="3" t="str">
        <f>VLOOKUP(B4260,LifeList!$E$2:$G$2038,1)</f>
        <v>Yellow-headed Caracara</v>
      </c>
      <c r="E4260" s="3" t="str">
        <f>VLOOKUP(B4260,LifeList!$E$2:$G$2038,2)</f>
        <v>Caracara à tête jaune</v>
      </c>
      <c r="F4260" s="3" t="str">
        <f>VLOOKUP(B4260,LifeList!$E$2:$G$2038,3)</f>
        <v>Daptrius chimachima</v>
      </c>
      <c r="G4260" s="3" t="str">
        <f>VLOOKUP(B4260,LifeList!$E$2:$I$2038,4)</f>
        <v>Falconiformes</v>
      </c>
      <c r="H4260" s="3" t="str">
        <f>VLOOKUP(B4260,LifeList!$E$2:$I$2038,5)</f>
        <v>Falconidae (Falcons and Caracaras)</v>
      </c>
      <c r="I4260" s="3"/>
    </row>
    <row r="4261" spans="1:9" ht="10.5" customHeight="1">
      <c r="A4261" s="3" t="s">
        <v>5941</v>
      </c>
      <c r="B4261" s="3" t="s">
        <v>5940</v>
      </c>
      <c r="C4261" s="3">
        <f>VLOOKUP(B4261,LifeList!$E$2:$J$2038,6)</f>
        <v>11966</v>
      </c>
      <c r="D4261" s="3" t="str">
        <f>VLOOKUP(B4261,LifeList!$E$2:$G$2038,1)</f>
        <v>Yellow-headed Caracara</v>
      </c>
      <c r="E4261" s="3" t="str">
        <f>VLOOKUP(B4261,LifeList!$E$2:$G$2038,2)</f>
        <v>Caracara à tête jaune</v>
      </c>
      <c r="F4261" s="3" t="str">
        <f>VLOOKUP(B4261,LifeList!$E$2:$G$2038,3)</f>
        <v>Daptrius chimachima</v>
      </c>
      <c r="G4261" s="3" t="str">
        <f>VLOOKUP(B4261,LifeList!$E$2:$I$2038,4)</f>
        <v>Falconiformes</v>
      </c>
      <c r="H4261" s="3" t="str">
        <f>VLOOKUP(B4261,LifeList!$E$2:$I$2038,5)</f>
        <v>Falconidae (Falcons and Caracaras)</v>
      </c>
      <c r="I4261" s="3"/>
    </row>
    <row r="4262" spans="1:9" ht="10.5" customHeight="1">
      <c r="A4262" s="3" t="s">
        <v>5942</v>
      </c>
      <c r="B4262" s="3" t="s">
        <v>5940</v>
      </c>
      <c r="C4262" s="3">
        <f>VLOOKUP(B4262,LifeList!$E$2:$J$2038,6)</f>
        <v>11966</v>
      </c>
      <c r="D4262" s="3" t="str">
        <f>VLOOKUP(B4262,LifeList!$E$2:$G$2038,1)</f>
        <v>Yellow-headed Caracara</v>
      </c>
      <c r="E4262" s="3" t="str">
        <f>VLOOKUP(B4262,LifeList!$E$2:$G$2038,2)</f>
        <v>Caracara à tête jaune</v>
      </c>
      <c r="F4262" s="3" t="str">
        <f>VLOOKUP(B4262,LifeList!$E$2:$G$2038,3)</f>
        <v>Daptrius chimachima</v>
      </c>
      <c r="G4262" s="3" t="str">
        <f>VLOOKUP(B4262,LifeList!$E$2:$I$2038,4)</f>
        <v>Falconiformes</v>
      </c>
      <c r="H4262" s="3" t="str">
        <f>VLOOKUP(B4262,LifeList!$E$2:$I$2038,5)</f>
        <v>Falconidae (Falcons and Caracaras)</v>
      </c>
      <c r="I4262" s="3"/>
    </row>
    <row r="4263" spans="1:9" ht="10.5" customHeight="1">
      <c r="A4263" s="3" t="s">
        <v>5943</v>
      </c>
      <c r="B4263" s="3" t="s">
        <v>5944</v>
      </c>
      <c r="C4263" s="3">
        <f>VLOOKUP(B4263,LifeList!$E$2:$J$2038,6)</f>
        <v>33938</v>
      </c>
      <c r="D4263" s="3" t="str">
        <f>VLOOKUP(B4263,LifeList!$E$2:$G$2038,1)</f>
        <v>Yellow-hooded Blackbird</v>
      </c>
      <c r="E4263" s="3" t="str">
        <f>VLOOKUP(B4263,LifeList!$E$2:$G$2038,2)</f>
        <v>Carouge à capuchon</v>
      </c>
      <c r="F4263" s="3" t="str">
        <f>VLOOKUP(B4263,LifeList!$E$2:$G$2038,3)</f>
        <v>Chrysomus icterocephalus</v>
      </c>
      <c r="G4263" s="3" t="str">
        <f>VLOOKUP(B4263,LifeList!$E$2:$I$2038,4)</f>
        <v>Passeriformes</v>
      </c>
      <c r="H4263" s="3" t="str">
        <f>VLOOKUP(B4263,LifeList!$E$2:$I$2038,5)</f>
        <v>Icteridae (Troupials and Allies)</v>
      </c>
      <c r="I4263" s="3"/>
    </row>
    <row r="4264" spans="1:9" ht="10.5" customHeight="1">
      <c r="A4264" s="3" t="s">
        <v>5945</v>
      </c>
      <c r="B4264" s="3" t="s">
        <v>5944</v>
      </c>
      <c r="C4264" s="3">
        <f>VLOOKUP(B4264,LifeList!$E$2:$J$2038,6)</f>
        <v>33938</v>
      </c>
      <c r="D4264" s="3" t="str">
        <f>VLOOKUP(B4264,LifeList!$E$2:$G$2038,1)</f>
        <v>Yellow-hooded Blackbird</v>
      </c>
      <c r="E4264" s="3" t="str">
        <f>VLOOKUP(B4264,LifeList!$E$2:$G$2038,2)</f>
        <v>Carouge à capuchon</v>
      </c>
      <c r="F4264" s="3" t="str">
        <f>VLOOKUP(B4264,LifeList!$E$2:$G$2038,3)</f>
        <v>Chrysomus icterocephalus</v>
      </c>
      <c r="G4264" s="3" t="str">
        <f>VLOOKUP(B4264,LifeList!$E$2:$I$2038,4)</f>
        <v>Passeriformes</v>
      </c>
      <c r="H4264" s="3" t="str">
        <f>VLOOKUP(B4264,LifeList!$E$2:$I$2038,5)</f>
        <v>Icteridae (Troupials and Allies)</v>
      </c>
      <c r="I4264" s="3"/>
    </row>
    <row r="4265" spans="1:9" ht="10.5" customHeight="1">
      <c r="A4265" s="3" t="s">
        <v>5946</v>
      </c>
      <c r="B4265" s="3" t="s">
        <v>5944</v>
      </c>
      <c r="C4265" s="3">
        <f>VLOOKUP(B4265,LifeList!$E$2:$J$2038,6)</f>
        <v>33938</v>
      </c>
      <c r="D4265" s="3" t="str">
        <f>VLOOKUP(B4265,LifeList!$E$2:$G$2038,1)</f>
        <v>Yellow-hooded Blackbird</v>
      </c>
      <c r="E4265" s="3" t="str">
        <f>VLOOKUP(B4265,LifeList!$E$2:$G$2038,2)</f>
        <v>Carouge à capuchon</v>
      </c>
      <c r="F4265" s="3" t="str">
        <f>VLOOKUP(B4265,LifeList!$E$2:$G$2038,3)</f>
        <v>Chrysomus icterocephalus</v>
      </c>
      <c r="G4265" s="3" t="str">
        <f>VLOOKUP(B4265,LifeList!$E$2:$I$2038,4)</f>
        <v>Passeriformes</v>
      </c>
      <c r="H4265" s="3" t="str">
        <f>VLOOKUP(B4265,LifeList!$E$2:$I$2038,5)</f>
        <v>Icteridae (Troupials and Allies)</v>
      </c>
      <c r="I4265" s="3"/>
    </row>
    <row r="4266" spans="1:9" ht="10.5" customHeight="1">
      <c r="A4266" s="3" t="s">
        <v>5947</v>
      </c>
      <c r="B4266" s="3" t="s">
        <v>5944</v>
      </c>
      <c r="C4266" s="3">
        <f>VLOOKUP(B4266,LifeList!$E$2:$J$2038,6)</f>
        <v>33938</v>
      </c>
      <c r="D4266" s="3" t="str">
        <f>VLOOKUP(B4266,LifeList!$E$2:$G$2038,1)</f>
        <v>Yellow-hooded Blackbird</v>
      </c>
      <c r="E4266" s="3" t="str">
        <f>VLOOKUP(B4266,LifeList!$E$2:$G$2038,2)</f>
        <v>Carouge à capuchon</v>
      </c>
      <c r="F4266" s="3" t="str">
        <f>VLOOKUP(B4266,LifeList!$E$2:$G$2038,3)</f>
        <v>Chrysomus icterocephalus</v>
      </c>
      <c r="G4266" s="3" t="str">
        <f>VLOOKUP(B4266,LifeList!$E$2:$I$2038,4)</f>
        <v>Passeriformes</v>
      </c>
      <c r="H4266" s="3" t="str">
        <f>VLOOKUP(B4266,LifeList!$E$2:$I$2038,5)</f>
        <v>Icteridae (Troupials and Allies)</v>
      </c>
      <c r="I4266" s="3"/>
    </row>
    <row r="4267" spans="1:9" ht="10.5" customHeight="1">
      <c r="A4267" s="3" t="s">
        <v>5948</v>
      </c>
      <c r="B4267" s="3" t="s">
        <v>5949</v>
      </c>
      <c r="C4267" s="3">
        <f>VLOOKUP(B4267,LifeList!$E$2:$J$2038,6)</f>
        <v>28710</v>
      </c>
      <c r="D4267" s="3" t="str">
        <f>VLOOKUP(B4267,LifeList!$E$2:$G$2038,1)</f>
        <v>Yellow-legged Thrush</v>
      </c>
      <c r="E4267" s="3" t="str">
        <f>VLOOKUP(B4267,LifeList!$E$2:$G$2038,2)</f>
        <v>Merle à pattes jaunes</v>
      </c>
      <c r="F4267" s="3" t="str">
        <f>VLOOKUP(B4267,LifeList!$E$2:$G$2038,3)</f>
        <v>Turdus flavipes</v>
      </c>
      <c r="G4267" s="3" t="str">
        <f>VLOOKUP(B4267,LifeList!$E$2:$I$2038,4)</f>
        <v>Passeriformes</v>
      </c>
      <c r="H4267" s="3" t="str">
        <f>VLOOKUP(B4267,LifeList!$E$2:$I$2038,5)</f>
        <v>Turdidae (Thrushes and Allies)</v>
      </c>
      <c r="I4267" s="3"/>
    </row>
    <row r="4268" spans="1:9" ht="10.5" customHeight="1">
      <c r="A4268" s="3" t="s">
        <v>5950</v>
      </c>
      <c r="B4268" s="3" t="s">
        <v>5951</v>
      </c>
      <c r="C4268" s="3">
        <f>VLOOKUP(B4268,LifeList!$E$2:$J$2038,6)</f>
        <v>12921</v>
      </c>
      <c r="D4268" s="3" t="str">
        <f>VLOOKUP(B4268,LifeList!$E$2:$G$2038,1)</f>
        <v>Yellow-naped Amazon</v>
      </c>
      <c r="E4268" s="3" t="str">
        <f>VLOOKUP(B4268,LifeList!$E$2:$G$2038,2)</f>
        <v>Amazone à nuque d'or</v>
      </c>
      <c r="F4268" s="3" t="str">
        <f>VLOOKUP(B4268,LifeList!$E$2:$G$2038,3)</f>
        <v>Amazona auropalliata</v>
      </c>
      <c r="G4268" s="3" t="str">
        <f>VLOOKUP(B4268,LifeList!$E$2:$I$2038,4)</f>
        <v>Psittaciformes</v>
      </c>
      <c r="H4268" s="3" t="str">
        <f>VLOOKUP(B4268,LifeList!$E$2:$I$2038,5)</f>
        <v>Psittacidae (New World and African Parrots)</v>
      </c>
      <c r="I4268" s="3"/>
    </row>
    <row r="4269" spans="1:9" ht="10.5" customHeight="1">
      <c r="A4269" s="3" t="s">
        <v>5952</v>
      </c>
      <c r="B4269" s="3" t="s">
        <v>5953</v>
      </c>
      <c r="C4269" s="3">
        <f>VLOOKUP(B4269,LifeList!$E$2:$J$2038,6)</f>
        <v>1839</v>
      </c>
      <c r="D4269" s="3" t="str">
        <f>VLOOKUP(B4269,LifeList!$E$2:$G$2038,1)</f>
        <v>Yellow-necked Spurfowl</v>
      </c>
      <c r="E4269" s="3" t="str">
        <f>VLOOKUP(B4269,LifeList!$E$2:$G$2038,2)</f>
        <v>Francolin à cou jaune</v>
      </c>
      <c r="F4269" s="3" t="str">
        <f>VLOOKUP(B4269,LifeList!$E$2:$G$2038,3)</f>
        <v>Pternistis leucoscepus</v>
      </c>
      <c r="G4269" s="3" t="str">
        <f>VLOOKUP(B4269,LifeList!$E$2:$I$2038,4)</f>
        <v>Galliformes</v>
      </c>
      <c r="H4269" s="3" t="str">
        <f>VLOOKUP(B4269,LifeList!$E$2:$I$2038,5)</f>
        <v>Phasianidae (Pheasants, Grouse, and Allies)</v>
      </c>
      <c r="I4269" s="3"/>
    </row>
    <row r="4270" spans="1:9" ht="10.5" customHeight="1">
      <c r="A4270" s="7" t="s">
        <v>5954</v>
      </c>
      <c r="B4270" s="9" t="s">
        <v>5955</v>
      </c>
      <c r="C4270" s="6">
        <f>VLOOKUP(B4270,LifeList!$E$2:$J$2038,6)</f>
        <v>17883</v>
      </c>
      <c r="D4270" s="3" t="str">
        <f>VLOOKUP(B4270,LifeList!$E$2:$G$2038,1)</f>
        <v>Yellow-plumed Honeyeater</v>
      </c>
      <c r="E4270" s="3" t="str">
        <f>VLOOKUP(B4270,LifeList!$E$2:$G$2038,2)</f>
        <v>Méliphage orné</v>
      </c>
      <c r="F4270" s="3" t="str">
        <f>VLOOKUP(B4270,LifeList!$E$2:$G$2038,3)</f>
        <v>Ptilotula ornata</v>
      </c>
      <c r="G4270" s="3" t="str">
        <f>VLOOKUP(B4270,LifeList!$E$2:$I$2038,4)</f>
        <v>Passeriformes</v>
      </c>
      <c r="H4270" s="3" t="str">
        <f>VLOOKUP(B4270,LifeList!$E$2:$I$2038,5)</f>
        <v>Meliphagidae (Honeyeaters)</v>
      </c>
      <c r="I4270" s="3"/>
    </row>
    <row r="4271" spans="1:9" ht="10.5" customHeight="1">
      <c r="A4271" s="5" t="s">
        <v>5956</v>
      </c>
      <c r="B4271" s="3" t="s">
        <v>5955</v>
      </c>
      <c r="C4271" s="6">
        <f>VLOOKUP(B4271,LifeList!$E$2:$J$2038,6)</f>
        <v>17883</v>
      </c>
      <c r="D4271" s="3" t="str">
        <f>VLOOKUP(B4271,LifeList!$E$2:$G$2038,1)</f>
        <v>Yellow-plumed Honeyeater</v>
      </c>
      <c r="E4271" s="3" t="str">
        <f>VLOOKUP(B4271,LifeList!$E$2:$G$2038,2)</f>
        <v>Méliphage orné</v>
      </c>
      <c r="F4271" s="3" t="str">
        <f>VLOOKUP(B4271,LifeList!$E$2:$G$2038,3)</f>
        <v>Ptilotula ornata</v>
      </c>
      <c r="G4271" s="3" t="str">
        <f>VLOOKUP(B4271,LifeList!$E$2:$I$2038,4)</f>
        <v>Passeriformes</v>
      </c>
      <c r="H4271" s="3" t="str">
        <f>VLOOKUP(B4271,LifeList!$E$2:$I$2038,5)</f>
        <v>Meliphagidae (Honeyeaters)</v>
      </c>
      <c r="I4271" s="3"/>
    </row>
    <row r="4272" spans="1:9" ht="10.5" customHeight="1">
      <c r="A4272" s="5" t="s">
        <v>5957</v>
      </c>
      <c r="B4272" s="3" t="s">
        <v>5958</v>
      </c>
      <c r="C4272" s="6">
        <f>VLOOKUP(B4272,LifeList!$E$2:$J$2038,6)</f>
        <v>10600</v>
      </c>
      <c r="D4272" s="3" t="str">
        <f>VLOOKUP(B4272,LifeList!$E$2:$G$2038,1)</f>
        <v>Yellow-rumped Tinkerbird</v>
      </c>
      <c r="E4272" s="3" t="str">
        <f>VLOOKUP(B4272,LifeList!$E$2:$G$2038,2)</f>
        <v>Barbion à croupion jaune</v>
      </c>
      <c r="F4272" s="3" t="str">
        <f>VLOOKUP(B4272,LifeList!$E$2:$G$2038,3)</f>
        <v>Pogoniulus bilineatus</v>
      </c>
      <c r="G4272" s="3" t="str">
        <f>VLOOKUP(B4272,LifeList!$E$2:$I$2038,4)</f>
        <v>Piciformes</v>
      </c>
      <c r="H4272" s="3" t="str">
        <f>VLOOKUP(B4272,LifeList!$E$2:$I$2038,5)</f>
        <v>Lybiidae (African Barbets)</v>
      </c>
      <c r="I4272" s="3"/>
    </row>
    <row r="4273" spans="1:9" ht="10.5" customHeight="1">
      <c r="A4273" s="3" t="s">
        <v>5959</v>
      </c>
      <c r="B4273" s="3" t="s">
        <v>5960</v>
      </c>
      <c r="C4273" s="3">
        <f>VLOOKUP(B4273,LifeList!$E$2:$J$2038,6)</f>
        <v>34159</v>
      </c>
      <c r="D4273" s="3" t="str">
        <f>VLOOKUP(B4273,LifeList!$E$2:$G$2038,1)</f>
        <v>Yellow-rumped Warbler</v>
      </c>
      <c r="E4273" s="3" t="str">
        <f>VLOOKUP(B4273,LifeList!$E$2:$G$2038,2)</f>
        <v>Paruline à croupion jaune</v>
      </c>
      <c r="F4273" s="3" t="str">
        <f>VLOOKUP(B4273,LifeList!$E$2:$G$2038,3)</f>
        <v>Setophaga coronata</v>
      </c>
      <c r="G4273" s="3" t="str">
        <f>VLOOKUP(B4273,LifeList!$E$2:$I$2038,4)</f>
        <v>Passeriformes</v>
      </c>
      <c r="H4273" s="3" t="str">
        <f>VLOOKUP(B4273,LifeList!$E$2:$I$2038,5)</f>
        <v>Parulidae (New World Warblers)</v>
      </c>
      <c r="I4273" s="3"/>
    </row>
    <row r="4274" spans="1:9" ht="10.5" customHeight="1">
      <c r="A4274" s="3" t="s">
        <v>5959</v>
      </c>
      <c r="B4274" s="3" t="s">
        <v>5960</v>
      </c>
      <c r="C4274" s="3">
        <f>VLOOKUP(B4274,LifeList!$E$2:$J$2038,6)</f>
        <v>34159</v>
      </c>
      <c r="D4274" s="3" t="str">
        <f>VLOOKUP(B4274,LifeList!$E$2:$G$2038,1)</f>
        <v>Yellow-rumped Warbler</v>
      </c>
      <c r="E4274" s="3" t="str">
        <f>VLOOKUP(B4274,LifeList!$E$2:$G$2038,2)</f>
        <v>Paruline à croupion jaune</v>
      </c>
      <c r="F4274" s="3" t="str">
        <f>VLOOKUP(B4274,LifeList!$E$2:$G$2038,3)</f>
        <v>Setophaga coronata</v>
      </c>
      <c r="G4274" s="3" t="str">
        <f>VLOOKUP(B4274,LifeList!$E$2:$I$2038,4)</f>
        <v>Passeriformes</v>
      </c>
      <c r="H4274" s="3" t="str">
        <f>VLOOKUP(B4274,LifeList!$E$2:$I$2038,5)</f>
        <v>Parulidae (New World Warblers)</v>
      </c>
      <c r="I4274" s="3"/>
    </row>
    <row r="4275" spans="1:9" ht="10.5" customHeight="1">
      <c r="A4275" s="3" t="s">
        <v>5961</v>
      </c>
      <c r="B4275" s="3" t="s">
        <v>5962</v>
      </c>
      <c r="C4275" s="3">
        <f>VLOOKUP(B4275,LifeList!$E$2:$J$2038,6)</f>
        <v>33649</v>
      </c>
      <c r="D4275" s="3" t="str">
        <f>VLOOKUP(B4275,LifeList!$E$2:$G$2038,1)</f>
        <v>Yellow-rumped Cacique</v>
      </c>
      <c r="E4275" s="3" t="str">
        <f>VLOOKUP(B4275,LifeList!$E$2:$G$2038,2)</f>
        <v>Cassique cul-jaune</v>
      </c>
      <c r="F4275" s="3" t="str">
        <f>VLOOKUP(B4275,LifeList!$E$2:$G$2038,3)</f>
        <v>Cacicus cela</v>
      </c>
      <c r="G4275" s="3" t="str">
        <f>VLOOKUP(B4275,LifeList!$E$2:$I$2038,4)</f>
        <v>Passeriformes</v>
      </c>
      <c r="H4275" s="3" t="str">
        <f>VLOOKUP(B4275,LifeList!$E$2:$I$2038,5)</f>
        <v>Icteridae (Troupials and Allies)</v>
      </c>
      <c r="I4275" s="3"/>
    </row>
    <row r="4276" spans="1:9" ht="10.5" customHeight="1">
      <c r="A4276" s="3" t="s">
        <v>5963</v>
      </c>
      <c r="B4276" s="3" t="s">
        <v>5962</v>
      </c>
      <c r="C4276" s="3">
        <f>VLOOKUP(B4276,LifeList!$E$2:$J$2038,6)</f>
        <v>33649</v>
      </c>
      <c r="D4276" s="3" t="str">
        <f>VLOOKUP(B4276,LifeList!$E$2:$G$2038,1)</f>
        <v>Yellow-rumped Cacique</v>
      </c>
      <c r="E4276" s="3" t="str">
        <f>VLOOKUP(B4276,LifeList!$E$2:$G$2038,2)</f>
        <v>Cassique cul-jaune</v>
      </c>
      <c r="F4276" s="3" t="str">
        <f>VLOOKUP(B4276,LifeList!$E$2:$G$2038,3)</f>
        <v>Cacicus cela</v>
      </c>
      <c r="G4276" s="3" t="str">
        <f>VLOOKUP(B4276,LifeList!$E$2:$I$2038,4)</f>
        <v>Passeriformes</v>
      </c>
      <c r="H4276" s="3" t="str">
        <f>VLOOKUP(B4276,LifeList!$E$2:$I$2038,5)</f>
        <v>Icteridae (Troupials and Allies)</v>
      </c>
      <c r="I4276" s="3"/>
    </row>
    <row r="4277" spans="1:9" ht="10.5" customHeight="1">
      <c r="A4277" s="3" t="s">
        <v>5964</v>
      </c>
      <c r="B4277" s="3" t="s">
        <v>5965</v>
      </c>
      <c r="C4277" s="3">
        <f>VLOOKUP(B4277,LifeList!$E$2:$J$2038,6)</f>
        <v>18377</v>
      </c>
      <c r="D4277" s="3" t="str">
        <f>VLOOKUP(B4277,LifeList!$E$2:$G$2038,1)</f>
        <v>Yellow-rumped Thornbill</v>
      </c>
      <c r="E4277" s="3" t="str">
        <f>VLOOKUP(B4277,LifeList!$E$2:$G$2038,2)</f>
        <v>Acanthize à croupion jaune</v>
      </c>
      <c r="F4277" s="3" t="str">
        <f>VLOOKUP(B4277,LifeList!$E$2:$G$2038,3)</f>
        <v>Acanthiza chrysorrhoa</v>
      </c>
      <c r="G4277" s="3" t="str">
        <f>VLOOKUP(B4277,LifeList!$E$2:$I$2038,4)</f>
        <v>Passeriformes</v>
      </c>
      <c r="H4277" s="3" t="str">
        <f>VLOOKUP(B4277,LifeList!$E$2:$I$2038,5)</f>
        <v>Acanthizidae (Thornbills and Allies)</v>
      </c>
      <c r="I4277" s="3"/>
    </row>
    <row r="4278" spans="1:9" ht="10.5" customHeight="1">
      <c r="A4278" s="3" t="s">
        <v>5966</v>
      </c>
      <c r="B4278" s="3" t="s">
        <v>5967</v>
      </c>
      <c r="C4278" s="3">
        <f>VLOOKUP(B4278,LifeList!$E$2:$J$2038,6)</f>
        <v>34159</v>
      </c>
      <c r="D4278" s="3" t="str">
        <f>VLOOKUP(B4278,LifeList!$E$2:$G$2038,1)</f>
        <v>Yellow-rumped Warbler</v>
      </c>
      <c r="E4278" s="3" t="str">
        <f>VLOOKUP(B4278,LifeList!$E$2:$G$2038,2)</f>
        <v>Paruline à croupion jaune</v>
      </c>
      <c r="F4278" s="3" t="str">
        <f>VLOOKUP(B4278,LifeList!$E$2:$G$2038,3)</f>
        <v>Setophaga coronata</v>
      </c>
      <c r="G4278" s="3" t="str">
        <f>VLOOKUP(B4278,LifeList!$E$2:$I$2038,4)</f>
        <v>Passeriformes</v>
      </c>
      <c r="H4278" s="3" t="str">
        <f>VLOOKUP(B4278,LifeList!$E$2:$I$2038,5)</f>
        <v>Parulidae (New World Warblers)</v>
      </c>
      <c r="I4278" s="3"/>
    </row>
    <row r="4279" spans="1:9" ht="10.5" customHeight="1">
      <c r="A4279" s="3" t="s">
        <v>5968</v>
      </c>
      <c r="B4279" s="3" t="s">
        <v>5967</v>
      </c>
      <c r="C4279" s="3">
        <f>VLOOKUP(B4279,LifeList!$E$2:$J$2038,6)</f>
        <v>34159</v>
      </c>
      <c r="D4279" s="3" t="str">
        <f>VLOOKUP(B4279,LifeList!$E$2:$G$2038,1)</f>
        <v>Yellow-rumped Warbler</v>
      </c>
      <c r="E4279" s="3" t="str">
        <f>VLOOKUP(B4279,LifeList!$E$2:$G$2038,2)</f>
        <v>Paruline à croupion jaune</v>
      </c>
      <c r="F4279" s="3" t="str">
        <f>VLOOKUP(B4279,LifeList!$E$2:$G$2038,3)</f>
        <v>Setophaga coronata</v>
      </c>
      <c r="G4279" s="3" t="str">
        <f>VLOOKUP(B4279,LifeList!$E$2:$I$2038,4)</f>
        <v>Passeriformes</v>
      </c>
      <c r="H4279" s="3" t="str">
        <f>VLOOKUP(B4279,LifeList!$E$2:$I$2038,5)</f>
        <v>Parulidae (New World Warblers)</v>
      </c>
      <c r="I4279" s="3"/>
    </row>
    <row r="4280" spans="1:9" ht="10.5" customHeight="1">
      <c r="A4280" s="3" t="s">
        <v>5969</v>
      </c>
      <c r="B4280" s="3" t="s">
        <v>5967</v>
      </c>
      <c r="C4280" s="3">
        <f>VLOOKUP(B4280,LifeList!$E$2:$J$2038,6)</f>
        <v>34159</v>
      </c>
      <c r="D4280" s="3" t="str">
        <f>VLOOKUP(B4280,LifeList!$E$2:$G$2038,1)</f>
        <v>Yellow-rumped Warbler</v>
      </c>
      <c r="E4280" s="3" t="str">
        <f>VLOOKUP(B4280,LifeList!$E$2:$G$2038,2)</f>
        <v>Paruline à croupion jaune</v>
      </c>
      <c r="F4280" s="3" t="str">
        <f>VLOOKUP(B4280,LifeList!$E$2:$G$2038,3)</f>
        <v>Setophaga coronata</v>
      </c>
      <c r="G4280" s="3" t="str">
        <f>VLOOKUP(B4280,LifeList!$E$2:$I$2038,4)</f>
        <v>Passeriformes</v>
      </c>
      <c r="H4280" s="3" t="str">
        <f>VLOOKUP(B4280,LifeList!$E$2:$I$2038,5)</f>
        <v>Parulidae (New World Warblers)</v>
      </c>
      <c r="I4280" s="3"/>
    </row>
    <row r="4281" spans="1:9" ht="10.5" customHeight="1">
      <c r="A4281" s="3" t="s">
        <v>5970</v>
      </c>
      <c r="B4281" s="3" t="s">
        <v>5967</v>
      </c>
      <c r="C4281" s="3">
        <f>VLOOKUP(B4281,LifeList!$E$2:$J$2038,6)</f>
        <v>34159</v>
      </c>
      <c r="D4281" s="3" t="str">
        <f>VLOOKUP(B4281,LifeList!$E$2:$G$2038,1)</f>
        <v>Yellow-rumped Warbler</v>
      </c>
      <c r="E4281" s="3" t="str">
        <f>VLOOKUP(B4281,LifeList!$E$2:$G$2038,2)</f>
        <v>Paruline à croupion jaune</v>
      </c>
      <c r="F4281" s="3" t="str">
        <f>VLOOKUP(B4281,LifeList!$E$2:$G$2038,3)</f>
        <v>Setophaga coronata</v>
      </c>
      <c r="G4281" s="3" t="str">
        <f>VLOOKUP(B4281,LifeList!$E$2:$I$2038,4)</f>
        <v>Passeriformes</v>
      </c>
      <c r="H4281" s="3" t="str">
        <f>VLOOKUP(B4281,LifeList!$E$2:$I$2038,5)</f>
        <v>Parulidae (New World Warblers)</v>
      </c>
      <c r="I4281" s="3"/>
    </row>
    <row r="4282" spans="1:9" ht="10.5" customHeight="1">
      <c r="A4282" s="3" t="s">
        <v>5971</v>
      </c>
      <c r="B4282" s="3" t="s">
        <v>5967</v>
      </c>
      <c r="C4282" s="3">
        <f>VLOOKUP(B4282,LifeList!$E$2:$J$2038,6)</f>
        <v>34159</v>
      </c>
      <c r="D4282" s="3" t="str">
        <f>VLOOKUP(B4282,LifeList!$E$2:$G$2038,1)</f>
        <v>Yellow-rumped Warbler</v>
      </c>
      <c r="E4282" s="3" t="str">
        <f>VLOOKUP(B4282,LifeList!$E$2:$G$2038,2)</f>
        <v>Paruline à croupion jaune</v>
      </c>
      <c r="F4282" s="3" t="str">
        <f>VLOOKUP(B4282,LifeList!$E$2:$G$2038,3)</f>
        <v>Setophaga coronata</v>
      </c>
      <c r="G4282" s="3" t="str">
        <f>VLOOKUP(B4282,LifeList!$E$2:$I$2038,4)</f>
        <v>Passeriformes</v>
      </c>
      <c r="H4282" s="3" t="str">
        <f>VLOOKUP(B4282,LifeList!$E$2:$I$2038,5)</f>
        <v>Parulidae (New World Warblers)</v>
      </c>
      <c r="I4282" s="3"/>
    </row>
    <row r="4283" spans="1:9" ht="10.5" customHeight="1">
      <c r="A4283" s="3" t="s">
        <v>5972</v>
      </c>
      <c r="B4283" s="3" t="s">
        <v>5967</v>
      </c>
      <c r="C4283" s="3">
        <f>VLOOKUP(B4283,LifeList!$E$2:$J$2038,6)</f>
        <v>34159</v>
      </c>
      <c r="D4283" s="3" t="str">
        <f>VLOOKUP(B4283,LifeList!$E$2:$G$2038,1)</f>
        <v>Yellow-rumped Warbler</v>
      </c>
      <c r="E4283" s="3" t="str">
        <f>VLOOKUP(B4283,LifeList!$E$2:$G$2038,2)</f>
        <v>Paruline à croupion jaune</v>
      </c>
      <c r="F4283" s="3" t="str">
        <f>VLOOKUP(B4283,LifeList!$E$2:$G$2038,3)</f>
        <v>Setophaga coronata</v>
      </c>
      <c r="G4283" s="3" t="str">
        <f>VLOOKUP(B4283,LifeList!$E$2:$I$2038,4)</f>
        <v>Passeriformes</v>
      </c>
      <c r="H4283" s="3" t="str">
        <f>VLOOKUP(B4283,LifeList!$E$2:$I$2038,5)</f>
        <v>Parulidae (New World Warblers)</v>
      </c>
      <c r="I4283" s="3"/>
    </row>
    <row r="4284" spans="1:9" ht="10.5" customHeight="1">
      <c r="A4284" s="3" t="s">
        <v>5973</v>
      </c>
      <c r="B4284" s="3" t="s">
        <v>5967</v>
      </c>
      <c r="C4284" s="3">
        <f>VLOOKUP(B4284,LifeList!$E$2:$J$2038,6)</f>
        <v>34159</v>
      </c>
      <c r="D4284" s="3" t="str">
        <f>VLOOKUP(B4284,LifeList!$E$2:$G$2038,1)</f>
        <v>Yellow-rumped Warbler</v>
      </c>
      <c r="E4284" s="3" t="str">
        <f>VLOOKUP(B4284,LifeList!$E$2:$G$2038,2)</f>
        <v>Paruline à croupion jaune</v>
      </c>
      <c r="F4284" s="3" t="str">
        <f>VLOOKUP(B4284,LifeList!$E$2:$G$2038,3)</f>
        <v>Setophaga coronata</v>
      </c>
      <c r="G4284" s="3" t="str">
        <f>VLOOKUP(B4284,LifeList!$E$2:$I$2038,4)</f>
        <v>Passeriformes</v>
      </c>
      <c r="H4284" s="3" t="str">
        <f>VLOOKUP(B4284,LifeList!$E$2:$I$2038,5)</f>
        <v>Parulidae (New World Warblers)</v>
      </c>
      <c r="I4284" s="3"/>
    </row>
    <row r="4285" spans="1:9" ht="10.5" customHeight="1">
      <c r="A4285" s="3" t="s">
        <v>5974</v>
      </c>
      <c r="B4285" s="3" t="s">
        <v>5967</v>
      </c>
      <c r="C4285" s="3">
        <f>VLOOKUP(B4285,LifeList!$E$2:$J$2038,6)</f>
        <v>34159</v>
      </c>
      <c r="D4285" s="3" t="str">
        <f>VLOOKUP(B4285,LifeList!$E$2:$G$2038,1)</f>
        <v>Yellow-rumped Warbler</v>
      </c>
      <c r="E4285" s="3" t="str">
        <f>VLOOKUP(B4285,LifeList!$E$2:$G$2038,2)</f>
        <v>Paruline à croupion jaune</v>
      </c>
      <c r="F4285" s="3" t="str">
        <f>VLOOKUP(B4285,LifeList!$E$2:$G$2038,3)</f>
        <v>Setophaga coronata</v>
      </c>
      <c r="G4285" s="3" t="str">
        <f>VLOOKUP(B4285,LifeList!$E$2:$I$2038,4)</f>
        <v>Passeriformes</v>
      </c>
      <c r="H4285" s="3" t="str">
        <f>VLOOKUP(B4285,LifeList!$E$2:$I$2038,5)</f>
        <v>Parulidae (New World Warblers)</v>
      </c>
      <c r="I4285" s="3"/>
    </row>
    <row r="4286" spans="1:9" ht="10.5" customHeight="1">
      <c r="A4286" s="3" t="s">
        <v>5975</v>
      </c>
      <c r="B4286" s="3" t="s">
        <v>5967</v>
      </c>
      <c r="C4286" s="3">
        <f>VLOOKUP(B4286,LifeList!$E$2:$J$2038,6)</f>
        <v>34159</v>
      </c>
      <c r="D4286" s="3" t="str">
        <f>VLOOKUP(B4286,LifeList!$E$2:$G$2038,1)</f>
        <v>Yellow-rumped Warbler</v>
      </c>
      <c r="E4286" s="3" t="str">
        <f>VLOOKUP(B4286,LifeList!$E$2:$G$2038,2)</f>
        <v>Paruline à croupion jaune</v>
      </c>
      <c r="F4286" s="3" t="str">
        <f>VLOOKUP(B4286,LifeList!$E$2:$G$2038,3)</f>
        <v>Setophaga coronata</v>
      </c>
      <c r="G4286" s="3" t="str">
        <f>VLOOKUP(B4286,LifeList!$E$2:$I$2038,4)</f>
        <v>Passeriformes</v>
      </c>
      <c r="H4286" s="3" t="str">
        <f>VLOOKUP(B4286,LifeList!$E$2:$I$2038,5)</f>
        <v>Parulidae (New World Warblers)</v>
      </c>
      <c r="I4286" s="3"/>
    </row>
    <row r="4287" spans="1:9" ht="10.5" customHeight="1">
      <c r="A4287" s="3" t="s">
        <v>5976</v>
      </c>
      <c r="B4287" s="3" t="s">
        <v>5967</v>
      </c>
      <c r="C4287" s="3">
        <f>VLOOKUP(B4287,LifeList!$E$2:$J$2038,6)</f>
        <v>34159</v>
      </c>
      <c r="D4287" s="3" t="str">
        <f>VLOOKUP(B4287,LifeList!$E$2:$G$2038,1)</f>
        <v>Yellow-rumped Warbler</v>
      </c>
      <c r="E4287" s="3" t="str">
        <f>VLOOKUP(B4287,LifeList!$E$2:$G$2038,2)</f>
        <v>Paruline à croupion jaune</v>
      </c>
      <c r="F4287" s="3" t="str">
        <f>VLOOKUP(B4287,LifeList!$E$2:$G$2038,3)</f>
        <v>Setophaga coronata</v>
      </c>
      <c r="G4287" s="3" t="str">
        <f>VLOOKUP(B4287,LifeList!$E$2:$I$2038,4)</f>
        <v>Passeriformes</v>
      </c>
      <c r="H4287" s="3" t="str">
        <f>VLOOKUP(B4287,LifeList!$E$2:$I$2038,5)</f>
        <v>Parulidae (New World Warblers)</v>
      </c>
      <c r="I4287" s="3"/>
    </row>
    <row r="4288" spans="1:9" ht="10.5" customHeight="1">
      <c r="A4288" s="3" t="s">
        <v>5977</v>
      </c>
      <c r="B4288" s="3" t="s">
        <v>5967</v>
      </c>
      <c r="C4288" s="3">
        <f>VLOOKUP(B4288,LifeList!$E$2:$J$2038,6)</f>
        <v>34159</v>
      </c>
      <c r="D4288" s="3" t="str">
        <f>VLOOKUP(B4288,LifeList!$E$2:$G$2038,1)</f>
        <v>Yellow-rumped Warbler</v>
      </c>
      <c r="E4288" s="3" t="str">
        <f>VLOOKUP(B4288,LifeList!$E$2:$G$2038,2)</f>
        <v>Paruline à croupion jaune</v>
      </c>
      <c r="F4288" s="3" t="str">
        <f>VLOOKUP(B4288,LifeList!$E$2:$G$2038,3)</f>
        <v>Setophaga coronata</v>
      </c>
      <c r="G4288" s="3" t="str">
        <f>VLOOKUP(B4288,LifeList!$E$2:$I$2038,4)</f>
        <v>Passeriformes</v>
      </c>
      <c r="H4288" s="3" t="str">
        <f>VLOOKUP(B4288,LifeList!$E$2:$I$2038,5)</f>
        <v>Parulidae (New World Warblers)</v>
      </c>
      <c r="I4288" s="3"/>
    </row>
    <row r="4289" spans="1:9" ht="10.5" customHeight="1">
      <c r="A4289" s="3" t="s">
        <v>5978</v>
      </c>
      <c r="B4289" s="3" t="s">
        <v>5967</v>
      </c>
      <c r="C4289" s="3">
        <f>VLOOKUP(B4289,LifeList!$E$2:$J$2038,6)</f>
        <v>34159</v>
      </c>
      <c r="D4289" s="3" t="str">
        <f>VLOOKUP(B4289,LifeList!$E$2:$G$2038,1)</f>
        <v>Yellow-rumped Warbler</v>
      </c>
      <c r="E4289" s="3" t="str">
        <f>VLOOKUP(B4289,LifeList!$E$2:$G$2038,2)</f>
        <v>Paruline à croupion jaune</v>
      </c>
      <c r="F4289" s="3" t="str">
        <f>VLOOKUP(B4289,LifeList!$E$2:$G$2038,3)</f>
        <v>Setophaga coronata</v>
      </c>
      <c r="G4289" s="3" t="str">
        <f>VLOOKUP(B4289,LifeList!$E$2:$I$2038,4)</f>
        <v>Passeriformes</v>
      </c>
      <c r="H4289" s="3" t="str">
        <f>VLOOKUP(B4289,LifeList!$E$2:$I$2038,5)</f>
        <v>Parulidae (New World Warblers)</v>
      </c>
      <c r="I4289" s="3"/>
    </row>
    <row r="4290" spans="1:9" ht="10.5" customHeight="1">
      <c r="A4290" s="3" t="s">
        <v>5979</v>
      </c>
      <c r="B4290" s="3" t="s">
        <v>5967</v>
      </c>
      <c r="C4290" s="3">
        <f>VLOOKUP(B4290,LifeList!$E$2:$J$2038,6)</f>
        <v>34159</v>
      </c>
      <c r="D4290" s="3" t="str">
        <f>VLOOKUP(B4290,LifeList!$E$2:$G$2038,1)</f>
        <v>Yellow-rumped Warbler</v>
      </c>
      <c r="E4290" s="3" t="str">
        <f>VLOOKUP(B4290,LifeList!$E$2:$G$2038,2)</f>
        <v>Paruline à croupion jaune</v>
      </c>
      <c r="F4290" s="3" t="str">
        <f>VLOOKUP(B4290,LifeList!$E$2:$G$2038,3)</f>
        <v>Setophaga coronata</v>
      </c>
      <c r="G4290" s="3" t="str">
        <f>VLOOKUP(B4290,LifeList!$E$2:$I$2038,4)</f>
        <v>Passeriformes</v>
      </c>
      <c r="H4290" s="3" t="str">
        <f>VLOOKUP(B4290,LifeList!$E$2:$I$2038,5)</f>
        <v>Parulidae (New World Warblers)</v>
      </c>
      <c r="I4290" s="3"/>
    </row>
    <row r="4291" spans="1:9" ht="10.5" customHeight="1">
      <c r="A4291" s="3" t="s">
        <v>5980</v>
      </c>
      <c r="B4291" s="3" t="s">
        <v>5967</v>
      </c>
      <c r="C4291" s="3">
        <f>VLOOKUP(B4291,LifeList!$E$2:$J$2038,6)</f>
        <v>34159</v>
      </c>
      <c r="D4291" s="3" t="str">
        <f>VLOOKUP(B4291,LifeList!$E$2:$G$2038,1)</f>
        <v>Yellow-rumped Warbler</v>
      </c>
      <c r="E4291" s="3" t="str">
        <f>VLOOKUP(B4291,LifeList!$E$2:$G$2038,2)</f>
        <v>Paruline à croupion jaune</v>
      </c>
      <c r="F4291" s="3" t="str">
        <f>VLOOKUP(B4291,LifeList!$E$2:$G$2038,3)</f>
        <v>Setophaga coronata</v>
      </c>
      <c r="G4291" s="3" t="str">
        <f>VLOOKUP(B4291,LifeList!$E$2:$I$2038,4)</f>
        <v>Passeriformes</v>
      </c>
      <c r="H4291" s="3" t="str">
        <f>VLOOKUP(B4291,LifeList!$E$2:$I$2038,5)</f>
        <v>Parulidae (New World Warblers)</v>
      </c>
      <c r="I4291" s="3"/>
    </row>
    <row r="4292" spans="1:9" ht="10.5" customHeight="1">
      <c r="A4292" s="3" t="s">
        <v>5981</v>
      </c>
      <c r="B4292" s="3" t="s">
        <v>5982</v>
      </c>
      <c r="C4292" s="3">
        <f>VLOOKUP(B4292,LifeList!$E$2:$J$2038,6)</f>
        <v>12151</v>
      </c>
      <c r="D4292" s="3" t="str">
        <f>VLOOKUP(B4292,LifeList!$E$2:$G$2038,1)</f>
        <v>Yellow-tailed Black-Cockatoo</v>
      </c>
      <c r="E4292" s="3" t="str">
        <f>VLOOKUP(B4292,LifeList!$E$2:$G$2038,2)</f>
        <v>Cacatoès funèbre</v>
      </c>
      <c r="F4292" s="3" t="str">
        <f>VLOOKUP(B4292,LifeList!$E$2:$G$2038,3)</f>
        <v>Zanda funerea</v>
      </c>
      <c r="G4292" s="3" t="str">
        <f>VLOOKUP(B4292,LifeList!$E$2:$I$2038,4)</f>
        <v>Psittaciformes</v>
      </c>
      <c r="H4292" s="3" t="str">
        <f>VLOOKUP(B4292,LifeList!$E$2:$I$2038,5)</f>
        <v>Cacatuidae (Cockatoos)</v>
      </c>
      <c r="I4292" s="3"/>
    </row>
    <row r="4293" spans="1:9" ht="10.5" customHeight="1">
      <c r="A4293" s="3" t="s">
        <v>5983</v>
      </c>
      <c r="B4293" s="3" t="s">
        <v>5982</v>
      </c>
      <c r="C4293" s="3">
        <f>VLOOKUP(B4293,LifeList!$E$2:$J$2038,6)</f>
        <v>12151</v>
      </c>
      <c r="D4293" s="3" t="str">
        <f>VLOOKUP(B4293,LifeList!$E$2:$G$2038,1)</f>
        <v>Yellow-tailed Black-Cockatoo</v>
      </c>
      <c r="E4293" s="3" t="str">
        <f>VLOOKUP(B4293,LifeList!$E$2:$G$2038,2)</f>
        <v>Cacatoès funèbre</v>
      </c>
      <c r="F4293" s="3" t="str">
        <f>VLOOKUP(B4293,LifeList!$E$2:$G$2038,3)</f>
        <v>Zanda funerea</v>
      </c>
      <c r="G4293" s="3" t="str">
        <f>VLOOKUP(B4293,LifeList!$E$2:$I$2038,4)</f>
        <v>Psittaciformes</v>
      </c>
      <c r="H4293" s="3" t="str">
        <f>VLOOKUP(B4293,LifeList!$E$2:$I$2038,5)</f>
        <v>Cacatuidae (Cockatoos)</v>
      </c>
      <c r="I4293" s="3"/>
    </row>
    <row r="4294" spans="1:9" ht="10.5" customHeight="1">
      <c r="A4294" s="3" t="s">
        <v>5984</v>
      </c>
      <c r="B4294" s="3" t="s">
        <v>5982</v>
      </c>
      <c r="C4294" s="3">
        <f>VLOOKUP(B4294,LifeList!$E$2:$J$2038,6)</f>
        <v>12151</v>
      </c>
      <c r="D4294" s="3" t="str">
        <f>VLOOKUP(B4294,LifeList!$E$2:$G$2038,1)</f>
        <v>Yellow-tailed Black-Cockatoo</v>
      </c>
      <c r="E4294" s="3" t="str">
        <f>VLOOKUP(B4294,LifeList!$E$2:$G$2038,2)</f>
        <v>Cacatoès funèbre</v>
      </c>
      <c r="F4294" s="3" t="str">
        <f>VLOOKUP(B4294,LifeList!$E$2:$G$2038,3)</f>
        <v>Zanda funerea</v>
      </c>
      <c r="G4294" s="3" t="str">
        <f>VLOOKUP(B4294,LifeList!$E$2:$I$2038,4)</f>
        <v>Psittaciformes</v>
      </c>
      <c r="H4294" s="3" t="str">
        <f>VLOOKUP(B4294,LifeList!$E$2:$I$2038,5)</f>
        <v>Cacatuidae (Cockatoos)</v>
      </c>
      <c r="I4294" s="3"/>
    </row>
    <row r="4295" spans="1:9" ht="10.5" customHeight="1">
      <c r="A4295" s="3" t="s">
        <v>5985</v>
      </c>
      <c r="B4295" s="3" t="s">
        <v>5982</v>
      </c>
      <c r="C4295" s="3">
        <f>VLOOKUP(B4295,LifeList!$E$2:$J$2038,6)</f>
        <v>12151</v>
      </c>
      <c r="D4295" s="3" t="str">
        <f>VLOOKUP(B4295,LifeList!$E$2:$G$2038,1)</f>
        <v>Yellow-tailed Black-Cockatoo</v>
      </c>
      <c r="E4295" s="3" t="str">
        <f>VLOOKUP(B4295,LifeList!$E$2:$G$2038,2)</f>
        <v>Cacatoès funèbre</v>
      </c>
      <c r="F4295" s="3" t="str">
        <f>VLOOKUP(B4295,LifeList!$E$2:$G$2038,3)</f>
        <v>Zanda funerea</v>
      </c>
      <c r="G4295" s="3" t="str">
        <f>VLOOKUP(B4295,LifeList!$E$2:$I$2038,4)</f>
        <v>Psittaciformes</v>
      </c>
      <c r="H4295" s="3" t="str">
        <f>VLOOKUP(B4295,LifeList!$E$2:$I$2038,5)</f>
        <v>Cacatuidae (Cockatoos)</v>
      </c>
      <c r="I4295" s="3"/>
    </row>
    <row r="4296" spans="1:9" ht="10.5" customHeight="1">
      <c r="A4296" s="3" t="s">
        <v>5986</v>
      </c>
      <c r="B4296" s="3" t="s">
        <v>5982</v>
      </c>
      <c r="C4296" s="3">
        <f>VLOOKUP(B4296,LifeList!$E$2:$J$2038,6)</f>
        <v>12151</v>
      </c>
      <c r="D4296" s="3" t="str">
        <f>VLOOKUP(B4296,LifeList!$E$2:$G$2038,1)</f>
        <v>Yellow-tailed Black-Cockatoo</v>
      </c>
      <c r="E4296" s="3" t="str">
        <f>VLOOKUP(B4296,LifeList!$E$2:$G$2038,2)</f>
        <v>Cacatoès funèbre</v>
      </c>
      <c r="F4296" s="3" t="str">
        <f>VLOOKUP(B4296,LifeList!$E$2:$G$2038,3)</f>
        <v>Zanda funerea</v>
      </c>
      <c r="G4296" s="3" t="str">
        <f>VLOOKUP(B4296,LifeList!$E$2:$I$2038,4)</f>
        <v>Psittaciformes</v>
      </c>
      <c r="H4296" s="3" t="str">
        <f>VLOOKUP(B4296,LifeList!$E$2:$I$2038,5)</f>
        <v>Cacatuidae (Cockatoos)</v>
      </c>
      <c r="I4296" s="3"/>
    </row>
    <row r="4297" spans="1:9" ht="10.5" customHeight="1">
      <c r="A4297" s="3" t="s">
        <v>5987</v>
      </c>
      <c r="B4297" s="3" t="s">
        <v>5988</v>
      </c>
      <c r="C4297" s="3">
        <f>VLOOKUP(B4297,LifeList!$E$2:$J$2038,6)</f>
        <v>33700</v>
      </c>
      <c r="D4297" s="3" t="str">
        <f>VLOOKUP(B4297,LifeList!$E$2:$G$2038,1)</f>
        <v>Yellow-tailed Oriole</v>
      </c>
      <c r="E4297" s="3" t="str">
        <f>VLOOKUP(B4297,LifeList!$E$2:$G$2038,2)</f>
        <v>Oriole à queue jaune</v>
      </c>
      <c r="F4297" s="3" t="str">
        <f>VLOOKUP(B4297,LifeList!$E$2:$G$2038,3)</f>
        <v>Icterus mesomelas</v>
      </c>
      <c r="G4297" s="3" t="str">
        <f>VLOOKUP(B4297,LifeList!$E$2:$I$2038,4)</f>
        <v>Passeriformes</v>
      </c>
      <c r="H4297" s="3" t="str">
        <f>VLOOKUP(B4297,LifeList!$E$2:$I$2038,5)</f>
        <v>Icteridae (Troupials and Allies)</v>
      </c>
      <c r="I4297" s="3"/>
    </row>
    <row r="4298" spans="1:9" ht="10.5" customHeight="1">
      <c r="A4298" s="3" t="s">
        <v>5989</v>
      </c>
      <c r="B4298" s="3" t="s">
        <v>5990</v>
      </c>
      <c r="C4298" s="3">
        <f>VLOOKUP(B4298,LifeList!$E$2:$J$2038,6)</f>
        <v>33446</v>
      </c>
      <c r="D4298" s="3" t="str">
        <f>VLOOKUP(B4298,LifeList!$E$2:$G$2038,1)</f>
        <v>Yellow-thighed Brushfinch</v>
      </c>
      <c r="E4298" s="3" t="str">
        <f>VLOOKUP(B4298,LifeList!$E$2:$G$2038,2)</f>
        <v>Tohi à cuisses jaunes</v>
      </c>
      <c r="F4298" s="3" t="str">
        <f>VLOOKUP(B4298,LifeList!$E$2:$G$2038,3)</f>
        <v>Atlapetes tibialis</v>
      </c>
      <c r="G4298" s="3" t="str">
        <f>VLOOKUP(B4298,LifeList!$E$2:$I$2038,4)</f>
        <v>Passeriformes</v>
      </c>
      <c r="H4298" s="3" t="str">
        <f>VLOOKUP(B4298,LifeList!$E$2:$I$2038,5)</f>
        <v>Passerellidae (New World Sparrows)</v>
      </c>
      <c r="I4298" s="3"/>
    </row>
    <row r="4299" spans="1:9" ht="10.5" customHeight="1">
      <c r="A4299" s="3" t="s">
        <v>5991</v>
      </c>
      <c r="B4299" s="3" t="s">
        <v>5990</v>
      </c>
      <c r="C4299" s="3">
        <f>VLOOKUP(B4299,LifeList!$E$2:$J$2038,6)</f>
        <v>33446</v>
      </c>
      <c r="D4299" s="3" t="str">
        <f>VLOOKUP(B4299,LifeList!$E$2:$G$2038,1)</f>
        <v>Yellow-thighed Brushfinch</v>
      </c>
      <c r="E4299" s="3" t="str">
        <f>VLOOKUP(B4299,LifeList!$E$2:$G$2038,2)</f>
        <v>Tohi à cuisses jaunes</v>
      </c>
      <c r="F4299" s="3" t="str">
        <f>VLOOKUP(B4299,LifeList!$E$2:$G$2038,3)</f>
        <v>Atlapetes tibialis</v>
      </c>
      <c r="G4299" s="3" t="str">
        <f>VLOOKUP(B4299,LifeList!$E$2:$I$2038,4)</f>
        <v>Passeriformes</v>
      </c>
      <c r="H4299" s="3" t="str">
        <f>VLOOKUP(B4299,LifeList!$E$2:$I$2038,5)</f>
        <v>Passerellidae (New World Sparrows)</v>
      </c>
      <c r="I4299" s="3"/>
    </row>
    <row r="4300" spans="1:9" ht="10.5" customHeight="1">
      <c r="A4300" s="5" t="s">
        <v>5992</v>
      </c>
      <c r="B4300" s="3" t="s">
        <v>5993</v>
      </c>
      <c r="C4300" s="3">
        <f>VLOOKUP(B4300,LifeList!$E$2:$J$2038,6)</f>
        <v>17813</v>
      </c>
      <c r="D4300" s="3" t="str">
        <f>VLOOKUP(B4300,LifeList!$E$2:$G$2038,1)</f>
        <v>Yellow-throated Miner</v>
      </c>
      <c r="E4300" s="3" t="str">
        <f>VLOOKUP(B4300,LifeList!$E$2:$G$2038,2)</f>
        <v>Méliphage à cou jaune</v>
      </c>
      <c r="F4300" s="3" t="str">
        <f>VLOOKUP(B4300,LifeList!$E$2:$G$2038,3)</f>
        <v>Manorina flavigula</v>
      </c>
      <c r="G4300" s="3" t="str">
        <f>VLOOKUP(B4300,LifeList!$E$2:$I$2038,4)</f>
        <v>Passeriformes</v>
      </c>
      <c r="H4300" s="3" t="str">
        <f>VLOOKUP(B4300,LifeList!$E$2:$I$2038,5)</f>
        <v>Meliphagidae (Honeyeaters)</v>
      </c>
      <c r="I4300" s="3"/>
    </row>
    <row r="4301" spans="1:9" ht="10.5" customHeight="1">
      <c r="A4301" s="3" t="s">
        <v>5994</v>
      </c>
      <c r="B4301" s="3" t="s">
        <v>5995</v>
      </c>
      <c r="C4301" s="3">
        <f>VLOOKUP(B4301,LifeList!$E$2:$J$2038,6)</f>
        <v>19220</v>
      </c>
      <c r="D4301" s="3" t="str">
        <f>VLOOKUP(B4301,LifeList!$E$2:$G$2038,1)</f>
        <v>Yellow-throated Vireo</v>
      </c>
      <c r="E4301" s="3" t="str">
        <f>VLOOKUP(B4301,LifeList!$E$2:$G$2038,2)</f>
        <v>Viréo à gorge jaune</v>
      </c>
      <c r="F4301" s="3" t="str">
        <f>VLOOKUP(B4301,LifeList!$E$2:$G$2038,3)</f>
        <v>Vireo flavifrons</v>
      </c>
      <c r="G4301" s="3" t="str">
        <f>VLOOKUP(B4301,LifeList!$E$2:$I$2038,4)</f>
        <v>Passeriformes</v>
      </c>
      <c r="H4301" s="3" t="str">
        <f>VLOOKUP(B4301,LifeList!$E$2:$I$2038,5)</f>
        <v>Vireonidae (Vireos, Shrike-Babblers, and Erpornis)</v>
      </c>
      <c r="I4301" s="3"/>
    </row>
    <row r="4302" spans="1:9" ht="10.5" customHeight="1">
      <c r="A4302" s="3" t="s">
        <v>5994</v>
      </c>
      <c r="B4302" s="3" t="s">
        <v>5995</v>
      </c>
      <c r="C4302" s="3">
        <f>VLOOKUP(B4302,LifeList!$E$2:$J$2038,6)</f>
        <v>19220</v>
      </c>
      <c r="D4302" s="3" t="str">
        <f>VLOOKUP(B4302,LifeList!$E$2:$G$2038,1)</f>
        <v>Yellow-throated Vireo</v>
      </c>
      <c r="E4302" s="3" t="str">
        <f>VLOOKUP(B4302,LifeList!$E$2:$G$2038,2)</f>
        <v>Viréo à gorge jaune</v>
      </c>
      <c r="F4302" s="3" t="str">
        <f>VLOOKUP(B4302,LifeList!$E$2:$G$2038,3)</f>
        <v>Vireo flavifrons</v>
      </c>
      <c r="G4302" s="3" t="str">
        <f>VLOOKUP(B4302,LifeList!$E$2:$I$2038,4)</f>
        <v>Passeriformes</v>
      </c>
      <c r="H4302" s="3" t="str">
        <f>VLOOKUP(B4302,LifeList!$E$2:$I$2038,5)</f>
        <v>Vireonidae (Vireos, Shrike-Babblers, and Erpornis)</v>
      </c>
      <c r="I4302" s="3"/>
    </row>
    <row r="4303" spans="1:9" ht="10.5" customHeight="1">
      <c r="A4303" s="3" t="s">
        <v>5996</v>
      </c>
      <c r="B4303" s="3" t="s">
        <v>5997</v>
      </c>
      <c r="C4303" s="3">
        <f>VLOOKUP(B4303,LifeList!$E$2:$J$2038,6)</f>
        <v>32847</v>
      </c>
      <c r="D4303" s="3" t="str">
        <f>VLOOKUP(B4303,LifeList!$E$2:$G$2038,1)</f>
        <v>Yellow-throated Chlorospingus</v>
      </c>
      <c r="E4303" s="3" t="str">
        <f>VLOOKUP(B4303,LifeList!$E$2:$G$2038,2)</f>
        <v>Chlorospin à gorge jaune</v>
      </c>
      <c r="F4303" s="3" t="str">
        <f>VLOOKUP(B4303,LifeList!$E$2:$G$2038,3)</f>
        <v>Chlorospingus flavigularis</v>
      </c>
      <c r="G4303" s="3" t="str">
        <f>VLOOKUP(B4303,LifeList!$E$2:$I$2038,4)</f>
        <v>Passeriformes</v>
      </c>
      <c r="H4303" s="3" t="str">
        <f>VLOOKUP(B4303,LifeList!$E$2:$I$2038,5)</f>
        <v>Passerellidae (New World Sparrows)</v>
      </c>
      <c r="I4303" s="3"/>
    </row>
    <row r="4304" spans="1:9" ht="10.5" customHeight="1">
      <c r="A4304" s="3" t="s">
        <v>5998</v>
      </c>
      <c r="B4304" s="3" t="s">
        <v>5999</v>
      </c>
      <c r="C4304" s="3">
        <f>VLOOKUP(B4304,LifeList!$E$2:$J$2038,6)</f>
        <v>32030</v>
      </c>
      <c r="D4304" s="3" t="str">
        <f>VLOOKUP(B4304,LifeList!$E$2:$G$2038,1)</f>
        <v>Yellow-throated Euphonia</v>
      </c>
      <c r="E4304" s="3" t="str">
        <f>VLOOKUP(B4304,LifeList!$E$2:$G$2038,2)</f>
        <v>Organiste à gorge jaune</v>
      </c>
      <c r="F4304" s="3" t="str">
        <f>VLOOKUP(B4304,LifeList!$E$2:$G$2038,3)</f>
        <v>Euphonia hirundinacea</v>
      </c>
      <c r="G4304" s="3" t="str">
        <f>VLOOKUP(B4304,LifeList!$E$2:$I$2038,4)</f>
        <v>Passeriformes</v>
      </c>
      <c r="H4304" s="3" t="str">
        <f>VLOOKUP(B4304,LifeList!$E$2:$I$2038,5)</f>
        <v>Fringillidae (Finches, Euphonias, and Allies)</v>
      </c>
      <c r="I4304" s="3"/>
    </row>
    <row r="4305" spans="1:9" ht="10.5" customHeight="1">
      <c r="A4305" s="3" t="s">
        <v>6000</v>
      </c>
      <c r="B4305" s="3" t="s">
        <v>5999</v>
      </c>
      <c r="C4305" s="3">
        <f>VLOOKUP(B4305,LifeList!$E$2:$J$2038,6)</f>
        <v>32030</v>
      </c>
      <c r="D4305" s="3" t="str">
        <f>VLOOKUP(B4305,LifeList!$E$2:$G$2038,1)</f>
        <v>Yellow-throated Euphonia</v>
      </c>
      <c r="E4305" s="3" t="str">
        <f>VLOOKUP(B4305,LifeList!$E$2:$G$2038,2)</f>
        <v>Organiste à gorge jaune</v>
      </c>
      <c r="F4305" s="3" t="str">
        <f>VLOOKUP(B4305,LifeList!$E$2:$G$2038,3)</f>
        <v>Euphonia hirundinacea</v>
      </c>
      <c r="G4305" s="3" t="str">
        <f>VLOOKUP(B4305,LifeList!$E$2:$I$2038,4)</f>
        <v>Passeriformes</v>
      </c>
      <c r="H4305" s="3" t="str">
        <f>VLOOKUP(B4305,LifeList!$E$2:$I$2038,5)</f>
        <v>Fringillidae (Finches, Euphonias, and Allies)</v>
      </c>
      <c r="I4305" s="3"/>
    </row>
    <row r="4306" spans="1:9" ht="10.5" customHeight="1">
      <c r="A4306" s="3" t="s">
        <v>6001</v>
      </c>
      <c r="B4306" s="3" t="s">
        <v>5999</v>
      </c>
      <c r="C4306" s="3">
        <f>VLOOKUP(B4306,LifeList!$E$2:$J$2038,6)</f>
        <v>32030</v>
      </c>
      <c r="D4306" s="3" t="str">
        <f>VLOOKUP(B4306,LifeList!$E$2:$G$2038,1)</f>
        <v>Yellow-throated Euphonia</v>
      </c>
      <c r="E4306" s="3" t="str">
        <f>VLOOKUP(B4306,LifeList!$E$2:$G$2038,2)</f>
        <v>Organiste à gorge jaune</v>
      </c>
      <c r="F4306" s="3" t="str">
        <f>VLOOKUP(B4306,LifeList!$E$2:$G$2038,3)</f>
        <v>Euphonia hirundinacea</v>
      </c>
      <c r="G4306" s="3" t="str">
        <f>VLOOKUP(B4306,LifeList!$E$2:$I$2038,4)</f>
        <v>Passeriformes</v>
      </c>
      <c r="H4306" s="3" t="str">
        <f>VLOOKUP(B4306,LifeList!$E$2:$I$2038,5)</f>
        <v>Fringillidae (Finches, Euphonias, and Allies)</v>
      </c>
      <c r="I4306" s="3"/>
    </row>
    <row r="4307" spans="1:9" ht="10.5" customHeight="1">
      <c r="A4307" s="5" t="s">
        <v>6002</v>
      </c>
      <c r="B4307" s="3" t="s">
        <v>6003</v>
      </c>
      <c r="C4307" s="6">
        <f>VLOOKUP(B4307,LifeList!$E$2:$J$2038,6)</f>
        <v>18119</v>
      </c>
      <c r="D4307" s="3" t="str">
        <f>VLOOKUP(B4307,LifeList!$E$2:$G$2038,1)</f>
        <v>Yellow-throated Honeyeater</v>
      </c>
      <c r="E4307" s="3" t="str">
        <f>VLOOKUP(B4307,LifeList!$E$2:$G$2038,2)</f>
        <v>Méliphage à gorge jaune</v>
      </c>
      <c r="F4307" s="3" t="str">
        <f>VLOOKUP(B4307,LifeList!$E$2:$G$2038,3)</f>
        <v>Nesoptilotis flavicollis</v>
      </c>
      <c r="G4307" s="3" t="str">
        <f>VLOOKUP(B4307,LifeList!$E$2:$I$2038,4)</f>
        <v>Passeriformes</v>
      </c>
      <c r="H4307" s="3" t="str">
        <f>VLOOKUP(B4307,LifeList!$E$2:$I$2038,5)</f>
        <v>Meliphagidae (Honeyeaters)</v>
      </c>
      <c r="I4307" s="3"/>
    </row>
    <row r="4308" spans="1:9" ht="10.5" customHeight="1">
      <c r="A4308" s="3" t="s">
        <v>6004</v>
      </c>
      <c r="B4308" s="3" t="s">
        <v>6005</v>
      </c>
      <c r="C4308" s="3">
        <f>VLOOKUP(B4308,LifeList!$E$2:$J$2038,6)</f>
        <v>31935</v>
      </c>
      <c r="D4308" s="3" t="str">
        <f>VLOOKUP(B4308,LifeList!$E$2:$G$2038,1)</f>
        <v>Yellow-throated Longclaw</v>
      </c>
      <c r="E4308" s="3" t="str">
        <f>VLOOKUP(B4308,LifeList!$E$2:$G$2038,2)</f>
        <v>Sentinelle à gorge jaune</v>
      </c>
      <c r="F4308" s="3" t="str">
        <f>VLOOKUP(B4308,LifeList!$E$2:$G$2038,3)</f>
        <v>Macronyx croceus</v>
      </c>
      <c r="G4308" s="3" t="str">
        <f>VLOOKUP(B4308,LifeList!$E$2:$I$2038,4)</f>
        <v>Passeriformes</v>
      </c>
      <c r="H4308" s="3" t="str">
        <f>VLOOKUP(B4308,LifeList!$E$2:$I$2038,5)</f>
        <v>Motacillidae (Wagtails and Pipits)</v>
      </c>
      <c r="I4308" s="3"/>
    </row>
    <row r="4309" spans="1:9" ht="10.5" customHeight="1">
      <c r="A4309" s="3" t="s">
        <v>6006</v>
      </c>
      <c r="B4309" s="3" t="s">
        <v>6007</v>
      </c>
      <c r="C4309" s="3">
        <f>VLOOKUP(B4309,LifeList!$E$2:$J$2038,6)</f>
        <v>10926</v>
      </c>
      <c r="D4309" s="3" t="str">
        <f>VLOOKUP(B4309,LifeList!$E$2:$G$2038,1)</f>
        <v>Yellow-throated Toucan</v>
      </c>
      <c r="E4309" s="3" t="str">
        <f>VLOOKUP(B4309,LifeList!$E$2:$G$2038,2)</f>
        <v>Toucan tocard</v>
      </c>
      <c r="F4309" s="3" t="str">
        <f>VLOOKUP(B4309,LifeList!$E$2:$G$2038,3)</f>
        <v>Ramphastos ambiguus</v>
      </c>
      <c r="G4309" s="3" t="str">
        <f>VLOOKUP(B4309,LifeList!$E$2:$I$2038,4)</f>
        <v>Piciformes</v>
      </c>
      <c r="H4309" s="3" t="str">
        <f>VLOOKUP(B4309,LifeList!$E$2:$I$2038,5)</f>
        <v>Ramphastidae (Toucans)</v>
      </c>
      <c r="I4309" s="3"/>
    </row>
    <row r="4310" spans="1:9" ht="10.5" customHeight="1">
      <c r="A4310" s="3" t="s">
        <v>6008</v>
      </c>
      <c r="B4310" s="3" t="s">
        <v>6007</v>
      </c>
      <c r="C4310" s="3">
        <f>VLOOKUP(B4310,LifeList!$E$2:$J$2038,6)</f>
        <v>10926</v>
      </c>
      <c r="D4310" s="3" t="str">
        <f>VLOOKUP(B4310,LifeList!$E$2:$G$2038,1)</f>
        <v>Yellow-throated Toucan</v>
      </c>
      <c r="E4310" s="3" t="str">
        <f>VLOOKUP(B4310,LifeList!$E$2:$G$2038,2)</f>
        <v>Toucan tocard</v>
      </c>
      <c r="F4310" s="3" t="str">
        <f>VLOOKUP(B4310,LifeList!$E$2:$G$2038,3)</f>
        <v>Ramphastos ambiguus</v>
      </c>
      <c r="G4310" s="3" t="str">
        <f>VLOOKUP(B4310,LifeList!$E$2:$I$2038,4)</f>
        <v>Piciformes</v>
      </c>
      <c r="H4310" s="3" t="str">
        <f>VLOOKUP(B4310,LifeList!$E$2:$I$2038,5)</f>
        <v>Ramphastidae (Toucans)</v>
      </c>
      <c r="I4310" s="3"/>
    </row>
    <row r="4311" spans="1:9" ht="10.5" customHeight="1">
      <c r="A4311" s="3" t="s">
        <v>6009</v>
      </c>
      <c r="B4311" s="3" t="s">
        <v>6007</v>
      </c>
      <c r="C4311" s="3">
        <f>VLOOKUP(B4311,LifeList!$E$2:$J$2038,6)</f>
        <v>10926</v>
      </c>
      <c r="D4311" s="3" t="str">
        <f>VLOOKUP(B4311,LifeList!$E$2:$G$2038,1)</f>
        <v>Yellow-throated Toucan</v>
      </c>
      <c r="E4311" s="3" t="str">
        <f>VLOOKUP(B4311,LifeList!$E$2:$G$2038,2)</f>
        <v>Toucan tocard</v>
      </c>
      <c r="F4311" s="3" t="str">
        <f>VLOOKUP(B4311,LifeList!$E$2:$G$2038,3)</f>
        <v>Ramphastos ambiguus</v>
      </c>
      <c r="G4311" s="3" t="str">
        <f>VLOOKUP(B4311,LifeList!$E$2:$I$2038,4)</f>
        <v>Piciformes</v>
      </c>
      <c r="H4311" s="3" t="str">
        <f>VLOOKUP(B4311,LifeList!$E$2:$I$2038,5)</f>
        <v>Ramphastidae (Toucans)</v>
      </c>
      <c r="I4311" s="3"/>
    </row>
    <row r="4312" spans="1:9" ht="10.5" customHeight="1">
      <c r="A4312" s="3" t="s">
        <v>6010</v>
      </c>
      <c r="B4312" s="3" t="s">
        <v>6011</v>
      </c>
      <c r="C4312" s="3">
        <f>VLOOKUP(B4312,LifeList!$E$2:$J$2038,6)</f>
        <v>19220</v>
      </c>
      <c r="D4312" s="3" t="str">
        <f>VLOOKUP(B4312,LifeList!$E$2:$G$2038,1)</f>
        <v>Yellow-throated Vireo</v>
      </c>
      <c r="E4312" s="3" t="str">
        <f>VLOOKUP(B4312,LifeList!$E$2:$G$2038,2)</f>
        <v>Viréo à gorge jaune</v>
      </c>
      <c r="F4312" s="3" t="str">
        <f>VLOOKUP(B4312,LifeList!$E$2:$G$2038,3)</f>
        <v>Vireo flavifrons</v>
      </c>
      <c r="G4312" s="3" t="str">
        <f>VLOOKUP(B4312,LifeList!$E$2:$I$2038,4)</f>
        <v>Passeriformes</v>
      </c>
      <c r="H4312" s="3" t="str">
        <f>VLOOKUP(B4312,LifeList!$E$2:$I$2038,5)</f>
        <v>Vireonidae (Vireos, Shrike-Babblers, and Erpornis)</v>
      </c>
      <c r="I4312" s="3"/>
    </row>
    <row r="4313" spans="1:9" ht="10.5" customHeight="1">
      <c r="A4313" s="3" t="s">
        <v>6012</v>
      </c>
      <c r="B4313" s="3" t="s">
        <v>6011</v>
      </c>
      <c r="C4313" s="3">
        <f>VLOOKUP(B4313,LifeList!$E$2:$J$2038,6)</f>
        <v>19220</v>
      </c>
      <c r="D4313" s="3" t="str">
        <f>VLOOKUP(B4313,LifeList!$E$2:$G$2038,1)</f>
        <v>Yellow-throated Vireo</v>
      </c>
      <c r="E4313" s="3" t="str">
        <f>VLOOKUP(B4313,LifeList!$E$2:$G$2038,2)</f>
        <v>Viréo à gorge jaune</v>
      </c>
      <c r="F4313" s="3" t="str">
        <f>VLOOKUP(B4313,LifeList!$E$2:$G$2038,3)</f>
        <v>Vireo flavifrons</v>
      </c>
      <c r="G4313" s="3" t="str">
        <f>VLOOKUP(B4313,LifeList!$E$2:$I$2038,4)</f>
        <v>Passeriformes</v>
      </c>
      <c r="H4313" s="3" t="str">
        <f>VLOOKUP(B4313,LifeList!$E$2:$I$2038,5)</f>
        <v>Vireonidae (Vireos, Shrike-Babblers, and Erpornis)</v>
      </c>
      <c r="I4313" s="3"/>
    </row>
    <row r="4314" spans="1:9" ht="10.5" customHeight="1">
      <c r="A4314" s="3" t="s">
        <v>6013</v>
      </c>
      <c r="B4314" s="3" t="s">
        <v>6011</v>
      </c>
      <c r="C4314" s="3">
        <f>VLOOKUP(B4314,LifeList!$E$2:$J$2038,6)</f>
        <v>19220</v>
      </c>
      <c r="D4314" s="3" t="str">
        <f>VLOOKUP(B4314,LifeList!$E$2:$G$2038,1)</f>
        <v>Yellow-throated Vireo</v>
      </c>
      <c r="E4314" s="3" t="str">
        <f>VLOOKUP(B4314,LifeList!$E$2:$G$2038,2)</f>
        <v>Viréo à gorge jaune</v>
      </c>
      <c r="F4314" s="3" t="str">
        <f>VLOOKUP(B4314,LifeList!$E$2:$G$2038,3)</f>
        <v>Vireo flavifrons</v>
      </c>
      <c r="G4314" s="3" t="str">
        <f>VLOOKUP(B4314,LifeList!$E$2:$I$2038,4)</f>
        <v>Passeriformes</v>
      </c>
      <c r="H4314" s="3" t="str">
        <f>VLOOKUP(B4314,LifeList!$E$2:$I$2038,5)</f>
        <v>Vireonidae (Vireos, Shrike-Babblers, and Erpornis)</v>
      </c>
      <c r="I4314" s="3"/>
    </row>
    <row r="4315" spans="1:9" ht="10.5" customHeight="1">
      <c r="A4315" s="3" t="s">
        <v>6014</v>
      </c>
      <c r="B4315" s="3" t="s">
        <v>6011</v>
      </c>
      <c r="C4315" s="3">
        <f>VLOOKUP(B4315,LifeList!$E$2:$J$2038,6)</f>
        <v>19220</v>
      </c>
      <c r="D4315" s="3" t="str">
        <f>VLOOKUP(B4315,LifeList!$E$2:$G$2038,1)</f>
        <v>Yellow-throated Vireo</v>
      </c>
      <c r="E4315" s="3" t="str">
        <f>VLOOKUP(B4315,LifeList!$E$2:$G$2038,2)</f>
        <v>Viréo à gorge jaune</v>
      </c>
      <c r="F4315" s="3" t="str">
        <f>VLOOKUP(B4315,LifeList!$E$2:$G$2038,3)</f>
        <v>Vireo flavifrons</v>
      </c>
      <c r="G4315" s="3" t="str">
        <f>VLOOKUP(B4315,LifeList!$E$2:$I$2038,4)</f>
        <v>Passeriformes</v>
      </c>
      <c r="H4315" s="3" t="str">
        <f>VLOOKUP(B4315,LifeList!$E$2:$I$2038,5)</f>
        <v>Vireonidae (Vireos, Shrike-Babblers, and Erpornis)</v>
      </c>
      <c r="I4315" s="3"/>
    </row>
    <row r="4316" spans="1:9" ht="10.5" customHeight="1">
      <c r="A4316" s="3" t="s">
        <v>6015</v>
      </c>
      <c r="B4316" s="3" t="s">
        <v>6011</v>
      </c>
      <c r="C4316" s="3">
        <f>VLOOKUP(B4316,LifeList!$E$2:$J$2038,6)</f>
        <v>19220</v>
      </c>
      <c r="D4316" s="3" t="str">
        <f>VLOOKUP(B4316,LifeList!$E$2:$G$2038,1)</f>
        <v>Yellow-throated Vireo</v>
      </c>
      <c r="E4316" s="3" t="str">
        <f>VLOOKUP(B4316,LifeList!$E$2:$G$2038,2)</f>
        <v>Viréo à gorge jaune</v>
      </c>
      <c r="F4316" s="3" t="str">
        <f>VLOOKUP(B4316,LifeList!$E$2:$G$2038,3)</f>
        <v>Vireo flavifrons</v>
      </c>
      <c r="G4316" s="3" t="str">
        <f>VLOOKUP(B4316,LifeList!$E$2:$I$2038,4)</f>
        <v>Passeriformes</v>
      </c>
      <c r="H4316" s="3" t="str">
        <f>VLOOKUP(B4316,LifeList!$E$2:$I$2038,5)</f>
        <v>Vireonidae (Vireos, Shrike-Babblers, and Erpornis)</v>
      </c>
      <c r="I4316" s="3"/>
    </row>
    <row r="4317" spans="1:9" ht="10.5" customHeight="1">
      <c r="A4317" s="3" t="s">
        <v>6016</v>
      </c>
      <c r="B4317" s="3" t="s">
        <v>6011</v>
      </c>
      <c r="C4317" s="3">
        <f>VLOOKUP(B4317,LifeList!$E$2:$J$2038,6)</f>
        <v>19220</v>
      </c>
      <c r="D4317" s="3" t="str">
        <f>VLOOKUP(B4317,LifeList!$E$2:$G$2038,1)</f>
        <v>Yellow-throated Vireo</v>
      </c>
      <c r="E4317" s="3" t="str">
        <f>VLOOKUP(B4317,LifeList!$E$2:$G$2038,2)</f>
        <v>Viréo à gorge jaune</v>
      </c>
      <c r="F4317" s="3" t="str">
        <f>VLOOKUP(B4317,LifeList!$E$2:$G$2038,3)</f>
        <v>Vireo flavifrons</v>
      </c>
      <c r="G4317" s="3" t="str">
        <f>VLOOKUP(B4317,LifeList!$E$2:$I$2038,4)</f>
        <v>Passeriformes</v>
      </c>
      <c r="H4317" s="3" t="str">
        <f>VLOOKUP(B4317,LifeList!$E$2:$I$2038,5)</f>
        <v>Vireonidae (Vireos, Shrike-Babblers, and Erpornis)</v>
      </c>
      <c r="I4317" s="3"/>
    </row>
    <row r="4318" spans="1:9" ht="10.5" customHeight="1">
      <c r="A4318" s="3" t="s">
        <v>6017</v>
      </c>
      <c r="B4318" s="3" t="s">
        <v>6018</v>
      </c>
      <c r="C4318" s="3">
        <f>VLOOKUP(B4318,LifeList!$E$2:$J$2038,6)</f>
        <v>34171</v>
      </c>
      <c r="D4318" s="3" t="str">
        <f>VLOOKUP(B4318,LifeList!$E$2:$G$2038,1)</f>
        <v>Yellow-throated Warbler</v>
      </c>
      <c r="E4318" s="3" t="str">
        <f>VLOOKUP(B4318,LifeList!$E$2:$G$2038,2)</f>
        <v>Paruline à gorge jaune</v>
      </c>
      <c r="F4318" s="3" t="str">
        <f>VLOOKUP(B4318,LifeList!$E$2:$G$2038,3)</f>
        <v>Setophaga dominica</v>
      </c>
      <c r="G4318" s="3" t="str">
        <f>VLOOKUP(B4318,LifeList!$E$2:$I$2038,4)</f>
        <v>Passeriformes</v>
      </c>
      <c r="H4318" s="3" t="str">
        <f>VLOOKUP(B4318,LifeList!$E$2:$I$2038,5)</f>
        <v>Parulidae (New World Warblers)</v>
      </c>
      <c r="I4318" s="3"/>
    </row>
    <row r="4319" spans="1:9" ht="10.5" customHeight="1">
      <c r="A4319" s="3" t="s">
        <v>6019</v>
      </c>
      <c r="B4319" s="3" t="s">
        <v>6018</v>
      </c>
      <c r="C4319" s="3">
        <f>VLOOKUP(B4319,LifeList!$E$2:$J$2038,6)</f>
        <v>34171</v>
      </c>
      <c r="D4319" s="3" t="str">
        <f>VLOOKUP(B4319,LifeList!$E$2:$G$2038,1)</f>
        <v>Yellow-throated Warbler</v>
      </c>
      <c r="E4319" s="3" t="str">
        <f>VLOOKUP(B4319,LifeList!$E$2:$G$2038,2)</f>
        <v>Paruline à gorge jaune</v>
      </c>
      <c r="F4319" s="3" t="str">
        <f>VLOOKUP(B4319,LifeList!$E$2:$G$2038,3)</f>
        <v>Setophaga dominica</v>
      </c>
      <c r="G4319" s="3" t="str">
        <f>VLOOKUP(B4319,LifeList!$E$2:$I$2038,4)</f>
        <v>Passeriformes</v>
      </c>
      <c r="H4319" s="3" t="str">
        <f>VLOOKUP(B4319,LifeList!$E$2:$I$2038,5)</f>
        <v>Parulidae (New World Warblers)</v>
      </c>
      <c r="I4319" s="3"/>
    </row>
    <row r="4320" spans="1:9" ht="10.5" customHeight="1">
      <c r="A4320" s="3" t="s">
        <v>6020</v>
      </c>
      <c r="B4320" s="3" t="s">
        <v>6018</v>
      </c>
      <c r="C4320" s="3">
        <f>VLOOKUP(B4320,LifeList!$E$2:$J$2038,6)</f>
        <v>34171</v>
      </c>
      <c r="D4320" s="3" t="str">
        <f>VLOOKUP(B4320,LifeList!$E$2:$G$2038,1)</f>
        <v>Yellow-throated Warbler</v>
      </c>
      <c r="E4320" s="3" t="str">
        <f>VLOOKUP(B4320,LifeList!$E$2:$G$2038,2)</f>
        <v>Paruline à gorge jaune</v>
      </c>
      <c r="F4320" s="3" t="str">
        <f>VLOOKUP(B4320,LifeList!$E$2:$G$2038,3)</f>
        <v>Setophaga dominica</v>
      </c>
      <c r="G4320" s="3" t="str">
        <f>VLOOKUP(B4320,LifeList!$E$2:$I$2038,4)</f>
        <v>Passeriformes</v>
      </c>
      <c r="H4320" s="3" t="str">
        <f>VLOOKUP(B4320,LifeList!$E$2:$I$2038,5)</f>
        <v>Parulidae (New World Warblers)</v>
      </c>
      <c r="I4320" s="3"/>
    </row>
    <row r="4321" spans="1:9" ht="10.5" customHeight="1">
      <c r="A4321" s="3" t="s">
        <v>6021</v>
      </c>
      <c r="B4321" s="3" t="s">
        <v>6018</v>
      </c>
      <c r="C4321" s="3">
        <f>VLOOKUP(B4321,LifeList!$E$2:$J$2038,6)</f>
        <v>34171</v>
      </c>
      <c r="D4321" s="3" t="str">
        <f>VLOOKUP(B4321,LifeList!$E$2:$G$2038,1)</f>
        <v>Yellow-throated Warbler</v>
      </c>
      <c r="E4321" s="3" t="str">
        <f>VLOOKUP(B4321,LifeList!$E$2:$G$2038,2)</f>
        <v>Paruline à gorge jaune</v>
      </c>
      <c r="F4321" s="3" t="str">
        <f>VLOOKUP(B4321,LifeList!$E$2:$G$2038,3)</f>
        <v>Setophaga dominica</v>
      </c>
      <c r="G4321" s="3" t="str">
        <f>VLOOKUP(B4321,LifeList!$E$2:$I$2038,4)</f>
        <v>Passeriformes</v>
      </c>
      <c r="H4321" s="3" t="str">
        <f>VLOOKUP(B4321,LifeList!$E$2:$I$2038,5)</f>
        <v>Parulidae (New World Warblers)</v>
      </c>
      <c r="I4321" s="3"/>
    </row>
    <row r="4322" spans="1:9" ht="10.5" customHeight="1">
      <c r="A4322" s="5" t="s">
        <v>6022</v>
      </c>
      <c r="B4322" s="3" t="s">
        <v>6023</v>
      </c>
      <c r="C4322" s="6">
        <f>VLOOKUP(B4322,LifeList!$E$2:$J$2038,6)</f>
        <v>17799</v>
      </c>
      <c r="D4322" s="3" t="str">
        <f>VLOOKUP(B4322,LifeList!$E$2:$G$2038,1)</f>
        <v>Yellow-tufted Honeyeater</v>
      </c>
      <c r="E4322" s="3" t="str">
        <f>VLOOKUP(B4322,LifeList!$E$2:$G$2038,2)</f>
        <v>Méliphage cornu</v>
      </c>
      <c r="F4322" s="3" t="str">
        <f>VLOOKUP(B4322,LifeList!$E$2:$G$2038,3)</f>
        <v>Lichenostomus melanops</v>
      </c>
      <c r="G4322" s="3" t="str">
        <f>VLOOKUP(B4322,LifeList!$E$2:$I$2038,4)</f>
        <v>Passeriformes</v>
      </c>
      <c r="H4322" s="3" t="str">
        <f>VLOOKUP(B4322,LifeList!$E$2:$I$2038,5)</f>
        <v>Meliphagidae (Honeyeaters)</v>
      </c>
      <c r="I4322" s="3"/>
    </row>
    <row r="4323" spans="1:9" ht="10.5" customHeight="1">
      <c r="A4323" s="3" t="s">
        <v>6024</v>
      </c>
      <c r="B4323" s="3" t="s">
        <v>6025</v>
      </c>
      <c r="C4323" s="3">
        <f>VLOOKUP(B4323,LifeList!$E$2:$J$2038,6)</f>
        <v>16984</v>
      </c>
      <c r="D4323" s="3" t="str">
        <f>VLOOKUP(B4323,LifeList!$E$2:$G$2038,1)</f>
        <v>Yellowish Flycatcher</v>
      </c>
      <c r="E4323" s="3" t="str">
        <f>VLOOKUP(B4323,LifeList!$E$2:$G$2038,2)</f>
        <v>Moucherolle jaunâtre</v>
      </c>
      <c r="F4323" s="3" t="str">
        <f>VLOOKUP(B4323,LifeList!$E$2:$G$2038,3)</f>
        <v>Empidonax flavescens</v>
      </c>
      <c r="G4323" s="3" t="str">
        <f>VLOOKUP(B4323,LifeList!$E$2:$I$2038,4)</f>
        <v>Passeriformes</v>
      </c>
      <c r="H4323" s="3" t="str">
        <f>VLOOKUP(B4323,LifeList!$E$2:$I$2038,5)</f>
        <v>Tyrannidae (Tyrant Flycatchers)</v>
      </c>
      <c r="I4323" s="3"/>
    </row>
    <row r="4324" spans="1:9" ht="10.5" customHeight="1">
      <c r="A4324" s="3" t="s">
        <v>6026</v>
      </c>
      <c r="B4324" s="3" t="s">
        <v>6025</v>
      </c>
      <c r="C4324" s="3">
        <f>VLOOKUP(B4324,LifeList!$E$2:$J$2038,6)</f>
        <v>16984</v>
      </c>
      <c r="D4324" s="3" t="str">
        <f>VLOOKUP(B4324,LifeList!$E$2:$G$2038,1)</f>
        <v>Yellowish Flycatcher</v>
      </c>
      <c r="E4324" s="3" t="str">
        <f>VLOOKUP(B4324,LifeList!$E$2:$G$2038,2)</f>
        <v>Moucherolle jaunâtre</v>
      </c>
      <c r="F4324" s="3" t="str">
        <f>VLOOKUP(B4324,LifeList!$E$2:$G$2038,3)</f>
        <v>Empidonax flavescens</v>
      </c>
      <c r="G4324" s="3" t="str">
        <f>VLOOKUP(B4324,LifeList!$E$2:$I$2038,4)</f>
        <v>Passeriformes</v>
      </c>
      <c r="H4324" s="3" t="str">
        <f>VLOOKUP(B4324,LifeList!$E$2:$I$2038,5)</f>
        <v>Tyrannidae (Tyrant Flycatchers)</v>
      </c>
      <c r="I4324" s="3"/>
    </row>
    <row r="4325" spans="1:9" ht="10.5" customHeight="1">
      <c r="A4325" s="3" t="s">
        <v>6027</v>
      </c>
      <c r="B4325" s="3" t="s">
        <v>6025</v>
      </c>
      <c r="C4325" s="3">
        <f>VLOOKUP(B4325,LifeList!$E$2:$J$2038,6)</f>
        <v>16984</v>
      </c>
      <c r="D4325" s="3" t="str">
        <f>VLOOKUP(B4325,LifeList!$E$2:$G$2038,1)</f>
        <v>Yellowish Flycatcher</v>
      </c>
      <c r="E4325" s="3" t="str">
        <f>VLOOKUP(B4325,LifeList!$E$2:$G$2038,2)</f>
        <v>Moucherolle jaunâtre</v>
      </c>
      <c r="F4325" s="3" t="str">
        <f>VLOOKUP(B4325,LifeList!$E$2:$G$2038,3)</f>
        <v>Empidonax flavescens</v>
      </c>
      <c r="G4325" s="3" t="str">
        <f>VLOOKUP(B4325,LifeList!$E$2:$I$2038,4)</f>
        <v>Passeriformes</v>
      </c>
      <c r="H4325" s="3" t="str">
        <f>VLOOKUP(B4325,LifeList!$E$2:$I$2038,5)</f>
        <v>Tyrannidae (Tyrant Flycatchers)</v>
      </c>
      <c r="I4325" s="3"/>
    </row>
    <row r="4326" spans="1:9" ht="10.5" customHeight="1">
      <c r="A4326" s="5" t="s">
        <v>6028</v>
      </c>
      <c r="B4326" s="3" t="s">
        <v>6029</v>
      </c>
      <c r="C4326" s="6">
        <f>VLOOKUP(B4326,LifeList!$E$2:$J$2038,6)</f>
        <v>11167</v>
      </c>
      <c r="D4326" s="3" t="str">
        <f>VLOOKUP(B4326,LifeList!$E$2:$G$2038,1)</f>
        <v>Yucatan Woodpecker</v>
      </c>
      <c r="E4326" s="3" t="str">
        <f>VLOOKUP(B4326,LifeList!$E$2:$G$2038,2)</f>
        <v>Pic du Yucatan</v>
      </c>
      <c r="F4326" s="3" t="str">
        <f>VLOOKUP(B4326,LifeList!$E$2:$G$2038,3)</f>
        <v>Melanerpes pygmaeus</v>
      </c>
      <c r="G4326" s="3" t="str">
        <f>VLOOKUP(B4326,LifeList!$E$2:$I$2038,4)</f>
        <v>Piciformes</v>
      </c>
      <c r="H4326" s="3" t="str">
        <f>VLOOKUP(B4326,LifeList!$E$2:$I$2038,5)</f>
        <v>Picidae (Woodpeckers)</v>
      </c>
      <c r="I4326" s="3"/>
    </row>
    <row r="4327" spans="1:9" ht="10.5" customHeight="1">
      <c r="A4327" s="3" t="s">
        <v>6030</v>
      </c>
      <c r="B4327" s="3" t="s">
        <v>6031</v>
      </c>
      <c r="C4327" s="3">
        <f>VLOOKUP(B4327,LifeList!$E$2:$J$2038,6)</f>
        <v>2232</v>
      </c>
      <c r="D4327" s="3" t="str">
        <f>VLOOKUP(B4327,LifeList!$E$2:$G$2038,1)</f>
        <v>Zebra Dove</v>
      </c>
      <c r="E4327" s="3" t="str">
        <f>VLOOKUP(B4327,LifeList!$E$2:$G$2038,2)</f>
        <v>Géopélie zébrée</v>
      </c>
      <c r="F4327" s="3" t="str">
        <f>VLOOKUP(B4327,LifeList!$E$2:$G$2038,3)</f>
        <v>Geopelia striata</v>
      </c>
      <c r="G4327" s="3" t="str">
        <f>VLOOKUP(B4327,LifeList!$E$2:$I$2038,4)</f>
        <v>Columbiformes</v>
      </c>
      <c r="H4327" s="3" t="str">
        <f>VLOOKUP(B4327,LifeList!$E$2:$I$2038,5)</f>
        <v>Columbidae (Pigeons and Doves)</v>
      </c>
      <c r="I4327" s="3"/>
    </row>
    <row r="4328" spans="1:9" ht="10.5" customHeight="1">
      <c r="A4328" s="5" t="s">
        <v>6032</v>
      </c>
      <c r="B4328" s="3" t="s">
        <v>6033</v>
      </c>
      <c r="C4328" s="6">
        <f>VLOOKUP(B4328,LifeList!$E$2:$J$2038,6)</f>
        <v>14055</v>
      </c>
      <c r="D4328" s="3" t="str">
        <f>VLOOKUP(B4328,LifeList!$E$2:$G$2038,1)</f>
        <v>Zeledon's Antbird</v>
      </c>
      <c r="E4328" s="3" t="str">
        <f>VLOOKUP(B4328,LifeList!$E$2:$G$2038,2)</f>
        <v>Alapi de Zeledon</v>
      </c>
      <c r="F4328" s="3" t="str">
        <f>VLOOKUP(B4328,LifeList!$E$2:$G$2038,3)</f>
        <v>Hafferia zeledoni</v>
      </c>
      <c r="G4328" s="3" t="str">
        <f>VLOOKUP(B4328,LifeList!$E$2:$I$2038,4)</f>
        <v>Passeriformes</v>
      </c>
      <c r="H4328" s="3" t="str">
        <f>VLOOKUP(B4328,LifeList!$E$2:$I$2038,5)</f>
        <v>Thamnophilidae (Typical Antbirds)</v>
      </c>
      <c r="I4328" s="3"/>
    </row>
    <row r="4329" spans="1:9" ht="10.5" customHeight="1">
      <c r="A4329" s="5" t="s">
        <v>6034</v>
      </c>
      <c r="B4329" s="3" t="s">
        <v>6033</v>
      </c>
      <c r="C4329" s="3">
        <f>VLOOKUP(B4329,LifeList!$E$2:$J$2038,6)</f>
        <v>14055</v>
      </c>
      <c r="D4329" s="3" t="str">
        <f>VLOOKUP(B4329,LifeList!$E$2:$G$2038,1)</f>
        <v>Zeledon's Antbird</v>
      </c>
      <c r="E4329" s="3" t="str">
        <f>VLOOKUP(B4329,LifeList!$E$2:$G$2038,2)</f>
        <v>Alapi de Zeledon</v>
      </c>
      <c r="F4329" s="3" t="str">
        <f>VLOOKUP(B4329,LifeList!$E$2:$G$2038,3)</f>
        <v>Hafferia zeledoni</v>
      </c>
      <c r="G4329" s="3" t="str">
        <f>VLOOKUP(B4329,LifeList!$E$2:$I$2038,4)</f>
        <v>Passeriformes</v>
      </c>
      <c r="H4329" s="3" t="str">
        <f>VLOOKUP(B4329,LifeList!$E$2:$I$2038,5)</f>
        <v>Thamnophilidae (Typical Antbirds)</v>
      </c>
      <c r="I4329" s="3"/>
    </row>
    <row r="4330" spans="1:9" ht="10.5" customHeight="1">
      <c r="A4330" s="5"/>
      <c r="B4330" s="3"/>
      <c r="C4330" s="3"/>
      <c r="D4330" s="3"/>
      <c r="E4330" s="3"/>
      <c r="F4330" s="3"/>
      <c r="G4330" s="3"/>
      <c r="H4330" s="3"/>
      <c r="I4330" s="3"/>
    </row>
    <row r="4331" spans="1:9" ht="10.5" customHeight="1">
      <c r="A4331" s="5"/>
      <c r="B4331" s="3"/>
      <c r="C4331" s="3"/>
      <c r="D4331" s="3"/>
      <c r="E4331" s="3"/>
      <c r="F4331" s="3"/>
      <c r="G4331" s="3"/>
      <c r="H4331" s="3"/>
      <c r="I4331" s="3"/>
    </row>
    <row r="4332" spans="1:9" ht="10.5" customHeight="1">
      <c r="A4332" s="5"/>
      <c r="B4332" s="3"/>
      <c r="C4332" s="3"/>
      <c r="D4332" s="3"/>
      <c r="E4332" s="3"/>
      <c r="F4332" s="3"/>
      <c r="G4332" s="3"/>
      <c r="H4332" s="3"/>
      <c r="I4332" s="3"/>
    </row>
    <row r="4333" spans="1:9" ht="10.5" customHeight="1">
      <c r="A4333" s="5"/>
      <c r="B4333" s="3"/>
      <c r="C4333" s="3"/>
      <c r="D4333" s="3"/>
      <c r="E4333" s="3"/>
      <c r="F4333" s="3"/>
      <c r="G4333" s="3"/>
      <c r="H4333" s="3"/>
      <c r="I4333" s="3"/>
    </row>
    <row r="4334" spans="1:9" ht="10.5" customHeight="1">
      <c r="A4334" s="5"/>
      <c r="B4334" s="3"/>
      <c r="C4334" s="3"/>
      <c r="D4334" s="3"/>
      <c r="E4334" s="3"/>
      <c r="F4334" s="3"/>
      <c r="G4334" s="3"/>
      <c r="H4334" s="3"/>
      <c r="I4334" s="3"/>
    </row>
    <row r="4335" spans="1:9" ht="10.5" customHeight="1">
      <c r="A4335" s="5"/>
      <c r="B4335" s="3"/>
      <c r="C4335" s="3"/>
      <c r="D4335" s="3"/>
      <c r="E4335" s="3"/>
      <c r="F4335" s="3"/>
      <c r="G4335" s="3"/>
      <c r="H4335" s="3"/>
      <c r="I4335" s="3"/>
    </row>
    <row r="4336" spans="1:9" ht="10.5" customHeight="1">
      <c r="A4336" s="5"/>
      <c r="B4336" s="3"/>
      <c r="C4336" s="3"/>
      <c r="D4336" s="3"/>
      <c r="E4336" s="3"/>
      <c r="F4336" s="3"/>
      <c r="G4336" s="3"/>
      <c r="H4336" s="3"/>
      <c r="I4336" s="3"/>
    </row>
    <row r="4337" spans="1:9" ht="10.5" customHeight="1">
      <c r="A4337" s="5"/>
      <c r="B4337" s="3"/>
      <c r="C4337" s="3"/>
      <c r="D4337" s="3"/>
      <c r="E4337" s="3"/>
      <c r="F4337" s="3"/>
      <c r="G4337" s="3"/>
      <c r="H4337" s="3"/>
      <c r="I4337" s="3"/>
    </row>
    <row r="4338" spans="1:9" ht="10.5" customHeight="1">
      <c r="A4338" s="5"/>
      <c r="B4338" s="3"/>
      <c r="C4338" s="3"/>
      <c r="D4338" s="3"/>
      <c r="E4338" s="3"/>
      <c r="F4338" s="3"/>
      <c r="G4338" s="3"/>
      <c r="H4338" s="3"/>
      <c r="I4338" s="3"/>
    </row>
    <row r="4339" spans="1:9" ht="10.5" customHeight="1">
      <c r="A4339" s="5"/>
      <c r="B4339" s="3"/>
      <c r="C4339" s="3"/>
      <c r="D4339" s="3"/>
      <c r="E4339" s="3"/>
      <c r="F4339" s="3"/>
      <c r="G4339" s="3"/>
      <c r="H4339" s="3"/>
      <c r="I4339" s="3"/>
    </row>
    <row r="4340" spans="1:9" ht="10.5" customHeight="1">
      <c r="A4340" s="5"/>
      <c r="B4340" s="3"/>
      <c r="C4340" s="3"/>
      <c r="D4340" s="3"/>
      <c r="E4340" s="3"/>
      <c r="F4340" s="3"/>
      <c r="G4340" s="3"/>
      <c r="H4340" s="3"/>
      <c r="I4340" s="3"/>
    </row>
    <row r="4341" spans="1:9" ht="10.5" customHeight="1">
      <c r="A4341" s="5"/>
      <c r="B4341" s="3"/>
      <c r="C4341" s="3"/>
      <c r="D4341" s="3"/>
      <c r="E4341" s="3"/>
      <c r="F4341" s="3"/>
      <c r="G4341" s="3"/>
      <c r="H4341" s="3"/>
      <c r="I4341" s="3"/>
    </row>
    <row r="4342" spans="1:9" ht="10.5" customHeight="1">
      <c r="A4342" s="5"/>
      <c r="B4342" s="3"/>
      <c r="C4342" s="3"/>
      <c r="D4342" s="3"/>
      <c r="E4342" s="3"/>
      <c r="F4342" s="3"/>
      <c r="G4342" s="3"/>
      <c r="H4342" s="3"/>
      <c r="I4342" s="3"/>
    </row>
    <row r="4343" spans="1:9" ht="10.5" customHeight="1">
      <c r="A4343" s="5"/>
      <c r="B4343" s="3"/>
      <c r="C4343" s="3"/>
      <c r="D4343" s="3"/>
      <c r="E4343" s="3"/>
      <c r="F4343" s="3"/>
      <c r="G4343" s="3"/>
      <c r="H4343" s="3"/>
      <c r="I4343" s="3"/>
    </row>
    <row r="4344" spans="1:9" ht="10.5" customHeight="1">
      <c r="A4344" s="5"/>
      <c r="B4344" s="3"/>
      <c r="C4344" s="3"/>
      <c r="D4344" s="3"/>
      <c r="E4344" s="3"/>
      <c r="F4344" s="3"/>
      <c r="G4344" s="3"/>
      <c r="H4344" s="3"/>
      <c r="I4344" s="3"/>
    </row>
    <row r="4345" spans="1:9" ht="10.5" customHeight="1">
      <c r="A4345" s="5"/>
      <c r="B4345" s="3"/>
      <c r="C4345" s="3"/>
      <c r="D4345" s="3"/>
      <c r="E4345" s="3"/>
      <c r="F4345" s="3"/>
      <c r="G4345" s="3"/>
      <c r="H4345" s="3"/>
      <c r="I4345" s="3"/>
    </row>
    <row r="4346" spans="1:9" ht="10.5" customHeight="1">
      <c r="A4346" s="5"/>
      <c r="B4346" s="3"/>
      <c r="C4346" s="3"/>
      <c r="D4346" s="3"/>
      <c r="E4346" s="3"/>
      <c r="F4346" s="3"/>
      <c r="G4346" s="3"/>
      <c r="H4346" s="3"/>
      <c r="I4346" s="3"/>
    </row>
    <row r="4347" spans="1:9" ht="10.5" customHeight="1">
      <c r="A4347" s="5"/>
      <c r="B4347" s="3"/>
      <c r="C4347" s="3"/>
      <c r="D4347" s="3"/>
      <c r="E4347" s="3"/>
      <c r="F4347" s="3"/>
      <c r="G4347" s="3"/>
      <c r="H4347" s="3"/>
      <c r="I4347" s="3"/>
    </row>
    <row r="4348" spans="1:9" ht="10.5" customHeight="1">
      <c r="A4348" s="5"/>
      <c r="B4348" s="3"/>
      <c r="C4348" s="3"/>
      <c r="D4348" s="3"/>
      <c r="E4348" s="3"/>
      <c r="F4348" s="3"/>
      <c r="G4348" s="3"/>
      <c r="H4348" s="3"/>
      <c r="I4348" s="3"/>
    </row>
    <row r="4349" spans="1:9" ht="10.5" customHeight="1">
      <c r="A4349" s="5"/>
      <c r="B4349" s="3"/>
      <c r="C4349" s="3"/>
      <c r="D4349" s="3"/>
      <c r="E4349" s="3"/>
      <c r="F4349" s="3"/>
      <c r="G4349" s="3"/>
      <c r="H4349" s="3"/>
      <c r="I4349" s="3"/>
    </row>
    <row r="4350" spans="1:9" ht="10.5" customHeight="1">
      <c r="A4350" s="5"/>
      <c r="B4350" s="3"/>
      <c r="C4350" s="3"/>
      <c r="D4350" s="3"/>
      <c r="E4350" s="3"/>
      <c r="F4350" s="3"/>
      <c r="G4350" s="3"/>
      <c r="H4350" s="3"/>
      <c r="I4350" s="3"/>
    </row>
    <row r="4351" spans="1:9" ht="10.5" customHeight="1">
      <c r="A4351" s="5"/>
      <c r="B4351" s="3"/>
      <c r="C4351" s="3"/>
      <c r="D4351" s="3"/>
      <c r="E4351" s="3"/>
      <c r="F4351" s="3"/>
      <c r="G4351" s="3"/>
      <c r="H4351" s="3"/>
      <c r="I4351" s="3"/>
    </row>
    <row r="4352" spans="1:9" ht="10.5" customHeight="1">
      <c r="A4352" s="5"/>
      <c r="B4352" s="3"/>
      <c r="C4352" s="3"/>
      <c r="D4352" s="3"/>
      <c r="E4352" s="3"/>
      <c r="F4352" s="3"/>
      <c r="G4352" s="3"/>
      <c r="H4352" s="3"/>
      <c r="I4352" s="3"/>
    </row>
    <row r="4353" spans="1:9" ht="10.5" customHeight="1">
      <c r="A4353" s="5"/>
      <c r="B4353" s="3"/>
      <c r="C4353" s="3"/>
      <c r="D4353" s="3"/>
      <c r="E4353" s="3"/>
      <c r="F4353" s="3"/>
      <c r="G4353" s="3"/>
      <c r="H4353" s="3"/>
      <c r="I4353" s="3"/>
    </row>
    <row r="4354" spans="1:9" ht="10.5" customHeight="1">
      <c r="A4354" s="5"/>
      <c r="B4354" s="3"/>
      <c r="C4354" s="3"/>
      <c r="D4354" s="3"/>
      <c r="E4354" s="3"/>
      <c r="F4354" s="3"/>
      <c r="G4354" s="3"/>
      <c r="H4354" s="3"/>
      <c r="I4354" s="3"/>
    </row>
    <row r="4355" spans="1:9" ht="10.5" customHeight="1">
      <c r="A4355" s="5"/>
      <c r="B4355" s="3"/>
      <c r="C4355" s="3"/>
      <c r="D4355" s="3"/>
      <c r="E4355" s="3"/>
      <c r="F4355" s="3"/>
      <c r="G4355" s="3"/>
      <c r="H4355" s="3"/>
      <c r="I4355" s="3"/>
    </row>
    <row r="4356" spans="1:9" ht="10.5" customHeight="1">
      <c r="A4356" s="5"/>
      <c r="B4356" s="3"/>
      <c r="C4356" s="3"/>
      <c r="D4356" s="3"/>
      <c r="E4356" s="3"/>
      <c r="F4356" s="3"/>
      <c r="G4356" s="3"/>
      <c r="H4356" s="3"/>
      <c r="I4356" s="3"/>
    </row>
    <row r="4357" spans="1:9" ht="10.5" customHeight="1">
      <c r="A4357" s="5"/>
      <c r="B4357" s="3"/>
      <c r="C4357" s="3"/>
      <c r="D4357" s="3"/>
      <c r="E4357" s="3"/>
      <c r="F4357" s="3"/>
      <c r="G4357" s="3"/>
      <c r="H4357" s="3"/>
      <c r="I4357" s="3"/>
    </row>
    <row r="4358" spans="1:9" ht="10.5" customHeight="1">
      <c r="A4358" s="5"/>
      <c r="B4358" s="3"/>
      <c r="C4358" s="3"/>
      <c r="D4358" s="3"/>
      <c r="E4358" s="3"/>
      <c r="F4358" s="3"/>
      <c r="G4358" s="3"/>
      <c r="H4358" s="3"/>
      <c r="I4358" s="3"/>
    </row>
    <row r="4359" spans="1:9" ht="10.5" customHeight="1">
      <c r="A4359" s="5"/>
      <c r="B4359" s="3"/>
      <c r="C4359" s="3"/>
      <c r="D4359" s="3"/>
      <c r="E4359" s="3"/>
      <c r="F4359" s="3"/>
      <c r="G4359" s="3"/>
      <c r="H4359" s="3"/>
      <c r="I4359" s="3"/>
    </row>
    <row r="4360" spans="1:9" ht="10.5" customHeight="1">
      <c r="A4360" s="5"/>
      <c r="B4360" s="3"/>
      <c r="C4360" s="3"/>
      <c r="D4360" s="3"/>
      <c r="E4360" s="3"/>
      <c r="F4360" s="3"/>
      <c r="G4360" s="3"/>
      <c r="H4360" s="3"/>
      <c r="I4360" s="3"/>
    </row>
    <row r="4361" spans="1:9" ht="10.5" customHeight="1">
      <c r="A4361" s="5"/>
      <c r="B4361" s="3"/>
      <c r="C4361" s="3"/>
      <c r="D4361" s="3"/>
      <c r="E4361" s="3"/>
      <c r="F4361" s="3"/>
      <c r="G4361" s="3"/>
      <c r="H4361" s="3"/>
      <c r="I4361" s="3"/>
    </row>
    <row r="4362" spans="1:9" ht="10.5" customHeight="1">
      <c r="A4362" s="5"/>
      <c r="B4362" s="3"/>
      <c r="C4362" s="3"/>
      <c r="D4362" s="3"/>
      <c r="E4362" s="3"/>
      <c r="F4362" s="3"/>
      <c r="G4362" s="3"/>
      <c r="H4362" s="3"/>
      <c r="I4362" s="3"/>
    </row>
    <row r="4363" spans="1:9" ht="10.5" customHeight="1">
      <c r="A4363" s="5"/>
      <c r="B4363" s="3"/>
      <c r="C4363" s="3"/>
      <c r="D4363" s="3"/>
      <c r="E4363" s="3"/>
      <c r="F4363" s="3"/>
      <c r="G4363" s="3"/>
      <c r="H4363" s="3"/>
      <c r="I4363" s="3"/>
    </row>
    <row r="4364" spans="1:9" ht="10.5" customHeight="1">
      <c r="A4364" s="5"/>
      <c r="B4364" s="3"/>
      <c r="C4364" s="3"/>
      <c r="D4364" s="3"/>
      <c r="E4364" s="3"/>
      <c r="F4364" s="3"/>
      <c r="G4364" s="3"/>
      <c r="H4364" s="3"/>
      <c r="I4364" s="3"/>
    </row>
    <row r="4365" spans="1:9" ht="10.5" customHeight="1">
      <c r="A4365" s="5"/>
      <c r="B4365" s="3"/>
      <c r="C4365" s="3"/>
      <c r="D4365" s="3"/>
      <c r="E4365" s="3"/>
      <c r="F4365" s="3"/>
      <c r="G4365" s="3"/>
      <c r="H4365" s="3"/>
      <c r="I4365" s="3"/>
    </row>
    <row r="4366" spans="1:9" ht="10.5" customHeight="1">
      <c r="A4366" s="5"/>
      <c r="B4366" s="3"/>
      <c r="C4366" s="3"/>
      <c r="D4366" s="3"/>
      <c r="E4366" s="3"/>
      <c r="F4366" s="3"/>
      <c r="G4366" s="3"/>
      <c r="H4366" s="3"/>
      <c r="I4366" s="3"/>
    </row>
    <row r="4367" spans="1:9" ht="10.5" customHeight="1">
      <c r="A4367" s="5"/>
      <c r="B4367" s="3"/>
      <c r="C4367" s="3"/>
      <c r="D4367" s="3"/>
      <c r="E4367" s="3"/>
      <c r="F4367" s="3"/>
      <c r="G4367" s="3"/>
      <c r="H4367" s="3"/>
      <c r="I4367" s="3"/>
    </row>
    <row r="4368" spans="1:9" ht="10.5" customHeight="1">
      <c r="A4368" s="5"/>
      <c r="B4368" s="3"/>
      <c r="C4368" s="3"/>
      <c r="D4368" s="3"/>
      <c r="E4368" s="3"/>
      <c r="F4368" s="3"/>
      <c r="G4368" s="3"/>
      <c r="H4368" s="3"/>
      <c r="I4368" s="3"/>
    </row>
    <row r="4369" spans="1:9" ht="10.5" customHeight="1">
      <c r="A4369" s="5"/>
      <c r="B4369" s="3"/>
      <c r="C4369" s="3"/>
      <c r="D4369" s="3"/>
      <c r="E4369" s="3"/>
      <c r="F4369" s="3"/>
      <c r="G4369" s="3"/>
      <c r="H4369" s="3"/>
      <c r="I4369" s="3"/>
    </row>
    <row r="4370" spans="1:9" ht="10.5" customHeight="1">
      <c r="A4370" s="5"/>
      <c r="B4370" s="3"/>
      <c r="C4370" s="3"/>
      <c r="D4370" s="3"/>
      <c r="E4370" s="3"/>
      <c r="F4370" s="3"/>
      <c r="G4370" s="3"/>
      <c r="H4370" s="3"/>
      <c r="I4370" s="3"/>
    </row>
    <row r="4371" spans="1:9" ht="10.5" customHeight="1">
      <c r="A4371" s="5"/>
      <c r="B4371" s="3"/>
      <c r="C4371" s="3"/>
      <c r="D4371" s="3"/>
      <c r="E4371" s="3"/>
      <c r="F4371" s="3"/>
      <c r="G4371" s="3"/>
      <c r="H4371" s="3"/>
      <c r="I4371" s="3"/>
    </row>
    <row r="4372" spans="1:9" ht="10.5" customHeight="1">
      <c r="A4372" s="5"/>
      <c r="B4372" s="3"/>
      <c r="C4372" s="3"/>
      <c r="D4372" s="3"/>
      <c r="E4372" s="3"/>
      <c r="F4372" s="3"/>
      <c r="G4372" s="3"/>
      <c r="H4372" s="3"/>
      <c r="I4372" s="3"/>
    </row>
    <row r="4373" spans="1:9" ht="10.5" customHeight="1">
      <c r="A4373" s="5"/>
      <c r="B4373" s="3"/>
      <c r="C4373" s="3"/>
      <c r="D4373" s="3"/>
      <c r="E4373" s="3"/>
      <c r="F4373" s="3"/>
      <c r="G4373" s="3"/>
      <c r="H4373" s="3"/>
      <c r="I4373" s="3"/>
    </row>
    <row r="4374" spans="1:9" ht="10.5" customHeight="1">
      <c r="A4374" s="5"/>
      <c r="B4374" s="3"/>
      <c r="C4374" s="3"/>
      <c r="D4374" s="3"/>
      <c r="E4374" s="3"/>
      <c r="F4374" s="3"/>
      <c r="G4374" s="3"/>
      <c r="H4374" s="3"/>
      <c r="I4374" s="3"/>
    </row>
    <row r="4375" spans="1:9" ht="10.5" customHeight="1">
      <c r="A4375" s="5"/>
      <c r="B4375" s="3"/>
      <c r="C4375" s="3"/>
      <c r="D4375" s="3"/>
      <c r="E4375" s="3"/>
      <c r="F4375" s="3"/>
      <c r="G4375" s="3"/>
      <c r="H4375" s="3"/>
      <c r="I4375" s="3"/>
    </row>
    <row r="4376" spans="1:9" ht="10.5" customHeight="1">
      <c r="A4376" s="5"/>
      <c r="B4376" s="3"/>
      <c r="C4376" s="3"/>
      <c r="D4376" s="3"/>
      <c r="E4376" s="3"/>
      <c r="F4376" s="3"/>
      <c r="G4376" s="3"/>
      <c r="H4376" s="3"/>
      <c r="I4376" s="3"/>
    </row>
    <row r="4377" spans="1:9" ht="10.5" customHeight="1">
      <c r="A4377" s="5"/>
      <c r="B4377" s="3"/>
      <c r="C4377" s="3"/>
      <c r="D4377" s="3"/>
      <c r="E4377" s="3"/>
      <c r="F4377" s="3"/>
      <c r="G4377" s="3"/>
      <c r="H4377" s="3"/>
      <c r="I4377" s="3"/>
    </row>
    <row r="4378" spans="1:9" ht="10.5" customHeight="1">
      <c r="A4378" s="5"/>
      <c r="B4378" s="3"/>
      <c r="C4378" s="3"/>
      <c r="D4378" s="3"/>
      <c r="E4378" s="3"/>
      <c r="F4378" s="3"/>
      <c r="G4378" s="3"/>
      <c r="H4378" s="3"/>
      <c r="I4378" s="3"/>
    </row>
    <row r="4379" spans="1:9" ht="10.5" customHeight="1">
      <c r="A4379" s="5"/>
      <c r="B4379" s="3"/>
      <c r="C4379" s="3"/>
      <c r="D4379" s="3"/>
      <c r="E4379" s="3"/>
      <c r="F4379" s="3"/>
      <c r="G4379" s="3"/>
      <c r="H4379" s="3"/>
      <c r="I4379" s="3"/>
    </row>
    <row r="4380" spans="1:9" ht="10.5" customHeight="1">
      <c r="A4380" s="5"/>
      <c r="B4380" s="3"/>
      <c r="C4380" s="3"/>
      <c r="D4380" s="3"/>
      <c r="E4380" s="3"/>
      <c r="F4380" s="3"/>
      <c r="G4380" s="3"/>
      <c r="H4380" s="3"/>
      <c r="I4380" s="3"/>
    </row>
    <row r="4381" spans="1:9" ht="10.5" customHeight="1">
      <c r="A4381" s="5"/>
      <c r="B4381" s="3"/>
      <c r="C4381" s="3"/>
      <c r="D4381" s="3"/>
      <c r="E4381" s="3"/>
      <c r="F4381" s="3"/>
      <c r="G4381" s="3"/>
      <c r="H4381" s="3"/>
      <c r="I4381" s="3"/>
    </row>
    <row r="4382" spans="1:9" ht="10.5" customHeight="1">
      <c r="A4382" s="5"/>
      <c r="B4382" s="3"/>
      <c r="C4382" s="3"/>
      <c r="D4382" s="3"/>
      <c r="E4382" s="3"/>
      <c r="F4382" s="3"/>
      <c r="G4382" s="3"/>
      <c r="H4382" s="3"/>
      <c r="I4382" s="3"/>
    </row>
    <row r="4383" spans="1:9" ht="10.5" customHeight="1">
      <c r="A4383" s="5"/>
      <c r="B4383" s="3"/>
      <c r="C4383" s="3"/>
      <c r="D4383" s="3"/>
      <c r="E4383" s="3"/>
      <c r="F4383" s="3"/>
      <c r="G4383" s="3"/>
      <c r="H4383" s="3"/>
      <c r="I4383" s="3"/>
    </row>
    <row r="4384" spans="1:9" ht="10.5" customHeight="1">
      <c r="A4384" s="5"/>
      <c r="B4384" s="3"/>
      <c r="C4384" s="3"/>
      <c r="D4384" s="3"/>
      <c r="E4384" s="3"/>
      <c r="F4384" s="3"/>
      <c r="G4384" s="3"/>
      <c r="H4384" s="3"/>
      <c r="I4384" s="3"/>
    </row>
    <row r="4385" spans="1:9" ht="10.5" customHeight="1">
      <c r="A4385" s="5"/>
      <c r="B4385" s="3"/>
      <c r="C4385" s="3"/>
      <c r="D4385" s="3"/>
      <c r="E4385" s="3"/>
      <c r="F4385" s="3"/>
      <c r="G4385" s="3"/>
      <c r="H4385" s="3"/>
      <c r="I4385" s="3"/>
    </row>
    <row r="4386" spans="1:9" ht="10.5" customHeight="1">
      <c r="A4386" s="5"/>
      <c r="B4386" s="3"/>
      <c r="C4386" s="3"/>
      <c r="D4386" s="3"/>
      <c r="E4386" s="3"/>
      <c r="F4386" s="3"/>
      <c r="G4386" s="3"/>
      <c r="H4386" s="3"/>
      <c r="I4386" s="3"/>
    </row>
    <row r="4387" spans="1:9" ht="10.5" customHeight="1">
      <c r="A4387" s="5"/>
      <c r="B4387" s="3"/>
      <c r="C4387" s="3"/>
      <c r="D4387" s="3"/>
      <c r="E4387" s="3"/>
      <c r="F4387" s="3"/>
      <c r="G4387" s="3"/>
      <c r="H4387" s="3"/>
      <c r="I4387" s="3"/>
    </row>
    <row r="4388" spans="1:9" ht="10.5" customHeight="1">
      <c r="A4388" s="5"/>
      <c r="B4388" s="3"/>
      <c r="C4388" s="3"/>
      <c r="D4388" s="3"/>
      <c r="E4388" s="3"/>
      <c r="F4388" s="3"/>
      <c r="G4388" s="3"/>
      <c r="H4388" s="3"/>
      <c r="I4388" s="3"/>
    </row>
    <row r="4389" spans="1:9" ht="10.5" customHeight="1">
      <c r="A4389" s="5"/>
      <c r="B4389" s="3"/>
      <c r="C4389" s="3"/>
      <c r="D4389" s="3"/>
      <c r="E4389" s="3"/>
      <c r="F4389" s="3"/>
      <c r="G4389" s="3"/>
      <c r="H4389" s="3"/>
      <c r="I4389" s="3"/>
    </row>
    <row r="4390" spans="1:9" ht="10.5" customHeight="1">
      <c r="A4390" s="5"/>
      <c r="B4390" s="3"/>
      <c r="C4390" s="3"/>
      <c r="D4390" s="3"/>
      <c r="E4390" s="3"/>
      <c r="F4390" s="3"/>
      <c r="G4390" s="3"/>
      <c r="H4390" s="3"/>
      <c r="I4390" s="3"/>
    </row>
    <row r="4391" spans="1:9" ht="10.5" customHeight="1">
      <c r="A4391" s="5"/>
      <c r="B4391" s="3"/>
      <c r="C4391" s="3"/>
      <c r="D4391" s="3"/>
      <c r="E4391" s="3"/>
      <c r="F4391" s="3"/>
      <c r="G4391" s="3"/>
      <c r="H4391" s="3"/>
      <c r="I4391" s="3"/>
    </row>
    <row r="4392" spans="1:9" ht="10.5" customHeight="1">
      <c r="A4392" s="5"/>
      <c r="B4392" s="3"/>
      <c r="C4392" s="3"/>
      <c r="D4392" s="3"/>
      <c r="E4392" s="3"/>
      <c r="F4392" s="3"/>
      <c r="G4392" s="3"/>
      <c r="H4392" s="3"/>
      <c r="I4392" s="3"/>
    </row>
    <row r="4393" spans="1:9" ht="10.5" customHeight="1">
      <c r="A4393" s="5"/>
      <c r="B4393" s="3"/>
      <c r="C4393" s="3"/>
      <c r="D4393" s="3"/>
      <c r="E4393" s="3"/>
      <c r="F4393" s="3"/>
      <c r="G4393" s="3"/>
      <c r="H4393" s="3"/>
      <c r="I4393" s="3"/>
    </row>
    <row r="4394" spans="1:9" ht="10.5" customHeight="1">
      <c r="A4394" s="5"/>
      <c r="B4394" s="3"/>
      <c r="C4394" s="3"/>
      <c r="D4394" s="3"/>
      <c r="E4394" s="3"/>
      <c r="F4394" s="3"/>
      <c r="G4394" s="3"/>
      <c r="H4394" s="3"/>
      <c r="I4394" s="3"/>
    </row>
    <row r="4395" spans="1:9" ht="10.5" customHeight="1">
      <c r="A4395" s="5"/>
      <c r="B4395" s="3"/>
      <c r="C4395" s="3"/>
      <c r="D4395" s="3"/>
      <c r="E4395" s="3"/>
      <c r="F4395" s="3"/>
      <c r="G4395" s="3"/>
      <c r="H4395" s="3"/>
      <c r="I4395" s="3"/>
    </row>
    <row r="4396" spans="1:9" ht="10.5" customHeight="1">
      <c r="A4396" s="5"/>
      <c r="B4396" s="3"/>
      <c r="C4396" s="3"/>
      <c r="D4396" s="3"/>
      <c r="E4396" s="3"/>
      <c r="F4396" s="3"/>
      <c r="G4396" s="3"/>
      <c r="H4396" s="3"/>
      <c r="I4396" s="3"/>
    </row>
    <row r="4397" spans="1:9" ht="10.5" customHeight="1">
      <c r="A4397" s="5"/>
      <c r="B4397" s="3"/>
      <c r="C4397" s="3"/>
      <c r="D4397" s="3"/>
      <c r="E4397" s="3"/>
      <c r="F4397" s="3"/>
      <c r="G4397" s="3"/>
      <c r="H4397" s="3"/>
      <c r="I4397" s="3"/>
    </row>
    <row r="4398" spans="1:9" ht="10.5" customHeight="1">
      <c r="A4398" s="5"/>
      <c r="B4398" s="3"/>
      <c r="C4398" s="3"/>
      <c r="D4398" s="3"/>
      <c r="E4398" s="3"/>
      <c r="F4398" s="3"/>
      <c r="G4398" s="3"/>
      <c r="H4398" s="3"/>
      <c r="I4398" s="3"/>
    </row>
    <row r="4399" spans="1:9" ht="10.5" customHeight="1">
      <c r="A4399" s="5"/>
      <c r="B4399" s="3"/>
      <c r="C4399" s="3"/>
      <c r="D4399" s="3"/>
      <c r="E4399" s="3"/>
      <c r="F4399" s="3"/>
      <c r="G4399" s="3"/>
      <c r="H4399" s="3"/>
      <c r="I4399" s="3"/>
    </row>
    <row r="4400" spans="1:9" ht="10.5" customHeight="1">
      <c r="A4400" s="5"/>
      <c r="B4400" s="3"/>
      <c r="C4400" s="3"/>
      <c r="D4400" s="3"/>
      <c r="E4400" s="3"/>
      <c r="F4400" s="3"/>
      <c r="G4400" s="3"/>
      <c r="H4400" s="3"/>
      <c r="I4400" s="3"/>
    </row>
    <row r="4401" spans="1:9" ht="10.5" customHeight="1">
      <c r="A4401" s="5"/>
      <c r="B4401" s="3"/>
      <c r="C4401" s="3"/>
      <c r="D4401" s="3"/>
      <c r="E4401" s="3"/>
      <c r="F4401" s="3"/>
      <c r="G4401" s="3"/>
      <c r="H4401" s="3"/>
      <c r="I4401" s="3"/>
    </row>
    <row r="4402" spans="1:9" ht="10.5" customHeight="1">
      <c r="A4402" s="5"/>
      <c r="B4402" s="3"/>
      <c r="C4402" s="3"/>
      <c r="D4402" s="3"/>
      <c r="E4402" s="3"/>
      <c r="F4402" s="3"/>
      <c r="G4402" s="3"/>
      <c r="H4402" s="3"/>
      <c r="I4402" s="3"/>
    </row>
    <row r="4403" spans="1:9" ht="10.5" customHeight="1">
      <c r="A4403" s="5"/>
      <c r="B4403" s="3"/>
      <c r="C4403" s="3"/>
      <c r="D4403" s="3"/>
      <c r="E4403" s="3"/>
      <c r="F4403" s="3"/>
      <c r="G4403" s="3"/>
      <c r="H4403" s="3"/>
      <c r="I4403" s="3"/>
    </row>
    <row r="4404" spans="1:9" ht="10.5" customHeight="1">
      <c r="A4404" s="5"/>
      <c r="B4404" s="3"/>
      <c r="C4404" s="3"/>
      <c r="D4404" s="3"/>
      <c r="E4404" s="3"/>
      <c r="F4404" s="3"/>
      <c r="G4404" s="3"/>
      <c r="H4404" s="3"/>
      <c r="I4404" s="3"/>
    </row>
    <row r="4405" spans="1:9" ht="10.5" customHeight="1">
      <c r="A4405" s="5"/>
      <c r="B4405" s="3"/>
      <c r="C4405" s="3"/>
      <c r="D4405" s="3"/>
      <c r="E4405" s="3"/>
      <c r="F4405" s="3"/>
      <c r="G4405" s="3"/>
      <c r="H4405" s="3"/>
      <c r="I4405" s="3"/>
    </row>
    <row r="4406" spans="1:9" ht="10.5" customHeight="1">
      <c r="A4406" s="5"/>
      <c r="B4406" s="3"/>
      <c r="C4406" s="3"/>
      <c r="D4406" s="3"/>
      <c r="E4406" s="3"/>
      <c r="F4406" s="3"/>
      <c r="G4406" s="3"/>
      <c r="H4406" s="3"/>
      <c r="I4406" s="3"/>
    </row>
    <row r="4407" spans="1:9" ht="10.5" customHeight="1">
      <c r="A4407" s="5"/>
      <c r="B4407" s="3"/>
      <c r="C4407" s="3"/>
      <c r="D4407" s="3"/>
      <c r="E4407" s="3"/>
      <c r="F4407" s="3"/>
      <c r="G4407" s="3"/>
      <c r="H4407" s="3"/>
      <c r="I4407" s="3"/>
    </row>
    <row r="4408" spans="1:9" ht="10.5" customHeight="1">
      <c r="A4408" s="5"/>
      <c r="B4408" s="3"/>
      <c r="C4408" s="3"/>
      <c r="D4408" s="3"/>
      <c r="E4408" s="3"/>
      <c r="F4408" s="3"/>
      <c r="G4408" s="3"/>
      <c r="H4408" s="3"/>
      <c r="I4408" s="3"/>
    </row>
    <row r="4409" spans="1:9" ht="10.5" customHeight="1">
      <c r="A4409" s="5"/>
      <c r="B4409" s="3"/>
      <c r="C4409" s="3"/>
      <c r="D4409" s="3"/>
      <c r="E4409" s="3"/>
      <c r="F4409" s="3"/>
      <c r="G4409" s="3"/>
      <c r="H4409" s="3"/>
      <c r="I4409" s="3"/>
    </row>
    <row r="4410" spans="1:9" ht="10.5" customHeight="1">
      <c r="A4410" s="5"/>
      <c r="B4410" s="3"/>
      <c r="C4410" s="3"/>
      <c r="D4410" s="3"/>
      <c r="E4410" s="3"/>
      <c r="F4410" s="3"/>
      <c r="G4410" s="3"/>
      <c r="H4410" s="3"/>
      <c r="I4410" s="3"/>
    </row>
    <row r="4411" spans="1:9" ht="10.5" customHeight="1">
      <c r="A4411" s="5"/>
      <c r="B4411" s="3"/>
      <c r="C4411" s="3"/>
      <c r="D4411" s="3"/>
      <c r="E4411" s="3"/>
      <c r="F4411" s="3"/>
      <c r="G4411" s="3"/>
      <c r="H4411" s="3"/>
      <c r="I4411" s="3"/>
    </row>
    <row r="4412" spans="1:9" ht="10.5" customHeight="1">
      <c r="A4412" s="5"/>
      <c r="B4412" s="3"/>
      <c r="C4412" s="3"/>
      <c r="D4412" s="3"/>
      <c r="E4412" s="3"/>
      <c r="F4412" s="3"/>
      <c r="G4412" s="3"/>
      <c r="H4412" s="3"/>
      <c r="I4412" s="3"/>
    </row>
    <row r="4413" spans="1:9" ht="10.5" customHeight="1">
      <c r="A4413" s="5"/>
      <c r="B4413" s="3"/>
      <c r="C4413" s="3"/>
      <c r="D4413" s="3"/>
      <c r="E4413" s="3"/>
      <c r="F4413" s="3"/>
      <c r="G4413" s="3"/>
      <c r="H4413" s="3"/>
      <c r="I4413" s="3"/>
    </row>
    <row r="4414" spans="1:9" ht="10.5" customHeight="1">
      <c r="A4414" s="5"/>
      <c r="B4414" s="3"/>
      <c r="C4414" s="3"/>
      <c r="D4414" s="3"/>
      <c r="E4414" s="3"/>
      <c r="F4414" s="3"/>
      <c r="G4414" s="3"/>
      <c r="H4414" s="3"/>
      <c r="I4414" s="3"/>
    </row>
    <row r="4415" spans="1:9" ht="10.5" customHeight="1">
      <c r="A4415" s="5"/>
      <c r="B4415" s="3"/>
      <c r="C4415" s="3"/>
      <c r="D4415" s="3"/>
      <c r="E4415" s="3"/>
      <c r="F4415" s="3"/>
      <c r="G4415" s="3"/>
      <c r="H4415" s="3"/>
      <c r="I4415" s="3"/>
    </row>
    <row r="4416" spans="1:9" ht="10.5" customHeight="1">
      <c r="A4416" s="5"/>
      <c r="B4416" s="3"/>
      <c r="C4416" s="3"/>
      <c r="D4416" s="3"/>
      <c r="E4416" s="3"/>
      <c r="F4416" s="3"/>
      <c r="G4416" s="3"/>
      <c r="H4416" s="3"/>
      <c r="I4416" s="3"/>
    </row>
    <row r="4417" spans="1:9" ht="10.5" customHeight="1">
      <c r="A4417" s="5"/>
      <c r="B4417" s="3"/>
      <c r="C4417" s="3"/>
      <c r="D4417" s="3"/>
      <c r="E4417" s="3"/>
      <c r="F4417" s="3"/>
      <c r="G4417" s="3"/>
      <c r="H4417" s="3"/>
      <c r="I4417" s="3"/>
    </row>
    <row r="4418" spans="1:9" ht="10.5" customHeight="1">
      <c r="A4418" s="5"/>
      <c r="B4418" s="3"/>
      <c r="C4418" s="3"/>
      <c r="D4418" s="3"/>
      <c r="E4418" s="3"/>
      <c r="F4418" s="3"/>
      <c r="G4418" s="3"/>
      <c r="H4418" s="3"/>
      <c r="I4418" s="3"/>
    </row>
    <row r="4419" spans="1:9" ht="10.5" customHeight="1">
      <c r="A4419" s="5"/>
      <c r="B4419" s="3"/>
      <c r="C4419" s="3"/>
      <c r="D4419" s="3"/>
      <c r="E4419" s="3"/>
      <c r="F4419" s="3"/>
      <c r="G4419" s="3"/>
      <c r="H4419" s="3"/>
      <c r="I4419" s="3"/>
    </row>
    <row r="4420" spans="1:9" ht="10.5" customHeight="1">
      <c r="A4420" s="5"/>
      <c r="B4420" s="3"/>
      <c r="C4420" s="3"/>
      <c r="D4420" s="3"/>
      <c r="E4420" s="3"/>
      <c r="F4420" s="3"/>
      <c r="G4420" s="3"/>
      <c r="H4420" s="3"/>
      <c r="I4420" s="3"/>
    </row>
    <row r="4421" spans="1:9" ht="10.5" customHeight="1">
      <c r="A4421" s="5"/>
      <c r="B4421" s="3"/>
      <c r="C4421" s="3"/>
      <c r="D4421" s="3"/>
      <c r="E4421" s="3"/>
      <c r="F4421" s="3"/>
      <c r="G4421" s="3"/>
      <c r="H4421" s="3"/>
      <c r="I4421" s="3"/>
    </row>
    <row r="4422" spans="1:9" ht="10.5" customHeight="1">
      <c r="A4422" s="5"/>
      <c r="B4422" s="3"/>
      <c r="C4422" s="3"/>
      <c r="D4422" s="3"/>
      <c r="E4422" s="3"/>
      <c r="F4422" s="3"/>
      <c r="G4422" s="3"/>
      <c r="H4422" s="3"/>
      <c r="I4422" s="3"/>
    </row>
    <row r="4423" spans="1:9" ht="10.5" customHeight="1">
      <c r="A4423" s="5"/>
      <c r="B4423" s="3"/>
      <c r="C4423" s="3"/>
      <c r="D4423" s="3"/>
      <c r="E4423" s="3"/>
      <c r="F4423" s="3"/>
      <c r="G4423" s="3"/>
      <c r="H4423" s="3"/>
      <c r="I4423" s="3"/>
    </row>
    <row r="4424" spans="1:9" ht="10.5" customHeight="1">
      <c r="A4424" s="5"/>
      <c r="B4424" s="3"/>
      <c r="C4424" s="3"/>
      <c r="D4424" s="3"/>
      <c r="E4424" s="3"/>
      <c r="F4424" s="3"/>
      <c r="G4424" s="3"/>
      <c r="H4424" s="3"/>
      <c r="I4424" s="3"/>
    </row>
    <row r="4425" spans="1:9" ht="10.5" customHeight="1">
      <c r="A4425" s="5"/>
      <c r="B4425" s="3"/>
      <c r="C4425" s="3"/>
      <c r="D4425" s="3"/>
      <c r="E4425" s="3"/>
      <c r="F4425" s="3"/>
      <c r="G4425" s="3"/>
      <c r="H4425" s="3"/>
      <c r="I4425" s="3"/>
    </row>
    <row r="4426" spans="1:9" ht="10.5" customHeight="1">
      <c r="A4426" s="5"/>
      <c r="B4426" s="3"/>
      <c r="C4426" s="3"/>
      <c r="D4426" s="3"/>
      <c r="E4426" s="3"/>
      <c r="F4426" s="3"/>
      <c r="G4426" s="3"/>
      <c r="H4426" s="3"/>
      <c r="I4426" s="3"/>
    </row>
    <row r="4427" spans="1:9" ht="10.5" customHeight="1">
      <c r="A4427" s="5"/>
      <c r="B4427" s="3"/>
      <c r="C4427" s="3"/>
      <c r="D4427" s="3"/>
      <c r="E4427" s="3"/>
      <c r="F4427" s="3"/>
      <c r="G4427" s="3"/>
      <c r="H4427" s="3"/>
      <c r="I4427" s="3"/>
    </row>
    <row r="4428" spans="1:9" ht="10.5" customHeight="1">
      <c r="A4428" s="5"/>
      <c r="B4428" s="3"/>
      <c r="C4428" s="3"/>
      <c r="D4428" s="3"/>
      <c r="E4428" s="3"/>
      <c r="F4428" s="3"/>
      <c r="G4428" s="3"/>
      <c r="H4428" s="3"/>
      <c r="I4428" s="3"/>
    </row>
    <row r="4429" spans="1:9" ht="10.5" customHeight="1">
      <c r="A4429" s="5"/>
      <c r="B4429" s="3"/>
      <c r="C4429" s="3"/>
      <c r="D4429" s="3"/>
      <c r="E4429" s="3"/>
      <c r="F4429" s="3"/>
      <c r="G4429" s="3"/>
      <c r="H4429" s="3"/>
      <c r="I4429" s="3"/>
    </row>
    <row r="4430" spans="1:9" ht="10.5" customHeight="1">
      <c r="A4430" s="5"/>
      <c r="B4430" s="3"/>
      <c r="C4430" s="3"/>
      <c r="D4430" s="3"/>
      <c r="E4430" s="3"/>
      <c r="F4430" s="3"/>
      <c r="G4430" s="3"/>
      <c r="H4430" s="3"/>
      <c r="I4430" s="3"/>
    </row>
    <row r="4431" spans="1:9" ht="10.5" customHeight="1">
      <c r="A4431" s="5"/>
      <c r="B4431" s="3"/>
      <c r="C4431" s="3"/>
      <c r="D4431" s="3"/>
      <c r="E4431" s="3"/>
      <c r="F4431" s="3"/>
      <c r="G4431" s="3"/>
      <c r="H4431" s="3"/>
      <c r="I4431" s="3"/>
    </row>
    <row r="4432" spans="1:9" ht="10.5" customHeight="1">
      <c r="A4432" s="5"/>
      <c r="B4432" s="3"/>
      <c r="C4432" s="3"/>
      <c r="D4432" s="3"/>
      <c r="E4432" s="3"/>
      <c r="F4432" s="3"/>
      <c r="G4432" s="3"/>
      <c r="H4432" s="3"/>
      <c r="I4432" s="3"/>
    </row>
    <row r="4433" spans="1:9" ht="10.5" customHeight="1">
      <c r="A4433" s="5"/>
      <c r="B4433" s="3"/>
      <c r="C4433" s="3"/>
      <c r="D4433" s="3"/>
      <c r="E4433" s="3"/>
      <c r="F4433" s="3"/>
      <c r="G4433" s="3"/>
      <c r="H4433" s="3"/>
      <c r="I4433" s="3"/>
    </row>
    <row r="4434" spans="1:9" ht="10.5" customHeight="1">
      <c r="A4434" s="5"/>
      <c r="B4434" s="3"/>
      <c r="C4434" s="3"/>
      <c r="D4434" s="3"/>
      <c r="E4434" s="3"/>
      <c r="F4434" s="3"/>
      <c r="G4434" s="3"/>
      <c r="H4434" s="3"/>
      <c r="I4434" s="3"/>
    </row>
    <row r="4435" spans="1:9" ht="10.5" customHeight="1">
      <c r="A4435" s="5"/>
      <c r="B4435" s="3"/>
      <c r="C4435" s="3"/>
      <c r="D4435" s="3"/>
      <c r="E4435" s="3"/>
      <c r="F4435" s="3"/>
      <c r="G4435" s="3"/>
      <c r="H4435" s="3"/>
      <c r="I4435" s="3"/>
    </row>
    <row r="4436" spans="1:9" ht="10.5" customHeight="1">
      <c r="A4436" s="5"/>
      <c r="B4436" s="3"/>
      <c r="C4436" s="3"/>
      <c r="D4436" s="3"/>
      <c r="E4436" s="3"/>
      <c r="F4436" s="3"/>
      <c r="G4436" s="3"/>
      <c r="H4436" s="3"/>
      <c r="I4436" s="3"/>
    </row>
    <row r="4437" spans="1:9" ht="10.5" customHeight="1">
      <c r="A4437" s="5"/>
      <c r="B4437" s="3"/>
      <c r="C4437" s="3"/>
      <c r="D4437" s="3"/>
      <c r="E4437" s="3"/>
      <c r="F4437" s="3"/>
      <c r="G4437" s="3"/>
      <c r="H4437" s="3"/>
      <c r="I4437" s="3"/>
    </row>
    <row r="4438" spans="1:9" ht="10.5" customHeight="1">
      <c r="A4438" s="5"/>
      <c r="B4438" s="3"/>
      <c r="C4438" s="3"/>
      <c r="D4438" s="3"/>
      <c r="E4438" s="3"/>
      <c r="F4438" s="3"/>
      <c r="G4438" s="3"/>
      <c r="H4438" s="3"/>
      <c r="I4438" s="3"/>
    </row>
    <row r="4439" spans="1:9" ht="10.5" customHeight="1">
      <c r="A4439" s="5"/>
      <c r="B4439" s="3"/>
      <c r="C4439" s="3"/>
      <c r="D4439" s="3"/>
      <c r="E4439" s="3"/>
      <c r="F4439" s="3"/>
      <c r="G4439" s="3"/>
      <c r="H4439" s="3"/>
      <c r="I4439" s="3"/>
    </row>
    <row r="4440" spans="1:9" ht="10.5" customHeight="1">
      <c r="A4440" s="5"/>
      <c r="B4440" s="3"/>
      <c r="C4440" s="3"/>
      <c r="D4440" s="3"/>
      <c r="E4440" s="3"/>
      <c r="F4440" s="3"/>
      <c r="G4440" s="3"/>
      <c r="H4440" s="3"/>
      <c r="I4440" s="3"/>
    </row>
    <row r="4441" spans="1:9" ht="10.5" customHeight="1">
      <c r="A4441" s="5"/>
      <c r="B4441" s="3"/>
      <c r="C4441" s="3"/>
      <c r="D4441" s="3"/>
      <c r="E4441" s="3"/>
      <c r="F4441" s="3"/>
      <c r="G4441" s="3"/>
      <c r="H4441" s="3"/>
      <c r="I4441" s="3"/>
    </row>
    <row r="4442" spans="1:9" ht="10.5" customHeight="1">
      <c r="A4442" s="5"/>
      <c r="B4442" s="3"/>
      <c r="C4442" s="3"/>
      <c r="D4442" s="3"/>
      <c r="E4442" s="3"/>
      <c r="F4442" s="3"/>
      <c r="G4442" s="3"/>
      <c r="H4442" s="3"/>
      <c r="I4442" s="3"/>
    </row>
    <row r="4443" spans="1:9" ht="10.5" customHeight="1">
      <c r="A4443" s="5"/>
      <c r="B4443" s="3"/>
      <c r="C4443" s="3"/>
      <c r="D4443" s="3"/>
      <c r="E4443" s="3"/>
      <c r="F4443" s="3"/>
      <c r="G4443" s="3"/>
      <c r="H4443" s="3"/>
      <c r="I4443" s="3"/>
    </row>
    <row r="4444" spans="1:9" ht="10.5" customHeight="1">
      <c r="A4444" s="5"/>
      <c r="B4444" s="3"/>
      <c r="C4444" s="3"/>
      <c r="D4444" s="3"/>
      <c r="E4444" s="3"/>
      <c r="F4444" s="3"/>
      <c r="G4444" s="3"/>
      <c r="H4444" s="3"/>
      <c r="I4444" s="3"/>
    </row>
    <row r="4445" spans="1:9" ht="10.5" customHeight="1">
      <c r="A4445" s="5"/>
      <c r="B4445" s="3"/>
      <c r="C4445" s="3"/>
      <c r="D4445" s="3"/>
      <c r="E4445" s="3"/>
      <c r="F4445" s="3"/>
      <c r="G4445" s="3"/>
      <c r="H4445" s="3"/>
      <c r="I4445" s="3"/>
    </row>
    <row r="4446" spans="1:9" ht="10.5" customHeight="1">
      <c r="A4446" s="5"/>
      <c r="B4446" s="3"/>
      <c r="C4446" s="3"/>
      <c r="D4446" s="3"/>
      <c r="E4446" s="3"/>
      <c r="F4446" s="3"/>
      <c r="G4446" s="3"/>
      <c r="H4446" s="3"/>
      <c r="I4446" s="3"/>
    </row>
    <row r="4447" spans="1:9" ht="10.5" customHeight="1">
      <c r="A4447" s="5"/>
      <c r="B4447" s="3"/>
      <c r="C4447" s="3"/>
      <c r="D4447" s="3"/>
      <c r="E4447" s="3"/>
      <c r="F4447" s="3"/>
      <c r="G4447" s="3"/>
      <c r="H4447" s="3"/>
      <c r="I4447" s="3"/>
    </row>
    <row r="4448" spans="1:9" ht="10.5" customHeight="1">
      <c r="A4448" s="5"/>
      <c r="B4448" s="3"/>
      <c r="C4448" s="3"/>
      <c r="D4448" s="3"/>
      <c r="E4448" s="3"/>
      <c r="F4448" s="3"/>
      <c r="G4448" s="3"/>
      <c r="H4448" s="3"/>
      <c r="I4448" s="3"/>
    </row>
    <row r="4449" spans="1:9" ht="10.5" customHeight="1">
      <c r="A4449" s="5"/>
      <c r="B4449" s="3"/>
      <c r="C4449" s="3"/>
      <c r="D4449" s="3"/>
      <c r="E4449" s="3"/>
      <c r="F4449" s="3"/>
      <c r="G4449" s="3"/>
      <c r="H4449" s="3"/>
      <c r="I4449" s="3"/>
    </row>
    <row r="4450" spans="1:9" ht="10.5" customHeight="1">
      <c r="A4450" s="5"/>
      <c r="B4450" s="3"/>
      <c r="C4450" s="3"/>
      <c r="D4450" s="3"/>
      <c r="E4450" s="3"/>
      <c r="F4450" s="3"/>
      <c r="G4450" s="3"/>
      <c r="H4450" s="3"/>
      <c r="I4450" s="3"/>
    </row>
    <row r="4451" spans="1:9" ht="10.5" customHeight="1">
      <c r="A4451" s="5"/>
      <c r="B4451" s="3"/>
      <c r="C4451" s="3"/>
      <c r="D4451" s="3"/>
      <c r="E4451" s="3"/>
      <c r="F4451" s="3"/>
      <c r="G4451" s="3"/>
      <c r="H4451" s="3"/>
      <c r="I4451" s="3"/>
    </row>
    <row r="4452" spans="1:9" ht="10.5" customHeight="1">
      <c r="A4452" s="5"/>
      <c r="B4452" s="3"/>
      <c r="C4452" s="3"/>
      <c r="D4452" s="3"/>
      <c r="E4452" s="3"/>
      <c r="F4452" s="3"/>
      <c r="G4452" s="3"/>
      <c r="H4452" s="3"/>
      <c r="I4452" s="3"/>
    </row>
    <row r="4453" spans="1:9" ht="10.5" customHeight="1">
      <c r="A4453" s="5"/>
      <c r="B4453" s="3"/>
      <c r="C4453" s="3"/>
      <c r="D4453" s="3"/>
      <c r="E4453" s="3"/>
      <c r="F4453" s="3"/>
      <c r="G4453" s="3"/>
      <c r="H4453" s="3"/>
      <c r="I4453" s="3"/>
    </row>
    <row r="4454" spans="1:9" ht="10.5" customHeight="1">
      <c r="A4454" s="5"/>
      <c r="B4454" s="3"/>
      <c r="C4454" s="3"/>
      <c r="D4454" s="3"/>
      <c r="E4454" s="3"/>
      <c r="F4454" s="3"/>
      <c r="G4454" s="3"/>
      <c r="H4454" s="3"/>
      <c r="I4454" s="3"/>
    </row>
    <row r="4455" spans="1:9" ht="10.5" customHeight="1">
      <c r="A4455" s="5"/>
      <c r="B4455" s="3"/>
      <c r="C4455" s="3"/>
      <c r="D4455" s="3"/>
      <c r="E4455" s="3"/>
      <c r="F4455" s="3"/>
      <c r="G4455" s="3"/>
      <c r="H4455" s="3"/>
      <c r="I4455" s="3"/>
    </row>
    <row r="4456" spans="1:9" ht="10.5" customHeight="1">
      <c r="A4456" s="5"/>
      <c r="B4456" s="3"/>
      <c r="C4456" s="3"/>
      <c r="D4456" s="3"/>
      <c r="E4456" s="3"/>
      <c r="F4456" s="3"/>
      <c r="G4456" s="3"/>
      <c r="H4456" s="3"/>
      <c r="I4456" s="3"/>
    </row>
    <row r="4457" spans="1:9" ht="10.5" customHeight="1">
      <c r="A4457" s="5"/>
      <c r="B4457" s="3"/>
      <c r="C4457" s="3"/>
      <c r="D4457" s="3"/>
      <c r="E4457" s="3"/>
      <c r="F4457" s="3"/>
      <c r="G4457" s="3"/>
      <c r="H4457" s="3"/>
      <c r="I4457" s="3"/>
    </row>
    <row r="4458" spans="1:9" ht="10.5" customHeight="1">
      <c r="A4458" s="5"/>
      <c r="B4458" s="3"/>
      <c r="C4458" s="3"/>
      <c r="D4458" s="3"/>
      <c r="E4458" s="3"/>
      <c r="F4458" s="3"/>
      <c r="G4458" s="3"/>
      <c r="H4458" s="3"/>
      <c r="I4458" s="3"/>
    </row>
    <row r="4459" spans="1:9" ht="10.5" customHeight="1">
      <c r="A4459" s="5"/>
      <c r="B4459" s="3"/>
      <c r="C4459" s="3"/>
      <c r="D4459" s="3"/>
      <c r="E4459" s="3"/>
      <c r="F4459" s="3"/>
      <c r="G4459" s="3"/>
      <c r="H4459" s="3"/>
      <c r="I4459" s="3"/>
    </row>
    <row r="4460" spans="1:9" ht="10.5" customHeight="1">
      <c r="A4460" s="5"/>
      <c r="B4460" s="3"/>
      <c r="C4460" s="3"/>
      <c r="D4460" s="3"/>
      <c r="E4460" s="3"/>
      <c r="F4460" s="3"/>
      <c r="G4460" s="3"/>
      <c r="H4460" s="3"/>
      <c r="I4460" s="3"/>
    </row>
    <row r="4461" spans="1:9" ht="10.5" customHeight="1">
      <c r="A4461" s="5"/>
      <c r="B4461" s="3"/>
      <c r="C4461" s="3"/>
      <c r="D4461" s="3"/>
      <c r="E4461" s="3"/>
      <c r="F4461" s="3"/>
      <c r="G4461" s="3"/>
      <c r="H4461" s="3"/>
      <c r="I4461" s="3"/>
    </row>
    <row r="4462" spans="1:9" ht="10.5" customHeight="1">
      <c r="A4462" s="5"/>
      <c r="B4462" s="3"/>
      <c r="C4462" s="3"/>
      <c r="D4462" s="3"/>
      <c r="E4462" s="3"/>
      <c r="F4462" s="3"/>
      <c r="G4462" s="3"/>
      <c r="H4462" s="3"/>
      <c r="I4462" s="3"/>
    </row>
    <row r="4463" spans="1:9" ht="10.5" customHeight="1">
      <c r="A4463" s="5"/>
      <c r="B4463" s="3"/>
      <c r="C4463" s="3"/>
      <c r="D4463" s="3"/>
      <c r="E4463" s="3"/>
      <c r="F4463" s="3"/>
      <c r="G4463" s="3"/>
      <c r="H4463" s="3"/>
      <c r="I4463" s="3"/>
    </row>
    <row r="4464" spans="1:9" ht="10.5" customHeight="1">
      <c r="A4464" s="5"/>
      <c r="B4464" s="3"/>
      <c r="C4464" s="3"/>
      <c r="D4464" s="3"/>
      <c r="E4464" s="3"/>
      <c r="F4464" s="3"/>
      <c r="G4464" s="3"/>
      <c r="H4464" s="3"/>
      <c r="I4464" s="3"/>
    </row>
    <row r="4465" spans="1:9" ht="10.5" customHeight="1">
      <c r="A4465" s="5"/>
      <c r="B4465" s="3"/>
      <c r="C4465" s="3"/>
      <c r="D4465" s="3"/>
      <c r="E4465" s="3"/>
      <c r="F4465" s="3"/>
      <c r="G4465" s="3"/>
      <c r="H4465" s="3"/>
      <c r="I4465" s="3"/>
    </row>
    <row r="4466" spans="1:9" ht="10.5" customHeight="1">
      <c r="A4466" s="5"/>
      <c r="B4466" s="3"/>
      <c r="C4466" s="3"/>
      <c r="D4466" s="3"/>
      <c r="E4466" s="3"/>
      <c r="F4466" s="3"/>
      <c r="G4466" s="3"/>
      <c r="H4466" s="3"/>
      <c r="I4466" s="3"/>
    </row>
    <row r="4467" spans="1:9" ht="10.5" customHeight="1">
      <c r="A4467" s="5"/>
      <c r="B4467" s="3"/>
      <c r="C4467" s="3"/>
      <c r="D4467" s="3"/>
      <c r="E4467" s="3"/>
      <c r="F4467" s="3"/>
      <c r="G4467" s="3"/>
      <c r="H4467" s="3"/>
      <c r="I4467" s="3"/>
    </row>
    <row r="4468" spans="1:9" ht="10.5" customHeight="1">
      <c r="A4468" s="5"/>
      <c r="B4468" s="3"/>
      <c r="C4468" s="3"/>
      <c r="D4468" s="3"/>
      <c r="E4468" s="3"/>
      <c r="F4468" s="3"/>
      <c r="G4468" s="3"/>
      <c r="H4468" s="3"/>
      <c r="I4468" s="3"/>
    </row>
    <row r="4469" spans="1:9" ht="10.5" customHeight="1">
      <c r="A4469" s="5"/>
      <c r="B4469" s="3"/>
      <c r="C4469" s="3"/>
      <c r="D4469" s="3"/>
      <c r="E4469" s="3"/>
      <c r="F4469" s="3"/>
      <c r="G4469" s="3"/>
      <c r="H4469" s="3"/>
      <c r="I4469" s="3"/>
    </row>
    <row r="4470" spans="1:9" ht="10.5" customHeight="1">
      <c r="A4470" s="5"/>
      <c r="B4470" s="3"/>
      <c r="C4470" s="3"/>
      <c r="D4470" s="3"/>
      <c r="E4470" s="3"/>
      <c r="F4470" s="3"/>
      <c r="G4470" s="3"/>
      <c r="H4470" s="3"/>
      <c r="I4470" s="3"/>
    </row>
    <row r="4471" spans="1:9" ht="10.5" customHeight="1">
      <c r="A4471" s="5"/>
      <c r="B4471" s="3"/>
      <c r="C4471" s="3"/>
      <c r="D4471" s="3"/>
      <c r="E4471" s="3"/>
      <c r="F4471" s="3"/>
      <c r="G4471" s="3"/>
      <c r="H4471" s="3"/>
      <c r="I4471" s="3"/>
    </row>
    <row r="4472" spans="1:9" ht="10.5" customHeight="1">
      <c r="A4472" s="5"/>
      <c r="B4472" s="3"/>
      <c r="C4472" s="3"/>
      <c r="D4472" s="3"/>
      <c r="E4472" s="3"/>
      <c r="F4472" s="3"/>
      <c r="G4472" s="3"/>
      <c r="H4472" s="3"/>
      <c r="I4472" s="3"/>
    </row>
    <row r="4473" spans="1:9" ht="10.5" customHeight="1">
      <c r="A4473" s="5"/>
      <c r="B4473" s="3"/>
      <c r="C4473" s="3"/>
      <c r="D4473" s="3"/>
      <c r="E4473" s="3"/>
      <c r="F4473" s="3"/>
      <c r="G4473" s="3"/>
      <c r="H4473" s="3"/>
      <c r="I4473" s="3"/>
    </row>
    <row r="4474" spans="1:9" ht="10.5" customHeight="1">
      <c r="A4474" s="5"/>
      <c r="B4474" s="3"/>
      <c r="C4474" s="3"/>
      <c r="D4474" s="3"/>
      <c r="E4474" s="3"/>
      <c r="F4474" s="3"/>
      <c r="G4474" s="3"/>
      <c r="H4474" s="3"/>
      <c r="I4474" s="3"/>
    </row>
    <row r="4475" spans="1:9" ht="10.5" customHeight="1">
      <c r="A4475" s="5"/>
      <c r="B4475" s="3"/>
      <c r="C4475" s="3"/>
      <c r="D4475" s="3"/>
      <c r="E4475" s="3"/>
      <c r="F4475" s="3"/>
      <c r="G4475" s="3"/>
      <c r="H4475" s="3"/>
      <c r="I4475" s="3"/>
    </row>
    <row r="4476" spans="1:9" ht="10.5" customHeight="1">
      <c r="A4476" s="5"/>
      <c r="B4476" s="3"/>
      <c r="C4476" s="3"/>
      <c r="D4476" s="3"/>
      <c r="E4476" s="3"/>
      <c r="F4476" s="3"/>
      <c r="G4476" s="3"/>
      <c r="H4476" s="3"/>
      <c r="I4476" s="3"/>
    </row>
    <row r="4477" spans="1:9" ht="10.5" customHeight="1">
      <c r="A4477" s="5"/>
      <c r="B4477" s="3"/>
      <c r="C4477" s="3"/>
      <c r="D4477" s="3"/>
      <c r="E4477" s="3"/>
      <c r="F4477" s="3"/>
      <c r="G4477" s="3"/>
      <c r="H4477" s="3"/>
      <c r="I4477" s="3"/>
    </row>
    <row r="4478" spans="1:9" ht="10.5" customHeight="1">
      <c r="A4478" s="5"/>
      <c r="B4478" s="3"/>
      <c r="C4478" s="3"/>
      <c r="D4478" s="3"/>
      <c r="E4478" s="3"/>
      <c r="F4478" s="3"/>
      <c r="G4478" s="3"/>
      <c r="H4478" s="3"/>
      <c r="I4478" s="3"/>
    </row>
    <row r="4479" spans="1:9" ht="10.5" customHeight="1">
      <c r="A4479" s="5"/>
      <c r="B4479" s="3"/>
      <c r="C4479" s="3"/>
      <c r="D4479" s="3"/>
      <c r="E4479" s="3"/>
      <c r="F4479" s="3"/>
      <c r="G4479" s="3"/>
      <c r="H4479" s="3"/>
      <c r="I4479" s="3"/>
    </row>
    <row r="4480" spans="1:9" ht="10.5" customHeight="1">
      <c r="A4480" s="5"/>
      <c r="B4480" s="3"/>
      <c r="C4480" s="3"/>
      <c r="D4480" s="3"/>
      <c r="E4480" s="3"/>
      <c r="F4480" s="3"/>
      <c r="G4480" s="3"/>
      <c r="H4480" s="3"/>
      <c r="I4480" s="3"/>
    </row>
    <row r="4481" spans="1:9" ht="10.5" customHeight="1">
      <c r="A4481" s="5"/>
      <c r="B4481" s="3"/>
      <c r="C4481" s="3"/>
      <c r="D4481" s="3"/>
      <c r="E4481" s="3"/>
      <c r="F4481" s="3"/>
      <c r="G4481" s="3"/>
      <c r="H4481" s="3"/>
      <c r="I4481" s="3"/>
    </row>
    <row r="4482" spans="1:9" ht="10.5" customHeight="1">
      <c r="A4482" s="5"/>
      <c r="B4482" s="3"/>
      <c r="C4482" s="3"/>
      <c r="D4482" s="3"/>
      <c r="E4482" s="3"/>
      <c r="F4482" s="3"/>
      <c r="G4482" s="3"/>
      <c r="H4482" s="3"/>
      <c r="I4482" s="3"/>
    </row>
    <row r="4483" spans="1:9" ht="10.5" customHeight="1">
      <c r="A4483" s="5"/>
      <c r="B4483" s="3"/>
      <c r="C4483" s="3"/>
      <c r="D4483" s="3"/>
      <c r="E4483" s="3"/>
      <c r="F4483" s="3"/>
      <c r="G4483" s="3"/>
      <c r="H4483" s="3"/>
      <c r="I4483" s="3"/>
    </row>
    <row r="4484" spans="1:9" ht="10.5" customHeight="1">
      <c r="A4484" s="5"/>
      <c r="B4484" s="3"/>
      <c r="C4484" s="3"/>
      <c r="D4484" s="3"/>
      <c r="E4484" s="3"/>
      <c r="F4484" s="3"/>
      <c r="G4484" s="3"/>
      <c r="H4484" s="3"/>
      <c r="I4484" s="3"/>
    </row>
    <row r="4485" spans="1:9" ht="10.5" customHeight="1">
      <c r="A4485" s="5"/>
      <c r="B4485" s="3"/>
      <c r="C4485" s="3"/>
      <c r="D4485" s="3"/>
      <c r="E4485" s="3"/>
      <c r="F4485" s="3"/>
      <c r="G4485" s="3"/>
      <c r="H4485" s="3"/>
      <c r="I4485" s="3"/>
    </row>
    <row r="4486" spans="1:9" ht="10.5" customHeight="1">
      <c r="A4486" s="5"/>
      <c r="B4486" s="3"/>
      <c r="C4486" s="3"/>
      <c r="D4486" s="3"/>
      <c r="E4486" s="3"/>
      <c r="F4486" s="3"/>
      <c r="G4486" s="3"/>
      <c r="H4486" s="3"/>
      <c r="I4486" s="3"/>
    </row>
    <row r="4487" spans="1:9" ht="10.5" customHeight="1">
      <c r="A4487" s="5"/>
      <c r="B4487" s="3"/>
      <c r="C4487" s="3"/>
      <c r="D4487" s="3"/>
      <c r="E4487" s="3"/>
      <c r="F4487" s="3"/>
      <c r="G4487" s="3"/>
      <c r="H4487" s="3"/>
      <c r="I4487" s="3"/>
    </row>
    <row r="4488" spans="1:9" ht="10.5" customHeight="1">
      <c r="A4488" s="5"/>
      <c r="B4488" s="3"/>
      <c r="C4488" s="3"/>
      <c r="D4488" s="3"/>
      <c r="E4488" s="3"/>
      <c r="F4488" s="3"/>
      <c r="G4488" s="3"/>
      <c r="H4488" s="3"/>
      <c r="I4488" s="3"/>
    </row>
    <row r="4489" spans="1:9" ht="10.5" customHeight="1">
      <c r="A4489" s="5"/>
      <c r="B4489" s="3"/>
      <c r="C4489" s="3"/>
      <c r="D4489" s="3"/>
      <c r="E4489" s="3"/>
      <c r="F4489" s="3"/>
      <c r="G4489" s="3"/>
      <c r="H4489" s="3"/>
      <c r="I4489" s="3"/>
    </row>
    <row r="4490" spans="1:9" ht="10.5" customHeight="1">
      <c r="A4490" s="5"/>
      <c r="B4490" s="3"/>
      <c r="C4490" s="3"/>
      <c r="D4490" s="3"/>
      <c r="E4490" s="3"/>
      <c r="F4490" s="3"/>
      <c r="G4490" s="3"/>
      <c r="H4490" s="3"/>
      <c r="I4490" s="3"/>
    </row>
    <row r="4491" spans="1:9" ht="10.5" customHeight="1">
      <c r="A4491" s="5"/>
      <c r="B4491" s="3"/>
      <c r="C4491" s="3"/>
      <c r="D4491" s="3"/>
      <c r="E4491" s="3"/>
      <c r="F4491" s="3"/>
      <c r="G4491" s="3"/>
      <c r="H4491" s="3"/>
      <c r="I4491" s="3"/>
    </row>
    <row r="4492" spans="1:9" ht="10.5" customHeight="1">
      <c r="A4492" s="5"/>
      <c r="B4492" s="3"/>
      <c r="C4492" s="3"/>
      <c r="D4492" s="3"/>
      <c r="E4492" s="3"/>
      <c r="F4492" s="3"/>
      <c r="G4492" s="3"/>
      <c r="H4492" s="3"/>
      <c r="I4492" s="3"/>
    </row>
    <row r="4493" spans="1:9" ht="10.5" customHeight="1">
      <c r="A4493" s="5"/>
      <c r="B4493" s="3"/>
      <c r="C4493" s="3"/>
      <c r="D4493" s="3"/>
      <c r="E4493" s="3"/>
      <c r="F4493" s="3"/>
      <c r="G4493" s="3"/>
      <c r="H4493" s="3"/>
      <c r="I4493" s="3"/>
    </row>
    <row r="4494" spans="1:9" ht="10.5" customHeight="1">
      <c r="A4494" s="5"/>
      <c r="B4494" s="3"/>
      <c r="C4494" s="3"/>
      <c r="D4494" s="3"/>
      <c r="E4494" s="3"/>
      <c r="F4494" s="3"/>
      <c r="G4494" s="3"/>
      <c r="H4494" s="3"/>
      <c r="I4494" s="3"/>
    </row>
    <row r="4495" spans="1:9" ht="10.5" customHeight="1">
      <c r="A4495" s="5"/>
      <c r="B4495" s="3"/>
      <c r="C4495" s="3"/>
      <c r="D4495" s="3"/>
      <c r="E4495" s="3"/>
      <c r="F4495" s="3"/>
      <c r="G4495" s="3"/>
      <c r="H4495" s="3"/>
      <c r="I4495" s="3"/>
    </row>
    <row r="4496" spans="1:9" ht="10.5" customHeight="1">
      <c r="A4496" s="5"/>
      <c r="B4496" s="3"/>
      <c r="C4496" s="3"/>
      <c r="D4496" s="3"/>
      <c r="E4496" s="3"/>
      <c r="F4496" s="3"/>
      <c r="G4496" s="3"/>
      <c r="H4496" s="3"/>
      <c r="I4496" s="3"/>
    </row>
    <row r="4497" spans="1:9" ht="10.5" customHeight="1">
      <c r="A4497" s="5"/>
      <c r="B4497" s="3"/>
      <c r="C4497" s="3"/>
      <c r="D4497" s="3"/>
      <c r="E4497" s="3"/>
      <c r="F4497" s="3"/>
      <c r="G4497" s="3"/>
      <c r="H4497" s="3"/>
      <c r="I4497" s="3"/>
    </row>
    <row r="4498" spans="1:9" ht="10.5" customHeight="1">
      <c r="A4498" s="5"/>
      <c r="B4498" s="3"/>
      <c r="C4498" s="3"/>
      <c r="D4498" s="3"/>
      <c r="E4498" s="3"/>
      <c r="F4498" s="3"/>
      <c r="G4498" s="3"/>
      <c r="H4498" s="3"/>
      <c r="I4498" s="3"/>
    </row>
    <row r="4499" spans="1:9" ht="10.5" customHeight="1">
      <c r="A4499" s="5"/>
      <c r="B4499" s="3"/>
      <c r="C4499" s="3"/>
      <c r="D4499" s="3"/>
      <c r="E4499" s="3"/>
      <c r="F4499" s="3"/>
      <c r="G4499" s="3"/>
      <c r="H4499" s="3"/>
      <c r="I4499" s="3"/>
    </row>
    <row r="4500" spans="1:9" ht="10.5" customHeight="1">
      <c r="A4500" s="5"/>
      <c r="B4500" s="3"/>
      <c r="C4500" s="3"/>
      <c r="D4500" s="3"/>
      <c r="E4500" s="3"/>
      <c r="F4500" s="3"/>
      <c r="G4500" s="3"/>
      <c r="H4500" s="3"/>
      <c r="I4500" s="3"/>
    </row>
    <row r="4501" spans="1:9" ht="10.5" customHeight="1">
      <c r="A4501" s="5"/>
      <c r="B4501" s="3"/>
      <c r="C4501" s="3"/>
      <c r="D4501" s="3"/>
      <c r="E4501" s="3"/>
      <c r="F4501" s="3"/>
      <c r="G4501" s="3"/>
      <c r="H4501" s="3"/>
      <c r="I4501" s="3"/>
    </row>
    <row r="4502" spans="1:9" ht="10.5" customHeight="1">
      <c r="A4502" s="5"/>
      <c r="B4502" s="3"/>
      <c r="C4502" s="3"/>
      <c r="D4502" s="3"/>
      <c r="E4502" s="3"/>
      <c r="F4502" s="3"/>
      <c r="G4502" s="3"/>
      <c r="H4502" s="3"/>
      <c r="I4502" s="3"/>
    </row>
    <row r="4503" spans="1:9" ht="10.5" customHeight="1">
      <c r="A4503" s="5"/>
      <c r="B4503" s="3"/>
      <c r="C4503" s="3"/>
      <c r="D4503" s="3"/>
      <c r="E4503" s="3"/>
      <c r="F4503" s="3"/>
      <c r="G4503" s="3"/>
      <c r="H4503" s="3"/>
      <c r="I4503" s="3"/>
    </row>
    <row r="4504" spans="1:9" ht="10.5" customHeight="1">
      <c r="A4504" s="5"/>
      <c r="B4504" s="3"/>
      <c r="C4504" s="3"/>
      <c r="D4504" s="3"/>
      <c r="E4504" s="3"/>
      <c r="F4504" s="3"/>
      <c r="G4504" s="3"/>
      <c r="H4504" s="3"/>
      <c r="I4504" s="3"/>
    </row>
    <row r="4505" spans="1:9" ht="10.5" customHeight="1">
      <c r="A4505" s="5"/>
      <c r="B4505" s="3"/>
      <c r="C4505" s="3"/>
      <c r="D4505" s="3"/>
      <c r="E4505" s="3"/>
      <c r="F4505" s="3"/>
      <c r="G4505" s="3"/>
      <c r="H4505" s="3"/>
      <c r="I4505" s="3"/>
    </row>
    <row r="4506" spans="1:9" ht="10.5" customHeight="1">
      <c r="A4506" s="5"/>
      <c r="B4506" s="3"/>
      <c r="C4506" s="3"/>
      <c r="D4506" s="3"/>
      <c r="E4506" s="3"/>
      <c r="F4506" s="3"/>
      <c r="G4506" s="3"/>
      <c r="H4506" s="3"/>
      <c r="I4506" s="3"/>
    </row>
    <row r="4507" spans="1:9" ht="10.5" customHeight="1">
      <c r="A4507" s="5"/>
      <c r="B4507" s="3"/>
      <c r="C4507" s="3"/>
      <c r="D4507" s="3"/>
      <c r="E4507" s="3"/>
      <c r="F4507" s="3"/>
      <c r="G4507" s="3"/>
      <c r="H4507" s="3"/>
      <c r="I4507" s="3"/>
    </row>
    <row r="4508" spans="1:9" ht="10.5" customHeight="1">
      <c r="A4508" s="5"/>
      <c r="B4508" s="3"/>
      <c r="C4508" s="3"/>
      <c r="D4508" s="3"/>
      <c r="E4508" s="3"/>
      <c r="F4508" s="3"/>
      <c r="G4508" s="3"/>
      <c r="H4508" s="3"/>
      <c r="I4508" s="3"/>
    </row>
    <row r="4509" spans="1:9" ht="10.5" customHeight="1">
      <c r="A4509" s="5"/>
      <c r="B4509" s="3"/>
      <c r="C4509" s="3"/>
      <c r="D4509" s="3"/>
      <c r="E4509" s="3"/>
      <c r="F4509" s="3"/>
      <c r="G4509" s="3"/>
      <c r="H4509" s="3"/>
      <c r="I4509" s="3"/>
    </row>
    <row r="4510" spans="1:9" ht="10.5" customHeight="1">
      <c r="A4510" s="5"/>
      <c r="B4510" s="3"/>
      <c r="C4510" s="3"/>
      <c r="D4510" s="3"/>
      <c r="E4510" s="3"/>
      <c r="F4510" s="3"/>
      <c r="G4510" s="3"/>
      <c r="H4510" s="3"/>
      <c r="I4510" s="3"/>
    </row>
    <row r="4511" spans="1:9" ht="10.5" customHeight="1">
      <c r="A4511" s="5"/>
      <c r="B4511" s="3"/>
      <c r="C4511" s="3"/>
      <c r="D4511" s="3"/>
      <c r="E4511" s="3"/>
      <c r="F4511" s="3"/>
      <c r="G4511" s="3"/>
      <c r="H4511" s="3"/>
      <c r="I4511" s="3"/>
    </row>
    <row r="4512" spans="1:9" ht="10.5" customHeight="1">
      <c r="A4512" s="5"/>
      <c r="B4512" s="3"/>
      <c r="C4512" s="3"/>
      <c r="D4512" s="3"/>
      <c r="E4512" s="3"/>
      <c r="F4512" s="3"/>
      <c r="G4512" s="3"/>
      <c r="H4512" s="3"/>
      <c r="I4512" s="3"/>
    </row>
    <row r="4513" spans="1:9" ht="10.5" customHeight="1">
      <c r="A4513" s="5"/>
      <c r="B4513" s="3"/>
      <c r="C4513" s="3"/>
      <c r="D4513" s="3"/>
      <c r="E4513" s="3"/>
      <c r="F4513" s="3"/>
      <c r="G4513" s="3"/>
      <c r="H4513" s="3"/>
      <c r="I4513" s="3"/>
    </row>
    <row r="4514" spans="1:9" ht="10.5" customHeight="1">
      <c r="A4514" s="5"/>
      <c r="B4514" s="3"/>
      <c r="C4514" s="3"/>
      <c r="D4514" s="3"/>
      <c r="E4514" s="3"/>
      <c r="F4514" s="3"/>
      <c r="G4514" s="3"/>
      <c r="H4514" s="3"/>
      <c r="I4514" s="3"/>
    </row>
    <row r="4515" spans="1:9" ht="10.5" customHeight="1">
      <c r="A4515" s="5"/>
      <c r="B4515" s="3"/>
      <c r="C4515" s="3"/>
      <c r="D4515" s="3"/>
      <c r="E4515" s="3"/>
      <c r="F4515" s="3"/>
      <c r="G4515" s="3"/>
      <c r="H4515" s="3"/>
      <c r="I4515" s="3"/>
    </row>
    <row r="4516" spans="1:9" ht="10.5" customHeight="1">
      <c r="A4516" s="5"/>
      <c r="B4516" s="3"/>
      <c r="C4516" s="3"/>
      <c r="D4516" s="3"/>
      <c r="E4516" s="3"/>
      <c r="F4516" s="3"/>
      <c r="G4516" s="3"/>
      <c r="H4516" s="3"/>
      <c r="I4516" s="3"/>
    </row>
    <row r="4517" spans="1:9" ht="10.5" customHeight="1">
      <c r="A4517" s="5"/>
      <c r="B4517" s="3"/>
      <c r="C4517" s="3"/>
      <c r="D4517" s="3"/>
      <c r="E4517" s="3"/>
      <c r="F4517" s="3"/>
      <c r="G4517" s="3"/>
      <c r="H4517" s="3"/>
      <c r="I4517" s="3"/>
    </row>
    <row r="4518" spans="1:9" ht="10.5" customHeight="1">
      <c r="A4518" s="5"/>
      <c r="B4518" s="3"/>
      <c r="C4518" s="3"/>
      <c r="D4518" s="3"/>
      <c r="E4518" s="3"/>
      <c r="F4518" s="3"/>
      <c r="G4518" s="3"/>
      <c r="H4518" s="3"/>
      <c r="I4518" s="3"/>
    </row>
    <row r="4519" spans="1:9" ht="10.5" customHeight="1">
      <c r="A4519" s="5"/>
      <c r="B4519" s="3"/>
      <c r="C4519" s="3"/>
      <c r="D4519" s="3"/>
      <c r="E4519" s="3"/>
      <c r="F4519" s="3"/>
      <c r="G4519" s="3"/>
      <c r="H4519" s="3"/>
      <c r="I4519" s="3"/>
    </row>
    <row r="4520" spans="1:9" ht="10.5" customHeight="1">
      <c r="A4520" s="5"/>
      <c r="B4520" s="3"/>
      <c r="C4520" s="3"/>
      <c r="D4520" s="3"/>
      <c r="E4520" s="3"/>
      <c r="F4520" s="3"/>
      <c r="G4520" s="3"/>
      <c r="H4520" s="3"/>
      <c r="I4520" s="3"/>
    </row>
    <row r="4521" spans="1:9" ht="10.5" customHeight="1">
      <c r="A4521" s="5"/>
      <c r="B4521" s="3"/>
      <c r="C4521" s="3"/>
      <c r="D4521" s="3"/>
      <c r="E4521" s="3"/>
      <c r="F4521" s="3"/>
      <c r="G4521" s="3"/>
      <c r="H4521" s="3"/>
      <c r="I4521" s="3"/>
    </row>
    <row r="4522" spans="1:9" ht="10.5" customHeight="1">
      <c r="A4522" s="5"/>
      <c r="B4522" s="3"/>
      <c r="C4522" s="3"/>
      <c r="D4522" s="3"/>
      <c r="E4522" s="3"/>
      <c r="F4522" s="3"/>
      <c r="G4522" s="3"/>
      <c r="H4522" s="3"/>
      <c r="I4522" s="3"/>
    </row>
    <row r="4523" spans="1:9" ht="10.5" customHeight="1">
      <c r="A4523" s="5"/>
      <c r="B4523" s="3"/>
      <c r="C4523" s="3"/>
      <c r="D4523" s="3"/>
      <c r="E4523" s="3"/>
      <c r="F4523" s="3"/>
      <c r="G4523" s="3"/>
      <c r="H4523" s="3"/>
      <c r="I4523" s="3"/>
    </row>
    <row r="4524" spans="1:9" ht="10.5" customHeight="1">
      <c r="A4524" s="5"/>
      <c r="B4524" s="3"/>
      <c r="C4524" s="3"/>
      <c r="D4524" s="3"/>
      <c r="E4524" s="3"/>
      <c r="F4524" s="3"/>
      <c r="G4524" s="3"/>
      <c r="H4524" s="3"/>
      <c r="I4524" s="3"/>
    </row>
    <row r="4525" spans="1:9" ht="10.5" customHeight="1">
      <c r="A4525" s="5"/>
      <c r="B4525" s="3"/>
      <c r="C4525" s="3"/>
      <c r="D4525" s="3"/>
      <c r="E4525" s="3"/>
      <c r="F4525" s="3"/>
      <c r="G4525" s="3"/>
      <c r="H4525" s="3"/>
      <c r="I4525" s="3"/>
    </row>
    <row r="4526" spans="1:9" ht="10.5" customHeight="1">
      <c r="A4526" s="5"/>
      <c r="B4526" s="3"/>
      <c r="C4526" s="3"/>
      <c r="D4526" s="3"/>
      <c r="E4526" s="3"/>
      <c r="F4526" s="3"/>
      <c r="G4526" s="3"/>
      <c r="H4526" s="3"/>
      <c r="I4526" s="3"/>
    </row>
    <row r="4527" spans="1:9" ht="10.5" customHeight="1">
      <c r="A4527" s="5"/>
      <c r="B4527" s="3"/>
      <c r="C4527" s="3"/>
      <c r="D4527" s="3"/>
      <c r="E4527" s="3"/>
      <c r="F4527" s="3"/>
      <c r="G4527" s="3"/>
      <c r="H4527" s="3"/>
      <c r="I4527" s="3"/>
    </row>
    <row r="4528" spans="1:9" ht="10.5" customHeight="1">
      <c r="A4528" s="5"/>
      <c r="B4528" s="3"/>
      <c r="C4528" s="3"/>
      <c r="D4528" s="3"/>
      <c r="E4528" s="3"/>
      <c r="F4528" s="3"/>
      <c r="G4528" s="3"/>
      <c r="H4528" s="3"/>
      <c r="I4528" s="3"/>
    </row>
    <row r="4529" spans="1:9" ht="10.5" customHeight="1">
      <c r="A4529" s="5"/>
      <c r="B4529" s="3"/>
      <c r="C4529" s="3"/>
      <c r="D4529" s="3"/>
      <c r="E4529" s="3"/>
      <c r="F4529" s="3"/>
      <c r="G4529" s="3"/>
      <c r="H4529" s="3"/>
      <c r="I4529" s="3"/>
    </row>
    <row r="4530" spans="1:9" ht="10.5" customHeight="1">
      <c r="A4530" s="5"/>
      <c r="B4530" s="3"/>
      <c r="C4530" s="3"/>
      <c r="D4530" s="3"/>
      <c r="E4530" s="3"/>
      <c r="F4530" s="3"/>
      <c r="G4530" s="3"/>
      <c r="H4530" s="3"/>
      <c r="I4530" s="3"/>
    </row>
    <row r="4531" spans="1:9" ht="10.5" customHeight="1">
      <c r="A4531" s="5"/>
      <c r="B4531" s="3"/>
      <c r="C4531" s="3"/>
      <c r="D4531" s="3"/>
      <c r="E4531" s="3"/>
      <c r="F4531" s="3"/>
      <c r="G4531" s="3"/>
      <c r="H4531" s="3"/>
      <c r="I4531" s="3"/>
    </row>
    <row r="4532" spans="1:9" ht="10.5" customHeight="1">
      <c r="A4532" s="5"/>
      <c r="B4532" s="3"/>
      <c r="C4532" s="3"/>
      <c r="D4532" s="3"/>
      <c r="E4532" s="3"/>
      <c r="F4532" s="3"/>
      <c r="G4532" s="3"/>
      <c r="H4532" s="3"/>
      <c r="I4532" s="3"/>
    </row>
    <row r="4533" spans="1:9" ht="10.5" customHeight="1">
      <c r="A4533" s="5"/>
      <c r="B4533" s="3"/>
      <c r="C4533" s="3"/>
      <c r="D4533" s="3"/>
      <c r="E4533" s="3"/>
      <c r="F4533" s="3"/>
      <c r="G4533" s="3"/>
      <c r="H4533" s="3"/>
      <c r="I4533" s="3"/>
    </row>
    <row r="4534" spans="1:9" ht="10.5" customHeight="1">
      <c r="A4534" s="5"/>
      <c r="B4534" s="3"/>
      <c r="C4534" s="3"/>
      <c r="D4534" s="3"/>
      <c r="E4534" s="3"/>
      <c r="F4534" s="3"/>
      <c r="G4534" s="3"/>
      <c r="H4534" s="3"/>
      <c r="I4534" s="3"/>
    </row>
    <row r="4535" spans="1:9" ht="10.5" customHeight="1">
      <c r="A4535" s="5"/>
      <c r="B4535" s="3"/>
      <c r="C4535" s="3"/>
      <c r="D4535" s="3"/>
      <c r="E4535" s="3"/>
      <c r="F4535" s="3"/>
      <c r="G4535" s="3"/>
      <c r="H4535" s="3"/>
      <c r="I4535" s="3"/>
    </row>
    <row r="4536" spans="1:9" ht="10.5" customHeight="1">
      <c r="A4536" s="5"/>
      <c r="B4536" s="3"/>
      <c r="C4536" s="3"/>
      <c r="D4536" s="3"/>
      <c r="E4536" s="3"/>
      <c r="F4536" s="3"/>
      <c r="G4536" s="3"/>
      <c r="H4536" s="3"/>
      <c r="I4536" s="3"/>
    </row>
    <row r="4537" spans="1:9" ht="10.5" customHeight="1">
      <c r="A4537" s="5"/>
      <c r="B4537" s="3"/>
      <c r="C4537" s="3"/>
      <c r="D4537" s="3"/>
      <c r="E4537" s="3"/>
      <c r="F4537" s="3"/>
      <c r="G4537" s="3"/>
      <c r="H4537" s="3"/>
      <c r="I4537" s="3"/>
    </row>
    <row r="4538" spans="1:9" ht="10.5" customHeight="1">
      <c r="A4538" s="5"/>
      <c r="B4538" s="3"/>
      <c r="C4538" s="3"/>
      <c r="D4538" s="3"/>
      <c r="E4538" s="3"/>
      <c r="F4538" s="3"/>
      <c r="G4538" s="3"/>
      <c r="H4538" s="3"/>
      <c r="I4538" s="3"/>
    </row>
    <row r="4539" spans="1:9" ht="10.5" customHeight="1">
      <c r="A4539" s="5"/>
      <c r="B4539" s="3"/>
      <c r="C4539" s="3"/>
      <c r="D4539" s="3"/>
      <c r="E4539" s="3"/>
      <c r="F4539" s="3"/>
      <c r="G4539" s="3"/>
      <c r="H4539" s="3"/>
      <c r="I4539" s="3"/>
    </row>
    <row r="4540" spans="1:9" ht="10.5" customHeight="1">
      <c r="A4540" s="5"/>
      <c r="B4540" s="3"/>
      <c r="C4540" s="3"/>
      <c r="D4540" s="3"/>
      <c r="E4540" s="3"/>
      <c r="F4540" s="3"/>
      <c r="G4540" s="3"/>
      <c r="H4540" s="3"/>
      <c r="I4540" s="3"/>
    </row>
    <row r="4541" spans="1:9" ht="10.5" customHeight="1">
      <c r="A4541" s="5"/>
      <c r="B4541" s="3"/>
      <c r="C4541" s="3"/>
      <c r="D4541" s="3"/>
      <c r="E4541" s="3"/>
      <c r="F4541" s="3"/>
      <c r="G4541" s="3"/>
      <c r="H4541" s="3"/>
      <c r="I4541" s="3"/>
    </row>
    <row r="4542" spans="1:9" ht="10.5" customHeight="1">
      <c r="A4542" s="5"/>
      <c r="B4542" s="3"/>
      <c r="C4542" s="3"/>
      <c r="D4542" s="3"/>
      <c r="E4542" s="3"/>
      <c r="F4542" s="3"/>
      <c r="G4542" s="3"/>
      <c r="H4542" s="3"/>
      <c r="I4542" s="3"/>
    </row>
    <row r="4543" spans="1:9" ht="10.5" customHeight="1">
      <c r="A4543" s="5"/>
      <c r="B4543" s="3"/>
      <c r="C4543" s="3"/>
      <c r="D4543" s="3"/>
      <c r="E4543" s="3"/>
      <c r="F4543" s="3"/>
      <c r="G4543" s="3"/>
      <c r="H4543" s="3"/>
      <c r="I4543" s="3"/>
    </row>
    <row r="4544" spans="1:9" ht="10.5" customHeight="1">
      <c r="A4544" s="5"/>
      <c r="B4544" s="3"/>
      <c r="C4544" s="3"/>
      <c r="D4544" s="3"/>
      <c r="E4544" s="3"/>
      <c r="F4544" s="3"/>
      <c r="G4544" s="3"/>
      <c r="H4544" s="3"/>
      <c r="I4544" s="3"/>
    </row>
    <row r="4545" spans="1:9" ht="10.5" customHeight="1">
      <c r="A4545" s="5"/>
      <c r="B4545" s="3"/>
      <c r="C4545" s="3"/>
      <c r="D4545" s="3"/>
      <c r="E4545" s="3"/>
      <c r="F4545" s="3"/>
      <c r="G4545" s="3"/>
      <c r="H4545" s="3"/>
      <c r="I4545" s="3"/>
    </row>
    <row r="4546" spans="1:9" ht="10.5" customHeight="1">
      <c r="A4546" s="5"/>
      <c r="B4546" s="3"/>
      <c r="C4546" s="3"/>
      <c r="D4546" s="3"/>
      <c r="E4546" s="3"/>
      <c r="F4546" s="3"/>
      <c r="G4546" s="3"/>
      <c r="H4546" s="3"/>
      <c r="I4546" s="3"/>
    </row>
    <row r="4547" spans="1:9" ht="10.5" customHeight="1">
      <c r="A4547" s="5"/>
      <c r="B4547" s="3"/>
      <c r="C4547" s="3"/>
      <c r="D4547" s="3"/>
      <c r="E4547" s="3"/>
      <c r="F4547" s="3"/>
      <c r="G4547" s="3"/>
      <c r="H4547" s="3"/>
      <c r="I4547" s="3"/>
    </row>
    <row r="4548" spans="1:9" ht="10.5" customHeight="1">
      <c r="A4548" s="5"/>
      <c r="B4548" s="3"/>
      <c r="C4548" s="3"/>
      <c r="D4548" s="3"/>
      <c r="E4548" s="3"/>
      <c r="F4548" s="3"/>
      <c r="G4548" s="3"/>
      <c r="H4548" s="3"/>
      <c r="I4548" s="3"/>
    </row>
    <row r="4549" spans="1:9" ht="10.5" customHeight="1">
      <c r="A4549" s="5"/>
      <c r="B4549" s="3"/>
      <c r="C4549" s="3"/>
      <c r="D4549" s="3"/>
      <c r="E4549" s="3"/>
      <c r="F4549" s="3"/>
      <c r="G4549" s="3"/>
      <c r="H4549" s="3"/>
      <c r="I4549" s="3"/>
    </row>
    <row r="4550" spans="1:9" ht="10.5" customHeight="1">
      <c r="A4550" s="5"/>
      <c r="B4550" s="3"/>
      <c r="C4550" s="3"/>
      <c r="D4550" s="3"/>
      <c r="E4550" s="3"/>
      <c r="F4550" s="3"/>
      <c r="G4550" s="3"/>
      <c r="H4550" s="3"/>
      <c r="I4550" s="3"/>
    </row>
    <row r="4551" spans="1:9" ht="10.5" customHeight="1">
      <c r="A4551" s="5"/>
      <c r="B4551" s="3"/>
      <c r="C4551" s="3"/>
      <c r="D4551" s="3"/>
      <c r="E4551" s="3"/>
      <c r="F4551" s="3"/>
      <c r="G4551" s="3"/>
      <c r="H4551" s="3"/>
      <c r="I4551" s="3"/>
    </row>
    <row r="4552" spans="1:9" ht="10.5" customHeight="1">
      <c r="A4552" s="5"/>
      <c r="B4552" s="3"/>
      <c r="C4552" s="3"/>
      <c r="D4552" s="3"/>
      <c r="E4552" s="3"/>
      <c r="F4552" s="3"/>
      <c r="G4552" s="3"/>
      <c r="H4552" s="3"/>
      <c r="I4552" s="3"/>
    </row>
    <row r="4553" spans="1:9" ht="10.5" customHeight="1">
      <c r="A4553" s="5"/>
      <c r="B4553" s="3"/>
      <c r="C4553" s="3"/>
      <c r="D4553" s="3"/>
      <c r="E4553" s="3"/>
      <c r="F4553" s="3"/>
      <c r="G4553" s="3"/>
      <c r="H4553" s="3"/>
      <c r="I4553" s="3"/>
    </row>
    <row r="4554" spans="1:9" ht="10.5" customHeight="1">
      <c r="A4554" s="5"/>
      <c r="B4554" s="3"/>
      <c r="C4554" s="3"/>
      <c r="D4554" s="3"/>
      <c r="E4554" s="3"/>
      <c r="F4554" s="3"/>
      <c r="G4554" s="3"/>
      <c r="H4554" s="3"/>
      <c r="I4554" s="3"/>
    </row>
    <row r="4555" spans="1:9" ht="10.5" customHeight="1">
      <c r="A4555" s="5"/>
      <c r="B4555" s="3"/>
      <c r="C4555" s="3"/>
      <c r="D4555" s="3"/>
      <c r="E4555" s="3"/>
      <c r="F4555" s="3"/>
      <c r="G4555" s="3"/>
      <c r="H4555" s="3"/>
      <c r="I4555" s="3"/>
    </row>
    <row r="4556" spans="1:9" ht="10.5" customHeight="1">
      <c r="A4556" s="5"/>
      <c r="B4556" s="3"/>
      <c r="C4556" s="3"/>
      <c r="D4556" s="3"/>
      <c r="E4556" s="3"/>
      <c r="F4556" s="3"/>
      <c r="G4556" s="3"/>
      <c r="H4556" s="3"/>
      <c r="I4556" s="3"/>
    </row>
    <row r="4557" spans="1:9" ht="10.5" customHeight="1">
      <c r="A4557" s="5"/>
      <c r="B4557" s="3"/>
      <c r="C4557" s="3"/>
      <c r="D4557" s="3"/>
      <c r="E4557" s="3"/>
      <c r="F4557" s="3"/>
      <c r="G4557" s="3"/>
      <c r="H4557" s="3"/>
      <c r="I4557" s="3"/>
    </row>
    <row r="4558" spans="1:9" ht="10.5" customHeight="1">
      <c r="A4558" s="5"/>
      <c r="B4558" s="3"/>
      <c r="C4558" s="3"/>
      <c r="D4558" s="3"/>
      <c r="E4558" s="3"/>
      <c r="F4558" s="3"/>
      <c r="G4558" s="3"/>
      <c r="H4558" s="3"/>
      <c r="I4558" s="3"/>
    </row>
    <row r="4559" spans="1:9" ht="10.5" customHeight="1">
      <c r="A4559" s="5"/>
      <c r="B4559" s="3"/>
      <c r="C4559" s="3"/>
      <c r="D4559" s="3"/>
      <c r="E4559" s="3"/>
      <c r="F4559" s="3"/>
      <c r="G4559" s="3"/>
      <c r="H4559" s="3"/>
      <c r="I4559" s="3"/>
    </row>
    <row r="4560" spans="1:9" ht="10.5" customHeight="1">
      <c r="A4560" s="5"/>
      <c r="B4560" s="3"/>
      <c r="C4560" s="3"/>
      <c r="D4560" s="3"/>
      <c r="E4560" s="3"/>
      <c r="F4560" s="3"/>
      <c r="G4560" s="3"/>
      <c r="H4560" s="3"/>
      <c r="I4560" s="3"/>
    </row>
    <row r="4561" spans="1:9" ht="10.5" customHeight="1">
      <c r="A4561" s="5"/>
      <c r="B4561" s="3"/>
      <c r="C4561" s="3"/>
      <c r="D4561" s="3"/>
      <c r="E4561" s="3"/>
      <c r="F4561" s="3"/>
      <c r="G4561" s="3"/>
      <c r="H4561" s="3"/>
      <c r="I4561" s="3"/>
    </row>
    <row r="4562" spans="1:9" ht="10.5" customHeight="1">
      <c r="A4562" s="5"/>
      <c r="B4562" s="3"/>
      <c r="C4562" s="3"/>
      <c r="D4562" s="3"/>
      <c r="E4562" s="3"/>
      <c r="F4562" s="3"/>
      <c r="G4562" s="3"/>
      <c r="H4562" s="3"/>
      <c r="I4562" s="3"/>
    </row>
    <row r="4563" spans="1:9" ht="10.5" customHeight="1">
      <c r="A4563" s="5"/>
      <c r="B4563" s="3"/>
      <c r="C4563" s="3"/>
      <c r="D4563" s="3"/>
      <c r="E4563" s="3"/>
      <c r="F4563" s="3"/>
      <c r="G4563" s="3"/>
      <c r="H4563" s="3"/>
      <c r="I4563" s="3"/>
    </row>
    <row r="4564" spans="1:9" ht="10.5" customHeight="1">
      <c r="A4564" s="5"/>
      <c r="B4564" s="3"/>
      <c r="C4564" s="3"/>
      <c r="D4564" s="3"/>
      <c r="E4564" s="3"/>
      <c r="F4564" s="3"/>
      <c r="G4564" s="3"/>
      <c r="H4564" s="3"/>
      <c r="I4564" s="3"/>
    </row>
    <row r="4565" spans="1:9" ht="10.5" customHeight="1">
      <c r="A4565" s="5"/>
      <c r="B4565" s="3"/>
      <c r="C4565" s="3"/>
      <c r="D4565" s="3"/>
      <c r="E4565" s="3"/>
      <c r="F4565" s="3"/>
      <c r="G4565" s="3"/>
      <c r="H4565" s="3"/>
      <c r="I4565" s="3"/>
    </row>
    <row r="4566" spans="1:9" ht="10.5" customHeight="1">
      <c r="A4566" s="5"/>
      <c r="B4566" s="3"/>
      <c r="C4566" s="3"/>
      <c r="D4566" s="3"/>
      <c r="E4566" s="3"/>
      <c r="F4566" s="3"/>
      <c r="G4566" s="3"/>
      <c r="H4566" s="3"/>
      <c r="I4566" s="3"/>
    </row>
    <row r="4567" spans="1:9" ht="10.5" customHeight="1">
      <c r="A4567" s="5"/>
      <c r="B4567" s="3"/>
      <c r="C4567" s="3"/>
      <c r="D4567" s="3"/>
      <c r="E4567" s="3"/>
      <c r="F4567" s="3"/>
      <c r="G4567" s="3"/>
      <c r="H4567" s="3"/>
      <c r="I4567" s="3"/>
    </row>
    <row r="4568" spans="1:9" ht="10.5" customHeight="1">
      <c r="A4568" s="5"/>
      <c r="B4568" s="3"/>
      <c r="C4568" s="3"/>
      <c r="D4568" s="3"/>
      <c r="E4568" s="3"/>
      <c r="F4568" s="3"/>
      <c r="G4568" s="3"/>
      <c r="H4568" s="3"/>
      <c r="I4568" s="3"/>
    </row>
    <row r="4569" spans="1:9" ht="10.5" customHeight="1">
      <c r="A4569" s="5"/>
      <c r="B4569" s="3"/>
      <c r="C4569" s="3"/>
      <c r="D4569" s="3"/>
      <c r="E4569" s="3"/>
      <c r="F4569" s="3"/>
      <c r="G4569" s="3"/>
      <c r="H4569" s="3"/>
      <c r="I4569" s="3"/>
    </row>
    <row r="4570" spans="1:9" ht="10.5" customHeight="1">
      <c r="A4570" s="5"/>
      <c r="B4570" s="3"/>
      <c r="C4570" s="3"/>
      <c r="D4570" s="3"/>
      <c r="E4570" s="3"/>
      <c r="F4570" s="3"/>
      <c r="G4570" s="3"/>
      <c r="H4570" s="3"/>
      <c r="I4570" s="3"/>
    </row>
    <row r="4571" spans="1:9" ht="10.5" customHeight="1">
      <c r="A4571" s="5"/>
      <c r="B4571" s="3"/>
      <c r="C4571" s="3"/>
      <c r="D4571" s="3"/>
      <c r="E4571" s="3"/>
      <c r="F4571" s="3"/>
      <c r="G4571" s="3"/>
      <c r="H4571" s="3"/>
      <c r="I4571" s="3"/>
    </row>
    <row r="4572" spans="1:9" ht="10.5" customHeight="1">
      <c r="A4572" s="5"/>
      <c r="B4572" s="3"/>
      <c r="C4572" s="3"/>
      <c r="D4572" s="3"/>
      <c r="E4572" s="3"/>
      <c r="F4572" s="3"/>
      <c r="G4572" s="3"/>
      <c r="H4572" s="3"/>
      <c r="I4572" s="3"/>
    </row>
    <row r="4573" spans="1:9" ht="10.5" customHeight="1">
      <c r="A4573" s="5"/>
      <c r="B4573" s="3"/>
      <c r="C4573" s="3"/>
      <c r="D4573" s="3"/>
      <c r="E4573" s="3"/>
      <c r="F4573" s="3"/>
      <c r="G4573" s="3"/>
      <c r="H4573" s="3"/>
      <c r="I4573" s="3"/>
    </row>
    <row r="4574" spans="1:9" ht="10.5" customHeight="1">
      <c r="A4574" s="5"/>
      <c r="B4574" s="3"/>
      <c r="C4574" s="3"/>
      <c r="D4574" s="3"/>
      <c r="E4574" s="3"/>
      <c r="F4574" s="3"/>
      <c r="G4574" s="3"/>
      <c r="H4574" s="3"/>
      <c r="I4574" s="3"/>
    </row>
    <row r="4575" spans="1:9" ht="10.5" customHeight="1">
      <c r="A4575" s="5"/>
      <c r="B4575" s="3"/>
      <c r="C4575" s="3"/>
      <c r="D4575" s="3"/>
      <c r="E4575" s="3"/>
      <c r="F4575" s="3"/>
      <c r="G4575" s="3"/>
      <c r="H4575" s="3"/>
      <c r="I4575" s="3"/>
    </row>
    <row r="4576" spans="1:9" ht="10.5" customHeight="1">
      <c r="A4576" s="5"/>
      <c r="B4576" s="3"/>
      <c r="C4576" s="3"/>
      <c r="D4576" s="3"/>
      <c r="E4576" s="3"/>
      <c r="F4576" s="3"/>
      <c r="G4576" s="3"/>
      <c r="H4576" s="3"/>
      <c r="I4576" s="3"/>
    </row>
    <row r="4577" spans="1:9" ht="10.5" customHeight="1">
      <c r="A4577" s="5"/>
      <c r="B4577" s="3"/>
      <c r="C4577" s="3"/>
      <c r="D4577" s="3"/>
      <c r="E4577" s="3"/>
      <c r="F4577" s="3"/>
      <c r="G4577" s="3"/>
      <c r="H4577" s="3"/>
      <c r="I4577" s="3"/>
    </row>
    <row r="4578" spans="1:9" ht="10.5" customHeight="1">
      <c r="A4578" s="5"/>
      <c r="B4578" s="3"/>
      <c r="C4578" s="3"/>
      <c r="D4578" s="3"/>
      <c r="E4578" s="3"/>
      <c r="F4578" s="3"/>
      <c r="G4578" s="3"/>
      <c r="H4578" s="3"/>
      <c r="I4578" s="3"/>
    </row>
    <row r="4579" spans="1:9" ht="10.5" customHeight="1">
      <c r="A4579" s="5"/>
      <c r="B4579" s="3"/>
      <c r="C4579" s="3"/>
      <c r="D4579" s="3"/>
      <c r="E4579" s="3"/>
      <c r="F4579" s="3"/>
      <c r="G4579" s="3"/>
      <c r="H4579" s="3"/>
      <c r="I4579" s="3"/>
    </row>
    <row r="4580" spans="1:9" ht="10.5" customHeight="1">
      <c r="A4580" s="5"/>
      <c r="B4580" s="3"/>
      <c r="C4580" s="3"/>
      <c r="D4580" s="3"/>
      <c r="E4580" s="3"/>
      <c r="F4580" s="3"/>
      <c r="G4580" s="3"/>
      <c r="H4580" s="3"/>
      <c r="I4580" s="3"/>
    </row>
    <row r="4581" spans="1:9" ht="10.5" customHeight="1">
      <c r="A4581" s="5"/>
      <c r="B4581" s="3"/>
      <c r="C4581" s="3"/>
      <c r="D4581" s="3"/>
      <c r="E4581" s="3"/>
      <c r="F4581" s="3"/>
      <c r="G4581" s="3"/>
      <c r="H4581" s="3"/>
      <c r="I4581" s="3"/>
    </row>
    <row r="4582" spans="1:9" ht="10.5" customHeight="1">
      <c r="A4582" s="5"/>
      <c r="B4582" s="3"/>
      <c r="C4582" s="3"/>
      <c r="D4582" s="3"/>
      <c r="E4582" s="3"/>
      <c r="F4582" s="3"/>
      <c r="G4582" s="3"/>
      <c r="H4582" s="3"/>
      <c r="I4582" s="3"/>
    </row>
    <row r="4583" spans="1:9" ht="10.5" customHeight="1">
      <c r="A4583" s="5"/>
      <c r="B4583" s="3"/>
      <c r="C4583" s="3"/>
      <c r="D4583" s="3"/>
      <c r="E4583" s="3"/>
      <c r="F4583" s="3"/>
      <c r="G4583" s="3"/>
      <c r="H4583" s="3"/>
      <c r="I4583" s="3"/>
    </row>
    <row r="4584" spans="1:9" ht="10.5" customHeight="1">
      <c r="A4584" s="5"/>
      <c r="B4584" s="3"/>
      <c r="C4584" s="3"/>
      <c r="D4584" s="3"/>
      <c r="E4584" s="3"/>
      <c r="F4584" s="3"/>
      <c r="G4584" s="3"/>
      <c r="H4584" s="3"/>
      <c r="I4584" s="3"/>
    </row>
    <row r="4585" spans="1:9" ht="10.5" customHeight="1">
      <c r="A4585" s="5"/>
      <c r="B4585" s="3"/>
      <c r="C4585" s="3"/>
      <c r="D4585" s="3"/>
      <c r="E4585" s="3"/>
      <c r="F4585" s="3"/>
      <c r="G4585" s="3"/>
      <c r="H4585" s="3"/>
      <c r="I4585" s="3"/>
    </row>
    <row r="4586" spans="1:9" ht="10.5" customHeight="1">
      <c r="A4586" s="5"/>
      <c r="B4586" s="3"/>
      <c r="C4586" s="3"/>
      <c r="D4586" s="3"/>
      <c r="E4586" s="3"/>
      <c r="F4586" s="3"/>
      <c r="G4586" s="3"/>
      <c r="H4586" s="3"/>
      <c r="I4586" s="3"/>
    </row>
    <row r="4587" spans="1:9" ht="10.5" customHeight="1">
      <c r="A4587" s="5"/>
      <c r="B4587" s="3"/>
      <c r="C4587" s="3"/>
      <c r="D4587" s="3"/>
      <c r="E4587" s="3"/>
      <c r="F4587" s="3"/>
      <c r="G4587" s="3"/>
      <c r="H4587" s="3"/>
      <c r="I4587" s="3"/>
    </row>
    <row r="4588" spans="1:9" ht="10.5" customHeight="1">
      <c r="A4588" s="5"/>
      <c r="B4588" s="3"/>
      <c r="C4588" s="3"/>
      <c r="D4588" s="3"/>
      <c r="E4588" s="3"/>
      <c r="F4588" s="3"/>
      <c r="G4588" s="3"/>
      <c r="H4588" s="3"/>
      <c r="I4588" s="3"/>
    </row>
    <row r="4589" spans="1:9" ht="10.5" customHeight="1">
      <c r="A4589" s="5"/>
      <c r="B4589" s="3"/>
      <c r="C4589" s="3"/>
      <c r="D4589" s="3"/>
      <c r="E4589" s="3"/>
      <c r="F4589" s="3"/>
      <c r="G4589" s="3"/>
      <c r="H4589" s="3"/>
      <c r="I4589" s="3"/>
    </row>
    <row r="4590" spans="1:9" ht="10.5" customHeight="1">
      <c r="A4590" s="5"/>
      <c r="B4590" s="3"/>
      <c r="C4590" s="3"/>
      <c r="D4590" s="3"/>
      <c r="E4590" s="3"/>
      <c r="F4590" s="3"/>
      <c r="G4590" s="3"/>
      <c r="H4590" s="3"/>
      <c r="I4590" s="3"/>
    </row>
    <row r="4591" spans="1:9" ht="10.5" customHeight="1">
      <c r="A4591" s="5"/>
      <c r="B4591" s="3"/>
      <c r="C4591" s="3"/>
      <c r="D4591" s="3"/>
      <c r="E4591" s="3"/>
      <c r="F4591" s="3"/>
      <c r="G4591" s="3"/>
      <c r="H4591" s="3"/>
      <c r="I4591" s="3"/>
    </row>
    <row r="4592" spans="1:9" ht="10.5" customHeight="1">
      <c r="A4592" s="5"/>
      <c r="B4592" s="3"/>
      <c r="C4592" s="3"/>
      <c r="D4592" s="3"/>
      <c r="E4592" s="3"/>
      <c r="F4592" s="3"/>
      <c r="G4592" s="3"/>
      <c r="H4592" s="3"/>
      <c r="I4592" s="3"/>
    </row>
    <row r="4593" spans="1:9" ht="10.5" customHeight="1">
      <c r="A4593" s="5"/>
      <c r="B4593" s="3"/>
      <c r="C4593" s="3"/>
      <c r="D4593" s="3"/>
      <c r="E4593" s="3"/>
      <c r="F4593" s="3"/>
      <c r="G4593" s="3"/>
      <c r="H4593" s="3"/>
      <c r="I4593" s="3"/>
    </row>
    <row r="4594" spans="1:9" ht="10.5" customHeight="1">
      <c r="A4594" s="5"/>
      <c r="B4594" s="3"/>
      <c r="C4594" s="3"/>
      <c r="D4594" s="3"/>
      <c r="E4594" s="3"/>
      <c r="F4594" s="3"/>
      <c r="G4594" s="3"/>
      <c r="H4594" s="3"/>
      <c r="I4594" s="3"/>
    </row>
    <row r="4595" spans="1:9" ht="10.5" customHeight="1">
      <c r="A4595" s="5"/>
      <c r="B4595" s="3"/>
      <c r="C4595" s="3"/>
      <c r="D4595" s="3"/>
      <c r="E4595" s="3"/>
      <c r="F4595" s="3"/>
      <c r="G4595" s="3"/>
      <c r="H4595" s="3"/>
      <c r="I4595" s="3"/>
    </row>
    <row r="4596" spans="1:9" ht="10.5" customHeight="1">
      <c r="A4596" s="5"/>
      <c r="B4596" s="3"/>
      <c r="C4596" s="3"/>
      <c r="D4596" s="3"/>
      <c r="E4596" s="3"/>
      <c r="F4596" s="3"/>
      <c r="G4596" s="3"/>
      <c r="H4596" s="3"/>
      <c r="I4596" s="3"/>
    </row>
    <row r="4597" spans="1:9" ht="10.5" customHeight="1">
      <c r="A4597" s="5"/>
      <c r="B4597" s="3"/>
      <c r="C4597" s="3"/>
      <c r="D4597" s="3"/>
      <c r="E4597" s="3"/>
      <c r="F4597" s="3"/>
      <c r="G4597" s="3"/>
      <c r="H4597" s="3"/>
      <c r="I4597" s="3"/>
    </row>
    <row r="4598" spans="1:9" ht="10.5" customHeight="1">
      <c r="A4598" s="5"/>
      <c r="B4598" s="3"/>
      <c r="C4598" s="3"/>
      <c r="D4598" s="3"/>
      <c r="E4598" s="3"/>
      <c r="F4598" s="3"/>
      <c r="G4598" s="3"/>
      <c r="H4598" s="3"/>
      <c r="I4598" s="3"/>
    </row>
    <row r="4599" spans="1:9" ht="10.5" customHeight="1">
      <c r="A4599" s="5"/>
      <c r="B4599" s="3"/>
      <c r="C4599" s="3"/>
      <c r="D4599" s="3"/>
      <c r="E4599" s="3"/>
      <c r="F4599" s="3"/>
      <c r="G4599" s="3"/>
      <c r="H4599" s="3"/>
      <c r="I4599" s="3"/>
    </row>
    <row r="4600" spans="1:9" ht="10.5" customHeight="1">
      <c r="A4600" s="5"/>
      <c r="B4600" s="3"/>
      <c r="C4600" s="3"/>
      <c r="D4600" s="3"/>
      <c r="E4600" s="3"/>
      <c r="F4600" s="3"/>
      <c r="G4600" s="3"/>
      <c r="H4600" s="3"/>
      <c r="I4600" s="3"/>
    </row>
    <row r="4601" spans="1:9" ht="10.5" customHeight="1">
      <c r="A4601" s="5"/>
      <c r="B4601" s="3"/>
      <c r="C4601" s="3"/>
      <c r="D4601" s="3"/>
      <c r="E4601" s="3"/>
      <c r="F4601" s="3"/>
      <c r="G4601" s="3"/>
      <c r="H4601" s="3"/>
      <c r="I4601" s="3"/>
    </row>
    <row r="4602" spans="1:9" ht="10.5" customHeight="1">
      <c r="A4602" s="5"/>
      <c r="B4602" s="3"/>
      <c r="C4602" s="3"/>
      <c r="D4602" s="3"/>
      <c r="E4602" s="3"/>
      <c r="F4602" s="3"/>
      <c r="G4602" s="3"/>
      <c r="H4602" s="3"/>
      <c r="I4602" s="3"/>
    </row>
    <row r="4603" spans="1:9" ht="10.5" customHeight="1">
      <c r="A4603" s="5"/>
      <c r="B4603" s="3"/>
      <c r="C4603" s="3"/>
      <c r="D4603" s="3"/>
      <c r="E4603" s="3"/>
      <c r="F4603" s="3"/>
      <c r="G4603" s="3"/>
      <c r="H4603" s="3"/>
      <c r="I4603" s="3"/>
    </row>
    <row r="4604" spans="1:9" ht="10.5" customHeight="1">
      <c r="A4604" s="5"/>
      <c r="B4604" s="3"/>
      <c r="C4604" s="3"/>
      <c r="D4604" s="3"/>
      <c r="E4604" s="3"/>
      <c r="F4604" s="3"/>
      <c r="G4604" s="3"/>
      <c r="H4604" s="3"/>
      <c r="I4604" s="3"/>
    </row>
    <row r="4605" spans="1:9" ht="10.5" customHeight="1">
      <c r="A4605" s="5"/>
      <c r="B4605" s="3"/>
      <c r="C4605" s="3"/>
      <c r="D4605" s="3"/>
      <c r="E4605" s="3"/>
      <c r="F4605" s="3"/>
      <c r="G4605" s="3"/>
      <c r="H4605" s="3"/>
      <c r="I4605" s="3"/>
    </row>
    <row r="4606" spans="1:9" ht="10.5" customHeight="1">
      <c r="A4606" s="5"/>
      <c r="B4606" s="3"/>
      <c r="C4606" s="3"/>
      <c r="D4606" s="3"/>
      <c r="E4606" s="3"/>
      <c r="F4606" s="3"/>
      <c r="G4606" s="3"/>
      <c r="H4606" s="3"/>
      <c r="I4606" s="3"/>
    </row>
    <row r="4607" spans="1:9" ht="10.5" customHeight="1">
      <c r="A4607" s="5"/>
      <c r="B4607" s="3"/>
      <c r="C4607" s="3"/>
      <c r="D4607" s="3"/>
      <c r="E4607" s="3"/>
      <c r="F4607" s="3"/>
      <c r="G4607" s="3"/>
      <c r="H4607" s="3"/>
      <c r="I4607" s="3"/>
    </row>
    <row r="4608" spans="1:9" ht="10.5" customHeight="1">
      <c r="A4608" s="5"/>
      <c r="B4608" s="3"/>
      <c r="C4608" s="3"/>
      <c r="D4608" s="3"/>
      <c r="E4608" s="3"/>
      <c r="F4608" s="3"/>
      <c r="G4608" s="3"/>
      <c r="H4608" s="3"/>
      <c r="I4608" s="3"/>
    </row>
    <row r="4609" spans="1:9" ht="10.5" customHeight="1">
      <c r="A4609" s="5"/>
      <c r="B4609" s="3"/>
      <c r="C4609" s="3"/>
      <c r="D4609" s="3"/>
      <c r="E4609" s="3"/>
      <c r="F4609" s="3"/>
      <c r="G4609" s="3"/>
      <c r="H4609" s="3"/>
      <c r="I4609" s="3"/>
    </row>
    <row r="4610" spans="1:9" ht="10.5" customHeight="1">
      <c r="A4610" s="5"/>
      <c r="B4610" s="3"/>
      <c r="C4610" s="3"/>
      <c r="D4610" s="3"/>
      <c r="E4610" s="3"/>
      <c r="F4610" s="3"/>
      <c r="G4610" s="3"/>
      <c r="H4610" s="3"/>
      <c r="I4610" s="3"/>
    </row>
    <row r="4611" spans="1:9" ht="10.5" customHeight="1">
      <c r="A4611" s="5"/>
      <c r="B4611" s="3"/>
      <c r="C4611" s="3"/>
      <c r="D4611" s="3"/>
      <c r="E4611" s="3"/>
      <c r="F4611" s="3"/>
      <c r="G4611" s="3"/>
      <c r="H4611" s="3"/>
      <c r="I4611" s="3"/>
    </row>
    <row r="4612" spans="1:9" ht="10.5" customHeight="1">
      <c r="A4612" s="5"/>
      <c r="B4612" s="3"/>
      <c r="C4612" s="3"/>
      <c r="D4612" s="3"/>
      <c r="E4612" s="3"/>
      <c r="F4612" s="3"/>
      <c r="G4612" s="3"/>
      <c r="H4612" s="3"/>
      <c r="I4612" s="3"/>
    </row>
    <row r="4613" spans="1:9" ht="10.5" customHeight="1">
      <c r="A4613" s="5"/>
      <c r="B4613" s="3"/>
      <c r="C4613" s="3"/>
      <c r="D4613" s="3"/>
      <c r="E4613" s="3"/>
      <c r="F4613" s="3"/>
      <c r="G4613" s="3"/>
      <c r="H4613" s="3"/>
      <c r="I4613" s="3"/>
    </row>
    <row r="4614" spans="1:9" ht="10.5" customHeight="1">
      <c r="A4614" s="5"/>
      <c r="B4614" s="3"/>
      <c r="C4614" s="3"/>
      <c r="D4614" s="3"/>
      <c r="E4614" s="3"/>
      <c r="F4614" s="3"/>
      <c r="G4614" s="3"/>
      <c r="H4614" s="3"/>
      <c r="I4614" s="3"/>
    </row>
    <row r="4615" spans="1:9" ht="10.5" customHeight="1">
      <c r="A4615" s="5"/>
      <c r="B4615" s="3"/>
      <c r="C4615" s="3"/>
      <c r="D4615" s="3"/>
      <c r="E4615" s="3"/>
      <c r="F4615" s="3"/>
      <c r="G4615" s="3"/>
      <c r="H4615" s="3"/>
      <c r="I4615" s="3"/>
    </row>
    <row r="4616" spans="1:9" ht="10.5" customHeight="1">
      <c r="A4616" s="5"/>
      <c r="B4616" s="3"/>
      <c r="C4616" s="3"/>
      <c r="D4616" s="3"/>
      <c r="E4616" s="3"/>
      <c r="F4616" s="3"/>
      <c r="G4616" s="3"/>
      <c r="H4616" s="3"/>
      <c r="I4616" s="3"/>
    </row>
    <row r="4617" spans="1:9" ht="10.5" customHeight="1">
      <c r="A4617" s="5"/>
      <c r="B4617" s="3"/>
      <c r="C4617" s="3"/>
      <c r="D4617" s="3"/>
      <c r="E4617" s="3"/>
      <c r="F4617" s="3"/>
      <c r="G4617" s="3"/>
      <c r="H4617" s="3"/>
      <c r="I4617" s="3"/>
    </row>
    <row r="4618" spans="1:9" ht="10.5" customHeight="1">
      <c r="A4618" s="5"/>
      <c r="B4618" s="3"/>
      <c r="C4618" s="3"/>
      <c r="D4618" s="3"/>
      <c r="E4618" s="3"/>
      <c r="F4618" s="3"/>
      <c r="G4618" s="3"/>
      <c r="H4618" s="3"/>
      <c r="I4618" s="3"/>
    </row>
    <row r="4619" spans="1:9" ht="10.5" customHeight="1">
      <c r="A4619" s="5"/>
      <c r="B4619" s="3"/>
      <c r="C4619" s="3"/>
      <c r="D4619" s="3"/>
      <c r="E4619" s="3"/>
      <c r="F4619" s="3"/>
      <c r="G4619" s="3"/>
      <c r="H4619" s="3"/>
      <c r="I4619" s="3"/>
    </row>
    <row r="4620" spans="1:9" ht="10.5" customHeight="1">
      <c r="A4620" s="5"/>
      <c r="B4620" s="3"/>
      <c r="C4620" s="3"/>
      <c r="D4620" s="3"/>
      <c r="E4620" s="3"/>
      <c r="F4620" s="3"/>
      <c r="G4620" s="3"/>
      <c r="H4620" s="3"/>
      <c r="I4620" s="3"/>
    </row>
    <row r="4621" spans="1:9" ht="10.5" customHeight="1">
      <c r="A4621" s="5"/>
      <c r="B4621" s="3"/>
      <c r="C4621" s="3"/>
      <c r="D4621" s="3"/>
      <c r="E4621" s="3"/>
      <c r="F4621" s="3"/>
      <c r="G4621" s="3"/>
      <c r="H4621" s="3"/>
      <c r="I4621" s="3"/>
    </row>
    <row r="4622" spans="1:9" ht="10.5" customHeight="1">
      <c r="A4622" s="5"/>
      <c r="B4622" s="3"/>
      <c r="C4622" s="3"/>
      <c r="D4622" s="3"/>
      <c r="E4622" s="3"/>
      <c r="F4622" s="3"/>
      <c r="G4622" s="3"/>
      <c r="H4622" s="3"/>
      <c r="I4622" s="3"/>
    </row>
    <row r="4623" spans="1:9" ht="10.5" customHeight="1">
      <c r="A4623" s="5"/>
      <c r="B4623" s="3"/>
      <c r="C4623" s="3"/>
      <c r="D4623" s="3"/>
      <c r="E4623" s="3"/>
      <c r="F4623" s="3"/>
      <c r="G4623" s="3"/>
      <c r="H4623" s="3"/>
      <c r="I4623" s="3"/>
    </row>
    <row r="4624" spans="1:9" ht="10.5" customHeight="1">
      <c r="A4624" s="5"/>
      <c r="B4624" s="3"/>
      <c r="C4624" s="3"/>
      <c r="D4624" s="3"/>
      <c r="E4624" s="3"/>
      <c r="F4624" s="3"/>
      <c r="G4624" s="3"/>
      <c r="H4624" s="3"/>
      <c r="I4624" s="3"/>
    </row>
    <row r="4625" spans="1:9" ht="10.5" customHeight="1">
      <c r="A4625" s="5"/>
      <c r="B4625" s="3"/>
      <c r="C4625" s="3"/>
      <c r="D4625" s="3"/>
      <c r="E4625" s="3"/>
      <c r="F4625" s="3"/>
      <c r="G4625" s="3"/>
      <c r="H4625" s="3"/>
      <c r="I4625" s="3"/>
    </row>
    <row r="4626" spans="1:9" ht="10.5" customHeight="1">
      <c r="A4626" s="5"/>
      <c r="B4626" s="3"/>
      <c r="C4626" s="3"/>
      <c r="D4626" s="3"/>
      <c r="E4626" s="3"/>
      <c r="F4626" s="3"/>
      <c r="G4626" s="3"/>
      <c r="H4626" s="3"/>
      <c r="I4626" s="3"/>
    </row>
    <row r="4627" spans="1:9" ht="10.5" customHeight="1">
      <c r="A4627" s="5"/>
      <c r="B4627" s="3"/>
      <c r="C4627" s="3"/>
      <c r="D4627" s="3"/>
      <c r="E4627" s="3"/>
      <c r="F4627" s="3"/>
      <c r="G4627" s="3"/>
      <c r="H4627" s="3"/>
      <c r="I4627" s="3"/>
    </row>
    <row r="4628" spans="1:9" ht="10.5" customHeight="1">
      <c r="A4628" s="5"/>
      <c r="B4628" s="3"/>
      <c r="C4628" s="3"/>
      <c r="D4628" s="3"/>
      <c r="E4628" s="3"/>
      <c r="F4628" s="3"/>
      <c r="G4628" s="3"/>
      <c r="H4628" s="3"/>
      <c r="I4628" s="3"/>
    </row>
    <row r="4629" spans="1:9" ht="10.5" customHeight="1">
      <c r="A4629" s="5"/>
      <c r="B4629" s="3"/>
      <c r="C4629" s="3"/>
      <c r="D4629" s="3"/>
      <c r="E4629" s="3"/>
      <c r="F4629" s="3"/>
      <c r="G4629" s="3"/>
      <c r="H4629" s="3"/>
      <c r="I4629" s="3"/>
    </row>
    <row r="4630" spans="1:9" ht="10.5" customHeight="1">
      <c r="A4630" s="5"/>
      <c r="B4630" s="3"/>
      <c r="C4630" s="3"/>
      <c r="D4630" s="3"/>
      <c r="E4630" s="3"/>
      <c r="F4630" s="3"/>
      <c r="G4630" s="3"/>
      <c r="H4630" s="3"/>
      <c r="I4630" s="3"/>
    </row>
    <row r="4631" spans="1:9" ht="10.5" customHeight="1">
      <c r="A4631" s="5"/>
      <c r="B4631" s="3"/>
      <c r="C4631" s="3"/>
      <c r="D4631" s="3"/>
      <c r="E4631" s="3"/>
      <c r="F4631" s="3"/>
      <c r="G4631" s="3"/>
      <c r="H4631" s="3"/>
      <c r="I4631" s="3"/>
    </row>
    <row r="4632" spans="1:9" ht="10.5" customHeight="1">
      <c r="A4632" s="5"/>
      <c r="B4632" s="3"/>
      <c r="C4632" s="3"/>
      <c r="D4632" s="3"/>
      <c r="E4632" s="3"/>
      <c r="F4632" s="3"/>
      <c r="G4632" s="3"/>
      <c r="H4632" s="3"/>
      <c r="I4632" s="3"/>
    </row>
    <row r="4633" spans="1:9" ht="10.5" customHeight="1">
      <c r="A4633" s="5"/>
      <c r="B4633" s="3"/>
      <c r="C4633" s="3"/>
      <c r="D4633" s="3"/>
      <c r="E4633" s="3"/>
      <c r="F4633" s="3"/>
      <c r="G4633" s="3"/>
      <c r="H4633" s="3"/>
      <c r="I4633" s="3"/>
    </row>
    <row r="4634" spans="1:9" ht="10.5" customHeight="1">
      <c r="A4634" s="5"/>
      <c r="B4634" s="3"/>
      <c r="C4634" s="3"/>
      <c r="D4634" s="3"/>
      <c r="E4634" s="3"/>
      <c r="F4634" s="3"/>
      <c r="G4634" s="3"/>
      <c r="H4634" s="3"/>
      <c r="I4634" s="3"/>
    </row>
    <row r="4635" spans="1:9" ht="10.5" customHeight="1">
      <c r="A4635" s="5"/>
      <c r="B4635" s="3"/>
      <c r="C4635" s="3"/>
      <c r="D4635" s="3"/>
      <c r="E4635" s="3"/>
      <c r="F4635" s="3"/>
      <c r="G4635" s="3"/>
      <c r="H4635" s="3"/>
      <c r="I4635" s="3"/>
    </row>
    <row r="4636" spans="1:9" ht="10.5" customHeight="1">
      <c r="A4636" s="5"/>
      <c r="B4636" s="3"/>
      <c r="C4636" s="3"/>
      <c r="D4636" s="3"/>
      <c r="E4636" s="3"/>
      <c r="F4636" s="3"/>
      <c r="G4636" s="3"/>
      <c r="H4636" s="3"/>
      <c r="I4636" s="3"/>
    </row>
    <row r="4637" spans="1:9" ht="10.5" customHeight="1">
      <c r="A4637" s="5"/>
      <c r="B4637" s="3"/>
      <c r="C4637" s="3"/>
      <c r="D4637" s="3"/>
      <c r="E4637" s="3"/>
      <c r="F4637" s="3"/>
      <c r="G4637" s="3"/>
      <c r="H4637" s="3"/>
      <c r="I4637" s="3"/>
    </row>
    <row r="4638" spans="1:9" ht="10.5" customHeight="1">
      <c r="A4638" s="5"/>
      <c r="B4638" s="3"/>
      <c r="C4638" s="3"/>
      <c r="D4638" s="3"/>
      <c r="E4638" s="3"/>
      <c r="F4638" s="3"/>
      <c r="G4638" s="3"/>
      <c r="H4638" s="3"/>
      <c r="I4638" s="3"/>
    </row>
    <row r="4639" spans="1:9" ht="10.5" customHeight="1">
      <c r="A4639" s="5"/>
      <c r="B4639" s="3"/>
      <c r="C4639" s="3"/>
      <c r="D4639" s="3"/>
      <c r="E4639" s="3"/>
      <c r="F4639" s="3"/>
      <c r="G4639" s="3"/>
      <c r="H4639" s="3"/>
      <c r="I4639" s="3"/>
    </row>
    <row r="4640" spans="1:9" ht="10.5" customHeight="1">
      <c r="A4640" s="5"/>
      <c r="B4640" s="3"/>
      <c r="C4640" s="3"/>
      <c r="D4640" s="3"/>
      <c r="E4640" s="3"/>
      <c r="F4640" s="3"/>
      <c r="G4640" s="3"/>
      <c r="H4640" s="3"/>
      <c r="I4640" s="3"/>
    </row>
    <row r="4641" spans="1:9" ht="10.5" customHeight="1">
      <c r="A4641" s="5"/>
      <c r="B4641" s="3"/>
      <c r="C4641" s="3"/>
      <c r="D4641" s="3"/>
      <c r="E4641" s="3"/>
      <c r="F4641" s="3"/>
      <c r="G4641" s="3"/>
      <c r="H4641" s="3"/>
      <c r="I4641" s="3"/>
    </row>
    <row r="4642" spans="1:9" ht="10.5" customHeight="1">
      <c r="A4642" s="5"/>
      <c r="B4642" s="3"/>
      <c r="C4642" s="3"/>
      <c r="D4642" s="3"/>
      <c r="E4642" s="3"/>
      <c r="F4642" s="3"/>
      <c r="G4642" s="3"/>
      <c r="H4642" s="3"/>
      <c r="I4642" s="3"/>
    </row>
    <row r="4643" spans="1:9" ht="10.5" customHeight="1">
      <c r="A4643" s="5"/>
      <c r="B4643" s="3"/>
      <c r="C4643" s="3"/>
      <c r="D4643" s="3"/>
      <c r="E4643" s="3"/>
      <c r="F4643" s="3"/>
      <c r="G4643" s="3"/>
      <c r="H4643" s="3"/>
      <c r="I4643" s="3"/>
    </row>
    <row r="4644" spans="1:9" ht="10.5" customHeight="1">
      <c r="A4644" s="5"/>
      <c r="B4644" s="3"/>
      <c r="C4644" s="3"/>
      <c r="D4644" s="3"/>
      <c r="E4644" s="3"/>
      <c r="F4644" s="3"/>
      <c r="G4644" s="3"/>
      <c r="H4644" s="3"/>
      <c r="I4644" s="3"/>
    </row>
    <row r="4645" spans="1:9" ht="10.5" customHeight="1">
      <c r="A4645" s="5"/>
      <c r="B4645" s="3"/>
      <c r="C4645" s="3"/>
      <c r="D4645" s="3"/>
      <c r="E4645" s="3"/>
      <c r="F4645" s="3"/>
      <c r="G4645" s="3"/>
      <c r="H4645" s="3"/>
      <c r="I4645" s="3"/>
    </row>
    <row r="4646" spans="1:9" ht="10.5" customHeight="1">
      <c r="A4646" s="5"/>
      <c r="B4646" s="3"/>
      <c r="C4646" s="3"/>
      <c r="D4646" s="3"/>
      <c r="E4646" s="3"/>
      <c r="F4646" s="3"/>
      <c r="G4646" s="3"/>
      <c r="H4646" s="3"/>
      <c r="I4646" s="3"/>
    </row>
    <row r="4647" spans="1:9" ht="10.5" customHeight="1">
      <c r="A4647" s="5"/>
      <c r="B4647" s="3"/>
      <c r="C4647" s="3"/>
      <c r="D4647" s="3"/>
      <c r="E4647" s="3"/>
      <c r="F4647" s="3"/>
      <c r="G4647" s="3"/>
      <c r="H4647" s="3"/>
      <c r="I4647" s="3"/>
    </row>
    <row r="4648" spans="1:9" ht="10.5" customHeight="1">
      <c r="A4648" s="5"/>
      <c r="B4648" s="3"/>
      <c r="C4648" s="3"/>
      <c r="D4648" s="3"/>
      <c r="E4648" s="3"/>
      <c r="F4648" s="3"/>
      <c r="G4648" s="3"/>
      <c r="H4648" s="3"/>
      <c r="I4648" s="3"/>
    </row>
    <row r="4649" spans="1:9" ht="10.5" customHeight="1">
      <c r="A4649" s="5"/>
      <c r="B4649" s="3"/>
      <c r="C4649" s="3"/>
      <c r="D4649" s="3"/>
      <c r="E4649" s="3"/>
      <c r="F4649" s="3"/>
      <c r="G4649" s="3"/>
      <c r="H4649" s="3"/>
      <c r="I4649" s="3"/>
    </row>
    <row r="4650" spans="1:9" ht="10.5" customHeight="1">
      <c r="A4650" s="5"/>
      <c r="B4650" s="3"/>
      <c r="C4650" s="3"/>
      <c r="D4650" s="3"/>
      <c r="E4650" s="3"/>
      <c r="F4650" s="3"/>
      <c r="G4650" s="3"/>
      <c r="H4650" s="3"/>
      <c r="I4650" s="3"/>
    </row>
    <row r="4651" spans="1:9" ht="10.5" customHeight="1">
      <c r="A4651" s="5"/>
      <c r="B4651" s="3"/>
      <c r="C4651" s="3"/>
      <c r="D4651" s="3"/>
      <c r="E4651" s="3"/>
      <c r="F4651" s="3"/>
      <c r="G4651" s="3"/>
      <c r="H4651" s="3"/>
      <c r="I4651" s="3"/>
    </row>
    <row r="4652" spans="1:9" ht="10.5" customHeight="1">
      <c r="A4652" s="5"/>
      <c r="B4652" s="3"/>
      <c r="C4652" s="3"/>
      <c r="D4652" s="3"/>
      <c r="E4652" s="3"/>
      <c r="F4652" s="3"/>
      <c r="G4652" s="3"/>
      <c r="H4652" s="3"/>
      <c r="I4652" s="3"/>
    </row>
    <row r="4653" spans="1:9" ht="10.5" customHeight="1">
      <c r="A4653" s="5"/>
      <c r="B4653" s="3"/>
      <c r="C4653" s="3"/>
      <c r="D4653" s="3"/>
      <c r="E4653" s="3"/>
      <c r="F4653" s="3"/>
      <c r="G4653" s="3"/>
      <c r="H4653" s="3"/>
      <c r="I4653" s="3"/>
    </row>
    <row r="4654" spans="1:9" ht="10.5" customHeight="1">
      <c r="A4654" s="5"/>
      <c r="B4654" s="3"/>
      <c r="C4654" s="3"/>
      <c r="D4654" s="3"/>
      <c r="E4654" s="3"/>
      <c r="F4654" s="3"/>
      <c r="G4654" s="3"/>
      <c r="H4654" s="3"/>
      <c r="I4654" s="3"/>
    </row>
    <row r="4655" spans="1:9" ht="10.5" customHeight="1">
      <c r="A4655" s="5"/>
      <c r="B4655" s="3"/>
      <c r="C4655" s="3"/>
      <c r="D4655" s="3"/>
      <c r="E4655" s="3"/>
      <c r="F4655" s="3"/>
      <c r="G4655" s="3"/>
      <c r="H4655" s="3"/>
      <c r="I4655" s="3"/>
    </row>
    <row r="4656" spans="1:9" ht="10.5" customHeight="1">
      <c r="A4656" s="5"/>
      <c r="B4656" s="3"/>
      <c r="C4656" s="3"/>
      <c r="D4656" s="3"/>
      <c r="E4656" s="3"/>
      <c r="F4656" s="3"/>
      <c r="G4656" s="3"/>
      <c r="H4656" s="3"/>
      <c r="I4656" s="3"/>
    </row>
    <row r="4657" spans="1:9" ht="10.5" customHeight="1">
      <c r="A4657" s="5"/>
      <c r="B4657" s="3"/>
      <c r="C4657" s="3"/>
      <c r="D4657" s="3"/>
      <c r="E4657" s="3"/>
      <c r="F4657" s="3"/>
      <c r="G4657" s="3"/>
      <c r="H4657" s="3"/>
      <c r="I4657" s="3"/>
    </row>
    <row r="4658" spans="1:9" ht="10.5" customHeight="1">
      <c r="A4658" s="5"/>
      <c r="B4658" s="3"/>
      <c r="C4658" s="3"/>
      <c r="D4658" s="3"/>
      <c r="E4658" s="3"/>
      <c r="F4658" s="3"/>
      <c r="G4658" s="3"/>
      <c r="H4658" s="3"/>
      <c r="I4658" s="3"/>
    </row>
    <row r="4659" spans="1:9" ht="10.5" customHeight="1">
      <c r="A4659" s="5"/>
      <c r="B4659" s="3"/>
      <c r="C4659" s="3"/>
      <c r="D4659" s="3"/>
      <c r="E4659" s="3"/>
      <c r="F4659" s="3"/>
      <c r="G4659" s="3"/>
      <c r="H4659" s="3"/>
      <c r="I4659" s="3"/>
    </row>
    <row r="4660" spans="1:9" ht="10.5" customHeight="1">
      <c r="A4660" s="5"/>
      <c r="B4660" s="3"/>
      <c r="C4660" s="3"/>
      <c r="D4660" s="3"/>
      <c r="E4660" s="3"/>
      <c r="F4660" s="3"/>
      <c r="G4660" s="3"/>
      <c r="H4660" s="3"/>
      <c r="I4660" s="3"/>
    </row>
    <row r="4661" spans="1:9" ht="10.5" customHeight="1">
      <c r="A4661" s="5"/>
      <c r="B4661" s="3"/>
      <c r="C4661" s="3"/>
      <c r="D4661" s="3"/>
      <c r="E4661" s="3"/>
      <c r="F4661" s="3"/>
      <c r="G4661" s="3"/>
      <c r="H4661" s="3"/>
      <c r="I4661" s="3"/>
    </row>
    <row r="4662" spans="1:9" ht="10.5" customHeight="1">
      <c r="A4662" s="5"/>
      <c r="B4662" s="3"/>
      <c r="C4662" s="3"/>
      <c r="D4662" s="3"/>
      <c r="E4662" s="3"/>
      <c r="F4662" s="3"/>
      <c r="G4662" s="3"/>
      <c r="H4662" s="3"/>
      <c r="I4662" s="3"/>
    </row>
    <row r="4663" spans="1:9" ht="10.5" customHeight="1">
      <c r="A4663" s="5"/>
      <c r="B4663" s="3"/>
      <c r="C4663" s="3"/>
      <c r="D4663" s="3"/>
      <c r="E4663" s="3"/>
      <c r="F4663" s="3"/>
      <c r="G4663" s="3"/>
      <c r="H4663" s="3"/>
      <c r="I4663" s="3"/>
    </row>
    <row r="4664" spans="1:9" ht="10.5" customHeight="1">
      <c r="A4664" s="5"/>
      <c r="B4664" s="3"/>
      <c r="C4664" s="3"/>
      <c r="D4664" s="3"/>
      <c r="E4664" s="3"/>
      <c r="F4664" s="3"/>
      <c r="G4664" s="3"/>
      <c r="H4664" s="3"/>
      <c r="I4664" s="3"/>
    </row>
    <row r="4665" spans="1:9" ht="10.5" customHeight="1">
      <c r="A4665" s="5"/>
      <c r="B4665" s="3"/>
      <c r="C4665" s="3"/>
      <c r="D4665" s="3"/>
      <c r="E4665" s="3"/>
      <c r="F4665" s="3"/>
      <c r="G4665" s="3"/>
      <c r="H4665" s="3"/>
      <c r="I4665" s="3"/>
    </row>
    <row r="4666" spans="1:9" ht="10.5" customHeight="1">
      <c r="A4666" s="5"/>
      <c r="B4666" s="3"/>
      <c r="C4666" s="3"/>
      <c r="D4666" s="3"/>
      <c r="E4666" s="3"/>
      <c r="F4666" s="3"/>
      <c r="G4666" s="3"/>
      <c r="H4666" s="3"/>
      <c r="I4666" s="3"/>
    </row>
    <row r="4667" spans="1:9" ht="10.5" customHeight="1">
      <c r="A4667" s="5"/>
      <c r="B4667" s="3"/>
      <c r="C4667" s="3"/>
      <c r="D4667" s="3"/>
      <c r="E4667" s="3"/>
      <c r="F4667" s="3"/>
      <c r="G4667" s="3"/>
      <c r="H4667" s="3"/>
      <c r="I4667" s="3"/>
    </row>
    <row r="4668" spans="1:9" ht="10.5" customHeight="1">
      <c r="A4668" s="5"/>
      <c r="B4668" s="3"/>
      <c r="C4668" s="3"/>
      <c r="D4668" s="3"/>
      <c r="E4668" s="3"/>
      <c r="F4668" s="3"/>
      <c r="G4668" s="3"/>
      <c r="H4668" s="3"/>
      <c r="I4668" s="3"/>
    </row>
    <row r="4669" spans="1:9" ht="10.5" customHeight="1">
      <c r="A4669" s="5"/>
      <c r="B4669" s="3"/>
      <c r="C4669" s="3"/>
      <c r="D4669" s="3"/>
      <c r="E4669" s="3"/>
      <c r="F4669" s="3"/>
      <c r="G4669" s="3"/>
      <c r="H4669" s="3"/>
      <c r="I4669" s="3"/>
    </row>
    <row r="4670" spans="1:9" ht="10.5" customHeight="1">
      <c r="A4670" s="5"/>
      <c r="B4670" s="3"/>
      <c r="C4670" s="3"/>
      <c r="D4670" s="3"/>
      <c r="E4670" s="3"/>
      <c r="F4670" s="3"/>
      <c r="G4670" s="3"/>
      <c r="H4670" s="3"/>
      <c r="I4670" s="3"/>
    </row>
    <row r="4671" spans="1:9" ht="10.5" customHeight="1">
      <c r="A4671" s="5"/>
      <c r="B4671" s="3"/>
      <c r="C4671" s="3"/>
      <c r="D4671" s="3"/>
      <c r="E4671" s="3"/>
      <c r="F4671" s="3"/>
      <c r="G4671" s="3"/>
      <c r="H4671" s="3"/>
      <c r="I4671" s="3"/>
    </row>
    <row r="4672" spans="1:9" ht="10.5" customHeight="1">
      <c r="A4672" s="5"/>
      <c r="B4672" s="3"/>
      <c r="C4672" s="3"/>
      <c r="D4672" s="3"/>
      <c r="E4672" s="3"/>
      <c r="F4672" s="3"/>
      <c r="G4672" s="3"/>
      <c r="H4672" s="3"/>
      <c r="I4672" s="3"/>
    </row>
    <row r="4673" spans="1:9" ht="10.5" customHeight="1">
      <c r="A4673" s="5"/>
      <c r="B4673" s="3"/>
      <c r="C4673" s="3"/>
      <c r="D4673" s="3"/>
      <c r="E4673" s="3"/>
      <c r="F4673" s="3"/>
      <c r="G4673" s="3"/>
      <c r="H4673" s="3"/>
      <c r="I4673" s="3"/>
    </row>
    <row r="4674" spans="1:9" ht="10.5" customHeight="1">
      <c r="A4674" s="5"/>
      <c r="B4674" s="3"/>
      <c r="C4674" s="3"/>
      <c r="D4674" s="3"/>
      <c r="E4674" s="3"/>
      <c r="F4674" s="3"/>
      <c r="G4674" s="3"/>
      <c r="H4674" s="3"/>
      <c r="I4674" s="3"/>
    </row>
    <row r="4675" spans="1:9" ht="10.5" customHeight="1">
      <c r="A4675" s="5"/>
      <c r="B4675" s="3"/>
      <c r="C4675" s="3"/>
      <c r="D4675" s="3"/>
      <c r="E4675" s="3"/>
      <c r="F4675" s="3"/>
      <c r="G4675" s="3"/>
      <c r="H4675" s="3"/>
      <c r="I4675" s="3"/>
    </row>
    <row r="4676" spans="1:9" ht="10.5" customHeight="1">
      <c r="A4676" s="5"/>
      <c r="B4676" s="3"/>
      <c r="C4676" s="3"/>
      <c r="D4676" s="3"/>
      <c r="E4676" s="3"/>
      <c r="F4676" s="3"/>
      <c r="G4676" s="3"/>
      <c r="H4676" s="3"/>
      <c r="I4676" s="3"/>
    </row>
    <row r="4677" spans="1:9" ht="10.5" customHeight="1">
      <c r="A4677" s="5"/>
      <c r="B4677" s="3"/>
      <c r="C4677" s="3"/>
      <c r="D4677" s="3"/>
      <c r="E4677" s="3"/>
      <c r="F4677" s="3"/>
      <c r="G4677" s="3"/>
      <c r="H4677" s="3"/>
      <c r="I4677" s="3"/>
    </row>
    <row r="4678" spans="1:9" ht="10.5" customHeight="1">
      <c r="A4678" s="5"/>
      <c r="B4678" s="3"/>
      <c r="C4678" s="3"/>
      <c r="D4678" s="3"/>
      <c r="E4678" s="3"/>
      <c r="F4678" s="3"/>
      <c r="G4678" s="3"/>
      <c r="H4678" s="3"/>
      <c r="I4678" s="3"/>
    </row>
    <row r="4679" spans="1:9" ht="10.5" customHeight="1">
      <c r="A4679" s="5"/>
      <c r="B4679" s="3"/>
      <c r="C4679" s="3"/>
      <c r="D4679" s="3"/>
      <c r="E4679" s="3"/>
      <c r="F4679" s="3"/>
      <c r="G4679" s="3"/>
      <c r="H4679" s="3"/>
      <c r="I4679" s="3"/>
    </row>
    <row r="4680" spans="1:9" ht="10.5" customHeight="1">
      <c r="A4680" s="5"/>
      <c r="B4680" s="3"/>
      <c r="C4680" s="3"/>
      <c r="D4680" s="3"/>
      <c r="E4680" s="3"/>
      <c r="F4680" s="3"/>
      <c r="G4680" s="3"/>
      <c r="H4680" s="3"/>
      <c r="I4680" s="3"/>
    </row>
    <row r="4681" spans="1:9" ht="10.5" customHeight="1">
      <c r="A4681" s="5"/>
      <c r="B4681" s="3"/>
      <c r="C4681" s="3"/>
      <c r="D4681" s="3"/>
      <c r="E4681" s="3"/>
      <c r="F4681" s="3"/>
      <c r="G4681" s="3"/>
      <c r="H4681" s="3"/>
      <c r="I4681" s="3"/>
    </row>
    <row r="4682" spans="1:9" ht="10.5" customHeight="1">
      <c r="A4682" s="5"/>
      <c r="B4682" s="3"/>
      <c r="C4682" s="3"/>
      <c r="D4682" s="3"/>
      <c r="E4682" s="3"/>
      <c r="F4682" s="3"/>
      <c r="G4682" s="3"/>
      <c r="H4682" s="3"/>
      <c r="I4682" s="3"/>
    </row>
    <row r="4683" spans="1:9" ht="10.5" customHeight="1">
      <c r="A4683" s="5"/>
      <c r="B4683" s="3"/>
      <c r="C4683" s="3"/>
      <c r="D4683" s="3"/>
      <c r="E4683" s="3"/>
      <c r="F4683" s="3"/>
      <c r="G4683" s="3"/>
      <c r="H4683" s="3"/>
      <c r="I4683" s="3"/>
    </row>
    <row r="4684" spans="1:9" ht="10.5" customHeight="1">
      <c r="A4684" s="5"/>
      <c r="B4684" s="3"/>
      <c r="C4684" s="3"/>
      <c r="D4684" s="3"/>
      <c r="E4684" s="3"/>
      <c r="F4684" s="3"/>
      <c r="G4684" s="3"/>
      <c r="H4684" s="3"/>
      <c r="I4684" s="3"/>
    </row>
    <row r="4685" spans="1:9" ht="10.5" customHeight="1">
      <c r="A4685" s="5"/>
      <c r="B4685" s="3"/>
      <c r="C4685" s="3"/>
      <c r="D4685" s="3"/>
      <c r="E4685" s="3"/>
      <c r="F4685" s="3"/>
      <c r="G4685" s="3"/>
      <c r="H4685" s="3"/>
      <c r="I4685" s="3"/>
    </row>
    <row r="4686" spans="1:9" ht="10.5" customHeight="1">
      <c r="A4686" s="5"/>
      <c r="B4686" s="3"/>
      <c r="C4686" s="3"/>
      <c r="D4686" s="3"/>
      <c r="E4686" s="3"/>
      <c r="F4686" s="3"/>
      <c r="G4686" s="3"/>
      <c r="H4686" s="3"/>
      <c r="I4686" s="3"/>
    </row>
    <row r="4687" spans="1:9" ht="10.5" customHeight="1">
      <c r="A4687" s="5"/>
      <c r="B4687" s="3"/>
      <c r="C4687" s="3"/>
      <c r="D4687" s="3"/>
      <c r="E4687" s="3"/>
      <c r="F4687" s="3"/>
      <c r="G4687" s="3"/>
      <c r="H4687" s="3"/>
      <c r="I4687" s="3"/>
    </row>
    <row r="4688" spans="1:9" ht="10.5" customHeight="1">
      <c r="A4688" s="5"/>
      <c r="B4688" s="3"/>
      <c r="C4688" s="3"/>
      <c r="D4688" s="3"/>
      <c r="E4688" s="3"/>
      <c r="F4688" s="3"/>
      <c r="G4688" s="3"/>
      <c r="H4688" s="3"/>
      <c r="I4688" s="3"/>
    </row>
    <row r="4689" spans="1:9" ht="10.5" customHeight="1">
      <c r="A4689" s="5"/>
      <c r="B4689" s="3"/>
      <c r="C4689" s="3"/>
      <c r="D4689" s="3"/>
      <c r="E4689" s="3"/>
      <c r="F4689" s="3"/>
      <c r="G4689" s="3"/>
      <c r="H4689" s="3"/>
      <c r="I4689" s="3"/>
    </row>
    <row r="4690" spans="1:9" ht="10.5" customHeight="1">
      <c r="A4690" s="5"/>
      <c r="B4690" s="3"/>
      <c r="C4690" s="3"/>
      <c r="D4690" s="3"/>
      <c r="E4690" s="3"/>
      <c r="F4690" s="3"/>
      <c r="G4690" s="3"/>
      <c r="H4690" s="3"/>
      <c r="I4690" s="3"/>
    </row>
    <row r="4691" spans="1:9" ht="10.5" customHeight="1">
      <c r="A4691" s="5"/>
      <c r="B4691" s="3"/>
      <c r="C4691" s="3"/>
      <c r="D4691" s="3"/>
      <c r="E4691" s="3"/>
      <c r="F4691" s="3"/>
      <c r="G4691" s="3"/>
      <c r="H4691" s="3"/>
      <c r="I4691" s="3"/>
    </row>
    <row r="4692" spans="1:9" ht="10.5" customHeight="1">
      <c r="A4692" s="5"/>
      <c r="B4692" s="3"/>
      <c r="C4692" s="3"/>
      <c r="D4692" s="3"/>
      <c r="E4692" s="3"/>
      <c r="F4692" s="3"/>
      <c r="G4692" s="3"/>
      <c r="H4692" s="3"/>
      <c r="I4692" s="3"/>
    </row>
    <row r="4693" spans="1:9" ht="10.5" customHeight="1">
      <c r="A4693" s="5"/>
      <c r="B4693" s="3"/>
      <c r="C4693" s="3"/>
      <c r="D4693" s="3"/>
      <c r="E4693" s="3"/>
      <c r="F4693" s="3"/>
      <c r="G4693" s="3"/>
      <c r="H4693" s="3"/>
      <c r="I4693" s="3"/>
    </row>
    <row r="4694" spans="1:9" ht="10.5" customHeight="1">
      <c r="A4694" s="5"/>
      <c r="B4694" s="3"/>
      <c r="C4694" s="3"/>
      <c r="D4694" s="3"/>
      <c r="E4694" s="3"/>
      <c r="F4694" s="3"/>
      <c r="G4694" s="3"/>
      <c r="H4694" s="3"/>
      <c r="I4694" s="3"/>
    </row>
    <row r="4695" spans="1:9" ht="10.5" customHeight="1">
      <c r="A4695" s="5"/>
      <c r="B4695" s="3"/>
      <c r="C4695" s="3"/>
      <c r="D4695" s="3"/>
      <c r="E4695" s="3"/>
      <c r="F4695" s="3"/>
      <c r="G4695" s="3"/>
      <c r="H4695" s="3"/>
      <c r="I4695" s="3"/>
    </row>
    <row r="4696" spans="1:9" ht="10.5" customHeight="1">
      <c r="A4696" s="5"/>
      <c r="B4696" s="3"/>
      <c r="C4696" s="3"/>
      <c r="D4696" s="3"/>
      <c r="E4696" s="3"/>
      <c r="F4696" s="3"/>
      <c r="G4696" s="3"/>
      <c r="H4696" s="3"/>
      <c r="I4696" s="3"/>
    </row>
    <row r="4697" spans="1:9" ht="10.5" customHeight="1">
      <c r="A4697" s="5"/>
      <c r="B4697" s="3"/>
      <c r="C4697" s="3"/>
      <c r="D4697" s="3"/>
      <c r="E4697" s="3"/>
      <c r="F4697" s="3"/>
      <c r="G4697" s="3"/>
      <c r="H4697" s="3"/>
      <c r="I4697" s="3"/>
    </row>
    <row r="4698" spans="1:9" ht="10.5" customHeight="1">
      <c r="A4698" s="5"/>
      <c r="B4698" s="3"/>
      <c r="C4698" s="3"/>
      <c r="D4698" s="3"/>
      <c r="E4698" s="3"/>
      <c r="F4698" s="3"/>
      <c r="G4698" s="3"/>
      <c r="H4698" s="3"/>
      <c r="I4698" s="3"/>
    </row>
    <row r="4699" spans="1:9" ht="10.5" customHeight="1">
      <c r="A4699" s="5"/>
      <c r="B4699" s="3"/>
      <c r="C4699" s="3"/>
      <c r="D4699" s="3"/>
      <c r="E4699" s="3"/>
      <c r="F4699" s="3"/>
      <c r="G4699" s="3"/>
      <c r="H4699" s="3"/>
      <c r="I4699" s="3"/>
    </row>
    <row r="4700" spans="1:9" ht="10.5" customHeight="1">
      <c r="A4700" s="5"/>
      <c r="B4700" s="3"/>
      <c r="C4700" s="3"/>
      <c r="D4700" s="3"/>
      <c r="E4700" s="3"/>
      <c r="F4700" s="3"/>
      <c r="G4700" s="3"/>
      <c r="H4700" s="3"/>
      <c r="I4700" s="3"/>
    </row>
    <row r="4701" spans="1:9" ht="10.5" customHeight="1">
      <c r="A4701" s="5"/>
      <c r="B4701" s="3"/>
      <c r="C4701" s="3"/>
      <c r="D4701" s="3"/>
      <c r="E4701" s="3"/>
      <c r="F4701" s="3"/>
      <c r="G4701" s="3"/>
      <c r="H4701" s="3"/>
      <c r="I4701" s="3"/>
    </row>
    <row r="4702" spans="1:9" ht="10.5" customHeight="1">
      <c r="A4702" s="5"/>
      <c r="B4702" s="3"/>
      <c r="C4702" s="3"/>
      <c r="D4702" s="3"/>
      <c r="E4702" s="3"/>
      <c r="F4702" s="3"/>
      <c r="G4702" s="3"/>
      <c r="H4702" s="3"/>
      <c r="I4702" s="3"/>
    </row>
    <row r="4703" spans="1:9" ht="10.5" customHeight="1">
      <c r="A4703" s="5"/>
      <c r="B4703" s="3"/>
      <c r="C4703" s="3"/>
      <c r="D4703" s="3"/>
      <c r="E4703" s="3"/>
      <c r="F4703" s="3"/>
      <c r="G4703" s="3"/>
      <c r="H4703" s="3"/>
      <c r="I4703" s="3"/>
    </row>
    <row r="4704" spans="1:9" ht="10.5" customHeight="1">
      <c r="A4704" s="5"/>
      <c r="B4704" s="3"/>
      <c r="C4704" s="3"/>
      <c r="D4704" s="3"/>
      <c r="E4704" s="3"/>
      <c r="F4704" s="3"/>
      <c r="G4704" s="3"/>
      <c r="H4704" s="3"/>
      <c r="I4704" s="3"/>
    </row>
    <row r="4705" spans="1:9" ht="10.5" customHeight="1">
      <c r="A4705" s="5"/>
      <c r="B4705" s="3"/>
      <c r="C4705" s="3"/>
      <c r="D4705" s="3"/>
      <c r="E4705" s="3"/>
      <c r="F4705" s="3"/>
      <c r="G4705" s="3"/>
      <c r="H4705" s="3"/>
      <c r="I4705" s="3"/>
    </row>
    <row r="4706" spans="1:9" ht="10.5" customHeight="1">
      <c r="A4706" s="5"/>
      <c r="B4706" s="3"/>
      <c r="C4706" s="3"/>
      <c r="D4706" s="3"/>
      <c r="E4706" s="3"/>
      <c r="F4706" s="3"/>
      <c r="G4706" s="3"/>
      <c r="H4706" s="3"/>
      <c r="I4706" s="3"/>
    </row>
    <row r="4707" spans="1:9" ht="10.5" customHeight="1">
      <c r="A4707" s="5"/>
      <c r="B4707" s="3"/>
      <c r="C4707" s="3"/>
      <c r="D4707" s="3"/>
      <c r="E4707" s="3"/>
      <c r="F4707" s="3"/>
      <c r="G4707" s="3"/>
      <c r="H4707" s="3"/>
      <c r="I4707" s="3"/>
    </row>
    <row r="4708" spans="1:9" ht="10.5" customHeight="1">
      <c r="A4708" s="5"/>
      <c r="B4708" s="3"/>
      <c r="C4708" s="3"/>
      <c r="D4708" s="3"/>
      <c r="E4708" s="3"/>
      <c r="F4708" s="3"/>
      <c r="G4708" s="3"/>
      <c r="H4708" s="3"/>
      <c r="I4708" s="3"/>
    </row>
    <row r="4709" spans="1:9" ht="10.5" customHeight="1">
      <c r="A4709" s="5"/>
      <c r="B4709" s="3"/>
      <c r="C4709" s="3"/>
      <c r="D4709" s="3"/>
      <c r="E4709" s="3"/>
      <c r="F4709" s="3"/>
      <c r="G4709" s="3"/>
      <c r="H4709" s="3"/>
      <c r="I4709" s="3"/>
    </row>
    <row r="4710" spans="1:9" ht="10.5" customHeight="1">
      <c r="A4710" s="5"/>
      <c r="B4710" s="3"/>
      <c r="C4710" s="3"/>
      <c r="D4710" s="3"/>
      <c r="E4710" s="3"/>
      <c r="F4710" s="3"/>
      <c r="G4710" s="3"/>
      <c r="H4710" s="3"/>
      <c r="I4710" s="3"/>
    </row>
    <row r="4711" spans="1:9" ht="10.5" customHeight="1">
      <c r="A4711" s="5"/>
      <c r="B4711" s="3"/>
      <c r="C4711" s="3"/>
      <c r="D4711" s="3"/>
      <c r="E4711" s="3"/>
      <c r="F4711" s="3"/>
      <c r="G4711" s="3"/>
      <c r="H4711" s="3"/>
      <c r="I4711" s="3"/>
    </row>
    <row r="4712" spans="1:9" ht="10.5" customHeight="1">
      <c r="A4712" s="5"/>
      <c r="B4712" s="3"/>
      <c r="C4712" s="3"/>
      <c r="D4712" s="3"/>
      <c r="E4712" s="3"/>
      <c r="F4712" s="3"/>
      <c r="G4712" s="3"/>
      <c r="H4712" s="3"/>
      <c r="I4712" s="3"/>
    </row>
    <row r="4713" spans="1:9" ht="10.5" customHeight="1">
      <c r="A4713" s="5"/>
      <c r="B4713" s="3"/>
      <c r="C4713" s="3"/>
      <c r="D4713" s="3"/>
      <c r="E4713" s="3"/>
      <c r="F4713" s="3"/>
      <c r="G4713" s="3"/>
      <c r="H4713" s="3"/>
      <c r="I4713" s="3"/>
    </row>
    <row r="4714" spans="1:9" ht="10.5" customHeight="1">
      <c r="A4714" s="5"/>
      <c r="B4714" s="3"/>
      <c r="C4714" s="3"/>
      <c r="D4714" s="3"/>
      <c r="E4714" s="3"/>
      <c r="F4714" s="3"/>
      <c r="G4714" s="3"/>
      <c r="H4714" s="3"/>
      <c r="I4714" s="3"/>
    </row>
    <row r="4715" spans="1:9" ht="10.5" customHeight="1">
      <c r="A4715" s="5"/>
      <c r="B4715" s="3"/>
      <c r="C4715" s="3"/>
      <c r="D4715" s="3"/>
      <c r="E4715" s="3"/>
      <c r="F4715" s="3"/>
      <c r="G4715" s="3"/>
      <c r="H4715" s="3"/>
      <c r="I4715" s="3"/>
    </row>
    <row r="4716" spans="1:9" ht="10.5" customHeight="1">
      <c r="A4716" s="5"/>
      <c r="B4716" s="3"/>
      <c r="C4716" s="3"/>
      <c r="D4716" s="3"/>
      <c r="E4716" s="3"/>
      <c r="F4716" s="3"/>
      <c r="G4716" s="3"/>
      <c r="H4716" s="3"/>
      <c r="I4716" s="3"/>
    </row>
    <row r="4717" spans="1:9" ht="10.5" customHeight="1">
      <c r="A4717" s="5"/>
      <c r="B4717" s="3"/>
      <c r="C4717" s="3"/>
      <c r="D4717" s="3"/>
      <c r="E4717" s="3"/>
      <c r="F4717" s="3"/>
      <c r="G4717" s="3"/>
      <c r="H4717" s="3"/>
      <c r="I4717" s="3"/>
    </row>
    <row r="4718" spans="1:9" ht="10.5" customHeight="1">
      <c r="A4718" s="5"/>
      <c r="B4718" s="3"/>
      <c r="C4718" s="3"/>
      <c r="D4718" s="3"/>
      <c r="E4718" s="3"/>
      <c r="F4718" s="3"/>
      <c r="G4718" s="3"/>
      <c r="H4718" s="3"/>
      <c r="I4718" s="3"/>
    </row>
    <row r="4719" spans="1:9" ht="10.5" customHeight="1">
      <c r="A4719" s="5"/>
      <c r="B4719" s="3"/>
      <c r="C4719" s="3"/>
      <c r="D4719" s="3"/>
      <c r="E4719" s="3"/>
      <c r="F4719" s="3"/>
      <c r="G4719" s="3"/>
      <c r="H4719" s="3"/>
      <c r="I4719" s="3"/>
    </row>
    <row r="4720" spans="1:9" ht="10.5" customHeight="1">
      <c r="A4720" s="5"/>
      <c r="B4720" s="3"/>
      <c r="C4720" s="3"/>
      <c r="D4720" s="3"/>
      <c r="E4720" s="3"/>
      <c r="F4720" s="3"/>
      <c r="G4720" s="3"/>
      <c r="H4720" s="3"/>
      <c r="I4720" s="3"/>
    </row>
    <row r="4721" spans="1:9" ht="10.5" customHeight="1">
      <c r="A4721" s="5"/>
      <c r="B4721" s="3"/>
      <c r="C4721" s="3"/>
      <c r="D4721" s="3"/>
      <c r="E4721" s="3"/>
      <c r="F4721" s="3"/>
      <c r="G4721" s="3"/>
      <c r="H4721" s="3"/>
      <c r="I4721" s="3"/>
    </row>
    <row r="4722" spans="1:9" ht="10.5" customHeight="1">
      <c r="A4722" s="5"/>
      <c r="B4722" s="3"/>
      <c r="C4722" s="3"/>
      <c r="D4722" s="3"/>
      <c r="E4722" s="3"/>
      <c r="F4722" s="3"/>
      <c r="G4722" s="3"/>
      <c r="H4722" s="3"/>
      <c r="I4722" s="3"/>
    </row>
    <row r="4723" spans="1:9" ht="10.5" customHeight="1">
      <c r="A4723" s="5"/>
      <c r="B4723" s="3"/>
      <c r="C4723" s="3"/>
      <c r="D4723" s="3"/>
      <c r="E4723" s="3"/>
      <c r="F4723" s="3"/>
      <c r="G4723" s="3"/>
      <c r="H4723" s="3"/>
      <c r="I4723" s="3"/>
    </row>
    <row r="4724" spans="1:9" ht="10.5" customHeight="1">
      <c r="A4724" s="5"/>
      <c r="B4724" s="3"/>
      <c r="C4724" s="3"/>
      <c r="D4724" s="3"/>
      <c r="E4724" s="3"/>
      <c r="F4724" s="3"/>
      <c r="G4724" s="3"/>
      <c r="H4724" s="3"/>
      <c r="I4724" s="3"/>
    </row>
    <row r="4725" spans="1:9" ht="10.5" customHeight="1">
      <c r="A4725" s="5"/>
      <c r="B4725" s="3"/>
      <c r="C4725" s="3"/>
      <c r="D4725" s="3"/>
      <c r="E4725" s="3"/>
      <c r="F4725" s="3"/>
      <c r="G4725" s="3"/>
      <c r="H4725" s="3"/>
      <c r="I4725" s="3"/>
    </row>
    <row r="4726" spans="1:9" ht="10.5" customHeight="1">
      <c r="A4726" s="5"/>
      <c r="B4726" s="3"/>
      <c r="C4726" s="3"/>
      <c r="D4726" s="3"/>
      <c r="E4726" s="3"/>
      <c r="F4726" s="3"/>
      <c r="G4726" s="3"/>
      <c r="H4726" s="3"/>
      <c r="I4726" s="3"/>
    </row>
    <row r="4727" spans="1:9" ht="10.5" customHeight="1">
      <c r="A4727" s="5"/>
      <c r="B4727" s="3"/>
      <c r="C4727" s="3"/>
      <c r="D4727" s="3"/>
      <c r="E4727" s="3"/>
      <c r="F4727" s="3"/>
      <c r="G4727" s="3"/>
      <c r="H4727" s="3"/>
      <c r="I4727" s="3"/>
    </row>
    <row r="4728" spans="1:9" ht="10.5" customHeight="1">
      <c r="A4728" s="5"/>
      <c r="B4728" s="3"/>
      <c r="C4728" s="3"/>
      <c r="D4728" s="3"/>
      <c r="E4728" s="3"/>
      <c r="F4728" s="3"/>
      <c r="G4728" s="3"/>
      <c r="H4728" s="3"/>
      <c r="I4728" s="3"/>
    </row>
    <row r="4729" spans="1:9" ht="10.5" customHeight="1">
      <c r="A4729" s="5"/>
      <c r="B4729" s="3"/>
      <c r="C4729" s="3"/>
      <c r="D4729" s="3"/>
      <c r="E4729" s="3"/>
      <c r="F4729" s="3"/>
      <c r="G4729" s="3"/>
      <c r="H4729" s="3"/>
      <c r="I4729" s="3"/>
    </row>
    <row r="4730" spans="1:9" ht="10.5" customHeight="1">
      <c r="A4730" s="5"/>
      <c r="B4730" s="3"/>
      <c r="C4730" s="3"/>
      <c r="D4730" s="3"/>
      <c r="E4730" s="3"/>
      <c r="F4730" s="3"/>
      <c r="G4730" s="3"/>
      <c r="H4730" s="3"/>
      <c r="I4730" s="3"/>
    </row>
    <row r="4731" spans="1:9" ht="10.5" customHeight="1">
      <c r="A4731" s="5"/>
      <c r="B4731" s="3"/>
      <c r="C4731" s="3"/>
      <c r="D4731" s="3"/>
      <c r="E4731" s="3"/>
      <c r="F4731" s="3"/>
      <c r="G4731" s="3"/>
      <c r="H4731" s="3"/>
      <c r="I4731" s="3"/>
    </row>
    <row r="4732" spans="1:9" ht="10.5" customHeight="1">
      <c r="A4732" s="5"/>
      <c r="B4732" s="3"/>
      <c r="C4732" s="3"/>
      <c r="D4732" s="3"/>
      <c r="E4732" s="3"/>
      <c r="F4732" s="3"/>
      <c r="G4732" s="3"/>
      <c r="H4732" s="3"/>
      <c r="I4732" s="3"/>
    </row>
    <row r="4733" spans="1:9" ht="10.5" customHeight="1">
      <c r="A4733" s="5"/>
      <c r="B4733" s="3"/>
      <c r="C4733" s="3"/>
      <c r="D4733" s="3"/>
      <c r="E4733" s="3"/>
      <c r="F4733" s="3"/>
      <c r="G4733" s="3"/>
      <c r="H4733" s="3"/>
      <c r="I4733" s="3"/>
    </row>
    <row r="4734" spans="1:9" ht="10.5" customHeight="1">
      <c r="A4734" s="5"/>
      <c r="B4734" s="3"/>
      <c r="C4734" s="3"/>
      <c r="D4734" s="3"/>
      <c r="E4734" s="3"/>
      <c r="F4734" s="3"/>
      <c r="G4734" s="3"/>
      <c r="H4734" s="3"/>
      <c r="I4734" s="3"/>
    </row>
    <row r="4735" spans="1:9" ht="10.5" customHeight="1">
      <c r="A4735" s="5"/>
      <c r="B4735" s="3"/>
      <c r="C4735" s="3"/>
      <c r="D4735" s="3"/>
      <c r="E4735" s="3"/>
      <c r="F4735" s="3"/>
      <c r="G4735" s="3"/>
      <c r="H4735" s="3"/>
      <c r="I4735" s="3"/>
    </row>
    <row r="4736" spans="1:9" ht="10.5" customHeight="1">
      <c r="A4736" s="5"/>
      <c r="B4736" s="3"/>
      <c r="C4736" s="3"/>
      <c r="D4736" s="3"/>
      <c r="E4736" s="3"/>
      <c r="F4736" s="3"/>
      <c r="G4736" s="3"/>
      <c r="H4736" s="3"/>
      <c r="I4736" s="3"/>
    </row>
    <row r="4737" spans="1:9" ht="10.5" customHeight="1">
      <c r="A4737" s="5"/>
      <c r="B4737" s="3"/>
      <c r="C4737" s="3"/>
      <c r="D4737" s="3"/>
      <c r="E4737" s="3"/>
      <c r="F4737" s="3"/>
      <c r="G4737" s="3"/>
      <c r="H4737" s="3"/>
      <c r="I4737" s="3"/>
    </row>
    <row r="4738" spans="1:9" ht="10.5" customHeight="1">
      <c r="A4738" s="5"/>
      <c r="B4738" s="3"/>
      <c r="C4738" s="3"/>
      <c r="D4738" s="3"/>
      <c r="E4738" s="3"/>
      <c r="F4738" s="3"/>
      <c r="G4738" s="3"/>
      <c r="H4738" s="3"/>
      <c r="I4738" s="3"/>
    </row>
    <row r="4739" spans="1:9" ht="10.5" customHeight="1">
      <c r="A4739" s="5"/>
      <c r="B4739" s="3"/>
      <c r="C4739" s="3"/>
      <c r="D4739" s="3"/>
      <c r="E4739" s="3"/>
      <c r="F4739" s="3"/>
      <c r="G4739" s="3"/>
      <c r="H4739" s="3"/>
      <c r="I4739" s="3"/>
    </row>
    <row r="4740" spans="1:9" ht="10.5" customHeight="1">
      <c r="A4740" s="5"/>
      <c r="B4740" s="3"/>
      <c r="C4740" s="3"/>
      <c r="D4740" s="3"/>
      <c r="E4740" s="3"/>
      <c r="F4740" s="3"/>
      <c r="G4740" s="3"/>
      <c r="H4740" s="3"/>
      <c r="I4740" s="3"/>
    </row>
    <row r="4741" spans="1:9" ht="10.5" customHeight="1">
      <c r="A4741" s="5"/>
      <c r="B4741" s="3"/>
      <c r="C4741" s="3"/>
      <c r="D4741" s="3"/>
      <c r="E4741" s="3"/>
      <c r="F4741" s="3"/>
      <c r="G4741" s="3"/>
      <c r="H4741" s="3"/>
      <c r="I4741" s="3"/>
    </row>
    <row r="4742" spans="1:9" ht="10.5" customHeight="1">
      <c r="A4742" s="5"/>
      <c r="B4742" s="3"/>
      <c r="C4742" s="3"/>
      <c r="D4742" s="3"/>
      <c r="E4742" s="3"/>
      <c r="F4742" s="3"/>
      <c r="G4742" s="3"/>
      <c r="H4742" s="3"/>
      <c r="I4742" s="3"/>
    </row>
    <row r="4743" spans="1:9" ht="10.5" customHeight="1">
      <c r="A4743" s="5"/>
      <c r="B4743" s="3"/>
      <c r="C4743" s="3"/>
      <c r="D4743" s="3"/>
      <c r="E4743" s="3"/>
      <c r="F4743" s="3"/>
      <c r="G4743" s="3"/>
      <c r="H4743" s="3"/>
      <c r="I4743" s="3"/>
    </row>
    <row r="4744" spans="1:9" ht="10.5" customHeight="1">
      <c r="A4744" s="5"/>
      <c r="B4744" s="3"/>
      <c r="C4744" s="3"/>
      <c r="D4744" s="3"/>
      <c r="E4744" s="3"/>
      <c r="F4744" s="3"/>
      <c r="G4744" s="3"/>
      <c r="H4744" s="3"/>
      <c r="I4744" s="3"/>
    </row>
    <row r="4745" spans="1:9" ht="10.5" customHeight="1">
      <c r="A4745" s="5"/>
      <c r="B4745" s="3"/>
      <c r="C4745" s="3"/>
      <c r="D4745" s="3"/>
      <c r="E4745" s="3"/>
      <c r="F4745" s="3"/>
      <c r="G4745" s="3"/>
      <c r="H4745" s="3"/>
      <c r="I4745" s="3"/>
    </row>
    <row r="4746" spans="1:9" ht="10.5" customHeight="1">
      <c r="A4746" s="5"/>
      <c r="B4746" s="3"/>
      <c r="C4746" s="3"/>
      <c r="D4746" s="3"/>
      <c r="E4746" s="3"/>
      <c r="F4746" s="3"/>
      <c r="G4746" s="3"/>
      <c r="H4746" s="3"/>
      <c r="I4746" s="3"/>
    </row>
    <row r="4747" spans="1:9" ht="10.5" customHeight="1">
      <c r="A4747" s="5"/>
      <c r="B4747" s="3"/>
      <c r="C4747" s="3"/>
      <c r="D4747" s="3"/>
      <c r="E4747" s="3"/>
      <c r="F4747" s="3"/>
      <c r="G4747" s="3"/>
      <c r="H4747" s="3"/>
      <c r="I4747" s="3"/>
    </row>
    <row r="4748" spans="1:9" ht="10.5" customHeight="1">
      <c r="A4748" s="5"/>
      <c r="B4748" s="3"/>
      <c r="C4748" s="3"/>
      <c r="D4748" s="3"/>
      <c r="E4748" s="3"/>
      <c r="F4748" s="3"/>
      <c r="G4748" s="3"/>
      <c r="H4748" s="3"/>
      <c r="I4748" s="3"/>
    </row>
    <row r="4749" spans="1:9" ht="10.5" customHeight="1">
      <c r="A4749" s="5"/>
      <c r="B4749" s="3"/>
      <c r="C4749" s="3"/>
      <c r="D4749" s="3"/>
      <c r="E4749" s="3"/>
      <c r="F4749" s="3"/>
      <c r="G4749" s="3"/>
      <c r="H4749" s="3"/>
      <c r="I4749" s="3"/>
    </row>
    <row r="4750" spans="1:9" ht="10.5" customHeight="1">
      <c r="A4750" s="5"/>
      <c r="B4750" s="3"/>
      <c r="C4750" s="3"/>
      <c r="D4750" s="3"/>
      <c r="E4750" s="3"/>
      <c r="F4750" s="3"/>
      <c r="G4750" s="3"/>
      <c r="H4750" s="3"/>
      <c r="I4750" s="3"/>
    </row>
    <row r="4751" spans="1:9" ht="10.5" customHeight="1">
      <c r="A4751" s="5"/>
      <c r="B4751" s="3"/>
      <c r="C4751" s="3"/>
      <c r="D4751" s="3"/>
      <c r="E4751" s="3"/>
      <c r="F4751" s="3"/>
      <c r="G4751" s="3"/>
      <c r="H4751" s="3"/>
      <c r="I4751" s="3"/>
    </row>
    <row r="4752" spans="1:9" ht="10.5" customHeight="1">
      <c r="A4752" s="5"/>
      <c r="B4752" s="3"/>
      <c r="C4752" s="3"/>
      <c r="D4752" s="3"/>
      <c r="E4752" s="3"/>
      <c r="F4752" s="3"/>
      <c r="G4752" s="3"/>
      <c r="H4752" s="3"/>
      <c r="I4752" s="3"/>
    </row>
    <row r="4753" spans="1:9" ht="10.5" customHeight="1">
      <c r="A4753" s="5"/>
      <c r="B4753" s="3"/>
      <c r="C4753" s="3"/>
      <c r="D4753" s="3"/>
      <c r="E4753" s="3"/>
      <c r="F4753" s="3"/>
      <c r="G4753" s="3"/>
      <c r="H4753" s="3"/>
      <c r="I4753" s="3"/>
    </row>
    <row r="4754" spans="1:9" ht="10.5" customHeight="1">
      <c r="A4754" s="5"/>
      <c r="B4754" s="3"/>
      <c r="C4754" s="3"/>
      <c r="D4754" s="3"/>
      <c r="E4754" s="3"/>
      <c r="F4754" s="3"/>
      <c r="G4754" s="3"/>
      <c r="H4754" s="3"/>
      <c r="I4754" s="3"/>
    </row>
    <row r="4755" spans="1:9" ht="10.5" customHeight="1">
      <c r="A4755" s="5"/>
      <c r="B4755" s="3"/>
      <c r="C4755" s="3"/>
      <c r="D4755" s="3"/>
      <c r="E4755" s="3"/>
      <c r="F4755" s="3"/>
      <c r="G4755" s="3"/>
      <c r="H4755" s="3"/>
      <c r="I4755" s="3"/>
    </row>
    <row r="4756" spans="1:9" ht="10.5" customHeight="1">
      <c r="A4756" s="5"/>
      <c r="B4756" s="3"/>
      <c r="C4756" s="3"/>
      <c r="D4756" s="3"/>
      <c r="E4756" s="3"/>
      <c r="F4756" s="3"/>
      <c r="G4756" s="3"/>
      <c r="H4756" s="3"/>
      <c r="I4756" s="3"/>
    </row>
    <row r="4757" spans="1:9" ht="10.5" customHeight="1">
      <c r="A4757" s="5"/>
      <c r="B4757" s="3"/>
      <c r="C4757" s="3"/>
      <c r="D4757" s="3"/>
      <c r="E4757" s="3"/>
      <c r="F4757" s="3"/>
      <c r="G4757" s="3"/>
      <c r="H4757" s="3"/>
      <c r="I4757" s="3"/>
    </row>
    <row r="4758" spans="1:9" ht="10.5" customHeight="1">
      <c r="A4758" s="5"/>
      <c r="B4758" s="3"/>
      <c r="C4758" s="3"/>
      <c r="D4758" s="3"/>
      <c r="E4758" s="3"/>
      <c r="F4758" s="3"/>
      <c r="G4758" s="3"/>
      <c r="H4758" s="3"/>
      <c r="I4758" s="3"/>
    </row>
    <row r="4759" spans="1:9" ht="10.5" customHeight="1">
      <c r="A4759" s="5"/>
      <c r="B4759" s="3"/>
      <c r="C4759" s="3"/>
      <c r="D4759" s="3"/>
      <c r="E4759" s="3"/>
      <c r="F4759" s="3"/>
      <c r="G4759" s="3"/>
      <c r="H4759" s="3"/>
      <c r="I4759" s="3"/>
    </row>
    <row r="4760" spans="1:9" ht="10.5" customHeight="1">
      <c r="A4760" s="5"/>
      <c r="B4760" s="3"/>
      <c r="C4760" s="3"/>
      <c r="D4760" s="3"/>
      <c r="E4760" s="3"/>
      <c r="F4760" s="3"/>
      <c r="G4760" s="3"/>
      <c r="H4760" s="3"/>
      <c r="I4760" s="3"/>
    </row>
    <row r="4761" spans="1:9" ht="10.5" customHeight="1">
      <c r="A4761" s="5"/>
      <c r="B4761" s="3"/>
      <c r="C4761" s="3"/>
      <c r="D4761" s="3"/>
      <c r="E4761" s="3"/>
      <c r="F4761" s="3"/>
      <c r="G4761" s="3"/>
      <c r="H4761" s="3"/>
      <c r="I4761" s="3"/>
    </row>
    <row r="4762" spans="1:9" ht="10.5" customHeight="1">
      <c r="A4762" s="5"/>
      <c r="B4762" s="3"/>
      <c r="C4762" s="3"/>
      <c r="D4762" s="3"/>
      <c r="E4762" s="3"/>
      <c r="F4762" s="3"/>
      <c r="G4762" s="3"/>
      <c r="H4762" s="3"/>
      <c r="I4762" s="3"/>
    </row>
    <row r="4763" spans="1:9" ht="10.5" customHeight="1">
      <c r="A4763" s="5"/>
      <c r="B4763" s="3"/>
      <c r="C4763" s="3"/>
      <c r="D4763" s="3"/>
      <c r="E4763" s="3"/>
      <c r="F4763" s="3"/>
      <c r="G4763" s="3"/>
      <c r="H4763" s="3"/>
      <c r="I4763" s="3"/>
    </row>
    <row r="4764" spans="1:9" ht="10.5" customHeight="1">
      <c r="A4764" s="5"/>
      <c r="B4764" s="3"/>
      <c r="C4764" s="3"/>
      <c r="D4764" s="3"/>
      <c r="E4764" s="3"/>
      <c r="F4764" s="3"/>
      <c r="G4764" s="3"/>
      <c r="H4764" s="3"/>
      <c r="I4764" s="3"/>
    </row>
    <row r="4765" spans="1:9" ht="10.5" customHeight="1">
      <c r="A4765" s="5"/>
      <c r="B4765" s="3"/>
      <c r="C4765" s="3"/>
      <c r="D4765" s="3"/>
      <c r="E4765" s="3"/>
      <c r="F4765" s="3"/>
      <c r="G4765" s="3"/>
      <c r="H4765" s="3"/>
      <c r="I4765" s="3"/>
    </row>
    <row r="4766" spans="1:9" ht="10.5" customHeight="1">
      <c r="A4766" s="5"/>
      <c r="B4766" s="3"/>
      <c r="C4766" s="3"/>
      <c r="D4766" s="3"/>
      <c r="E4766" s="3"/>
      <c r="F4766" s="3"/>
      <c r="G4766" s="3"/>
      <c r="H4766" s="3"/>
      <c r="I4766" s="3"/>
    </row>
    <row r="4767" spans="1:9" ht="10.5" customHeight="1">
      <c r="A4767" s="5"/>
      <c r="B4767" s="3"/>
      <c r="C4767" s="3"/>
      <c r="D4767" s="3"/>
      <c r="E4767" s="3"/>
      <c r="F4767" s="3"/>
      <c r="G4767" s="3"/>
      <c r="H4767" s="3"/>
      <c r="I4767" s="3"/>
    </row>
    <row r="4768" spans="1:9" ht="10.5" customHeight="1">
      <c r="A4768" s="5"/>
      <c r="B4768" s="3"/>
      <c r="C4768" s="3"/>
      <c r="D4768" s="3"/>
      <c r="E4768" s="3"/>
      <c r="F4768" s="3"/>
      <c r="G4768" s="3"/>
      <c r="H4768" s="3"/>
      <c r="I4768" s="3"/>
    </row>
    <row r="4769" spans="1:9" ht="10.5" customHeight="1">
      <c r="A4769" s="5"/>
      <c r="B4769" s="3"/>
      <c r="C4769" s="3"/>
      <c r="D4769" s="3"/>
      <c r="E4769" s="3"/>
      <c r="F4769" s="3"/>
      <c r="G4769" s="3"/>
      <c r="H4769" s="3"/>
      <c r="I4769" s="3"/>
    </row>
    <row r="4770" spans="1:9" ht="10.5" customHeight="1">
      <c r="A4770" s="5"/>
      <c r="B4770" s="3"/>
      <c r="C4770" s="3"/>
      <c r="D4770" s="3"/>
      <c r="E4770" s="3"/>
      <c r="F4770" s="3"/>
      <c r="G4770" s="3"/>
      <c r="H4770" s="3"/>
      <c r="I4770" s="3"/>
    </row>
    <row r="4771" spans="1:9" ht="10.5" customHeight="1">
      <c r="A4771" s="5"/>
      <c r="B4771" s="3"/>
      <c r="C4771" s="3"/>
      <c r="D4771" s="3"/>
      <c r="E4771" s="3"/>
      <c r="F4771" s="3"/>
      <c r="G4771" s="3"/>
      <c r="H4771" s="3"/>
      <c r="I4771" s="3"/>
    </row>
    <row r="4772" spans="1:9" ht="10.5" customHeight="1">
      <c r="A4772" s="5"/>
      <c r="B4772" s="3"/>
      <c r="C4772" s="3"/>
      <c r="D4772" s="3"/>
      <c r="E4772" s="3"/>
      <c r="F4772" s="3"/>
      <c r="G4772" s="3"/>
      <c r="H4772" s="3"/>
      <c r="I4772" s="3"/>
    </row>
    <row r="4773" spans="1:9" ht="10.5" customHeight="1">
      <c r="A4773" s="5"/>
      <c r="B4773" s="3"/>
      <c r="C4773" s="3"/>
      <c r="D4773" s="3"/>
      <c r="E4773" s="3"/>
      <c r="F4773" s="3"/>
      <c r="G4773" s="3"/>
      <c r="H4773" s="3"/>
      <c r="I4773" s="3"/>
    </row>
    <row r="4774" spans="1:9" ht="10.5" customHeight="1">
      <c r="A4774" s="5"/>
      <c r="B4774" s="3"/>
      <c r="C4774" s="3"/>
      <c r="D4774" s="3"/>
      <c r="E4774" s="3"/>
      <c r="F4774" s="3"/>
      <c r="G4774" s="3"/>
      <c r="H4774" s="3"/>
      <c r="I4774" s="3"/>
    </row>
    <row r="4775" spans="1:9" ht="10.5" customHeight="1">
      <c r="A4775" s="5"/>
      <c r="B4775" s="3"/>
      <c r="C4775" s="3"/>
      <c r="D4775" s="3"/>
      <c r="E4775" s="3"/>
      <c r="F4775" s="3"/>
      <c r="G4775" s="3"/>
      <c r="H4775" s="3"/>
      <c r="I4775" s="3"/>
    </row>
    <row r="4776" spans="1:9" ht="10.5" customHeight="1">
      <c r="A4776" s="5"/>
      <c r="B4776" s="3"/>
      <c r="C4776" s="3"/>
      <c r="D4776" s="3"/>
      <c r="E4776" s="3"/>
      <c r="F4776" s="3"/>
      <c r="G4776" s="3"/>
      <c r="H4776" s="3"/>
      <c r="I4776" s="3"/>
    </row>
    <row r="4777" spans="1:9" ht="10.5" customHeight="1">
      <c r="A4777" s="5"/>
      <c r="B4777" s="3"/>
      <c r="C4777" s="3"/>
      <c r="D4777" s="3"/>
      <c r="E4777" s="3"/>
      <c r="F4777" s="3"/>
      <c r="G4777" s="3"/>
      <c r="H4777" s="3"/>
      <c r="I4777" s="3"/>
    </row>
    <row r="4778" spans="1:9" ht="10.5" customHeight="1">
      <c r="A4778" s="5"/>
      <c r="B4778" s="3"/>
      <c r="C4778" s="3"/>
      <c r="D4778" s="3"/>
      <c r="E4778" s="3"/>
      <c r="F4778" s="3"/>
      <c r="G4778" s="3"/>
      <c r="H4778" s="3"/>
      <c r="I4778" s="3"/>
    </row>
    <row r="4779" spans="1:9" ht="10.5" customHeight="1">
      <c r="A4779" s="5"/>
      <c r="B4779" s="3"/>
      <c r="C4779" s="3"/>
      <c r="D4779" s="3"/>
      <c r="E4779" s="3"/>
      <c r="F4779" s="3"/>
      <c r="G4779" s="3"/>
      <c r="H4779" s="3"/>
      <c r="I4779" s="3"/>
    </row>
    <row r="4780" spans="1:9" ht="10.5" customHeight="1">
      <c r="A4780" s="5"/>
      <c r="B4780" s="3"/>
      <c r="C4780" s="3"/>
      <c r="D4780" s="3"/>
      <c r="E4780" s="3"/>
      <c r="F4780" s="3"/>
      <c r="G4780" s="3"/>
      <c r="H4780" s="3"/>
      <c r="I4780" s="3"/>
    </row>
    <row r="4781" spans="1:9" ht="10.5" customHeight="1">
      <c r="A4781" s="5"/>
      <c r="B4781" s="3"/>
      <c r="C4781" s="3"/>
      <c r="D4781" s="3"/>
      <c r="E4781" s="3"/>
      <c r="F4781" s="3"/>
      <c r="G4781" s="3"/>
      <c r="H4781" s="3"/>
      <c r="I4781" s="3"/>
    </row>
    <row r="4782" spans="1:9" ht="10.5" customHeight="1">
      <c r="A4782" s="5"/>
      <c r="B4782" s="3"/>
      <c r="C4782" s="3"/>
      <c r="D4782" s="3"/>
      <c r="E4782" s="3"/>
      <c r="F4782" s="3"/>
      <c r="G4782" s="3"/>
      <c r="H4782" s="3"/>
      <c r="I4782" s="3"/>
    </row>
    <row r="4783" spans="1:9" ht="10.5" customHeight="1">
      <c r="A4783" s="5"/>
      <c r="B4783" s="3"/>
      <c r="C4783" s="3"/>
      <c r="D4783" s="3"/>
      <c r="E4783" s="3"/>
      <c r="F4783" s="3"/>
      <c r="G4783" s="3"/>
      <c r="H4783" s="3"/>
      <c r="I4783" s="3"/>
    </row>
    <row r="4784" spans="1:9" ht="10.5" customHeight="1">
      <c r="A4784" s="5"/>
      <c r="B4784" s="3"/>
      <c r="C4784" s="3"/>
      <c r="D4784" s="3"/>
      <c r="E4784" s="3"/>
      <c r="F4784" s="3"/>
      <c r="G4784" s="3"/>
      <c r="H4784" s="3"/>
      <c r="I4784" s="3"/>
    </row>
    <row r="4785" spans="1:9" ht="10.5" customHeight="1">
      <c r="A4785" s="5"/>
      <c r="B4785" s="3"/>
      <c r="C4785" s="3"/>
      <c r="D4785" s="3"/>
      <c r="E4785" s="3"/>
      <c r="F4785" s="3"/>
      <c r="G4785" s="3"/>
      <c r="H4785" s="3"/>
      <c r="I4785" s="3"/>
    </row>
    <row r="4786" spans="1:9" ht="10.5" customHeight="1">
      <c r="A4786" s="5"/>
      <c r="B4786" s="3"/>
      <c r="C4786" s="3"/>
      <c r="D4786" s="3"/>
      <c r="E4786" s="3"/>
      <c r="F4786" s="3"/>
      <c r="G4786" s="3"/>
      <c r="H4786" s="3"/>
      <c r="I4786" s="3"/>
    </row>
    <row r="4787" spans="1:9" ht="10.5" customHeight="1">
      <c r="A4787" s="5"/>
      <c r="B4787" s="3"/>
      <c r="C4787" s="3"/>
      <c r="D4787" s="3"/>
      <c r="E4787" s="3"/>
      <c r="F4787" s="3"/>
      <c r="G4787" s="3"/>
      <c r="H4787" s="3"/>
      <c r="I4787" s="3"/>
    </row>
    <row r="4788" spans="1:9" ht="10.5" customHeight="1">
      <c r="A4788" s="5"/>
      <c r="B4788" s="3"/>
      <c r="C4788" s="3"/>
      <c r="D4788" s="3"/>
      <c r="E4788" s="3"/>
      <c r="F4788" s="3"/>
      <c r="G4788" s="3"/>
      <c r="H4788" s="3"/>
      <c r="I4788" s="3"/>
    </row>
    <row r="4789" spans="1:9" ht="10.5" customHeight="1">
      <c r="A4789" s="5"/>
      <c r="B4789" s="3"/>
      <c r="C4789" s="3"/>
      <c r="D4789" s="3"/>
      <c r="E4789" s="3"/>
      <c r="F4789" s="3"/>
      <c r="G4789" s="3"/>
      <c r="H4789" s="3"/>
      <c r="I4789" s="3"/>
    </row>
    <row r="4790" spans="1:9" ht="10.5" customHeight="1">
      <c r="A4790" s="5"/>
      <c r="B4790" s="3"/>
      <c r="C4790" s="3"/>
      <c r="D4790" s="3"/>
      <c r="E4790" s="3"/>
      <c r="F4790" s="3"/>
      <c r="G4790" s="3"/>
      <c r="H4790" s="3"/>
      <c r="I4790" s="3"/>
    </row>
    <row r="4791" spans="1:9" ht="10.5" customHeight="1">
      <c r="A4791" s="5"/>
      <c r="B4791" s="3"/>
      <c r="C4791" s="3"/>
      <c r="D4791" s="3"/>
      <c r="E4791" s="3"/>
      <c r="F4791" s="3"/>
      <c r="G4791" s="3"/>
      <c r="H4791" s="3"/>
      <c r="I4791" s="3"/>
    </row>
    <row r="4792" spans="1:9" ht="10.5" customHeight="1">
      <c r="A4792" s="5"/>
      <c r="B4792" s="3"/>
      <c r="C4792" s="3"/>
      <c r="D4792" s="3"/>
      <c r="E4792" s="3"/>
      <c r="F4792" s="3"/>
      <c r="G4792" s="3"/>
      <c r="H4792" s="3"/>
      <c r="I4792" s="3"/>
    </row>
    <row r="4793" spans="1:9" ht="10.5" customHeight="1">
      <c r="A4793" s="5"/>
      <c r="B4793" s="3"/>
      <c r="C4793" s="3"/>
      <c r="D4793" s="3"/>
      <c r="E4793" s="3"/>
      <c r="F4793" s="3"/>
      <c r="G4793" s="3"/>
      <c r="H4793" s="3"/>
      <c r="I4793" s="3"/>
    </row>
    <row r="4794" spans="1:9" ht="10.5" customHeight="1">
      <c r="A4794" s="5"/>
      <c r="B4794" s="3"/>
      <c r="C4794" s="3"/>
      <c r="D4794" s="3"/>
      <c r="E4794" s="3"/>
      <c r="F4794" s="3"/>
      <c r="G4794" s="3"/>
      <c r="H4794" s="3"/>
      <c r="I4794" s="3"/>
    </row>
    <row r="4795" spans="1:9" ht="10.5" customHeight="1">
      <c r="A4795" s="5"/>
      <c r="B4795" s="3"/>
      <c r="C4795" s="3"/>
      <c r="D4795" s="3"/>
      <c r="E4795" s="3"/>
      <c r="F4795" s="3"/>
      <c r="G4795" s="3"/>
      <c r="H4795" s="3"/>
      <c r="I4795" s="3"/>
    </row>
    <row r="4796" spans="1:9" ht="10.5" customHeight="1">
      <c r="A4796" s="5"/>
      <c r="B4796" s="3"/>
      <c r="C4796" s="3"/>
      <c r="D4796" s="3"/>
      <c r="E4796" s="3"/>
      <c r="F4796" s="3"/>
      <c r="G4796" s="3"/>
      <c r="H4796" s="3"/>
      <c r="I4796" s="3"/>
    </row>
    <row r="4797" spans="1:9" ht="10.5" customHeight="1">
      <c r="A4797" s="5"/>
      <c r="B4797" s="3"/>
      <c r="C4797" s="3"/>
      <c r="D4797" s="3"/>
      <c r="E4797" s="3"/>
      <c r="F4797" s="3"/>
      <c r="G4797" s="3"/>
      <c r="H4797" s="3"/>
      <c r="I4797" s="3"/>
    </row>
    <row r="4798" spans="1:9" ht="10.5" customHeight="1">
      <c r="A4798" s="5"/>
      <c r="B4798" s="3"/>
      <c r="C4798" s="3"/>
      <c r="D4798" s="3"/>
      <c r="E4798" s="3"/>
      <c r="F4798" s="3"/>
      <c r="G4798" s="3"/>
      <c r="H4798" s="3"/>
      <c r="I4798" s="3"/>
    </row>
    <row r="4799" spans="1:9" ht="10.5" customHeight="1">
      <c r="A4799" s="5"/>
      <c r="B4799" s="3"/>
      <c r="C4799" s="3"/>
      <c r="D4799" s="3"/>
      <c r="E4799" s="3"/>
      <c r="F4799" s="3"/>
      <c r="G4799" s="3"/>
      <c r="H4799" s="3"/>
      <c r="I4799" s="3"/>
    </row>
    <row r="4800" spans="1:9" ht="10.5" customHeight="1">
      <c r="A4800" s="5"/>
      <c r="B4800" s="3"/>
      <c r="C4800" s="3"/>
      <c r="D4800" s="3"/>
      <c r="E4800" s="3"/>
      <c r="F4800" s="3"/>
      <c r="G4800" s="3"/>
      <c r="H4800" s="3"/>
      <c r="I4800" s="3"/>
    </row>
    <row r="4801" spans="1:9" ht="10.5" customHeight="1">
      <c r="A4801" s="5"/>
      <c r="B4801" s="3"/>
      <c r="C4801" s="3"/>
      <c r="D4801" s="3"/>
      <c r="E4801" s="3"/>
      <c r="F4801" s="3"/>
      <c r="G4801" s="3"/>
      <c r="H4801" s="3"/>
      <c r="I4801" s="3"/>
    </row>
    <row r="4802" spans="1:9" ht="10.5" customHeight="1">
      <c r="A4802" s="5"/>
      <c r="B4802" s="3"/>
      <c r="C4802" s="3"/>
      <c r="D4802" s="3"/>
      <c r="E4802" s="3"/>
      <c r="F4802" s="3"/>
      <c r="G4802" s="3"/>
      <c r="H4802" s="3"/>
      <c r="I4802" s="3"/>
    </row>
    <row r="4803" spans="1:9" ht="10.5" customHeight="1">
      <c r="A4803" s="5"/>
      <c r="B4803" s="3"/>
      <c r="C4803" s="3"/>
      <c r="D4803" s="3"/>
      <c r="E4803" s="3"/>
      <c r="F4803" s="3"/>
      <c r="G4803" s="3"/>
      <c r="H4803" s="3"/>
      <c r="I4803" s="3"/>
    </row>
    <row r="4804" spans="1:9" ht="10.5" customHeight="1">
      <c r="A4804" s="5"/>
      <c r="B4804" s="3"/>
      <c r="C4804" s="3"/>
      <c r="D4804" s="3"/>
      <c r="E4804" s="3"/>
      <c r="F4804" s="3"/>
      <c r="G4804" s="3"/>
      <c r="H4804" s="3"/>
      <c r="I4804" s="3"/>
    </row>
    <row r="4805" spans="1:9" ht="10.5" customHeight="1">
      <c r="A4805" s="5"/>
      <c r="B4805" s="3"/>
      <c r="C4805" s="3"/>
      <c r="D4805" s="3"/>
      <c r="E4805" s="3"/>
      <c r="F4805" s="3"/>
      <c r="G4805" s="3"/>
      <c r="H4805" s="3"/>
      <c r="I4805" s="3"/>
    </row>
    <row r="4806" spans="1:9" ht="10.5" customHeight="1">
      <c r="A4806" s="5"/>
      <c r="B4806" s="3"/>
      <c r="C4806" s="3"/>
      <c r="D4806" s="3"/>
      <c r="E4806" s="3"/>
      <c r="F4806" s="3"/>
      <c r="G4806" s="3"/>
      <c r="H4806" s="3"/>
      <c r="I4806" s="3"/>
    </row>
    <row r="4807" spans="1:9" ht="10.5" customHeight="1">
      <c r="A4807" s="5"/>
      <c r="B4807" s="3"/>
      <c r="C4807" s="3"/>
      <c r="D4807" s="3"/>
      <c r="E4807" s="3"/>
      <c r="F4807" s="3"/>
      <c r="G4807" s="3"/>
      <c r="H4807" s="3"/>
      <c r="I4807" s="3"/>
    </row>
    <row r="4808" spans="1:9" ht="10.5" customHeight="1">
      <c r="A4808" s="5"/>
      <c r="B4808" s="3"/>
      <c r="C4808" s="3"/>
      <c r="D4808" s="3"/>
      <c r="E4808" s="3"/>
      <c r="F4808" s="3"/>
      <c r="G4808" s="3"/>
      <c r="H4808" s="3"/>
      <c r="I4808" s="3"/>
    </row>
    <row r="4809" spans="1:9" ht="10.5" customHeight="1">
      <c r="A4809" s="5"/>
      <c r="B4809" s="3"/>
      <c r="C4809" s="3"/>
      <c r="D4809" s="3"/>
      <c r="E4809" s="3"/>
      <c r="F4809" s="3"/>
      <c r="G4809" s="3"/>
      <c r="H4809" s="3"/>
      <c r="I4809" s="3"/>
    </row>
    <row r="4810" spans="1:9" ht="10.5" customHeight="1">
      <c r="A4810" s="5"/>
      <c r="B4810" s="3"/>
      <c r="C4810" s="3"/>
      <c r="D4810" s="3"/>
      <c r="E4810" s="3"/>
      <c r="F4810" s="3"/>
      <c r="G4810" s="3"/>
      <c r="H4810" s="3"/>
      <c r="I4810" s="3"/>
    </row>
    <row r="4811" spans="1:9" ht="10.5" customHeight="1">
      <c r="A4811" s="5"/>
      <c r="B4811" s="3"/>
      <c r="C4811" s="3"/>
      <c r="D4811" s="3"/>
      <c r="E4811" s="3"/>
      <c r="F4811" s="3"/>
      <c r="G4811" s="3"/>
      <c r="H4811" s="3"/>
      <c r="I4811" s="3"/>
    </row>
    <row r="4812" spans="1:9" ht="10.5" customHeight="1">
      <c r="A4812" s="5"/>
      <c r="B4812" s="3"/>
      <c r="C4812" s="3"/>
      <c r="D4812" s="3"/>
      <c r="E4812" s="3"/>
      <c r="F4812" s="3"/>
      <c r="G4812" s="3"/>
      <c r="H4812" s="3"/>
      <c r="I4812" s="3"/>
    </row>
    <row r="4813" spans="1:9" ht="10.5" customHeight="1">
      <c r="A4813" s="5"/>
      <c r="B4813" s="3"/>
      <c r="C4813" s="3"/>
      <c r="D4813" s="3"/>
      <c r="E4813" s="3"/>
      <c r="F4813" s="3"/>
      <c r="G4813" s="3"/>
      <c r="H4813" s="3"/>
      <c r="I4813" s="3"/>
    </row>
    <row r="4814" spans="1:9" ht="10.5" customHeight="1">
      <c r="A4814" s="5"/>
      <c r="B4814" s="3"/>
      <c r="C4814" s="3"/>
      <c r="D4814" s="3"/>
      <c r="E4814" s="3"/>
      <c r="F4814" s="3"/>
      <c r="G4814" s="3"/>
      <c r="H4814" s="3"/>
      <c r="I4814" s="3"/>
    </row>
    <row r="4815" spans="1:9" ht="10.5" customHeight="1">
      <c r="A4815" s="5"/>
      <c r="B4815" s="3"/>
      <c r="C4815" s="3"/>
      <c r="D4815" s="3"/>
      <c r="E4815" s="3"/>
      <c r="F4815" s="3"/>
      <c r="G4815" s="3"/>
      <c r="H4815" s="3"/>
      <c r="I4815" s="3"/>
    </row>
    <row r="4816" spans="1:9" ht="10.5" customHeight="1">
      <c r="A4816" s="5"/>
      <c r="B4816" s="3"/>
      <c r="C4816" s="3"/>
      <c r="D4816" s="3"/>
      <c r="E4816" s="3"/>
      <c r="F4816" s="3"/>
      <c r="G4816" s="3"/>
      <c r="H4816" s="3"/>
      <c r="I4816" s="3"/>
    </row>
    <row r="4817" spans="1:9" ht="10.5" customHeight="1">
      <c r="A4817" s="5"/>
      <c r="B4817" s="3"/>
      <c r="C4817" s="3"/>
      <c r="D4817" s="3"/>
      <c r="E4817" s="3"/>
      <c r="F4817" s="3"/>
      <c r="G4817" s="3"/>
      <c r="H4817" s="3"/>
      <c r="I4817" s="3"/>
    </row>
    <row r="4818" spans="1:9" ht="10.5" customHeight="1">
      <c r="A4818" s="5"/>
      <c r="B4818" s="3"/>
      <c r="C4818" s="3"/>
      <c r="D4818" s="3"/>
      <c r="E4818" s="3"/>
      <c r="F4818" s="3"/>
      <c r="G4818" s="3"/>
      <c r="H4818" s="3"/>
      <c r="I4818" s="3"/>
    </row>
    <row r="4819" spans="1:9" ht="10.5" customHeight="1">
      <c r="A4819" s="5"/>
      <c r="B4819" s="3"/>
      <c r="C4819" s="3"/>
      <c r="D4819" s="3"/>
      <c r="E4819" s="3"/>
      <c r="F4819" s="3"/>
      <c r="G4819" s="3"/>
      <c r="H4819" s="3"/>
      <c r="I4819" s="3"/>
    </row>
    <row r="4820" spans="1:9" ht="10.5" customHeight="1">
      <c r="A4820" s="5"/>
      <c r="B4820" s="3"/>
      <c r="C4820" s="3"/>
      <c r="D4820" s="3"/>
      <c r="E4820" s="3"/>
      <c r="F4820" s="3"/>
      <c r="G4820" s="3"/>
      <c r="H4820" s="3"/>
      <c r="I4820" s="3"/>
    </row>
    <row r="4821" spans="1:9" ht="10.5" customHeight="1">
      <c r="A4821" s="5"/>
      <c r="B4821" s="3"/>
      <c r="C4821" s="3"/>
      <c r="D4821" s="3"/>
      <c r="E4821" s="3"/>
      <c r="F4821" s="3"/>
      <c r="G4821" s="3"/>
      <c r="H4821" s="3"/>
      <c r="I4821" s="3"/>
    </row>
    <row r="4822" spans="1:9" ht="10.5" customHeight="1">
      <c r="A4822" s="5"/>
      <c r="B4822" s="3"/>
      <c r="C4822" s="3"/>
      <c r="D4822" s="3"/>
      <c r="E4822" s="3"/>
      <c r="F4822" s="3"/>
      <c r="G4822" s="3"/>
      <c r="H4822" s="3"/>
      <c r="I4822" s="3"/>
    </row>
    <row r="4823" spans="1:9" ht="10.5" customHeight="1">
      <c r="A4823" s="5"/>
      <c r="B4823" s="3"/>
      <c r="C4823" s="3"/>
      <c r="D4823" s="3"/>
      <c r="E4823" s="3"/>
      <c r="F4823" s="3"/>
      <c r="G4823" s="3"/>
      <c r="H4823" s="3"/>
      <c r="I4823" s="3"/>
    </row>
    <row r="4824" spans="1:9" ht="10.5" customHeight="1">
      <c r="A4824" s="5"/>
      <c r="B4824" s="3"/>
      <c r="C4824" s="3"/>
      <c r="D4824" s="3"/>
      <c r="E4824" s="3"/>
      <c r="F4824" s="3"/>
      <c r="G4824" s="3"/>
      <c r="H4824" s="3"/>
      <c r="I4824" s="3"/>
    </row>
    <row r="4825" spans="1:9" ht="10.5" customHeight="1">
      <c r="A4825" s="5"/>
      <c r="B4825" s="3"/>
      <c r="C4825" s="3"/>
      <c r="D4825" s="3"/>
      <c r="E4825" s="3"/>
      <c r="F4825" s="3"/>
      <c r="G4825" s="3"/>
      <c r="H4825" s="3"/>
      <c r="I4825" s="3"/>
    </row>
    <row r="4826" spans="1:9" ht="10.5" customHeight="1">
      <c r="A4826" s="5"/>
      <c r="B4826" s="3"/>
      <c r="C4826" s="3"/>
      <c r="D4826" s="3"/>
      <c r="E4826" s="3"/>
      <c r="F4826" s="3"/>
      <c r="G4826" s="3"/>
      <c r="H4826" s="3"/>
      <c r="I4826" s="3"/>
    </row>
    <row r="4827" spans="1:9" ht="10.5" customHeight="1">
      <c r="A4827" s="5"/>
      <c r="B4827" s="3"/>
      <c r="C4827" s="3"/>
      <c r="D4827" s="3"/>
      <c r="E4827" s="3"/>
      <c r="F4827" s="3"/>
      <c r="G4827" s="3"/>
      <c r="H4827" s="3"/>
      <c r="I4827" s="3"/>
    </row>
    <row r="4828" spans="1:9" ht="10.5" customHeight="1">
      <c r="A4828" s="5"/>
      <c r="B4828" s="3"/>
      <c r="C4828" s="3"/>
      <c r="D4828" s="3"/>
      <c r="E4828" s="3"/>
      <c r="F4828" s="3"/>
      <c r="G4828" s="3"/>
      <c r="H4828" s="3"/>
      <c r="I4828" s="3"/>
    </row>
    <row r="4829" spans="1:9" ht="10.5" customHeight="1">
      <c r="A4829" s="5"/>
      <c r="B4829" s="3"/>
      <c r="C4829" s="3"/>
      <c r="D4829" s="3"/>
      <c r="E4829" s="3"/>
      <c r="F4829" s="3"/>
      <c r="G4829" s="3"/>
      <c r="H4829" s="3"/>
      <c r="I4829" s="3"/>
    </row>
    <row r="4830" spans="1:9" ht="10.5" customHeight="1">
      <c r="A4830" s="5"/>
      <c r="B4830" s="3"/>
      <c r="C4830" s="3"/>
      <c r="D4830" s="3"/>
      <c r="E4830" s="3"/>
      <c r="F4830" s="3"/>
      <c r="G4830" s="3"/>
      <c r="H4830" s="3"/>
      <c r="I4830" s="3"/>
    </row>
    <row r="4831" spans="1:9" ht="10.5" customHeight="1">
      <c r="A4831" s="5"/>
      <c r="B4831" s="3"/>
      <c r="C4831" s="3"/>
      <c r="D4831" s="3"/>
      <c r="E4831" s="3"/>
      <c r="F4831" s="3"/>
      <c r="G4831" s="3"/>
      <c r="H4831" s="3"/>
      <c r="I4831" s="3"/>
    </row>
    <row r="4832" spans="1:9" ht="10.5" customHeight="1">
      <c r="A4832" s="5"/>
      <c r="B4832" s="3"/>
      <c r="C4832" s="3"/>
      <c r="D4832" s="3"/>
      <c r="E4832" s="3"/>
      <c r="F4832" s="3"/>
      <c r="G4832" s="3"/>
      <c r="H4832" s="3"/>
      <c r="I4832" s="3"/>
    </row>
    <row r="4833" spans="1:9" ht="10.5" customHeight="1">
      <c r="A4833" s="5"/>
      <c r="B4833" s="3"/>
      <c r="C4833" s="3"/>
      <c r="D4833" s="3"/>
      <c r="E4833" s="3"/>
      <c r="F4833" s="3"/>
      <c r="G4833" s="3"/>
      <c r="H4833" s="3"/>
      <c r="I4833" s="3"/>
    </row>
    <row r="4834" spans="1:9" ht="10.5" customHeight="1">
      <c r="A4834" s="5"/>
      <c r="B4834" s="3"/>
      <c r="C4834" s="3"/>
      <c r="D4834" s="3"/>
      <c r="E4834" s="3"/>
      <c r="F4834" s="3"/>
      <c r="G4834" s="3"/>
      <c r="H4834" s="3"/>
      <c r="I4834" s="3"/>
    </row>
    <row r="4835" spans="1:9" ht="10.5" customHeight="1">
      <c r="A4835" s="5"/>
      <c r="B4835" s="3"/>
      <c r="C4835" s="3"/>
      <c r="D4835" s="3"/>
      <c r="E4835" s="3"/>
      <c r="F4835" s="3"/>
      <c r="G4835" s="3"/>
      <c r="H4835" s="3"/>
      <c r="I4835" s="3"/>
    </row>
    <row r="4836" spans="1:9" ht="10.5" customHeight="1">
      <c r="A4836" s="5"/>
      <c r="B4836" s="3"/>
      <c r="C4836" s="3"/>
      <c r="D4836" s="3"/>
      <c r="E4836" s="3"/>
      <c r="F4836" s="3"/>
      <c r="G4836" s="3"/>
      <c r="H4836" s="3"/>
      <c r="I4836" s="3"/>
    </row>
    <row r="4837" spans="1:9" ht="10.5" customHeight="1">
      <c r="A4837" s="5"/>
      <c r="B4837" s="3"/>
      <c r="C4837" s="3"/>
      <c r="D4837" s="3"/>
      <c r="E4837" s="3"/>
      <c r="F4837" s="3"/>
      <c r="G4837" s="3"/>
      <c r="H4837" s="3"/>
      <c r="I4837" s="3"/>
    </row>
    <row r="4838" spans="1:9" ht="10.5" customHeight="1">
      <c r="A4838" s="5"/>
      <c r="B4838" s="3"/>
      <c r="C4838" s="3"/>
      <c r="D4838" s="3"/>
      <c r="E4838" s="3"/>
      <c r="F4838" s="3"/>
      <c r="G4838" s="3"/>
      <c r="H4838" s="3"/>
      <c r="I4838" s="3"/>
    </row>
    <row r="4839" spans="1:9" ht="10.5" customHeight="1">
      <c r="A4839" s="5"/>
      <c r="B4839" s="3"/>
      <c r="C4839" s="3"/>
      <c r="D4839" s="3"/>
      <c r="E4839" s="3"/>
      <c r="F4839" s="3"/>
      <c r="G4839" s="3"/>
      <c r="H4839" s="3"/>
      <c r="I4839" s="3"/>
    </row>
    <row r="4840" spans="1:9" ht="10.5" customHeight="1">
      <c r="A4840" s="5"/>
      <c r="B4840" s="3"/>
      <c r="C4840" s="3"/>
      <c r="D4840" s="3"/>
      <c r="E4840" s="3"/>
      <c r="F4840" s="3"/>
      <c r="G4840" s="3"/>
      <c r="H4840" s="3"/>
      <c r="I4840" s="3"/>
    </row>
    <row r="4841" spans="1:9" ht="10.5" customHeight="1">
      <c r="A4841" s="5"/>
      <c r="B4841" s="3"/>
      <c r="C4841" s="3"/>
      <c r="D4841" s="3"/>
      <c r="E4841" s="3"/>
      <c r="F4841" s="3"/>
      <c r="G4841" s="3"/>
      <c r="H4841" s="3"/>
      <c r="I4841" s="3"/>
    </row>
    <row r="4842" spans="1:9" ht="10.5" customHeight="1">
      <c r="A4842" s="5"/>
      <c r="B4842" s="3"/>
      <c r="C4842" s="3"/>
      <c r="D4842" s="3"/>
      <c r="E4842" s="3"/>
      <c r="F4842" s="3"/>
      <c r="G4842" s="3"/>
      <c r="H4842" s="3"/>
      <c r="I4842" s="3"/>
    </row>
    <row r="4843" spans="1:9" ht="10.5" customHeight="1">
      <c r="A4843" s="5"/>
      <c r="B4843" s="3"/>
      <c r="C4843" s="3"/>
      <c r="D4843" s="3"/>
      <c r="E4843" s="3"/>
      <c r="F4843" s="3"/>
      <c r="G4843" s="3"/>
      <c r="H4843" s="3"/>
      <c r="I4843" s="3"/>
    </row>
    <row r="4844" spans="1:9" ht="10.5" customHeight="1">
      <c r="A4844" s="5"/>
      <c r="B4844" s="3"/>
      <c r="C4844" s="3"/>
      <c r="D4844" s="3"/>
      <c r="E4844" s="3"/>
      <c r="F4844" s="3"/>
      <c r="G4844" s="3"/>
      <c r="H4844" s="3"/>
      <c r="I4844" s="3"/>
    </row>
    <row r="4845" spans="1:9" ht="10.5" customHeight="1">
      <c r="A4845" s="5"/>
      <c r="B4845" s="3"/>
      <c r="C4845" s="3"/>
      <c r="D4845" s="3"/>
      <c r="E4845" s="3"/>
      <c r="F4845" s="3"/>
      <c r="G4845" s="3"/>
      <c r="H4845" s="3"/>
      <c r="I4845" s="3"/>
    </row>
    <row r="4846" spans="1:9" ht="10.5" customHeight="1">
      <c r="A4846" s="5"/>
      <c r="B4846" s="3"/>
      <c r="C4846" s="3"/>
      <c r="D4846" s="3"/>
      <c r="E4846" s="3"/>
      <c r="F4846" s="3"/>
      <c r="G4846" s="3"/>
      <c r="H4846" s="3"/>
      <c r="I4846" s="3"/>
    </row>
    <row r="4847" spans="1:9" ht="10.5" customHeight="1">
      <c r="A4847" s="5"/>
      <c r="B4847" s="3"/>
      <c r="C4847" s="3"/>
      <c r="D4847" s="3"/>
      <c r="E4847" s="3"/>
      <c r="F4847" s="3"/>
      <c r="G4847" s="3"/>
      <c r="H4847" s="3"/>
      <c r="I4847" s="3"/>
    </row>
    <row r="4848" spans="1:9" ht="10.5" customHeight="1">
      <c r="A4848" s="5"/>
      <c r="B4848" s="3"/>
      <c r="C4848" s="3"/>
      <c r="D4848" s="3"/>
      <c r="E4848" s="3"/>
      <c r="F4848" s="3"/>
      <c r="G4848" s="3"/>
      <c r="H4848" s="3"/>
      <c r="I4848" s="3"/>
    </row>
    <row r="4849" spans="1:9" ht="10.5" customHeight="1">
      <c r="A4849" s="5"/>
      <c r="B4849" s="3"/>
      <c r="C4849" s="3"/>
      <c r="D4849" s="3"/>
      <c r="E4849" s="3"/>
      <c r="F4849" s="3"/>
      <c r="G4849" s="3"/>
      <c r="H4849" s="3"/>
      <c r="I4849" s="3"/>
    </row>
    <row r="4850" spans="1:9" ht="10.5" customHeight="1">
      <c r="A4850" s="5"/>
      <c r="B4850" s="3"/>
      <c r="C4850" s="3"/>
      <c r="D4850" s="3"/>
      <c r="E4850" s="3"/>
      <c r="F4850" s="3"/>
      <c r="G4850" s="3"/>
      <c r="H4850" s="3"/>
      <c r="I4850" s="3"/>
    </row>
    <row r="4851" spans="1:9" ht="10.5" customHeight="1">
      <c r="A4851" s="5"/>
      <c r="B4851" s="3"/>
      <c r="C4851" s="3"/>
      <c r="D4851" s="3"/>
      <c r="E4851" s="3"/>
      <c r="F4851" s="3"/>
      <c r="G4851" s="3"/>
      <c r="H4851" s="3"/>
      <c r="I4851" s="3"/>
    </row>
    <row r="4852" spans="1:9" ht="10.5" customHeight="1">
      <c r="A4852" s="5"/>
      <c r="B4852" s="3"/>
      <c r="C4852" s="3"/>
      <c r="D4852" s="3"/>
      <c r="E4852" s="3"/>
      <c r="F4852" s="3"/>
      <c r="G4852" s="3"/>
      <c r="H4852" s="3"/>
      <c r="I4852" s="3"/>
    </row>
    <row r="4853" spans="1:9" ht="10.5" customHeight="1">
      <c r="A4853" s="5"/>
      <c r="B4853" s="3"/>
      <c r="C4853" s="3"/>
      <c r="D4853" s="3"/>
      <c r="E4853" s="3"/>
      <c r="F4853" s="3"/>
      <c r="G4853" s="3"/>
      <c r="H4853" s="3"/>
      <c r="I4853" s="3"/>
    </row>
    <row r="4854" spans="1:9" ht="10.5" customHeight="1">
      <c r="A4854" s="5"/>
      <c r="B4854" s="3"/>
      <c r="C4854" s="3"/>
      <c r="D4854" s="3"/>
      <c r="E4854" s="3"/>
      <c r="F4854" s="3"/>
      <c r="G4854" s="3"/>
      <c r="H4854" s="3"/>
      <c r="I4854" s="3"/>
    </row>
    <row r="4855" spans="1:9" ht="10.5" customHeight="1">
      <c r="A4855" s="5"/>
      <c r="B4855" s="3"/>
      <c r="C4855" s="3"/>
      <c r="D4855" s="3"/>
      <c r="E4855" s="3"/>
      <c r="F4855" s="3"/>
      <c r="G4855" s="3"/>
      <c r="H4855" s="3"/>
      <c r="I4855" s="3"/>
    </row>
    <row r="4856" spans="1:9" ht="10.5" customHeight="1">
      <c r="A4856" s="5"/>
      <c r="B4856" s="3"/>
      <c r="C4856" s="3"/>
      <c r="D4856" s="3"/>
      <c r="E4856" s="3"/>
      <c r="F4856" s="3"/>
      <c r="G4856" s="3"/>
      <c r="H4856" s="3"/>
      <c r="I4856" s="3"/>
    </row>
    <row r="4857" spans="1:9" ht="10.5" customHeight="1">
      <c r="A4857" s="5"/>
      <c r="B4857" s="3"/>
      <c r="C4857" s="3"/>
      <c r="D4857" s="3"/>
      <c r="E4857" s="3"/>
      <c r="F4857" s="3"/>
      <c r="G4857" s="3"/>
      <c r="H4857" s="3"/>
      <c r="I4857" s="3"/>
    </row>
    <row r="4858" spans="1:9" ht="10.5" customHeight="1">
      <c r="A4858" s="5"/>
      <c r="B4858" s="3"/>
      <c r="C4858" s="3"/>
      <c r="D4858" s="3"/>
      <c r="E4858" s="3"/>
      <c r="F4858" s="3"/>
      <c r="G4858" s="3"/>
      <c r="H4858" s="3"/>
      <c r="I4858" s="3"/>
    </row>
    <row r="4859" spans="1:9" ht="10.5" customHeight="1">
      <c r="A4859" s="5"/>
      <c r="B4859" s="3"/>
      <c r="C4859" s="3"/>
      <c r="D4859" s="3"/>
      <c r="E4859" s="3"/>
      <c r="F4859" s="3"/>
      <c r="G4859" s="3"/>
      <c r="H4859" s="3"/>
      <c r="I4859" s="3"/>
    </row>
    <row r="4860" spans="1:9" ht="10.5" customHeight="1">
      <c r="A4860" s="5"/>
      <c r="B4860" s="3"/>
      <c r="C4860" s="3"/>
      <c r="D4860" s="3"/>
      <c r="E4860" s="3"/>
      <c r="F4860" s="3"/>
      <c r="G4860" s="3"/>
      <c r="H4860" s="3"/>
      <c r="I4860" s="3"/>
    </row>
    <row r="4861" spans="1:9" ht="10.5" customHeight="1">
      <c r="A4861" s="5"/>
      <c r="B4861" s="3"/>
      <c r="C4861" s="3"/>
      <c r="D4861" s="3"/>
      <c r="E4861" s="3"/>
      <c r="F4861" s="3"/>
      <c r="G4861" s="3"/>
      <c r="H4861" s="3"/>
      <c r="I4861" s="3"/>
    </row>
    <row r="4862" spans="1:9" ht="10.5" customHeight="1">
      <c r="A4862" s="5"/>
      <c r="B4862" s="3"/>
      <c r="C4862" s="3"/>
      <c r="D4862" s="3"/>
      <c r="E4862" s="3"/>
      <c r="F4862" s="3"/>
      <c r="G4862" s="3"/>
      <c r="H4862" s="3"/>
      <c r="I4862" s="3"/>
    </row>
    <row r="4863" spans="1:9" ht="10.5" customHeight="1">
      <c r="A4863" s="5"/>
      <c r="B4863" s="3"/>
      <c r="C4863" s="3"/>
      <c r="D4863" s="3"/>
      <c r="E4863" s="3"/>
      <c r="F4863" s="3"/>
      <c r="G4863" s="3"/>
      <c r="H4863" s="3"/>
      <c r="I4863" s="3"/>
    </row>
    <row r="4864" spans="1:9" ht="10.5" customHeight="1">
      <c r="A4864" s="5"/>
      <c r="B4864" s="3"/>
      <c r="C4864" s="3"/>
      <c r="D4864" s="3"/>
      <c r="E4864" s="3"/>
      <c r="F4864" s="3"/>
      <c r="G4864" s="3"/>
      <c r="H4864" s="3"/>
      <c r="I4864" s="3"/>
    </row>
    <row r="4865" spans="1:9" ht="10.5" customHeight="1">
      <c r="A4865" s="5"/>
      <c r="B4865" s="3"/>
      <c r="C4865" s="3"/>
      <c r="D4865" s="3"/>
      <c r="E4865" s="3"/>
      <c r="F4865" s="3"/>
      <c r="G4865" s="3"/>
      <c r="H4865" s="3"/>
      <c r="I4865" s="3"/>
    </row>
    <row r="4866" spans="1:9" ht="10.5" customHeight="1">
      <c r="A4866" s="5"/>
      <c r="B4866" s="3"/>
      <c r="C4866" s="3"/>
      <c r="D4866" s="3"/>
      <c r="E4866" s="3"/>
      <c r="F4866" s="3"/>
      <c r="G4866" s="3"/>
      <c r="H4866" s="3"/>
      <c r="I4866" s="3"/>
    </row>
    <row r="4867" spans="1:9" ht="10.5" customHeight="1">
      <c r="A4867" s="5"/>
      <c r="B4867" s="3"/>
      <c r="C4867" s="3"/>
      <c r="D4867" s="3"/>
      <c r="E4867" s="3"/>
      <c r="F4867" s="3"/>
      <c r="G4867" s="3"/>
      <c r="H4867" s="3"/>
      <c r="I4867" s="3"/>
    </row>
    <row r="4868" spans="1:9" ht="10.5" customHeight="1">
      <c r="A4868" s="5"/>
      <c r="B4868" s="3"/>
      <c r="C4868" s="3"/>
      <c r="D4868" s="3"/>
      <c r="E4868" s="3"/>
      <c r="F4868" s="3"/>
      <c r="G4868" s="3"/>
      <c r="H4868" s="3"/>
      <c r="I4868" s="3"/>
    </row>
    <row r="4869" spans="1:9" ht="10.5" customHeight="1">
      <c r="A4869" s="5"/>
      <c r="B4869" s="3"/>
      <c r="C4869" s="3"/>
      <c r="D4869" s="3"/>
      <c r="E4869" s="3"/>
      <c r="F4869" s="3"/>
      <c r="G4869" s="3"/>
      <c r="H4869" s="3"/>
      <c r="I4869" s="3"/>
    </row>
    <row r="4870" spans="1:9" ht="10.5" customHeight="1">
      <c r="A4870" s="5"/>
      <c r="B4870" s="3"/>
      <c r="C4870" s="3"/>
      <c r="D4870" s="3"/>
      <c r="E4870" s="3"/>
      <c r="F4870" s="3"/>
      <c r="G4870" s="3"/>
      <c r="H4870" s="3"/>
      <c r="I4870" s="3"/>
    </row>
    <row r="4871" spans="1:9" ht="10.5" customHeight="1">
      <c r="A4871" s="5"/>
      <c r="B4871" s="3"/>
      <c r="C4871" s="3"/>
      <c r="D4871" s="3"/>
      <c r="E4871" s="3"/>
      <c r="F4871" s="3"/>
      <c r="G4871" s="3"/>
      <c r="H4871" s="3"/>
      <c r="I4871" s="3"/>
    </row>
    <row r="4872" spans="1:9" ht="10.5" customHeight="1">
      <c r="A4872" s="5"/>
      <c r="B4872" s="3"/>
      <c r="C4872" s="3"/>
      <c r="D4872" s="3"/>
      <c r="E4872" s="3"/>
      <c r="F4872" s="3"/>
      <c r="G4872" s="3"/>
      <c r="H4872" s="3"/>
      <c r="I4872" s="3"/>
    </row>
    <row r="4873" spans="1:9" ht="10.5" customHeight="1">
      <c r="A4873" s="5"/>
      <c r="B4873" s="3"/>
      <c r="C4873" s="3"/>
      <c r="D4873" s="3"/>
      <c r="E4873" s="3"/>
      <c r="F4873" s="3"/>
      <c r="G4873" s="3"/>
      <c r="H4873" s="3"/>
      <c r="I4873" s="3"/>
    </row>
    <row r="4874" spans="1:9" ht="10.5" customHeight="1">
      <c r="A4874" s="5"/>
      <c r="B4874" s="3"/>
      <c r="C4874" s="3"/>
      <c r="D4874" s="3"/>
      <c r="E4874" s="3"/>
      <c r="F4874" s="3"/>
      <c r="G4874" s="3"/>
      <c r="H4874" s="3"/>
      <c r="I4874" s="3"/>
    </row>
    <row r="4875" spans="1:9" ht="10.5" customHeight="1">
      <c r="A4875" s="5"/>
      <c r="B4875" s="3"/>
      <c r="C4875" s="3"/>
      <c r="D4875" s="3"/>
      <c r="E4875" s="3"/>
      <c r="F4875" s="3"/>
      <c r="G4875" s="3"/>
      <c r="H4875" s="3"/>
      <c r="I4875" s="3"/>
    </row>
    <row r="4876" spans="1:9" ht="10.5" customHeight="1">
      <c r="A4876" s="5"/>
      <c r="B4876" s="3"/>
      <c r="C4876" s="3"/>
      <c r="D4876" s="3"/>
      <c r="E4876" s="3"/>
      <c r="F4876" s="3"/>
      <c r="G4876" s="3"/>
      <c r="H4876" s="3"/>
      <c r="I4876" s="3"/>
    </row>
    <row r="4877" spans="1:9" ht="10.5" customHeight="1">
      <c r="A4877" s="5"/>
      <c r="B4877" s="3"/>
      <c r="C4877" s="3"/>
      <c r="D4877" s="3"/>
      <c r="E4877" s="3"/>
      <c r="F4877" s="3"/>
      <c r="G4877" s="3"/>
      <c r="H4877" s="3"/>
      <c r="I4877" s="3"/>
    </row>
    <row r="4878" spans="1:9" ht="10.5" customHeight="1">
      <c r="A4878" s="5"/>
      <c r="B4878" s="3"/>
      <c r="C4878" s="3"/>
      <c r="D4878" s="3"/>
      <c r="E4878" s="3"/>
      <c r="F4878" s="3"/>
      <c r="G4878" s="3"/>
      <c r="H4878" s="3"/>
      <c r="I4878" s="3"/>
    </row>
    <row r="4879" spans="1:9" ht="10.5" customHeight="1">
      <c r="A4879" s="5"/>
      <c r="B4879" s="3"/>
      <c r="C4879" s="3"/>
      <c r="D4879" s="3"/>
      <c r="E4879" s="3"/>
      <c r="F4879" s="3"/>
      <c r="G4879" s="3"/>
      <c r="H4879" s="3"/>
      <c r="I4879" s="3"/>
    </row>
    <row r="4880" spans="1:9" ht="10.5" customHeight="1">
      <c r="A4880" s="5"/>
      <c r="B4880" s="3"/>
      <c r="C4880" s="3"/>
      <c r="D4880" s="3"/>
      <c r="E4880" s="3"/>
      <c r="F4880" s="3"/>
      <c r="G4880" s="3"/>
      <c r="H4880" s="3"/>
      <c r="I4880" s="3"/>
    </row>
    <row r="4881" spans="1:9" ht="10.5" customHeight="1">
      <c r="A4881" s="5"/>
      <c r="B4881" s="3"/>
      <c r="C4881" s="3"/>
      <c r="D4881" s="3"/>
      <c r="E4881" s="3"/>
      <c r="F4881" s="3"/>
      <c r="G4881" s="3"/>
      <c r="H4881" s="3"/>
      <c r="I4881" s="3"/>
    </row>
    <row r="4882" spans="1:9" ht="10.5" customHeight="1">
      <c r="A4882" s="5"/>
      <c r="B4882" s="3"/>
      <c r="C4882" s="3"/>
      <c r="D4882" s="3"/>
      <c r="E4882" s="3"/>
      <c r="F4882" s="3"/>
      <c r="G4882" s="3"/>
      <c r="H4882" s="3"/>
      <c r="I4882" s="3"/>
    </row>
    <row r="4883" spans="1:9" ht="10.5" customHeight="1">
      <c r="A4883" s="5"/>
      <c r="B4883" s="3"/>
      <c r="C4883" s="3"/>
      <c r="D4883" s="3"/>
      <c r="E4883" s="3"/>
      <c r="F4883" s="3"/>
      <c r="G4883" s="3"/>
      <c r="H4883" s="3"/>
      <c r="I4883" s="3"/>
    </row>
    <row r="4884" spans="1:9" ht="10.5" customHeight="1">
      <c r="A4884" s="5"/>
      <c r="B4884" s="3"/>
      <c r="C4884" s="3"/>
      <c r="D4884" s="3"/>
      <c r="E4884" s="3"/>
      <c r="F4884" s="3"/>
      <c r="G4884" s="3"/>
      <c r="H4884" s="3"/>
      <c r="I4884" s="3"/>
    </row>
    <row r="4885" spans="1:9" ht="10.5" customHeight="1">
      <c r="A4885" s="5"/>
      <c r="B4885" s="3"/>
      <c r="C4885" s="3"/>
      <c r="D4885" s="3"/>
      <c r="E4885" s="3"/>
      <c r="F4885" s="3"/>
      <c r="G4885" s="3"/>
      <c r="H4885" s="3"/>
      <c r="I4885" s="3"/>
    </row>
    <row r="4886" spans="1:9" ht="10.5" customHeight="1">
      <c r="A4886" s="5"/>
      <c r="B4886" s="3"/>
      <c r="C4886" s="3"/>
      <c r="D4886" s="3"/>
      <c r="E4886" s="3"/>
      <c r="F4886" s="3"/>
      <c r="G4886" s="3"/>
      <c r="H4886" s="3"/>
      <c r="I4886" s="3"/>
    </row>
    <row r="4887" spans="1:9" ht="10.5" customHeight="1">
      <c r="A4887" s="5"/>
      <c r="B4887" s="3"/>
      <c r="C4887" s="3"/>
      <c r="D4887" s="3"/>
      <c r="E4887" s="3"/>
      <c r="F4887" s="3"/>
      <c r="G4887" s="3"/>
      <c r="H4887" s="3"/>
      <c r="I4887" s="3"/>
    </row>
    <row r="4888" spans="1:9" ht="10.5" customHeight="1">
      <c r="A4888" s="5"/>
      <c r="B4888" s="3"/>
      <c r="C4888" s="3"/>
      <c r="D4888" s="3"/>
      <c r="E4888" s="3"/>
      <c r="F4888" s="3"/>
      <c r="G4888" s="3"/>
      <c r="H4888" s="3"/>
      <c r="I4888" s="3"/>
    </row>
    <row r="4889" spans="1:9" ht="10.5" customHeight="1">
      <c r="A4889" s="5"/>
      <c r="B4889" s="3"/>
      <c r="C4889" s="3"/>
      <c r="D4889" s="3"/>
      <c r="E4889" s="3"/>
      <c r="F4889" s="3"/>
      <c r="G4889" s="3"/>
      <c r="H4889" s="3"/>
      <c r="I4889" s="3"/>
    </row>
    <row r="4890" spans="1:9" ht="10.5" customHeight="1">
      <c r="A4890" s="5"/>
      <c r="B4890" s="3"/>
      <c r="C4890" s="3"/>
      <c r="D4890" s="3"/>
      <c r="E4890" s="3"/>
      <c r="F4890" s="3"/>
      <c r="G4890" s="3"/>
      <c r="H4890" s="3"/>
      <c r="I4890" s="3"/>
    </row>
    <row r="4891" spans="1:9" ht="10.5" customHeight="1">
      <c r="A4891" s="5"/>
      <c r="B4891" s="3"/>
      <c r="C4891" s="3"/>
      <c r="D4891" s="3"/>
      <c r="E4891" s="3"/>
      <c r="F4891" s="3"/>
      <c r="G4891" s="3"/>
      <c r="H4891" s="3"/>
      <c r="I4891" s="3"/>
    </row>
    <row r="4892" spans="1:9" ht="10.5" customHeight="1">
      <c r="A4892" s="5"/>
      <c r="B4892" s="3"/>
      <c r="C4892" s="3"/>
      <c r="D4892" s="3"/>
      <c r="E4892" s="3"/>
      <c r="F4892" s="3"/>
      <c r="G4892" s="3"/>
      <c r="H4892" s="3"/>
      <c r="I4892" s="3"/>
    </row>
    <row r="4893" spans="1:9" ht="10.5" customHeight="1">
      <c r="A4893" s="5"/>
      <c r="B4893" s="3"/>
      <c r="C4893" s="3"/>
      <c r="D4893" s="3"/>
      <c r="E4893" s="3"/>
      <c r="F4893" s="3"/>
      <c r="G4893" s="3"/>
      <c r="H4893" s="3"/>
      <c r="I4893" s="3"/>
    </row>
    <row r="4894" spans="1:9" ht="10.5" customHeight="1">
      <c r="A4894" s="5"/>
      <c r="B4894" s="3"/>
      <c r="C4894" s="3"/>
      <c r="D4894" s="3"/>
      <c r="E4894" s="3"/>
      <c r="F4894" s="3"/>
      <c r="G4894" s="3"/>
      <c r="H4894" s="3"/>
      <c r="I4894" s="3"/>
    </row>
    <row r="4895" spans="1:9" ht="10.5" customHeight="1">
      <c r="A4895" s="5"/>
      <c r="B4895" s="3"/>
      <c r="C4895" s="3"/>
      <c r="D4895" s="3"/>
      <c r="E4895" s="3"/>
      <c r="F4895" s="3"/>
      <c r="G4895" s="3"/>
      <c r="H4895" s="3"/>
      <c r="I4895" s="3"/>
    </row>
    <row r="4896" spans="1:9" ht="10.5" customHeight="1">
      <c r="A4896" s="5"/>
      <c r="B4896" s="3"/>
      <c r="C4896" s="3"/>
      <c r="D4896" s="3"/>
      <c r="E4896" s="3"/>
      <c r="F4896" s="3"/>
      <c r="G4896" s="3"/>
      <c r="H4896" s="3"/>
      <c r="I4896" s="3"/>
    </row>
    <row r="4897" spans="1:9" ht="10.5" customHeight="1">
      <c r="A4897" s="5"/>
      <c r="B4897" s="3"/>
      <c r="C4897" s="3"/>
      <c r="D4897" s="3"/>
      <c r="E4897" s="3"/>
      <c r="F4897" s="3"/>
      <c r="G4897" s="3"/>
      <c r="H4897" s="3"/>
      <c r="I4897" s="3"/>
    </row>
    <row r="4898" spans="1:9" ht="10.5" customHeight="1">
      <c r="A4898" s="5"/>
      <c r="B4898" s="3"/>
      <c r="C4898" s="3"/>
      <c r="D4898" s="3"/>
      <c r="E4898" s="3"/>
      <c r="F4898" s="3"/>
      <c r="G4898" s="3"/>
      <c r="H4898" s="3"/>
      <c r="I4898" s="3"/>
    </row>
    <row r="4899" spans="1:9" ht="10.5" customHeight="1">
      <c r="A4899" s="5"/>
      <c r="B4899" s="3"/>
      <c r="C4899" s="3"/>
      <c r="D4899" s="3"/>
      <c r="E4899" s="3"/>
      <c r="F4899" s="3"/>
      <c r="G4899" s="3"/>
      <c r="H4899" s="3"/>
      <c r="I4899" s="3"/>
    </row>
    <row r="4900" spans="1:9" ht="10.5" customHeight="1">
      <c r="A4900" s="5"/>
      <c r="B4900" s="3"/>
      <c r="C4900" s="3"/>
      <c r="D4900" s="3"/>
      <c r="E4900" s="3"/>
      <c r="F4900" s="3"/>
      <c r="G4900" s="3"/>
      <c r="H4900" s="3"/>
      <c r="I4900" s="3"/>
    </row>
    <row r="4901" spans="1:9" ht="10.5" customHeight="1">
      <c r="A4901" s="5"/>
      <c r="B4901" s="3"/>
      <c r="C4901" s="3"/>
      <c r="D4901" s="3"/>
      <c r="E4901" s="3"/>
      <c r="F4901" s="3"/>
      <c r="G4901" s="3"/>
      <c r="H4901" s="3"/>
      <c r="I4901" s="3"/>
    </row>
    <row r="4902" spans="1:9" ht="10.5" customHeight="1">
      <c r="A4902" s="5"/>
      <c r="B4902" s="3"/>
      <c r="C4902" s="3"/>
      <c r="D4902" s="3"/>
      <c r="E4902" s="3"/>
      <c r="F4902" s="3"/>
      <c r="G4902" s="3"/>
      <c r="H4902" s="3"/>
      <c r="I4902" s="3"/>
    </row>
    <row r="4903" spans="1:9" ht="10.5" customHeight="1">
      <c r="A4903" s="5"/>
      <c r="B4903" s="3"/>
      <c r="C4903" s="3"/>
      <c r="D4903" s="3"/>
      <c r="E4903" s="3"/>
      <c r="F4903" s="3"/>
      <c r="G4903" s="3"/>
      <c r="H4903" s="3"/>
      <c r="I4903" s="3"/>
    </row>
    <row r="4904" spans="1:9" ht="10.5" customHeight="1">
      <c r="A4904" s="5"/>
      <c r="B4904" s="3"/>
      <c r="C4904" s="3"/>
      <c r="D4904" s="3"/>
      <c r="E4904" s="3"/>
      <c r="F4904" s="3"/>
      <c r="G4904" s="3"/>
      <c r="H4904" s="3"/>
      <c r="I4904" s="3"/>
    </row>
    <row r="4905" spans="1:9" ht="10.5" customHeight="1">
      <c r="A4905" s="5"/>
      <c r="B4905" s="3"/>
      <c r="C4905" s="3"/>
      <c r="D4905" s="3"/>
      <c r="E4905" s="3"/>
      <c r="F4905" s="3"/>
      <c r="G4905" s="3"/>
      <c r="H4905" s="3"/>
      <c r="I4905" s="3"/>
    </row>
    <row r="4906" spans="1:9" ht="10.5" customHeight="1">
      <c r="A4906" s="5"/>
      <c r="B4906" s="3"/>
      <c r="C4906" s="3"/>
      <c r="D4906" s="3"/>
      <c r="E4906" s="3"/>
      <c r="F4906" s="3"/>
      <c r="G4906" s="3"/>
      <c r="H4906" s="3"/>
      <c r="I4906" s="3"/>
    </row>
    <row r="4907" spans="1:9" ht="10.5" customHeight="1">
      <c r="A4907" s="5"/>
      <c r="B4907" s="3"/>
      <c r="C4907" s="3"/>
      <c r="D4907" s="3"/>
      <c r="E4907" s="3"/>
      <c r="F4907" s="3"/>
      <c r="G4907" s="3"/>
      <c r="H4907" s="3"/>
      <c r="I4907" s="3"/>
    </row>
    <row r="4908" spans="1:9" ht="10.5" customHeight="1">
      <c r="A4908" s="5"/>
      <c r="B4908" s="3"/>
      <c r="C4908" s="3"/>
      <c r="D4908" s="3"/>
      <c r="E4908" s="3"/>
      <c r="F4908" s="3"/>
      <c r="G4908" s="3"/>
      <c r="H4908" s="3"/>
      <c r="I4908" s="3"/>
    </row>
    <row r="4909" spans="1:9" ht="10.5" customHeight="1">
      <c r="A4909" s="5"/>
      <c r="B4909" s="3"/>
      <c r="C4909" s="3"/>
      <c r="D4909" s="3"/>
      <c r="E4909" s="3"/>
      <c r="F4909" s="3"/>
      <c r="G4909" s="3"/>
      <c r="H4909" s="3"/>
      <c r="I4909" s="3"/>
    </row>
    <row r="4910" spans="1:9" ht="10.5" customHeight="1">
      <c r="A4910" s="5"/>
      <c r="B4910" s="3"/>
      <c r="C4910" s="3"/>
      <c r="D4910" s="3"/>
      <c r="E4910" s="3"/>
      <c r="F4910" s="3"/>
      <c r="G4910" s="3"/>
      <c r="H4910" s="3"/>
      <c r="I4910" s="3"/>
    </row>
    <row r="4911" spans="1:9" ht="10.5" customHeight="1">
      <c r="A4911" s="5"/>
      <c r="B4911" s="3"/>
      <c r="C4911" s="3"/>
      <c r="D4911" s="3"/>
      <c r="E4911" s="3"/>
      <c r="F4911" s="3"/>
      <c r="G4911" s="3"/>
      <c r="H4911" s="3"/>
      <c r="I4911" s="3"/>
    </row>
    <row r="4912" spans="1:9" ht="10.5" customHeight="1">
      <c r="A4912" s="5"/>
      <c r="B4912" s="3"/>
      <c r="C4912" s="3"/>
      <c r="D4912" s="3"/>
      <c r="E4912" s="3"/>
      <c r="F4912" s="3"/>
      <c r="G4912" s="3"/>
      <c r="H4912" s="3"/>
      <c r="I4912" s="3"/>
    </row>
    <row r="4913" spans="1:9" ht="10.5" customHeight="1">
      <c r="A4913" s="5"/>
      <c r="B4913" s="3"/>
      <c r="C4913" s="3"/>
      <c r="D4913" s="3"/>
      <c r="E4913" s="3"/>
      <c r="F4913" s="3"/>
      <c r="G4913" s="3"/>
      <c r="H4913" s="3"/>
      <c r="I4913" s="3"/>
    </row>
    <row r="4914" spans="1:9" ht="10.5" customHeight="1">
      <c r="A4914" s="5"/>
      <c r="B4914" s="3"/>
      <c r="C4914" s="3"/>
      <c r="D4914" s="3"/>
      <c r="E4914" s="3"/>
      <c r="F4914" s="3"/>
      <c r="G4914" s="3"/>
      <c r="H4914" s="3"/>
      <c r="I4914" s="3"/>
    </row>
    <row r="4915" spans="1:9" ht="10.5" customHeight="1">
      <c r="A4915" s="5"/>
      <c r="B4915" s="3"/>
      <c r="C4915" s="3"/>
      <c r="D4915" s="3"/>
      <c r="E4915" s="3"/>
      <c r="F4915" s="3"/>
      <c r="G4915" s="3"/>
      <c r="H4915" s="3"/>
      <c r="I4915" s="3"/>
    </row>
    <row r="4916" spans="1:9" ht="10.5" customHeight="1">
      <c r="A4916" s="5"/>
      <c r="B4916" s="3"/>
      <c r="C4916" s="3"/>
      <c r="D4916" s="3"/>
      <c r="E4916" s="3"/>
      <c r="F4916" s="3"/>
      <c r="G4916" s="3"/>
      <c r="H4916" s="3"/>
      <c r="I4916" s="3"/>
    </row>
    <row r="4917" spans="1:9" ht="10.5" customHeight="1">
      <c r="A4917" s="5"/>
      <c r="B4917" s="3"/>
      <c r="C4917" s="3"/>
      <c r="D4917" s="3"/>
      <c r="E4917" s="3"/>
      <c r="F4917" s="3"/>
      <c r="G4917" s="3"/>
      <c r="H4917" s="3"/>
      <c r="I4917" s="3"/>
    </row>
    <row r="4918" spans="1:9" ht="10.5" customHeight="1">
      <c r="A4918" s="5"/>
      <c r="B4918" s="3"/>
      <c r="C4918" s="3"/>
      <c r="D4918" s="3"/>
      <c r="E4918" s="3"/>
      <c r="F4918" s="3"/>
      <c r="G4918" s="3"/>
      <c r="H4918" s="3"/>
      <c r="I4918" s="3"/>
    </row>
    <row r="4919" spans="1:9" ht="10.5" customHeight="1">
      <c r="A4919" s="5"/>
      <c r="B4919" s="3"/>
      <c r="C4919" s="3"/>
      <c r="D4919" s="3"/>
      <c r="E4919" s="3"/>
      <c r="F4919" s="3"/>
      <c r="G4919" s="3"/>
      <c r="H4919" s="3"/>
      <c r="I4919" s="3"/>
    </row>
    <row r="4920" spans="1:9" ht="10.5" customHeight="1">
      <c r="A4920" s="5"/>
      <c r="B4920" s="3"/>
      <c r="C4920" s="3"/>
      <c r="D4920" s="3"/>
      <c r="E4920" s="3"/>
      <c r="F4920" s="3"/>
      <c r="G4920" s="3"/>
      <c r="H4920" s="3"/>
      <c r="I4920" s="3"/>
    </row>
    <row r="4921" spans="1:9" ht="10.5" customHeight="1">
      <c r="A4921" s="5"/>
      <c r="B4921" s="3"/>
      <c r="C4921" s="3"/>
      <c r="D4921" s="3"/>
      <c r="E4921" s="3"/>
      <c r="F4921" s="3"/>
      <c r="G4921" s="3"/>
      <c r="H4921" s="3"/>
      <c r="I4921" s="3"/>
    </row>
    <row r="4922" spans="1:9" ht="10.5" customHeight="1">
      <c r="A4922" s="5"/>
      <c r="B4922" s="3"/>
      <c r="C4922" s="3"/>
      <c r="D4922" s="3"/>
      <c r="E4922" s="3"/>
      <c r="F4922" s="3"/>
      <c r="G4922" s="3"/>
      <c r="H4922" s="3"/>
      <c r="I4922" s="3"/>
    </row>
    <row r="4923" spans="1:9" ht="10.5" customHeight="1">
      <c r="A4923" s="5"/>
      <c r="B4923" s="3"/>
      <c r="C4923" s="3"/>
      <c r="D4923" s="3"/>
      <c r="E4923" s="3"/>
      <c r="F4923" s="3"/>
      <c r="G4923" s="3"/>
      <c r="H4923" s="3"/>
      <c r="I4923" s="3"/>
    </row>
    <row r="4924" spans="1:9" ht="10.5" customHeight="1">
      <c r="A4924" s="5"/>
      <c r="B4924" s="3"/>
      <c r="C4924" s="3"/>
      <c r="D4924" s="3"/>
      <c r="E4924" s="3"/>
      <c r="F4924" s="3"/>
      <c r="G4924" s="3"/>
      <c r="H4924" s="3"/>
      <c r="I4924" s="3"/>
    </row>
    <row r="4925" spans="1:9" ht="10.5" customHeight="1">
      <c r="A4925" s="5"/>
      <c r="B4925" s="3"/>
      <c r="C4925" s="3"/>
      <c r="D4925" s="3"/>
      <c r="E4925" s="3"/>
      <c r="F4925" s="3"/>
      <c r="G4925" s="3"/>
      <c r="H4925" s="3"/>
      <c r="I4925" s="3"/>
    </row>
    <row r="4926" spans="1:9" ht="10.5" customHeight="1">
      <c r="A4926" s="5"/>
      <c r="B4926" s="3"/>
      <c r="C4926" s="3"/>
      <c r="D4926" s="3"/>
      <c r="E4926" s="3"/>
      <c r="F4926" s="3"/>
      <c r="G4926" s="3"/>
      <c r="H4926" s="3"/>
      <c r="I4926" s="3"/>
    </row>
    <row r="4927" spans="1:9" ht="10.5" customHeight="1">
      <c r="A4927" s="5"/>
      <c r="B4927" s="3"/>
      <c r="C4927" s="3"/>
      <c r="D4927" s="3"/>
      <c r="E4927" s="3"/>
      <c r="F4927" s="3"/>
      <c r="G4927" s="3"/>
      <c r="H4927" s="3"/>
      <c r="I4927" s="3"/>
    </row>
    <row r="4928" spans="1:9" ht="10.5" customHeight="1">
      <c r="A4928" s="5"/>
      <c r="B4928" s="3"/>
      <c r="C4928" s="3"/>
      <c r="D4928" s="3"/>
      <c r="E4928" s="3"/>
      <c r="F4928" s="3"/>
      <c r="G4928" s="3"/>
      <c r="H4928" s="3"/>
      <c r="I4928" s="3"/>
    </row>
    <row r="4929" spans="1:9" ht="10.5" customHeight="1">
      <c r="A4929" s="5"/>
      <c r="B4929" s="3"/>
      <c r="C4929" s="3"/>
      <c r="D4929" s="3"/>
      <c r="E4929" s="3"/>
      <c r="F4929" s="3"/>
      <c r="G4929" s="3"/>
      <c r="H4929" s="3"/>
      <c r="I4929" s="3"/>
    </row>
    <row r="4930" spans="1:9" ht="10.5" customHeight="1">
      <c r="A4930" s="5"/>
      <c r="B4930" s="3"/>
      <c r="C4930" s="3"/>
      <c r="D4930" s="3"/>
      <c r="E4930" s="3"/>
      <c r="F4930" s="3"/>
      <c r="G4930" s="3"/>
      <c r="H4930" s="3"/>
      <c r="I4930" s="3"/>
    </row>
    <row r="4931" spans="1:9" ht="10.5" customHeight="1">
      <c r="A4931" s="5"/>
      <c r="B4931" s="3"/>
      <c r="C4931" s="3"/>
      <c r="D4931" s="3"/>
      <c r="E4931" s="3"/>
      <c r="F4931" s="3"/>
      <c r="G4931" s="3"/>
      <c r="H4931" s="3"/>
      <c r="I4931" s="3"/>
    </row>
    <row r="4932" spans="1:9" ht="10.5" customHeight="1">
      <c r="A4932" s="5"/>
      <c r="B4932" s="3"/>
      <c r="C4932" s="3"/>
      <c r="D4932" s="3"/>
      <c r="E4932" s="3"/>
      <c r="F4932" s="3"/>
      <c r="G4932" s="3"/>
      <c r="H4932" s="3"/>
      <c r="I4932" s="3"/>
    </row>
    <row r="4933" spans="1:9" ht="10.5" customHeight="1">
      <c r="A4933" s="5"/>
      <c r="B4933" s="3"/>
      <c r="C4933" s="3"/>
      <c r="D4933" s="3"/>
      <c r="E4933" s="3"/>
      <c r="F4933" s="3"/>
      <c r="G4933" s="3"/>
      <c r="H4933" s="3"/>
      <c r="I4933" s="3"/>
    </row>
    <row r="4934" spans="1:9" ht="10.5" customHeight="1">
      <c r="A4934" s="5"/>
      <c r="B4934" s="3"/>
      <c r="C4934" s="3"/>
      <c r="D4934" s="3"/>
      <c r="E4934" s="3"/>
      <c r="F4934" s="3"/>
      <c r="G4934" s="3"/>
      <c r="H4934" s="3"/>
      <c r="I4934" s="3"/>
    </row>
    <row r="4935" spans="1:9" ht="10.5" customHeight="1">
      <c r="A4935" s="5"/>
      <c r="B4935" s="3"/>
      <c r="C4935" s="3"/>
      <c r="D4935" s="3"/>
      <c r="E4935" s="3"/>
      <c r="F4935" s="3"/>
      <c r="G4935" s="3"/>
      <c r="H4935" s="3"/>
      <c r="I4935" s="3"/>
    </row>
    <row r="4936" spans="1:9" ht="10.5" customHeight="1">
      <c r="A4936" s="5"/>
      <c r="B4936" s="3"/>
      <c r="C4936" s="3"/>
      <c r="D4936" s="3"/>
      <c r="E4936" s="3"/>
      <c r="F4936" s="3"/>
      <c r="G4936" s="3"/>
      <c r="H4936" s="3"/>
      <c r="I4936" s="3"/>
    </row>
    <row r="4937" spans="1:9" ht="10.5" customHeight="1">
      <c r="A4937" s="5"/>
      <c r="B4937" s="3"/>
      <c r="C4937" s="3"/>
      <c r="D4937" s="3"/>
      <c r="E4937" s="3"/>
      <c r="F4937" s="3"/>
      <c r="G4937" s="3"/>
      <c r="H4937" s="3"/>
      <c r="I4937" s="3"/>
    </row>
    <row r="4938" spans="1:9" ht="10.5" customHeight="1">
      <c r="A4938" s="5"/>
      <c r="B4938" s="3"/>
      <c r="C4938" s="3"/>
      <c r="D4938" s="3"/>
      <c r="E4938" s="3"/>
      <c r="F4938" s="3"/>
      <c r="G4938" s="3"/>
      <c r="H4938" s="3"/>
      <c r="I4938" s="3"/>
    </row>
    <row r="4939" spans="1:9" ht="10.5" customHeight="1">
      <c r="A4939" s="5"/>
      <c r="B4939" s="3"/>
      <c r="C4939" s="3"/>
      <c r="D4939" s="3"/>
      <c r="E4939" s="3"/>
      <c r="F4939" s="3"/>
      <c r="G4939" s="3"/>
      <c r="H4939" s="3"/>
      <c r="I4939" s="3"/>
    </row>
    <row r="4940" spans="1:9" ht="10.5" customHeight="1">
      <c r="A4940" s="5"/>
      <c r="B4940" s="3"/>
      <c r="C4940" s="3"/>
      <c r="D4940" s="3"/>
      <c r="E4940" s="3"/>
      <c r="F4940" s="3"/>
      <c r="G4940" s="3"/>
      <c r="H4940" s="3"/>
      <c r="I4940" s="3"/>
    </row>
    <row r="4941" spans="1:9" ht="10.5" customHeight="1">
      <c r="A4941" s="5"/>
      <c r="B4941" s="3"/>
      <c r="C4941" s="3"/>
      <c r="D4941" s="3"/>
      <c r="E4941" s="3"/>
      <c r="F4941" s="3"/>
      <c r="G4941" s="3"/>
      <c r="H4941" s="3"/>
      <c r="I4941" s="3"/>
    </row>
    <row r="4942" spans="1:9" ht="10.5" customHeight="1">
      <c r="A4942" s="5"/>
      <c r="B4942" s="3"/>
      <c r="C4942" s="3"/>
      <c r="D4942" s="3"/>
      <c r="E4942" s="3"/>
      <c r="F4942" s="3"/>
      <c r="G4942" s="3"/>
      <c r="H4942" s="3"/>
      <c r="I4942" s="3"/>
    </row>
    <row r="4943" spans="1:9" ht="10.5" customHeight="1">
      <c r="A4943" s="5"/>
      <c r="B4943" s="3"/>
      <c r="C4943" s="3"/>
      <c r="D4943" s="3"/>
      <c r="E4943" s="3"/>
      <c r="F4943" s="3"/>
      <c r="G4943" s="3"/>
      <c r="H4943" s="3"/>
      <c r="I4943" s="3"/>
    </row>
    <row r="4944" spans="1:9" ht="10.5" customHeight="1">
      <c r="A4944" s="5"/>
      <c r="B4944" s="3"/>
      <c r="C4944" s="3"/>
      <c r="D4944" s="3"/>
      <c r="E4944" s="3"/>
      <c r="F4944" s="3"/>
      <c r="G4944" s="3"/>
      <c r="H4944" s="3"/>
      <c r="I4944" s="3"/>
    </row>
    <row r="4945" spans="1:9" ht="10.5" customHeight="1">
      <c r="A4945" s="5"/>
      <c r="B4945" s="3"/>
      <c r="C4945" s="3"/>
      <c r="D4945" s="3"/>
      <c r="E4945" s="3"/>
      <c r="F4945" s="3"/>
      <c r="G4945" s="3"/>
      <c r="H4945" s="3"/>
      <c r="I4945" s="3"/>
    </row>
    <row r="4946" spans="1:9" ht="10.5" customHeight="1">
      <c r="A4946" s="5"/>
      <c r="B4946" s="3"/>
      <c r="C4946" s="3"/>
      <c r="D4946" s="3"/>
      <c r="E4946" s="3"/>
      <c r="F4946" s="3"/>
      <c r="G4946" s="3"/>
      <c r="H4946" s="3"/>
      <c r="I4946" s="3"/>
    </row>
    <row r="4947" spans="1:9" ht="10.5" customHeight="1">
      <c r="A4947" s="5"/>
      <c r="B4947" s="3"/>
      <c r="C4947" s="3"/>
      <c r="D4947" s="3"/>
      <c r="E4947" s="3"/>
      <c r="F4947" s="3"/>
      <c r="G4947" s="3"/>
      <c r="H4947" s="3"/>
      <c r="I4947" s="3"/>
    </row>
    <row r="4948" spans="1:9" ht="10.5" customHeight="1">
      <c r="A4948" s="5"/>
      <c r="B4948" s="3"/>
      <c r="C4948" s="3"/>
      <c r="D4948" s="3"/>
      <c r="E4948" s="3"/>
      <c r="F4948" s="3"/>
      <c r="G4948" s="3"/>
      <c r="H4948" s="3"/>
      <c r="I4948" s="3"/>
    </row>
    <row r="4949" spans="1:9" ht="10.5" customHeight="1">
      <c r="A4949" s="5"/>
      <c r="B4949" s="3"/>
      <c r="C4949" s="3"/>
      <c r="D4949" s="3"/>
      <c r="E4949" s="3"/>
      <c r="F4949" s="3"/>
      <c r="G4949" s="3"/>
      <c r="H4949" s="3"/>
      <c r="I4949" s="3"/>
    </row>
    <row r="4950" spans="1:9" ht="10.5" customHeight="1">
      <c r="A4950" s="5"/>
      <c r="B4950" s="3"/>
      <c r="C4950" s="3"/>
      <c r="D4950" s="3"/>
      <c r="E4950" s="3"/>
      <c r="F4950" s="3"/>
      <c r="G4950" s="3"/>
      <c r="H4950" s="3"/>
      <c r="I4950" s="3"/>
    </row>
    <row r="4951" spans="1:9" ht="10.5" customHeight="1">
      <c r="A4951" s="5"/>
      <c r="B4951" s="3"/>
      <c r="C4951" s="3"/>
      <c r="D4951" s="3"/>
      <c r="E4951" s="3"/>
      <c r="F4951" s="3"/>
      <c r="G4951" s="3"/>
      <c r="H4951" s="3"/>
      <c r="I4951" s="3"/>
    </row>
    <row r="4952" spans="1:9" ht="10.5" customHeight="1">
      <c r="A4952" s="5"/>
      <c r="B4952" s="3"/>
      <c r="C4952" s="3"/>
      <c r="D4952" s="3"/>
      <c r="E4952" s="3"/>
      <c r="F4952" s="3"/>
      <c r="G4952" s="3"/>
      <c r="H4952" s="3"/>
      <c r="I4952" s="3"/>
    </row>
    <row r="4953" spans="1:9" ht="10.5" customHeight="1">
      <c r="A4953" s="5"/>
      <c r="B4953" s="3"/>
      <c r="C4953" s="3"/>
      <c r="D4953" s="3"/>
      <c r="E4953" s="3"/>
      <c r="F4953" s="3"/>
      <c r="G4953" s="3"/>
      <c r="H4953" s="3"/>
      <c r="I4953" s="3"/>
    </row>
    <row r="4954" spans="1:9" ht="10.5" customHeight="1">
      <c r="A4954" s="5"/>
      <c r="B4954" s="3"/>
      <c r="C4954" s="3"/>
      <c r="D4954" s="3"/>
      <c r="E4954" s="3"/>
      <c r="F4954" s="3"/>
      <c r="G4954" s="3"/>
      <c r="H4954" s="3"/>
      <c r="I4954" s="3"/>
    </row>
    <row r="4955" spans="1:9" ht="10.5" customHeight="1">
      <c r="A4955" s="5"/>
      <c r="B4955" s="3"/>
      <c r="C4955" s="3"/>
      <c r="D4955" s="3"/>
      <c r="E4955" s="3"/>
      <c r="F4955" s="3"/>
      <c r="G4955" s="3"/>
      <c r="H4955" s="3"/>
      <c r="I4955" s="3"/>
    </row>
    <row r="4956" spans="1:9" ht="10.5" customHeight="1">
      <c r="A4956" s="5"/>
      <c r="B4956" s="3"/>
      <c r="C4956" s="3"/>
      <c r="D4956" s="3"/>
      <c r="E4956" s="3"/>
      <c r="F4956" s="3"/>
      <c r="G4956" s="3"/>
      <c r="H4956" s="3"/>
      <c r="I4956" s="3"/>
    </row>
    <row r="4957" spans="1:9" ht="10.5" customHeight="1">
      <c r="A4957" s="5"/>
      <c r="B4957" s="3"/>
      <c r="C4957" s="3"/>
      <c r="D4957" s="3"/>
      <c r="E4957" s="3"/>
      <c r="F4957" s="3"/>
      <c r="G4957" s="3"/>
      <c r="H4957" s="3"/>
      <c r="I4957" s="3"/>
    </row>
    <row r="4958" spans="1:9" ht="10.5" customHeight="1">
      <c r="A4958" s="5"/>
      <c r="B4958" s="3"/>
      <c r="C4958" s="3"/>
      <c r="D4958" s="3"/>
      <c r="E4958" s="3"/>
      <c r="F4958" s="3"/>
      <c r="G4958" s="3"/>
      <c r="H4958" s="3"/>
      <c r="I4958" s="3"/>
    </row>
    <row r="4959" spans="1:9" ht="10.5" customHeight="1">
      <c r="A4959" s="5"/>
      <c r="B4959" s="3"/>
      <c r="C4959" s="3"/>
      <c r="D4959" s="3"/>
      <c r="E4959" s="3"/>
      <c r="F4959" s="3"/>
      <c r="G4959" s="3"/>
      <c r="H4959" s="3"/>
      <c r="I4959" s="3"/>
    </row>
    <row r="4960" spans="1:9" ht="10.5" customHeight="1">
      <c r="A4960" s="5"/>
      <c r="B4960" s="3"/>
      <c r="C4960" s="3"/>
      <c r="D4960" s="3"/>
      <c r="E4960" s="3"/>
      <c r="F4960" s="3"/>
      <c r="G4960" s="3"/>
      <c r="H4960" s="3"/>
      <c r="I4960" s="3"/>
    </row>
    <row r="4961" spans="1:9" ht="10.5" customHeight="1">
      <c r="A4961" s="5"/>
      <c r="B4961" s="3"/>
      <c r="C4961" s="3"/>
      <c r="D4961" s="3"/>
      <c r="E4961" s="3"/>
      <c r="F4961" s="3"/>
      <c r="G4961" s="3"/>
      <c r="H4961" s="3"/>
      <c r="I4961" s="3"/>
    </row>
    <row r="4962" spans="1:9" ht="10.5" customHeight="1">
      <c r="A4962" s="5"/>
      <c r="B4962" s="3"/>
      <c r="C4962" s="3"/>
      <c r="D4962" s="3"/>
      <c r="E4962" s="3"/>
      <c r="F4962" s="3"/>
      <c r="G4962" s="3"/>
      <c r="H4962" s="3"/>
      <c r="I4962" s="3"/>
    </row>
    <row r="4963" spans="1:9" ht="10.5" customHeight="1">
      <c r="A4963" s="5"/>
      <c r="B4963" s="3"/>
      <c r="C4963" s="3"/>
      <c r="D4963" s="3"/>
      <c r="E4963" s="3"/>
      <c r="F4963" s="3"/>
      <c r="G4963" s="3"/>
      <c r="H4963" s="3"/>
      <c r="I4963" s="3"/>
    </row>
    <row r="4964" spans="1:9" ht="10.5" customHeight="1">
      <c r="A4964" s="5"/>
      <c r="B4964" s="3"/>
      <c r="C4964" s="3"/>
      <c r="D4964" s="3"/>
      <c r="E4964" s="3"/>
      <c r="F4964" s="3"/>
      <c r="G4964" s="3"/>
      <c r="H4964" s="3"/>
      <c r="I4964" s="3"/>
    </row>
    <row r="4965" spans="1:9" ht="10.5" customHeight="1">
      <c r="A4965" s="5"/>
      <c r="B4965" s="3"/>
      <c r="C4965" s="3"/>
      <c r="D4965" s="3"/>
      <c r="E4965" s="3"/>
      <c r="F4965" s="3"/>
      <c r="G4965" s="3"/>
      <c r="H4965" s="3"/>
      <c r="I4965" s="3"/>
    </row>
    <row r="4966" spans="1:9" ht="10.5" customHeight="1">
      <c r="A4966" s="5"/>
      <c r="B4966" s="3"/>
      <c r="C4966" s="3"/>
      <c r="D4966" s="3"/>
      <c r="E4966" s="3"/>
      <c r="F4966" s="3"/>
      <c r="G4966" s="3"/>
      <c r="H4966" s="3"/>
      <c r="I4966" s="3"/>
    </row>
    <row r="4967" spans="1:9" ht="10.5" customHeight="1">
      <c r="A4967" s="5"/>
      <c r="B4967" s="3"/>
      <c r="C4967" s="3"/>
      <c r="D4967" s="3"/>
      <c r="E4967" s="3"/>
      <c r="F4967" s="3"/>
      <c r="G4967" s="3"/>
      <c r="H4967" s="3"/>
      <c r="I4967" s="3"/>
    </row>
    <row r="4968" spans="1:9" ht="10.5" customHeight="1">
      <c r="A4968" s="5"/>
      <c r="B4968" s="3"/>
      <c r="C4968" s="3"/>
      <c r="D4968" s="3"/>
      <c r="E4968" s="3"/>
      <c r="F4968" s="3"/>
      <c r="G4968" s="3"/>
      <c r="H4968" s="3"/>
      <c r="I4968" s="3"/>
    </row>
    <row r="4969" spans="1:9" ht="10.5" customHeight="1">
      <c r="A4969" s="5"/>
      <c r="B4969" s="3"/>
      <c r="C4969" s="3"/>
      <c r="D4969" s="3"/>
      <c r="E4969" s="3"/>
      <c r="F4969" s="3"/>
      <c r="G4969" s="3"/>
      <c r="H4969" s="3"/>
      <c r="I4969" s="3"/>
    </row>
    <row r="4970" spans="1:9" ht="10.5" customHeight="1">
      <c r="A4970" s="5"/>
      <c r="B4970" s="3"/>
      <c r="C4970" s="3"/>
      <c r="D4970" s="3"/>
      <c r="E4970" s="3"/>
      <c r="F4970" s="3"/>
      <c r="G4970" s="3"/>
      <c r="H4970" s="3"/>
      <c r="I4970" s="3"/>
    </row>
    <row r="4971" spans="1:9" ht="10.5" customHeight="1">
      <c r="A4971" s="5"/>
      <c r="B4971" s="3"/>
      <c r="C4971" s="3"/>
      <c r="D4971" s="3"/>
      <c r="E4971" s="3"/>
      <c r="F4971" s="3"/>
      <c r="G4971" s="3"/>
      <c r="H4971" s="3"/>
      <c r="I4971" s="3"/>
    </row>
    <row r="4972" spans="1:9" ht="10.5" customHeight="1">
      <c r="A4972" s="5"/>
      <c r="B4972" s="3"/>
      <c r="C4972" s="3"/>
      <c r="D4972" s="3"/>
      <c r="E4972" s="3"/>
      <c r="F4972" s="3"/>
      <c r="G4972" s="3"/>
      <c r="H4972" s="3"/>
      <c r="I4972" s="3"/>
    </row>
    <row r="4973" spans="1:9" ht="10.5" customHeight="1">
      <c r="A4973" s="5"/>
      <c r="B4973" s="3"/>
      <c r="C4973" s="3"/>
      <c r="D4973" s="3"/>
      <c r="E4973" s="3"/>
      <c r="F4973" s="3"/>
      <c r="G4973" s="3"/>
      <c r="H4973" s="3"/>
      <c r="I4973" s="3"/>
    </row>
    <row r="4974" spans="1:9" ht="10.5" customHeight="1">
      <c r="A4974" s="5"/>
      <c r="B4974" s="3"/>
      <c r="C4974" s="3"/>
      <c r="D4974" s="3"/>
      <c r="E4974" s="3"/>
      <c r="F4974" s="3"/>
      <c r="G4974" s="3"/>
      <c r="H4974" s="3"/>
      <c r="I4974" s="3"/>
    </row>
    <row r="4975" spans="1:9" ht="10.5" customHeight="1">
      <c r="A4975" s="5"/>
      <c r="B4975" s="3"/>
      <c r="C4975" s="3"/>
      <c r="D4975" s="3"/>
      <c r="E4975" s="3"/>
      <c r="F4975" s="3"/>
      <c r="G4975" s="3"/>
      <c r="H4975" s="3"/>
      <c r="I4975" s="3"/>
    </row>
    <row r="4976" spans="1:9" ht="10.5" customHeight="1">
      <c r="A4976" s="5"/>
      <c r="B4976" s="3"/>
      <c r="C4976" s="3"/>
      <c r="D4976" s="3"/>
      <c r="E4976" s="3"/>
      <c r="F4976" s="3"/>
      <c r="G4976" s="3"/>
      <c r="H4976" s="3"/>
      <c r="I4976" s="3"/>
    </row>
    <row r="4977" spans="1:9" ht="10.5" customHeight="1">
      <c r="A4977" s="5"/>
      <c r="B4977" s="3"/>
      <c r="C4977" s="3"/>
      <c r="D4977" s="3"/>
      <c r="E4977" s="3"/>
      <c r="F4977" s="3"/>
      <c r="G4977" s="3"/>
      <c r="H4977" s="3"/>
      <c r="I4977" s="3"/>
    </row>
    <row r="4978" spans="1:9" ht="10.5" customHeight="1">
      <c r="A4978" s="5"/>
      <c r="B4978" s="3"/>
      <c r="C4978" s="3"/>
      <c r="D4978" s="3"/>
      <c r="E4978" s="3"/>
      <c r="F4978" s="3"/>
      <c r="G4978" s="3"/>
      <c r="H4978" s="3"/>
      <c r="I4978" s="3"/>
    </row>
    <row r="4979" spans="1:9" ht="10.5" customHeight="1">
      <c r="A4979" s="5"/>
      <c r="B4979" s="3"/>
      <c r="C4979" s="3"/>
      <c r="D4979" s="3"/>
      <c r="E4979" s="3"/>
      <c r="F4979" s="3"/>
      <c r="G4979" s="3"/>
      <c r="H4979" s="3"/>
      <c r="I4979" s="3"/>
    </row>
    <row r="4980" spans="1:9" ht="10.5" customHeight="1">
      <c r="A4980" s="5"/>
      <c r="B4980" s="3"/>
      <c r="C4980" s="3"/>
      <c r="D4980" s="3"/>
      <c r="E4980" s="3"/>
      <c r="F4980" s="3"/>
      <c r="G4980" s="3"/>
      <c r="H4980" s="3"/>
      <c r="I4980" s="3"/>
    </row>
    <row r="4981" spans="1:9" ht="10.5" customHeight="1">
      <c r="A4981" s="5"/>
      <c r="B4981" s="3"/>
      <c r="C4981" s="3"/>
      <c r="D4981" s="3"/>
      <c r="E4981" s="3"/>
      <c r="F4981" s="3"/>
      <c r="G4981" s="3"/>
      <c r="H4981" s="3"/>
      <c r="I4981" s="3"/>
    </row>
    <row r="4982" spans="1:9" ht="10.5" customHeight="1">
      <c r="A4982" s="5"/>
      <c r="B4982" s="3"/>
      <c r="C4982" s="3"/>
      <c r="D4982" s="3"/>
      <c r="E4982" s="3"/>
      <c r="F4982" s="3"/>
      <c r="G4982" s="3"/>
      <c r="H4982" s="3"/>
      <c r="I4982" s="3"/>
    </row>
    <row r="4983" spans="1:9" ht="10.5" customHeight="1">
      <c r="A4983" s="5"/>
      <c r="B4983" s="3"/>
      <c r="C4983" s="3"/>
      <c r="D4983" s="3"/>
      <c r="E4983" s="3"/>
      <c r="F4983" s="3"/>
      <c r="G4983" s="3"/>
      <c r="H4983" s="3"/>
      <c r="I4983" s="3"/>
    </row>
    <row r="4984" spans="1:9" ht="10.5" customHeight="1">
      <c r="A4984" s="5"/>
      <c r="B4984" s="3"/>
      <c r="C4984" s="3"/>
      <c r="D4984" s="3"/>
      <c r="E4984" s="3"/>
      <c r="F4984" s="3"/>
      <c r="G4984" s="3"/>
      <c r="H4984" s="3"/>
      <c r="I4984" s="3"/>
    </row>
    <row r="4985" spans="1:9" ht="10.5" customHeight="1">
      <c r="A4985" s="5"/>
      <c r="B4985" s="3"/>
      <c r="C4985" s="3"/>
      <c r="D4985" s="3"/>
      <c r="E4985" s="3"/>
      <c r="F4985" s="3"/>
      <c r="G4985" s="3"/>
      <c r="H4985" s="3"/>
      <c r="I4985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39"/>
  <sheetViews>
    <sheetView workbookViewId="0"/>
  </sheetViews>
  <sheetFormatPr baseColWidth="10" defaultColWidth="11.1640625" defaultRowHeight="15" customHeight="1"/>
  <cols>
    <col min="1" max="1" width="7.83203125" customWidth="1"/>
    <col min="2" max="2" width="9.5" customWidth="1"/>
    <col min="3" max="3" width="9.1640625" customWidth="1"/>
    <col min="4" max="4" width="8.5" customWidth="1"/>
    <col min="5" max="7" width="21.5" customWidth="1"/>
    <col min="8" max="8" width="15.83203125" customWidth="1"/>
    <col min="9" max="9" width="24.83203125" customWidth="1"/>
    <col min="10" max="10" width="7.6640625" customWidth="1"/>
    <col min="11" max="17" width="21.5" customWidth="1"/>
  </cols>
  <sheetData>
    <row r="1" spans="1:17" ht="15.75" customHeight="1">
      <c r="A1" s="11" t="s">
        <v>6035</v>
      </c>
      <c r="B1" s="12" t="s">
        <v>6036</v>
      </c>
      <c r="C1" s="12" t="s">
        <v>2</v>
      </c>
      <c r="D1" s="12" t="s">
        <v>6037</v>
      </c>
      <c r="E1" s="12" t="s">
        <v>3</v>
      </c>
      <c r="F1" s="12" t="s">
        <v>4</v>
      </c>
      <c r="G1" s="12" t="s">
        <v>6038</v>
      </c>
      <c r="H1" s="12" t="s">
        <v>6</v>
      </c>
      <c r="I1" s="12" t="s">
        <v>7</v>
      </c>
      <c r="J1" s="12" t="s">
        <v>6039</v>
      </c>
      <c r="K1" s="12" t="s">
        <v>6040</v>
      </c>
      <c r="L1" s="12" t="s">
        <v>6041</v>
      </c>
      <c r="M1" s="12" t="s">
        <v>6042</v>
      </c>
      <c r="N1" s="12" t="s">
        <v>6043</v>
      </c>
      <c r="O1" s="12" t="s">
        <v>6044</v>
      </c>
      <c r="P1" s="12" t="s">
        <v>6045</v>
      </c>
      <c r="Q1" s="12" t="s">
        <v>6046</v>
      </c>
    </row>
    <row r="2" spans="1:17" ht="15.75" customHeight="1">
      <c r="A2" s="12">
        <v>1058</v>
      </c>
      <c r="B2" s="12">
        <v>1186</v>
      </c>
      <c r="C2" s="12">
        <v>16950</v>
      </c>
      <c r="D2" s="12" t="s">
        <v>6047</v>
      </c>
      <c r="E2" s="12" t="s">
        <v>6048</v>
      </c>
      <c r="F2" s="12" t="s">
        <v>6049</v>
      </c>
      <c r="G2" s="12" t="s">
        <v>6050</v>
      </c>
      <c r="H2" s="12" t="s">
        <v>6051</v>
      </c>
      <c r="I2" s="12" t="s">
        <v>6052</v>
      </c>
      <c r="J2" s="12">
        <v>16950</v>
      </c>
      <c r="K2" s="12" t="s">
        <v>6053</v>
      </c>
      <c r="L2" s="12" t="s">
        <v>6054</v>
      </c>
      <c r="M2" s="13">
        <v>42687</v>
      </c>
      <c r="N2" s="12" t="s">
        <v>6055</v>
      </c>
      <c r="O2" s="12" t="s">
        <v>6056</v>
      </c>
      <c r="P2" s="12"/>
      <c r="Q2" s="12">
        <v>1</v>
      </c>
    </row>
    <row r="3" spans="1:17" ht="15.75" customHeight="1">
      <c r="A3" s="12">
        <v>1828</v>
      </c>
      <c r="B3" s="12">
        <v>865</v>
      </c>
      <c r="C3" s="12">
        <v>11146</v>
      </c>
      <c r="D3" s="12" t="s">
        <v>6047</v>
      </c>
      <c r="E3" s="12" t="s">
        <v>6057</v>
      </c>
      <c r="F3" s="12" t="s">
        <v>6058</v>
      </c>
      <c r="G3" s="12" t="s">
        <v>6059</v>
      </c>
      <c r="H3" s="12" t="s">
        <v>6060</v>
      </c>
      <c r="I3" s="12" t="s">
        <v>6061</v>
      </c>
      <c r="J3" s="12">
        <v>11146</v>
      </c>
      <c r="K3" s="12" t="s">
        <v>6062</v>
      </c>
      <c r="L3" s="12" t="s">
        <v>6063</v>
      </c>
      <c r="M3" s="13">
        <v>40873</v>
      </c>
      <c r="N3" s="12" t="s">
        <v>6064</v>
      </c>
      <c r="O3" s="12" t="s">
        <v>6065</v>
      </c>
      <c r="P3" s="12"/>
      <c r="Q3" s="12">
        <v>1</v>
      </c>
    </row>
    <row r="4" spans="1:17" ht="15.75" customHeight="1">
      <c r="A4" s="12">
        <v>1457</v>
      </c>
      <c r="B4" s="12">
        <v>1348</v>
      </c>
      <c r="C4" s="12">
        <v>19676</v>
      </c>
      <c r="D4" s="12" t="s">
        <v>6047</v>
      </c>
      <c r="E4" s="12" t="s">
        <v>25</v>
      </c>
      <c r="F4" s="12" t="s">
        <v>6066</v>
      </c>
      <c r="G4" s="12" t="s">
        <v>6067</v>
      </c>
      <c r="H4" s="12" t="s">
        <v>6051</v>
      </c>
      <c r="I4" s="12" t="s">
        <v>6068</v>
      </c>
      <c r="J4" s="12">
        <v>19676</v>
      </c>
      <c r="K4" s="12" t="s">
        <v>6069</v>
      </c>
      <c r="L4" s="12" t="s">
        <v>6070</v>
      </c>
      <c r="M4" s="13">
        <v>41907</v>
      </c>
      <c r="N4" s="12" t="s">
        <v>6071</v>
      </c>
      <c r="O4" s="12" t="s">
        <v>6072</v>
      </c>
      <c r="P4" s="12"/>
      <c r="Q4" s="12">
        <v>1</v>
      </c>
    </row>
    <row r="5" spans="1:17" ht="15.75" customHeight="1">
      <c r="A5" s="12">
        <v>1356</v>
      </c>
      <c r="B5" s="12">
        <v>649</v>
      </c>
      <c r="C5" s="12">
        <v>7875</v>
      </c>
      <c r="D5" s="12" t="s">
        <v>6047</v>
      </c>
      <c r="E5" s="12" t="s">
        <v>15</v>
      </c>
      <c r="F5" s="12" t="s">
        <v>6073</v>
      </c>
      <c r="G5" s="12" t="s">
        <v>6074</v>
      </c>
      <c r="H5" s="12" t="s">
        <v>6075</v>
      </c>
      <c r="I5" s="12" t="s">
        <v>6076</v>
      </c>
      <c r="J5" s="12">
        <v>7875</v>
      </c>
      <c r="K5" s="12" t="s">
        <v>6077</v>
      </c>
      <c r="L5" s="12" t="s">
        <v>6078</v>
      </c>
      <c r="M5" s="13">
        <v>41916</v>
      </c>
      <c r="N5" s="12" t="s">
        <v>6079</v>
      </c>
      <c r="O5" s="12" t="s">
        <v>6080</v>
      </c>
      <c r="P5" s="12"/>
      <c r="Q5" s="12">
        <v>1</v>
      </c>
    </row>
    <row r="6" spans="1:17" ht="15.75" customHeight="1">
      <c r="A6" s="12">
        <v>1416</v>
      </c>
      <c r="B6" s="12">
        <v>560</v>
      </c>
      <c r="C6" s="12">
        <v>7370</v>
      </c>
      <c r="D6" s="12" t="s">
        <v>6047</v>
      </c>
      <c r="E6" s="12" t="s">
        <v>6081</v>
      </c>
      <c r="F6" s="12" t="s">
        <v>6082</v>
      </c>
      <c r="G6" s="12" t="s">
        <v>6083</v>
      </c>
      <c r="H6" s="12" t="s">
        <v>6084</v>
      </c>
      <c r="I6" s="12" t="s">
        <v>6085</v>
      </c>
      <c r="J6" s="12">
        <v>7370</v>
      </c>
      <c r="K6" s="12" t="s">
        <v>6086</v>
      </c>
      <c r="L6" s="12" t="s">
        <v>6087</v>
      </c>
      <c r="M6" s="13">
        <v>41910</v>
      </c>
      <c r="N6" s="12" t="s">
        <v>6088</v>
      </c>
      <c r="O6" s="12" t="s">
        <v>6089</v>
      </c>
      <c r="P6" s="12"/>
      <c r="Q6" s="12">
        <v>1</v>
      </c>
    </row>
    <row r="7" spans="1:17" ht="15.75" customHeight="1">
      <c r="A7" s="12">
        <v>1405</v>
      </c>
      <c r="B7" s="12">
        <v>1697</v>
      </c>
      <c r="C7" s="12">
        <v>31416</v>
      </c>
      <c r="D7" s="12" t="s">
        <v>6047</v>
      </c>
      <c r="E7" s="12" t="s">
        <v>6090</v>
      </c>
      <c r="F7" s="12" t="s">
        <v>6091</v>
      </c>
      <c r="G7" s="12" t="s">
        <v>6092</v>
      </c>
      <c r="H7" s="12" t="s">
        <v>6051</v>
      </c>
      <c r="I7" s="12" t="s">
        <v>6093</v>
      </c>
      <c r="J7" s="12">
        <v>31416</v>
      </c>
      <c r="K7" s="12" t="s">
        <v>6086</v>
      </c>
      <c r="L7" s="12" t="s">
        <v>6087</v>
      </c>
      <c r="M7" s="13">
        <v>41910</v>
      </c>
      <c r="N7" s="12" t="s">
        <v>6088</v>
      </c>
      <c r="O7" s="12" t="s">
        <v>6089</v>
      </c>
      <c r="P7" s="12"/>
      <c r="Q7" s="12">
        <v>1</v>
      </c>
    </row>
    <row r="8" spans="1:17" ht="15.75" customHeight="1">
      <c r="A8" s="12">
        <v>1463</v>
      </c>
      <c r="B8" s="12">
        <v>692</v>
      </c>
      <c r="C8" s="12">
        <v>8374</v>
      </c>
      <c r="D8" s="12" t="s">
        <v>6047</v>
      </c>
      <c r="E8" s="12" t="s">
        <v>6094</v>
      </c>
      <c r="F8" s="12" t="s">
        <v>6095</v>
      </c>
      <c r="G8" s="12" t="s">
        <v>6096</v>
      </c>
      <c r="H8" s="12" t="s">
        <v>6075</v>
      </c>
      <c r="I8" s="12" t="s">
        <v>6076</v>
      </c>
      <c r="J8" s="12">
        <v>8374</v>
      </c>
      <c r="K8" s="12" t="s">
        <v>6069</v>
      </c>
      <c r="L8" s="12" t="s">
        <v>6070</v>
      </c>
      <c r="M8" s="13">
        <v>41907</v>
      </c>
      <c r="N8" s="12" t="s">
        <v>6071</v>
      </c>
      <c r="O8" s="12" t="s">
        <v>6072</v>
      </c>
      <c r="P8" s="12"/>
      <c r="Q8" s="12">
        <v>1</v>
      </c>
    </row>
    <row r="9" spans="1:17" ht="15.75" customHeight="1">
      <c r="A9" s="12">
        <v>1376</v>
      </c>
      <c r="B9" s="12">
        <v>1669</v>
      </c>
      <c r="C9" s="12">
        <v>30798</v>
      </c>
      <c r="D9" s="12" t="s">
        <v>6047</v>
      </c>
      <c r="E9" s="12" t="s">
        <v>6097</v>
      </c>
      <c r="F9" s="12" t="s">
        <v>6098</v>
      </c>
      <c r="G9" s="12" t="s">
        <v>6099</v>
      </c>
      <c r="H9" s="12" t="s">
        <v>6051</v>
      </c>
      <c r="I9" s="12" t="s">
        <v>6100</v>
      </c>
      <c r="J9" s="12">
        <v>30798</v>
      </c>
      <c r="K9" s="12" t="s">
        <v>6077</v>
      </c>
      <c r="L9" s="12" t="s">
        <v>6078</v>
      </c>
      <c r="M9" s="13">
        <v>41914</v>
      </c>
      <c r="N9" s="12" t="s">
        <v>6079</v>
      </c>
      <c r="O9" s="12" t="s">
        <v>6101</v>
      </c>
      <c r="P9" s="12"/>
      <c r="Q9" s="12">
        <v>1</v>
      </c>
    </row>
    <row r="10" spans="1:17" ht="15.75" customHeight="1">
      <c r="A10" s="12">
        <v>1318</v>
      </c>
      <c r="B10" s="12">
        <v>675</v>
      </c>
      <c r="C10" s="12">
        <v>8118</v>
      </c>
      <c r="D10" s="12" t="s">
        <v>6047</v>
      </c>
      <c r="E10" s="12" t="s">
        <v>6102</v>
      </c>
      <c r="F10" s="12" t="s">
        <v>6103</v>
      </c>
      <c r="G10" s="12" t="s">
        <v>6104</v>
      </c>
      <c r="H10" s="12" t="s">
        <v>6075</v>
      </c>
      <c r="I10" s="12" t="s">
        <v>6076</v>
      </c>
      <c r="J10" s="12">
        <v>8118</v>
      </c>
      <c r="K10" s="12" t="s">
        <v>6105</v>
      </c>
      <c r="L10" s="12" t="s">
        <v>6106</v>
      </c>
      <c r="M10" s="13">
        <v>41925</v>
      </c>
      <c r="N10" s="12" t="s">
        <v>6107</v>
      </c>
      <c r="O10" s="12" t="s">
        <v>6108</v>
      </c>
      <c r="P10" s="12"/>
      <c r="Q10" s="12">
        <v>1</v>
      </c>
    </row>
    <row r="11" spans="1:17" ht="15.75" customHeight="1">
      <c r="A11" s="12">
        <v>1995</v>
      </c>
      <c r="B11" s="12">
        <v>1632</v>
      </c>
      <c r="C11" s="12">
        <v>28852</v>
      </c>
      <c r="D11" s="12" t="s">
        <v>6047</v>
      </c>
      <c r="E11" s="12" t="s">
        <v>31</v>
      </c>
      <c r="F11" s="12" t="s">
        <v>6109</v>
      </c>
      <c r="G11" s="12" t="s">
        <v>6110</v>
      </c>
      <c r="H11" s="12" t="s">
        <v>6051</v>
      </c>
      <c r="I11" s="12" t="s">
        <v>6111</v>
      </c>
      <c r="J11" s="12">
        <v>28852</v>
      </c>
      <c r="K11" s="12" t="s">
        <v>6112</v>
      </c>
      <c r="L11" s="12" t="s">
        <v>6113</v>
      </c>
      <c r="M11" s="13">
        <v>38573</v>
      </c>
      <c r="N11" s="12" t="s">
        <v>6114</v>
      </c>
      <c r="O11" s="12" t="s">
        <v>6115</v>
      </c>
      <c r="P11" s="12"/>
      <c r="Q11" s="12">
        <v>1</v>
      </c>
    </row>
    <row r="12" spans="1:17" ht="15.75" customHeight="1">
      <c r="A12" s="12">
        <v>1908</v>
      </c>
      <c r="B12" s="12">
        <v>774</v>
      </c>
      <c r="C12" s="12">
        <v>9664</v>
      </c>
      <c r="D12" s="12" t="s">
        <v>6047</v>
      </c>
      <c r="E12" s="12" t="s">
        <v>33</v>
      </c>
      <c r="F12" s="12" t="s">
        <v>6116</v>
      </c>
      <c r="G12" s="12" t="s">
        <v>6117</v>
      </c>
      <c r="H12" s="12" t="s">
        <v>6118</v>
      </c>
      <c r="I12" s="12" t="s">
        <v>6119</v>
      </c>
      <c r="J12" s="12">
        <v>9664</v>
      </c>
      <c r="K12" s="12" t="s">
        <v>6120</v>
      </c>
      <c r="L12" s="12" t="s">
        <v>6121</v>
      </c>
      <c r="M12" s="13">
        <v>39245</v>
      </c>
      <c r="N12" s="12" t="s">
        <v>6122</v>
      </c>
      <c r="O12" s="12" t="s">
        <v>6123</v>
      </c>
      <c r="P12" s="12"/>
      <c r="Q12" s="12">
        <v>1</v>
      </c>
    </row>
    <row r="13" spans="1:17" ht="15.75" customHeight="1">
      <c r="A13" s="12">
        <v>1468</v>
      </c>
      <c r="B13" s="12">
        <v>161</v>
      </c>
      <c r="C13" s="12">
        <v>2548</v>
      </c>
      <c r="D13" s="12" t="s">
        <v>6047</v>
      </c>
      <c r="E13" s="12" t="s">
        <v>6124</v>
      </c>
      <c r="F13" s="12" t="s">
        <v>6125</v>
      </c>
      <c r="G13" s="12" t="s">
        <v>6126</v>
      </c>
      <c r="H13" s="12" t="s">
        <v>6127</v>
      </c>
      <c r="I13" s="12" t="s">
        <v>6128</v>
      </c>
      <c r="J13" s="12">
        <v>2548</v>
      </c>
      <c r="K13" s="12" t="s">
        <v>6069</v>
      </c>
      <c r="L13" s="12" t="s">
        <v>6070</v>
      </c>
      <c r="M13" s="13">
        <v>41907</v>
      </c>
      <c r="N13" s="12" t="s">
        <v>6071</v>
      </c>
      <c r="O13" s="12" t="s">
        <v>6072</v>
      </c>
      <c r="P13" s="12"/>
      <c r="Q13" s="12">
        <v>1</v>
      </c>
    </row>
    <row r="14" spans="1:17" ht="15.75" customHeight="1">
      <c r="A14" s="12">
        <v>2004</v>
      </c>
      <c r="B14" s="12">
        <v>644</v>
      </c>
      <c r="C14" s="12">
        <v>7854</v>
      </c>
      <c r="D14" s="12" t="s">
        <v>6047</v>
      </c>
      <c r="E14" s="12" t="s">
        <v>6129</v>
      </c>
      <c r="F14" s="12" t="s">
        <v>6130</v>
      </c>
      <c r="G14" s="12" t="s">
        <v>6131</v>
      </c>
      <c r="H14" s="12" t="s">
        <v>6075</v>
      </c>
      <c r="I14" s="12" t="s">
        <v>6076</v>
      </c>
      <c r="J14" s="12">
        <v>7854</v>
      </c>
      <c r="K14" s="12" t="s">
        <v>6112</v>
      </c>
      <c r="L14" s="12" t="s">
        <v>6113</v>
      </c>
      <c r="M14" s="13">
        <v>38573</v>
      </c>
      <c r="N14" s="12" t="s">
        <v>6114</v>
      </c>
      <c r="O14" s="12" t="s">
        <v>6115</v>
      </c>
      <c r="P14" s="12"/>
      <c r="Q14" s="12">
        <v>1</v>
      </c>
    </row>
    <row r="15" spans="1:17" ht="15.75" customHeight="1">
      <c r="A15" s="12">
        <v>1478</v>
      </c>
      <c r="B15" s="12">
        <v>671</v>
      </c>
      <c r="C15" s="12">
        <v>8075</v>
      </c>
      <c r="D15" s="12" t="s">
        <v>6047</v>
      </c>
      <c r="E15" s="12" t="s">
        <v>17</v>
      </c>
      <c r="F15" s="12" t="s">
        <v>6132</v>
      </c>
      <c r="G15" s="12" t="s">
        <v>6133</v>
      </c>
      <c r="H15" s="12" t="s">
        <v>6075</v>
      </c>
      <c r="I15" s="12" t="s">
        <v>6076</v>
      </c>
      <c r="J15" s="12">
        <v>8075</v>
      </c>
      <c r="K15" s="12" t="s">
        <v>6069</v>
      </c>
      <c r="L15" s="12" t="s">
        <v>6070</v>
      </c>
      <c r="M15" s="13">
        <v>41906</v>
      </c>
      <c r="N15" s="12" t="s">
        <v>6071</v>
      </c>
      <c r="O15" s="12" t="s">
        <v>6134</v>
      </c>
      <c r="P15" s="12"/>
      <c r="Q15" s="12">
        <v>1</v>
      </c>
    </row>
    <row r="16" spans="1:17" ht="15.75" customHeight="1">
      <c r="A16" s="12">
        <v>1430</v>
      </c>
      <c r="B16" s="12">
        <v>425</v>
      </c>
      <c r="C16" s="12">
        <v>6005</v>
      </c>
      <c r="D16" s="12" t="s">
        <v>6047</v>
      </c>
      <c r="E16" s="12" t="s">
        <v>19</v>
      </c>
      <c r="F16" s="12" t="s">
        <v>6135</v>
      </c>
      <c r="G16" s="12" t="s">
        <v>6136</v>
      </c>
      <c r="H16" s="12" t="s">
        <v>6137</v>
      </c>
      <c r="I16" s="12" t="s">
        <v>6138</v>
      </c>
      <c r="J16" s="12">
        <v>6005</v>
      </c>
      <c r="K16" s="12" t="s">
        <v>6139</v>
      </c>
      <c r="L16" s="12" t="s">
        <v>6087</v>
      </c>
      <c r="M16" s="13">
        <v>41909</v>
      </c>
      <c r="N16" s="12" t="s">
        <v>6140</v>
      </c>
      <c r="O16" s="12" t="s">
        <v>6141</v>
      </c>
      <c r="P16" s="12"/>
      <c r="Q16" s="12">
        <v>1</v>
      </c>
    </row>
    <row r="17" spans="1:17" ht="15.75" customHeight="1">
      <c r="A17" s="12">
        <v>1394</v>
      </c>
      <c r="B17" s="12">
        <v>684</v>
      </c>
      <c r="C17" s="12">
        <v>8309</v>
      </c>
      <c r="D17" s="12" t="s">
        <v>6047</v>
      </c>
      <c r="E17" s="12" t="s">
        <v>35</v>
      </c>
      <c r="F17" s="12" t="s">
        <v>6142</v>
      </c>
      <c r="G17" s="12" t="s">
        <v>6143</v>
      </c>
      <c r="H17" s="12" t="s">
        <v>6075</v>
      </c>
      <c r="I17" s="12" t="s">
        <v>6076</v>
      </c>
      <c r="J17" s="12">
        <v>8309</v>
      </c>
      <c r="K17" s="12" t="s">
        <v>6144</v>
      </c>
      <c r="L17" s="12" t="s">
        <v>6078</v>
      </c>
      <c r="M17" s="13">
        <v>41913</v>
      </c>
      <c r="N17" s="12" t="s">
        <v>6145</v>
      </c>
      <c r="O17" s="12" t="s">
        <v>6146</v>
      </c>
      <c r="P17" s="12"/>
      <c r="Q17" s="12">
        <v>1</v>
      </c>
    </row>
    <row r="18" spans="1:17" ht="15.75" customHeight="1">
      <c r="A18" s="12">
        <v>1417</v>
      </c>
      <c r="B18" s="12">
        <v>544</v>
      </c>
      <c r="C18" s="12">
        <v>7280</v>
      </c>
      <c r="D18" s="12" t="s">
        <v>6047</v>
      </c>
      <c r="E18" s="12" t="s">
        <v>6147</v>
      </c>
      <c r="F18" s="12" t="s">
        <v>6148</v>
      </c>
      <c r="G18" s="12" t="s">
        <v>6149</v>
      </c>
      <c r="H18" s="12" t="s">
        <v>6150</v>
      </c>
      <c r="I18" s="12" t="s">
        <v>6151</v>
      </c>
      <c r="J18" s="12">
        <v>7280</v>
      </c>
      <c r="K18" s="12" t="s">
        <v>6086</v>
      </c>
      <c r="L18" s="12" t="s">
        <v>6087</v>
      </c>
      <c r="M18" s="13">
        <v>41910</v>
      </c>
      <c r="N18" s="12" t="s">
        <v>6088</v>
      </c>
      <c r="O18" s="12" t="s">
        <v>6089</v>
      </c>
      <c r="P18" s="12"/>
      <c r="Q18" s="12">
        <v>1</v>
      </c>
    </row>
    <row r="19" spans="1:17" ht="15.75" customHeight="1">
      <c r="A19" s="12">
        <v>1898</v>
      </c>
      <c r="B19" s="12">
        <v>393</v>
      </c>
      <c r="C19" s="12">
        <v>5802</v>
      </c>
      <c r="D19" s="12" t="s">
        <v>6047</v>
      </c>
      <c r="E19" s="12" t="s">
        <v>6152</v>
      </c>
      <c r="F19" s="12" t="s">
        <v>6153</v>
      </c>
      <c r="G19" s="12" t="s">
        <v>6154</v>
      </c>
      <c r="H19" s="12" t="s">
        <v>6137</v>
      </c>
      <c r="I19" s="12" t="s">
        <v>6155</v>
      </c>
      <c r="J19" s="12">
        <v>5802</v>
      </c>
      <c r="K19" s="12" t="s">
        <v>6156</v>
      </c>
      <c r="L19" s="12" t="s">
        <v>6157</v>
      </c>
      <c r="M19" s="13">
        <v>39253</v>
      </c>
      <c r="N19" s="12" t="s">
        <v>6158</v>
      </c>
      <c r="O19" s="12" t="s">
        <v>6159</v>
      </c>
      <c r="P19" s="12"/>
      <c r="Q19" s="12">
        <v>1</v>
      </c>
    </row>
    <row r="20" spans="1:17" ht="15.75" customHeight="1">
      <c r="A20" s="12">
        <v>1399</v>
      </c>
      <c r="B20" s="12">
        <v>227</v>
      </c>
      <c r="C20" s="12">
        <v>4178</v>
      </c>
      <c r="D20" s="12" t="s">
        <v>6047</v>
      </c>
      <c r="E20" s="12" t="s">
        <v>6160</v>
      </c>
      <c r="F20" s="12" t="s">
        <v>6161</v>
      </c>
      <c r="G20" s="12" t="s">
        <v>6162</v>
      </c>
      <c r="H20" s="12" t="s">
        <v>6163</v>
      </c>
      <c r="I20" s="12" t="s">
        <v>6164</v>
      </c>
      <c r="J20" s="12">
        <v>4178</v>
      </c>
      <c r="K20" s="12" t="s">
        <v>6165</v>
      </c>
      <c r="L20" s="12" t="s">
        <v>6166</v>
      </c>
      <c r="M20" s="13">
        <v>41912</v>
      </c>
      <c r="N20" s="12" t="s">
        <v>6167</v>
      </c>
      <c r="O20" s="12" t="s">
        <v>6168</v>
      </c>
      <c r="P20" s="12"/>
      <c r="Q20" s="12">
        <v>1</v>
      </c>
    </row>
    <row r="21" spans="1:17" ht="15.75" customHeight="1">
      <c r="A21" s="12">
        <v>1381</v>
      </c>
      <c r="B21" s="12">
        <v>1395</v>
      </c>
      <c r="C21" s="12">
        <v>20781</v>
      </c>
      <c r="D21" s="12" t="s">
        <v>6047</v>
      </c>
      <c r="E21" s="12" t="s">
        <v>6169</v>
      </c>
      <c r="F21" s="12" t="s">
        <v>6170</v>
      </c>
      <c r="G21" s="12" t="s">
        <v>6171</v>
      </c>
      <c r="H21" s="12" t="s">
        <v>6051</v>
      </c>
      <c r="I21" s="12" t="s">
        <v>6172</v>
      </c>
      <c r="J21" s="12">
        <v>20781</v>
      </c>
      <c r="K21" s="12" t="s">
        <v>6173</v>
      </c>
      <c r="L21" s="12" t="s">
        <v>6078</v>
      </c>
      <c r="M21" s="13">
        <v>41914</v>
      </c>
      <c r="N21" s="12" t="s">
        <v>6174</v>
      </c>
      <c r="O21" s="12" t="s">
        <v>6175</v>
      </c>
      <c r="P21" s="12"/>
      <c r="Q21" s="12">
        <v>1</v>
      </c>
    </row>
    <row r="22" spans="1:17" ht="15.75" customHeight="1">
      <c r="A22" s="12">
        <v>1992</v>
      </c>
      <c r="B22" s="12">
        <v>1709</v>
      </c>
      <c r="C22" s="12">
        <v>31717</v>
      </c>
      <c r="D22" s="12" t="s">
        <v>6047</v>
      </c>
      <c r="E22" s="12" t="s">
        <v>42</v>
      </c>
      <c r="F22" s="12" t="s">
        <v>6176</v>
      </c>
      <c r="G22" s="12" t="s">
        <v>6177</v>
      </c>
      <c r="H22" s="12" t="s">
        <v>6051</v>
      </c>
      <c r="I22" s="12" t="s">
        <v>6178</v>
      </c>
      <c r="J22" s="12">
        <v>31717</v>
      </c>
      <c r="K22" s="12" t="s">
        <v>6179</v>
      </c>
      <c r="L22" s="12" t="s">
        <v>6113</v>
      </c>
      <c r="M22" s="13">
        <v>38574</v>
      </c>
      <c r="N22" s="12" t="s">
        <v>6180</v>
      </c>
      <c r="O22" s="12" t="s">
        <v>6181</v>
      </c>
      <c r="P22" s="12"/>
      <c r="Q22" s="12">
        <v>1</v>
      </c>
    </row>
    <row r="23" spans="1:17" ht="15.75" customHeight="1">
      <c r="A23" s="12">
        <v>1386</v>
      </c>
      <c r="B23" s="12">
        <v>1711</v>
      </c>
      <c r="C23" s="12">
        <v>31766</v>
      </c>
      <c r="D23" s="12" t="s">
        <v>6047</v>
      </c>
      <c r="E23" s="12" t="s">
        <v>6182</v>
      </c>
      <c r="F23" s="12" t="s">
        <v>6183</v>
      </c>
      <c r="G23" s="12" t="s">
        <v>6184</v>
      </c>
      <c r="H23" s="12" t="s">
        <v>6051</v>
      </c>
      <c r="I23" s="12" t="s">
        <v>6178</v>
      </c>
      <c r="J23" s="12">
        <v>31766</v>
      </c>
      <c r="K23" s="12" t="s">
        <v>6144</v>
      </c>
      <c r="L23" s="12" t="s">
        <v>6078</v>
      </c>
      <c r="M23" s="13">
        <v>41913</v>
      </c>
      <c r="N23" s="12" t="s">
        <v>6145</v>
      </c>
      <c r="O23" s="12" t="s">
        <v>6146</v>
      </c>
      <c r="P23" s="12"/>
      <c r="Q23" s="12">
        <v>1</v>
      </c>
    </row>
    <row r="24" spans="1:17" ht="15.75" customHeight="1">
      <c r="A24" s="12">
        <v>2010</v>
      </c>
      <c r="B24" s="12">
        <v>582</v>
      </c>
      <c r="C24" s="12">
        <v>7491</v>
      </c>
      <c r="D24" s="12" t="s">
        <v>6047</v>
      </c>
      <c r="E24" s="12" t="s">
        <v>21</v>
      </c>
      <c r="F24" s="12" t="s">
        <v>6185</v>
      </c>
      <c r="G24" s="12" t="s">
        <v>6186</v>
      </c>
      <c r="H24" s="12" t="s">
        <v>6187</v>
      </c>
      <c r="I24" s="12" t="s">
        <v>6188</v>
      </c>
      <c r="J24" s="12">
        <v>7491</v>
      </c>
      <c r="K24" s="12" t="s">
        <v>6112</v>
      </c>
      <c r="L24" s="12" t="s">
        <v>6113</v>
      </c>
      <c r="M24" s="13">
        <v>38573</v>
      </c>
      <c r="N24" s="12" t="s">
        <v>6114</v>
      </c>
      <c r="O24" s="12" t="s">
        <v>6115</v>
      </c>
      <c r="P24" s="12"/>
      <c r="Q24" s="12">
        <v>1</v>
      </c>
    </row>
    <row r="25" spans="1:17" ht="15.75" customHeight="1">
      <c r="A25" s="12">
        <v>659</v>
      </c>
      <c r="B25" s="12">
        <v>1688</v>
      </c>
      <c r="C25" s="12">
        <v>31062</v>
      </c>
      <c r="D25" s="12" t="s">
        <v>6047</v>
      </c>
      <c r="E25" s="12" t="s">
        <v>6189</v>
      </c>
      <c r="F25" s="12" t="s">
        <v>6190</v>
      </c>
      <c r="G25" s="12" t="s">
        <v>6191</v>
      </c>
      <c r="H25" s="12" t="s">
        <v>6051</v>
      </c>
      <c r="I25" s="12" t="s">
        <v>6093</v>
      </c>
      <c r="J25" s="12">
        <v>31062</v>
      </c>
      <c r="K25" s="12" t="s">
        <v>6192</v>
      </c>
      <c r="L25" s="12" t="s">
        <v>6193</v>
      </c>
      <c r="M25" s="13">
        <v>43401</v>
      </c>
      <c r="N25" s="12" t="s">
        <v>6194</v>
      </c>
      <c r="O25" s="12" t="s">
        <v>6195</v>
      </c>
      <c r="P25" s="12" t="s">
        <v>6196</v>
      </c>
      <c r="Q25" s="12">
        <v>1</v>
      </c>
    </row>
    <row r="26" spans="1:17" ht="15.75" customHeight="1">
      <c r="A26" s="12">
        <v>1331</v>
      </c>
      <c r="B26" s="12">
        <v>501</v>
      </c>
      <c r="C26" s="12">
        <v>6620</v>
      </c>
      <c r="D26" s="12" t="s">
        <v>6047</v>
      </c>
      <c r="E26" s="12" t="s">
        <v>6197</v>
      </c>
      <c r="F26" s="12" t="s">
        <v>6198</v>
      </c>
      <c r="G26" s="12" t="s">
        <v>6199</v>
      </c>
      <c r="H26" s="12" t="s">
        <v>6137</v>
      </c>
      <c r="I26" s="12" t="s">
        <v>6200</v>
      </c>
      <c r="J26" s="12">
        <v>6620</v>
      </c>
      <c r="K26" s="12" t="s">
        <v>6201</v>
      </c>
      <c r="L26" s="12" t="s">
        <v>6106</v>
      </c>
      <c r="M26" s="13">
        <v>41921</v>
      </c>
      <c r="N26" s="12" t="s">
        <v>6202</v>
      </c>
      <c r="O26" s="12" t="s">
        <v>6203</v>
      </c>
      <c r="P26" s="12"/>
      <c r="Q26" s="12">
        <v>1</v>
      </c>
    </row>
    <row r="27" spans="1:17" ht="15.75" customHeight="1">
      <c r="A27" s="12">
        <v>1466</v>
      </c>
      <c r="B27" s="12">
        <v>588</v>
      </c>
      <c r="C27" s="12">
        <v>7529</v>
      </c>
      <c r="D27" s="12" t="s">
        <v>6047</v>
      </c>
      <c r="E27" s="12" t="s">
        <v>6204</v>
      </c>
      <c r="F27" s="12" t="s">
        <v>6205</v>
      </c>
      <c r="G27" s="12" t="s">
        <v>6206</v>
      </c>
      <c r="H27" s="12" t="s">
        <v>6187</v>
      </c>
      <c r="I27" s="12" t="s">
        <v>6188</v>
      </c>
      <c r="J27" s="12">
        <v>7529</v>
      </c>
      <c r="K27" s="12" t="s">
        <v>6069</v>
      </c>
      <c r="L27" s="12" t="s">
        <v>6070</v>
      </c>
      <c r="M27" s="13">
        <v>41907</v>
      </c>
      <c r="N27" s="12" t="s">
        <v>6071</v>
      </c>
      <c r="O27" s="12" t="s">
        <v>6072</v>
      </c>
      <c r="P27" s="12"/>
      <c r="Q27" s="12">
        <v>1</v>
      </c>
    </row>
    <row r="28" spans="1:17" ht="15.75" customHeight="1">
      <c r="A28" s="12">
        <v>1390</v>
      </c>
      <c r="B28" s="12">
        <v>1644</v>
      </c>
      <c r="C28" s="12">
        <v>29690</v>
      </c>
      <c r="D28" s="12" t="s">
        <v>6047</v>
      </c>
      <c r="E28" s="12" t="s">
        <v>6207</v>
      </c>
      <c r="F28" s="12" t="s">
        <v>6208</v>
      </c>
      <c r="G28" s="12" t="s">
        <v>6209</v>
      </c>
      <c r="H28" s="12" t="s">
        <v>6051</v>
      </c>
      <c r="I28" s="12" t="s">
        <v>6111</v>
      </c>
      <c r="J28" s="12">
        <v>29690</v>
      </c>
      <c r="K28" s="12" t="s">
        <v>6144</v>
      </c>
      <c r="L28" s="12" t="s">
        <v>6078</v>
      </c>
      <c r="M28" s="13">
        <v>41913</v>
      </c>
      <c r="N28" s="12" t="s">
        <v>6145</v>
      </c>
      <c r="O28" s="12" t="s">
        <v>6146</v>
      </c>
      <c r="P28" s="12"/>
      <c r="Q28" s="12">
        <v>1</v>
      </c>
    </row>
    <row r="29" spans="1:17" ht="15.75" customHeight="1">
      <c r="A29" s="12">
        <v>1347</v>
      </c>
      <c r="B29" s="12">
        <v>368</v>
      </c>
      <c r="C29" s="12">
        <v>5522</v>
      </c>
      <c r="D29" s="12" t="s">
        <v>6047</v>
      </c>
      <c r="E29" s="12" t="s">
        <v>6210</v>
      </c>
      <c r="F29" s="12" t="s">
        <v>6211</v>
      </c>
      <c r="G29" s="12" t="s">
        <v>6212</v>
      </c>
      <c r="H29" s="12" t="s">
        <v>6213</v>
      </c>
      <c r="I29" s="12" t="s">
        <v>6214</v>
      </c>
      <c r="J29" s="12">
        <v>5522</v>
      </c>
      <c r="K29" s="12" t="s">
        <v>6215</v>
      </c>
      <c r="L29" s="12" t="s">
        <v>6216</v>
      </c>
      <c r="M29" s="13">
        <v>41918</v>
      </c>
      <c r="N29" s="12" t="s">
        <v>6217</v>
      </c>
      <c r="O29" s="12" t="s">
        <v>6218</v>
      </c>
      <c r="P29" s="12"/>
      <c r="Q29" s="12">
        <v>1</v>
      </c>
    </row>
    <row r="30" spans="1:17" ht="15.75" customHeight="1">
      <c r="A30" s="12">
        <v>1429</v>
      </c>
      <c r="B30" s="12">
        <v>545</v>
      </c>
      <c r="C30" s="12">
        <v>7285</v>
      </c>
      <c r="D30" s="12" t="s">
        <v>6047</v>
      </c>
      <c r="E30" s="12" t="s">
        <v>23</v>
      </c>
      <c r="F30" s="12" t="s">
        <v>6219</v>
      </c>
      <c r="G30" s="12" t="s">
        <v>6220</v>
      </c>
      <c r="H30" s="12" t="s">
        <v>6150</v>
      </c>
      <c r="I30" s="12" t="s">
        <v>6151</v>
      </c>
      <c r="J30" s="12">
        <v>7285</v>
      </c>
      <c r="K30" s="12" t="s">
        <v>6139</v>
      </c>
      <c r="L30" s="12" t="s">
        <v>6087</v>
      </c>
      <c r="M30" s="13">
        <v>41909</v>
      </c>
      <c r="N30" s="12" t="s">
        <v>6140</v>
      </c>
      <c r="O30" s="12" t="s">
        <v>6141</v>
      </c>
      <c r="P30" s="12"/>
      <c r="Q30" s="12">
        <v>1</v>
      </c>
    </row>
    <row r="31" spans="1:17" ht="15.75" customHeight="1">
      <c r="A31" s="12">
        <v>354</v>
      </c>
      <c r="B31" s="12">
        <v>594</v>
      </c>
      <c r="C31" s="12">
        <v>7554</v>
      </c>
      <c r="D31" s="12" t="s">
        <v>6047</v>
      </c>
      <c r="E31" s="12" t="s">
        <v>6221</v>
      </c>
      <c r="F31" s="12" t="s">
        <v>6222</v>
      </c>
      <c r="G31" s="12" t="s">
        <v>6223</v>
      </c>
      <c r="H31" s="12" t="s">
        <v>6187</v>
      </c>
      <c r="I31" s="12" t="s">
        <v>6224</v>
      </c>
      <c r="J31" s="12">
        <v>7554</v>
      </c>
      <c r="K31" s="12" t="s">
        <v>6225</v>
      </c>
      <c r="L31" s="12" t="s">
        <v>6226</v>
      </c>
      <c r="M31" s="13">
        <v>44723</v>
      </c>
      <c r="N31" s="12" t="s">
        <v>6227</v>
      </c>
      <c r="O31" s="12" t="s">
        <v>6228</v>
      </c>
      <c r="P31" s="12"/>
      <c r="Q31" s="12">
        <v>1</v>
      </c>
    </row>
    <row r="32" spans="1:17" ht="15.75" customHeight="1">
      <c r="A32" s="12">
        <v>638</v>
      </c>
      <c r="B32" s="12">
        <v>1733</v>
      </c>
      <c r="C32" s="12">
        <v>32129</v>
      </c>
      <c r="D32" s="12" t="s">
        <v>6047</v>
      </c>
      <c r="E32" s="12" t="s">
        <v>6229</v>
      </c>
      <c r="F32" s="12" t="s">
        <v>6230</v>
      </c>
      <c r="G32" s="12" t="s">
        <v>6231</v>
      </c>
      <c r="H32" s="12" t="s">
        <v>6051</v>
      </c>
      <c r="I32" s="12" t="s">
        <v>6232</v>
      </c>
      <c r="J32" s="12">
        <v>32129</v>
      </c>
      <c r="K32" s="12" t="s">
        <v>6233</v>
      </c>
      <c r="L32" s="12" t="s">
        <v>6193</v>
      </c>
      <c r="M32" s="13">
        <v>43405</v>
      </c>
      <c r="N32" s="12" t="s">
        <v>6234</v>
      </c>
      <c r="O32" s="12" t="s">
        <v>6235</v>
      </c>
      <c r="P32" s="12"/>
      <c r="Q32" s="12">
        <v>1</v>
      </c>
    </row>
    <row r="33" spans="1:17" ht="15.75" customHeight="1">
      <c r="A33" s="12">
        <v>441</v>
      </c>
      <c r="B33" s="12">
        <v>1187</v>
      </c>
      <c r="C33" s="12">
        <v>16951</v>
      </c>
      <c r="D33" s="12" t="s">
        <v>6047</v>
      </c>
      <c r="E33" s="12" t="s">
        <v>6236</v>
      </c>
      <c r="F33" s="12" t="s">
        <v>6237</v>
      </c>
      <c r="G33" s="12" t="s">
        <v>6238</v>
      </c>
      <c r="H33" s="12" t="s">
        <v>6051</v>
      </c>
      <c r="I33" s="12" t="s">
        <v>6052</v>
      </c>
      <c r="J33" s="12">
        <v>16951</v>
      </c>
      <c r="K33" s="12" t="s">
        <v>6239</v>
      </c>
      <c r="L33" s="12" t="s">
        <v>6240</v>
      </c>
      <c r="M33" s="13">
        <v>44049</v>
      </c>
      <c r="N33" s="12" t="s">
        <v>6241</v>
      </c>
      <c r="O33" s="12" t="s">
        <v>6242</v>
      </c>
      <c r="P33" s="12"/>
      <c r="Q33" s="12">
        <v>1</v>
      </c>
    </row>
    <row r="34" spans="1:17" ht="15.75" customHeight="1">
      <c r="A34" s="12">
        <v>626</v>
      </c>
      <c r="B34" s="12">
        <v>1700</v>
      </c>
      <c r="C34" s="12">
        <v>31480</v>
      </c>
      <c r="D34" s="12" t="s">
        <v>6047</v>
      </c>
      <c r="E34" s="12" t="s">
        <v>6243</v>
      </c>
      <c r="F34" s="12" t="s">
        <v>6244</v>
      </c>
      <c r="G34" s="12" t="s">
        <v>6245</v>
      </c>
      <c r="H34" s="12" t="s">
        <v>6051</v>
      </c>
      <c r="I34" s="12" t="s">
        <v>6246</v>
      </c>
      <c r="J34" s="12">
        <v>31480</v>
      </c>
      <c r="K34" s="12" t="s">
        <v>6247</v>
      </c>
      <c r="L34" s="12" t="s">
        <v>6248</v>
      </c>
      <c r="M34" s="13">
        <v>43492</v>
      </c>
      <c r="N34" s="12" t="s">
        <v>6249</v>
      </c>
      <c r="O34" s="12" t="s">
        <v>6250</v>
      </c>
      <c r="P34" s="12"/>
      <c r="Q34" s="12">
        <v>1</v>
      </c>
    </row>
    <row r="35" spans="1:17" ht="15.75" customHeight="1">
      <c r="A35" s="12"/>
      <c r="B35" s="12"/>
      <c r="C35" s="11">
        <v>4831</v>
      </c>
      <c r="D35" s="11" t="s">
        <v>6047</v>
      </c>
      <c r="E35" s="11" t="s">
        <v>61</v>
      </c>
      <c r="F35" s="14" t="s">
        <v>6251</v>
      </c>
      <c r="G35" s="11" t="s">
        <v>6252</v>
      </c>
      <c r="H35" s="12" t="s">
        <v>6163</v>
      </c>
      <c r="I35" s="12" t="s">
        <v>6253</v>
      </c>
      <c r="J35" s="11">
        <v>4831</v>
      </c>
      <c r="K35" s="15" t="s">
        <v>6254</v>
      </c>
      <c r="L35" s="15" t="s">
        <v>6255</v>
      </c>
      <c r="M35" s="16">
        <v>44117</v>
      </c>
      <c r="N35" s="15" t="s">
        <v>6256</v>
      </c>
      <c r="O35" s="15" t="s">
        <v>6257</v>
      </c>
      <c r="P35" s="12"/>
      <c r="Q35" s="12"/>
    </row>
    <row r="36" spans="1:17" ht="15.75" customHeight="1">
      <c r="A36" s="12">
        <v>1780</v>
      </c>
      <c r="B36" s="12">
        <v>1832</v>
      </c>
      <c r="C36" s="12">
        <v>33755</v>
      </c>
      <c r="D36" s="12" t="s">
        <v>6047</v>
      </c>
      <c r="E36" s="12" t="s">
        <v>6258</v>
      </c>
      <c r="F36" s="12" t="s">
        <v>6259</v>
      </c>
      <c r="G36" s="12" t="s">
        <v>6260</v>
      </c>
      <c r="H36" s="12" t="s">
        <v>6051</v>
      </c>
      <c r="I36" s="12" t="s">
        <v>6261</v>
      </c>
      <c r="J36" s="12">
        <v>33755</v>
      </c>
      <c r="K36" s="12" t="s">
        <v>6062</v>
      </c>
      <c r="L36" s="12" t="s">
        <v>6063</v>
      </c>
      <c r="M36" s="13">
        <v>40873</v>
      </c>
      <c r="N36" s="12" t="s">
        <v>6064</v>
      </c>
      <c r="O36" s="12" t="s">
        <v>6065</v>
      </c>
      <c r="P36" s="12"/>
      <c r="Q36" s="12">
        <v>1</v>
      </c>
    </row>
    <row r="37" spans="1:17" ht="15.75" customHeight="1">
      <c r="A37" s="12">
        <v>1830</v>
      </c>
      <c r="B37" s="12">
        <v>811</v>
      </c>
      <c r="C37" s="12">
        <v>10312</v>
      </c>
      <c r="D37" s="12" t="s">
        <v>6047</v>
      </c>
      <c r="E37" s="12" t="s">
        <v>6262</v>
      </c>
      <c r="F37" s="12" t="s">
        <v>6263</v>
      </c>
      <c r="G37" s="12" t="s">
        <v>6264</v>
      </c>
      <c r="H37" s="12" t="s">
        <v>6265</v>
      </c>
      <c r="I37" s="12" t="s">
        <v>6266</v>
      </c>
      <c r="J37" s="12">
        <v>10312</v>
      </c>
      <c r="K37" s="12" t="s">
        <v>6062</v>
      </c>
      <c r="L37" s="12" t="s">
        <v>6063</v>
      </c>
      <c r="M37" s="13">
        <v>40873</v>
      </c>
      <c r="N37" s="12" t="s">
        <v>6064</v>
      </c>
      <c r="O37" s="12" t="s">
        <v>6065</v>
      </c>
      <c r="P37" s="12"/>
      <c r="Q37" s="12">
        <v>1</v>
      </c>
    </row>
    <row r="38" spans="1:17" ht="15.75" customHeight="1">
      <c r="A38" s="12">
        <v>1143</v>
      </c>
      <c r="B38" s="12">
        <v>389</v>
      </c>
      <c r="C38" s="12">
        <v>5780</v>
      </c>
      <c r="D38" s="12" t="s">
        <v>6047</v>
      </c>
      <c r="E38" s="12" t="s">
        <v>65</v>
      </c>
      <c r="F38" s="12" t="s">
        <v>6267</v>
      </c>
      <c r="G38" s="12" t="s">
        <v>6268</v>
      </c>
      <c r="H38" s="12" t="s">
        <v>6137</v>
      </c>
      <c r="I38" s="12" t="s">
        <v>6269</v>
      </c>
      <c r="J38" s="12">
        <v>5780</v>
      </c>
      <c r="K38" s="12" t="s">
        <v>6270</v>
      </c>
      <c r="L38" s="12" t="s">
        <v>6240</v>
      </c>
      <c r="M38" s="13">
        <v>42140</v>
      </c>
      <c r="N38" s="12" t="s">
        <v>6271</v>
      </c>
      <c r="O38" s="12" t="s">
        <v>6272</v>
      </c>
      <c r="P38" s="12"/>
      <c r="Q38" s="12">
        <v>1</v>
      </c>
    </row>
    <row r="39" spans="1:17" ht="15.75" customHeight="1">
      <c r="A39" s="12">
        <v>2027</v>
      </c>
      <c r="B39" s="12">
        <v>724</v>
      </c>
      <c r="C39" s="12">
        <v>8633</v>
      </c>
      <c r="D39" s="12" t="s">
        <v>6047</v>
      </c>
      <c r="E39" s="12" t="s">
        <v>85</v>
      </c>
      <c r="F39" s="12" t="s">
        <v>6273</v>
      </c>
      <c r="G39" s="12" t="s">
        <v>6274</v>
      </c>
      <c r="H39" s="12" t="s">
        <v>6275</v>
      </c>
      <c r="I39" s="12" t="s">
        <v>6276</v>
      </c>
      <c r="J39" s="12">
        <v>8633</v>
      </c>
      <c r="K39" s="12" t="s">
        <v>6277</v>
      </c>
      <c r="L39" s="12" t="s">
        <v>6278</v>
      </c>
      <c r="M39" s="13">
        <v>38176</v>
      </c>
      <c r="N39" s="12" t="s">
        <v>6279</v>
      </c>
      <c r="O39" s="12" t="s">
        <v>6280</v>
      </c>
      <c r="P39" s="12"/>
      <c r="Q39" s="12">
        <v>1</v>
      </c>
    </row>
    <row r="40" spans="1:17" ht="15.75" customHeight="1">
      <c r="A40" s="12">
        <v>1628</v>
      </c>
      <c r="B40" s="12">
        <v>595</v>
      </c>
      <c r="C40" s="12">
        <v>7560</v>
      </c>
      <c r="D40" s="12" t="s">
        <v>6047</v>
      </c>
      <c r="E40" s="12" t="s">
        <v>67</v>
      </c>
      <c r="F40" s="12" t="s">
        <v>6281</v>
      </c>
      <c r="G40" s="12" t="s">
        <v>6282</v>
      </c>
      <c r="H40" s="12" t="s">
        <v>6187</v>
      </c>
      <c r="I40" s="12" t="s">
        <v>6224</v>
      </c>
      <c r="J40" s="12">
        <v>7560</v>
      </c>
      <c r="K40" s="12" t="s">
        <v>6283</v>
      </c>
      <c r="L40" s="12" t="s">
        <v>6284</v>
      </c>
      <c r="M40" s="13">
        <v>41369</v>
      </c>
      <c r="N40" s="12" t="s">
        <v>6285</v>
      </c>
      <c r="O40" s="12" t="s">
        <v>6286</v>
      </c>
      <c r="P40" s="12"/>
      <c r="Q40" s="12">
        <v>1</v>
      </c>
    </row>
    <row r="41" spans="1:17" ht="15.75" customHeight="1">
      <c r="A41" s="12">
        <v>1585</v>
      </c>
      <c r="B41" s="12">
        <v>42</v>
      </c>
      <c r="C41" s="12">
        <v>571</v>
      </c>
      <c r="D41" s="12" t="s">
        <v>6047</v>
      </c>
      <c r="E41" s="12" t="s">
        <v>93</v>
      </c>
      <c r="F41" s="12" t="s">
        <v>6287</v>
      </c>
      <c r="G41" s="12" t="s">
        <v>6288</v>
      </c>
      <c r="H41" s="12" t="s">
        <v>6289</v>
      </c>
      <c r="I41" s="12" t="s">
        <v>6290</v>
      </c>
      <c r="J41" s="12">
        <v>571</v>
      </c>
      <c r="K41" s="12" t="s">
        <v>6291</v>
      </c>
      <c r="L41" s="12" t="s">
        <v>6240</v>
      </c>
      <c r="M41" s="13">
        <v>41548</v>
      </c>
      <c r="N41" s="12" t="s">
        <v>6292</v>
      </c>
      <c r="O41" s="12" t="s">
        <v>6293</v>
      </c>
      <c r="P41" s="12"/>
      <c r="Q41" s="12">
        <v>1</v>
      </c>
    </row>
    <row r="42" spans="1:17" ht="15.75" customHeight="1">
      <c r="A42" s="12">
        <v>1852</v>
      </c>
      <c r="B42" s="12">
        <v>365</v>
      </c>
      <c r="C42" s="12">
        <v>5500</v>
      </c>
      <c r="D42" s="12" t="s">
        <v>6047</v>
      </c>
      <c r="E42" s="12" t="s">
        <v>69</v>
      </c>
      <c r="F42" s="12" t="s">
        <v>6294</v>
      </c>
      <c r="G42" s="12" t="s">
        <v>6295</v>
      </c>
      <c r="H42" s="12" t="s">
        <v>6213</v>
      </c>
      <c r="I42" s="12" t="s">
        <v>6214</v>
      </c>
      <c r="J42" s="12">
        <v>5500</v>
      </c>
      <c r="K42" s="12" t="s">
        <v>6062</v>
      </c>
      <c r="L42" s="12" t="s">
        <v>6063</v>
      </c>
      <c r="M42" s="13">
        <v>40873</v>
      </c>
      <c r="N42" s="12" t="s">
        <v>6064</v>
      </c>
      <c r="O42" s="12" t="s">
        <v>6065</v>
      </c>
      <c r="P42" s="12"/>
      <c r="Q42" s="12">
        <v>1</v>
      </c>
    </row>
    <row r="43" spans="1:17" ht="15.75" customHeight="1">
      <c r="A43" s="12">
        <v>1611</v>
      </c>
      <c r="B43" s="12">
        <v>1426</v>
      </c>
      <c r="C43" s="12">
        <v>21557</v>
      </c>
      <c r="D43" s="12" t="s">
        <v>6047</v>
      </c>
      <c r="E43" s="12" t="s">
        <v>6296</v>
      </c>
      <c r="F43" s="12" t="s">
        <v>6297</v>
      </c>
      <c r="G43" s="12" t="s">
        <v>6298</v>
      </c>
      <c r="H43" s="12" t="s">
        <v>6051</v>
      </c>
      <c r="I43" s="12" t="s">
        <v>6299</v>
      </c>
      <c r="J43" s="12">
        <v>21557</v>
      </c>
      <c r="K43" s="12" t="s">
        <v>6300</v>
      </c>
      <c r="L43" s="12" t="s">
        <v>6240</v>
      </c>
      <c r="M43" s="13">
        <v>41396</v>
      </c>
      <c r="N43" s="12" t="s">
        <v>6301</v>
      </c>
      <c r="O43" s="12" t="s">
        <v>6302</v>
      </c>
      <c r="P43" s="12"/>
      <c r="Q43" s="12">
        <v>1</v>
      </c>
    </row>
    <row r="44" spans="1:17" ht="15.75" customHeight="1">
      <c r="A44" s="12">
        <v>664</v>
      </c>
      <c r="B44" s="12">
        <v>1573</v>
      </c>
      <c r="C44" s="12">
        <v>27668</v>
      </c>
      <c r="D44" s="12" t="s">
        <v>6047</v>
      </c>
      <c r="E44" s="12" t="s">
        <v>6303</v>
      </c>
      <c r="F44" s="12" t="s">
        <v>6304</v>
      </c>
      <c r="G44" s="12" t="s">
        <v>6305</v>
      </c>
      <c r="H44" s="12" t="s">
        <v>6051</v>
      </c>
      <c r="I44" s="12" t="s">
        <v>6306</v>
      </c>
      <c r="J44" s="12">
        <v>27668</v>
      </c>
      <c r="K44" s="12" t="s">
        <v>6307</v>
      </c>
      <c r="L44" s="12" t="s">
        <v>6308</v>
      </c>
      <c r="M44" s="13">
        <v>43393</v>
      </c>
      <c r="N44" s="12" t="s">
        <v>6309</v>
      </c>
      <c r="O44" s="12" t="s">
        <v>6310</v>
      </c>
      <c r="P44" s="12"/>
      <c r="Q44" s="12">
        <v>1</v>
      </c>
    </row>
    <row r="45" spans="1:17" ht="15.75" customHeight="1">
      <c r="A45" s="12">
        <v>764</v>
      </c>
      <c r="B45" s="12">
        <v>516</v>
      </c>
      <c r="C45" s="12">
        <v>6807</v>
      </c>
      <c r="D45" s="12" t="s">
        <v>6047</v>
      </c>
      <c r="E45" s="12" t="s">
        <v>6311</v>
      </c>
      <c r="F45" s="12" t="s">
        <v>6312</v>
      </c>
      <c r="G45" s="12" t="s">
        <v>6313</v>
      </c>
      <c r="H45" s="12" t="s">
        <v>6314</v>
      </c>
      <c r="I45" s="12" t="s">
        <v>6315</v>
      </c>
      <c r="J45" s="12">
        <v>6807</v>
      </c>
      <c r="K45" s="12" t="s">
        <v>6316</v>
      </c>
      <c r="L45" s="12" t="s">
        <v>6317</v>
      </c>
      <c r="M45" s="13">
        <v>43085</v>
      </c>
      <c r="N45" s="12" t="s">
        <v>6318</v>
      </c>
      <c r="O45" s="12" t="s">
        <v>6319</v>
      </c>
      <c r="P45" s="12"/>
      <c r="Q45" s="12">
        <v>1</v>
      </c>
    </row>
    <row r="46" spans="1:17" ht="15.75" customHeight="1">
      <c r="A46" s="12">
        <v>1111</v>
      </c>
      <c r="B46" s="12">
        <v>396</v>
      </c>
      <c r="C46" s="12">
        <v>5815</v>
      </c>
      <c r="D46" s="12" t="s">
        <v>6047</v>
      </c>
      <c r="E46" s="12" t="s">
        <v>6320</v>
      </c>
      <c r="F46" s="12" t="s">
        <v>6321</v>
      </c>
      <c r="G46" s="12" t="s">
        <v>6322</v>
      </c>
      <c r="H46" s="12" t="s">
        <v>6137</v>
      </c>
      <c r="I46" s="12" t="s">
        <v>6323</v>
      </c>
      <c r="J46" s="12">
        <v>5815</v>
      </c>
      <c r="K46" s="12" t="s">
        <v>6324</v>
      </c>
      <c r="L46" s="12" t="s">
        <v>6240</v>
      </c>
      <c r="M46" s="13">
        <v>42498</v>
      </c>
      <c r="N46" s="12" t="s">
        <v>6325</v>
      </c>
      <c r="O46" s="12" t="s">
        <v>6326</v>
      </c>
      <c r="P46" s="12"/>
      <c r="Q46" s="12">
        <v>1</v>
      </c>
    </row>
    <row r="47" spans="1:17" ht="15.75" customHeight="1">
      <c r="A47" s="12">
        <v>1658</v>
      </c>
      <c r="B47" s="12">
        <v>1748</v>
      </c>
      <c r="C47" s="12">
        <v>32617</v>
      </c>
      <c r="D47" s="12" t="s">
        <v>6047</v>
      </c>
      <c r="E47" s="12" t="s">
        <v>72</v>
      </c>
      <c r="F47" s="12" t="s">
        <v>6327</v>
      </c>
      <c r="G47" s="12" t="s">
        <v>6328</v>
      </c>
      <c r="H47" s="12" t="s">
        <v>6051</v>
      </c>
      <c r="I47" s="12" t="s">
        <v>6232</v>
      </c>
      <c r="J47" s="12">
        <v>32617</v>
      </c>
      <c r="K47" s="12" t="s">
        <v>6329</v>
      </c>
      <c r="L47" s="12" t="s">
        <v>6240</v>
      </c>
      <c r="M47" s="13">
        <v>41079</v>
      </c>
      <c r="N47" s="12" t="s">
        <v>6330</v>
      </c>
      <c r="O47" s="12" t="s">
        <v>6331</v>
      </c>
      <c r="P47" s="12"/>
      <c r="Q47" s="12">
        <v>1</v>
      </c>
    </row>
    <row r="48" spans="1:17" ht="15.75" customHeight="1">
      <c r="A48" s="12">
        <v>1497</v>
      </c>
      <c r="B48" s="12">
        <v>495</v>
      </c>
      <c r="C48" s="12">
        <v>6539</v>
      </c>
      <c r="D48" s="12" t="s">
        <v>6047</v>
      </c>
      <c r="E48" s="12" t="s">
        <v>119</v>
      </c>
      <c r="F48" s="12" t="s">
        <v>6332</v>
      </c>
      <c r="G48" s="12" t="s">
        <v>6333</v>
      </c>
      <c r="H48" s="12" t="s">
        <v>6137</v>
      </c>
      <c r="I48" s="12" t="s">
        <v>6200</v>
      </c>
      <c r="J48" s="12">
        <v>6539</v>
      </c>
      <c r="K48" s="12" t="s">
        <v>6334</v>
      </c>
      <c r="L48" s="12" t="s">
        <v>6284</v>
      </c>
      <c r="M48" s="13">
        <v>41784</v>
      </c>
      <c r="N48" s="12" t="s">
        <v>6335</v>
      </c>
      <c r="O48" s="12" t="s">
        <v>6336</v>
      </c>
      <c r="P48" s="12"/>
      <c r="Q48" s="12">
        <v>1</v>
      </c>
    </row>
    <row r="49" spans="1:17" ht="15.75" customHeight="1">
      <c r="A49" s="12">
        <v>1822</v>
      </c>
      <c r="B49" s="12">
        <v>907</v>
      </c>
      <c r="C49" s="12">
        <v>12028</v>
      </c>
      <c r="D49" s="12" t="s">
        <v>6047</v>
      </c>
      <c r="E49" s="12" t="s">
        <v>6337</v>
      </c>
      <c r="F49" s="12" t="s">
        <v>6338</v>
      </c>
      <c r="G49" s="12" t="s">
        <v>6339</v>
      </c>
      <c r="H49" s="12" t="s">
        <v>6340</v>
      </c>
      <c r="I49" s="12" t="s">
        <v>6341</v>
      </c>
      <c r="J49" s="12">
        <v>12028</v>
      </c>
      <c r="K49" s="12" t="s">
        <v>6062</v>
      </c>
      <c r="L49" s="12" t="s">
        <v>6063</v>
      </c>
      <c r="M49" s="13">
        <v>40873</v>
      </c>
      <c r="N49" s="12" t="s">
        <v>6064</v>
      </c>
      <c r="O49" s="12" t="s">
        <v>6065</v>
      </c>
      <c r="P49" s="12"/>
      <c r="Q49" s="12">
        <v>1</v>
      </c>
    </row>
    <row r="50" spans="1:17" ht="15.75" customHeight="1">
      <c r="A50" s="12">
        <v>1127</v>
      </c>
      <c r="B50" s="12">
        <v>392</v>
      </c>
      <c r="C50" s="12">
        <v>5799</v>
      </c>
      <c r="D50" s="12" t="s">
        <v>6047</v>
      </c>
      <c r="E50" s="12" t="s">
        <v>74</v>
      </c>
      <c r="F50" s="12" t="s">
        <v>6342</v>
      </c>
      <c r="G50" s="12" t="s">
        <v>6343</v>
      </c>
      <c r="H50" s="12" t="s">
        <v>6137</v>
      </c>
      <c r="I50" s="12" t="s">
        <v>6155</v>
      </c>
      <c r="J50" s="12">
        <v>5799</v>
      </c>
      <c r="K50" s="12" t="s">
        <v>6344</v>
      </c>
      <c r="L50" s="12" t="s">
        <v>6345</v>
      </c>
      <c r="M50" s="13">
        <v>42321</v>
      </c>
      <c r="N50" s="12" t="s">
        <v>6346</v>
      </c>
      <c r="O50" s="12" t="s">
        <v>6347</v>
      </c>
      <c r="P50" s="12"/>
      <c r="Q50" s="12">
        <v>1</v>
      </c>
    </row>
    <row r="51" spans="1:17" ht="15.75" customHeight="1">
      <c r="A51" s="12">
        <v>1588</v>
      </c>
      <c r="B51" s="12">
        <v>1712</v>
      </c>
      <c r="C51" s="12">
        <v>31883</v>
      </c>
      <c r="D51" s="12" t="s">
        <v>6047</v>
      </c>
      <c r="E51" s="12" t="s">
        <v>6348</v>
      </c>
      <c r="F51" s="12" t="s">
        <v>6349</v>
      </c>
      <c r="G51" s="12" t="s">
        <v>6350</v>
      </c>
      <c r="H51" s="12" t="s">
        <v>6051</v>
      </c>
      <c r="I51" s="12" t="s">
        <v>6178</v>
      </c>
      <c r="J51" s="12">
        <v>31883</v>
      </c>
      <c r="K51" s="12" t="s">
        <v>6351</v>
      </c>
      <c r="L51" s="12" t="s">
        <v>6240</v>
      </c>
      <c r="M51" s="13">
        <v>41536</v>
      </c>
      <c r="N51" s="12" t="s">
        <v>6352</v>
      </c>
      <c r="O51" s="12" t="s">
        <v>6353</v>
      </c>
      <c r="P51" s="12"/>
      <c r="Q51" s="12">
        <v>1</v>
      </c>
    </row>
    <row r="52" spans="1:17" ht="15.75" customHeight="1">
      <c r="A52" s="12">
        <v>980</v>
      </c>
      <c r="B52" s="12">
        <v>812</v>
      </c>
      <c r="C52" s="12">
        <v>10313</v>
      </c>
      <c r="D52" s="12" t="s">
        <v>6047</v>
      </c>
      <c r="E52" s="12" t="s">
        <v>136</v>
      </c>
      <c r="F52" s="12" t="s">
        <v>6354</v>
      </c>
      <c r="G52" s="12" t="s">
        <v>6355</v>
      </c>
      <c r="H52" s="12" t="s">
        <v>6265</v>
      </c>
      <c r="I52" s="12" t="s">
        <v>6266</v>
      </c>
      <c r="J52" s="12">
        <v>10313</v>
      </c>
      <c r="K52" s="12" t="s">
        <v>6356</v>
      </c>
      <c r="L52" s="12" t="s">
        <v>6357</v>
      </c>
      <c r="M52" s="13">
        <v>42697</v>
      </c>
      <c r="N52" s="12" t="s">
        <v>6358</v>
      </c>
      <c r="O52" s="12" t="s">
        <v>6359</v>
      </c>
      <c r="P52" s="12"/>
      <c r="Q52" s="12">
        <v>1</v>
      </c>
    </row>
    <row r="53" spans="1:17" ht="15.75" customHeight="1">
      <c r="A53" s="12">
        <v>1768</v>
      </c>
      <c r="B53" s="12">
        <v>1869</v>
      </c>
      <c r="C53" s="12">
        <v>34058</v>
      </c>
      <c r="D53" s="12" t="s">
        <v>6047</v>
      </c>
      <c r="E53" s="12" t="s">
        <v>76</v>
      </c>
      <c r="F53" s="12" t="s">
        <v>6360</v>
      </c>
      <c r="G53" s="12" t="s">
        <v>6361</v>
      </c>
      <c r="H53" s="12" t="s">
        <v>6051</v>
      </c>
      <c r="I53" s="12" t="s">
        <v>6362</v>
      </c>
      <c r="J53" s="12">
        <v>34058</v>
      </c>
      <c r="K53" s="12" t="s">
        <v>6062</v>
      </c>
      <c r="L53" s="12" t="s">
        <v>6063</v>
      </c>
      <c r="M53" s="13">
        <v>40873</v>
      </c>
      <c r="N53" s="12" t="s">
        <v>6064</v>
      </c>
      <c r="O53" s="12" t="s">
        <v>6065</v>
      </c>
      <c r="P53" s="12"/>
      <c r="Q53" s="12">
        <v>1</v>
      </c>
    </row>
    <row r="54" spans="1:17" ht="15.75" customHeight="1">
      <c r="A54" s="12">
        <v>1602</v>
      </c>
      <c r="B54" s="12">
        <v>1618</v>
      </c>
      <c r="C54" s="12">
        <v>28633</v>
      </c>
      <c r="D54" s="12" t="s">
        <v>6047</v>
      </c>
      <c r="E54" s="12" t="s">
        <v>6363</v>
      </c>
      <c r="F54" s="12" t="s">
        <v>6364</v>
      </c>
      <c r="G54" s="12" t="s">
        <v>6365</v>
      </c>
      <c r="H54" s="12" t="s">
        <v>6051</v>
      </c>
      <c r="I54" s="12" t="s">
        <v>6366</v>
      </c>
      <c r="J54" s="12">
        <v>28633</v>
      </c>
      <c r="K54" s="12" t="s">
        <v>6300</v>
      </c>
      <c r="L54" s="12" t="s">
        <v>6240</v>
      </c>
      <c r="M54" s="13">
        <v>41396</v>
      </c>
      <c r="N54" s="12" t="s">
        <v>6301</v>
      </c>
      <c r="O54" s="12" t="s">
        <v>6302</v>
      </c>
      <c r="P54" s="12"/>
      <c r="Q54" s="12">
        <v>1</v>
      </c>
    </row>
    <row r="55" spans="1:17" ht="15.75" customHeight="1">
      <c r="A55" s="12">
        <v>3</v>
      </c>
      <c r="B55" s="12">
        <v>872</v>
      </c>
      <c r="C55" s="12">
        <v>11216</v>
      </c>
      <c r="D55" s="12" t="s">
        <v>6047</v>
      </c>
      <c r="E55" s="12" t="s">
        <v>150</v>
      </c>
      <c r="F55" s="12" t="s">
        <v>6367</v>
      </c>
      <c r="G55" s="12" t="s">
        <v>6368</v>
      </c>
      <c r="H55" s="12" t="s">
        <v>6060</v>
      </c>
      <c r="I55" s="12" t="s">
        <v>6061</v>
      </c>
      <c r="J55" s="12">
        <v>11216</v>
      </c>
      <c r="K55" s="12" t="s">
        <v>6369</v>
      </c>
      <c r="L55" s="12" t="s">
        <v>6284</v>
      </c>
      <c r="M55" s="13">
        <v>46086</v>
      </c>
      <c r="N55" s="12" t="s">
        <v>6370</v>
      </c>
      <c r="O55" s="12" t="s">
        <v>6371</v>
      </c>
      <c r="P55" s="12"/>
      <c r="Q55" s="12">
        <v>1</v>
      </c>
    </row>
    <row r="56" spans="1:17" ht="15.75" customHeight="1">
      <c r="A56" s="12">
        <v>1529</v>
      </c>
      <c r="B56" s="12">
        <v>1777</v>
      </c>
      <c r="C56" s="12">
        <v>33095</v>
      </c>
      <c r="D56" s="12" t="s">
        <v>6047</v>
      </c>
      <c r="E56" s="12" t="s">
        <v>152</v>
      </c>
      <c r="F56" s="12" t="s">
        <v>6372</v>
      </c>
      <c r="G56" s="12" t="s">
        <v>6373</v>
      </c>
      <c r="H56" s="12" t="s">
        <v>6051</v>
      </c>
      <c r="I56" s="12" t="s">
        <v>6374</v>
      </c>
      <c r="J56" s="12">
        <v>33095</v>
      </c>
      <c r="K56" s="12" t="s">
        <v>6375</v>
      </c>
      <c r="L56" s="12" t="s">
        <v>6240</v>
      </c>
      <c r="M56" s="13">
        <v>41629</v>
      </c>
      <c r="N56" s="12" t="s">
        <v>6376</v>
      </c>
      <c r="O56" s="12" t="s">
        <v>6377</v>
      </c>
      <c r="P56" s="12"/>
      <c r="Q56" s="12">
        <v>1</v>
      </c>
    </row>
    <row r="57" spans="1:17" ht="15.75" customHeight="1">
      <c r="A57" s="12">
        <v>1646</v>
      </c>
      <c r="B57" s="12">
        <v>628</v>
      </c>
      <c r="C57" s="12">
        <v>7791</v>
      </c>
      <c r="D57" s="12" t="s">
        <v>6047</v>
      </c>
      <c r="E57" s="12" t="s">
        <v>156</v>
      </c>
      <c r="F57" s="12" t="s">
        <v>6378</v>
      </c>
      <c r="G57" s="12" t="s">
        <v>6379</v>
      </c>
      <c r="H57" s="12" t="s">
        <v>6187</v>
      </c>
      <c r="I57" s="12" t="s">
        <v>6380</v>
      </c>
      <c r="J57" s="12">
        <v>7791</v>
      </c>
      <c r="K57" s="12" t="s">
        <v>6381</v>
      </c>
      <c r="L57" s="12" t="s">
        <v>6345</v>
      </c>
      <c r="M57" s="13">
        <v>41260</v>
      </c>
      <c r="N57" s="12" t="s">
        <v>6382</v>
      </c>
      <c r="O57" s="12" t="s">
        <v>6383</v>
      </c>
      <c r="P57" s="12"/>
      <c r="Q57" s="12">
        <v>1</v>
      </c>
    </row>
    <row r="58" spans="1:17" ht="15.75" customHeight="1">
      <c r="A58" s="12">
        <v>1637</v>
      </c>
      <c r="B58" s="12">
        <v>37</v>
      </c>
      <c r="C58" s="12">
        <v>517</v>
      </c>
      <c r="D58" s="12" t="s">
        <v>6047</v>
      </c>
      <c r="E58" s="12" t="s">
        <v>78</v>
      </c>
      <c r="F58" s="12" t="s">
        <v>6384</v>
      </c>
      <c r="G58" s="12" t="s">
        <v>6385</v>
      </c>
      <c r="H58" s="12" t="s">
        <v>6289</v>
      </c>
      <c r="I58" s="12" t="s">
        <v>6290</v>
      </c>
      <c r="J58" s="12">
        <v>517</v>
      </c>
      <c r="K58" s="12" t="s">
        <v>6386</v>
      </c>
      <c r="L58" s="12" t="s">
        <v>6345</v>
      </c>
      <c r="M58" s="13">
        <v>41275</v>
      </c>
      <c r="N58" s="12" t="s">
        <v>6387</v>
      </c>
      <c r="O58" s="12" t="s">
        <v>6388</v>
      </c>
      <c r="P58" s="12"/>
      <c r="Q58" s="12">
        <v>1</v>
      </c>
    </row>
    <row r="59" spans="1:17" ht="15.75" customHeight="1">
      <c r="A59" s="12">
        <v>1113</v>
      </c>
      <c r="B59" s="12">
        <v>436</v>
      </c>
      <c r="C59" s="12">
        <v>6064</v>
      </c>
      <c r="D59" s="12" t="s">
        <v>6047</v>
      </c>
      <c r="E59" s="12" t="s">
        <v>80</v>
      </c>
      <c r="F59" s="12" t="s">
        <v>6389</v>
      </c>
      <c r="G59" s="12" t="s">
        <v>6390</v>
      </c>
      <c r="H59" s="12" t="s">
        <v>6137</v>
      </c>
      <c r="I59" s="12" t="s">
        <v>6391</v>
      </c>
      <c r="J59" s="12">
        <v>6064</v>
      </c>
      <c r="K59" s="12" t="s">
        <v>6392</v>
      </c>
      <c r="L59" s="12" t="s">
        <v>6393</v>
      </c>
      <c r="M59" s="13">
        <v>42495</v>
      </c>
      <c r="N59" s="12" t="s">
        <v>6394</v>
      </c>
      <c r="O59" s="12" t="s">
        <v>6395</v>
      </c>
      <c r="P59" s="12"/>
      <c r="Q59" s="12">
        <v>1</v>
      </c>
    </row>
    <row r="60" spans="1:17" ht="15.75" customHeight="1">
      <c r="A60" s="12">
        <v>1483</v>
      </c>
      <c r="B60" s="12">
        <v>1654</v>
      </c>
      <c r="C60" s="12">
        <v>30263</v>
      </c>
      <c r="D60" s="12" t="s">
        <v>6047</v>
      </c>
      <c r="E60" s="12" t="s">
        <v>6396</v>
      </c>
      <c r="F60" s="12" t="s">
        <v>6397</v>
      </c>
      <c r="G60" s="12" t="s">
        <v>6398</v>
      </c>
      <c r="H60" s="12" t="s">
        <v>6051</v>
      </c>
      <c r="I60" s="12" t="s">
        <v>6399</v>
      </c>
      <c r="J60" s="12">
        <v>30263</v>
      </c>
      <c r="K60" s="12" t="s">
        <v>6400</v>
      </c>
      <c r="L60" s="12" t="s">
        <v>6087</v>
      </c>
      <c r="M60" s="13">
        <v>41905</v>
      </c>
      <c r="N60" s="12" t="s">
        <v>6401</v>
      </c>
      <c r="O60" s="12" t="s">
        <v>6402</v>
      </c>
      <c r="P60" s="12"/>
      <c r="Q60" s="12">
        <v>1</v>
      </c>
    </row>
    <row r="61" spans="1:17" ht="15.75" customHeight="1">
      <c r="A61" s="12">
        <v>577</v>
      </c>
      <c r="B61" s="12">
        <v>1103</v>
      </c>
      <c r="C61" s="12">
        <v>15900</v>
      </c>
      <c r="D61" s="12" t="s">
        <v>6047</v>
      </c>
      <c r="E61" s="12" t="s">
        <v>6403</v>
      </c>
      <c r="F61" s="12" t="s">
        <v>6404</v>
      </c>
      <c r="G61" s="12" t="s">
        <v>6405</v>
      </c>
      <c r="H61" s="12" t="s">
        <v>6051</v>
      </c>
      <c r="I61" s="12" t="s">
        <v>6406</v>
      </c>
      <c r="J61" s="12">
        <v>15900</v>
      </c>
      <c r="K61" s="12" t="s">
        <v>6407</v>
      </c>
      <c r="L61" s="12" t="s">
        <v>6408</v>
      </c>
      <c r="M61" s="13">
        <v>43561</v>
      </c>
      <c r="N61" s="12" t="s">
        <v>6409</v>
      </c>
      <c r="O61" s="12" t="s">
        <v>6410</v>
      </c>
      <c r="P61" s="12"/>
      <c r="Q61" s="12">
        <v>1</v>
      </c>
    </row>
    <row r="62" spans="1:17" ht="15.75" customHeight="1">
      <c r="A62" s="12">
        <v>510</v>
      </c>
      <c r="B62" s="12">
        <v>634</v>
      </c>
      <c r="C62" s="12">
        <v>7810</v>
      </c>
      <c r="D62" s="12" t="s">
        <v>6047</v>
      </c>
      <c r="E62" s="12" t="s">
        <v>6411</v>
      </c>
      <c r="F62" s="12" t="s">
        <v>6412</v>
      </c>
      <c r="G62" s="12" t="s">
        <v>6413</v>
      </c>
      <c r="H62" s="12" t="s">
        <v>6414</v>
      </c>
      <c r="I62" s="12" t="s">
        <v>6415</v>
      </c>
      <c r="J62" s="12">
        <v>7810</v>
      </c>
      <c r="K62" s="12" t="s">
        <v>6416</v>
      </c>
      <c r="L62" s="12" t="s">
        <v>6417</v>
      </c>
      <c r="M62" s="13">
        <v>43567</v>
      </c>
      <c r="N62" s="12" t="s">
        <v>6418</v>
      </c>
      <c r="O62" s="12" t="s">
        <v>6419</v>
      </c>
      <c r="P62" s="12"/>
      <c r="Q62" s="12">
        <v>1</v>
      </c>
    </row>
    <row r="63" spans="1:17" ht="15.75" customHeight="1">
      <c r="A63" s="12">
        <v>1306</v>
      </c>
      <c r="B63" s="12">
        <v>74</v>
      </c>
      <c r="C63" s="12">
        <v>780</v>
      </c>
      <c r="D63" s="12" t="s">
        <v>6047</v>
      </c>
      <c r="E63" s="12" t="s">
        <v>164</v>
      </c>
      <c r="F63" s="12" t="s">
        <v>6420</v>
      </c>
      <c r="G63" s="12" t="s">
        <v>6421</v>
      </c>
      <c r="H63" s="12" t="s">
        <v>6289</v>
      </c>
      <c r="I63" s="12" t="s">
        <v>6290</v>
      </c>
      <c r="J63" s="12">
        <v>780</v>
      </c>
      <c r="K63" s="12" t="s">
        <v>6422</v>
      </c>
      <c r="L63" s="12" t="s">
        <v>6423</v>
      </c>
      <c r="M63" s="13">
        <v>41989</v>
      </c>
      <c r="N63" s="12" t="s">
        <v>6424</v>
      </c>
      <c r="O63" s="12" t="s">
        <v>6425</v>
      </c>
      <c r="P63" s="12"/>
      <c r="Q63" s="12">
        <v>1</v>
      </c>
    </row>
    <row r="64" spans="1:17" ht="15.75" customHeight="1">
      <c r="A64" s="12">
        <v>1241</v>
      </c>
      <c r="B64" s="12">
        <v>335</v>
      </c>
      <c r="C64" s="12">
        <v>5130</v>
      </c>
      <c r="D64" s="12" t="s">
        <v>6047</v>
      </c>
      <c r="E64" s="12" t="s">
        <v>6426</v>
      </c>
      <c r="F64" s="12" t="s">
        <v>6427</v>
      </c>
      <c r="G64" s="12" t="s">
        <v>6428</v>
      </c>
      <c r="H64" s="12" t="s">
        <v>6163</v>
      </c>
      <c r="I64" s="12" t="s">
        <v>6253</v>
      </c>
      <c r="J64" s="12">
        <v>5130</v>
      </c>
      <c r="K64" s="12" t="s">
        <v>6429</v>
      </c>
      <c r="L64" s="12" t="s">
        <v>6423</v>
      </c>
      <c r="M64" s="13">
        <v>41991</v>
      </c>
      <c r="N64" s="12" t="s">
        <v>6430</v>
      </c>
      <c r="O64" s="12" t="s">
        <v>6431</v>
      </c>
      <c r="P64" s="12"/>
      <c r="Q64" s="12">
        <v>1</v>
      </c>
    </row>
    <row r="65" spans="1:17" ht="15.75" customHeight="1">
      <c r="A65" s="12">
        <v>603</v>
      </c>
      <c r="B65" s="12">
        <v>83</v>
      </c>
      <c r="C65" s="12">
        <v>900</v>
      </c>
      <c r="D65" s="12" t="s">
        <v>6047</v>
      </c>
      <c r="E65" s="12" t="s">
        <v>6432</v>
      </c>
      <c r="F65" s="12" t="s">
        <v>6433</v>
      </c>
      <c r="G65" s="12" t="s">
        <v>6434</v>
      </c>
      <c r="H65" s="12" t="s">
        <v>6435</v>
      </c>
      <c r="I65" s="12" t="s">
        <v>6436</v>
      </c>
      <c r="J65" s="12">
        <v>900</v>
      </c>
      <c r="K65" s="12" t="s">
        <v>6437</v>
      </c>
      <c r="L65" s="12" t="s">
        <v>6408</v>
      </c>
      <c r="M65" s="13">
        <v>43559</v>
      </c>
      <c r="N65" s="12" t="s">
        <v>6438</v>
      </c>
      <c r="O65" s="12" t="s">
        <v>6439</v>
      </c>
      <c r="P65" s="12"/>
      <c r="Q65" s="12">
        <v>1</v>
      </c>
    </row>
    <row r="66" spans="1:17" ht="15.75" customHeight="1">
      <c r="A66" s="12">
        <v>513</v>
      </c>
      <c r="B66" s="12">
        <v>484</v>
      </c>
      <c r="C66" s="12">
        <v>6470</v>
      </c>
      <c r="D66" s="12" t="s">
        <v>6047</v>
      </c>
      <c r="E66" s="12" t="s">
        <v>6440</v>
      </c>
      <c r="F66" s="12" t="s">
        <v>6441</v>
      </c>
      <c r="G66" s="12" t="s">
        <v>6442</v>
      </c>
      <c r="H66" s="12" t="s">
        <v>6137</v>
      </c>
      <c r="I66" s="12" t="s">
        <v>6200</v>
      </c>
      <c r="J66" s="12">
        <v>6470</v>
      </c>
      <c r="K66" s="12" t="s">
        <v>6416</v>
      </c>
      <c r="L66" s="12" t="s">
        <v>6417</v>
      </c>
      <c r="M66" s="13">
        <v>43567</v>
      </c>
      <c r="N66" s="12" t="s">
        <v>6418</v>
      </c>
      <c r="O66" s="12" t="s">
        <v>6419</v>
      </c>
      <c r="P66" s="12"/>
      <c r="Q66" s="12">
        <v>1</v>
      </c>
    </row>
    <row r="67" spans="1:17" ht="15.75" customHeight="1">
      <c r="A67" s="12">
        <v>511</v>
      </c>
      <c r="B67" s="12">
        <v>581</v>
      </c>
      <c r="C67" s="12">
        <v>7488</v>
      </c>
      <c r="D67" s="12" t="s">
        <v>6047</v>
      </c>
      <c r="E67" s="12" t="s">
        <v>6443</v>
      </c>
      <c r="F67" s="12" t="s">
        <v>6444</v>
      </c>
      <c r="G67" s="12" t="s">
        <v>6445</v>
      </c>
      <c r="H67" s="12" t="s">
        <v>6187</v>
      </c>
      <c r="I67" s="12" t="s">
        <v>6188</v>
      </c>
      <c r="J67" s="12">
        <v>7488</v>
      </c>
      <c r="K67" s="12" t="s">
        <v>6416</v>
      </c>
      <c r="L67" s="12" t="s">
        <v>6417</v>
      </c>
      <c r="M67" s="13">
        <v>43567</v>
      </c>
      <c r="N67" s="12" t="s">
        <v>6418</v>
      </c>
      <c r="O67" s="12" t="s">
        <v>6419</v>
      </c>
      <c r="P67" s="12"/>
      <c r="Q67" s="12">
        <v>1</v>
      </c>
    </row>
    <row r="68" spans="1:17" ht="15.75" customHeight="1">
      <c r="A68" s="12">
        <v>1239</v>
      </c>
      <c r="B68" s="12">
        <v>791</v>
      </c>
      <c r="C68" s="12">
        <v>9880</v>
      </c>
      <c r="D68" s="12" t="s">
        <v>6047</v>
      </c>
      <c r="E68" s="12" t="s">
        <v>6446</v>
      </c>
      <c r="F68" s="12" t="s">
        <v>6447</v>
      </c>
      <c r="G68" s="12" t="s">
        <v>6448</v>
      </c>
      <c r="H68" s="12" t="s">
        <v>6265</v>
      </c>
      <c r="I68" s="12" t="s">
        <v>6449</v>
      </c>
      <c r="J68" s="12">
        <v>9880</v>
      </c>
      <c r="K68" s="12" t="s">
        <v>6429</v>
      </c>
      <c r="L68" s="12" t="s">
        <v>6423</v>
      </c>
      <c r="M68" s="13">
        <v>41991</v>
      </c>
      <c r="N68" s="12" t="s">
        <v>6430</v>
      </c>
      <c r="O68" s="12" t="s">
        <v>6431</v>
      </c>
      <c r="P68" s="12"/>
      <c r="Q68" s="12">
        <v>1</v>
      </c>
    </row>
    <row r="69" spans="1:17" ht="15.75" customHeight="1">
      <c r="A69" s="12">
        <v>476</v>
      </c>
      <c r="B69" s="12">
        <v>738</v>
      </c>
      <c r="C69" s="12">
        <v>9022</v>
      </c>
      <c r="D69" s="12" t="s">
        <v>6047</v>
      </c>
      <c r="E69" s="12" t="s">
        <v>6450</v>
      </c>
      <c r="F69" s="12" t="s">
        <v>6451</v>
      </c>
      <c r="G69" s="12" t="s">
        <v>6452</v>
      </c>
      <c r="H69" s="12" t="s">
        <v>6275</v>
      </c>
      <c r="I69" s="12" t="s">
        <v>6453</v>
      </c>
      <c r="J69" s="12">
        <v>9022</v>
      </c>
      <c r="K69" s="12" t="s">
        <v>6454</v>
      </c>
      <c r="L69" s="12" t="s">
        <v>6455</v>
      </c>
      <c r="M69" s="13">
        <v>43786</v>
      </c>
      <c r="N69" s="12" t="s">
        <v>6456</v>
      </c>
      <c r="O69" s="12" t="s">
        <v>6457</v>
      </c>
      <c r="P69" s="12"/>
      <c r="Q69" s="12">
        <v>1</v>
      </c>
    </row>
    <row r="70" spans="1:17" ht="15.75" customHeight="1">
      <c r="A70" s="12">
        <v>470</v>
      </c>
      <c r="B70" s="12">
        <v>1749</v>
      </c>
      <c r="C70" s="12">
        <v>32627</v>
      </c>
      <c r="D70" s="12" t="s">
        <v>6047</v>
      </c>
      <c r="E70" s="12" t="s">
        <v>6458</v>
      </c>
      <c r="F70" s="12" t="s">
        <v>6459</v>
      </c>
      <c r="G70" s="12" t="s">
        <v>6460</v>
      </c>
      <c r="H70" s="12" t="s">
        <v>6051</v>
      </c>
      <c r="I70" s="12" t="s">
        <v>6232</v>
      </c>
      <c r="J70" s="12">
        <v>32627</v>
      </c>
      <c r="K70" s="12" t="s">
        <v>6454</v>
      </c>
      <c r="L70" s="12" t="s">
        <v>6455</v>
      </c>
      <c r="M70" s="13">
        <v>43786</v>
      </c>
      <c r="N70" s="12" t="s">
        <v>6456</v>
      </c>
      <c r="O70" s="12" t="s">
        <v>6457</v>
      </c>
      <c r="P70" s="12"/>
      <c r="Q70" s="12">
        <v>1</v>
      </c>
    </row>
    <row r="71" spans="1:17" ht="15.75" customHeight="1">
      <c r="A71" s="12">
        <v>560</v>
      </c>
      <c r="B71" s="12">
        <v>1600</v>
      </c>
      <c r="C71" s="12">
        <v>28186</v>
      </c>
      <c r="D71" s="12" t="s">
        <v>6047</v>
      </c>
      <c r="E71" s="12" t="s">
        <v>6461</v>
      </c>
      <c r="F71" s="12" t="s">
        <v>6462</v>
      </c>
      <c r="G71" s="12" t="s">
        <v>6463</v>
      </c>
      <c r="H71" s="12" t="s">
        <v>6051</v>
      </c>
      <c r="I71" s="12" t="s">
        <v>6366</v>
      </c>
      <c r="J71" s="12">
        <v>28186</v>
      </c>
      <c r="K71" s="12" t="s">
        <v>6464</v>
      </c>
      <c r="L71" s="12" t="s">
        <v>6408</v>
      </c>
      <c r="M71" s="13">
        <v>43562</v>
      </c>
      <c r="N71" s="12" t="s">
        <v>6465</v>
      </c>
      <c r="O71" s="12" t="s">
        <v>6466</v>
      </c>
      <c r="P71" s="12"/>
      <c r="Q71" s="12">
        <v>1</v>
      </c>
    </row>
    <row r="72" spans="1:17" ht="15.75" customHeight="1">
      <c r="A72" s="12">
        <v>1275</v>
      </c>
      <c r="B72" s="12">
        <v>49</v>
      </c>
      <c r="C72" s="12">
        <v>626</v>
      </c>
      <c r="D72" s="12" t="s">
        <v>6047</v>
      </c>
      <c r="E72" s="12" t="s">
        <v>6467</v>
      </c>
      <c r="F72" s="12" t="s">
        <v>6468</v>
      </c>
      <c r="G72" s="12" t="s">
        <v>6469</v>
      </c>
      <c r="H72" s="12" t="s">
        <v>6289</v>
      </c>
      <c r="I72" s="12" t="s">
        <v>6290</v>
      </c>
      <c r="J72" s="12">
        <v>626</v>
      </c>
      <c r="K72" s="12" t="s">
        <v>6470</v>
      </c>
      <c r="L72" s="12" t="s">
        <v>6423</v>
      </c>
      <c r="M72" s="13">
        <v>41990</v>
      </c>
      <c r="N72" s="12" t="s">
        <v>6471</v>
      </c>
      <c r="O72" s="12" t="s">
        <v>6472</v>
      </c>
      <c r="P72" s="12"/>
      <c r="Q72" s="12">
        <v>1</v>
      </c>
    </row>
    <row r="73" spans="1:17" ht="15.75" customHeight="1">
      <c r="A73" s="12">
        <v>1263</v>
      </c>
      <c r="B73" s="12">
        <v>1072</v>
      </c>
      <c r="C73" s="12">
        <v>15336</v>
      </c>
      <c r="D73" s="12" t="s">
        <v>6047</v>
      </c>
      <c r="E73" s="12" t="s">
        <v>6473</v>
      </c>
      <c r="F73" s="12" t="s">
        <v>6474</v>
      </c>
      <c r="G73" s="12" t="s">
        <v>6475</v>
      </c>
      <c r="H73" s="12" t="s">
        <v>6051</v>
      </c>
      <c r="I73" s="12" t="s">
        <v>6476</v>
      </c>
      <c r="J73" s="12">
        <v>15336</v>
      </c>
      <c r="K73" s="12" t="s">
        <v>6470</v>
      </c>
      <c r="L73" s="12" t="s">
        <v>6423</v>
      </c>
      <c r="M73" s="13">
        <v>41990</v>
      </c>
      <c r="N73" s="12" t="s">
        <v>6471</v>
      </c>
      <c r="O73" s="12" t="s">
        <v>6472</v>
      </c>
      <c r="P73" s="12"/>
      <c r="Q73" s="12">
        <v>1</v>
      </c>
    </row>
    <row r="74" spans="1:17" ht="15.75" customHeight="1">
      <c r="A74" s="12">
        <v>1750</v>
      </c>
      <c r="B74" s="12">
        <v>559</v>
      </c>
      <c r="C74" s="12">
        <v>7367</v>
      </c>
      <c r="D74" s="12" t="s">
        <v>6047</v>
      </c>
      <c r="E74" s="12" t="s">
        <v>6477</v>
      </c>
      <c r="F74" s="12" t="s">
        <v>6478</v>
      </c>
      <c r="G74" s="12" t="s">
        <v>6479</v>
      </c>
      <c r="H74" s="12" t="s">
        <v>6084</v>
      </c>
      <c r="I74" s="12" t="s">
        <v>6085</v>
      </c>
      <c r="J74" s="12">
        <v>7367</v>
      </c>
      <c r="K74" s="12" t="s">
        <v>6480</v>
      </c>
      <c r="L74" s="12" t="s">
        <v>6063</v>
      </c>
      <c r="M74" s="13">
        <v>40874</v>
      </c>
      <c r="N74" s="12" t="s">
        <v>6481</v>
      </c>
      <c r="O74" s="12" t="s">
        <v>6482</v>
      </c>
      <c r="P74" s="12"/>
      <c r="Q74" s="12">
        <v>1</v>
      </c>
    </row>
    <row r="75" spans="1:17" ht="15.75" customHeight="1">
      <c r="A75" s="12">
        <v>1579</v>
      </c>
      <c r="B75" s="12">
        <v>302</v>
      </c>
      <c r="C75" s="12">
        <v>4814</v>
      </c>
      <c r="D75" s="12" t="s">
        <v>6047</v>
      </c>
      <c r="E75" s="12" t="s">
        <v>203</v>
      </c>
      <c r="F75" s="12" t="s">
        <v>6483</v>
      </c>
      <c r="G75" s="12" t="s">
        <v>6484</v>
      </c>
      <c r="H75" s="12" t="s">
        <v>6163</v>
      </c>
      <c r="I75" s="12" t="s">
        <v>6253</v>
      </c>
      <c r="J75" s="12">
        <v>4814</v>
      </c>
      <c r="K75" s="12" t="s">
        <v>6485</v>
      </c>
      <c r="L75" s="12" t="s">
        <v>6255</v>
      </c>
      <c r="M75" s="13">
        <v>41560</v>
      </c>
      <c r="N75" s="12" t="s">
        <v>6486</v>
      </c>
      <c r="O75" s="12" t="s">
        <v>6487</v>
      </c>
      <c r="P75" s="12"/>
      <c r="Q75" s="12">
        <v>1</v>
      </c>
    </row>
    <row r="76" spans="1:17" ht="15.75" customHeight="1">
      <c r="A76" s="12">
        <v>651</v>
      </c>
      <c r="B76" s="12">
        <v>1731</v>
      </c>
      <c r="C76" s="12">
        <v>32117</v>
      </c>
      <c r="D76" s="12" t="s">
        <v>6047</v>
      </c>
      <c r="E76" s="12" t="s">
        <v>6488</v>
      </c>
      <c r="F76" s="12" t="s">
        <v>6489</v>
      </c>
      <c r="G76" s="12" t="s">
        <v>6490</v>
      </c>
      <c r="H76" s="12" t="s">
        <v>6051</v>
      </c>
      <c r="I76" s="12" t="s">
        <v>6232</v>
      </c>
      <c r="J76" s="12">
        <v>32117</v>
      </c>
      <c r="K76" s="12" t="s">
        <v>6491</v>
      </c>
      <c r="L76" s="12" t="s">
        <v>6193</v>
      </c>
      <c r="M76" s="13">
        <v>43404</v>
      </c>
      <c r="N76" s="12" t="s">
        <v>6492</v>
      </c>
      <c r="O76" s="12" t="s">
        <v>6493</v>
      </c>
      <c r="P76" s="12"/>
      <c r="Q76" s="12">
        <v>1</v>
      </c>
    </row>
    <row r="77" spans="1:17" ht="15.75" customHeight="1">
      <c r="A77" s="12">
        <v>460</v>
      </c>
      <c r="B77" s="12">
        <v>1216</v>
      </c>
      <c r="C77" s="12">
        <v>17316</v>
      </c>
      <c r="D77" s="12" t="s">
        <v>6047</v>
      </c>
      <c r="E77" s="12" t="s">
        <v>6494</v>
      </c>
      <c r="F77" s="12" t="s">
        <v>6495</v>
      </c>
      <c r="G77" s="12" t="s">
        <v>6496</v>
      </c>
      <c r="H77" s="12" t="s">
        <v>6051</v>
      </c>
      <c r="I77" s="12" t="s">
        <v>6052</v>
      </c>
      <c r="J77" s="12">
        <v>17316</v>
      </c>
      <c r="K77" s="12" t="s">
        <v>6497</v>
      </c>
      <c r="L77" s="12" t="s">
        <v>6498</v>
      </c>
      <c r="M77" s="13">
        <v>43790</v>
      </c>
      <c r="N77" s="12" t="s">
        <v>6499</v>
      </c>
      <c r="O77" s="12" t="s">
        <v>6500</v>
      </c>
      <c r="P77" s="12"/>
      <c r="Q77" s="12">
        <v>1</v>
      </c>
    </row>
    <row r="78" spans="1:17" ht="15.75" customHeight="1">
      <c r="A78" s="12">
        <v>1042</v>
      </c>
      <c r="B78" s="12">
        <v>913</v>
      </c>
      <c r="C78" s="12">
        <v>12092</v>
      </c>
      <c r="D78" s="12" t="s">
        <v>6047</v>
      </c>
      <c r="E78" s="12" t="s">
        <v>211</v>
      </c>
      <c r="F78" s="12" t="s">
        <v>6501</v>
      </c>
      <c r="G78" s="12" t="s">
        <v>6502</v>
      </c>
      <c r="H78" s="12" t="s">
        <v>6340</v>
      </c>
      <c r="I78" s="12" t="s">
        <v>6341</v>
      </c>
      <c r="J78" s="12">
        <v>12092</v>
      </c>
      <c r="K78" s="12" t="s">
        <v>6503</v>
      </c>
      <c r="L78" s="12" t="s">
        <v>6504</v>
      </c>
      <c r="M78" s="13">
        <v>42688</v>
      </c>
      <c r="N78" s="12" t="s">
        <v>6505</v>
      </c>
      <c r="O78" s="12" t="s">
        <v>6506</v>
      </c>
      <c r="P78" s="12"/>
      <c r="Q78" s="12">
        <v>1</v>
      </c>
    </row>
    <row r="79" spans="1:17" ht="15.75" customHeight="1">
      <c r="A79" s="12">
        <v>108</v>
      </c>
      <c r="B79" s="12">
        <v>1401</v>
      </c>
      <c r="C79" s="12">
        <v>21017</v>
      </c>
      <c r="D79" s="12" t="s">
        <v>6047</v>
      </c>
      <c r="E79" s="12" t="s">
        <v>213</v>
      </c>
      <c r="F79" s="12" t="s">
        <v>6507</v>
      </c>
      <c r="G79" s="12" t="s">
        <v>6508</v>
      </c>
      <c r="H79" s="12" t="s">
        <v>6051</v>
      </c>
      <c r="I79" s="12" t="s">
        <v>6509</v>
      </c>
      <c r="J79" s="12">
        <v>21017</v>
      </c>
      <c r="K79" s="12" t="s">
        <v>6510</v>
      </c>
      <c r="L79" s="12" t="s">
        <v>6511</v>
      </c>
      <c r="M79" s="13">
        <v>45966</v>
      </c>
      <c r="N79" s="12" t="s">
        <v>6512</v>
      </c>
      <c r="O79" s="12" t="s">
        <v>6513</v>
      </c>
      <c r="P79" s="12"/>
      <c r="Q79" s="12">
        <v>1</v>
      </c>
    </row>
    <row r="80" spans="1:17" ht="15.75" customHeight="1">
      <c r="A80" s="12">
        <v>228</v>
      </c>
      <c r="B80" s="12">
        <v>1482</v>
      </c>
      <c r="C80" s="12">
        <v>23977</v>
      </c>
      <c r="D80" s="12" t="s">
        <v>6047</v>
      </c>
      <c r="E80" s="12" t="s">
        <v>216</v>
      </c>
      <c r="F80" s="12" t="s">
        <v>6514</v>
      </c>
      <c r="G80" s="12" t="s">
        <v>6515</v>
      </c>
      <c r="H80" s="12" t="s">
        <v>6051</v>
      </c>
      <c r="I80" s="12" t="s">
        <v>6516</v>
      </c>
      <c r="J80" s="12">
        <v>23977</v>
      </c>
      <c r="K80" s="12" t="s">
        <v>6517</v>
      </c>
      <c r="L80" s="12" t="s">
        <v>6518</v>
      </c>
      <c r="M80" s="13">
        <v>45608</v>
      </c>
      <c r="N80" s="12" t="s">
        <v>6519</v>
      </c>
      <c r="O80" s="12" t="s">
        <v>6520</v>
      </c>
      <c r="P80" s="12"/>
      <c r="Q80" s="12">
        <v>1</v>
      </c>
    </row>
    <row r="81" spans="1:17" ht="15.75" customHeight="1">
      <c r="A81" s="12">
        <v>221</v>
      </c>
      <c r="B81" s="12">
        <v>1365</v>
      </c>
      <c r="C81" s="12">
        <v>19969</v>
      </c>
      <c r="D81" s="12" t="s">
        <v>6047</v>
      </c>
      <c r="E81" s="12" t="s">
        <v>218</v>
      </c>
      <c r="F81" s="12" t="s">
        <v>6521</v>
      </c>
      <c r="G81" s="12" t="s">
        <v>6522</v>
      </c>
      <c r="H81" s="12" t="s">
        <v>6051</v>
      </c>
      <c r="I81" s="12" t="s">
        <v>6523</v>
      </c>
      <c r="J81" s="12">
        <v>19969</v>
      </c>
      <c r="K81" s="12" t="s">
        <v>6524</v>
      </c>
      <c r="L81" s="12" t="s">
        <v>6518</v>
      </c>
      <c r="M81" s="13">
        <v>45609</v>
      </c>
      <c r="N81" s="12" t="s">
        <v>6525</v>
      </c>
      <c r="O81" s="12" t="s">
        <v>6526</v>
      </c>
      <c r="P81" s="12"/>
      <c r="Q81" s="12">
        <v>1</v>
      </c>
    </row>
    <row r="82" spans="1:17" ht="15.75" customHeight="1">
      <c r="A82" s="12">
        <v>679</v>
      </c>
      <c r="B82" s="12">
        <v>510</v>
      </c>
      <c r="C82" s="12">
        <v>6733</v>
      </c>
      <c r="D82" s="12" t="s">
        <v>6047</v>
      </c>
      <c r="E82" s="12" t="s">
        <v>6527</v>
      </c>
      <c r="F82" s="12" t="s">
        <v>6528</v>
      </c>
      <c r="G82" s="12" t="s">
        <v>6529</v>
      </c>
      <c r="H82" s="12" t="s">
        <v>6137</v>
      </c>
      <c r="I82" s="12" t="s">
        <v>6200</v>
      </c>
      <c r="J82" s="12">
        <v>6733</v>
      </c>
      <c r="K82" s="12" t="s">
        <v>6530</v>
      </c>
      <c r="L82" s="12" t="s">
        <v>6531</v>
      </c>
      <c r="M82" s="13">
        <v>43281</v>
      </c>
      <c r="N82" s="12" t="s">
        <v>6532</v>
      </c>
      <c r="O82" s="12" t="s">
        <v>6533</v>
      </c>
      <c r="P82" s="12"/>
      <c r="Q82" s="12">
        <v>1</v>
      </c>
    </row>
    <row r="83" spans="1:17" ht="15.75" customHeight="1">
      <c r="A83" s="12">
        <v>1317</v>
      </c>
      <c r="B83" s="12">
        <v>1519</v>
      </c>
      <c r="C83" s="12">
        <v>26680</v>
      </c>
      <c r="D83" s="12" t="s">
        <v>6047</v>
      </c>
      <c r="E83" s="12" t="s">
        <v>6534</v>
      </c>
      <c r="F83" s="12" t="s">
        <v>6535</v>
      </c>
      <c r="G83" s="12" t="s">
        <v>6536</v>
      </c>
      <c r="H83" s="12" t="s">
        <v>6051</v>
      </c>
      <c r="I83" s="12" t="s">
        <v>6537</v>
      </c>
      <c r="J83" s="12">
        <v>26680</v>
      </c>
      <c r="K83" s="12" t="s">
        <v>6105</v>
      </c>
      <c r="L83" s="12" t="s">
        <v>6106</v>
      </c>
      <c r="M83" s="13">
        <v>41925</v>
      </c>
      <c r="N83" s="12" t="s">
        <v>6107</v>
      </c>
      <c r="O83" s="12" t="s">
        <v>6108</v>
      </c>
      <c r="P83" s="12"/>
      <c r="Q83" s="12">
        <v>1</v>
      </c>
    </row>
    <row r="84" spans="1:17" ht="15.75" customHeight="1">
      <c r="A84" s="12">
        <v>492</v>
      </c>
      <c r="B84" s="12">
        <v>1079</v>
      </c>
      <c r="C84" s="12">
        <v>15522</v>
      </c>
      <c r="D84" s="12" t="s">
        <v>6047</v>
      </c>
      <c r="E84" s="12" t="s">
        <v>6538</v>
      </c>
      <c r="F84" s="12" t="s">
        <v>6539</v>
      </c>
      <c r="G84" s="12" t="s">
        <v>6540</v>
      </c>
      <c r="H84" s="12" t="s">
        <v>6051</v>
      </c>
      <c r="I84" s="12" t="s">
        <v>6476</v>
      </c>
      <c r="J84" s="12">
        <v>15522</v>
      </c>
      <c r="K84" s="12" t="s">
        <v>6541</v>
      </c>
      <c r="L84" s="12" t="s">
        <v>6455</v>
      </c>
      <c r="M84" s="13">
        <v>43784</v>
      </c>
      <c r="N84" s="12" t="s">
        <v>6542</v>
      </c>
      <c r="O84" s="12" t="s">
        <v>6543</v>
      </c>
      <c r="P84" s="12"/>
      <c r="Q84" s="12">
        <v>1</v>
      </c>
    </row>
    <row r="85" spans="1:17" ht="15.75" customHeight="1">
      <c r="A85" s="12">
        <v>1947</v>
      </c>
      <c r="B85" s="12">
        <v>1587</v>
      </c>
      <c r="C85" s="12">
        <v>27957</v>
      </c>
      <c r="D85" s="12" t="s">
        <v>6047</v>
      </c>
      <c r="E85" s="12" t="s">
        <v>6544</v>
      </c>
      <c r="F85" s="12" t="s">
        <v>6545</v>
      </c>
      <c r="G85" s="12" t="s">
        <v>6546</v>
      </c>
      <c r="H85" s="12" t="s">
        <v>6051</v>
      </c>
      <c r="I85" s="12" t="s">
        <v>6547</v>
      </c>
      <c r="J85" s="12">
        <v>27957</v>
      </c>
      <c r="K85" s="12" t="s">
        <v>6548</v>
      </c>
      <c r="L85" s="12" t="s">
        <v>6549</v>
      </c>
      <c r="M85" s="13">
        <v>38580</v>
      </c>
      <c r="N85" s="12" t="s">
        <v>6550</v>
      </c>
      <c r="O85" s="12" t="s">
        <v>6551</v>
      </c>
      <c r="P85" s="12"/>
      <c r="Q85" s="12">
        <v>1</v>
      </c>
    </row>
    <row r="86" spans="1:17" ht="15.75" customHeight="1">
      <c r="A86" s="12">
        <v>1106</v>
      </c>
      <c r="B86" s="12">
        <v>474</v>
      </c>
      <c r="C86" s="12">
        <v>6379</v>
      </c>
      <c r="D86" s="12" t="s">
        <v>6047</v>
      </c>
      <c r="E86" s="12" t="s">
        <v>6552</v>
      </c>
      <c r="F86" s="12" t="s">
        <v>6553</v>
      </c>
      <c r="G86" s="12" t="s">
        <v>6554</v>
      </c>
      <c r="H86" s="12" t="s">
        <v>6137</v>
      </c>
      <c r="I86" s="12" t="s">
        <v>6555</v>
      </c>
      <c r="J86" s="12">
        <v>6379</v>
      </c>
      <c r="K86" s="12" t="s">
        <v>6556</v>
      </c>
      <c r="L86" s="12" t="s">
        <v>6284</v>
      </c>
      <c r="M86" s="13">
        <v>42610</v>
      </c>
      <c r="N86" s="12" t="s">
        <v>6557</v>
      </c>
      <c r="O86" s="12" t="s">
        <v>6558</v>
      </c>
      <c r="P86" s="12"/>
      <c r="Q86" s="12">
        <v>1</v>
      </c>
    </row>
    <row r="87" spans="1:17" ht="15.75" customHeight="1">
      <c r="A87" s="12">
        <v>1951</v>
      </c>
      <c r="B87" s="12">
        <v>720</v>
      </c>
      <c r="C87" s="12">
        <v>8538</v>
      </c>
      <c r="D87" s="12" t="s">
        <v>6047</v>
      </c>
      <c r="E87" s="12" t="s">
        <v>234</v>
      </c>
      <c r="F87" s="12" t="s">
        <v>6559</v>
      </c>
      <c r="G87" s="12" t="s">
        <v>6560</v>
      </c>
      <c r="H87" s="12" t="s">
        <v>6075</v>
      </c>
      <c r="I87" s="12" t="s">
        <v>6076</v>
      </c>
      <c r="J87" s="12">
        <v>8538</v>
      </c>
      <c r="K87" s="12" t="s">
        <v>6548</v>
      </c>
      <c r="L87" s="12" t="s">
        <v>6549</v>
      </c>
      <c r="M87" s="13">
        <v>38580</v>
      </c>
      <c r="N87" s="12" t="s">
        <v>6550</v>
      </c>
      <c r="O87" s="12" t="s">
        <v>6551</v>
      </c>
      <c r="P87" s="12"/>
      <c r="Q87" s="12">
        <v>1</v>
      </c>
    </row>
    <row r="88" spans="1:17" ht="15.75" customHeight="1">
      <c r="A88" s="12">
        <v>142</v>
      </c>
      <c r="B88" s="12">
        <v>561</v>
      </c>
      <c r="C88" s="12">
        <v>7375</v>
      </c>
      <c r="D88" s="12" t="s">
        <v>6047</v>
      </c>
      <c r="E88" s="12" t="s">
        <v>236</v>
      </c>
      <c r="F88" s="12" t="s">
        <v>6561</v>
      </c>
      <c r="G88" s="12" t="s">
        <v>6562</v>
      </c>
      <c r="H88" s="12" t="s">
        <v>6084</v>
      </c>
      <c r="I88" s="12" t="s">
        <v>6085</v>
      </c>
      <c r="J88" s="12">
        <v>7375</v>
      </c>
      <c r="K88" s="12" t="s">
        <v>6563</v>
      </c>
      <c r="L88" s="12" t="s">
        <v>6564</v>
      </c>
      <c r="M88" s="13">
        <v>45961</v>
      </c>
      <c r="N88" s="12" t="s">
        <v>6565</v>
      </c>
      <c r="O88" s="12" t="s">
        <v>6566</v>
      </c>
      <c r="P88" s="12"/>
      <c r="Q88" s="12">
        <v>1</v>
      </c>
    </row>
    <row r="89" spans="1:17" ht="15.75" customHeight="1">
      <c r="A89" s="12">
        <v>5</v>
      </c>
      <c r="B89" s="12">
        <v>1349</v>
      </c>
      <c r="C89" s="12">
        <v>19708</v>
      </c>
      <c r="D89" s="12" t="s">
        <v>6047</v>
      </c>
      <c r="E89" s="12" t="s">
        <v>238</v>
      </c>
      <c r="F89" s="12" t="s">
        <v>6567</v>
      </c>
      <c r="G89" s="12" t="s">
        <v>6568</v>
      </c>
      <c r="H89" s="12" t="s">
        <v>6051</v>
      </c>
      <c r="I89" s="12" t="s">
        <v>6068</v>
      </c>
      <c r="J89" s="12">
        <v>19708</v>
      </c>
      <c r="K89" s="12" t="s">
        <v>6569</v>
      </c>
      <c r="L89" s="12" t="s">
        <v>6564</v>
      </c>
      <c r="M89" s="13">
        <v>45985</v>
      </c>
      <c r="N89" s="12" t="s">
        <v>6570</v>
      </c>
      <c r="O89" s="12" t="s">
        <v>6571</v>
      </c>
      <c r="P89" s="12"/>
      <c r="Q89" s="12">
        <v>1</v>
      </c>
    </row>
    <row r="90" spans="1:17" ht="15.75" customHeight="1">
      <c r="A90" s="12">
        <v>825</v>
      </c>
      <c r="B90" s="12">
        <v>553</v>
      </c>
      <c r="C90" s="12">
        <v>7335</v>
      </c>
      <c r="D90" s="12" t="s">
        <v>6047</v>
      </c>
      <c r="E90" s="12" t="s">
        <v>6572</v>
      </c>
      <c r="F90" s="12" t="s">
        <v>6573</v>
      </c>
      <c r="G90" s="12" t="s">
        <v>6574</v>
      </c>
      <c r="H90" s="12" t="s">
        <v>6084</v>
      </c>
      <c r="I90" s="12" t="s">
        <v>6575</v>
      </c>
      <c r="J90" s="12">
        <v>7335</v>
      </c>
      <c r="K90" s="12" t="s">
        <v>6576</v>
      </c>
      <c r="L90" s="12" t="s">
        <v>6564</v>
      </c>
      <c r="M90" s="13">
        <v>43023</v>
      </c>
      <c r="N90" s="12" t="s">
        <v>6577</v>
      </c>
      <c r="O90" s="12" t="s">
        <v>6578</v>
      </c>
      <c r="P90" s="12"/>
      <c r="Q90" s="12">
        <v>1</v>
      </c>
    </row>
    <row r="91" spans="1:17" ht="15.75" customHeight="1">
      <c r="A91" s="12">
        <v>857</v>
      </c>
      <c r="B91" s="12">
        <v>519</v>
      </c>
      <c r="C91" s="12">
        <v>6840</v>
      </c>
      <c r="D91" s="12" t="s">
        <v>6047</v>
      </c>
      <c r="E91" s="12" t="s">
        <v>6579</v>
      </c>
      <c r="F91" s="12" t="s">
        <v>6580</v>
      </c>
      <c r="G91" s="12" t="s">
        <v>6581</v>
      </c>
      <c r="H91" s="12" t="s">
        <v>6582</v>
      </c>
      <c r="I91" s="12" t="s">
        <v>6583</v>
      </c>
      <c r="J91" s="12">
        <v>6840</v>
      </c>
      <c r="K91" s="12" t="s">
        <v>6584</v>
      </c>
      <c r="L91" s="12" t="s">
        <v>6564</v>
      </c>
      <c r="M91" s="13">
        <v>43019</v>
      </c>
      <c r="N91" s="12" t="s">
        <v>6585</v>
      </c>
      <c r="O91" s="12" t="s">
        <v>6586</v>
      </c>
      <c r="P91" s="12"/>
      <c r="Q91" s="12">
        <v>1</v>
      </c>
    </row>
    <row r="92" spans="1:17" ht="15.75" customHeight="1">
      <c r="A92" s="12">
        <v>28</v>
      </c>
      <c r="B92" s="12">
        <v>33</v>
      </c>
      <c r="C92" s="12">
        <v>498</v>
      </c>
      <c r="D92" s="12" t="s">
        <v>6047</v>
      </c>
      <c r="E92" s="12" t="s">
        <v>246</v>
      </c>
      <c r="F92" s="12" t="s">
        <v>6587</v>
      </c>
      <c r="G92" s="12" t="s">
        <v>6588</v>
      </c>
      <c r="H92" s="12" t="s">
        <v>6289</v>
      </c>
      <c r="I92" s="12" t="s">
        <v>6290</v>
      </c>
      <c r="J92" s="12">
        <v>498</v>
      </c>
      <c r="K92" s="12" t="s">
        <v>6589</v>
      </c>
      <c r="L92" s="12" t="s">
        <v>6590</v>
      </c>
      <c r="M92" s="13">
        <v>45977</v>
      </c>
      <c r="N92" s="12" t="s">
        <v>6591</v>
      </c>
      <c r="O92" s="12" t="s">
        <v>6592</v>
      </c>
      <c r="P92" s="12"/>
      <c r="Q92" s="12">
        <v>1</v>
      </c>
    </row>
    <row r="93" spans="1:17" ht="15.75" customHeight="1">
      <c r="A93" s="12">
        <v>858</v>
      </c>
      <c r="B93" s="12">
        <v>369</v>
      </c>
      <c r="C93" s="12">
        <v>5525</v>
      </c>
      <c r="D93" s="12" t="s">
        <v>6047</v>
      </c>
      <c r="E93" s="12" t="s">
        <v>6593</v>
      </c>
      <c r="F93" s="12" t="s">
        <v>6594</v>
      </c>
      <c r="G93" s="12" t="s">
        <v>6595</v>
      </c>
      <c r="H93" s="12" t="s">
        <v>6213</v>
      </c>
      <c r="I93" s="12" t="s">
        <v>6214</v>
      </c>
      <c r="J93" s="12">
        <v>5525</v>
      </c>
      <c r="K93" s="12" t="s">
        <v>6584</v>
      </c>
      <c r="L93" s="12" t="s">
        <v>6564</v>
      </c>
      <c r="M93" s="13">
        <v>43019</v>
      </c>
      <c r="N93" s="12" t="s">
        <v>6585</v>
      </c>
      <c r="O93" s="12" t="s">
        <v>6586</v>
      </c>
      <c r="P93" s="12"/>
      <c r="Q93" s="12">
        <v>1</v>
      </c>
    </row>
    <row r="94" spans="1:17" ht="15.75" customHeight="1">
      <c r="A94" s="12">
        <v>107</v>
      </c>
      <c r="B94" s="12">
        <v>751</v>
      </c>
      <c r="C94" s="12">
        <v>9332</v>
      </c>
      <c r="D94" s="12" t="s">
        <v>6047</v>
      </c>
      <c r="E94" s="12" t="s">
        <v>6596</v>
      </c>
      <c r="F94" s="12" t="s">
        <v>6597</v>
      </c>
      <c r="G94" s="12" t="s">
        <v>6598</v>
      </c>
      <c r="H94" s="12" t="s">
        <v>6275</v>
      </c>
      <c r="I94" s="12" t="s">
        <v>6453</v>
      </c>
      <c r="J94" s="12">
        <v>9332</v>
      </c>
      <c r="K94" s="12" t="s">
        <v>6599</v>
      </c>
      <c r="L94" s="12" t="s">
        <v>6511</v>
      </c>
      <c r="M94" s="13">
        <v>45966</v>
      </c>
      <c r="N94" s="12" t="s">
        <v>6600</v>
      </c>
      <c r="O94" s="12" t="s">
        <v>6601</v>
      </c>
      <c r="P94" s="12"/>
      <c r="Q94" s="12">
        <v>1</v>
      </c>
    </row>
    <row r="95" spans="1:17" ht="15.75" customHeight="1">
      <c r="A95" s="12">
        <v>872</v>
      </c>
      <c r="B95" s="12">
        <v>77</v>
      </c>
      <c r="C95" s="12">
        <v>795</v>
      </c>
      <c r="D95" s="12" t="s">
        <v>6047</v>
      </c>
      <c r="E95" s="12" t="s">
        <v>6602</v>
      </c>
      <c r="F95" s="12" t="s">
        <v>6603</v>
      </c>
      <c r="G95" s="12" t="s">
        <v>6604</v>
      </c>
      <c r="H95" s="12" t="s">
        <v>6435</v>
      </c>
      <c r="I95" s="12" t="s">
        <v>6605</v>
      </c>
      <c r="J95" s="12">
        <v>795</v>
      </c>
      <c r="K95" s="12" t="s">
        <v>6606</v>
      </c>
      <c r="L95" s="12" t="s">
        <v>6564</v>
      </c>
      <c r="M95" s="13">
        <v>43017</v>
      </c>
      <c r="N95" s="12" t="s">
        <v>6607</v>
      </c>
      <c r="O95" s="12" t="s">
        <v>6608</v>
      </c>
      <c r="P95" s="12"/>
      <c r="Q95" s="12">
        <v>1</v>
      </c>
    </row>
    <row r="96" spans="1:17" ht="15.75" customHeight="1">
      <c r="A96" s="12">
        <v>141</v>
      </c>
      <c r="B96" s="12">
        <v>358</v>
      </c>
      <c r="C96" s="12">
        <v>5457</v>
      </c>
      <c r="D96" s="12" t="s">
        <v>6047</v>
      </c>
      <c r="E96" s="12" t="s">
        <v>6609</v>
      </c>
      <c r="F96" s="12" t="s">
        <v>6610</v>
      </c>
      <c r="G96" s="12" t="s">
        <v>6611</v>
      </c>
      <c r="H96" s="12" t="s">
        <v>6213</v>
      </c>
      <c r="I96" s="12" t="s">
        <v>6214</v>
      </c>
      <c r="J96" s="12">
        <v>5457</v>
      </c>
      <c r="K96" s="12" t="s">
        <v>6612</v>
      </c>
      <c r="L96" s="12" t="s">
        <v>6511</v>
      </c>
      <c r="M96" s="13">
        <v>45964</v>
      </c>
      <c r="N96" s="12" t="s">
        <v>6613</v>
      </c>
      <c r="O96" s="12" t="s">
        <v>6614</v>
      </c>
      <c r="P96" s="12"/>
      <c r="Q96" s="12">
        <v>1</v>
      </c>
    </row>
    <row r="97" spans="1:17" ht="15.75" customHeight="1">
      <c r="A97" s="12">
        <v>818</v>
      </c>
      <c r="B97" s="12">
        <v>910</v>
      </c>
      <c r="C97" s="12">
        <v>12080</v>
      </c>
      <c r="D97" s="12" t="s">
        <v>6047</v>
      </c>
      <c r="E97" s="12" t="s">
        <v>254</v>
      </c>
      <c r="F97" s="12" t="s">
        <v>6615</v>
      </c>
      <c r="G97" s="12" t="s">
        <v>6616</v>
      </c>
      <c r="H97" s="12" t="s">
        <v>6340</v>
      </c>
      <c r="I97" s="12" t="s">
        <v>6341</v>
      </c>
      <c r="J97" s="12">
        <v>12080</v>
      </c>
      <c r="K97" s="12" t="s">
        <v>6617</v>
      </c>
      <c r="L97" s="12" t="s">
        <v>6590</v>
      </c>
      <c r="M97" s="13">
        <v>43027</v>
      </c>
      <c r="N97" s="12" t="s">
        <v>6618</v>
      </c>
      <c r="O97" s="12" t="s">
        <v>6619</v>
      </c>
      <c r="P97" s="12"/>
      <c r="Q97" s="12">
        <v>1</v>
      </c>
    </row>
    <row r="98" spans="1:17" ht="15.75" customHeight="1">
      <c r="A98" s="12">
        <v>886</v>
      </c>
      <c r="B98" s="12">
        <v>583</v>
      </c>
      <c r="C98" s="12">
        <v>7498</v>
      </c>
      <c r="D98" s="12" t="s">
        <v>6047</v>
      </c>
      <c r="E98" s="12" t="s">
        <v>6620</v>
      </c>
      <c r="F98" s="12" t="s">
        <v>6621</v>
      </c>
      <c r="G98" s="12" t="s">
        <v>6622</v>
      </c>
      <c r="H98" s="12" t="s">
        <v>6187</v>
      </c>
      <c r="I98" s="12" t="s">
        <v>6188</v>
      </c>
      <c r="J98" s="12">
        <v>7498</v>
      </c>
      <c r="K98" s="12" t="s">
        <v>6569</v>
      </c>
      <c r="L98" s="12" t="s">
        <v>6564</v>
      </c>
      <c r="M98" s="13">
        <v>43015</v>
      </c>
      <c r="N98" s="12" t="s">
        <v>6570</v>
      </c>
      <c r="O98" s="12" t="s">
        <v>6623</v>
      </c>
      <c r="P98" s="12"/>
      <c r="Q98" s="12">
        <v>1</v>
      </c>
    </row>
    <row r="99" spans="1:17" ht="15.75" customHeight="1">
      <c r="A99" s="12">
        <v>846</v>
      </c>
      <c r="B99" s="12">
        <v>927</v>
      </c>
      <c r="C99" s="12">
        <v>12265</v>
      </c>
      <c r="D99" s="12" t="s">
        <v>6047</v>
      </c>
      <c r="E99" s="12" t="s">
        <v>6624</v>
      </c>
      <c r="F99" s="12" t="s">
        <v>6625</v>
      </c>
      <c r="G99" s="12" t="s">
        <v>6626</v>
      </c>
      <c r="H99" s="12" t="s">
        <v>6627</v>
      </c>
      <c r="I99" s="12" t="s">
        <v>6628</v>
      </c>
      <c r="J99" s="12">
        <v>12265</v>
      </c>
      <c r="K99" s="12" t="s">
        <v>6629</v>
      </c>
      <c r="L99" s="12" t="s">
        <v>6564</v>
      </c>
      <c r="M99" s="13">
        <v>43020</v>
      </c>
      <c r="N99" s="12" t="s">
        <v>6630</v>
      </c>
      <c r="O99" s="12" t="s">
        <v>6631</v>
      </c>
      <c r="P99" s="12"/>
      <c r="Q99" s="12">
        <v>1</v>
      </c>
    </row>
    <row r="100" spans="1:17" ht="15.75" customHeight="1">
      <c r="A100" s="12">
        <v>881</v>
      </c>
      <c r="B100" s="12">
        <v>1357</v>
      </c>
      <c r="C100" s="12">
        <v>19793</v>
      </c>
      <c r="D100" s="12" t="s">
        <v>6047</v>
      </c>
      <c r="E100" s="12" t="s">
        <v>6632</v>
      </c>
      <c r="F100" s="12" t="s">
        <v>6633</v>
      </c>
      <c r="G100" s="12" t="s">
        <v>6634</v>
      </c>
      <c r="H100" s="12" t="s">
        <v>6051</v>
      </c>
      <c r="I100" s="12" t="s">
        <v>6635</v>
      </c>
      <c r="J100" s="12">
        <v>19793</v>
      </c>
      <c r="K100" s="12" t="s">
        <v>6569</v>
      </c>
      <c r="L100" s="12" t="s">
        <v>6564</v>
      </c>
      <c r="M100" s="13">
        <v>43015</v>
      </c>
      <c r="N100" s="12" t="s">
        <v>6570</v>
      </c>
      <c r="O100" s="12" t="s">
        <v>6623</v>
      </c>
      <c r="P100" s="12"/>
      <c r="Q100" s="12">
        <v>1</v>
      </c>
    </row>
    <row r="101" spans="1:17" ht="15.75" customHeight="1">
      <c r="A101" s="12">
        <v>67</v>
      </c>
      <c r="B101" s="12">
        <v>217</v>
      </c>
      <c r="C101" s="12">
        <v>3814</v>
      </c>
      <c r="D101" s="12" t="s">
        <v>6047</v>
      </c>
      <c r="E101" s="12" t="s">
        <v>264</v>
      </c>
      <c r="F101" s="12" t="s">
        <v>6636</v>
      </c>
      <c r="G101" s="12" t="s">
        <v>6637</v>
      </c>
      <c r="H101" s="12" t="s">
        <v>6638</v>
      </c>
      <c r="I101" s="12" t="s">
        <v>6639</v>
      </c>
      <c r="J101" s="12">
        <v>3814</v>
      </c>
      <c r="K101" s="12" t="s">
        <v>6640</v>
      </c>
      <c r="L101" s="12" t="s">
        <v>6564</v>
      </c>
      <c r="M101" s="13">
        <v>45971</v>
      </c>
      <c r="N101" s="12" t="s">
        <v>6641</v>
      </c>
      <c r="O101" s="12" t="s">
        <v>6642</v>
      </c>
      <c r="P101" s="12"/>
      <c r="Q101" s="12">
        <v>1</v>
      </c>
    </row>
    <row r="102" spans="1:17" ht="15.75" customHeight="1">
      <c r="A102" s="12">
        <v>855</v>
      </c>
      <c r="B102" s="12">
        <v>631</v>
      </c>
      <c r="C102" s="12">
        <v>7801</v>
      </c>
      <c r="D102" s="12" t="s">
        <v>6047</v>
      </c>
      <c r="E102" s="12" t="s">
        <v>6643</v>
      </c>
      <c r="F102" s="12" t="s">
        <v>6644</v>
      </c>
      <c r="G102" s="12" t="s">
        <v>6645</v>
      </c>
      <c r="H102" s="12" t="s">
        <v>6187</v>
      </c>
      <c r="I102" s="12" t="s">
        <v>6380</v>
      </c>
      <c r="J102" s="12">
        <v>7801</v>
      </c>
      <c r="K102" s="12" t="s">
        <v>6584</v>
      </c>
      <c r="L102" s="12" t="s">
        <v>6564</v>
      </c>
      <c r="M102" s="13">
        <v>43019</v>
      </c>
      <c r="N102" s="12" t="s">
        <v>6585</v>
      </c>
      <c r="O102" s="12" t="s">
        <v>6586</v>
      </c>
      <c r="P102" s="12"/>
      <c r="Q102" s="12">
        <v>1</v>
      </c>
    </row>
    <row r="103" spans="1:17" ht="15.75" customHeight="1">
      <c r="A103" s="12">
        <v>808</v>
      </c>
      <c r="B103" s="12">
        <v>1710</v>
      </c>
      <c r="C103" s="12">
        <v>31738</v>
      </c>
      <c r="D103" s="12" t="s">
        <v>6047</v>
      </c>
      <c r="E103" s="12" t="s">
        <v>6646</v>
      </c>
      <c r="F103" s="12" t="s">
        <v>6647</v>
      </c>
      <c r="G103" s="12" t="s">
        <v>6648</v>
      </c>
      <c r="H103" s="12" t="s">
        <v>6051</v>
      </c>
      <c r="I103" s="12" t="s">
        <v>6178</v>
      </c>
      <c r="J103" s="12">
        <v>31738</v>
      </c>
      <c r="K103" s="12" t="s">
        <v>6649</v>
      </c>
      <c r="L103" s="12" t="s">
        <v>6590</v>
      </c>
      <c r="M103" s="13">
        <v>43029</v>
      </c>
      <c r="N103" s="12" t="s">
        <v>6650</v>
      </c>
      <c r="O103" s="12" t="s">
        <v>6651</v>
      </c>
      <c r="P103" s="12"/>
      <c r="Q103" s="12">
        <v>1</v>
      </c>
    </row>
    <row r="104" spans="1:17" ht="15.75" customHeight="1">
      <c r="A104" s="12">
        <v>62</v>
      </c>
      <c r="B104" s="12">
        <v>470</v>
      </c>
      <c r="C104" s="12">
        <v>6343</v>
      </c>
      <c r="D104" s="12" t="s">
        <v>6047</v>
      </c>
      <c r="E104" s="12" t="s">
        <v>272</v>
      </c>
      <c r="F104" s="12" t="s">
        <v>6652</v>
      </c>
      <c r="G104" s="12" t="s">
        <v>6653</v>
      </c>
      <c r="H104" s="12" t="s">
        <v>6137</v>
      </c>
      <c r="I104" s="12" t="s">
        <v>6654</v>
      </c>
      <c r="J104" s="12">
        <v>6343</v>
      </c>
      <c r="K104" s="12" t="s">
        <v>6655</v>
      </c>
      <c r="L104" s="12" t="s">
        <v>6564</v>
      </c>
      <c r="M104" s="13">
        <v>45971</v>
      </c>
      <c r="N104" s="12" t="s">
        <v>6656</v>
      </c>
      <c r="O104" s="12" t="s">
        <v>6657</v>
      </c>
      <c r="P104" s="12"/>
      <c r="Q104" s="12">
        <v>1</v>
      </c>
    </row>
    <row r="105" spans="1:17" ht="15.75" customHeight="1">
      <c r="A105" s="12">
        <v>850</v>
      </c>
      <c r="B105" s="12">
        <v>1431</v>
      </c>
      <c r="C105" s="12">
        <v>21608</v>
      </c>
      <c r="D105" s="12" t="s">
        <v>6047</v>
      </c>
      <c r="E105" s="12" t="s">
        <v>275</v>
      </c>
      <c r="F105" s="12" t="s">
        <v>6658</v>
      </c>
      <c r="G105" s="12" t="s">
        <v>6659</v>
      </c>
      <c r="H105" s="12" t="s">
        <v>6051</v>
      </c>
      <c r="I105" s="12" t="s">
        <v>6299</v>
      </c>
      <c r="J105" s="12">
        <v>21608</v>
      </c>
      <c r="K105" s="12" t="s">
        <v>6660</v>
      </c>
      <c r="L105" s="12" t="s">
        <v>6564</v>
      </c>
      <c r="M105" s="13">
        <v>43019</v>
      </c>
      <c r="N105" s="12" t="s">
        <v>6661</v>
      </c>
      <c r="O105" s="12" t="s">
        <v>6662</v>
      </c>
      <c r="P105" s="12"/>
      <c r="Q105" s="12">
        <v>1</v>
      </c>
    </row>
    <row r="106" spans="1:17" ht="15.75" customHeight="1">
      <c r="A106" s="12">
        <v>795</v>
      </c>
      <c r="B106" s="12">
        <v>1475</v>
      </c>
      <c r="C106" s="12">
        <v>23728</v>
      </c>
      <c r="D106" s="12" t="s">
        <v>6047</v>
      </c>
      <c r="E106" s="12" t="s">
        <v>277</v>
      </c>
      <c r="F106" s="12" t="s">
        <v>6663</v>
      </c>
      <c r="G106" s="12" t="s">
        <v>6664</v>
      </c>
      <c r="H106" s="12" t="s">
        <v>6051</v>
      </c>
      <c r="I106" s="12" t="s">
        <v>6665</v>
      </c>
      <c r="J106" s="12">
        <v>23728</v>
      </c>
      <c r="K106" s="12" t="s">
        <v>6666</v>
      </c>
      <c r="L106" s="12" t="s">
        <v>6590</v>
      </c>
      <c r="M106" s="13">
        <v>43031</v>
      </c>
      <c r="N106" s="12" t="s">
        <v>6667</v>
      </c>
      <c r="O106" s="12" t="s">
        <v>6668</v>
      </c>
      <c r="P106" s="12"/>
      <c r="Q106" s="12">
        <v>1</v>
      </c>
    </row>
    <row r="107" spans="1:17" ht="15.75" customHeight="1">
      <c r="A107" s="12">
        <v>116</v>
      </c>
      <c r="B107" s="12">
        <v>932</v>
      </c>
      <c r="C107" s="12">
        <v>12472</v>
      </c>
      <c r="D107" s="12" t="s">
        <v>6047</v>
      </c>
      <c r="E107" s="12" t="s">
        <v>279</v>
      </c>
      <c r="F107" s="12" t="s">
        <v>6669</v>
      </c>
      <c r="G107" s="12" t="s">
        <v>6670</v>
      </c>
      <c r="H107" s="12" t="s">
        <v>6627</v>
      </c>
      <c r="I107" s="12" t="s">
        <v>6628</v>
      </c>
      <c r="J107" s="12">
        <v>12472</v>
      </c>
      <c r="K107" s="12" t="s">
        <v>6671</v>
      </c>
      <c r="L107" s="12" t="s">
        <v>6511</v>
      </c>
      <c r="M107" s="13">
        <v>45966</v>
      </c>
      <c r="N107" s="12" t="s">
        <v>6672</v>
      </c>
      <c r="O107" s="12" t="s">
        <v>6673</v>
      </c>
      <c r="P107" s="12"/>
      <c r="Q107" s="12">
        <v>1</v>
      </c>
    </row>
    <row r="108" spans="1:17" ht="15.75" customHeight="1">
      <c r="A108" s="12">
        <v>48</v>
      </c>
      <c r="B108" s="12">
        <v>1389</v>
      </c>
      <c r="C108" s="12">
        <v>20338</v>
      </c>
      <c r="D108" s="12" t="s">
        <v>6047</v>
      </c>
      <c r="E108" s="12" t="s">
        <v>282</v>
      </c>
      <c r="F108" s="12" t="s">
        <v>6674</v>
      </c>
      <c r="G108" s="12" t="s">
        <v>6675</v>
      </c>
      <c r="H108" s="12" t="s">
        <v>6051</v>
      </c>
      <c r="I108" s="12" t="s">
        <v>6676</v>
      </c>
      <c r="J108" s="12">
        <v>20338</v>
      </c>
      <c r="K108" s="12" t="s">
        <v>6677</v>
      </c>
      <c r="L108" s="12" t="s">
        <v>6590</v>
      </c>
      <c r="M108" s="13">
        <v>45974</v>
      </c>
      <c r="N108" s="12" t="s">
        <v>6678</v>
      </c>
      <c r="O108" s="12" t="s">
        <v>6679</v>
      </c>
      <c r="P108" s="12"/>
      <c r="Q108" s="12">
        <v>1</v>
      </c>
    </row>
    <row r="109" spans="1:17" ht="15.75" customHeight="1">
      <c r="A109" s="12">
        <v>806</v>
      </c>
      <c r="B109" s="12">
        <v>25</v>
      </c>
      <c r="C109" s="12">
        <v>424</v>
      </c>
      <c r="D109" s="12" t="s">
        <v>6047</v>
      </c>
      <c r="E109" s="12" t="s">
        <v>6680</v>
      </c>
      <c r="F109" s="12" t="s">
        <v>6681</v>
      </c>
      <c r="G109" s="12" t="s">
        <v>6682</v>
      </c>
      <c r="H109" s="12" t="s">
        <v>6289</v>
      </c>
      <c r="I109" s="12" t="s">
        <v>6290</v>
      </c>
      <c r="J109" s="12">
        <v>424</v>
      </c>
      <c r="K109" s="12" t="s">
        <v>6683</v>
      </c>
      <c r="L109" s="12" t="s">
        <v>6590</v>
      </c>
      <c r="M109" s="13">
        <v>43030</v>
      </c>
      <c r="N109" s="12" t="s">
        <v>6684</v>
      </c>
      <c r="O109" s="12" t="s">
        <v>6685</v>
      </c>
      <c r="P109" s="12"/>
      <c r="Q109" s="12">
        <v>1</v>
      </c>
    </row>
    <row r="110" spans="1:17" ht="15.75" customHeight="1">
      <c r="A110" s="12">
        <v>1224</v>
      </c>
      <c r="B110" s="12">
        <v>1084</v>
      </c>
      <c r="C110" s="12">
        <v>15635</v>
      </c>
      <c r="D110" s="12" t="s">
        <v>6047</v>
      </c>
      <c r="E110" s="12" t="s">
        <v>6686</v>
      </c>
      <c r="F110" s="12" t="s">
        <v>6687</v>
      </c>
      <c r="G110" s="12" t="s">
        <v>6688</v>
      </c>
      <c r="H110" s="12" t="s">
        <v>6051</v>
      </c>
      <c r="I110" s="12" t="s">
        <v>6476</v>
      </c>
      <c r="J110" s="12">
        <v>15635</v>
      </c>
      <c r="K110" s="12" t="s">
        <v>6429</v>
      </c>
      <c r="L110" s="12" t="s">
        <v>6423</v>
      </c>
      <c r="M110" s="13">
        <v>41991</v>
      </c>
      <c r="N110" s="12" t="s">
        <v>6430</v>
      </c>
      <c r="O110" s="12" t="s">
        <v>6431</v>
      </c>
      <c r="P110" s="12"/>
      <c r="Q110" s="12">
        <v>1</v>
      </c>
    </row>
    <row r="111" spans="1:17" ht="15.75" customHeight="1">
      <c r="A111" s="12">
        <v>854</v>
      </c>
      <c r="B111" s="12">
        <v>797</v>
      </c>
      <c r="C111" s="12">
        <v>9940</v>
      </c>
      <c r="D111" s="12" t="s">
        <v>6047</v>
      </c>
      <c r="E111" s="12" t="s">
        <v>6689</v>
      </c>
      <c r="F111" s="12" t="s">
        <v>6690</v>
      </c>
      <c r="G111" s="12" t="s">
        <v>6691</v>
      </c>
      <c r="H111" s="12" t="s">
        <v>6265</v>
      </c>
      <c r="I111" s="12" t="s">
        <v>6266</v>
      </c>
      <c r="J111" s="12">
        <v>9940</v>
      </c>
      <c r="K111" s="12" t="s">
        <v>6584</v>
      </c>
      <c r="L111" s="12" t="s">
        <v>6564</v>
      </c>
      <c r="M111" s="13">
        <v>43019</v>
      </c>
      <c r="N111" s="12" t="s">
        <v>6585</v>
      </c>
      <c r="O111" s="12" t="s">
        <v>6586</v>
      </c>
      <c r="P111" s="12"/>
      <c r="Q111" s="12">
        <v>1</v>
      </c>
    </row>
    <row r="112" spans="1:17" ht="15.75" customHeight="1">
      <c r="A112" s="12">
        <v>1645</v>
      </c>
      <c r="B112" s="12">
        <v>691</v>
      </c>
      <c r="C112" s="12">
        <v>8367</v>
      </c>
      <c r="D112" s="12" t="s">
        <v>6047</v>
      </c>
      <c r="E112" s="12" t="s">
        <v>6692</v>
      </c>
      <c r="F112" s="12" t="s">
        <v>6693</v>
      </c>
      <c r="G112" s="12" t="s">
        <v>6694</v>
      </c>
      <c r="H112" s="12" t="s">
        <v>6075</v>
      </c>
      <c r="I112" s="12" t="s">
        <v>6076</v>
      </c>
      <c r="J112" s="12">
        <v>8367</v>
      </c>
      <c r="K112" s="12" t="s">
        <v>6381</v>
      </c>
      <c r="L112" s="12" t="s">
        <v>6345</v>
      </c>
      <c r="M112" s="13">
        <v>41260</v>
      </c>
      <c r="N112" s="12" t="s">
        <v>6382</v>
      </c>
      <c r="O112" s="12" t="s">
        <v>6383</v>
      </c>
      <c r="P112" s="12"/>
      <c r="Q112" s="12">
        <v>1</v>
      </c>
    </row>
    <row r="113" spans="1:17" ht="15.75" customHeight="1">
      <c r="A113" s="12">
        <v>1779</v>
      </c>
      <c r="B113" s="12">
        <v>1833</v>
      </c>
      <c r="C113" s="12">
        <v>33770</v>
      </c>
      <c r="D113" s="12" t="s">
        <v>6047</v>
      </c>
      <c r="E113" s="12" t="s">
        <v>293</v>
      </c>
      <c r="F113" s="12" t="s">
        <v>6695</v>
      </c>
      <c r="G113" s="12" t="s">
        <v>6696</v>
      </c>
      <c r="H113" s="12" t="s">
        <v>6051</v>
      </c>
      <c r="I113" s="12" t="s">
        <v>6261</v>
      </c>
      <c r="J113" s="12">
        <v>33770</v>
      </c>
      <c r="K113" s="12" t="s">
        <v>6062</v>
      </c>
      <c r="L113" s="12" t="s">
        <v>6063</v>
      </c>
      <c r="M113" s="13">
        <v>40873</v>
      </c>
      <c r="N113" s="12" t="s">
        <v>6064</v>
      </c>
      <c r="O113" s="12" t="s">
        <v>6065</v>
      </c>
      <c r="P113" s="12"/>
      <c r="Q113" s="12">
        <v>1</v>
      </c>
    </row>
    <row r="114" spans="1:17" ht="15.75" customHeight="1">
      <c r="A114" s="12">
        <v>1276</v>
      </c>
      <c r="B114" s="12">
        <v>2023</v>
      </c>
      <c r="C114" s="12">
        <v>35644</v>
      </c>
      <c r="D114" s="12" t="s">
        <v>6047</v>
      </c>
      <c r="E114" s="12" t="s">
        <v>6697</v>
      </c>
      <c r="F114" s="12" t="s">
        <v>6698</v>
      </c>
      <c r="G114" s="12" t="s">
        <v>6699</v>
      </c>
      <c r="H114" s="12" t="s">
        <v>6051</v>
      </c>
      <c r="I114" s="12" t="s">
        <v>6700</v>
      </c>
      <c r="J114" s="12">
        <v>35644</v>
      </c>
      <c r="K114" s="12" t="s">
        <v>6422</v>
      </c>
      <c r="L114" s="12" t="s">
        <v>6423</v>
      </c>
      <c r="M114" s="13">
        <v>41989</v>
      </c>
      <c r="N114" s="12" t="s">
        <v>6424</v>
      </c>
      <c r="O114" s="12" t="s">
        <v>6425</v>
      </c>
      <c r="P114" s="12"/>
      <c r="Q114" s="12">
        <v>1</v>
      </c>
    </row>
    <row r="115" spans="1:17" ht="15.75" customHeight="1">
      <c r="A115" s="12">
        <v>1795</v>
      </c>
      <c r="B115" s="12">
        <v>1547</v>
      </c>
      <c r="C115" s="12">
        <v>27383</v>
      </c>
      <c r="D115" s="12" t="s">
        <v>6047</v>
      </c>
      <c r="E115" s="12" t="s">
        <v>6701</v>
      </c>
      <c r="F115" s="12" t="s">
        <v>6702</v>
      </c>
      <c r="G115" s="12" t="s">
        <v>6703</v>
      </c>
      <c r="H115" s="12" t="s">
        <v>6051</v>
      </c>
      <c r="I115" s="12" t="s">
        <v>6704</v>
      </c>
      <c r="J115" s="12">
        <v>27383</v>
      </c>
      <c r="K115" s="12" t="s">
        <v>6062</v>
      </c>
      <c r="L115" s="12" t="s">
        <v>6063</v>
      </c>
      <c r="M115" s="13">
        <v>40873</v>
      </c>
      <c r="N115" s="12" t="s">
        <v>6064</v>
      </c>
      <c r="O115" s="12" t="s">
        <v>6065</v>
      </c>
      <c r="P115" s="12"/>
      <c r="Q115" s="12">
        <v>1</v>
      </c>
    </row>
    <row r="116" spans="1:17" ht="15.75" customHeight="1">
      <c r="A116" s="12">
        <v>157</v>
      </c>
      <c r="B116" s="12">
        <v>81</v>
      </c>
      <c r="C116" s="12">
        <v>873</v>
      </c>
      <c r="D116" s="12" t="s">
        <v>6047</v>
      </c>
      <c r="E116" s="12" t="s">
        <v>6705</v>
      </c>
      <c r="F116" s="12" t="s">
        <v>6706</v>
      </c>
      <c r="G116" s="12" t="s">
        <v>6707</v>
      </c>
      <c r="H116" s="12" t="s">
        <v>6435</v>
      </c>
      <c r="I116" s="12" t="s">
        <v>6436</v>
      </c>
      <c r="J116" s="12">
        <v>873</v>
      </c>
      <c r="K116" s="12" t="s">
        <v>6708</v>
      </c>
      <c r="L116" s="12" t="s">
        <v>6709</v>
      </c>
      <c r="M116" s="13">
        <v>45755</v>
      </c>
      <c r="N116" s="12" t="s">
        <v>6710</v>
      </c>
      <c r="O116" s="12" t="s">
        <v>6711</v>
      </c>
      <c r="P116" s="12"/>
      <c r="Q116" s="12">
        <v>1</v>
      </c>
    </row>
    <row r="117" spans="1:17" ht="15.75" customHeight="1">
      <c r="A117" s="12">
        <v>1174</v>
      </c>
      <c r="B117" s="12">
        <v>124</v>
      </c>
      <c r="C117" s="12">
        <v>1966</v>
      </c>
      <c r="D117" s="12" t="s">
        <v>6047</v>
      </c>
      <c r="E117" s="12" t="s">
        <v>315</v>
      </c>
      <c r="F117" s="12" t="s">
        <v>6712</v>
      </c>
      <c r="G117" s="12" t="s">
        <v>6713</v>
      </c>
      <c r="H117" s="12" t="s">
        <v>6127</v>
      </c>
      <c r="I117" s="12" t="s">
        <v>6128</v>
      </c>
      <c r="J117" s="12">
        <v>1966</v>
      </c>
      <c r="K117" s="12" t="s">
        <v>6429</v>
      </c>
      <c r="L117" s="12" t="s">
        <v>6423</v>
      </c>
      <c r="M117" s="13">
        <v>41993</v>
      </c>
      <c r="N117" s="12" t="s">
        <v>6430</v>
      </c>
      <c r="O117" s="12" t="s">
        <v>6714</v>
      </c>
      <c r="P117" s="12"/>
      <c r="Q117" s="12">
        <v>1</v>
      </c>
    </row>
    <row r="118" spans="1:17" ht="15.75" customHeight="1">
      <c r="A118" s="12">
        <v>1249</v>
      </c>
      <c r="B118" s="12">
        <v>208</v>
      </c>
      <c r="C118" s="12">
        <v>3549</v>
      </c>
      <c r="D118" s="12" t="s">
        <v>6047</v>
      </c>
      <c r="E118" s="12" t="s">
        <v>6715</v>
      </c>
      <c r="F118" s="12" t="s">
        <v>6716</v>
      </c>
      <c r="G118" s="12" t="s">
        <v>6717</v>
      </c>
      <c r="H118" s="12" t="s">
        <v>6718</v>
      </c>
      <c r="I118" s="12" t="s">
        <v>6719</v>
      </c>
      <c r="J118" s="12">
        <v>3549</v>
      </c>
      <c r="K118" s="12" t="s">
        <v>6429</v>
      </c>
      <c r="L118" s="12" t="s">
        <v>6423</v>
      </c>
      <c r="M118" s="13">
        <v>41991</v>
      </c>
      <c r="N118" s="12" t="s">
        <v>6430</v>
      </c>
      <c r="O118" s="12" t="s">
        <v>6431</v>
      </c>
      <c r="P118" s="12"/>
      <c r="Q118" s="12">
        <v>1</v>
      </c>
    </row>
    <row r="119" spans="1:17" ht="15.75" customHeight="1">
      <c r="A119" s="12">
        <v>64</v>
      </c>
      <c r="B119" s="12">
        <v>411</v>
      </c>
      <c r="C119" s="12">
        <v>5890</v>
      </c>
      <c r="D119" s="12" t="s">
        <v>6047</v>
      </c>
      <c r="E119" s="12" t="s">
        <v>312</v>
      </c>
      <c r="F119" s="12" t="s">
        <v>6720</v>
      </c>
      <c r="G119" s="12" t="s">
        <v>6721</v>
      </c>
      <c r="H119" s="12" t="s">
        <v>6137</v>
      </c>
      <c r="I119" s="12" t="s">
        <v>6323</v>
      </c>
      <c r="J119" s="12">
        <v>5890</v>
      </c>
      <c r="K119" s="12" t="s">
        <v>6655</v>
      </c>
      <c r="L119" s="12" t="s">
        <v>6564</v>
      </c>
      <c r="M119" s="13">
        <v>45971</v>
      </c>
      <c r="N119" s="12" t="s">
        <v>6656</v>
      </c>
      <c r="O119" s="12" t="s">
        <v>6657</v>
      </c>
      <c r="P119" s="12"/>
      <c r="Q119" s="12">
        <v>1</v>
      </c>
    </row>
    <row r="120" spans="1:17" ht="15.75" customHeight="1">
      <c r="A120" s="12">
        <v>132</v>
      </c>
      <c r="B120" s="12">
        <v>386</v>
      </c>
      <c r="C120" s="12">
        <v>5776</v>
      </c>
      <c r="D120" s="12" t="s">
        <v>6047</v>
      </c>
      <c r="E120" s="12" t="s">
        <v>6722</v>
      </c>
      <c r="F120" s="12" t="s">
        <v>6723</v>
      </c>
      <c r="G120" s="12" t="s">
        <v>6724</v>
      </c>
      <c r="H120" s="12" t="s">
        <v>6137</v>
      </c>
      <c r="I120" s="12" t="s">
        <v>6269</v>
      </c>
      <c r="J120" s="12">
        <v>5776</v>
      </c>
      <c r="K120" s="12" t="s">
        <v>6725</v>
      </c>
      <c r="L120" s="12" t="s">
        <v>6511</v>
      </c>
      <c r="M120" s="13">
        <v>45965</v>
      </c>
      <c r="N120" s="12" t="s">
        <v>6726</v>
      </c>
      <c r="O120" s="12" t="s">
        <v>6727</v>
      </c>
      <c r="P120" s="12"/>
      <c r="Q120" s="12">
        <v>1</v>
      </c>
    </row>
    <row r="121" spans="1:17" ht="15.75" customHeight="1">
      <c r="A121" s="12">
        <v>320</v>
      </c>
      <c r="B121" s="12">
        <v>1557</v>
      </c>
      <c r="C121" s="12">
        <v>27515</v>
      </c>
      <c r="D121" s="12" t="s">
        <v>6047</v>
      </c>
      <c r="E121" s="12" t="s">
        <v>6728</v>
      </c>
      <c r="F121" s="12" t="s">
        <v>6729</v>
      </c>
      <c r="G121" s="12" t="s">
        <v>6730</v>
      </c>
      <c r="H121" s="12" t="s">
        <v>6051</v>
      </c>
      <c r="I121" s="12" t="s">
        <v>6704</v>
      </c>
      <c r="J121" s="12">
        <v>27515</v>
      </c>
      <c r="K121" s="12" t="s">
        <v>6731</v>
      </c>
      <c r="L121" s="12" t="s">
        <v>6732</v>
      </c>
      <c r="M121" s="13">
        <v>44728</v>
      </c>
      <c r="N121" s="12" t="s">
        <v>6733</v>
      </c>
      <c r="O121" s="12" t="s">
        <v>6734</v>
      </c>
      <c r="P121" s="12"/>
      <c r="Q121" s="12">
        <v>1</v>
      </c>
    </row>
    <row r="122" spans="1:17" ht="15.75" customHeight="1">
      <c r="A122" s="12">
        <v>1610</v>
      </c>
      <c r="B122" s="12">
        <v>1486</v>
      </c>
      <c r="C122" s="12">
        <v>24051</v>
      </c>
      <c r="D122" s="12" t="s">
        <v>6047</v>
      </c>
      <c r="E122" s="12" t="s">
        <v>6735</v>
      </c>
      <c r="F122" s="12" t="s">
        <v>6736</v>
      </c>
      <c r="G122" s="12" t="s">
        <v>6737</v>
      </c>
      <c r="H122" s="12" t="s">
        <v>6051</v>
      </c>
      <c r="I122" s="12" t="s">
        <v>6738</v>
      </c>
      <c r="J122" s="12">
        <v>24051</v>
      </c>
      <c r="K122" s="12" t="s">
        <v>6300</v>
      </c>
      <c r="L122" s="12" t="s">
        <v>6240</v>
      </c>
      <c r="M122" s="13">
        <v>41396</v>
      </c>
      <c r="N122" s="12" t="s">
        <v>6301</v>
      </c>
      <c r="O122" s="12" t="s">
        <v>6302</v>
      </c>
      <c r="P122" s="12"/>
      <c r="Q122" s="12">
        <v>1</v>
      </c>
    </row>
    <row r="123" spans="1:17" ht="15.75" customHeight="1">
      <c r="A123" s="12">
        <v>1292</v>
      </c>
      <c r="B123" s="12">
        <v>988</v>
      </c>
      <c r="C123" s="12">
        <v>13518</v>
      </c>
      <c r="D123" s="12" t="s">
        <v>6047</v>
      </c>
      <c r="E123" s="12" t="s">
        <v>317</v>
      </c>
      <c r="F123" s="12" t="s">
        <v>6739</v>
      </c>
      <c r="G123" s="12" t="s">
        <v>6740</v>
      </c>
      <c r="H123" s="12" t="s">
        <v>6051</v>
      </c>
      <c r="I123" s="12" t="s">
        <v>6741</v>
      </c>
      <c r="J123" s="12">
        <v>13518</v>
      </c>
      <c r="K123" s="12" t="s">
        <v>6422</v>
      </c>
      <c r="L123" s="12" t="s">
        <v>6423</v>
      </c>
      <c r="M123" s="13">
        <v>41989</v>
      </c>
      <c r="N123" s="12" t="s">
        <v>6424</v>
      </c>
      <c r="O123" s="12" t="s">
        <v>6425</v>
      </c>
      <c r="P123" s="12"/>
      <c r="Q123" s="12">
        <v>1</v>
      </c>
    </row>
    <row r="124" spans="1:17" ht="15.75" customHeight="1">
      <c r="A124" s="12">
        <v>27</v>
      </c>
      <c r="B124" s="12">
        <v>431</v>
      </c>
      <c r="C124" s="12">
        <v>6033</v>
      </c>
      <c r="D124" s="12" t="s">
        <v>6047</v>
      </c>
      <c r="E124" s="12" t="s">
        <v>6742</v>
      </c>
      <c r="F124" s="12" t="s">
        <v>6743</v>
      </c>
      <c r="G124" s="12" t="s">
        <v>6744</v>
      </c>
      <c r="H124" s="12" t="s">
        <v>6137</v>
      </c>
      <c r="I124" s="12" t="s">
        <v>6391</v>
      </c>
      <c r="J124" s="12">
        <v>6033</v>
      </c>
      <c r="K124" s="12" t="s">
        <v>6589</v>
      </c>
      <c r="L124" s="12" t="s">
        <v>6590</v>
      </c>
      <c r="M124" s="13">
        <v>45977</v>
      </c>
      <c r="N124" s="12" t="s">
        <v>6591</v>
      </c>
      <c r="O124" s="12" t="s">
        <v>6592</v>
      </c>
      <c r="P124" s="12"/>
      <c r="Q124" s="12">
        <v>1</v>
      </c>
    </row>
    <row r="125" spans="1:17" ht="15.75" customHeight="1">
      <c r="A125" s="12">
        <v>1391</v>
      </c>
      <c r="B125" s="12">
        <v>1466</v>
      </c>
      <c r="C125" s="12">
        <v>23050</v>
      </c>
      <c r="D125" s="12" t="s">
        <v>6047</v>
      </c>
      <c r="E125" s="12" t="s">
        <v>6745</v>
      </c>
      <c r="F125" s="12" t="s">
        <v>6746</v>
      </c>
      <c r="G125" s="12" t="s">
        <v>6747</v>
      </c>
      <c r="H125" s="12" t="s">
        <v>6051</v>
      </c>
      <c r="I125" s="12" t="s">
        <v>6748</v>
      </c>
      <c r="J125" s="12">
        <v>23050</v>
      </c>
      <c r="K125" s="12" t="s">
        <v>6144</v>
      </c>
      <c r="L125" s="12" t="s">
        <v>6078</v>
      </c>
      <c r="M125" s="13">
        <v>41913</v>
      </c>
      <c r="N125" s="12" t="s">
        <v>6145</v>
      </c>
      <c r="O125" s="12" t="s">
        <v>6146</v>
      </c>
      <c r="P125" s="12"/>
      <c r="Q125" s="12">
        <v>1</v>
      </c>
    </row>
    <row r="126" spans="1:17" ht="15.75" customHeight="1">
      <c r="A126" s="12">
        <v>908</v>
      </c>
      <c r="B126" s="12">
        <v>1007</v>
      </c>
      <c r="C126" s="12">
        <v>13979</v>
      </c>
      <c r="D126" s="12" t="s">
        <v>6047</v>
      </c>
      <c r="E126" s="12" t="s">
        <v>6749</v>
      </c>
      <c r="F126" s="12" t="s">
        <v>6750</v>
      </c>
      <c r="G126" s="12" t="s">
        <v>6751</v>
      </c>
      <c r="H126" s="12" t="s">
        <v>6051</v>
      </c>
      <c r="I126" s="12" t="s">
        <v>6741</v>
      </c>
      <c r="J126" s="12">
        <v>13979</v>
      </c>
      <c r="K126" s="12" t="s">
        <v>6752</v>
      </c>
      <c r="L126" s="12" t="s">
        <v>6753</v>
      </c>
      <c r="M126" s="13">
        <v>42831</v>
      </c>
      <c r="N126" s="12" t="s">
        <v>6754</v>
      </c>
      <c r="O126" s="12" t="s">
        <v>6755</v>
      </c>
      <c r="P126" s="12"/>
      <c r="Q126" s="12">
        <v>1</v>
      </c>
    </row>
    <row r="127" spans="1:17" ht="15.75" customHeight="1">
      <c r="A127" s="12">
        <v>154</v>
      </c>
      <c r="B127" s="12">
        <v>122</v>
      </c>
      <c r="C127" s="12">
        <v>1952</v>
      </c>
      <c r="D127" s="12" t="s">
        <v>6047</v>
      </c>
      <c r="E127" s="12" t="s">
        <v>6756</v>
      </c>
      <c r="F127" s="12" t="s">
        <v>6757</v>
      </c>
      <c r="G127" s="12" t="s">
        <v>6758</v>
      </c>
      <c r="H127" s="12" t="s">
        <v>6127</v>
      </c>
      <c r="I127" s="12" t="s">
        <v>6128</v>
      </c>
      <c r="J127" s="12">
        <v>1952</v>
      </c>
      <c r="K127" s="12" t="s">
        <v>6759</v>
      </c>
      <c r="L127" s="12" t="s">
        <v>6760</v>
      </c>
      <c r="M127" s="13">
        <v>45756</v>
      </c>
      <c r="N127" s="12" t="s">
        <v>6761</v>
      </c>
      <c r="O127" s="12" t="s">
        <v>6762</v>
      </c>
      <c r="P127" s="12"/>
      <c r="Q127" s="12">
        <v>1</v>
      </c>
    </row>
    <row r="128" spans="1:17" ht="15.75" customHeight="1">
      <c r="A128" s="12">
        <v>1298</v>
      </c>
      <c r="B128" s="12">
        <v>579</v>
      </c>
      <c r="C128" s="12">
        <v>7478</v>
      </c>
      <c r="D128" s="12" t="s">
        <v>6047</v>
      </c>
      <c r="E128" s="12" t="s">
        <v>6763</v>
      </c>
      <c r="F128" s="12" t="s">
        <v>6764</v>
      </c>
      <c r="G128" s="12" t="s">
        <v>6765</v>
      </c>
      <c r="H128" s="12" t="s">
        <v>6187</v>
      </c>
      <c r="I128" s="12" t="s">
        <v>6188</v>
      </c>
      <c r="J128" s="12">
        <v>7478</v>
      </c>
      <c r="K128" s="12" t="s">
        <v>6422</v>
      </c>
      <c r="L128" s="12" t="s">
        <v>6423</v>
      </c>
      <c r="M128" s="13">
        <v>41989</v>
      </c>
      <c r="N128" s="12" t="s">
        <v>6424</v>
      </c>
      <c r="O128" s="12" t="s">
        <v>6425</v>
      </c>
      <c r="P128" s="12"/>
      <c r="Q128" s="12">
        <v>1</v>
      </c>
    </row>
    <row r="129" spans="1:17" ht="15.75" customHeight="1">
      <c r="A129" s="12">
        <v>1875</v>
      </c>
      <c r="B129" s="12">
        <v>592</v>
      </c>
      <c r="C129" s="12">
        <v>7540</v>
      </c>
      <c r="D129" s="12" t="s">
        <v>6047</v>
      </c>
      <c r="E129" s="12" t="s">
        <v>6766</v>
      </c>
      <c r="F129" s="12" t="s">
        <v>6767</v>
      </c>
      <c r="G129" s="12" t="s">
        <v>6768</v>
      </c>
      <c r="H129" s="12" t="s">
        <v>6187</v>
      </c>
      <c r="I129" s="12" t="s">
        <v>6224</v>
      </c>
      <c r="J129" s="12">
        <v>7540</v>
      </c>
      <c r="K129" s="12" t="s">
        <v>6769</v>
      </c>
      <c r="L129" s="12" t="s">
        <v>6709</v>
      </c>
      <c r="M129" s="13">
        <v>40176</v>
      </c>
      <c r="N129" s="12" t="s">
        <v>6770</v>
      </c>
      <c r="O129" s="12" t="s">
        <v>6771</v>
      </c>
      <c r="P129" s="12"/>
      <c r="Q129" s="12">
        <v>1</v>
      </c>
    </row>
    <row r="130" spans="1:17" ht="15.75" customHeight="1">
      <c r="A130" s="12">
        <v>1608</v>
      </c>
      <c r="B130" s="12">
        <v>1500</v>
      </c>
      <c r="C130" s="12">
        <v>24187</v>
      </c>
      <c r="D130" s="12" t="s">
        <v>6047</v>
      </c>
      <c r="E130" s="12" t="s">
        <v>6772</v>
      </c>
      <c r="F130" s="12" t="s">
        <v>6773</v>
      </c>
      <c r="G130" s="12" t="s">
        <v>6774</v>
      </c>
      <c r="H130" s="12" t="s">
        <v>6051</v>
      </c>
      <c r="I130" s="12" t="s">
        <v>6738</v>
      </c>
      <c r="J130" s="12">
        <v>24187</v>
      </c>
      <c r="K130" s="12" t="s">
        <v>6300</v>
      </c>
      <c r="L130" s="12" t="s">
        <v>6240</v>
      </c>
      <c r="M130" s="13">
        <v>41396</v>
      </c>
      <c r="N130" s="12" t="s">
        <v>6301</v>
      </c>
      <c r="O130" s="12" t="s">
        <v>6302</v>
      </c>
      <c r="P130" s="12"/>
      <c r="Q130" s="12">
        <v>1</v>
      </c>
    </row>
    <row r="131" spans="1:17" ht="15.75" customHeight="1">
      <c r="A131" s="12">
        <v>1817</v>
      </c>
      <c r="B131" s="12">
        <v>987</v>
      </c>
      <c r="C131" s="12">
        <v>13491</v>
      </c>
      <c r="D131" s="12" t="s">
        <v>6047</v>
      </c>
      <c r="E131" s="12" t="s">
        <v>6775</v>
      </c>
      <c r="F131" s="12" t="s">
        <v>6776</v>
      </c>
      <c r="G131" s="12" t="s">
        <v>6777</v>
      </c>
      <c r="H131" s="12" t="s">
        <v>6051</v>
      </c>
      <c r="I131" s="12" t="s">
        <v>6741</v>
      </c>
      <c r="J131" s="12">
        <v>13491</v>
      </c>
      <c r="K131" s="12" t="s">
        <v>6062</v>
      </c>
      <c r="L131" s="12" t="s">
        <v>6063</v>
      </c>
      <c r="M131" s="13">
        <v>40873</v>
      </c>
      <c r="N131" s="12" t="s">
        <v>6064</v>
      </c>
      <c r="O131" s="12" t="s">
        <v>6065</v>
      </c>
      <c r="P131" s="12"/>
      <c r="Q131" s="12">
        <v>1</v>
      </c>
    </row>
    <row r="132" spans="1:17" ht="15.75" customHeight="1">
      <c r="A132" s="12">
        <v>1221</v>
      </c>
      <c r="B132" s="12">
        <v>1113</v>
      </c>
      <c r="C132" s="12">
        <v>16029</v>
      </c>
      <c r="D132" s="12" t="s">
        <v>6047</v>
      </c>
      <c r="E132" s="12" t="s">
        <v>6778</v>
      </c>
      <c r="F132" s="12" t="s">
        <v>6779</v>
      </c>
      <c r="G132" s="12" t="s">
        <v>6780</v>
      </c>
      <c r="H132" s="12" t="s">
        <v>6051</v>
      </c>
      <c r="I132" s="12" t="s">
        <v>6781</v>
      </c>
      <c r="J132" s="12">
        <v>16029</v>
      </c>
      <c r="K132" s="12" t="s">
        <v>6429</v>
      </c>
      <c r="L132" s="12" t="s">
        <v>6423</v>
      </c>
      <c r="M132" s="13">
        <v>41991</v>
      </c>
      <c r="N132" s="12" t="s">
        <v>6430</v>
      </c>
      <c r="O132" s="12" t="s">
        <v>6431</v>
      </c>
      <c r="P132" s="12"/>
      <c r="Q132" s="12">
        <v>1</v>
      </c>
    </row>
    <row r="133" spans="1:17" ht="15.75" customHeight="1">
      <c r="A133" s="12">
        <v>573</v>
      </c>
      <c r="B133" s="12">
        <v>699</v>
      </c>
      <c r="C133" s="12">
        <v>8408</v>
      </c>
      <c r="D133" s="12" t="s">
        <v>6047</v>
      </c>
      <c r="E133" s="12" t="s">
        <v>6782</v>
      </c>
      <c r="F133" s="12" t="s">
        <v>6783</v>
      </c>
      <c r="G133" s="12" t="s">
        <v>6784</v>
      </c>
      <c r="H133" s="12" t="s">
        <v>6075</v>
      </c>
      <c r="I133" s="12" t="s">
        <v>6076</v>
      </c>
      <c r="J133" s="12">
        <v>8408</v>
      </c>
      <c r="K133" s="12" t="s">
        <v>6407</v>
      </c>
      <c r="L133" s="12" t="s">
        <v>6408</v>
      </c>
      <c r="M133" s="13">
        <v>43561</v>
      </c>
      <c r="N133" s="12" t="s">
        <v>6409</v>
      </c>
      <c r="O133" s="12" t="s">
        <v>6785</v>
      </c>
      <c r="P133" s="12"/>
      <c r="Q133" s="12">
        <v>1</v>
      </c>
    </row>
    <row r="134" spans="1:17" ht="15.75" customHeight="1">
      <c r="A134" s="12">
        <v>1632</v>
      </c>
      <c r="B134" s="12">
        <v>744</v>
      </c>
      <c r="C134" s="12">
        <v>9219</v>
      </c>
      <c r="D134" s="12" t="s">
        <v>6047</v>
      </c>
      <c r="E134" s="12" t="s">
        <v>6786</v>
      </c>
      <c r="F134" s="12" t="s">
        <v>6787</v>
      </c>
      <c r="G134" s="12" t="s">
        <v>6788</v>
      </c>
      <c r="H134" s="12" t="s">
        <v>6275</v>
      </c>
      <c r="I134" s="12" t="s">
        <v>6453</v>
      </c>
      <c r="J134" s="12">
        <v>9219</v>
      </c>
      <c r="K134" s="12" t="s">
        <v>6789</v>
      </c>
      <c r="L134" s="12" t="s">
        <v>6240</v>
      </c>
      <c r="M134" s="13">
        <v>41321</v>
      </c>
      <c r="N134" s="12" t="s">
        <v>6790</v>
      </c>
      <c r="O134" s="12" t="s">
        <v>6791</v>
      </c>
      <c r="P134" s="12"/>
      <c r="Q134" s="12">
        <v>1</v>
      </c>
    </row>
    <row r="135" spans="1:17" ht="15.75" customHeight="1">
      <c r="A135" s="12">
        <v>912</v>
      </c>
      <c r="B135" s="12">
        <v>825</v>
      </c>
      <c r="C135" s="12">
        <v>10396</v>
      </c>
      <c r="D135" s="12" t="s">
        <v>6047</v>
      </c>
      <c r="E135" s="12" t="s">
        <v>6792</v>
      </c>
      <c r="F135" s="12" t="s">
        <v>6793</v>
      </c>
      <c r="G135" s="12" t="s">
        <v>6794</v>
      </c>
      <c r="H135" s="12" t="s">
        <v>6060</v>
      </c>
      <c r="I135" s="12" t="s">
        <v>6795</v>
      </c>
      <c r="J135" s="12">
        <v>10396</v>
      </c>
      <c r="K135" s="12" t="s">
        <v>6796</v>
      </c>
      <c r="L135" s="12" t="s">
        <v>6753</v>
      </c>
      <c r="M135" s="13">
        <v>42830</v>
      </c>
      <c r="N135" s="12" t="s">
        <v>6797</v>
      </c>
      <c r="O135" s="12" t="s">
        <v>6798</v>
      </c>
      <c r="P135" s="12"/>
      <c r="Q135" s="12">
        <v>1</v>
      </c>
    </row>
    <row r="136" spans="1:17" ht="15.75" customHeight="1">
      <c r="A136" s="12">
        <v>439</v>
      </c>
      <c r="B136" s="12">
        <v>69</v>
      </c>
      <c r="C136" s="12">
        <v>748</v>
      </c>
      <c r="D136" s="12" t="s">
        <v>6047</v>
      </c>
      <c r="E136" s="12" t="s">
        <v>356</v>
      </c>
      <c r="F136" s="12" t="s">
        <v>6799</v>
      </c>
      <c r="G136" s="12" t="s">
        <v>6800</v>
      </c>
      <c r="H136" s="12" t="s">
        <v>6289</v>
      </c>
      <c r="I136" s="12" t="s">
        <v>6290</v>
      </c>
      <c r="J136" s="12">
        <v>748</v>
      </c>
      <c r="K136" s="12" t="s">
        <v>6801</v>
      </c>
      <c r="L136" s="12" t="s">
        <v>6240</v>
      </c>
      <c r="M136" s="13">
        <v>44571</v>
      </c>
      <c r="N136" s="12" t="s">
        <v>6802</v>
      </c>
      <c r="O136" s="12" t="s">
        <v>6803</v>
      </c>
      <c r="P136" s="12"/>
      <c r="Q136" s="12">
        <v>1</v>
      </c>
    </row>
    <row r="137" spans="1:17" ht="15.75" customHeight="1">
      <c r="A137" s="12">
        <v>828</v>
      </c>
      <c r="B137" s="12">
        <v>1602</v>
      </c>
      <c r="C137" s="12">
        <v>28227</v>
      </c>
      <c r="D137" s="12" t="s">
        <v>6047</v>
      </c>
      <c r="E137" s="12" t="s">
        <v>6804</v>
      </c>
      <c r="F137" s="12" t="s">
        <v>6805</v>
      </c>
      <c r="G137" s="12" t="s">
        <v>6806</v>
      </c>
      <c r="H137" s="12" t="s">
        <v>6051</v>
      </c>
      <c r="I137" s="12" t="s">
        <v>6366</v>
      </c>
      <c r="J137" s="12">
        <v>28227</v>
      </c>
      <c r="K137" s="12" t="s">
        <v>6807</v>
      </c>
      <c r="L137" s="12" t="s">
        <v>6564</v>
      </c>
      <c r="M137" s="13">
        <v>43022</v>
      </c>
      <c r="N137" s="12" t="s">
        <v>6808</v>
      </c>
      <c r="O137" s="12" t="s">
        <v>6809</v>
      </c>
      <c r="P137" s="12"/>
      <c r="Q137" s="12">
        <v>1</v>
      </c>
    </row>
    <row r="138" spans="1:17" ht="15.75" customHeight="1">
      <c r="A138" s="12">
        <v>1821</v>
      </c>
      <c r="B138" s="12">
        <v>914</v>
      </c>
      <c r="C138" s="12">
        <v>12096</v>
      </c>
      <c r="D138" s="12" t="s">
        <v>6047</v>
      </c>
      <c r="E138" s="12" t="s">
        <v>6810</v>
      </c>
      <c r="F138" s="12" t="s">
        <v>6811</v>
      </c>
      <c r="G138" s="12" t="s">
        <v>6812</v>
      </c>
      <c r="H138" s="12" t="s">
        <v>6340</v>
      </c>
      <c r="I138" s="12" t="s">
        <v>6341</v>
      </c>
      <c r="J138" s="12">
        <v>12096</v>
      </c>
      <c r="K138" s="12" t="s">
        <v>6062</v>
      </c>
      <c r="L138" s="12" t="s">
        <v>6063</v>
      </c>
      <c r="M138" s="13">
        <v>40873</v>
      </c>
      <c r="N138" s="12" t="s">
        <v>6064</v>
      </c>
      <c r="O138" s="12" t="s">
        <v>6065</v>
      </c>
      <c r="P138" s="12"/>
      <c r="Q138" s="12">
        <v>1</v>
      </c>
    </row>
    <row r="139" spans="1:17" ht="15.75" customHeight="1">
      <c r="A139" s="12">
        <v>1953</v>
      </c>
      <c r="B139" s="12">
        <v>659</v>
      </c>
      <c r="C139" s="12">
        <v>7985</v>
      </c>
      <c r="D139" s="12" t="s">
        <v>6047</v>
      </c>
      <c r="E139" s="12" t="s">
        <v>6813</v>
      </c>
      <c r="F139" s="12" t="s">
        <v>6814</v>
      </c>
      <c r="G139" s="12" t="s">
        <v>6815</v>
      </c>
      <c r="H139" s="12" t="s">
        <v>6075</v>
      </c>
      <c r="I139" s="12" t="s">
        <v>6076</v>
      </c>
      <c r="J139" s="12">
        <v>7985</v>
      </c>
      <c r="K139" s="12" t="s">
        <v>6548</v>
      </c>
      <c r="L139" s="12" t="s">
        <v>6549</v>
      </c>
      <c r="M139" s="13">
        <v>38580</v>
      </c>
      <c r="N139" s="12" t="s">
        <v>6550</v>
      </c>
      <c r="O139" s="12" t="s">
        <v>6551</v>
      </c>
      <c r="P139" s="12"/>
      <c r="Q139" s="12">
        <v>1</v>
      </c>
    </row>
    <row r="140" spans="1:17" ht="15.75" customHeight="1">
      <c r="A140" s="12">
        <v>1050</v>
      </c>
      <c r="B140" s="12">
        <v>1565</v>
      </c>
      <c r="C140" s="12">
        <v>27541</v>
      </c>
      <c r="D140" s="12" t="s">
        <v>6047</v>
      </c>
      <c r="E140" s="12" t="s">
        <v>6816</v>
      </c>
      <c r="F140" s="12" t="s">
        <v>6817</v>
      </c>
      <c r="G140" s="12" t="s">
        <v>6818</v>
      </c>
      <c r="H140" s="12" t="s">
        <v>6051</v>
      </c>
      <c r="I140" s="12" t="s">
        <v>6704</v>
      </c>
      <c r="J140" s="12">
        <v>27541</v>
      </c>
      <c r="K140" s="12" t="s">
        <v>6819</v>
      </c>
      <c r="L140" s="12" t="s">
        <v>6504</v>
      </c>
      <c r="M140" s="13">
        <v>42687</v>
      </c>
      <c r="N140" s="12" t="s">
        <v>6820</v>
      </c>
      <c r="O140" s="12" t="s">
        <v>6821</v>
      </c>
      <c r="P140" s="12"/>
      <c r="Q140" s="12">
        <v>1</v>
      </c>
    </row>
    <row r="141" spans="1:17" ht="15.75" customHeight="1">
      <c r="A141" s="12">
        <v>1499</v>
      </c>
      <c r="B141" s="12">
        <v>1876</v>
      </c>
      <c r="C141" s="12">
        <v>34083</v>
      </c>
      <c r="D141" s="12" t="s">
        <v>6047</v>
      </c>
      <c r="E141" s="12" t="s">
        <v>6822</v>
      </c>
      <c r="F141" s="12" t="s">
        <v>6823</v>
      </c>
      <c r="G141" s="12" t="s">
        <v>6824</v>
      </c>
      <c r="H141" s="12" t="s">
        <v>6051</v>
      </c>
      <c r="I141" s="12" t="s">
        <v>6362</v>
      </c>
      <c r="J141" s="12">
        <v>34083</v>
      </c>
      <c r="K141" s="12" t="s">
        <v>6825</v>
      </c>
      <c r="L141" s="12" t="s">
        <v>6284</v>
      </c>
      <c r="M141" s="13">
        <v>41784</v>
      </c>
      <c r="N141" s="12" t="s">
        <v>6826</v>
      </c>
      <c r="O141" s="12" t="s">
        <v>6827</v>
      </c>
      <c r="P141" s="12"/>
      <c r="Q141" s="12">
        <v>1</v>
      </c>
    </row>
    <row r="142" spans="1:17" ht="15.75" customHeight="1">
      <c r="A142" s="12">
        <v>1171</v>
      </c>
      <c r="B142" s="12">
        <v>1981</v>
      </c>
      <c r="C142" s="12">
        <v>35088</v>
      </c>
      <c r="D142" s="12" t="s">
        <v>6047</v>
      </c>
      <c r="E142" s="12" t="s">
        <v>6828</v>
      </c>
      <c r="F142" s="12" t="s">
        <v>6829</v>
      </c>
      <c r="G142" s="12" t="s">
        <v>6830</v>
      </c>
      <c r="H142" s="12" t="s">
        <v>6051</v>
      </c>
      <c r="I142" s="12" t="s">
        <v>6700</v>
      </c>
      <c r="J142" s="12">
        <v>35088</v>
      </c>
      <c r="K142" s="12" t="s">
        <v>6831</v>
      </c>
      <c r="L142" s="12" t="s">
        <v>6832</v>
      </c>
      <c r="M142" s="13">
        <v>41996</v>
      </c>
      <c r="N142" s="12" t="s">
        <v>6833</v>
      </c>
      <c r="O142" s="12" t="s">
        <v>6834</v>
      </c>
      <c r="P142" s="12"/>
      <c r="Q142" s="12">
        <v>1</v>
      </c>
    </row>
    <row r="143" spans="1:17" ht="15.75" customHeight="1">
      <c r="A143" s="12">
        <v>735</v>
      </c>
      <c r="B143" s="12">
        <v>1108</v>
      </c>
      <c r="C143" s="12">
        <v>15944</v>
      </c>
      <c r="D143" s="12" t="s">
        <v>6047</v>
      </c>
      <c r="E143" s="12" t="s">
        <v>6835</v>
      </c>
      <c r="F143" s="12" t="s">
        <v>6836</v>
      </c>
      <c r="G143" s="12" t="s">
        <v>6837</v>
      </c>
      <c r="H143" s="12" t="s">
        <v>6051</v>
      </c>
      <c r="I143" s="12" t="s">
        <v>6406</v>
      </c>
      <c r="J143" s="12">
        <v>15944</v>
      </c>
      <c r="K143" s="12" t="s">
        <v>6838</v>
      </c>
      <c r="L143" s="12" t="s">
        <v>6839</v>
      </c>
      <c r="M143" s="13">
        <v>43197</v>
      </c>
      <c r="N143" s="12" t="s">
        <v>6840</v>
      </c>
      <c r="O143" s="12" t="s">
        <v>6841</v>
      </c>
      <c r="P143" s="12"/>
      <c r="Q143" s="12">
        <v>1</v>
      </c>
    </row>
    <row r="144" spans="1:17" ht="15.75" customHeight="1">
      <c r="A144" s="12">
        <v>1163</v>
      </c>
      <c r="B144" s="12">
        <v>646</v>
      </c>
      <c r="C144" s="12">
        <v>7859</v>
      </c>
      <c r="D144" s="12" t="s">
        <v>6047</v>
      </c>
      <c r="E144" s="12" t="s">
        <v>6842</v>
      </c>
      <c r="F144" s="12" t="s">
        <v>6843</v>
      </c>
      <c r="G144" s="12" t="s">
        <v>6844</v>
      </c>
      <c r="H144" s="12" t="s">
        <v>6075</v>
      </c>
      <c r="I144" s="12" t="s">
        <v>6076</v>
      </c>
      <c r="J144" s="12">
        <v>7859</v>
      </c>
      <c r="K144" s="12" t="s">
        <v>6845</v>
      </c>
      <c r="L144" s="12" t="s">
        <v>6248</v>
      </c>
      <c r="M144" s="13">
        <v>42040</v>
      </c>
      <c r="N144" s="12" t="s">
        <v>6846</v>
      </c>
      <c r="O144" s="12" t="s">
        <v>6847</v>
      </c>
      <c r="P144" s="12"/>
      <c r="Q144" s="12">
        <v>1</v>
      </c>
    </row>
    <row r="145" spans="1:17" ht="15.75" customHeight="1">
      <c r="A145" s="12">
        <v>1314</v>
      </c>
      <c r="B145" s="12">
        <v>874</v>
      </c>
      <c r="C145" s="12">
        <v>11275</v>
      </c>
      <c r="D145" s="12" t="s">
        <v>6047</v>
      </c>
      <c r="E145" s="12" t="s">
        <v>6848</v>
      </c>
      <c r="F145" s="12" t="s">
        <v>6849</v>
      </c>
      <c r="G145" s="12" t="s">
        <v>6850</v>
      </c>
      <c r="H145" s="12" t="s">
        <v>6060</v>
      </c>
      <c r="I145" s="12" t="s">
        <v>6061</v>
      </c>
      <c r="J145" s="12">
        <v>11275</v>
      </c>
      <c r="K145" s="12" t="s">
        <v>6851</v>
      </c>
      <c r="L145" s="12" t="s">
        <v>6106</v>
      </c>
      <c r="M145" s="13">
        <v>41926</v>
      </c>
      <c r="N145" s="12" t="s">
        <v>6852</v>
      </c>
      <c r="O145" s="12" t="s">
        <v>6853</v>
      </c>
      <c r="P145" s="12"/>
      <c r="Q145" s="12">
        <v>1</v>
      </c>
    </row>
    <row r="146" spans="1:17" ht="15.75" customHeight="1">
      <c r="A146" s="12">
        <v>768</v>
      </c>
      <c r="B146" s="12">
        <v>1257</v>
      </c>
      <c r="C146" s="12">
        <v>17807</v>
      </c>
      <c r="D146" s="12" t="s">
        <v>6047</v>
      </c>
      <c r="E146" s="12" t="s">
        <v>6854</v>
      </c>
      <c r="F146" s="12" t="s">
        <v>6855</v>
      </c>
      <c r="G146" s="12" t="s">
        <v>6856</v>
      </c>
      <c r="H146" s="12" t="s">
        <v>6051</v>
      </c>
      <c r="I146" s="12" t="s">
        <v>6857</v>
      </c>
      <c r="J146" s="12">
        <v>17807</v>
      </c>
      <c r="K146" s="12" t="s">
        <v>6858</v>
      </c>
      <c r="L146" s="12" t="s">
        <v>6590</v>
      </c>
      <c r="M146" s="13">
        <v>43037</v>
      </c>
      <c r="N146" s="12" t="s">
        <v>6859</v>
      </c>
      <c r="O146" s="12" t="s">
        <v>6860</v>
      </c>
      <c r="P146" s="12"/>
      <c r="Q146" s="12">
        <v>1</v>
      </c>
    </row>
    <row r="147" spans="1:17" ht="15.75" customHeight="1">
      <c r="A147" s="12">
        <v>1831</v>
      </c>
      <c r="B147" s="12">
        <v>809</v>
      </c>
      <c r="C147" s="12">
        <v>10306</v>
      </c>
      <c r="D147" s="12" t="s">
        <v>6047</v>
      </c>
      <c r="E147" s="12" t="s">
        <v>6861</v>
      </c>
      <c r="F147" s="12" t="s">
        <v>6862</v>
      </c>
      <c r="G147" s="12" t="s">
        <v>6863</v>
      </c>
      <c r="H147" s="12" t="s">
        <v>6265</v>
      </c>
      <c r="I147" s="12" t="s">
        <v>6266</v>
      </c>
      <c r="J147" s="12">
        <v>10306</v>
      </c>
      <c r="K147" s="12" t="s">
        <v>6062</v>
      </c>
      <c r="L147" s="12" t="s">
        <v>6063</v>
      </c>
      <c r="M147" s="13">
        <v>40873</v>
      </c>
      <c r="N147" s="12" t="s">
        <v>6064</v>
      </c>
      <c r="O147" s="12" t="s">
        <v>6065</v>
      </c>
      <c r="P147" s="12"/>
      <c r="Q147" s="12">
        <v>1</v>
      </c>
    </row>
    <row r="148" spans="1:17" ht="15.75" customHeight="1">
      <c r="A148" s="12">
        <v>1198</v>
      </c>
      <c r="B148" s="12">
        <v>1976</v>
      </c>
      <c r="C148" s="12">
        <v>35041</v>
      </c>
      <c r="D148" s="12" t="s">
        <v>6047</v>
      </c>
      <c r="E148" s="12" t="s">
        <v>6864</v>
      </c>
      <c r="F148" s="12" t="s">
        <v>6865</v>
      </c>
      <c r="G148" s="12" t="s">
        <v>6866</v>
      </c>
      <c r="H148" s="12" t="s">
        <v>6051</v>
      </c>
      <c r="I148" s="12" t="s">
        <v>6700</v>
      </c>
      <c r="J148" s="12">
        <v>35041</v>
      </c>
      <c r="K148" s="12" t="s">
        <v>6429</v>
      </c>
      <c r="L148" s="12" t="s">
        <v>6423</v>
      </c>
      <c r="M148" s="13">
        <v>41991</v>
      </c>
      <c r="N148" s="12" t="s">
        <v>6430</v>
      </c>
      <c r="O148" s="12" t="s">
        <v>6431</v>
      </c>
      <c r="P148" s="12"/>
      <c r="Q148" s="12">
        <v>1</v>
      </c>
    </row>
    <row r="149" spans="1:17" ht="15.75" customHeight="1">
      <c r="A149" s="12">
        <v>1564</v>
      </c>
      <c r="B149" s="12">
        <v>1545</v>
      </c>
      <c r="C149" s="12">
        <v>27362</v>
      </c>
      <c r="D149" s="12" t="s">
        <v>6047</v>
      </c>
      <c r="E149" s="12" t="s">
        <v>397</v>
      </c>
      <c r="F149" s="12" t="s">
        <v>6867</v>
      </c>
      <c r="G149" s="12" t="s">
        <v>6868</v>
      </c>
      <c r="H149" s="12" t="s">
        <v>6051</v>
      </c>
      <c r="I149" s="12" t="s">
        <v>6704</v>
      </c>
      <c r="J149" s="12">
        <v>27362</v>
      </c>
      <c r="K149" s="12" t="s">
        <v>6869</v>
      </c>
      <c r="L149" s="12" t="s">
        <v>6255</v>
      </c>
      <c r="M149" s="13">
        <v>41561</v>
      </c>
      <c r="N149" s="12" t="s">
        <v>6870</v>
      </c>
      <c r="O149" s="12" t="s">
        <v>6871</v>
      </c>
      <c r="P149" s="12"/>
      <c r="Q149" s="12">
        <v>1</v>
      </c>
    </row>
    <row r="150" spans="1:17" ht="15.75" customHeight="1">
      <c r="A150" s="12">
        <v>1023</v>
      </c>
      <c r="B150" s="12">
        <v>1012</v>
      </c>
      <c r="C150" s="12">
        <v>14076</v>
      </c>
      <c r="D150" s="12" t="s">
        <v>6047</v>
      </c>
      <c r="E150" s="12" t="s">
        <v>6872</v>
      </c>
      <c r="F150" s="12" t="s">
        <v>6873</v>
      </c>
      <c r="G150" s="12" t="s">
        <v>6874</v>
      </c>
      <c r="H150" s="12" t="s">
        <v>6051</v>
      </c>
      <c r="I150" s="12" t="s">
        <v>6741</v>
      </c>
      <c r="J150" s="12">
        <v>14076</v>
      </c>
      <c r="K150" s="12" t="s">
        <v>6875</v>
      </c>
      <c r="L150" s="12" t="s">
        <v>6357</v>
      </c>
      <c r="M150" s="13">
        <v>42691</v>
      </c>
      <c r="N150" s="12" t="s">
        <v>6876</v>
      </c>
      <c r="O150" s="12" t="s">
        <v>6877</v>
      </c>
      <c r="P150" s="12"/>
      <c r="Q150" s="12">
        <v>1</v>
      </c>
    </row>
    <row r="151" spans="1:17" ht="15.75" customHeight="1">
      <c r="A151" s="12">
        <v>1231</v>
      </c>
      <c r="B151" s="12">
        <v>1019</v>
      </c>
      <c r="C151" s="12">
        <v>14267</v>
      </c>
      <c r="D151" s="12" t="s">
        <v>6047</v>
      </c>
      <c r="E151" s="12" t="s">
        <v>6878</v>
      </c>
      <c r="F151" s="12" t="s">
        <v>6879</v>
      </c>
      <c r="G151" s="12" t="s">
        <v>6880</v>
      </c>
      <c r="H151" s="12" t="s">
        <v>6051</v>
      </c>
      <c r="I151" s="12" t="s">
        <v>6881</v>
      </c>
      <c r="J151" s="12">
        <v>14267</v>
      </c>
      <c r="K151" s="12" t="s">
        <v>6429</v>
      </c>
      <c r="L151" s="12" t="s">
        <v>6423</v>
      </c>
      <c r="M151" s="13">
        <v>41991</v>
      </c>
      <c r="N151" s="12" t="s">
        <v>6430</v>
      </c>
      <c r="O151" s="12" t="s">
        <v>6431</v>
      </c>
      <c r="P151" s="12"/>
      <c r="Q151" s="12">
        <v>1</v>
      </c>
    </row>
    <row r="152" spans="1:17" ht="15.75" customHeight="1">
      <c r="A152" s="12">
        <v>1869</v>
      </c>
      <c r="B152" s="12">
        <v>1997</v>
      </c>
      <c r="C152" s="12">
        <v>35236</v>
      </c>
      <c r="D152" s="12" t="s">
        <v>6047</v>
      </c>
      <c r="E152" s="12" t="s">
        <v>6882</v>
      </c>
      <c r="F152" s="12" t="s">
        <v>6883</v>
      </c>
      <c r="G152" s="12" t="s">
        <v>6884</v>
      </c>
      <c r="H152" s="12" t="s">
        <v>6051</v>
      </c>
      <c r="I152" s="12" t="s">
        <v>6700</v>
      </c>
      <c r="J152" s="12">
        <v>35236</v>
      </c>
      <c r="K152" s="12" t="s">
        <v>6769</v>
      </c>
      <c r="L152" s="12" t="s">
        <v>6709</v>
      </c>
      <c r="M152" s="13">
        <v>40176</v>
      </c>
      <c r="N152" s="12" t="s">
        <v>6770</v>
      </c>
      <c r="O152" s="12" t="s">
        <v>6771</v>
      </c>
      <c r="P152" s="12"/>
      <c r="Q152" s="12">
        <v>1</v>
      </c>
    </row>
    <row r="153" spans="1:17" ht="15.75" customHeight="1">
      <c r="A153" s="12">
        <v>459</v>
      </c>
      <c r="B153" s="12">
        <v>1550</v>
      </c>
      <c r="C153" s="12">
        <v>27429</v>
      </c>
      <c r="D153" s="12" t="s">
        <v>6047</v>
      </c>
      <c r="E153" s="12" t="s">
        <v>6885</v>
      </c>
      <c r="F153" s="12" t="s">
        <v>6886</v>
      </c>
      <c r="G153" s="12" t="s">
        <v>6887</v>
      </c>
      <c r="H153" s="12" t="s">
        <v>6051</v>
      </c>
      <c r="I153" s="12" t="s">
        <v>6704</v>
      </c>
      <c r="J153" s="12">
        <v>27429</v>
      </c>
      <c r="K153" s="12" t="s">
        <v>6497</v>
      </c>
      <c r="L153" s="12" t="s">
        <v>6498</v>
      </c>
      <c r="M153" s="13">
        <v>43790</v>
      </c>
      <c r="N153" s="12" t="s">
        <v>6499</v>
      </c>
      <c r="O153" s="12" t="s">
        <v>6500</v>
      </c>
      <c r="P153" s="12"/>
      <c r="Q153" s="12">
        <v>1</v>
      </c>
    </row>
    <row r="154" spans="1:17" ht="15.75" customHeight="1">
      <c r="A154" s="12">
        <v>933</v>
      </c>
      <c r="B154" s="12">
        <v>991</v>
      </c>
      <c r="C154" s="12">
        <v>13549</v>
      </c>
      <c r="D154" s="12" t="s">
        <v>6047</v>
      </c>
      <c r="E154" s="12" t="s">
        <v>6888</v>
      </c>
      <c r="F154" s="12" t="s">
        <v>6889</v>
      </c>
      <c r="G154" s="12" t="s">
        <v>6890</v>
      </c>
      <c r="H154" s="12" t="s">
        <v>6051</v>
      </c>
      <c r="I154" s="12" t="s">
        <v>6741</v>
      </c>
      <c r="J154" s="12">
        <v>13549</v>
      </c>
      <c r="K154" s="12" t="s">
        <v>6752</v>
      </c>
      <c r="L154" s="12" t="s">
        <v>6753</v>
      </c>
      <c r="M154" s="13">
        <v>42828</v>
      </c>
      <c r="N154" s="12" t="s">
        <v>6754</v>
      </c>
      <c r="O154" s="12" t="s">
        <v>6891</v>
      </c>
      <c r="P154" s="12"/>
      <c r="Q154" s="12">
        <v>1</v>
      </c>
    </row>
    <row r="155" spans="1:17" ht="15.75" customHeight="1">
      <c r="A155" s="12">
        <v>762</v>
      </c>
      <c r="B155" s="12">
        <v>1590</v>
      </c>
      <c r="C155" s="12">
        <v>27999</v>
      </c>
      <c r="D155" s="12" t="s">
        <v>6047</v>
      </c>
      <c r="E155" s="12" t="s">
        <v>415</v>
      </c>
      <c r="F155" s="12" t="s">
        <v>6892</v>
      </c>
      <c r="G155" s="12" t="s">
        <v>6893</v>
      </c>
      <c r="H155" s="12" t="s">
        <v>6051</v>
      </c>
      <c r="I155" s="12" t="s">
        <v>6894</v>
      </c>
      <c r="J155" s="12">
        <v>27999</v>
      </c>
      <c r="K155" s="12" t="s">
        <v>6895</v>
      </c>
      <c r="L155" s="12" t="s">
        <v>6317</v>
      </c>
      <c r="M155" s="13">
        <v>43087</v>
      </c>
      <c r="N155" s="12" t="s">
        <v>6896</v>
      </c>
      <c r="O155" s="12" t="s">
        <v>6897</v>
      </c>
      <c r="P155" s="12"/>
      <c r="Q155" s="12">
        <v>1</v>
      </c>
    </row>
    <row r="156" spans="1:17" ht="15.75" customHeight="1">
      <c r="A156" s="12">
        <v>1447</v>
      </c>
      <c r="B156" s="12">
        <v>371</v>
      </c>
      <c r="C156" s="12">
        <v>5587</v>
      </c>
      <c r="D156" s="12" t="s">
        <v>6047</v>
      </c>
      <c r="E156" s="12" t="s">
        <v>6898</v>
      </c>
      <c r="F156" s="12" t="s">
        <v>6899</v>
      </c>
      <c r="G156" s="12" t="s">
        <v>6900</v>
      </c>
      <c r="H156" s="12" t="s">
        <v>6213</v>
      </c>
      <c r="I156" s="12" t="s">
        <v>6214</v>
      </c>
      <c r="J156" s="12">
        <v>5587</v>
      </c>
      <c r="K156" s="12" t="s">
        <v>6069</v>
      </c>
      <c r="L156" s="12" t="s">
        <v>6070</v>
      </c>
      <c r="M156" s="13">
        <v>41908</v>
      </c>
      <c r="N156" s="12" t="s">
        <v>6071</v>
      </c>
      <c r="O156" s="12" t="s">
        <v>6901</v>
      </c>
      <c r="P156" s="12"/>
      <c r="Q156" s="12">
        <v>1</v>
      </c>
    </row>
    <row r="157" spans="1:17" ht="15.75" customHeight="1">
      <c r="A157" s="12">
        <v>11</v>
      </c>
      <c r="B157" s="12">
        <v>1359</v>
      </c>
      <c r="C157" s="12">
        <v>19814</v>
      </c>
      <c r="D157" s="12" t="s">
        <v>6047</v>
      </c>
      <c r="E157" s="12" t="s">
        <v>430</v>
      </c>
      <c r="F157" s="12" t="s">
        <v>6902</v>
      </c>
      <c r="G157" s="12" t="s">
        <v>6903</v>
      </c>
      <c r="H157" s="12" t="s">
        <v>6051</v>
      </c>
      <c r="I157" s="12" t="s">
        <v>6635</v>
      </c>
      <c r="J157" s="12">
        <v>19814</v>
      </c>
      <c r="K157" s="12" t="s">
        <v>6904</v>
      </c>
      <c r="L157" s="12" t="s">
        <v>6905</v>
      </c>
      <c r="M157" s="13">
        <v>45980</v>
      </c>
      <c r="N157" s="12" t="s">
        <v>6906</v>
      </c>
      <c r="O157" s="12" t="s">
        <v>6907</v>
      </c>
      <c r="P157" s="12"/>
      <c r="Q157" s="12">
        <v>1</v>
      </c>
    </row>
    <row r="158" spans="1:17" ht="15.75" customHeight="1">
      <c r="A158" s="12">
        <v>98</v>
      </c>
      <c r="B158" s="12">
        <v>912</v>
      </c>
      <c r="C158" s="12">
        <v>12091</v>
      </c>
      <c r="D158" s="12" t="s">
        <v>6047</v>
      </c>
      <c r="E158" s="12" t="s">
        <v>6908</v>
      </c>
      <c r="F158" s="12" t="s">
        <v>6909</v>
      </c>
      <c r="G158" s="12" t="s">
        <v>6910</v>
      </c>
      <c r="H158" s="12" t="s">
        <v>6340</v>
      </c>
      <c r="I158" s="12" t="s">
        <v>6341</v>
      </c>
      <c r="J158" s="12">
        <v>12091</v>
      </c>
      <c r="K158" s="12" t="s">
        <v>6911</v>
      </c>
      <c r="L158" s="12" t="s">
        <v>6511</v>
      </c>
      <c r="M158" s="13">
        <v>45968</v>
      </c>
      <c r="N158" s="12" t="s">
        <v>6912</v>
      </c>
      <c r="O158" s="12" t="s">
        <v>6913</v>
      </c>
      <c r="P158" s="12"/>
      <c r="Q158" s="12">
        <v>1</v>
      </c>
    </row>
    <row r="159" spans="1:17" ht="15.75" customHeight="1">
      <c r="A159" s="12">
        <v>1253</v>
      </c>
      <c r="B159" s="12">
        <v>2002</v>
      </c>
      <c r="C159" s="12">
        <v>35281</v>
      </c>
      <c r="D159" s="12" t="s">
        <v>6047</v>
      </c>
      <c r="E159" s="12" t="s">
        <v>6914</v>
      </c>
      <c r="F159" s="12" t="s">
        <v>6915</v>
      </c>
      <c r="G159" s="12" t="s">
        <v>6916</v>
      </c>
      <c r="H159" s="12" t="s">
        <v>6051</v>
      </c>
      <c r="I159" s="12" t="s">
        <v>6700</v>
      </c>
      <c r="J159" s="12">
        <v>35281</v>
      </c>
      <c r="K159" s="12" t="s">
        <v>6470</v>
      </c>
      <c r="L159" s="12" t="s">
        <v>6423</v>
      </c>
      <c r="M159" s="13">
        <v>41990</v>
      </c>
      <c r="N159" s="12" t="s">
        <v>6471</v>
      </c>
      <c r="O159" s="12" t="s">
        <v>6472</v>
      </c>
      <c r="P159" s="12"/>
      <c r="Q159" s="12">
        <v>1</v>
      </c>
    </row>
    <row r="160" spans="1:17" ht="15.75" customHeight="1">
      <c r="A160" s="12">
        <v>645</v>
      </c>
      <c r="B160" s="12">
        <v>105</v>
      </c>
      <c r="C160" s="12">
        <v>1647</v>
      </c>
      <c r="D160" s="12" t="s">
        <v>6047</v>
      </c>
      <c r="E160" s="12" t="s">
        <v>6917</v>
      </c>
      <c r="F160" s="12" t="s">
        <v>6918</v>
      </c>
      <c r="G160" s="12" t="s">
        <v>6919</v>
      </c>
      <c r="H160" s="12" t="s">
        <v>6435</v>
      </c>
      <c r="I160" s="12" t="s">
        <v>6920</v>
      </c>
      <c r="J160" s="12">
        <v>1647</v>
      </c>
      <c r="K160" s="12" t="s">
        <v>6921</v>
      </c>
      <c r="L160" s="12" t="s">
        <v>6193</v>
      </c>
      <c r="M160" s="13">
        <v>43405</v>
      </c>
      <c r="N160" s="12" t="s">
        <v>6922</v>
      </c>
      <c r="O160" s="12" t="s">
        <v>6923</v>
      </c>
      <c r="P160" s="12" t="s">
        <v>6196</v>
      </c>
      <c r="Q160" s="12">
        <v>1</v>
      </c>
    </row>
    <row r="161" spans="1:17" ht="15.75" customHeight="1">
      <c r="A161" s="12">
        <v>1079</v>
      </c>
      <c r="B161" s="12">
        <v>79</v>
      </c>
      <c r="C161" s="12">
        <v>854</v>
      </c>
      <c r="D161" s="12" t="s">
        <v>6047</v>
      </c>
      <c r="E161" s="12" t="s">
        <v>6924</v>
      </c>
      <c r="F161" s="12" t="s">
        <v>6925</v>
      </c>
      <c r="G161" s="12" t="s">
        <v>6926</v>
      </c>
      <c r="H161" s="12" t="s">
        <v>6435</v>
      </c>
      <c r="I161" s="12" t="s">
        <v>6436</v>
      </c>
      <c r="J161" s="12">
        <v>854</v>
      </c>
      <c r="K161" s="12" t="s">
        <v>6927</v>
      </c>
      <c r="L161" s="12" t="s">
        <v>6504</v>
      </c>
      <c r="M161" s="13">
        <v>42686</v>
      </c>
      <c r="N161" s="12" t="s">
        <v>6928</v>
      </c>
      <c r="O161" s="12" t="s">
        <v>6929</v>
      </c>
      <c r="P161" s="12"/>
      <c r="Q161" s="12">
        <v>1</v>
      </c>
    </row>
    <row r="162" spans="1:17" ht="15.75" customHeight="1">
      <c r="A162" s="12">
        <v>1105</v>
      </c>
      <c r="B162" s="12">
        <v>475</v>
      </c>
      <c r="C162" s="12">
        <v>6396</v>
      </c>
      <c r="D162" s="12" t="s">
        <v>6047</v>
      </c>
      <c r="E162" s="12" t="s">
        <v>417</v>
      </c>
      <c r="F162" s="12" t="s">
        <v>6930</v>
      </c>
      <c r="G162" s="12" t="s">
        <v>6931</v>
      </c>
      <c r="H162" s="12" t="s">
        <v>6137</v>
      </c>
      <c r="I162" s="12" t="s">
        <v>6555</v>
      </c>
      <c r="J162" s="12">
        <v>6396</v>
      </c>
      <c r="K162" s="12" t="s">
        <v>6556</v>
      </c>
      <c r="L162" s="12" t="s">
        <v>6284</v>
      </c>
      <c r="M162" s="13">
        <v>42610</v>
      </c>
      <c r="N162" s="12" t="s">
        <v>6557</v>
      </c>
      <c r="O162" s="12" t="s">
        <v>6558</v>
      </c>
      <c r="P162" s="12"/>
      <c r="Q162" s="12">
        <v>1</v>
      </c>
    </row>
    <row r="163" spans="1:17" ht="15.75" customHeight="1">
      <c r="A163" s="12">
        <v>938</v>
      </c>
      <c r="B163" s="12">
        <v>662</v>
      </c>
      <c r="C163" s="12">
        <v>8021</v>
      </c>
      <c r="D163" s="12" t="s">
        <v>6047</v>
      </c>
      <c r="E163" s="12" t="s">
        <v>6932</v>
      </c>
      <c r="F163" s="12" t="s">
        <v>6933</v>
      </c>
      <c r="G163" s="12" t="s">
        <v>6934</v>
      </c>
      <c r="H163" s="12" t="s">
        <v>6075</v>
      </c>
      <c r="I163" s="12" t="s">
        <v>6076</v>
      </c>
      <c r="J163" s="12">
        <v>8021</v>
      </c>
      <c r="K163" s="12" t="s">
        <v>6752</v>
      </c>
      <c r="L163" s="12" t="s">
        <v>6753</v>
      </c>
      <c r="M163" s="13">
        <v>42828</v>
      </c>
      <c r="N163" s="12" t="s">
        <v>6754</v>
      </c>
      <c r="O163" s="12" t="s">
        <v>6891</v>
      </c>
      <c r="P163" s="12"/>
      <c r="Q163" s="12">
        <v>1</v>
      </c>
    </row>
    <row r="164" spans="1:17" ht="15.75" customHeight="1">
      <c r="A164" s="12">
        <v>204</v>
      </c>
      <c r="B164" s="12">
        <v>606</v>
      </c>
      <c r="C164" s="12">
        <v>7639</v>
      </c>
      <c r="D164" s="12" t="s">
        <v>6047</v>
      </c>
      <c r="E164" s="12" t="s">
        <v>6935</v>
      </c>
      <c r="F164" s="12" t="s">
        <v>6936</v>
      </c>
      <c r="G164" s="12" t="s">
        <v>6937</v>
      </c>
      <c r="H164" s="12" t="s">
        <v>6187</v>
      </c>
      <c r="I164" s="12" t="s">
        <v>6224</v>
      </c>
      <c r="J164" s="12">
        <v>7639</v>
      </c>
      <c r="K164" s="12" t="s">
        <v>6938</v>
      </c>
      <c r="L164" s="12" t="s">
        <v>6939</v>
      </c>
      <c r="M164" s="13">
        <v>45613</v>
      </c>
      <c r="N164" s="12" t="s">
        <v>6940</v>
      </c>
      <c r="O164" s="12" t="s">
        <v>6941</v>
      </c>
      <c r="P164" s="12"/>
      <c r="Q164" s="12">
        <v>1</v>
      </c>
    </row>
    <row r="165" spans="1:17" ht="15.75" customHeight="1">
      <c r="A165" s="12">
        <v>467</v>
      </c>
      <c r="B165" s="12">
        <v>273</v>
      </c>
      <c r="C165" s="12">
        <v>4622</v>
      </c>
      <c r="D165" s="12" t="s">
        <v>6047</v>
      </c>
      <c r="E165" s="12" t="s">
        <v>6942</v>
      </c>
      <c r="F165" s="12" t="s">
        <v>6943</v>
      </c>
      <c r="G165" s="12" t="s">
        <v>6944</v>
      </c>
      <c r="H165" s="12" t="s">
        <v>6163</v>
      </c>
      <c r="I165" s="12" t="s">
        <v>6253</v>
      </c>
      <c r="J165" s="12">
        <v>4622</v>
      </c>
      <c r="K165" s="12" t="s">
        <v>6945</v>
      </c>
      <c r="L165" s="12" t="s">
        <v>6498</v>
      </c>
      <c r="M165" s="13">
        <v>43788</v>
      </c>
      <c r="N165" s="12" t="s">
        <v>6946</v>
      </c>
      <c r="O165" s="12" t="s">
        <v>6947</v>
      </c>
      <c r="P165" s="12"/>
      <c r="Q165" s="12">
        <v>1</v>
      </c>
    </row>
    <row r="166" spans="1:17" ht="15.75" customHeight="1">
      <c r="A166" s="12">
        <v>1464</v>
      </c>
      <c r="B166" s="12">
        <v>689</v>
      </c>
      <c r="C166" s="12">
        <v>8345</v>
      </c>
      <c r="D166" s="12" t="s">
        <v>6047</v>
      </c>
      <c r="E166" s="12" t="s">
        <v>6948</v>
      </c>
      <c r="F166" s="12" t="s">
        <v>6949</v>
      </c>
      <c r="G166" s="12" t="s">
        <v>6950</v>
      </c>
      <c r="H166" s="12" t="s">
        <v>6075</v>
      </c>
      <c r="I166" s="12" t="s">
        <v>6076</v>
      </c>
      <c r="J166" s="12">
        <v>8345</v>
      </c>
      <c r="K166" s="12" t="s">
        <v>6069</v>
      </c>
      <c r="L166" s="12" t="s">
        <v>6070</v>
      </c>
      <c r="M166" s="13">
        <v>41907</v>
      </c>
      <c r="N166" s="12" t="s">
        <v>6071</v>
      </c>
      <c r="O166" s="12" t="s">
        <v>6072</v>
      </c>
      <c r="P166" s="12"/>
      <c r="Q166" s="12">
        <v>1</v>
      </c>
    </row>
    <row r="167" spans="1:17" ht="15.75" customHeight="1">
      <c r="A167" s="12">
        <v>919</v>
      </c>
      <c r="B167" s="12">
        <v>1819</v>
      </c>
      <c r="C167" s="12">
        <v>33633</v>
      </c>
      <c r="D167" s="12" t="s">
        <v>6047</v>
      </c>
      <c r="E167" s="12" t="s">
        <v>6951</v>
      </c>
      <c r="F167" s="12" t="s">
        <v>6952</v>
      </c>
      <c r="G167" s="12" t="s">
        <v>6953</v>
      </c>
      <c r="H167" s="12" t="s">
        <v>6051</v>
      </c>
      <c r="I167" s="12" t="s">
        <v>6261</v>
      </c>
      <c r="J167" s="12">
        <v>33633</v>
      </c>
      <c r="K167" s="12" t="s">
        <v>6954</v>
      </c>
      <c r="L167" s="12" t="s">
        <v>6955</v>
      </c>
      <c r="M167" s="13">
        <v>42829</v>
      </c>
      <c r="N167" s="12" t="s">
        <v>6956</v>
      </c>
      <c r="O167" s="12" t="s">
        <v>6957</v>
      </c>
      <c r="P167" s="12"/>
      <c r="Q167" s="12">
        <v>1</v>
      </c>
    </row>
    <row r="168" spans="1:17" ht="15.75" customHeight="1">
      <c r="A168" s="12">
        <v>668</v>
      </c>
      <c r="B168" s="12">
        <v>394</v>
      </c>
      <c r="C168" s="12">
        <v>5806</v>
      </c>
      <c r="D168" s="12" t="s">
        <v>6047</v>
      </c>
      <c r="E168" s="12" t="s">
        <v>6958</v>
      </c>
      <c r="F168" s="12" t="s">
        <v>6959</v>
      </c>
      <c r="G168" s="12" t="s">
        <v>6960</v>
      </c>
      <c r="H168" s="12" t="s">
        <v>6137</v>
      </c>
      <c r="I168" s="12" t="s">
        <v>6155</v>
      </c>
      <c r="J168" s="12">
        <v>5806</v>
      </c>
      <c r="K168" s="12" t="s">
        <v>6961</v>
      </c>
      <c r="L168" s="12" t="s">
        <v>6962</v>
      </c>
      <c r="M168" s="13">
        <v>43392</v>
      </c>
      <c r="N168" s="12" t="s">
        <v>6963</v>
      </c>
      <c r="O168" s="12" t="s">
        <v>6964</v>
      </c>
      <c r="P168" s="12"/>
      <c r="Q168" s="12">
        <v>1</v>
      </c>
    </row>
    <row r="169" spans="1:17" ht="15.75" customHeight="1">
      <c r="A169" s="12">
        <v>1571</v>
      </c>
      <c r="B169" s="12">
        <v>1192</v>
      </c>
      <c r="C169" s="12">
        <v>16998</v>
      </c>
      <c r="D169" s="12" t="s">
        <v>6047</v>
      </c>
      <c r="E169" s="12" t="s">
        <v>452</v>
      </c>
      <c r="F169" s="12" t="s">
        <v>6965</v>
      </c>
      <c r="G169" s="12" t="s">
        <v>6966</v>
      </c>
      <c r="H169" s="12" t="s">
        <v>6051</v>
      </c>
      <c r="I169" s="12" t="s">
        <v>6052</v>
      </c>
      <c r="J169" s="12">
        <v>16998</v>
      </c>
      <c r="K169" s="12" t="s">
        <v>6967</v>
      </c>
      <c r="L169" s="12" t="s">
        <v>6255</v>
      </c>
      <c r="M169" s="13">
        <v>41560</v>
      </c>
      <c r="N169" s="12" t="s">
        <v>6968</v>
      </c>
      <c r="O169" s="12" t="s">
        <v>6969</v>
      </c>
      <c r="P169" s="12"/>
      <c r="Q169" s="12">
        <v>1</v>
      </c>
    </row>
    <row r="170" spans="1:17" ht="15.75" customHeight="1">
      <c r="A170" s="12">
        <v>1119</v>
      </c>
      <c r="B170" s="12">
        <v>65</v>
      </c>
      <c r="C170" s="12">
        <v>737</v>
      </c>
      <c r="D170" s="12" t="s">
        <v>6047</v>
      </c>
      <c r="E170" s="12" t="s">
        <v>6970</v>
      </c>
      <c r="F170" s="12" t="s">
        <v>6971</v>
      </c>
      <c r="G170" s="12" t="s">
        <v>6972</v>
      </c>
      <c r="H170" s="12" t="s">
        <v>6289</v>
      </c>
      <c r="I170" s="12" t="s">
        <v>6290</v>
      </c>
      <c r="J170" s="12">
        <v>737</v>
      </c>
      <c r="K170" s="12" t="s">
        <v>6973</v>
      </c>
      <c r="L170" s="12" t="s">
        <v>6345</v>
      </c>
      <c r="M170" s="13">
        <v>42334</v>
      </c>
      <c r="N170" s="12" t="s">
        <v>6974</v>
      </c>
      <c r="O170" s="12" t="s">
        <v>6975</v>
      </c>
      <c r="P170" s="12"/>
      <c r="Q170" s="12">
        <v>1</v>
      </c>
    </row>
    <row r="171" spans="1:17" ht="15.75" customHeight="1">
      <c r="A171" s="12">
        <v>1542</v>
      </c>
      <c r="B171" s="12">
        <v>502</v>
      </c>
      <c r="C171" s="12">
        <v>6622</v>
      </c>
      <c r="D171" s="12" t="s">
        <v>6047</v>
      </c>
      <c r="E171" s="12" t="s">
        <v>6976</v>
      </c>
      <c r="F171" s="12" t="s">
        <v>6977</v>
      </c>
      <c r="G171" s="12" t="s">
        <v>6978</v>
      </c>
      <c r="H171" s="12" t="s">
        <v>6137</v>
      </c>
      <c r="I171" s="12" t="s">
        <v>6200</v>
      </c>
      <c r="J171" s="12">
        <v>6622</v>
      </c>
      <c r="K171" s="12" t="s">
        <v>6979</v>
      </c>
      <c r="L171" s="12" t="s">
        <v>6255</v>
      </c>
      <c r="M171" s="13">
        <v>41566</v>
      </c>
      <c r="N171" s="12" t="s">
        <v>6980</v>
      </c>
      <c r="O171" s="12" t="s">
        <v>6981</v>
      </c>
      <c r="P171" s="12"/>
      <c r="Q171" s="12">
        <v>1</v>
      </c>
    </row>
    <row r="172" spans="1:17" ht="15.75" customHeight="1">
      <c r="A172" s="12">
        <v>827</v>
      </c>
      <c r="B172" s="12">
        <v>19</v>
      </c>
      <c r="C172" s="12">
        <v>379</v>
      </c>
      <c r="D172" s="12" t="s">
        <v>6047</v>
      </c>
      <c r="E172" s="12" t="s">
        <v>6982</v>
      </c>
      <c r="F172" s="12" t="s">
        <v>6983</v>
      </c>
      <c r="G172" s="12" t="s">
        <v>6984</v>
      </c>
      <c r="H172" s="12" t="s">
        <v>6289</v>
      </c>
      <c r="I172" s="12" t="s">
        <v>6290</v>
      </c>
      <c r="J172" s="12">
        <v>379</v>
      </c>
      <c r="K172" s="12" t="s">
        <v>6985</v>
      </c>
      <c r="L172" s="12" t="s">
        <v>6564</v>
      </c>
      <c r="M172" s="13">
        <v>43023</v>
      </c>
      <c r="N172" s="12" t="s">
        <v>6986</v>
      </c>
      <c r="O172" s="12" t="s">
        <v>6987</v>
      </c>
      <c r="P172" s="12"/>
      <c r="Q172" s="12">
        <v>1</v>
      </c>
    </row>
    <row r="173" spans="1:17" ht="15.75" customHeight="1">
      <c r="A173" s="12">
        <v>1147</v>
      </c>
      <c r="B173" s="12">
        <v>508</v>
      </c>
      <c r="C173" s="12">
        <v>6725</v>
      </c>
      <c r="D173" s="12" t="s">
        <v>6047</v>
      </c>
      <c r="E173" s="12" t="s">
        <v>419</v>
      </c>
      <c r="F173" s="12" t="s">
        <v>6988</v>
      </c>
      <c r="G173" s="12" t="s">
        <v>6989</v>
      </c>
      <c r="H173" s="12" t="s">
        <v>6137</v>
      </c>
      <c r="I173" s="12" t="s">
        <v>6200</v>
      </c>
      <c r="J173" s="12">
        <v>6725</v>
      </c>
      <c r="K173" s="12" t="s">
        <v>6990</v>
      </c>
      <c r="L173" s="12" t="s">
        <v>6393</v>
      </c>
      <c r="M173" s="13">
        <v>42137</v>
      </c>
      <c r="N173" s="12" t="s">
        <v>6991</v>
      </c>
      <c r="O173" s="12" t="s">
        <v>6992</v>
      </c>
      <c r="P173" s="12"/>
      <c r="Q173" s="12">
        <v>1</v>
      </c>
    </row>
    <row r="174" spans="1:17" ht="15.75" customHeight="1">
      <c r="A174" s="12">
        <v>1546</v>
      </c>
      <c r="B174" s="12">
        <v>451</v>
      </c>
      <c r="C174" s="12">
        <v>6164</v>
      </c>
      <c r="D174" s="12" t="s">
        <v>6047</v>
      </c>
      <c r="E174" s="12" t="s">
        <v>6993</v>
      </c>
      <c r="F174" s="12" t="s">
        <v>6994</v>
      </c>
      <c r="G174" s="12" t="s">
        <v>6995</v>
      </c>
      <c r="H174" s="12" t="s">
        <v>6137</v>
      </c>
      <c r="I174" s="12" t="s">
        <v>6391</v>
      </c>
      <c r="J174" s="12">
        <v>6164</v>
      </c>
      <c r="K174" s="12" t="s">
        <v>6967</v>
      </c>
      <c r="L174" s="12" t="s">
        <v>6255</v>
      </c>
      <c r="M174" s="13">
        <v>41564</v>
      </c>
      <c r="N174" s="12" t="s">
        <v>6968</v>
      </c>
      <c r="O174" s="12" t="s">
        <v>6996</v>
      </c>
      <c r="P174" s="12"/>
      <c r="Q174" s="12">
        <v>1</v>
      </c>
    </row>
    <row r="175" spans="1:17" ht="15.75" customHeight="1">
      <c r="A175" s="12">
        <v>1733</v>
      </c>
      <c r="B175" s="12">
        <v>635</v>
      </c>
      <c r="C175" s="12">
        <v>7811</v>
      </c>
      <c r="D175" s="12" t="s">
        <v>6047</v>
      </c>
      <c r="E175" s="12" t="s">
        <v>6997</v>
      </c>
      <c r="F175" s="12" t="s">
        <v>6998</v>
      </c>
      <c r="G175" s="12" t="s">
        <v>6999</v>
      </c>
      <c r="H175" s="12" t="s">
        <v>6414</v>
      </c>
      <c r="I175" s="12" t="s">
        <v>6415</v>
      </c>
      <c r="J175" s="12">
        <v>7811</v>
      </c>
      <c r="K175" s="12" t="s">
        <v>7000</v>
      </c>
      <c r="L175" s="12" t="s">
        <v>7001</v>
      </c>
      <c r="M175" s="13">
        <v>40875</v>
      </c>
      <c r="N175" s="12" t="s">
        <v>7002</v>
      </c>
      <c r="O175" s="12" t="s">
        <v>7003</v>
      </c>
      <c r="P175" s="12"/>
      <c r="Q175" s="12">
        <v>1</v>
      </c>
    </row>
    <row r="176" spans="1:17" ht="15.75" customHeight="1">
      <c r="A176" s="12">
        <v>1837</v>
      </c>
      <c r="B176" s="12">
        <v>663</v>
      </c>
      <c r="C176" s="12">
        <v>8024</v>
      </c>
      <c r="D176" s="12" t="s">
        <v>6047</v>
      </c>
      <c r="E176" s="12" t="s">
        <v>7004</v>
      </c>
      <c r="F176" s="12" t="s">
        <v>7005</v>
      </c>
      <c r="G176" s="12" t="s">
        <v>7006</v>
      </c>
      <c r="H176" s="12" t="s">
        <v>6075</v>
      </c>
      <c r="I176" s="12" t="s">
        <v>6076</v>
      </c>
      <c r="J176" s="12">
        <v>8024</v>
      </c>
      <c r="K176" s="12" t="s">
        <v>6062</v>
      </c>
      <c r="L176" s="12" t="s">
        <v>6063</v>
      </c>
      <c r="M176" s="13">
        <v>40873</v>
      </c>
      <c r="N176" s="12" t="s">
        <v>6064</v>
      </c>
      <c r="O176" s="12" t="s">
        <v>6065</v>
      </c>
      <c r="P176" s="12"/>
      <c r="Q176" s="12">
        <v>1</v>
      </c>
    </row>
    <row r="177" spans="1:17" ht="15.75" customHeight="1">
      <c r="A177" s="12">
        <v>364</v>
      </c>
      <c r="B177" s="12">
        <v>743</v>
      </c>
      <c r="C177" s="12">
        <v>9167</v>
      </c>
      <c r="D177" s="12" t="s">
        <v>6047</v>
      </c>
      <c r="E177" s="12" t="s">
        <v>7007</v>
      </c>
      <c r="F177" s="12" t="s">
        <v>7008</v>
      </c>
      <c r="G177" s="12" t="s">
        <v>7009</v>
      </c>
      <c r="H177" s="12" t="s">
        <v>6275</v>
      </c>
      <c r="I177" s="12" t="s">
        <v>6453</v>
      </c>
      <c r="J177" s="12">
        <v>9167</v>
      </c>
      <c r="K177" s="12" t="s">
        <v>7010</v>
      </c>
      <c r="L177" s="12" t="s">
        <v>6226</v>
      </c>
      <c r="M177" s="13">
        <v>44721</v>
      </c>
      <c r="N177" s="12" t="s">
        <v>7011</v>
      </c>
      <c r="O177" s="12" t="s">
        <v>7012</v>
      </c>
      <c r="P177" s="12"/>
      <c r="Q177" s="12">
        <v>1</v>
      </c>
    </row>
    <row r="178" spans="1:17" ht="15.75" customHeight="1">
      <c r="A178" s="12">
        <v>1773</v>
      </c>
      <c r="B178" s="12">
        <v>1856</v>
      </c>
      <c r="C178" s="12">
        <v>33962</v>
      </c>
      <c r="D178" s="12" t="s">
        <v>6047</v>
      </c>
      <c r="E178" s="12" t="s">
        <v>412</v>
      </c>
      <c r="F178" s="12" t="s">
        <v>7013</v>
      </c>
      <c r="G178" s="12" t="s">
        <v>7014</v>
      </c>
      <c r="H178" s="12" t="s">
        <v>6051</v>
      </c>
      <c r="I178" s="12" t="s">
        <v>6362</v>
      </c>
      <c r="J178" s="12">
        <v>33962</v>
      </c>
      <c r="K178" s="12" t="s">
        <v>6062</v>
      </c>
      <c r="L178" s="12" t="s">
        <v>6063</v>
      </c>
      <c r="M178" s="13">
        <v>40873</v>
      </c>
      <c r="N178" s="12" t="s">
        <v>6064</v>
      </c>
      <c r="O178" s="12" t="s">
        <v>6065</v>
      </c>
      <c r="P178" s="12"/>
      <c r="Q178" s="12">
        <v>1</v>
      </c>
    </row>
    <row r="179" spans="1:17" ht="15.75" customHeight="1">
      <c r="A179" s="12">
        <v>416</v>
      </c>
      <c r="B179" s="12">
        <v>1650</v>
      </c>
      <c r="C179" s="12">
        <v>29900</v>
      </c>
      <c r="D179" s="12" t="s">
        <v>6047</v>
      </c>
      <c r="E179" s="12" t="s">
        <v>7015</v>
      </c>
      <c r="F179" s="12" t="s">
        <v>7016</v>
      </c>
      <c r="G179" s="12" t="s">
        <v>7017</v>
      </c>
      <c r="H179" s="12" t="s">
        <v>6051</v>
      </c>
      <c r="I179" s="12" t="s">
        <v>7018</v>
      </c>
      <c r="J179" s="12">
        <v>29900</v>
      </c>
      <c r="K179" s="12" t="s">
        <v>7019</v>
      </c>
      <c r="L179" s="12" t="s">
        <v>7020</v>
      </c>
      <c r="M179" s="13">
        <v>44715</v>
      </c>
      <c r="N179" s="12" t="s">
        <v>7021</v>
      </c>
      <c r="O179" s="12" t="s">
        <v>7022</v>
      </c>
      <c r="P179" s="12"/>
      <c r="Q179" s="12">
        <v>1</v>
      </c>
    </row>
    <row r="180" spans="1:17" ht="15.75" customHeight="1">
      <c r="A180" s="12">
        <v>1064</v>
      </c>
      <c r="B180" s="12">
        <v>1996</v>
      </c>
      <c r="C180" s="12">
        <v>35230</v>
      </c>
      <c r="D180" s="12" t="s">
        <v>6047</v>
      </c>
      <c r="E180" s="12" t="s">
        <v>728</v>
      </c>
      <c r="F180" s="12" t="s">
        <v>7023</v>
      </c>
      <c r="G180" s="12" t="s">
        <v>7024</v>
      </c>
      <c r="H180" s="12" t="s">
        <v>6051</v>
      </c>
      <c r="I180" s="12" t="s">
        <v>6700</v>
      </c>
      <c r="J180" s="12">
        <v>35230</v>
      </c>
      <c r="K180" s="12" t="s">
        <v>6927</v>
      </c>
      <c r="L180" s="12" t="s">
        <v>6504</v>
      </c>
      <c r="M180" s="13">
        <v>42686</v>
      </c>
      <c r="N180" s="12" t="s">
        <v>6928</v>
      </c>
      <c r="O180" s="12" t="s">
        <v>6929</v>
      </c>
      <c r="P180" s="12"/>
      <c r="Q180" s="12">
        <v>1</v>
      </c>
    </row>
    <row r="181" spans="1:17" ht="15.75" customHeight="1">
      <c r="A181" s="12">
        <v>145</v>
      </c>
      <c r="B181" s="12">
        <v>992</v>
      </c>
      <c r="C181" s="12">
        <v>13596</v>
      </c>
      <c r="D181" s="12" t="s">
        <v>6047</v>
      </c>
      <c r="E181" s="12" t="s">
        <v>7025</v>
      </c>
      <c r="F181" s="12" t="s">
        <v>7026</v>
      </c>
      <c r="G181" s="12" t="s">
        <v>7027</v>
      </c>
      <c r="H181" s="12" t="s">
        <v>6051</v>
      </c>
      <c r="I181" s="12" t="s">
        <v>6741</v>
      </c>
      <c r="J181" s="12">
        <v>13596</v>
      </c>
      <c r="K181" s="12" t="s">
        <v>7028</v>
      </c>
      <c r="L181" s="12" t="s">
        <v>6760</v>
      </c>
      <c r="M181" s="13">
        <v>45756</v>
      </c>
      <c r="N181" s="12" t="s">
        <v>7029</v>
      </c>
      <c r="O181" s="12" t="s">
        <v>7030</v>
      </c>
      <c r="P181" s="12"/>
      <c r="Q181" s="12">
        <v>1</v>
      </c>
    </row>
    <row r="182" spans="1:17" ht="15.75" customHeight="1">
      <c r="A182" s="12">
        <v>484</v>
      </c>
      <c r="B182" s="12">
        <v>1924</v>
      </c>
      <c r="C182" s="12">
        <v>34550</v>
      </c>
      <c r="D182" s="12" t="s">
        <v>6047</v>
      </c>
      <c r="E182" s="12" t="s">
        <v>7031</v>
      </c>
      <c r="F182" s="12" t="s">
        <v>7032</v>
      </c>
      <c r="G182" s="12" t="s">
        <v>7033</v>
      </c>
      <c r="H182" s="12" t="s">
        <v>6051</v>
      </c>
      <c r="I182" s="12" t="s">
        <v>7034</v>
      </c>
      <c r="J182" s="12">
        <v>34550</v>
      </c>
      <c r="K182" s="12" t="s">
        <v>7035</v>
      </c>
      <c r="L182" s="12" t="s">
        <v>6455</v>
      </c>
      <c r="M182" s="13">
        <v>43785</v>
      </c>
      <c r="N182" s="12" t="s">
        <v>7036</v>
      </c>
      <c r="O182" s="12" t="s">
        <v>7037</v>
      </c>
      <c r="P182" s="12"/>
      <c r="Q182" s="12">
        <v>1</v>
      </c>
    </row>
    <row r="183" spans="1:17" ht="15.75" customHeight="1">
      <c r="A183" s="12">
        <v>1424</v>
      </c>
      <c r="B183" s="12">
        <v>1381</v>
      </c>
      <c r="C183" s="12">
        <v>20050</v>
      </c>
      <c r="D183" s="12" t="s">
        <v>6047</v>
      </c>
      <c r="E183" s="12" t="s">
        <v>7038</v>
      </c>
      <c r="F183" s="12" t="s">
        <v>7039</v>
      </c>
      <c r="G183" s="12" t="s">
        <v>7040</v>
      </c>
      <c r="H183" s="12" t="s">
        <v>6051</v>
      </c>
      <c r="I183" s="12" t="s">
        <v>7041</v>
      </c>
      <c r="J183" s="12">
        <v>20050</v>
      </c>
      <c r="K183" s="12" t="s">
        <v>6139</v>
      </c>
      <c r="L183" s="12" t="s">
        <v>6087</v>
      </c>
      <c r="M183" s="13">
        <v>41909</v>
      </c>
      <c r="N183" s="12" t="s">
        <v>6140</v>
      </c>
      <c r="O183" s="12" t="s">
        <v>6141</v>
      </c>
      <c r="P183" s="12"/>
      <c r="Q183" s="12">
        <v>1</v>
      </c>
    </row>
    <row r="184" spans="1:17" ht="15.75" customHeight="1">
      <c r="A184" s="12">
        <v>1</v>
      </c>
      <c r="B184" s="12">
        <v>873</v>
      </c>
      <c r="C184" s="12">
        <v>11220</v>
      </c>
      <c r="D184" s="12" t="s">
        <v>6047</v>
      </c>
      <c r="E184" s="12" t="s">
        <v>7042</v>
      </c>
      <c r="F184" s="12" t="s">
        <v>7043</v>
      </c>
      <c r="G184" s="12" t="s">
        <v>7044</v>
      </c>
      <c r="H184" s="12" t="s">
        <v>6060</v>
      </c>
      <c r="I184" s="12" t="s">
        <v>6061</v>
      </c>
      <c r="J184" s="12">
        <v>11220</v>
      </c>
      <c r="K184" s="12" t="s">
        <v>6369</v>
      </c>
      <c r="L184" s="12" t="s">
        <v>6284</v>
      </c>
      <c r="M184" s="13">
        <v>46087</v>
      </c>
      <c r="N184" s="12" t="s">
        <v>6370</v>
      </c>
      <c r="O184" s="12" t="s">
        <v>7045</v>
      </c>
      <c r="P184" s="12"/>
      <c r="Q184" s="12">
        <v>1</v>
      </c>
    </row>
    <row r="185" spans="1:17" ht="15.75" customHeight="1">
      <c r="A185" s="12">
        <v>368</v>
      </c>
      <c r="B185" s="12">
        <v>324</v>
      </c>
      <c r="C185" s="12">
        <v>5019</v>
      </c>
      <c r="D185" s="12" t="s">
        <v>6047</v>
      </c>
      <c r="E185" s="12" t="s">
        <v>7046</v>
      </c>
      <c r="F185" s="12" t="s">
        <v>7047</v>
      </c>
      <c r="G185" s="12" t="s">
        <v>7048</v>
      </c>
      <c r="H185" s="12" t="s">
        <v>6163</v>
      </c>
      <c r="I185" s="12" t="s">
        <v>6253</v>
      </c>
      <c r="J185" s="12">
        <v>5019</v>
      </c>
      <c r="K185" s="12" t="s">
        <v>7049</v>
      </c>
      <c r="L185" s="12" t="s">
        <v>6226</v>
      </c>
      <c r="M185" s="13">
        <v>44721</v>
      </c>
      <c r="N185" s="12" t="s">
        <v>7050</v>
      </c>
      <c r="O185" s="12" t="s">
        <v>7051</v>
      </c>
      <c r="P185" s="12"/>
      <c r="Q185" s="12">
        <v>1</v>
      </c>
    </row>
    <row r="186" spans="1:17" ht="15.75" customHeight="1">
      <c r="A186" s="12">
        <v>1561</v>
      </c>
      <c r="B186" s="12">
        <v>395</v>
      </c>
      <c r="C186" s="12">
        <v>5811</v>
      </c>
      <c r="D186" s="12" t="s">
        <v>6047</v>
      </c>
      <c r="E186" s="12" t="s">
        <v>7052</v>
      </c>
      <c r="F186" s="12" t="s">
        <v>7053</v>
      </c>
      <c r="G186" s="12" t="s">
        <v>7054</v>
      </c>
      <c r="H186" s="12" t="s">
        <v>6137</v>
      </c>
      <c r="I186" s="12" t="s">
        <v>6323</v>
      </c>
      <c r="J186" s="12">
        <v>5811</v>
      </c>
      <c r="K186" s="12" t="s">
        <v>7055</v>
      </c>
      <c r="L186" s="12" t="s">
        <v>6255</v>
      </c>
      <c r="M186" s="13">
        <v>41562</v>
      </c>
      <c r="N186" s="12" t="s">
        <v>7056</v>
      </c>
      <c r="O186" s="12" t="s">
        <v>7057</v>
      </c>
      <c r="P186" s="12"/>
      <c r="Q186" s="12">
        <v>1</v>
      </c>
    </row>
    <row r="187" spans="1:17" ht="15.75" customHeight="1">
      <c r="A187" s="12">
        <v>1745</v>
      </c>
      <c r="B187" s="12">
        <v>8</v>
      </c>
      <c r="C187" s="12">
        <v>243</v>
      </c>
      <c r="D187" s="12" t="s">
        <v>6047</v>
      </c>
      <c r="E187" s="12" t="s">
        <v>7058</v>
      </c>
      <c r="F187" s="12" t="s">
        <v>7059</v>
      </c>
      <c r="G187" s="12" t="s">
        <v>7060</v>
      </c>
      <c r="H187" s="12" t="s">
        <v>6289</v>
      </c>
      <c r="I187" s="12" t="s">
        <v>6290</v>
      </c>
      <c r="J187" s="12">
        <v>243</v>
      </c>
      <c r="K187" s="12" t="s">
        <v>7000</v>
      </c>
      <c r="L187" s="12" t="s">
        <v>7001</v>
      </c>
      <c r="M187" s="13">
        <v>40875</v>
      </c>
      <c r="N187" s="12" t="s">
        <v>7002</v>
      </c>
      <c r="O187" s="12" t="s">
        <v>7003</v>
      </c>
      <c r="P187" s="12"/>
      <c r="Q187" s="12">
        <v>1</v>
      </c>
    </row>
    <row r="188" spans="1:17" ht="15.75" customHeight="1">
      <c r="A188" s="12">
        <v>1005</v>
      </c>
      <c r="B188" s="12">
        <v>1551</v>
      </c>
      <c r="C188" s="12">
        <v>27444</v>
      </c>
      <c r="D188" s="12" t="s">
        <v>6047</v>
      </c>
      <c r="E188" s="12" t="s">
        <v>502</v>
      </c>
      <c r="F188" s="12" t="s">
        <v>7061</v>
      </c>
      <c r="G188" s="12" t="s">
        <v>7062</v>
      </c>
      <c r="H188" s="12" t="s">
        <v>6051</v>
      </c>
      <c r="I188" s="12" t="s">
        <v>6704</v>
      </c>
      <c r="J188" s="12">
        <v>27444</v>
      </c>
      <c r="K188" s="12" t="s">
        <v>7063</v>
      </c>
      <c r="L188" s="12" t="s">
        <v>6054</v>
      </c>
      <c r="M188" s="13">
        <v>42692</v>
      </c>
      <c r="N188" s="12" t="s">
        <v>7064</v>
      </c>
      <c r="O188" s="12" t="s">
        <v>7065</v>
      </c>
      <c r="P188" s="12"/>
      <c r="Q188" s="12">
        <v>1</v>
      </c>
    </row>
    <row r="189" spans="1:17" ht="15.75" customHeight="1">
      <c r="A189" s="12">
        <v>1139</v>
      </c>
      <c r="B189" s="12">
        <v>198</v>
      </c>
      <c r="C189" s="12">
        <v>3243</v>
      </c>
      <c r="D189" s="12" t="s">
        <v>6047</v>
      </c>
      <c r="E189" s="12" t="s">
        <v>7066</v>
      </c>
      <c r="F189" s="12" t="s">
        <v>7067</v>
      </c>
      <c r="G189" s="12" t="s">
        <v>7068</v>
      </c>
      <c r="H189" s="12" t="s">
        <v>7069</v>
      </c>
      <c r="I189" s="12" t="s">
        <v>7070</v>
      </c>
      <c r="J189" s="12">
        <v>3243</v>
      </c>
      <c r="K189" s="12" t="s">
        <v>7071</v>
      </c>
      <c r="L189" s="12" t="s">
        <v>6240</v>
      </c>
      <c r="M189" s="13">
        <v>42142</v>
      </c>
      <c r="N189" s="12" t="s">
        <v>7072</v>
      </c>
      <c r="O189" s="12" t="s">
        <v>7073</v>
      </c>
      <c r="P189" s="12"/>
      <c r="Q189" s="12">
        <v>1</v>
      </c>
    </row>
    <row r="190" spans="1:17" ht="15.75" customHeight="1">
      <c r="A190" s="12">
        <v>1158</v>
      </c>
      <c r="B190" s="12">
        <v>1422</v>
      </c>
      <c r="C190" s="12">
        <v>21476</v>
      </c>
      <c r="D190" s="12" t="s">
        <v>6047</v>
      </c>
      <c r="E190" s="12" t="s">
        <v>523</v>
      </c>
      <c r="F190" s="12" t="s">
        <v>7074</v>
      </c>
      <c r="G190" s="12" t="s">
        <v>7075</v>
      </c>
      <c r="H190" s="12" t="s">
        <v>6051</v>
      </c>
      <c r="I190" s="12" t="s">
        <v>6299</v>
      </c>
      <c r="J190" s="12">
        <v>21476</v>
      </c>
      <c r="K190" s="12" t="s">
        <v>7076</v>
      </c>
      <c r="L190" s="12" t="s">
        <v>6308</v>
      </c>
      <c r="M190" s="13">
        <v>42081</v>
      </c>
      <c r="N190" s="12" t="s">
        <v>7077</v>
      </c>
      <c r="O190" s="12" t="s">
        <v>7078</v>
      </c>
      <c r="P190" s="12"/>
      <c r="Q190" s="12">
        <v>1</v>
      </c>
    </row>
    <row r="191" spans="1:17" ht="15.75" customHeight="1">
      <c r="A191" s="12">
        <v>1189</v>
      </c>
      <c r="B191" s="12">
        <v>850</v>
      </c>
      <c r="C191" s="12">
        <v>10876</v>
      </c>
      <c r="D191" s="12" t="s">
        <v>6047</v>
      </c>
      <c r="E191" s="12" t="s">
        <v>7079</v>
      </c>
      <c r="F191" s="12" t="s">
        <v>7080</v>
      </c>
      <c r="G191" s="12" t="s">
        <v>7081</v>
      </c>
      <c r="H191" s="12" t="s">
        <v>6060</v>
      </c>
      <c r="I191" s="12" t="s">
        <v>7082</v>
      </c>
      <c r="J191" s="12">
        <v>10876</v>
      </c>
      <c r="K191" s="12" t="s">
        <v>6429</v>
      </c>
      <c r="L191" s="12" t="s">
        <v>6423</v>
      </c>
      <c r="M191" s="13">
        <v>41992</v>
      </c>
      <c r="N191" s="12" t="s">
        <v>6430</v>
      </c>
      <c r="O191" s="12" t="s">
        <v>7083</v>
      </c>
      <c r="P191" s="12"/>
      <c r="Q191" s="12">
        <v>1</v>
      </c>
    </row>
    <row r="192" spans="1:17" ht="15.75" customHeight="1">
      <c r="A192" s="12">
        <v>417</v>
      </c>
      <c r="B192" s="12">
        <v>1603</v>
      </c>
      <c r="C192" s="12">
        <v>28253</v>
      </c>
      <c r="D192" s="12" t="s">
        <v>6047</v>
      </c>
      <c r="E192" s="12" t="s">
        <v>7084</v>
      </c>
      <c r="F192" s="12" t="s">
        <v>7085</v>
      </c>
      <c r="G192" s="12" t="s">
        <v>7086</v>
      </c>
      <c r="H192" s="12" t="s">
        <v>6051</v>
      </c>
      <c r="I192" s="12" t="s">
        <v>6366</v>
      </c>
      <c r="J192" s="12">
        <v>28253</v>
      </c>
      <c r="K192" s="12" t="s">
        <v>7019</v>
      </c>
      <c r="L192" s="12" t="s">
        <v>7020</v>
      </c>
      <c r="M192" s="13">
        <v>44715</v>
      </c>
      <c r="N192" s="12" t="s">
        <v>7021</v>
      </c>
      <c r="O192" s="12" t="s">
        <v>7022</v>
      </c>
      <c r="P192" s="12"/>
      <c r="Q192" s="12">
        <v>1</v>
      </c>
    </row>
    <row r="193" spans="1:17" ht="15.75" customHeight="1">
      <c r="A193" s="12">
        <v>561</v>
      </c>
      <c r="B193" s="12">
        <v>1323</v>
      </c>
      <c r="C193" s="12">
        <v>19076</v>
      </c>
      <c r="D193" s="12" t="s">
        <v>6047</v>
      </c>
      <c r="E193" s="12" t="s">
        <v>7087</v>
      </c>
      <c r="F193" s="12" t="s">
        <v>7088</v>
      </c>
      <c r="G193" s="12" t="s">
        <v>7089</v>
      </c>
      <c r="H193" s="12" t="s">
        <v>6051</v>
      </c>
      <c r="I193" s="12" t="s">
        <v>7090</v>
      </c>
      <c r="J193" s="12">
        <v>19076</v>
      </c>
      <c r="K193" s="12" t="s">
        <v>6464</v>
      </c>
      <c r="L193" s="12" t="s">
        <v>6408</v>
      </c>
      <c r="M193" s="13">
        <v>43562</v>
      </c>
      <c r="N193" s="12" t="s">
        <v>6465</v>
      </c>
      <c r="O193" s="12" t="s">
        <v>6466</v>
      </c>
      <c r="P193" s="12"/>
      <c r="Q193" s="12">
        <v>1</v>
      </c>
    </row>
    <row r="194" spans="1:17" ht="15.75" customHeight="1">
      <c r="A194" s="12">
        <v>506</v>
      </c>
      <c r="B194" s="12">
        <v>1198</v>
      </c>
      <c r="C194" s="12">
        <v>17130</v>
      </c>
      <c r="D194" s="12" t="s">
        <v>6047</v>
      </c>
      <c r="E194" s="12" t="s">
        <v>7091</v>
      </c>
      <c r="F194" s="12" t="s">
        <v>7092</v>
      </c>
      <c r="G194" s="12" t="s">
        <v>7093</v>
      </c>
      <c r="H194" s="12" t="s">
        <v>6051</v>
      </c>
      <c r="I194" s="12" t="s">
        <v>6052</v>
      </c>
      <c r="J194" s="12">
        <v>17130</v>
      </c>
      <c r="K194" s="12" t="s">
        <v>6416</v>
      </c>
      <c r="L194" s="12" t="s">
        <v>6417</v>
      </c>
      <c r="M194" s="13">
        <v>43567</v>
      </c>
      <c r="N194" s="12" t="s">
        <v>6418</v>
      </c>
      <c r="O194" s="12" t="s">
        <v>6419</v>
      </c>
      <c r="P194" s="12"/>
      <c r="Q194" s="12">
        <v>1</v>
      </c>
    </row>
    <row r="195" spans="1:17" ht="15.75" customHeight="1">
      <c r="A195" s="12">
        <v>1308</v>
      </c>
      <c r="B195" s="12">
        <v>1623</v>
      </c>
      <c r="C195" s="12">
        <v>28702</v>
      </c>
      <c r="D195" s="12" t="s">
        <v>6047</v>
      </c>
      <c r="E195" s="12" t="s">
        <v>7094</v>
      </c>
      <c r="F195" s="12" t="s">
        <v>7095</v>
      </c>
      <c r="G195" s="12" t="s">
        <v>7096</v>
      </c>
      <c r="H195" s="12" t="s">
        <v>6051</v>
      </c>
      <c r="I195" s="12" t="s">
        <v>6366</v>
      </c>
      <c r="J195" s="12">
        <v>28702</v>
      </c>
      <c r="K195" s="12" t="s">
        <v>7097</v>
      </c>
      <c r="L195" s="12" t="s">
        <v>6832</v>
      </c>
      <c r="M195" s="13">
        <v>41988</v>
      </c>
      <c r="N195" s="12" t="s">
        <v>7098</v>
      </c>
      <c r="O195" s="12" t="s">
        <v>7099</v>
      </c>
      <c r="P195" s="12"/>
      <c r="Q195" s="12">
        <v>1</v>
      </c>
    </row>
    <row r="196" spans="1:17" ht="15.75" customHeight="1">
      <c r="A196" s="12">
        <v>123</v>
      </c>
      <c r="B196" s="12">
        <v>652</v>
      </c>
      <c r="C196" s="12">
        <v>7924</v>
      </c>
      <c r="D196" s="12" t="s">
        <v>6047</v>
      </c>
      <c r="E196" s="12" t="s">
        <v>536</v>
      </c>
      <c r="F196" s="12" t="s">
        <v>7100</v>
      </c>
      <c r="G196" s="12" t="s">
        <v>7101</v>
      </c>
      <c r="H196" s="12" t="s">
        <v>6075</v>
      </c>
      <c r="I196" s="12" t="s">
        <v>6076</v>
      </c>
      <c r="J196" s="12">
        <v>7924</v>
      </c>
      <c r="K196" s="12" t="s">
        <v>7102</v>
      </c>
      <c r="L196" s="12" t="s">
        <v>6511</v>
      </c>
      <c r="M196" s="13">
        <v>45965</v>
      </c>
      <c r="N196" s="12" t="s">
        <v>7103</v>
      </c>
      <c r="O196" s="12" t="s">
        <v>7104</v>
      </c>
      <c r="P196" s="12"/>
      <c r="Q196" s="12">
        <v>1</v>
      </c>
    </row>
    <row r="197" spans="1:17" ht="15.75" customHeight="1">
      <c r="A197" s="12">
        <v>1026</v>
      </c>
      <c r="B197" s="12">
        <v>823</v>
      </c>
      <c r="C197" s="12">
        <v>10382</v>
      </c>
      <c r="D197" s="12" t="s">
        <v>6047</v>
      </c>
      <c r="E197" s="12" t="s">
        <v>7105</v>
      </c>
      <c r="F197" s="12" t="s">
        <v>7106</v>
      </c>
      <c r="G197" s="12" t="s">
        <v>7107</v>
      </c>
      <c r="H197" s="12" t="s">
        <v>6060</v>
      </c>
      <c r="I197" s="12" t="s">
        <v>6795</v>
      </c>
      <c r="J197" s="12">
        <v>10382</v>
      </c>
      <c r="K197" s="12" t="s">
        <v>7108</v>
      </c>
      <c r="L197" s="12" t="s">
        <v>6054</v>
      </c>
      <c r="M197" s="13">
        <v>42691</v>
      </c>
      <c r="N197" s="12" t="s">
        <v>7109</v>
      </c>
      <c r="O197" s="12" t="s">
        <v>7110</v>
      </c>
      <c r="P197" s="12"/>
      <c r="Q197" s="12">
        <v>1</v>
      </c>
    </row>
    <row r="198" spans="1:17" ht="15.75" customHeight="1">
      <c r="A198" s="12">
        <v>1865</v>
      </c>
      <c r="B198" s="12">
        <v>1446</v>
      </c>
      <c r="C198" s="12">
        <v>22065</v>
      </c>
      <c r="D198" s="12" t="s">
        <v>6047</v>
      </c>
      <c r="E198" s="12" t="s">
        <v>7111</v>
      </c>
      <c r="F198" s="12" t="s">
        <v>7112</v>
      </c>
      <c r="G198" s="12" t="s">
        <v>7113</v>
      </c>
      <c r="H198" s="12" t="s">
        <v>6051</v>
      </c>
      <c r="I198" s="12" t="s">
        <v>7114</v>
      </c>
      <c r="J198" s="12">
        <v>22065</v>
      </c>
      <c r="K198" s="12" t="s">
        <v>6375</v>
      </c>
      <c r="L198" s="12" t="s">
        <v>6240</v>
      </c>
      <c r="M198" s="13">
        <v>40774</v>
      </c>
      <c r="N198" s="12" t="s">
        <v>6376</v>
      </c>
      <c r="O198" s="12" t="s">
        <v>7115</v>
      </c>
      <c r="P198" s="12"/>
      <c r="Q198" s="12">
        <v>1</v>
      </c>
    </row>
    <row r="199" spans="1:17" ht="15.75" customHeight="1">
      <c r="A199" s="12">
        <v>2054</v>
      </c>
      <c r="B199" s="12">
        <v>1478</v>
      </c>
      <c r="C199" s="12">
        <v>23957</v>
      </c>
      <c r="D199" s="12" t="s">
        <v>6047</v>
      </c>
      <c r="E199" s="12" t="s">
        <v>7116</v>
      </c>
      <c r="F199" s="12" t="s">
        <v>7117</v>
      </c>
      <c r="G199" s="12" t="s">
        <v>7118</v>
      </c>
      <c r="H199" s="12" t="s">
        <v>6051</v>
      </c>
      <c r="I199" s="12" t="s">
        <v>7119</v>
      </c>
      <c r="J199" s="12">
        <v>23957</v>
      </c>
      <c r="K199" s="12" t="s">
        <v>7120</v>
      </c>
      <c r="L199" s="12" t="s">
        <v>7121</v>
      </c>
      <c r="M199" s="13">
        <v>38167</v>
      </c>
      <c r="N199" s="12" t="s">
        <v>7122</v>
      </c>
      <c r="O199" s="12" t="s">
        <v>7123</v>
      </c>
      <c r="P199" s="12"/>
      <c r="Q199" s="12">
        <v>1</v>
      </c>
    </row>
    <row r="200" spans="1:17" ht="15.75" customHeight="1">
      <c r="A200" s="12">
        <v>418</v>
      </c>
      <c r="B200" s="12">
        <v>1191</v>
      </c>
      <c r="C200" s="12">
        <v>16996</v>
      </c>
      <c r="D200" s="12" t="s">
        <v>6047</v>
      </c>
      <c r="E200" s="12" t="s">
        <v>7124</v>
      </c>
      <c r="F200" s="12" t="s">
        <v>7125</v>
      </c>
      <c r="G200" s="12" t="s">
        <v>7126</v>
      </c>
      <c r="H200" s="12" t="s">
        <v>6051</v>
      </c>
      <c r="I200" s="12" t="s">
        <v>6052</v>
      </c>
      <c r="J200" s="12">
        <v>16996</v>
      </c>
      <c r="K200" s="12" t="s">
        <v>7019</v>
      </c>
      <c r="L200" s="12" t="s">
        <v>7020</v>
      </c>
      <c r="M200" s="13">
        <v>44715</v>
      </c>
      <c r="N200" s="12" t="s">
        <v>7021</v>
      </c>
      <c r="O200" s="12" t="s">
        <v>7022</v>
      </c>
      <c r="P200" s="12"/>
      <c r="Q200" s="12">
        <v>1</v>
      </c>
    </row>
    <row r="201" spans="1:17" ht="15.75" customHeight="1">
      <c r="A201" s="12">
        <v>1177</v>
      </c>
      <c r="B201" s="12">
        <v>1935</v>
      </c>
      <c r="C201" s="12">
        <v>34672</v>
      </c>
      <c r="D201" s="12" t="s">
        <v>6047</v>
      </c>
      <c r="E201" s="12" t="s">
        <v>7127</v>
      </c>
      <c r="F201" s="12" t="s">
        <v>7128</v>
      </c>
      <c r="G201" s="12" t="s">
        <v>7129</v>
      </c>
      <c r="H201" s="12" t="s">
        <v>6051</v>
      </c>
      <c r="I201" s="12" t="s">
        <v>6700</v>
      </c>
      <c r="J201" s="12">
        <v>34672</v>
      </c>
      <c r="K201" s="12" t="s">
        <v>6429</v>
      </c>
      <c r="L201" s="12" t="s">
        <v>6423</v>
      </c>
      <c r="M201" s="13">
        <v>41992</v>
      </c>
      <c r="N201" s="12" t="s">
        <v>6430</v>
      </c>
      <c r="O201" s="12" t="s">
        <v>7083</v>
      </c>
      <c r="P201" s="12"/>
      <c r="Q201" s="12">
        <v>1</v>
      </c>
    </row>
    <row r="202" spans="1:17" ht="15.75" customHeight="1">
      <c r="A202" s="12">
        <v>536</v>
      </c>
      <c r="B202" s="12">
        <v>1135</v>
      </c>
      <c r="C202" s="12">
        <v>16301</v>
      </c>
      <c r="D202" s="12" t="s">
        <v>6047</v>
      </c>
      <c r="E202" s="12" t="s">
        <v>7130</v>
      </c>
      <c r="F202" s="12" t="s">
        <v>7131</v>
      </c>
      <c r="G202" s="12" t="s">
        <v>7132</v>
      </c>
      <c r="H202" s="12" t="s">
        <v>6051</v>
      </c>
      <c r="I202" s="12" t="s">
        <v>6052</v>
      </c>
      <c r="J202" s="12">
        <v>16301</v>
      </c>
      <c r="K202" s="12" t="s">
        <v>7133</v>
      </c>
      <c r="L202" s="12" t="s">
        <v>6408</v>
      </c>
      <c r="M202" s="13">
        <v>43564</v>
      </c>
      <c r="N202" s="12" t="s">
        <v>7134</v>
      </c>
      <c r="O202" s="12" t="s">
        <v>7135</v>
      </c>
      <c r="P202" s="12"/>
      <c r="Q202" s="12">
        <v>1</v>
      </c>
    </row>
    <row r="203" spans="1:17" ht="15.75" customHeight="1">
      <c r="A203" s="12">
        <v>588</v>
      </c>
      <c r="B203" s="12">
        <v>1971</v>
      </c>
      <c r="C203" s="12">
        <v>34999</v>
      </c>
      <c r="D203" s="12" t="s">
        <v>6047</v>
      </c>
      <c r="E203" s="12" t="s">
        <v>7136</v>
      </c>
      <c r="F203" s="12" t="s">
        <v>7137</v>
      </c>
      <c r="G203" s="12" t="s">
        <v>7138</v>
      </c>
      <c r="H203" s="12" t="s">
        <v>6051</v>
      </c>
      <c r="I203" s="12" t="s">
        <v>6700</v>
      </c>
      <c r="J203" s="12">
        <v>34999</v>
      </c>
      <c r="K203" s="12" t="s">
        <v>6407</v>
      </c>
      <c r="L203" s="12" t="s">
        <v>6408</v>
      </c>
      <c r="M203" s="13">
        <v>43560</v>
      </c>
      <c r="N203" s="12" t="s">
        <v>6409</v>
      </c>
      <c r="O203" s="12" t="s">
        <v>7139</v>
      </c>
      <c r="P203" s="12"/>
      <c r="Q203" s="12">
        <v>1</v>
      </c>
    </row>
    <row r="204" spans="1:17" ht="15.75" customHeight="1">
      <c r="A204" s="12">
        <v>1216</v>
      </c>
      <c r="B204" s="12">
        <v>1168</v>
      </c>
      <c r="C204" s="12">
        <v>16789</v>
      </c>
      <c r="D204" s="12" t="s">
        <v>6047</v>
      </c>
      <c r="E204" s="12" t="s">
        <v>7140</v>
      </c>
      <c r="F204" s="12" t="s">
        <v>7141</v>
      </c>
      <c r="G204" s="12" t="s">
        <v>7142</v>
      </c>
      <c r="H204" s="12" t="s">
        <v>6051</v>
      </c>
      <c r="I204" s="12" t="s">
        <v>6052</v>
      </c>
      <c r="J204" s="12">
        <v>16789</v>
      </c>
      <c r="K204" s="12" t="s">
        <v>6429</v>
      </c>
      <c r="L204" s="12" t="s">
        <v>6423</v>
      </c>
      <c r="M204" s="13">
        <v>41991</v>
      </c>
      <c r="N204" s="12" t="s">
        <v>6430</v>
      </c>
      <c r="O204" s="12" t="s">
        <v>6431</v>
      </c>
      <c r="P204" s="12"/>
      <c r="Q204" s="12">
        <v>1</v>
      </c>
    </row>
    <row r="205" spans="1:17" ht="15.75" customHeight="1">
      <c r="A205" s="12">
        <v>168</v>
      </c>
      <c r="B205" s="12">
        <v>1953</v>
      </c>
      <c r="C205" s="12">
        <v>34871</v>
      </c>
      <c r="D205" s="12" t="s">
        <v>6047</v>
      </c>
      <c r="E205" s="12" t="s">
        <v>554</v>
      </c>
      <c r="F205" s="12" t="s">
        <v>7143</v>
      </c>
      <c r="G205" s="12" t="s">
        <v>7144</v>
      </c>
      <c r="H205" s="12" t="s">
        <v>6051</v>
      </c>
      <c r="I205" s="12" t="s">
        <v>6700</v>
      </c>
      <c r="J205" s="12">
        <v>34871</v>
      </c>
      <c r="K205" s="12" t="s">
        <v>7145</v>
      </c>
      <c r="L205" s="12" t="s">
        <v>6709</v>
      </c>
      <c r="M205" s="13">
        <v>45753</v>
      </c>
      <c r="N205" s="12" t="s">
        <v>7146</v>
      </c>
      <c r="O205" s="12" t="s">
        <v>7147</v>
      </c>
      <c r="P205" s="12"/>
      <c r="Q205" s="12">
        <v>1</v>
      </c>
    </row>
    <row r="206" spans="1:17" ht="15.75" customHeight="1">
      <c r="A206" s="12">
        <v>313</v>
      </c>
      <c r="B206" s="12">
        <v>1893</v>
      </c>
      <c r="C206" s="12">
        <v>34238</v>
      </c>
      <c r="D206" s="12" t="s">
        <v>6047</v>
      </c>
      <c r="E206" s="12" t="s">
        <v>7148</v>
      </c>
      <c r="F206" s="12" t="s">
        <v>7149</v>
      </c>
      <c r="G206" s="12" t="s">
        <v>7150</v>
      </c>
      <c r="H206" s="12" t="s">
        <v>6051</v>
      </c>
      <c r="I206" s="12" t="s">
        <v>6362</v>
      </c>
      <c r="J206" s="12">
        <v>34238</v>
      </c>
      <c r="K206" s="12" t="s">
        <v>7151</v>
      </c>
      <c r="L206" s="12" t="s">
        <v>7020</v>
      </c>
      <c r="M206" s="13">
        <v>45263</v>
      </c>
      <c r="N206" s="12" t="s">
        <v>7152</v>
      </c>
      <c r="O206" s="12" t="s">
        <v>7153</v>
      </c>
      <c r="P206" s="12"/>
      <c r="Q206" s="12">
        <v>1</v>
      </c>
    </row>
    <row r="207" spans="1:17" ht="15.75" customHeight="1">
      <c r="A207" s="12">
        <v>1827</v>
      </c>
      <c r="B207" s="12">
        <v>866</v>
      </c>
      <c r="C207" s="12">
        <v>11159</v>
      </c>
      <c r="D207" s="12" t="s">
        <v>6047</v>
      </c>
      <c r="E207" s="12" t="s">
        <v>7154</v>
      </c>
      <c r="F207" s="12" t="s">
        <v>7155</v>
      </c>
      <c r="G207" s="12" t="s">
        <v>7156</v>
      </c>
      <c r="H207" s="12" t="s">
        <v>6060</v>
      </c>
      <c r="I207" s="12" t="s">
        <v>6061</v>
      </c>
      <c r="J207" s="12">
        <v>11159</v>
      </c>
      <c r="K207" s="12" t="s">
        <v>6062</v>
      </c>
      <c r="L207" s="12" t="s">
        <v>6063</v>
      </c>
      <c r="M207" s="13">
        <v>40873</v>
      </c>
      <c r="N207" s="12" t="s">
        <v>6064</v>
      </c>
      <c r="O207" s="12" t="s">
        <v>6065</v>
      </c>
      <c r="P207" s="12"/>
      <c r="Q207" s="12">
        <v>1</v>
      </c>
    </row>
    <row r="208" spans="1:17" ht="15.75" customHeight="1">
      <c r="A208" s="12">
        <v>610</v>
      </c>
      <c r="B208" s="12">
        <v>707</v>
      </c>
      <c r="C208" s="12">
        <v>8458</v>
      </c>
      <c r="D208" s="12" t="s">
        <v>6047</v>
      </c>
      <c r="E208" s="12" t="s">
        <v>7157</v>
      </c>
      <c r="F208" s="12" t="s">
        <v>7158</v>
      </c>
      <c r="G208" s="12" t="s">
        <v>7159</v>
      </c>
      <c r="H208" s="12" t="s">
        <v>6075</v>
      </c>
      <c r="I208" s="12" t="s">
        <v>6076</v>
      </c>
      <c r="J208" s="12">
        <v>8458</v>
      </c>
      <c r="K208" s="12" t="s">
        <v>7160</v>
      </c>
      <c r="L208" s="12" t="s">
        <v>6408</v>
      </c>
      <c r="M208" s="13">
        <v>43558</v>
      </c>
      <c r="N208" s="12" t="s">
        <v>7161</v>
      </c>
      <c r="O208" s="12" t="s">
        <v>7162</v>
      </c>
      <c r="P208" s="12"/>
      <c r="Q208" s="12">
        <v>1</v>
      </c>
    </row>
    <row r="209" spans="1:17" ht="15.75" customHeight="1">
      <c r="A209" s="12">
        <v>1085</v>
      </c>
      <c r="B209" s="12">
        <v>1415</v>
      </c>
      <c r="C209" s="12">
        <v>21259</v>
      </c>
      <c r="D209" s="12" t="s">
        <v>6047</v>
      </c>
      <c r="E209" s="12" t="s">
        <v>7163</v>
      </c>
      <c r="F209" s="12" t="s">
        <v>7164</v>
      </c>
      <c r="G209" s="12" t="s">
        <v>7165</v>
      </c>
      <c r="H209" s="12" t="s">
        <v>6051</v>
      </c>
      <c r="I209" s="12" t="s">
        <v>6299</v>
      </c>
      <c r="J209" s="12">
        <v>21259</v>
      </c>
      <c r="K209" s="12" t="s">
        <v>7166</v>
      </c>
      <c r="L209" s="12" t="s">
        <v>6504</v>
      </c>
      <c r="M209" s="13">
        <v>42685</v>
      </c>
      <c r="N209" s="12" t="s">
        <v>7167</v>
      </c>
      <c r="O209" s="12" t="s">
        <v>7168</v>
      </c>
      <c r="P209" s="12"/>
      <c r="Q209" s="12">
        <v>1</v>
      </c>
    </row>
    <row r="210" spans="1:17" ht="15.75" customHeight="1">
      <c r="A210" s="12">
        <v>1366</v>
      </c>
      <c r="B210" s="12">
        <v>660</v>
      </c>
      <c r="C210" s="12">
        <v>7992</v>
      </c>
      <c r="D210" s="12" t="s">
        <v>6047</v>
      </c>
      <c r="E210" s="12" t="s">
        <v>7169</v>
      </c>
      <c r="F210" s="12" t="s">
        <v>7170</v>
      </c>
      <c r="G210" s="12" t="s">
        <v>7171</v>
      </c>
      <c r="H210" s="12" t="s">
        <v>6075</v>
      </c>
      <c r="I210" s="12" t="s">
        <v>6076</v>
      </c>
      <c r="J210" s="12">
        <v>7992</v>
      </c>
      <c r="K210" s="12" t="s">
        <v>6077</v>
      </c>
      <c r="L210" s="12" t="s">
        <v>6078</v>
      </c>
      <c r="M210" s="13">
        <v>41915</v>
      </c>
      <c r="N210" s="12" t="s">
        <v>6079</v>
      </c>
      <c r="O210" s="12" t="s">
        <v>7172</v>
      </c>
      <c r="P210" s="12"/>
      <c r="Q210" s="12">
        <v>1</v>
      </c>
    </row>
    <row r="211" spans="1:17" ht="15.75" customHeight="1">
      <c r="A211" s="12">
        <v>52</v>
      </c>
      <c r="B211" s="12">
        <v>1279</v>
      </c>
      <c r="C211" s="12">
        <v>18138</v>
      </c>
      <c r="D211" s="12" t="s">
        <v>6047</v>
      </c>
      <c r="E211" s="12" t="s">
        <v>423</v>
      </c>
      <c r="F211" s="12" t="s">
        <v>7173</v>
      </c>
      <c r="G211" s="12" t="s">
        <v>7174</v>
      </c>
      <c r="H211" s="12" t="s">
        <v>6051</v>
      </c>
      <c r="I211" s="12" t="s">
        <v>6857</v>
      </c>
      <c r="J211" s="12">
        <v>18138</v>
      </c>
      <c r="K211" s="12" t="s">
        <v>7175</v>
      </c>
      <c r="L211" s="12" t="s">
        <v>6590</v>
      </c>
      <c r="M211" s="13">
        <v>45973</v>
      </c>
      <c r="N211" s="12" t="s">
        <v>7176</v>
      </c>
      <c r="O211" s="12" t="s">
        <v>7177</v>
      </c>
      <c r="P211" s="12"/>
      <c r="Q211" s="12">
        <v>1</v>
      </c>
    </row>
    <row r="212" spans="1:17" ht="15.75" customHeight="1">
      <c r="A212" s="12">
        <v>558</v>
      </c>
      <c r="B212" s="12">
        <v>1957</v>
      </c>
      <c r="C212" s="12">
        <v>34900</v>
      </c>
      <c r="D212" s="12" t="s">
        <v>6047</v>
      </c>
      <c r="E212" s="12" t="s">
        <v>7178</v>
      </c>
      <c r="F212" s="12" t="s">
        <v>7179</v>
      </c>
      <c r="G212" s="12" t="s">
        <v>7180</v>
      </c>
      <c r="H212" s="12" t="s">
        <v>6051</v>
      </c>
      <c r="I212" s="12" t="s">
        <v>6700</v>
      </c>
      <c r="J212" s="12">
        <v>34900</v>
      </c>
      <c r="K212" s="12" t="s">
        <v>6464</v>
      </c>
      <c r="L212" s="12" t="s">
        <v>6408</v>
      </c>
      <c r="M212" s="13">
        <v>43562</v>
      </c>
      <c r="N212" s="12" t="s">
        <v>6465</v>
      </c>
      <c r="O212" s="12" t="s">
        <v>6466</v>
      </c>
      <c r="P212" s="12"/>
      <c r="Q212" s="12">
        <v>1</v>
      </c>
    </row>
    <row r="213" spans="1:17" ht="15.75" customHeight="1">
      <c r="A213" s="12">
        <v>1397</v>
      </c>
      <c r="B213" s="12">
        <v>839</v>
      </c>
      <c r="C213" s="12">
        <v>10666</v>
      </c>
      <c r="D213" s="12" t="s">
        <v>6047</v>
      </c>
      <c r="E213" s="12" t="s">
        <v>575</v>
      </c>
      <c r="F213" s="12" t="s">
        <v>7181</v>
      </c>
      <c r="G213" s="12" t="s">
        <v>7182</v>
      </c>
      <c r="H213" s="12" t="s">
        <v>6060</v>
      </c>
      <c r="I213" s="12" t="s">
        <v>7183</v>
      </c>
      <c r="J213" s="12">
        <v>10666</v>
      </c>
      <c r="K213" s="12" t="s">
        <v>6165</v>
      </c>
      <c r="L213" s="12" t="s">
        <v>6166</v>
      </c>
      <c r="M213" s="13">
        <v>41912</v>
      </c>
      <c r="N213" s="12" t="s">
        <v>6167</v>
      </c>
      <c r="O213" s="12" t="s">
        <v>6168</v>
      </c>
      <c r="P213" s="12"/>
      <c r="Q213" s="12">
        <v>1</v>
      </c>
    </row>
    <row r="214" spans="1:17" ht="15.75" customHeight="1">
      <c r="A214" s="12">
        <v>1731</v>
      </c>
      <c r="B214" s="12">
        <v>697</v>
      </c>
      <c r="C214" s="12">
        <v>8400</v>
      </c>
      <c r="D214" s="12" t="s">
        <v>6047</v>
      </c>
      <c r="E214" s="12" t="s">
        <v>7184</v>
      </c>
      <c r="F214" s="12" t="s">
        <v>7185</v>
      </c>
      <c r="G214" s="12" t="s">
        <v>7186</v>
      </c>
      <c r="H214" s="12" t="s">
        <v>6075</v>
      </c>
      <c r="I214" s="12" t="s">
        <v>6076</v>
      </c>
      <c r="J214" s="12">
        <v>8400</v>
      </c>
      <c r="K214" s="12" t="s">
        <v>7000</v>
      </c>
      <c r="L214" s="12" t="s">
        <v>7001</v>
      </c>
      <c r="M214" s="13">
        <v>40875</v>
      </c>
      <c r="N214" s="12" t="s">
        <v>7002</v>
      </c>
      <c r="O214" s="12" t="s">
        <v>7003</v>
      </c>
      <c r="P214" s="12"/>
      <c r="Q214" s="12">
        <v>1</v>
      </c>
    </row>
    <row r="215" spans="1:17" ht="15.75" customHeight="1">
      <c r="A215" s="12">
        <v>1784</v>
      </c>
      <c r="B215" s="12">
        <v>1823</v>
      </c>
      <c r="C215" s="12">
        <v>33676</v>
      </c>
      <c r="D215" s="12" t="s">
        <v>6047</v>
      </c>
      <c r="E215" s="12" t="s">
        <v>7187</v>
      </c>
      <c r="F215" s="12" t="s">
        <v>7188</v>
      </c>
      <c r="G215" s="12" t="s">
        <v>7189</v>
      </c>
      <c r="H215" s="12" t="s">
        <v>6051</v>
      </c>
      <c r="I215" s="12" t="s">
        <v>6261</v>
      </c>
      <c r="J215" s="12">
        <v>33676</v>
      </c>
      <c r="K215" s="12" t="s">
        <v>6062</v>
      </c>
      <c r="L215" s="12" t="s">
        <v>6063</v>
      </c>
      <c r="M215" s="13">
        <v>40873</v>
      </c>
      <c r="N215" s="12" t="s">
        <v>6064</v>
      </c>
      <c r="O215" s="12" t="s">
        <v>6065</v>
      </c>
      <c r="P215" s="12"/>
      <c r="Q215" s="12">
        <v>1</v>
      </c>
    </row>
    <row r="216" spans="1:17" ht="15.75" customHeight="1">
      <c r="A216" s="12">
        <v>725</v>
      </c>
      <c r="B216" s="12">
        <v>986</v>
      </c>
      <c r="C216" s="12">
        <v>13475</v>
      </c>
      <c r="D216" s="12" t="s">
        <v>6047</v>
      </c>
      <c r="E216" s="12" t="s">
        <v>7190</v>
      </c>
      <c r="F216" s="12" t="s">
        <v>7191</v>
      </c>
      <c r="G216" s="12" t="s">
        <v>7192</v>
      </c>
      <c r="H216" s="12" t="s">
        <v>6051</v>
      </c>
      <c r="I216" s="12" t="s">
        <v>6741</v>
      </c>
      <c r="J216" s="12">
        <v>13475</v>
      </c>
      <c r="K216" s="12" t="s">
        <v>7193</v>
      </c>
      <c r="L216" s="12" t="s">
        <v>7194</v>
      </c>
      <c r="M216" s="13">
        <v>43199</v>
      </c>
      <c r="N216" s="12" t="s">
        <v>7195</v>
      </c>
      <c r="O216" s="12" t="s">
        <v>7196</v>
      </c>
      <c r="P216" s="12"/>
      <c r="Q216" s="12">
        <v>1</v>
      </c>
    </row>
    <row r="217" spans="1:17" ht="15.75" customHeight="1">
      <c r="A217" s="12">
        <v>357</v>
      </c>
      <c r="B217" s="12">
        <v>255</v>
      </c>
      <c r="C217" s="12">
        <v>4455</v>
      </c>
      <c r="D217" s="12" t="s">
        <v>6047</v>
      </c>
      <c r="E217" s="12" t="s">
        <v>7197</v>
      </c>
      <c r="F217" s="12" t="s">
        <v>7198</v>
      </c>
      <c r="G217" s="12" t="s">
        <v>7199</v>
      </c>
      <c r="H217" s="12" t="s">
        <v>6163</v>
      </c>
      <c r="I217" s="12" t="s">
        <v>6253</v>
      </c>
      <c r="J217" s="12">
        <v>4455</v>
      </c>
      <c r="K217" s="12" t="s">
        <v>7200</v>
      </c>
      <c r="L217" s="12" t="s">
        <v>6226</v>
      </c>
      <c r="M217" s="13">
        <v>44722</v>
      </c>
      <c r="N217" s="12" t="s">
        <v>7201</v>
      </c>
      <c r="O217" s="12" t="s">
        <v>7202</v>
      </c>
      <c r="P217" s="12"/>
      <c r="Q217" s="12">
        <v>1</v>
      </c>
    </row>
    <row r="218" spans="1:17" ht="15.75" customHeight="1">
      <c r="A218" s="12">
        <v>1254</v>
      </c>
      <c r="B218" s="12">
        <v>1898</v>
      </c>
      <c r="C218" s="12">
        <v>34307</v>
      </c>
      <c r="D218" s="12" t="s">
        <v>6047</v>
      </c>
      <c r="E218" s="12" t="s">
        <v>7203</v>
      </c>
      <c r="F218" s="12" t="s">
        <v>7204</v>
      </c>
      <c r="G218" s="12" t="s">
        <v>7205</v>
      </c>
      <c r="H218" s="12" t="s">
        <v>6051</v>
      </c>
      <c r="I218" s="12" t="s">
        <v>6362</v>
      </c>
      <c r="J218" s="12">
        <v>34307</v>
      </c>
      <c r="K218" s="12" t="s">
        <v>6470</v>
      </c>
      <c r="L218" s="12" t="s">
        <v>6423</v>
      </c>
      <c r="M218" s="13">
        <v>41990</v>
      </c>
      <c r="N218" s="12" t="s">
        <v>6471</v>
      </c>
      <c r="O218" s="12" t="s">
        <v>6472</v>
      </c>
      <c r="P218" s="12"/>
      <c r="Q218" s="12">
        <v>1</v>
      </c>
    </row>
    <row r="219" spans="1:17" ht="15.75" customHeight="1">
      <c r="A219" s="12">
        <v>923</v>
      </c>
      <c r="B219" s="12">
        <v>1015</v>
      </c>
      <c r="C219" s="12">
        <v>14155</v>
      </c>
      <c r="D219" s="12" t="s">
        <v>6047</v>
      </c>
      <c r="E219" s="12" t="s">
        <v>595</v>
      </c>
      <c r="F219" s="12" t="s">
        <v>7206</v>
      </c>
      <c r="G219" s="12" t="s">
        <v>7207</v>
      </c>
      <c r="H219" s="12" t="s">
        <v>6051</v>
      </c>
      <c r="I219" s="12" t="s">
        <v>7208</v>
      </c>
      <c r="J219" s="12">
        <v>14155</v>
      </c>
      <c r="K219" s="12" t="s">
        <v>7209</v>
      </c>
      <c r="L219" s="12" t="s">
        <v>6955</v>
      </c>
      <c r="M219" s="13">
        <v>42829</v>
      </c>
      <c r="N219" s="12" t="s">
        <v>7210</v>
      </c>
      <c r="O219" s="12" t="s">
        <v>7211</v>
      </c>
      <c r="P219" s="12"/>
      <c r="Q219" s="12">
        <v>1</v>
      </c>
    </row>
    <row r="220" spans="1:17" ht="15.75" customHeight="1">
      <c r="A220" s="12">
        <v>989</v>
      </c>
      <c r="B220" s="12">
        <v>989</v>
      </c>
      <c r="C220" s="12">
        <v>13536</v>
      </c>
      <c r="D220" s="12" t="s">
        <v>6047</v>
      </c>
      <c r="E220" s="12" t="s">
        <v>7212</v>
      </c>
      <c r="F220" s="12" t="s">
        <v>7213</v>
      </c>
      <c r="G220" s="12" t="s">
        <v>7214</v>
      </c>
      <c r="H220" s="12" t="s">
        <v>6051</v>
      </c>
      <c r="I220" s="12" t="s">
        <v>6741</v>
      </c>
      <c r="J220" s="12">
        <v>13536</v>
      </c>
      <c r="K220" s="12" t="s">
        <v>7215</v>
      </c>
      <c r="L220" s="12" t="s">
        <v>6054</v>
      </c>
      <c r="M220" s="13">
        <v>42694</v>
      </c>
      <c r="N220" s="12" t="s">
        <v>7216</v>
      </c>
      <c r="O220" s="12" t="s">
        <v>7217</v>
      </c>
      <c r="P220" s="12"/>
      <c r="Q220" s="12">
        <v>1</v>
      </c>
    </row>
    <row r="221" spans="1:17" ht="15.75" customHeight="1">
      <c r="A221" s="12">
        <v>1735</v>
      </c>
      <c r="B221" s="12">
        <v>598</v>
      </c>
      <c r="C221" s="12">
        <v>7600</v>
      </c>
      <c r="D221" s="12" t="s">
        <v>6047</v>
      </c>
      <c r="E221" s="12" t="s">
        <v>600</v>
      </c>
      <c r="F221" s="12" t="s">
        <v>7218</v>
      </c>
      <c r="G221" s="12" t="s">
        <v>7219</v>
      </c>
      <c r="H221" s="12" t="s">
        <v>6187</v>
      </c>
      <c r="I221" s="12" t="s">
        <v>6224</v>
      </c>
      <c r="J221" s="12">
        <v>7600</v>
      </c>
      <c r="K221" s="12" t="s">
        <v>7000</v>
      </c>
      <c r="L221" s="12" t="s">
        <v>7001</v>
      </c>
      <c r="M221" s="13">
        <v>40875</v>
      </c>
      <c r="N221" s="12" t="s">
        <v>7002</v>
      </c>
      <c r="O221" s="12" t="s">
        <v>7003</v>
      </c>
      <c r="P221" s="12"/>
      <c r="Q221" s="12">
        <v>1</v>
      </c>
    </row>
    <row r="222" spans="1:17" ht="15.75" customHeight="1">
      <c r="A222" s="12">
        <v>1454</v>
      </c>
      <c r="B222" s="12">
        <v>1382</v>
      </c>
      <c r="C222" s="12">
        <v>20071</v>
      </c>
      <c r="D222" s="12" t="s">
        <v>6047</v>
      </c>
      <c r="E222" s="12" t="s">
        <v>428</v>
      </c>
      <c r="F222" s="12" t="s">
        <v>7220</v>
      </c>
      <c r="G222" s="12" t="s">
        <v>7221</v>
      </c>
      <c r="H222" s="12" t="s">
        <v>6051</v>
      </c>
      <c r="I222" s="12" t="s">
        <v>7041</v>
      </c>
      <c r="J222" s="12">
        <v>20071</v>
      </c>
      <c r="K222" s="12" t="s">
        <v>6069</v>
      </c>
      <c r="L222" s="12" t="s">
        <v>6070</v>
      </c>
      <c r="M222" s="13">
        <v>41907</v>
      </c>
      <c r="N222" s="12" t="s">
        <v>6071</v>
      </c>
      <c r="O222" s="12" t="s">
        <v>6072</v>
      </c>
      <c r="P222" s="12"/>
      <c r="Q222" s="12">
        <v>1</v>
      </c>
    </row>
    <row r="223" spans="1:17" ht="15.75" customHeight="1">
      <c r="A223" s="12">
        <v>946</v>
      </c>
      <c r="B223" s="12">
        <v>1110</v>
      </c>
      <c r="C223" s="12">
        <v>15961</v>
      </c>
      <c r="D223" s="12" t="s">
        <v>6047</v>
      </c>
      <c r="E223" s="12" t="s">
        <v>7222</v>
      </c>
      <c r="F223" s="12" t="s">
        <v>7223</v>
      </c>
      <c r="G223" s="12" t="s">
        <v>7224</v>
      </c>
      <c r="H223" s="12" t="s">
        <v>6051</v>
      </c>
      <c r="I223" s="12" t="s">
        <v>6781</v>
      </c>
      <c r="J223" s="12">
        <v>15961</v>
      </c>
      <c r="K223" s="12" t="s">
        <v>7225</v>
      </c>
      <c r="L223" s="12" t="s">
        <v>6054</v>
      </c>
      <c r="M223" s="13">
        <v>42827</v>
      </c>
      <c r="N223" s="12" t="s">
        <v>7226</v>
      </c>
      <c r="O223" s="12" t="s">
        <v>7227</v>
      </c>
      <c r="P223" s="12"/>
      <c r="Q223" s="12">
        <v>1</v>
      </c>
    </row>
    <row r="224" spans="1:17" ht="15.75" customHeight="1">
      <c r="A224" s="12">
        <v>126</v>
      </c>
      <c r="B224" s="12">
        <v>200</v>
      </c>
      <c r="C224" s="12">
        <v>3316</v>
      </c>
      <c r="D224" s="12" t="s">
        <v>6047</v>
      </c>
      <c r="E224" s="12" t="s">
        <v>612</v>
      </c>
      <c r="F224" s="12" t="s">
        <v>7228</v>
      </c>
      <c r="G224" s="12" t="s">
        <v>7229</v>
      </c>
      <c r="H224" s="12" t="s">
        <v>7069</v>
      </c>
      <c r="I224" s="12" t="s">
        <v>7070</v>
      </c>
      <c r="J224" s="12">
        <v>3316</v>
      </c>
      <c r="K224" s="12" t="s">
        <v>7102</v>
      </c>
      <c r="L224" s="12" t="s">
        <v>6511</v>
      </c>
      <c r="M224" s="13">
        <v>45965</v>
      </c>
      <c r="N224" s="12" t="s">
        <v>7103</v>
      </c>
      <c r="O224" s="12" t="s">
        <v>7104</v>
      </c>
      <c r="P224" s="12"/>
      <c r="Q224" s="12">
        <v>1</v>
      </c>
    </row>
    <row r="225" spans="1:17" ht="15.75" customHeight="1">
      <c r="A225" s="12">
        <v>1205</v>
      </c>
      <c r="B225" s="12">
        <v>1936</v>
      </c>
      <c r="C225" s="12">
        <v>34686</v>
      </c>
      <c r="D225" s="12" t="s">
        <v>6047</v>
      </c>
      <c r="E225" s="12" t="s">
        <v>7230</v>
      </c>
      <c r="F225" s="12" t="s">
        <v>7231</v>
      </c>
      <c r="G225" s="12" t="s">
        <v>7232</v>
      </c>
      <c r="H225" s="12" t="s">
        <v>6051</v>
      </c>
      <c r="I225" s="12" t="s">
        <v>6700</v>
      </c>
      <c r="J225" s="12">
        <v>34686</v>
      </c>
      <c r="K225" s="12" t="s">
        <v>6429</v>
      </c>
      <c r="L225" s="12" t="s">
        <v>6423</v>
      </c>
      <c r="M225" s="13">
        <v>41991</v>
      </c>
      <c r="N225" s="12" t="s">
        <v>6430</v>
      </c>
      <c r="O225" s="12" t="s">
        <v>6431</v>
      </c>
      <c r="P225" s="12"/>
      <c r="Q225" s="12">
        <v>1</v>
      </c>
    </row>
    <row r="226" spans="1:17" ht="15.75" customHeight="1">
      <c r="A226" s="12">
        <v>1022</v>
      </c>
      <c r="B226" s="12">
        <v>1031</v>
      </c>
      <c r="C226" s="12">
        <v>14477</v>
      </c>
      <c r="D226" s="12" t="s">
        <v>6047</v>
      </c>
      <c r="E226" s="12" t="s">
        <v>7233</v>
      </c>
      <c r="F226" s="12" t="s">
        <v>7234</v>
      </c>
      <c r="G226" s="12" t="s">
        <v>7235</v>
      </c>
      <c r="H226" s="12" t="s">
        <v>6051</v>
      </c>
      <c r="I226" s="12" t="s">
        <v>7236</v>
      </c>
      <c r="J226" s="12">
        <v>14477</v>
      </c>
      <c r="K226" s="12" t="s">
        <v>6875</v>
      </c>
      <c r="L226" s="12" t="s">
        <v>6357</v>
      </c>
      <c r="M226" s="13">
        <v>42691</v>
      </c>
      <c r="N226" s="12" t="s">
        <v>6876</v>
      </c>
      <c r="O226" s="12" t="s">
        <v>6877</v>
      </c>
      <c r="P226" s="12"/>
      <c r="Q226" s="12">
        <v>1</v>
      </c>
    </row>
    <row r="227" spans="1:17" ht="15.75" customHeight="1">
      <c r="A227" s="12">
        <v>12</v>
      </c>
      <c r="B227" s="12">
        <v>570</v>
      </c>
      <c r="C227" s="12">
        <v>7417</v>
      </c>
      <c r="D227" s="12" t="s">
        <v>6047</v>
      </c>
      <c r="E227" s="12" t="s">
        <v>432</v>
      </c>
      <c r="F227" s="12" t="s">
        <v>7237</v>
      </c>
      <c r="G227" s="12" t="s">
        <v>7238</v>
      </c>
      <c r="H227" s="12" t="s">
        <v>6084</v>
      </c>
      <c r="I227" s="12" t="s">
        <v>7239</v>
      </c>
      <c r="J227" s="12">
        <v>7417</v>
      </c>
      <c r="K227" s="12" t="s">
        <v>7240</v>
      </c>
      <c r="L227" s="12" t="s">
        <v>6905</v>
      </c>
      <c r="M227" s="13">
        <v>45980</v>
      </c>
      <c r="N227" s="12" t="s">
        <v>7241</v>
      </c>
      <c r="O227" s="12" t="s">
        <v>7242</v>
      </c>
      <c r="P227" s="12"/>
      <c r="Q227" s="12">
        <v>1</v>
      </c>
    </row>
    <row r="228" spans="1:17" ht="15.75" customHeight="1">
      <c r="A228" s="12">
        <v>862</v>
      </c>
      <c r="B228" s="12">
        <v>1316</v>
      </c>
      <c r="C228" s="12">
        <v>18686</v>
      </c>
      <c r="D228" s="12" t="s">
        <v>6047</v>
      </c>
      <c r="E228" s="12" t="s">
        <v>7243</v>
      </c>
      <c r="F228" s="12" t="s">
        <v>7244</v>
      </c>
      <c r="G228" s="12" t="s">
        <v>7245</v>
      </c>
      <c r="H228" s="12" t="s">
        <v>6051</v>
      </c>
      <c r="I228" s="12" t="s">
        <v>7246</v>
      </c>
      <c r="J228" s="12">
        <v>18686</v>
      </c>
      <c r="K228" s="12" t="s">
        <v>7247</v>
      </c>
      <c r="L228" s="12" t="s">
        <v>6564</v>
      </c>
      <c r="M228" s="13">
        <v>43018</v>
      </c>
      <c r="N228" s="12" t="s">
        <v>7248</v>
      </c>
      <c r="O228" s="12" t="s">
        <v>7249</v>
      </c>
      <c r="P228" s="12"/>
      <c r="Q228" s="12">
        <v>1</v>
      </c>
    </row>
    <row r="229" spans="1:17" ht="15.75" customHeight="1">
      <c r="A229" s="12">
        <v>704</v>
      </c>
      <c r="B229" s="12">
        <v>2025</v>
      </c>
      <c r="C229" s="12">
        <v>35722</v>
      </c>
      <c r="D229" s="12" t="s">
        <v>6047</v>
      </c>
      <c r="E229" s="12" t="s">
        <v>7250</v>
      </c>
      <c r="F229" s="12" t="s">
        <v>7251</v>
      </c>
      <c r="G229" s="12" t="s">
        <v>7252</v>
      </c>
      <c r="H229" s="12" t="s">
        <v>6051</v>
      </c>
      <c r="I229" s="12" t="s">
        <v>6700</v>
      </c>
      <c r="J229" s="12">
        <v>35722</v>
      </c>
      <c r="K229" s="12" t="s">
        <v>7253</v>
      </c>
      <c r="L229" s="12" t="s">
        <v>7254</v>
      </c>
      <c r="M229" s="13">
        <v>43202</v>
      </c>
      <c r="N229" s="12" t="s">
        <v>7255</v>
      </c>
      <c r="O229" s="12" t="s">
        <v>7256</v>
      </c>
      <c r="P229" s="12"/>
      <c r="Q229" s="12">
        <v>1</v>
      </c>
    </row>
    <row r="230" spans="1:17" ht="15.75" customHeight="1">
      <c r="A230" s="12">
        <v>1678</v>
      </c>
      <c r="B230" s="12">
        <v>1919</v>
      </c>
      <c r="C230" s="12">
        <v>34505</v>
      </c>
      <c r="D230" s="12" t="s">
        <v>6047</v>
      </c>
      <c r="E230" s="12" t="s">
        <v>7257</v>
      </c>
      <c r="F230" s="12" t="s">
        <v>7258</v>
      </c>
      <c r="G230" s="12" t="s">
        <v>7259</v>
      </c>
      <c r="H230" s="12" t="s">
        <v>6051</v>
      </c>
      <c r="I230" s="12" t="s">
        <v>7034</v>
      </c>
      <c r="J230" s="12">
        <v>34505</v>
      </c>
      <c r="K230" s="12" t="s">
        <v>7260</v>
      </c>
      <c r="L230" s="12" t="s">
        <v>7261</v>
      </c>
      <c r="M230" s="13">
        <v>40879</v>
      </c>
      <c r="N230" s="12" t="s">
        <v>7262</v>
      </c>
      <c r="O230" s="12" t="s">
        <v>7263</v>
      </c>
      <c r="P230" s="12"/>
      <c r="Q230" s="12">
        <v>1</v>
      </c>
    </row>
    <row r="231" spans="1:17" ht="15.75" customHeight="1">
      <c r="A231" s="12">
        <v>402</v>
      </c>
      <c r="B231" s="12">
        <v>1599</v>
      </c>
      <c r="C231" s="12">
        <v>28181</v>
      </c>
      <c r="D231" s="12" t="s">
        <v>6047</v>
      </c>
      <c r="E231" s="12" t="s">
        <v>7264</v>
      </c>
      <c r="F231" s="12" t="s">
        <v>7265</v>
      </c>
      <c r="G231" s="12" t="s">
        <v>7266</v>
      </c>
      <c r="H231" s="12" t="s">
        <v>6051</v>
      </c>
      <c r="I231" s="12" t="s">
        <v>6366</v>
      </c>
      <c r="J231" s="12">
        <v>28181</v>
      </c>
      <c r="K231" s="12" t="s">
        <v>7267</v>
      </c>
      <c r="L231" s="12" t="s">
        <v>7020</v>
      </c>
      <c r="M231" s="13">
        <v>44716</v>
      </c>
      <c r="N231" s="12" t="s">
        <v>7268</v>
      </c>
      <c r="O231" s="12" t="s">
        <v>7269</v>
      </c>
      <c r="P231" s="12"/>
      <c r="Q231" s="12">
        <v>1</v>
      </c>
    </row>
    <row r="232" spans="1:17" ht="15.75" customHeight="1">
      <c r="A232" s="12">
        <v>129</v>
      </c>
      <c r="B232" s="12">
        <v>1353</v>
      </c>
      <c r="C232" s="12">
        <v>19753</v>
      </c>
      <c r="D232" s="12" t="s">
        <v>6047</v>
      </c>
      <c r="E232" s="12" t="s">
        <v>614</v>
      </c>
      <c r="F232" s="12" t="s">
        <v>7270</v>
      </c>
      <c r="G232" s="12" t="s">
        <v>7271</v>
      </c>
      <c r="H232" s="12" t="s">
        <v>6051</v>
      </c>
      <c r="I232" s="12" t="s">
        <v>6635</v>
      </c>
      <c r="J232" s="12">
        <v>19753</v>
      </c>
      <c r="K232" s="12" t="s">
        <v>6725</v>
      </c>
      <c r="L232" s="12" t="s">
        <v>6511</v>
      </c>
      <c r="M232" s="13">
        <v>45965</v>
      </c>
      <c r="N232" s="12" t="s">
        <v>6726</v>
      </c>
      <c r="O232" s="12" t="s">
        <v>6727</v>
      </c>
      <c r="P232" s="12"/>
      <c r="Q232" s="12">
        <v>1</v>
      </c>
    </row>
    <row r="233" spans="1:17" ht="15.75" customHeight="1">
      <c r="A233" s="12">
        <v>1938</v>
      </c>
      <c r="B233" s="12">
        <v>1511</v>
      </c>
      <c r="C233" s="12">
        <v>24782</v>
      </c>
      <c r="D233" s="12" t="s">
        <v>6047</v>
      </c>
      <c r="E233" s="12" t="s">
        <v>7272</v>
      </c>
      <c r="F233" s="12" t="s">
        <v>7273</v>
      </c>
      <c r="G233" s="12" t="s">
        <v>7274</v>
      </c>
      <c r="H233" s="12" t="s">
        <v>6051</v>
      </c>
      <c r="I233" s="12" t="s">
        <v>7275</v>
      </c>
      <c r="J233" s="12">
        <v>24782</v>
      </c>
      <c r="K233" s="12" t="s">
        <v>7276</v>
      </c>
      <c r="L233" s="12" t="s">
        <v>7277</v>
      </c>
      <c r="M233" s="13">
        <v>39234</v>
      </c>
      <c r="N233" s="12" t="s">
        <v>7278</v>
      </c>
      <c r="O233" s="12" t="s">
        <v>7279</v>
      </c>
      <c r="P233" s="12"/>
      <c r="Q233" s="12">
        <v>1</v>
      </c>
    </row>
    <row r="234" spans="1:17" ht="15.75" customHeight="1">
      <c r="A234" s="12">
        <v>785</v>
      </c>
      <c r="B234" s="12">
        <v>403</v>
      </c>
      <c r="C234" s="12">
        <v>5840</v>
      </c>
      <c r="D234" s="12" t="s">
        <v>6047</v>
      </c>
      <c r="E234" s="12" t="s">
        <v>7280</v>
      </c>
      <c r="F234" s="12" t="s">
        <v>7281</v>
      </c>
      <c r="G234" s="12" t="s">
        <v>7282</v>
      </c>
      <c r="H234" s="12" t="s">
        <v>6137</v>
      </c>
      <c r="I234" s="12" t="s">
        <v>6323</v>
      </c>
      <c r="J234" s="12">
        <v>5840</v>
      </c>
      <c r="K234" s="12" t="s">
        <v>7283</v>
      </c>
      <c r="L234" s="12" t="s">
        <v>6590</v>
      </c>
      <c r="M234" s="13">
        <v>43034</v>
      </c>
      <c r="N234" s="12" t="s">
        <v>7284</v>
      </c>
      <c r="O234" s="12" t="s">
        <v>7285</v>
      </c>
      <c r="P234" s="12"/>
      <c r="Q234" s="12">
        <v>1</v>
      </c>
    </row>
    <row r="235" spans="1:17" ht="15.75" customHeight="1">
      <c r="A235" s="12">
        <v>2056</v>
      </c>
      <c r="B235" s="12">
        <v>829</v>
      </c>
      <c r="C235" s="12">
        <v>10458</v>
      </c>
      <c r="D235" s="12" t="s">
        <v>6047</v>
      </c>
      <c r="E235" s="12" t="s">
        <v>7286</v>
      </c>
      <c r="F235" s="12" t="s">
        <v>7287</v>
      </c>
      <c r="G235" s="12" t="s">
        <v>7288</v>
      </c>
      <c r="H235" s="12" t="s">
        <v>6060</v>
      </c>
      <c r="I235" s="12" t="s">
        <v>6795</v>
      </c>
      <c r="J235" s="12">
        <v>10458</v>
      </c>
      <c r="K235" s="12" t="s">
        <v>7120</v>
      </c>
      <c r="L235" s="12" t="s">
        <v>7121</v>
      </c>
      <c r="M235" s="13">
        <v>38167</v>
      </c>
      <c r="N235" s="12" t="s">
        <v>7122</v>
      </c>
      <c r="O235" s="12" t="s">
        <v>7123</v>
      </c>
      <c r="P235" s="12"/>
      <c r="Q235" s="12">
        <v>1</v>
      </c>
    </row>
    <row r="236" spans="1:17" ht="15.75" customHeight="1">
      <c r="A236" s="12">
        <v>624</v>
      </c>
      <c r="B236" s="12">
        <v>485</v>
      </c>
      <c r="C236" s="12">
        <v>6474</v>
      </c>
      <c r="D236" s="12" t="s">
        <v>6047</v>
      </c>
      <c r="E236" s="12" t="s">
        <v>7289</v>
      </c>
      <c r="F236" s="12" t="s">
        <v>7290</v>
      </c>
      <c r="G236" s="12" t="s">
        <v>7291</v>
      </c>
      <c r="H236" s="12" t="s">
        <v>6137</v>
      </c>
      <c r="I236" s="12" t="s">
        <v>6200</v>
      </c>
      <c r="J236" s="12">
        <v>6474</v>
      </c>
      <c r="K236" s="12" t="s">
        <v>7292</v>
      </c>
      <c r="L236" s="12" t="s">
        <v>6248</v>
      </c>
      <c r="M236" s="13">
        <v>43498</v>
      </c>
      <c r="N236" s="12" t="s">
        <v>7293</v>
      </c>
      <c r="O236" s="12" t="s">
        <v>7294</v>
      </c>
      <c r="P236" s="12"/>
      <c r="Q236" s="12">
        <v>1</v>
      </c>
    </row>
    <row r="237" spans="1:17" ht="15.75" customHeight="1">
      <c r="A237" s="12">
        <v>1961</v>
      </c>
      <c r="B237" s="12">
        <v>625</v>
      </c>
      <c r="C237" s="12">
        <v>7779</v>
      </c>
      <c r="D237" s="12" t="s">
        <v>6047</v>
      </c>
      <c r="E237" s="12" t="s">
        <v>7295</v>
      </c>
      <c r="F237" s="12" t="s">
        <v>7296</v>
      </c>
      <c r="G237" s="12" t="s">
        <v>7297</v>
      </c>
      <c r="H237" s="12" t="s">
        <v>6187</v>
      </c>
      <c r="I237" s="12" t="s">
        <v>6224</v>
      </c>
      <c r="J237" s="12">
        <v>7779</v>
      </c>
      <c r="K237" s="12" t="s">
        <v>7298</v>
      </c>
      <c r="L237" s="12" t="s">
        <v>6113</v>
      </c>
      <c r="M237" s="13">
        <v>38579</v>
      </c>
      <c r="N237" s="12" t="s">
        <v>7299</v>
      </c>
      <c r="O237" s="12" t="s">
        <v>7300</v>
      </c>
      <c r="P237" s="12"/>
      <c r="Q237" s="12">
        <v>1</v>
      </c>
    </row>
    <row r="238" spans="1:17" ht="15.75" customHeight="1">
      <c r="A238" s="12">
        <v>22</v>
      </c>
      <c r="B238" s="12">
        <v>1277</v>
      </c>
      <c r="C238" s="12">
        <v>18131</v>
      </c>
      <c r="D238" s="12" t="s">
        <v>6047</v>
      </c>
      <c r="E238" s="12" t="s">
        <v>7301</v>
      </c>
      <c r="F238" s="12" t="s">
        <v>7302</v>
      </c>
      <c r="G238" s="12" t="s">
        <v>7303</v>
      </c>
      <c r="H238" s="12" t="s">
        <v>6051</v>
      </c>
      <c r="I238" s="12" t="s">
        <v>6857</v>
      </c>
      <c r="J238" s="12">
        <v>18131</v>
      </c>
      <c r="K238" s="12" t="s">
        <v>7304</v>
      </c>
      <c r="L238" s="12" t="s">
        <v>6905</v>
      </c>
      <c r="M238" s="13">
        <v>45979</v>
      </c>
      <c r="N238" s="12" t="s">
        <v>7305</v>
      </c>
      <c r="O238" s="12" t="s">
        <v>7306</v>
      </c>
      <c r="P238" s="12"/>
      <c r="Q238" s="12">
        <v>1</v>
      </c>
    </row>
    <row r="239" spans="1:17" ht="15.75" customHeight="1">
      <c r="A239" s="12">
        <v>386</v>
      </c>
      <c r="B239" s="12">
        <v>1607</v>
      </c>
      <c r="C239" s="12">
        <v>28303</v>
      </c>
      <c r="D239" s="12" t="s">
        <v>6047</v>
      </c>
      <c r="E239" s="12" t="s">
        <v>7307</v>
      </c>
      <c r="F239" s="12" t="s">
        <v>7308</v>
      </c>
      <c r="G239" s="12" t="s">
        <v>7309</v>
      </c>
      <c r="H239" s="12" t="s">
        <v>6051</v>
      </c>
      <c r="I239" s="12" t="s">
        <v>6366</v>
      </c>
      <c r="J239" s="12">
        <v>28303</v>
      </c>
      <c r="K239" s="12" t="s">
        <v>7310</v>
      </c>
      <c r="L239" s="12" t="s">
        <v>7311</v>
      </c>
      <c r="M239" s="13">
        <v>44718</v>
      </c>
      <c r="N239" s="12" t="s">
        <v>7312</v>
      </c>
      <c r="O239" s="12" t="s">
        <v>7313</v>
      </c>
      <c r="P239" s="12"/>
      <c r="Q239" s="12">
        <v>1</v>
      </c>
    </row>
    <row r="240" spans="1:17" ht="15.75" customHeight="1">
      <c r="A240" s="12">
        <v>1752</v>
      </c>
      <c r="B240" s="12">
        <v>2030</v>
      </c>
      <c r="C240" s="12">
        <v>35792</v>
      </c>
      <c r="D240" s="12" t="s">
        <v>6047</v>
      </c>
      <c r="E240" s="12" t="s">
        <v>7314</v>
      </c>
      <c r="F240" s="12" t="s">
        <v>7315</v>
      </c>
      <c r="G240" s="12" t="s">
        <v>7316</v>
      </c>
      <c r="H240" s="12" t="s">
        <v>6051</v>
      </c>
      <c r="I240" s="12" t="s">
        <v>6700</v>
      </c>
      <c r="J240" s="12">
        <v>35792</v>
      </c>
      <c r="K240" s="12" t="s">
        <v>6062</v>
      </c>
      <c r="L240" s="12" t="s">
        <v>6063</v>
      </c>
      <c r="M240" s="13">
        <v>40873</v>
      </c>
      <c r="N240" s="12" t="s">
        <v>6064</v>
      </c>
      <c r="O240" s="12" t="s">
        <v>6065</v>
      </c>
      <c r="P240" s="12"/>
      <c r="Q240" s="12">
        <v>1</v>
      </c>
    </row>
    <row r="241" spans="1:17" ht="15.75" customHeight="1">
      <c r="A241" s="12">
        <v>1789</v>
      </c>
      <c r="B241" s="12">
        <v>1746</v>
      </c>
      <c r="C241" s="12">
        <v>32604</v>
      </c>
      <c r="D241" s="12" t="s">
        <v>6047</v>
      </c>
      <c r="E241" s="12" t="s">
        <v>7317</v>
      </c>
      <c r="F241" s="12" t="s">
        <v>7318</v>
      </c>
      <c r="G241" s="12" t="s">
        <v>7319</v>
      </c>
      <c r="H241" s="12" t="s">
        <v>6051</v>
      </c>
      <c r="I241" s="12" t="s">
        <v>6232</v>
      </c>
      <c r="J241" s="12">
        <v>32604</v>
      </c>
      <c r="K241" s="12" t="s">
        <v>6062</v>
      </c>
      <c r="L241" s="12" t="s">
        <v>6063</v>
      </c>
      <c r="M241" s="13">
        <v>40873</v>
      </c>
      <c r="N241" s="12" t="s">
        <v>6064</v>
      </c>
      <c r="O241" s="12" t="s">
        <v>6065</v>
      </c>
      <c r="P241" s="12"/>
      <c r="Q241" s="12">
        <v>1</v>
      </c>
    </row>
    <row r="242" spans="1:17" ht="15.75" customHeight="1">
      <c r="A242" s="12">
        <v>164</v>
      </c>
      <c r="B242" s="12">
        <v>1970</v>
      </c>
      <c r="C242" s="12">
        <v>34994</v>
      </c>
      <c r="D242" s="12" t="s">
        <v>6047</v>
      </c>
      <c r="E242" s="12" t="s">
        <v>7320</v>
      </c>
      <c r="F242" s="12" t="s">
        <v>7321</v>
      </c>
      <c r="G242" s="12" t="s">
        <v>7322</v>
      </c>
      <c r="H242" s="12" t="s">
        <v>6051</v>
      </c>
      <c r="I242" s="12" t="s">
        <v>6700</v>
      </c>
      <c r="J242" s="12">
        <v>34994</v>
      </c>
      <c r="K242" s="12" t="s">
        <v>7145</v>
      </c>
      <c r="L242" s="12" t="s">
        <v>6709</v>
      </c>
      <c r="M242" s="13">
        <v>45753</v>
      </c>
      <c r="N242" s="12" t="s">
        <v>7146</v>
      </c>
      <c r="O242" s="12" t="s">
        <v>7323</v>
      </c>
      <c r="P242" s="12"/>
      <c r="Q242" s="12">
        <v>1</v>
      </c>
    </row>
    <row r="243" spans="1:17" ht="15.75" customHeight="1">
      <c r="A243" s="12">
        <v>992</v>
      </c>
      <c r="B243" s="12">
        <v>1144</v>
      </c>
      <c r="C243" s="12">
        <v>16440</v>
      </c>
      <c r="D243" s="12" t="s">
        <v>6047</v>
      </c>
      <c r="E243" s="12" t="s">
        <v>7324</v>
      </c>
      <c r="F243" s="12" t="s">
        <v>7325</v>
      </c>
      <c r="G243" s="12" t="s">
        <v>7326</v>
      </c>
      <c r="H243" s="12" t="s">
        <v>6051</v>
      </c>
      <c r="I243" s="12" t="s">
        <v>6052</v>
      </c>
      <c r="J243" s="12">
        <v>16440</v>
      </c>
      <c r="K243" s="12" t="s">
        <v>7108</v>
      </c>
      <c r="L243" s="12" t="s">
        <v>6054</v>
      </c>
      <c r="M243" s="13">
        <v>42694</v>
      </c>
      <c r="N243" s="12" t="s">
        <v>7109</v>
      </c>
      <c r="O243" s="12" t="s">
        <v>7327</v>
      </c>
      <c r="P243" s="12"/>
      <c r="Q243" s="12">
        <v>1</v>
      </c>
    </row>
    <row r="244" spans="1:17" ht="15.75" customHeight="1">
      <c r="A244" s="12">
        <v>1714</v>
      </c>
      <c r="B244" s="12">
        <v>760</v>
      </c>
      <c r="C244" s="12">
        <v>9534</v>
      </c>
      <c r="D244" s="12" t="s">
        <v>6047</v>
      </c>
      <c r="E244" s="12" t="s">
        <v>635</v>
      </c>
      <c r="F244" s="12" t="s">
        <v>7328</v>
      </c>
      <c r="G244" s="12" t="s">
        <v>7329</v>
      </c>
      <c r="H244" s="12" t="s">
        <v>7330</v>
      </c>
      <c r="I244" s="12" t="s">
        <v>7331</v>
      </c>
      <c r="J244" s="12">
        <v>9534</v>
      </c>
      <c r="K244" s="12" t="s">
        <v>7332</v>
      </c>
      <c r="L244" s="12" t="s">
        <v>7333</v>
      </c>
      <c r="M244" s="13">
        <v>40877</v>
      </c>
      <c r="N244" s="12" t="s">
        <v>7334</v>
      </c>
      <c r="O244" s="12" t="s">
        <v>7335</v>
      </c>
      <c r="P244" s="12"/>
      <c r="Q244" s="12">
        <v>1</v>
      </c>
    </row>
    <row r="245" spans="1:17" ht="15.75" customHeight="1">
      <c r="A245" s="12">
        <v>328</v>
      </c>
      <c r="B245" s="12">
        <v>990</v>
      </c>
      <c r="C245" s="12">
        <v>13539</v>
      </c>
      <c r="D245" s="12" t="s">
        <v>6047</v>
      </c>
      <c r="E245" s="12" t="s">
        <v>7336</v>
      </c>
      <c r="F245" s="12" t="s">
        <v>7337</v>
      </c>
      <c r="G245" s="12" t="s">
        <v>7338</v>
      </c>
      <c r="H245" s="12" t="s">
        <v>6051</v>
      </c>
      <c r="I245" s="12" t="s">
        <v>6741</v>
      </c>
      <c r="J245" s="12">
        <v>13539</v>
      </c>
      <c r="K245" s="12" t="s">
        <v>7339</v>
      </c>
      <c r="L245" s="12" t="s">
        <v>6732</v>
      </c>
      <c r="M245" s="13">
        <v>44727</v>
      </c>
      <c r="N245" s="12" t="s">
        <v>7340</v>
      </c>
      <c r="O245" s="12" t="s">
        <v>7341</v>
      </c>
      <c r="P245" s="12"/>
      <c r="Q245" s="12">
        <v>1</v>
      </c>
    </row>
    <row r="246" spans="1:17" ht="15.75" customHeight="1">
      <c r="A246" s="12">
        <v>185</v>
      </c>
      <c r="B246" s="12">
        <v>1621</v>
      </c>
      <c r="C246" s="12">
        <v>28667</v>
      </c>
      <c r="D246" s="12" t="s">
        <v>6047</v>
      </c>
      <c r="E246" s="12" t="s">
        <v>7342</v>
      </c>
      <c r="F246" s="12" t="s">
        <v>7343</v>
      </c>
      <c r="G246" s="12" t="s">
        <v>7344</v>
      </c>
      <c r="H246" s="12" t="s">
        <v>6051</v>
      </c>
      <c r="I246" s="12" t="s">
        <v>6366</v>
      </c>
      <c r="J246" s="12">
        <v>28667</v>
      </c>
      <c r="K246" s="12" t="s">
        <v>7345</v>
      </c>
      <c r="L246" s="12" t="s">
        <v>6709</v>
      </c>
      <c r="M246" s="13">
        <v>45752</v>
      </c>
      <c r="N246" s="12" t="s">
        <v>7346</v>
      </c>
      <c r="O246" s="12" t="s">
        <v>7347</v>
      </c>
      <c r="P246" s="12"/>
      <c r="Q246" s="12">
        <v>1</v>
      </c>
    </row>
    <row r="247" spans="1:17" ht="15.75" customHeight="1">
      <c r="A247" s="12">
        <v>1107</v>
      </c>
      <c r="B247" s="12">
        <v>481</v>
      </c>
      <c r="C247" s="12">
        <v>6449</v>
      </c>
      <c r="D247" s="12" t="s">
        <v>6047</v>
      </c>
      <c r="E247" s="12" t="s">
        <v>7348</v>
      </c>
      <c r="F247" s="12" t="s">
        <v>7349</v>
      </c>
      <c r="G247" s="12" t="s">
        <v>7350</v>
      </c>
      <c r="H247" s="12" t="s">
        <v>6137</v>
      </c>
      <c r="I247" s="12" t="s">
        <v>6200</v>
      </c>
      <c r="J247" s="12">
        <v>6449</v>
      </c>
      <c r="K247" s="12" t="s">
        <v>7351</v>
      </c>
      <c r="L247" s="12" t="s">
        <v>6284</v>
      </c>
      <c r="M247" s="13">
        <v>42606</v>
      </c>
      <c r="N247" s="12" t="s">
        <v>7352</v>
      </c>
      <c r="O247" s="12" t="s">
        <v>7353</v>
      </c>
      <c r="P247" s="12"/>
      <c r="Q247" s="12">
        <v>1</v>
      </c>
    </row>
    <row r="248" spans="1:17" ht="15.75" customHeight="1">
      <c r="A248" s="12">
        <v>1893</v>
      </c>
      <c r="B248" s="12">
        <v>385</v>
      </c>
      <c r="C248" s="12">
        <v>5770</v>
      </c>
      <c r="D248" s="12" t="s">
        <v>6047</v>
      </c>
      <c r="E248" s="12" t="s">
        <v>7354</v>
      </c>
      <c r="F248" s="12" t="s">
        <v>7355</v>
      </c>
      <c r="G248" s="12" t="s">
        <v>7356</v>
      </c>
      <c r="H248" s="12" t="s">
        <v>6137</v>
      </c>
      <c r="I248" s="12" t="s">
        <v>6269</v>
      </c>
      <c r="J248" s="12">
        <v>5770</v>
      </c>
      <c r="K248" s="12" t="s">
        <v>7357</v>
      </c>
      <c r="L248" s="12" t="s">
        <v>6709</v>
      </c>
      <c r="M248" s="13">
        <v>40174</v>
      </c>
      <c r="N248" s="12" t="s">
        <v>7358</v>
      </c>
      <c r="O248" s="12" t="s">
        <v>7359</v>
      </c>
      <c r="P248" s="12"/>
      <c r="Q248" s="12">
        <v>1</v>
      </c>
    </row>
    <row r="249" spans="1:17" ht="15.75" customHeight="1">
      <c r="A249" s="12">
        <v>823</v>
      </c>
      <c r="B249" s="12">
        <v>643</v>
      </c>
      <c r="C249" s="12">
        <v>7852</v>
      </c>
      <c r="D249" s="12" t="s">
        <v>6047</v>
      </c>
      <c r="E249" s="12" t="s">
        <v>7360</v>
      </c>
      <c r="F249" s="12" t="s">
        <v>7361</v>
      </c>
      <c r="G249" s="12" t="s">
        <v>7362</v>
      </c>
      <c r="H249" s="12" t="s">
        <v>6075</v>
      </c>
      <c r="I249" s="12" t="s">
        <v>6076</v>
      </c>
      <c r="J249" s="12">
        <v>7852</v>
      </c>
      <c r="K249" s="12" t="s">
        <v>7363</v>
      </c>
      <c r="L249" s="12" t="s">
        <v>6590</v>
      </c>
      <c r="M249" s="13">
        <v>43026</v>
      </c>
      <c r="N249" s="12" t="s">
        <v>7364</v>
      </c>
      <c r="O249" s="12" t="s">
        <v>7365</v>
      </c>
      <c r="P249" s="12"/>
      <c r="Q249" s="12">
        <v>1</v>
      </c>
    </row>
    <row r="250" spans="1:17" ht="15.75" customHeight="1">
      <c r="A250" s="12">
        <v>1056</v>
      </c>
      <c r="B250" s="12">
        <v>1766</v>
      </c>
      <c r="C250" s="12">
        <v>32982</v>
      </c>
      <c r="D250" s="12" t="s">
        <v>6047</v>
      </c>
      <c r="E250" s="12" t="s">
        <v>7366</v>
      </c>
      <c r="F250" s="12" t="s">
        <v>7367</v>
      </c>
      <c r="G250" s="12" t="s">
        <v>7368</v>
      </c>
      <c r="H250" s="12" t="s">
        <v>6051</v>
      </c>
      <c r="I250" s="12" t="s">
        <v>6374</v>
      </c>
      <c r="J250" s="12">
        <v>32982</v>
      </c>
      <c r="K250" s="12" t="s">
        <v>6053</v>
      </c>
      <c r="L250" s="12" t="s">
        <v>6054</v>
      </c>
      <c r="M250" s="13">
        <v>42687</v>
      </c>
      <c r="N250" s="12" t="s">
        <v>6055</v>
      </c>
      <c r="O250" s="12" t="s">
        <v>6056</v>
      </c>
      <c r="P250" s="12"/>
      <c r="Q250" s="12">
        <v>1</v>
      </c>
    </row>
    <row r="251" spans="1:17" ht="15.75" customHeight="1">
      <c r="A251" s="12">
        <v>1021</v>
      </c>
      <c r="B251" s="12">
        <v>1044</v>
      </c>
      <c r="C251" s="12">
        <v>14853</v>
      </c>
      <c r="D251" s="12" t="s">
        <v>6047</v>
      </c>
      <c r="E251" s="12" t="s">
        <v>7369</v>
      </c>
      <c r="F251" s="12" t="s">
        <v>7370</v>
      </c>
      <c r="G251" s="12" t="s">
        <v>7371</v>
      </c>
      <c r="H251" s="12" t="s">
        <v>6051</v>
      </c>
      <c r="I251" s="12" t="s">
        <v>6476</v>
      </c>
      <c r="J251" s="12">
        <v>14853</v>
      </c>
      <c r="K251" s="12" t="s">
        <v>6875</v>
      </c>
      <c r="L251" s="12" t="s">
        <v>6357</v>
      </c>
      <c r="M251" s="13">
        <v>42691</v>
      </c>
      <c r="N251" s="12" t="s">
        <v>6876</v>
      </c>
      <c r="O251" s="12" t="s">
        <v>6877</v>
      </c>
      <c r="P251" s="12"/>
      <c r="Q251" s="12">
        <v>1</v>
      </c>
    </row>
    <row r="252" spans="1:17" ht="15.75" customHeight="1">
      <c r="A252" s="12">
        <v>957</v>
      </c>
      <c r="B252" s="12">
        <v>1122</v>
      </c>
      <c r="C252" s="12">
        <v>16134</v>
      </c>
      <c r="D252" s="12" t="s">
        <v>6047</v>
      </c>
      <c r="E252" s="12" t="s">
        <v>7372</v>
      </c>
      <c r="F252" s="12" t="s">
        <v>7373</v>
      </c>
      <c r="G252" s="12" t="s">
        <v>7374</v>
      </c>
      <c r="H252" s="12" t="s">
        <v>6051</v>
      </c>
      <c r="I252" s="12" t="s">
        <v>7375</v>
      </c>
      <c r="J252" s="12">
        <v>16134</v>
      </c>
      <c r="K252" s="12" t="s">
        <v>7376</v>
      </c>
      <c r="L252" s="12" t="s">
        <v>6054</v>
      </c>
      <c r="M252" s="13">
        <v>42826</v>
      </c>
      <c r="N252" s="12" t="s">
        <v>7377</v>
      </c>
      <c r="O252" s="12" t="s">
        <v>7378</v>
      </c>
      <c r="P252" s="12"/>
      <c r="Q252" s="12">
        <v>1</v>
      </c>
    </row>
    <row r="253" spans="1:17" ht="15.75" customHeight="1">
      <c r="A253" s="12">
        <v>125</v>
      </c>
      <c r="B253" s="12">
        <v>355</v>
      </c>
      <c r="C253" s="12">
        <v>5448</v>
      </c>
      <c r="D253" s="12" t="s">
        <v>6047</v>
      </c>
      <c r="E253" s="12" t="s">
        <v>670</v>
      </c>
      <c r="F253" s="12" t="s">
        <v>7379</v>
      </c>
      <c r="G253" s="12" t="s">
        <v>7380</v>
      </c>
      <c r="H253" s="12" t="s">
        <v>6213</v>
      </c>
      <c r="I253" s="12" t="s">
        <v>6214</v>
      </c>
      <c r="J253" s="12">
        <v>5448</v>
      </c>
      <c r="K253" s="12" t="s">
        <v>7102</v>
      </c>
      <c r="L253" s="12" t="s">
        <v>6511</v>
      </c>
      <c r="M253" s="13">
        <v>45965</v>
      </c>
      <c r="N253" s="12" t="s">
        <v>7103</v>
      </c>
      <c r="O253" s="12" t="s">
        <v>7104</v>
      </c>
      <c r="P253" s="12"/>
      <c r="Q253" s="12">
        <v>1</v>
      </c>
    </row>
    <row r="254" spans="1:17" ht="15.75" customHeight="1">
      <c r="A254" s="12">
        <v>619</v>
      </c>
      <c r="B254" s="12">
        <v>260</v>
      </c>
      <c r="C254" s="12">
        <v>4502</v>
      </c>
      <c r="D254" s="12" t="s">
        <v>6047</v>
      </c>
      <c r="E254" s="12" t="s">
        <v>7381</v>
      </c>
      <c r="F254" s="12" t="s">
        <v>7382</v>
      </c>
      <c r="G254" s="12" t="s">
        <v>7383</v>
      </c>
      <c r="H254" s="12" t="s">
        <v>6163</v>
      </c>
      <c r="I254" s="12" t="s">
        <v>6253</v>
      </c>
      <c r="J254" s="12">
        <v>4502</v>
      </c>
      <c r="K254" s="12" t="s">
        <v>7160</v>
      </c>
      <c r="L254" s="12" t="s">
        <v>6408</v>
      </c>
      <c r="M254" s="13">
        <v>43558</v>
      </c>
      <c r="N254" s="12" t="s">
        <v>7161</v>
      </c>
      <c r="O254" s="12" t="s">
        <v>7384</v>
      </c>
      <c r="P254" s="12"/>
      <c r="Q254" s="12">
        <v>1</v>
      </c>
    </row>
    <row r="255" spans="1:17" ht="15.75" customHeight="1">
      <c r="A255" s="12">
        <v>1025</v>
      </c>
      <c r="B255" s="12">
        <v>759</v>
      </c>
      <c r="C255" s="12">
        <v>9529</v>
      </c>
      <c r="D255" s="12" t="s">
        <v>6047</v>
      </c>
      <c r="E255" s="12" t="s">
        <v>7385</v>
      </c>
      <c r="F255" s="12" t="s">
        <v>7386</v>
      </c>
      <c r="G255" s="12" t="s">
        <v>7387</v>
      </c>
      <c r="H255" s="12" t="s">
        <v>7330</v>
      </c>
      <c r="I255" s="12" t="s">
        <v>7331</v>
      </c>
      <c r="J255" s="12">
        <v>9529</v>
      </c>
      <c r="K255" s="12" t="s">
        <v>6875</v>
      </c>
      <c r="L255" s="12" t="s">
        <v>6357</v>
      </c>
      <c r="M255" s="13">
        <v>42691</v>
      </c>
      <c r="N255" s="12" t="s">
        <v>6876</v>
      </c>
      <c r="O255" s="12" t="s">
        <v>6877</v>
      </c>
      <c r="P255" s="12"/>
      <c r="Q255" s="12">
        <v>1</v>
      </c>
    </row>
    <row r="256" spans="1:17" ht="15.75" customHeight="1">
      <c r="A256" s="12">
        <v>1374</v>
      </c>
      <c r="B256" s="12">
        <v>1690</v>
      </c>
      <c r="C256" s="12">
        <v>31275</v>
      </c>
      <c r="D256" s="12" t="s">
        <v>6047</v>
      </c>
      <c r="E256" s="12" t="s">
        <v>672</v>
      </c>
      <c r="F256" s="12" t="s">
        <v>7388</v>
      </c>
      <c r="G256" s="12" t="s">
        <v>7389</v>
      </c>
      <c r="H256" s="12" t="s">
        <v>6051</v>
      </c>
      <c r="I256" s="12" t="s">
        <v>6093</v>
      </c>
      <c r="J256" s="12">
        <v>31275</v>
      </c>
      <c r="K256" s="12" t="s">
        <v>6077</v>
      </c>
      <c r="L256" s="12" t="s">
        <v>6078</v>
      </c>
      <c r="M256" s="13">
        <v>41914</v>
      </c>
      <c r="N256" s="12" t="s">
        <v>6079</v>
      </c>
      <c r="O256" s="12" t="s">
        <v>6101</v>
      </c>
      <c r="P256" s="12"/>
      <c r="Q256" s="12">
        <v>1</v>
      </c>
    </row>
    <row r="257" spans="1:17" ht="15.75" customHeight="1">
      <c r="A257" s="12">
        <v>412</v>
      </c>
      <c r="B257" s="12">
        <v>1923</v>
      </c>
      <c r="C257" s="12">
        <v>34549</v>
      </c>
      <c r="D257" s="12" t="s">
        <v>6047</v>
      </c>
      <c r="E257" s="12" t="s">
        <v>7390</v>
      </c>
      <c r="F257" s="12" t="s">
        <v>7391</v>
      </c>
      <c r="G257" s="12" t="s">
        <v>7392</v>
      </c>
      <c r="H257" s="12" t="s">
        <v>6051</v>
      </c>
      <c r="I257" s="12" t="s">
        <v>7034</v>
      </c>
      <c r="J257" s="12">
        <v>34549</v>
      </c>
      <c r="K257" s="12" t="s">
        <v>7019</v>
      </c>
      <c r="L257" s="12" t="s">
        <v>7020</v>
      </c>
      <c r="M257" s="13">
        <v>44715</v>
      </c>
      <c r="N257" s="12" t="s">
        <v>7021</v>
      </c>
      <c r="O257" s="12" t="s">
        <v>7022</v>
      </c>
      <c r="P257" s="12"/>
      <c r="Q257" s="12">
        <v>1</v>
      </c>
    </row>
    <row r="258" spans="1:17" ht="15.75" customHeight="1">
      <c r="A258" s="12">
        <v>1271</v>
      </c>
      <c r="B258" s="12">
        <v>267</v>
      </c>
      <c r="C258" s="12">
        <v>4586</v>
      </c>
      <c r="D258" s="12" t="s">
        <v>6047</v>
      </c>
      <c r="E258" s="12" t="s">
        <v>679</v>
      </c>
      <c r="F258" s="12" t="s">
        <v>7393</v>
      </c>
      <c r="G258" s="12" t="s">
        <v>7394</v>
      </c>
      <c r="H258" s="12" t="s">
        <v>6163</v>
      </c>
      <c r="I258" s="12" t="s">
        <v>6253</v>
      </c>
      <c r="J258" s="12">
        <v>4586</v>
      </c>
      <c r="K258" s="12" t="s">
        <v>6470</v>
      </c>
      <c r="L258" s="12" t="s">
        <v>6423</v>
      </c>
      <c r="M258" s="13">
        <v>41990</v>
      </c>
      <c r="N258" s="12" t="s">
        <v>6471</v>
      </c>
      <c r="O258" s="12" t="s">
        <v>6472</v>
      </c>
      <c r="P258" s="12"/>
      <c r="Q258" s="12">
        <v>1</v>
      </c>
    </row>
    <row r="259" spans="1:17" ht="15.75" customHeight="1">
      <c r="A259" s="12">
        <v>1504</v>
      </c>
      <c r="B259" s="12">
        <v>1882</v>
      </c>
      <c r="C259" s="12">
        <v>34141</v>
      </c>
      <c r="D259" s="12" t="s">
        <v>6047</v>
      </c>
      <c r="E259" s="12" t="s">
        <v>687</v>
      </c>
      <c r="F259" s="12" t="s">
        <v>7395</v>
      </c>
      <c r="G259" s="12" t="s">
        <v>7396</v>
      </c>
      <c r="H259" s="12" t="s">
        <v>6051</v>
      </c>
      <c r="I259" s="12" t="s">
        <v>6362</v>
      </c>
      <c r="J259" s="12">
        <v>34141</v>
      </c>
      <c r="K259" s="12" t="s">
        <v>7397</v>
      </c>
      <c r="L259" s="12" t="s">
        <v>6284</v>
      </c>
      <c r="M259" s="13">
        <v>41782</v>
      </c>
      <c r="N259" s="12" t="s">
        <v>7398</v>
      </c>
      <c r="O259" s="12" t="s">
        <v>7399</v>
      </c>
      <c r="P259" s="12"/>
      <c r="Q259" s="12">
        <v>1</v>
      </c>
    </row>
    <row r="260" spans="1:17" ht="15.75" customHeight="1">
      <c r="A260" s="12">
        <v>758</v>
      </c>
      <c r="B260" s="12">
        <v>92</v>
      </c>
      <c r="C260" s="12">
        <v>1052</v>
      </c>
      <c r="D260" s="12" t="s">
        <v>6047</v>
      </c>
      <c r="E260" s="12" t="s">
        <v>7400</v>
      </c>
      <c r="F260" s="12" t="s">
        <v>7401</v>
      </c>
      <c r="G260" s="12" t="s">
        <v>7402</v>
      </c>
      <c r="H260" s="12" t="s">
        <v>6435</v>
      </c>
      <c r="I260" s="12" t="s">
        <v>7403</v>
      </c>
      <c r="J260" s="12">
        <v>1052</v>
      </c>
      <c r="K260" s="12" t="s">
        <v>7404</v>
      </c>
      <c r="L260" s="12" t="s">
        <v>7405</v>
      </c>
      <c r="M260" s="13">
        <v>43090</v>
      </c>
      <c r="N260" s="12" t="s">
        <v>7406</v>
      </c>
      <c r="O260" s="12" t="s">
        <v>7407</v>
      </c>
      <c r="P260" s="12"/>
      <c r="Q260" s="12">
        <v>1</v>
      </c>
    </row>
    <row r="261" spans="1:17" ht="15.75" customHeight="1">
      <c r="A261" s="12">
        <v>1661</v>
      </c>
      <c r="B261" s="12">
        <v>1889</v>
      </c>
      <c r="C261" s="12">
        <v>34200</v>
      </c>
      <c r="D261" s="12" t="s">
        <v>6047</v>
      </c>
      <c r="E261" s="12" t="s">
        <v>698</v>
      </c>
      <c r="F261" s="12" t="s">
        <v>7408</v>
      </c>
      <c r="G261" s="12" t="s">
        <v>7409</v>
      </c>
      <c r="H261" s="12" t="s">
        <v>6051</v>
      </c>
      <c r="I261" s="12" t="s">
        <v>6362</v>
      </c>
      <c r="J261" s="12">
        <v>34200</v>
      </c>
      <c r="K261" s="12" t="s">
        <v>7410</v>
      </c>
      <c r="L261" s="12" t="s">
        <v>7411</v>
      </c>
      <c r="M261" s="13">
        <v>41059</v>
      </c>
      <c r="N261" s="12" t="s">
        <v>7412</v>
      </c>
      <c r="O261" s="12" t="s">
        <v>7413</v>
      </c>
      <c r="P261" s="12"/>
      <c r="Q261" s="12">
        <v>1</v>
      </c>
    </row>
    <row r="262" spans="1:17" ht="15.75" customHeight="1">
      <c r="A262" s="12">
        <v>1761</v>
      </c>
      <c r="B262" s="12">
        <v>1891</v>
      </c>
      <c r="C262" s="12">
        <v>34218</v>
      </c>
      <c r="D262" s="12" t="s">
        <v>6047</v>
      </c>
      <c r="E262" s="12" t="s">
        <v>684</v>
      </c>
      <c r="F262" s="12" t="s">
        <v>7414</v>
      </c>
      <c r="G262" s="12" t="s">
        <v>7415</v>
      </c>
      <c r="H262" s="12" t="s">
        <v>6051</v>
      </c>
      <c r="I262" s="12" t="s">
        <v>6362</v>
      </c>
      <c r="J262" s="12">
        <v>34218</v>
      </c>
      <c r="K262" s="12" t="s">
        <v>6062</v>
      </c>
      <c r="L262" s="12" t="s">
        <v>6063</v>
      </c>
      <c r="M262" s="13">
        <v>40873</v>
      </c>
      <c r="N262" s="12" t="s">
        <v>6064</v>
      </c>
      <c r="O262" s="12" t="s">
        <v>6065</v>
      </c>
      <c r="P262" s="12"/>
      <c r="Q262" s="12">
        <v>1</v>
      </c>
    </row>
    <row r="263" spans="1:17" ht="15.75" customHeight="1">
      <c r="A263" s="12">
        <v>950</v>
      </c>
      <c r="B263" s="12">
        <v>246</v>
      </c>
      <c r="C263" s="12">
        <v>4384</v>
      </c>
      <c r="D263" s="12" t="s">
        <v>6047</v>
      </c>
      <c r="E263" s="12" t="s">
        <v>7416</v>
      </c>
      <c r="F263" s="12" t="s">
        <v>7417</v>
      </c>
      <c r="G263" s="12" t="s">
        <v>7418</v>
      </c>
      <c r="H263" s="12" t="s">
        <v>6163</v>
      </c>
      <c r="I263" s="12" t="s">
        <v>6253</v>
      </c>
      <c r="J263" s="12">
        <v>4384</v>
      </c>
      <c r="K263" s="12" t="s">
        <v>7225</v>
      </c>
      <c r="L263" s="12" t="s">
        <v>6054</v>
      </c>
      <c r="M263" s="13">
        <v>42827</v>
      </c>
      <c r="N263" s="12" t="s">
        <v>7226</v>
      </c>
      <c r="O263" s="12" t="s">
        <v>7227</v>
      </c>
      <c r="P263" s="12"/>
      <c r="Q263" s="12">
        <v>1</v>
      </c>
    </row>
    <row r="264" spans="1:17" ht="15.75" customHeight="1">
      <c r="A264" s="12">
        <v>1674</v>
      </c>
      <c r="B264" s="12">
        <v>1942</v>
      </c>
      <c r="C264" s="12">
        <v>34786</v>
      </c>
      <c r="D264" s="12" t="s">
        <v>6047</v>
      </c>
      <c r="E264" s="12" t="s">
        <v>7419</v>
      </c>
      <c r="F264" s="12" t="s">
        <v>7420</v>
      </c>
      <c r="G264" s="12" t="s">
        <v>7421</v>
      </c>
      <c r="H264" s="12" t="s">
        <v>6051</v>
      </c>
      <c r="I264" s="12" t="s">
        <v>6700</v>
      </c>
      <c r="J264" s="12">
        <v>34786</v>
      </c>
      <c r="K264" s="12" t="s">
        <v>7260</v>
      </c>
      <c r="L264" s="12" t="s">
        <v>7261</v>
      </c>
      <c r="M264" s="13">
        <v>40879</v>
      </c>
      <c r="N264" s="12" t="s">
        <v>7262</v>
      </c>
      <c r="O264" s="12" t="s">
        <v>7263</v>
      </c>
      <c r="P264" s="12"/>
      <c r="Q264" s="12">
        <v>1</v>
      </c>
    </row>
    <row r="265" spans="1:17" ht="15.75" customHeight="1">
      <c r="A265" s="12">
        <v>362</v>
      </c>
      <c r="B265" s="12">
        <v>1556</v>
      </c>
      <c r="C265" s="12">
        <v>27509</v>
      </c>
      <c r="D265" s="12" t="s">
        <v>6047</v>
      </c>
      <c r="E265" s="12" t="s">
        <v>7422</v>
      </c>
      <c r="F265" s="12" t="s">
        <v>7423</v>
      </c>
      <c r="G265" s="12" t="s">
        <v>7424</v>
      </c>
      <c r="H265" s="12" t="s">
        <v>6051</v>
      </c>
      <c r="I265" s="12" t="s">
        <v>6704</v>
      </c>
      <c r="J265" s="12">
        <v>27509</v>
      </c>
      <c r="K265" s="12" t="s">
        <v>7010</v>
      </c>
      <c r="L265" s="12" t="s">
        <v>6226</v>
      </c>
      <c r="M265" s="13">
        <v>44721</v>
      </c>
      <c r="N265" s="12" t="s">
        <v>7011</v>
      </c>
      <c r="O265" s="12" t="s">
        <v>7012</v>
      </c>
      <c r="P265" s="12"/>
      <c r="Q265" s="12">
        <v>1</v>
      </c>
    </row>
    <row r="266" spans="1:17" ht="15.75" customHeight="1">
      <c r="A266" s="12">
        <v>1535</v>
      </c>
      <c r="B266" s="12">
        <v>543</v>
      </c>
      <c r="C266" s="12">
        <v>7234</v>
      </c>
      <c r="D266" s="12" t="s">
        <v>6047</v>
      </c>
      <c r="E266" s="12" t="s">
        <v>716</v>
      </c>
      <c r="F266" s="12" t="s">
        <v>7425</v>
      </c>
      <c r="G266" s="12" t="s">
        <v>7426</v>
      </c>
      <c r="H266" s="12" t="s">
        <v>7427</v>
      </c>
      <c r="I266" s="12" t="s">
        <v>7428</v>
      </c>
      <c r="J266" s="12">
        <v>7234</v>
      </c>
      <c r="K266" s="12" t="s">
        <v>7429</v>
      </c>
      <c r="L266" s="12" t="s">
        <v>6255</v>
      </c>
      <c r="M266" s="13">
        <v>41568</v>
      </c>
      <c r="N266" s="12" t="s">
        <v>7430</v>
      </c>
      <c r="O266" s="12" t="s">
        <v>7431</v>
      </c>
      <c r="P266" s="12"/>
      <c r="Q266" s="12">
        <v>1</v>
      </c>
    </row>
    <row r="267" spans="1:17" ht="15.75" customHeight="1">
      <c r="A267" s="12">
        <v>517</v>
      </c>
      <c r="B267" s="12">
        <v>148</v>
      </c>
      <c r="C267" s="12">
        <v>2302</v>
      </c>
      <c r="D267" s="12" t="s">
        <v>6047</v>
      </c>
      <c r="E267" s="12" t="s">
        <v>7432</v>
      </c>
      <c r="F267" s="12" t="s">
        <v>7433</v>
      </c>
      <c r="G267" s="12" t="s">
        <v>7434</v>
      </c>
      <c r="H267" s="12" t="s">
        <v>6127</v>
      </c>
      <c r="I267" s="12" t="s">
        <v>6128</v>
      </c>
      <c r="J267" s="12">
        <v>2302</v>
      </c>
      <c r="K267" s="12" t="s">
        <v>6416</v>
      </c>
      <c r="L267" s="12" t="s">
        <v>6417</v>
      </c>
      <c r="M267" s="13">
        <v>43567</v>
      </c>
      <c r="N267" s="12" t="s">
        <v>6418</v>
      </c>
      <c r="O267" s="12" t="s">
        <v>6419</v>
      </c>
      <c r="P267" s="12"/>
      <c r="Q267" s="12">
        <v>1</v>
      </c>
    </row>
    <row r="268" spans="1:17" ht="15.75" customHeight="1">
      <c r="A268" s="12">
        <v>1398</v>
      </c>
      <c r="B268" s="12">
        <v>642</v>
      </c>
      <c r="C268" s="12">
        <v>7846</v>
      </c>
      <c r="D268" s="12" t="s">
        <v>6047</v>
      </c>
      <c r="E268" s="12" t="s">
        <v>7435</v>
      </c>
      <c r="F268" s="12" t="s">
        <v>7436</v>
      </c>
      <c r="G268" s="12" t="s">
        <v>7437</v>
      </c>
      <c r="H268" s="12" t="s">
        <v>6075</v>
      </c>
      <c r="I268" s="12" t="s">
        <v>6076</v>
      </c>
      <c r="J268" s="12">
        <v>7846</v>
      </c>
      <c r="K268" s="12" t="s">
        <v>6165</v>
      </c>
      <c r="L268" s="12" t="s">
        <v>6166</v>
      </c>
      <c r="M268" s="13">
        <v>41912</v>
      </c>
      <c r="N268" s="12" t="s">
        <v>6167</v>
      </c>
      <c r="O268" s="12" t="s">
        <v>6168</v>
      </c>
      <c r="P268" s="12"/>
      <c r="Q268" s="12">
        <v>1</v>
      </c>
    </row>
    <row r="269" spans="1:17" ht="15.75" customHeight="1">
      <c r="A269" s="12">
        <v>540</v>
      </c>
      <c r="B269" s="12">
        <v>2029</v>
      </c>
      <c r="C269" s="12">
        <v>35789</v>
      </c>
      <c r="D269" s="12" t="s">
        <v>6047</v>
      </c>
      <c r="E269" s="12" t="s">
        <v>7438</v>
      </c>
      <c r="F269" s="12" t="s">
        <v>7439</v>
      </c>
      <c r="G269" s="12" t="s">
        <v>7440</v>
      </c>
      <c r="H269" s="12" t="s">
        <v>6051</v>
      </c>
      <c r="I269" s="12" t="s">
        <v>6700</v>
      </c>
      <c r="J269" s="12">
        <v>35789</v>
      </c>
      <c r="K269" s="12" t="s">
        <v>7441</v>
      </c>
      <c r="L269" s="12" t="s">
        <v>6408</v>
      </c>
      <c r="M269" s="13">
        <v>43563</v>
      </c>
      <c r="N269" s="12" t="s">
        <v>7442</v>
      </c>
      <c r="O269" s="12" t="s">
        <v>7443</v>
      </c>
      <c r="P269" s="12"/>
      <c r="Q269" s="12">
        <v>1</v>
      </c>
    </row>
    <row r="270" spans="1:17" ht="15.75" customHeight="1">
      <c r="A270" s="12">
        <v>1965</v>
      </c>
      <c r="B270" s="12">
        <v>383</v>
      </c>
      <c r="C270" s="12">
        <v>5763</v>
      </c>
      <c r="D270" s="12" t="s">
        <v>6047</v>
      </c>
      <c r="E270" s="12" t="s">
        <v>7444</v>
      </c>
      <c r="F270" s="12" t="s">
        <v>7445</v>
      </c>
      <c r="G270" s="12" t="s">
        <v>7446</v>
      </c>
      <c r="H270" s="12" t="s">
        <v>6137</v>
      </c>
      <c r="I270" s="12" t="s">
        <v>6269</v>
      </c>
      <c r="J270" s="12">
        <v>5763</v>
      </c>
      <c r="K270" s="12" t="s">
        <v>7298</v>
      </c>
      <c r="L270" s="12" t="s">
        <v>6113</v>
      </c>
      <c r="M270" s="13">
        <v>38579</v>
      </c>
      <c r="N270" s="12" t="s">
        <v>7299</v>
      </c>
      <c r="O270" s="12" t="s">
        <v>7300</v>
      </c>
      <c r="P270" s="12"/>
      <c r="Q270" s="12">
        <v>1</v>
      </c>
    </row>
    <row r="271" spans="1:17" ht="15.75" customHeight="1">
      <c r="A271" s="12">
        <v>1591</v>
      </c>
      <c r="B271" s="12">
        <v>1877</v>
      </c>
      <c r="C271" s="12">
        <v>34084</v>
      </c>
      <c r="D271" s="12" t="s">
        <v>6047</v>
      </c>
      <c r="E271" s="12" t="s">
        <v>730</v>
      </c>
      <c r="F271" s="12" t="s">
        <v>7447</v>
      </c>
      <c r="G271" s="12" t="s">
        <v>7448</v>
      </c>
      <c r="H271" s="12" t="s">
        <v>6051</v>
      </c>
      <c r="I271" s="12" t="s">
        <v>6362</v>
      </c>
      <c r="J271" s="12">
        <v>34084</v>
      </c>
      <c r="K271" s="12" t="s">
        <v>6300</v>
      </c>
      <c r="L271" s="12" t="s">
        <v>6240</v>
      </c>
      <c r="M271" s="13">
        <v>41397</v>
      </c>
      <c r="N271" s="12" t="s">
        <v>6301</v>
      </c>
      <c r="O271" s="12" t="s">
        <v>7449</v>
      </c>
      <c r="P271" s="12"/>
      <c r="Q271" s="12">
        <v>1</v>
      </c>
    </row>
    <row r="272" spans="1:17" ht="15.75" customHeight="1">
      <c r="A272" s="12">
        <v>1302</v>
      </c>
      <c r="B272" s="12">
        <v>351</v>
      </c>
      <c r="C272" s="12">
        <v>5412</v>
      </c>
      <c r="D272" s="12" t="s">
        <v>6047</v>
      </c>
      <c r="E272" s="12" t="s">
        <v>7450</v>
      </c>
      <c r="F272" s="12" t="s">
        <v>7451</v>
      </c>
      <c r="G272" s="12" t="s">
        <v>7452</v>
      </c>
      <c r="H272" s="12" t="s">
        <v>6213</v>
      </c>
      <c r="I272" s="12" t="s">
        <v>6214</v>
      </c>
      <c r="J272" s="12">
        <v>5412</v>
      </c>
      <c r="K272" s="12" t="s">
        <v>6422</v>
      </c>
      <c r="L272" s="12" t="s">
        <v>6423</v>
      </c>
      <c r="M272" s="13">
        <v>41989</v>
      </c>
      <c r="N272" s="12" t="s">
        <v>6424</v>
      </c>
      <c r="O272" s="12" t="s">
        <v>6425</v>
      </c>
      <c r="P272" s="12"/>
      <c r="Q272" s="12">
        <v>1</v>
      </c>
    </row>
    <row r="273" spans="1:17" ht="15.75" customHeight="1">
      <c r="A273" s="12">
        <v>1149</v>
      </c>
      <c r="B273" s="12">
        <v>1881</v>
      </c>
      <c r="C273" s="12">
        <v>34138</v>
      </c>
      <c r="D273" s="12" t="s">
        <v>6047</v>
      </c>
      <c r="E273" s="12" t="s">
        <v>7453</v>
      </c>
      <c r="F273" s="12" t="s">
        <v>7454</v>
      </c>
      <c r="G273" s="12" t="s">
        <v>7455</v>
      </c>
      <c r="H273" s="12" t="s">
        <v>6051</v>
      </c>
      <c r="I273" s="12" t="s">
        <v>6362</v>
      </c>
      <c r="J273" s="12">
        <v>34138</v>
      </c>
      <c r="K273" s="12" t="s">
        <v>7456</v>
      </c>
      <c r="L273" s="12" t="s">
        <v>6393</v>
      </c>
      <c r="M273" s="13">
        <v>42136</v>
      </c>
      <c r="N273" s="12" t="s">
        <v>7457</v>
      </c>
      <c r="O273" s="12" t="s">
        <v>7458</v>
      </c>
      <c r="P273" s="12"/>
      <c r="Q273" s="12">
        <v>1</v>
      </c>
    </row>
    <row r="274" spans="1:17" ht="15.75" customHeight="1">
      <c r="A274" s="12">
        <v>2015</v>
      </c>
      <c r="B274" s="12">
        <v>406</v>
      </c>
      <c r="C274" s="12">
        <v>5860</v>
      </c>
      <c r="D274" s="12" t="s">
        <v>6047</v>
      </c>
      <c r="E274" s="12" t="s">
        <v>7459</v>
      </c>
      <c r="F274" s="12" t="s">
        <v>7460</v>
      </c>
      <c r="G274" s="12" t="s">
        <v>7461</v>
      </c>
      <c r="H274" s="12" t="s">
        <v>6137</v>
      </c>
      <c r="I274" s="12" t="s">
        <v>6323</v>
      </c>
      <c r="J274" s="12">
        <v>5860</v>
      </c>
      <c r="K274" s="12" t="s">
        <v>6112</v>
      </c>
      <c r="L274" s="12" t="s">
        <v>6113</v>
      </c>
      <c r="M274" s="13">
        <v>38573</v>
      </c>
      <c r="N274" s="12" t="s">
        <v>6114</v>
      </c>
      <c r="O274" s="12" t="s">
        <v>6115</v>
      </c>
      <c r="P274" s="12"/>
      <c r="Q274" s="12">
        <v>1</v>
      </c>
    </row>
    <row r="275" spans="1:17" ht="15.75" customHeight="1">
      <c r="A275" s="12">
        <v>993</v>
      </c>
      <c r="B275" s="12">
        <v>1105</v>
      </c>
      <c r="C275" s="12">
        <v>15923</v>
      </c>
      <c r="D275" s="12" t="s">
        <v>6047</v>
      </c>
      <c r="E275" s="12" t="s">
        <v>7462</v>
      </c>
      <c r="F275" s="12" t="s">
        <v>7463</v>
      </c>
      <c r="G275" s="12" t="s">
        <v>7464</v>
      </c>
      <c r="H275" s="12" t="s">
        <v>6051</v>
      </c>
      <c r="I275" s="12" t="s">
        <v>6406</v>
      </c>
      <c r="J275" s="12">
        <v>15923</v>
      </c>
      <c r="K275" s="12" t="s">
        <v>7108</v>
      </c>
      <c r="L275" s="12" t="s">
        <v>6054</v>
      </c>
      <c r="M275" s="13">
        <v>42694</v>
      </c>
      <c r="N275" s="12" t="s">
        <v>7109</v>
      </c>
      <c r="O275" s="12" t="s">
        <v>7327</v>
      </c>
      <c r="P275" s="12"/>
      <c r="Q275" s="12">
        <v>1</v>
      </c>
    </row>
    <row r="276" spans="1:17" ht="15.75" customHeight="1">
      <c r="A276" s="12">
        <v>299</v>
      </c>
      <c r="B276" s="12">
        <v>184</v>
      </c>
      <c r="C276" s="12">
        <v>3066</v>
      </c>
      <c r="D276" s="12" t="s">
        <v>6047</v>
      </c>
      <c r="E276" s="12" t="s">
        <v>7465</v>
      </c>
      <c r="F276" s="12" t="s">
        <v>7466</v>
      </c>
      <c r="G276" s="12" t="s">
        <v>7467</v>
      </c>
      <c r="H276" s="12" t="s">
        <v>7069</v>
      </c>
      <c r="I276" s="12" t="s">
        <v>7070</v>
      </c>
      <c r="J276" s="12">
        <v>3066</v>
      </c>
      <c r="K276" s="12" t="s">
        <v>7468</v>
      </c>
      <c r="L276" s="12" t="s">
        <v>7469</v>
      </c>
      <c r="M276" s="13">
        <v>45602</v>
      </c>
      <c r="N276" s="12" t="s">
        <v>7470</v>
      </c>
      <c r="O276" s="12" t="s">
        <v>7471</v>
      </c>
      <c r="P276" s="12"/>
      <c r="Q276" s="12">
        <v>1</v>
      </c>
    </row>
    <row r="277" spans="1:17" ht="15.75" customHeight="1">
      <c r="A277" s="12">
        <v>1927</v>
      </c>
      <c r="B277" s="12">
        <v>379</v>
      </c>
      <c r="C277" s="12">
        <v>5714</v>
      </c>
      <c r="D277" s="12" t="s">
        <v>6047</v>
      </c>
      <c r="E277" s="12" t="s">
        <v>7472</v>
      </c>
      <c r="F277" s="12" t="s">
        <v>7473</v>
      </c>
      <c r="G277" s="12" t="s">
        <v>7474</v>
      </c>
      <c r="H277" s="12" t="s">
        <v>6213</v>
      </c>
      <c r="I277" s="12" t="s">
        <v>7475</v>
      </c>
      <c r="J277" s="12">
        <v>5714</v>
      </c>
      <c r="K277" s="12" t="s">
        <v>7476</v>
      </c>
      <c r="L277" s="12" t="s">
        <v>7477</v>
      </c>
      <c r="M277" s="13">
        <v>39237</v>
      </c>
      <c r="N277" s="12" t="s">
        <v>7478</v>
      </c>
      <c r="O277" s="12" t="s">
        <v>7479</v>
      </c>
      <c r="P277" s="12"/>
      <c r="Q277" s="12">
        <v>1</v>
      </c>
    </row>
    <row r="278" spans="1:17" ht="15.75" customHeight="1">
      <c r="A278" s="12">
        <v>2020</v>
      </c>
      <c r="B278" s="12">
        <v>1989</v>
      </c>
      <c r="C278" s="12">
        <v>35152</v>
      </c>
      <c r="D278" s="12" t="s">
        <v>6047</v>
      </c>
      <c r="E278" s="12" t="s">
        <v>7480</v>
      </c>
      <c r="F278" s="12" t="s">
        <v>7481</v>
      </c>
      <c r="G278" s="12" t="s">
        <v>7482</v>
      </c>
      <c r="H278" s="12" t="s">
        <v>6051</v>
      </c>
      <c r="I278" s="12" t="s">
        <v>6700</v>
      </c>
      <c r="J278" s="12">
        <v>35152</v>
      </c>
      <c r="K278" s="12" t="s">
        <v>7483</v>
      </c>
      <c r="L278" s="12" t="s">
        <v>7484</v>
      </c>
      <c r="M278" s="13">
        <v>38178</v>
      </c>
      <c r="N278" s="12" t="s">
        <v>7485</v>
      </c>
      <c r="O278" s="12" t="s">
        <v>7486</v>
      </c>
      <c r="P278" s="12"/>
      <c r="Q278" s="12">
        <v>1</v>
      </c>
    </row>
    <row r="279" spans="1:17" ht="15.75" customHeight="1">
      <c r="A279" s="12">
        <v>1677</v>
      </c>
      <c r="B279" s="12">
        <v>1927</v>
      </c>
      <c r="C279" s="12">
        <v>34598</v>
      </c>
      <c r="D279" s="12" t="s">
        <v>6047</v>
      </c>
      <c r="E279" s="12" t="s">
        <v>7487</v>
      </c>
      <c r="F279" s="12" t="s">
        <v>7488</v>
      </c>
      <c r="G279" s="12" t="s">
        <v>7489</v>
      </c>
      <c r="H279" s="12" t="s">
        <v>6051</v>
      </c>
      <c r="I279" s="12" t="s">
        <v>7034</v>
      </c>
      <c r="J279" s="12">
        <v>34598</v>
      </c>
      <c r="K279" s="12" t="s">
        <v>7260</v>
      </c>
      <c r="L279" s="12" t="s">
        <v>7261</v>
      </c>
      <c r="M279" s="13">
        <v>40879</v>
      </c>
      <c r="N279" s="12" t="s">
        <v>7262</v>
      </c>
      <c r="O279" s="12" t="s">
        <v>7263</v>
      </c>
      <c r="P279" s="12"/>
      <c r="Q279" s="12">
        <v>1</v>
      </c>
    </row>
    <row r="280" spans="1:17" ht="15.75" customHeight="1">
      <c r="A280" s="12">
        <v>959</v>
      </c>
      <c r="B280" s="12">
        <v>147</v>
      </c>
      <c r="C280" s="12">
        <v>2288</v>
      </c>
      <c r="D280" s="12" t="s">
        <v>6047</v>
      </c>
      <c r="E280" s="12" t="s">
        <v>7490</v>
      </c>
      <c r="F280" s="12" t="s">
        <v>7491</v>
      </c>
      <c r="G280" s="12" t="s">
        <v>7492</v>
      </c>
      <c r="H280" s="12" t="s">
        <v>6127</v>
      </c>
      <c r="I280" s="12" t="s">
        <v>6128</v>
      </c>
      <c r="J280" s="12">
        <v>2288</v>
      </c>
      <c r="K280" s="12" t="s">
        <v>7376</v>
      </c>
      <c r="L280" s="12" t="s">
        <v>6054</v>
      </c>
      <c r="M280" s="13">
        <v>42826</v>
      </c>
      <c r="N280" s="12" t="s">
        <v>7377</v>
      </c>
      <c r="O280" s="12" t="s">
        <v>7378</v>
      </c>
      <c r="P280" s="12"/>
      <c r="Q280" s="12">
        <v>1</v>
      </c>
    </row>
    <row r="281" spans="1:17" ht="15.75" customHeight="1">
      <c r="A281" s="12">
        <v>1866</v>
      </c>
      <c r="B281" s="12">
        <v>1417</v>
      </c>
      <c r="C281" s="12">
        <v>21294</v>
      </c>
      <c r="D281" s="12" t="s">
        <v>6047</v>
      </c>
      <c r="E281" s="12" t="s">
        <v>754</v>
      </c>
      <c r="F281" s="12" t="s">
        <v>7493</v>
      </c>
      <c r="G281" s="12" t="s">
        <v>7494</v>
      </c>
      <c r="H281" s="12" t="s">
        <v>6051</v>
      </c>
      <c r="I281" s="12" t="s">
        <v>6299</v>
      </c>
      <c r="J281" s="12">
        <v>21294</v>
      </c>
      <c r="K281" s="12" t="s">
        <v>6375</v>
      </c>
      <c r="L281" s="12" t="s">
        <v>6240</v>
      </c>
      <c r="M281" s="13">
        <v>40774</v>
      </c>
      <c r="N281" s="12" t="s">
        <v>6376</v>
      </c>
      <c r="O281" s="12" t="s">
        <v>7115</v>
      </c>
      <c r="P281" s="12"/>
      <c r="Q281" s="12">
        <v>1</v>
      </c>
    </row>
    <row r="282" spans="1:17" ht="15.75" customHeight="1">
      <c r="A282" s="12">
        <v>1199</v>
      </c>
      <c r="B282" s="12">
        <v>1975</v>
      </c>
      <c r="C282" s="12">
        <v>35036</v>
      </c>
      <c r="D282" s="12" t="s">
        <v>6047</v>
      </c>
      <c r="E282" s="12" t="s">
        <v>7495</v>
      </c>
      <c r="F282" s="12" t="s">
        <v>7496</v>
      </c>
      <c r="G282" s="12" t="s">
        <v>7497</v>
      </c>
      <c r="H282" s="12" t="s">
        <v>6051</v>
      </c>
      <c r="I282" s="12" t="s">
        <v>6700</v>
      </c>
      <c r="J282" s="12">
        <v>35036</v>
      </c>
      <c r="K282" s="12" t="s">
        <v>6429</v>
      </c>
      <c r="L282" s="12" t="s">
        <v>6423</v>
      </c>
      <c r="M282" s="13">
        <v>41991</v>
      </c>
      <c r="N282" s="12" t="s">
        <v>6430</v>
      </c>
      <c r="O282" s="12" t="s">
        <v>6431</v>
      </c>
      <c r="P282" s="12"/>
      <c r="Q282" s="12">
        <v>1</v>
      </c>
    </row>
    <row r="283" spans="1:17" ht="15.75" customHeight="1">
      <c r="A283" s="12">
        <v>1258</v>
      </c>
      <c r="B283" s="12">
        <v>1496</v>
      </c>
      <c r="C283" s="12">
        <v>24128</v>
      </c>
      <c r="D283" s="12" t="s">
        <v>6047</v>
      </c>
      <c r="E283" s="12" t="s">
        <v>7498</v>
      </c>
      <c r="F283" s="12" t="s">
        <v>7499</v>
      </c>
      <c r="G283" s="12" t="s">
        <v>7500</v>
      </c>
      <c r="H283" s="12" t="s">
        <v>6051</v>
      </c>
      <c r="I283" s="12" t="s">
        <v>6738</v>
      </c>
      <c r="J283" s="12">
        <v>24128</v>
      </c>
      <c r="K283" s="12" t="s">
        <v>6470</v>
      </c>
      <c r="L283" s="12" t="s">
        <v>6423</v>
      </c>
      <c r="M283" s="13">
        <v>41990</v>
      </c>
      <c r="N283" s="12" t="s">
        <v>6471</v>
      </c>
      <c r="O283" s="12" t="s">
        <v>6472</v>
      </c>
      <c r="P283" s="12"/>
      <c r="Q283" s="12">
        <v>1</v>
      </c>
    </row>
    <row r="284" spans="1:17" ht="15.75" customHeight="1">
      <c r="A284" s="12">
        <v>726</v>
      </c>
      <c r="B284" s="12">
        <v>973</v>
      </c>
      <c r="C284" s="12">
        <v>13140</v>
      </c>
      <c r="D284" s="12" t="s">
        <v>6047</v>
      </c>
      <c r="E284" s="12" t="s">
        <v>7501</v>
      </c>
      <c r="F284" s="12" t="s">
        <v>7502</v>
      </c>
      <c r="G284" s="12" t="s">
        <v>7503</v>
      </c>
      <c r="H284" s="12" t="s">
        <v>6627</v>
      </c>
      <c r="I284" s="12" t="s">
        <v>7504</v>
      </c>
      <c r="J284" s="12">
        <v>13140</v>
      </c>
      <c r="K284" s="12" t="s">
        <v>7193</v>
      </c>
      <c r="L284" s="12" t="s">
        <v>7194</v>
      </c>
      <c r="M284" s="13">
        <v>43199</v>
      </c>
      <c r="N284" s="12" t="s">
        <v>7195</v>
      </c>
      <c r="O284" s="12" t="s">
        <v>7196</v>
      </c>
      <c r="P284" s="12" t="s">
        <v>6196</v>
      </c>
      <c r="Q284" s="12">
        <v>1</v>
      </c>
    </row>
    <row r="285" spans="1:17" ht="15.75" customHeight="1">
      <c r="A285" s="12">
        <v>614</v>
      </c>
      <c r="B285" s="12">
        <v>1961</v>
      </c>
      <c r="C285" s="12">
        <v>34920</v>
      </c>
      <c r="D285" s="12" t="s">
        <v>6047</v>
      </c>
      <c r="E285" s="12" t="s">
        <v>7505</v>
      </c>
      <c r="F285" s="12" t="s">
        <v>7506</v>
      </c>
      <c r="G285" s="12" t="s">
        <v>7507</v>
      </c>
      <c r="H285" s="12" t="s">
        <v>6051</v>
      </c>
      <c r="I285" s="12" t="s">
        <v>6700</v>
      </c>
      <c r="J285" s="12">
        <v>34920</v>
      </c>
      <c r="K285" s="12" t="s">
        <v>7160</v>
      </c>
      <c r="L285" s="12" t="s">
        <v>6408</v>
      </c>
      <c r="M285" s="13">
        <v>43558</v>
      </c>
      <c r="N285" s="12" t="s">
        <v>7161</v>
      </c>
      <c r="O285" s="12" t="s">
        <v>7384</v>
      </c>
      <c r="P285" s="12"/>
      <c r="Q285" s="12">
        <v>1</v>
      </c>
    </row>
    <row r="286" spans="1:17" ht="15.75" customHeight="1">
      <c r="A286" s="12">
        <v>695</v>
      </c>
      <c r="B286" s="12">
        <v>1090</v>
      </c>
      <c r="C286" s="12">
        <v>15701</v>
      </c>
      <c r="D286" s="12" t="s">
        <v>6047</v>
      </c>
      <c r="E286" s="12" t="s">
        <v>7508</v>
      </c>
      <c r="F286" s="12" t="s">
        <v>7509</v>
      </c>
      <c r="G286" s="12" t="s">
        <v>7510</v>
      </c>
      <c r="H286" s="12" t="s">
        <v>6051</v>
      </c>
      <c r="I286" s="12" t="s">
        <v>7511</v>
      </c>
      <c r="J286" s="12">
        <v>15701</v>
      </c>
      <c r="K286" s="12" t="s">
        <v>7512</v>
      </c>
      <c r="L286" s="12" t="s">
        <v>7254</v>
      </c>
      <c r="M286" s="13">
        <v>43204</v>
      </c>
      <c r="N286" s="12" t="s">
        <v>7513</v>
      </c>
      <c r="O286" s="12" t="s">
        <v>7514</v>
      </c>
      <c r="P286" s="12"/>
      <c r="Q286" s="12">
        <v>1</v>
      </c>
    </row>
    <row r="287" spans="1:17" ht="15.75" customHeight="1">
      <c r="A287" s="12">
        <v>796</v>
      </c>
      <c r="B287" s="12">
        <v>75</v>
      </c>
      <c r="C287" s="12">
        <v>788</v>
      </c>
      <c r="D287" s="12" t="s">
        <v>6047</v>
      </c>
      <c r="E287" s="12" t="s">
        <v>7515</v>
      </c>
      <c r="F287" s="12" t="s">
        <v>7516</v>
      </c>
      <c r="G287" s="12" t="s">
        <v>7517</v>
      </c>
      <c r="H287" s="12" t="s">
        <v>6289</v>
      </c>
      <c r="I287" s="12" t="s">
        <v>6290</v>
      </c>
      <c r="J287" s="12">
        <v>788</v>
      </c>
      <c r="K287" s="12" t="s">
        <v>6666</v>
      </c>
      <c r="L287" s="12" t="s">
        <v>6590</v>
      </c>
      <c r="M287" s="13">
        <v>43031</v>
      </c>
      <c r="N287" s="12" t="s">
        <v>6667</v>
      </c>
      <c r="O287" s="12" t="s">
        <v>6668</v>
      </c>
      <c r="P287" s="12"/>
      <c r="Q287" s="12">
        <v>1</v>
      </c>
    </row>
    <row r="288" spans="1:17" ht="15.75" customHeight="1">
      <c r="A288" s="12">
        <v>1970</v>
      </c>
      <c r="B288" s="12">
        <v>31</v>
      </c>
      <c r="C288" s="12">
        <v>480</v>
      </c>
      <c r="D288" s="12" t="s">
        <v>6047</v>
      </c>
      <c r="E288" s="12" t="s">
        <v>7518</v>
      </c>
      <c r="F288" s="12" t="s">
        <v>7519</v>
      </c>
      <c r="G288" s="12" t="s">
        <v>7520</v>
      </c>
      <c r="H288" s="12" t="s">
        <v>6289</v>
      </c>
      <c r="I288" s="12" t="s">
        <v>6290</v>
      </c>
      <c r="J288" s="12">
        <v>480</v>
      </c>
      <c r="K288" s="12" t="s">
        <v>7298</v>
      </c>
      <c r="L288" s="12" t="s">
        <v>6113</v>
      </c>
      <c r="M288" s="13">
        <v>38579</v>
      </c>
      <c r="N288" s="12" t="s">
        <v>7299</v>
      </c>
      <c r="O288" s="12" t="s">
        <v>7300</v>
      </c>
      <c r="P288" s="12"/>
      <c r="Q288" s="12">
        <v>1</v>
      </c>
    </row>
    <row r="289" spans="1:17" ht="15.75" customHeight="1">
      <c r="A289" s="12">
        <v>1712</v>
      </c>
      <c r="B289" s="12">
        <v>2012</v>
      </c>
      <c r="C289" s="12">
        <v>35510</v>
      </c>
      <c r="D289" s="12" t="s">
        <v>6047</v>
      </c>
      <c r="E289" s="12" t="s">
        <v>7521</v>
      </c>
      <c r="F289" s="12" t="s">
        <v>7522</v>
      </c>
      <c r="G289" s="12" t="s">
        <v>7523</v>
      </c>
      <c r="H289" s="12" t="s">
        <v>6051</v>
      </c>
      <c r="I289" s="12" t="s">
        <v>6700</v>
      </c>
      <c r="J289" s="12">
        <v>35510</v>
      </c>
      <c r="K289" s="12" t="s">
        <v>7332</v>
      </c>
      <c r="L289" s="12" t="s">
        <v>7333</v>
      </c>
      <c r="M289" s="13">
        <v>40877</v>
      </c>
      <c r="N289" s="12" t="s">
        <v>7334</v>
      </c>
      <c r="O289" s="12" t="s">
        <v>7335</v>
      </c>
      <c r="P289" s="12"/>
      <c r="Q289" s="12">
        <v>1</v>
      </c>
    </row>
    <row r="290" spans="1:17" ht="15.75" customHeight="1">
      <c r="A290" s="12">
        <v>1757</v>
      </c>
      <c r="B290" s="12">
        <v>1926</v>
      </c>
      <c r="C290" s="12">
        <v>34580</v>
      </c>
      <c r="D290" s="12" t="s">
        <v>6047</v>
      </c>
      <c r="E290" s="12" t="s">
        <v>7524</v>
      </c>
      <c r="F290" s="12" t="s">
        <v>7525</v>
      </c>
      <c r="G290" s="12" t="s">
        <v>7526</v>
      </c>
      <c r="H290" s="12" t="s">
        <v>6051</v>
      </c>
      <c r="I290" s="12" t="s">
        <v>7034</v>
      </c>
      <c r="J290" s="12">
        <v>34580</v>
      </c>
      <c r="K290" s="12" t="s">
        <v>6062</v>
      </c>
      <c r="L290" s="12" t="s">
        <v>6063</v>
      </c>
      <c r="M290" s="13">
        <v>40873</v>
      </c>
      <c r="N290" s="12" t="s">
        <v>6064</v>
      </c>
      <c r="O290" s="12" t="s">
        <v>6065</v>
      </c>
      <c r="P290" s="12"/>
      <c r="Q290" s="12">
        <v>1</v>
      </c>
    </row>
    <row r="291" spans="1:17" ht="15.75" customHeight="1">
      <c r="A291" s="12">
        <v>1175</v>
      </c>
      <c r="B291" s="12">
        <v>1951</v>
      </c>
      <c r="C291" s="12">
        <v>34845</v>
      </c>
      <c r="D291" s="12" t="s">
        <v>6047</v>
      </c>
      <c r="E291" s="12" t="s">
        <v>780</v>
      </c>
      <c r="F291" s="12" t="s">
        <v>7527</v>
      </c>
      <c r="G291" s="12" t="s">
        <v>7528</v>
      </c>
      <c r="H291" s="12" t="s">
        <v>6051</v>
      </c>
      <c r="I291" s="12" t="s">
        <v>6700</v>
      </c>
      <c r="J291" s="12">
        <v>34845</v>
      </c>
      <c r="K291" s="12" t="s">
        <v>6429</v>
      </c>
      <c r="L291" s="12" t="s">
        <v>6423</v>
      </c>
      <c r="M291" s="13">
        <v>41992</v>
      </c>
      <c r="N291" s="12" t="s">
        <v>6430</v>
      </c>
      <c r="O291" s="12" t="s">
        <v>7083</v>
      </c>
      <c r="P291" s="12"/>
      <c r="Q291" s="12">
        <v>1</v>
      </c>
    </row>
    <row r="292" spans="1:17" ht="15.75" customHeight="1">
      <c r="A292" s="12">
        <v>1013</v>
      </c>
      <c r="B292" s="12">
        <v>340</v>
      </c>
      <c r="C292" s="12">
        <v>5190</v>
      </c>
      <c r="D292" s="12" t="s">
        <v>6047</v>
      </c>
      <c r="E292" s="12" t="s">
        <v>7529</v>
      </c>
      <c r="F292" s="12" t="s">
        <v>7530</v>
      </c>
      <c r="G292" s="12" t="s">
        <v>7531</v>
      </c>
      <c r="H292" s="12" t="s">
        <v>6163</v>
      </c>
      <c r="I292" s="12" t="s">
        <v>6253</v>
      </c>
      <c r="J292" s="12">
        <v>5190</v>
      </c>
      <c r="K292" s="12" t="s">
        <v>7108</v>
      </c>
      <c r="L292" s="12" t="s">
        <v>6054</v>
      </c>
      <c r="M292" s="13">
        <v>42692</v>
      </c>
      <c r="N292" s="12" t="s">
        <v>7109</v>
      </c>
      <c r="O292" s="12" t="s">
        <v>7532</v>
      </c>
      <c r="P292" s="12"/>
      <c r="Q292" s="12">
        <v>1</v>
      </c>
    </row>
    <row r="293" spans="1:17" ht="15.75" customHeight="1">
      <c r="A293" s="12">
        <v>744</v>
      </c>
      <c r="B293" s="12">
        <v>344</v>
      </c>
      <c r="C293" s="12">
        <v>5209</v>
      </c>
      <c r="D293" s="12" t="s">
        <v>6047</v>
      </c>
      <c r="E293" s="12" t="s">
        <v>7533</v>
      </c>
      <c r="F293" s="12" t="s">
        <v>7534</v>
      </c>
      <c r="G293" s="12" t="s">
        <v>7535</v>
      </c>
      <c r="H293" s="12" t="s">
        <v>6163</v>
      </c>
      <c r="I293" s="12" t="s">
        <v>6253</v>
      </c>
      <c r="J293" s="12">
        <v>5209</v>
      </c>
      <c r="K293" s="12" t="s">
        <v>6838</v>
      </c>
      <c r="L293" s="12" t="s">
        <v>6839</v>
      </c>
      <c r="M293" s="13">
        <v>43196</v>
      </c>
      <c r="N293" s="12" t="s">
        <v>6840</v>
      </c>
      <c r="O293" s="12" t="s">
        <v>7536</v>
      </c>
      <c r="P293" s="12"/>
      <c r="Q293" s="12">
        <v>1</v>
      </c>
    </row>
    <row r="294" spans="1:17" ht="15.75" customHeight="1">
      <c r="A294" s="12">
        <v>437</v>
      </c>
      <c r="B294" s="12">
        <v>978</v>
      </c>
      <c r="C294" s="12">
        <v>13164</v>
      </c>
      <c r="D294" s="12" t="s">
        <v>6047</v>
      </c>
      <c r="E294" s="12" t="s">
        <v>7537</v>
      </c>
      <c r="F294" s="12" t="s">
        <v>7538</v>
      </c>
      <c r="G294" s="12" t="s">
        <v>7539</v>
      </c>
      <c r="H294" s="12" t="s">
        <v>6627</v>
      </c>
      <c r="I294" s="12" t="s">
        <v>7504</v>
      </c>
      <c r="J294" s="12">
        <v>13164</v>
      </c>
      <c r="K294" s="12" t="s">
        <v>7540</v>
      </c>
      <c r="L294" s="12" t="s">
        <v>6345</v>
      </c>
      <c r="M294" s="13">
        <v>44638</v>
      </c>
      <c r="N294" s="12" t="s">
        <v>7541</v>
      </c>
      <c r="O294" s="12" t="s">
        <v>7542</v>
      </c>
      <c r="P294" s="12" t="s">
        <v>7543</v>
      </c>
      <c r="Q294" s="12">
        <v>1</v>
      </c>
    </row>
    <row r="295" spans="1:17" ht="15.75" customHeight="1">
      <c r="A295" s="12">
        <v>65</v>
      </c>
      <c r="B295" s="12">
        <v>1275</v>
      </c>
      <c r="C295" s="12">
        <v>18120</v>
      </c>
      <c r="D295" s="12" t="s">
        <v>6047</v>
      </c>
      <c r="E295" s="12" t="s">
        <v>7544</v>
      </c>
      <c r="F295" s="12" t="s">
        <v>7545</v>
      </c>
      <c r="G295" s="12" t="s">
        <v>7546</v>
      </c>
      <c r="H295" s="12" t="s">
        <v>6051</v>
      </c>
      <c r="I295" s="12" t="s">
        <v>6857</v>
      </c>
      <c r="J295" s="12">
        <v>18120</v>
      </c>
      <c r="K295" s="12" t="s">
        <v>7547</v>
      </c>
      <c r="L295" s="12" t="s">
        <v>6564</v>
      </c>
      <c r="M295" s="13">
        <v>45971</v>
      </c>
      <c r="N295" s="12" t="s">
        <v>7548</v>
      </c>
      <c r="O295" s="12" t="s">
        <v>7549</v>
      </c>
      <c r="P295" s="12"/>
      <c r="Q295" s="12">
        <v>1</v>
      </c>
    </row>
    <row r="296" spans="1:17" ht="15.75" customHeight="1">
      <c r="A296" s="12">
        <v>2033</v>
      </c>
      <c r="B296" s="12">
        <v>558</v>
      </c>
      <c r="C296" s="12">
        <v>7358</v>
      </c>
      <c r="D296" s="12" t="s">
        <v>6047</v>
      </c>
      <c r="E296" s="12" t="s">
        <v>7550</v>
      </c>
      <c r="F296" s="12" t="s">
        <v>7551</v>
      </c>
      <c r="G296" s="12" t="s">
        <v>7552</v>
      </c>
      <c r="H296" s="12" t="s">
        <v>6084</v>
      </c>
      <c r="I296" s="12" t="s">
        <v>6575</v>
      </c>
      <c r="J296" s="12">
        <v>7358</v>
      </c>
      <c r="K296" s="12" t="s">
        <v>7553</v>
      </c>
      <c r="L296" s="12" t="s">
        <v>6278</v>
      </c>
      <c r="M296" s="13">
        <v>38174</v>
      </c>
      <c r="N296" s="12" t="s">
        <v>7554</v>
      </c>
      <c r="O296" s="12" t="s">
        <v>7555</v>
      </c>
      <c r="P296" s="12"/>
      <c r="Q296" s="12">
        <v>1</v>
      </c>
    </row>
    <row r="297" spans="1:17" ht="15.75" customHeight="1">
      <c r="A297" s="12">
        <v>526</v>
      </c>
      <c r="B297" s="12">
        <v>946</v>
      </c>
      <c r="C297" s="12">
        <v>12797</v>
      </c>
      <c r="D297" s="12" t="s">
        <v>6047</v>
      </c>
      <c r="E297" s="12" t="s">
        <v>7556</v>
      </c>
      <c r="F297" s="12" t="s">
        <v>7557</v>
      </c>
      <c r="G297" s="12" t="s">
        <v>7558</v>
      </c>
      <c r="H297" s="12" t="s">
        <v>6627</v>
      </c>
      <c r="I297" s="12" t="s">
        <v>7504</v>
      </c>
      <c r="J297" s="12">
        <v>12797</v>
      </c>
      <c r="K297" s="12" t="s">
        <v>7441</v>
      </c>
      <c r="L297" s="12" t="s">
        <v>6408</v>
      </c>
      <c r="M297" s="13">
        <v>43565</v>
      </c>
      <c r="N297" s="12" t="s">
        <v>7442</v>
      </c>
      <c r="O297" s="12" t="s">
        <v>7559</v>
      </c>
      <c r="P297" s="12"/>
      <c r="Q297" s="12">
        <v>1</v>
      </c>
    </row>
    <row r="298" spans="1:17" ht="15.75" customHeight="1">
      <c r="A298" s="12">
        <v>1796</v>
      </c>
      <c r="B298" s="12">
        <v>1531</v>
      </c>
      <c r="C298" s="12">
        <v>27123</v>
      </c>
      <c r="D298" s="12" t="s">
        <v>6047</v>
      </c>
      <c r="E298" s="12" t="s">
        <v>7560</v>
      </c>
      <c r="F298" s="12" t="s">
        <v>7561</v>
      </c>
      <c r="G298" s="12" t="s">
        <v>7562</v>
      </c>
      <c r="H298" s="12" t="s">
        <v>6051</v>
      </c>
      <c r="I298" s="12" t="s">
        <v>7563</v>
      </c>
      <c r="J298" s="12">
        <v>27123</v>
      </c>
      <c r="K298" s="12" t="s">
        <v>6062</v>
      </c>
      <c r="L298" s="12" t="s">
        <v>6063</v>
      </c>
      <c r="M298" s="13">
        <v>40873</v>
      </c>
      <c r="N298" s="12" t="s">
        <v>6064</v>
      </c>
      <c r="O298" s="12" t="s">
        <v>6065</v>
      </c>
      <c r="P298" s="12"/>
      <c r="Q298" s="12">
        <v>1</v>
      </c>
    </row>
    <row r="299" spans="1:17" ht="15.75" customHeight="1">
      <c r="A299" s="12">
        <v>1756</v>
      </c>
      <c r="B299" s="12">
        <v>1963</v>
      </c>
      <c r="C299" s="12">
        <v>34933</v>
      </c>
      <c r="D299" s="12" t="s">
        <v>6047</v>
      </c>
      <c r="E299" s="12" t="s">
        <v>7564</v>
      </c>
      <c r="F299" s="12" t="s">
        <v>7565</v>
      </c>
      <c r="G299" s="12" t="s">
        <v>7566</v>
      </c>
      <c r="H299" s="12" t="s">
        <v>6051</v>
      </c>
      <c r="I299" s="12" t="s">
        <v>6700</v>
      </c>
      <c r="J299" s="12">
        <v>34933</v>
      </c>
      <c r="K299" s="12" t="s">
        <v>6062</v>
      </c>
      <c r="L299" s="12" t="s">
        <v>6063</v>
      </c>
      <c r="M299" s="13">
        <v>40873</v>
      </c>
      <c r="N299" s="12" t="s">
        <v>6064</v>
      </c>
      <c r="O299" s="12" t="s">
        <v>6065</v>
      </c>
      <c r="P299" s="12"/>
      <c r="Q299" s="12">
        <v>1</v>
      </c>
    </row>
    <row r="300" spans="1:17" ht="15.75" customHeight="1">
      <c r="A300" s="12">
        <v>1293</v>
      </c>
      <c r="B300" s="12">
        <v>951</v>
      </c>
      <c r="C300" s="12">
        <v>12889</v>
      </c>
      <c r="D300" s="12" t="s">
        <v>6047</v>
      </c>
      <c r="E300" s="12" t="s">
        <v>7567</v>
      </c>
      <c r="F300" s="12" t="s">
        <v>7568</v>
      </c>
      <c r="G300" s="12" t="s">
        <v>7569</v>
      </c>
      <c r="H300" s="12" t="s">
        <v>6627</v>
      </c>
      <c r="I300" s="12" t="s">
        <v>7504</v>
      </c>
      <c r="J300" s="12">
        <v>12889</v>
      </c>
      <c r="K300" s="12" t="s">
        <v>6422</v>
      </c>
      <c r="L300" s="12" t="s">
        <v>6423</v>
      </c>
      <c r="M300" s="13">
        <v>41989</v>
      </c>
      <c r="N300" s="12" t="s">
        <v>6424</v>
      </c>
      <c r="O300" s="12" t="s">
        <v>6425</v>
      </c>
      <c r="P300" s="12"/>
      <c r="Q300" s="12">
        <v>1</v>
      </c>
    </row>
    <row r="301" spans="1:17" ht="15.75" customHeight="1">
      <c r="A301" s="12">
        <v>1613</v>
      </c>
      <c r="B301" s="12">
        <v>1336</v>
      </c>
      <c r="C301" s="12">
        <v>19226</v>
      </c>
      <c r="D301" s="12" t="s">
        <v>6047</v>
      </c>
      <c r="E301" s="12" t="s">
        <v>806</v>
      </c>
      <c r="F301" s="12" t="s">
        <v>7570</v>
      </c>
      <c r="G301" s="12" t="s">
        <v>7571</v>
      </c>
      <c r="H301" s="12" t="s">
        <v>6051</v>
      </c>
      <c r="I301" s="12" t="s">
        <v>7090</v>
      </c>
      <c r="J301" s="12">
        <v>19226</v>
      </c>
      <c r="K301" s="12" t="s">
        <v>6300</v>
      </c>
      <c r="L301" s="12" t="s">
        <v>6240</v>
      </c>
      <c r="M301" s="13">
        <v>41396</v>
      </c>
      <c r="N301" s="12" t="s">
        <v>6301</v>
      </c>
      <c r="O301" s="12" t="s">
        <v>6302</v>
      </c>
      <c r="P301" s="12"/>
      <c r="Q301" s="12">
        <v>1</v>
      </c>
    </row>
    <row r="302" spans="1:17" ht="15.75" customHeight="1">
      <c r="A302" s="12">
        <v>156</v>
      </c>
      <c r="B302" s="12">
        <v>1717</v>
      </c>
      <c r="C302" s="12">
        <v>31988</v>
      </c>
      <c r="D302" s="12" t="s">
        <v>6047</v>
      </c>
      <c r="E302" s="12" t="s">
        <v>7572</v>
      </c>
      <c r="F302" s="12" t="s">
        <v>7573</v>
      </c>
      <c r="G302" s="12" t="s">
        <v>7574</v>
      </c>
      <c r="H302" s="12" t="s">
        <v>6051</v>
      </c>
      <c r="I302" s="12" t="s">
        <v>6232</v>
      </c>
      <c r="J302" s="12">
        <v>31988</v>
      </c>
      <c r="K302" s="12" t="s">
        <v>6708</v>
      </c>
      <c r="L302" s="12" t="s">
        <v>6709</v>
      </c>
      <c r="M302" s="13">
        <v>45755</v>
      </c>
      <c r="N302" s="12" t="s">
        <v>6710</v>
      </c>
      <c r="O302" s="12" t="s">
        <v>6711</v>
      </c>
      <c r="P302" s="12"/>
      <c r="Q302" s="12">
        <v>1</v>
      </c>
    </row>
    <row r="303" spans="1:17" ht="15.75" customHeight="1">
      <c r="A303" s="12">
        <v>542</v>
      </c>
      <c r="B303" s="12">
        <v>1974</v>
      </c>
      <c r="C303" s="12">
        <v>35027</v>
      </c>
      <c r="D303" s="12" t="s">
        <v>6047</v>
      </c>
      <c r="E303" s="12" t="s">
        <v>7575</v>
      </c>
      <c r="F303" s="12" t="s">
        <v>7576</v>
      </c>
      <c r="G303" s="12" t="s">
        <v>7577</v>
      </c>
      <c r="H303" s="12" t="s">
        <v>6051</v>
      </c>
      <c r="I303" s="12" t="s">
        <v>6700</v>
      </c>
      <c r="J303" s="12">
        <v>35027</v>
      </c>
      <c r="K303" s="12" t="s">
        <v>7441</v>
      </c>
      <c r="L303" s="12" t="s">
        <v>6408</v>
      </c>
      <c r="M303" s="13">
        <v>43563</v>
      </c>
      <c r="N303" s="12" t="s">
        <v>7442</v>
      </c>
      <c r="O303" s="12" t="s">
        <v>7443</v>
      </c>
      <c r="P303" s="12"/>
      <c r="Q303" s="12">
        <v>1</v>
      </c>
    </row>
    <row r="304" spans="1:17" ht="15.75" customHeight="1">
      <c r="A304" s="12">
        <v>527</v>
      </c>
      <c r="B304" s="12">
        <v>758</v>
      </c>
      <c r="C304" s="12">
        <v>9527</v>
      </c>
      <c r="D304" s="12" t="s">
        <v>6047</v>
      </c>
      <c r="E304" s="12" t="s">
        <v>7578</v>
      </c>
      <c r="F304" s="12" t="s">
        <v>7579</v>
      </c>
      <c r="G304" s="12" t="s">
        <v>7580</v>
      </c>
      <c r="H304" s="12" t="s">
        <v>7330</v>
      </c>
      <c r="I304" s="12" t="s">
        <v>7331</v>
      </c>
      <c r="J304" s="12">
        <v>9527</v>
      </c>
      <c r="K304" s="12" t="s">
        <v>7441</v>
      </c>
      <c r="L304" s="12" t="s">
        <v>6408</v>
      </c>
      <c r="M304" s="13">
        <v>43565</v>
      </c>
      <c r="N304" s="12" t="s">
        <v>7442</v>
      </c>
      <c r="O304" s="12" t="s">
        <v>7559</v>
      </c>
      <c r="P304" s="12"/>
      <c r="Q304" s="12">
        <v>1</v>
      </c>
    </row>
    <row r="305" spans="1:17" ht="15.75" customHeight="1">
      <c r="A305" s="12">
        <v>926</v>
      </c>
      <c r="B305" s="12">
        <v>342</v>
      </c>
      <c r="C305" s="12">
        <v>5196</v>
      </c>
      <c r="D305" s="12" t="s">
        <v>6047</v>
      </c>
      <c r="E305" s="12" t="s">
        <v>7581</v>
      </c>
      <c r="F305" s="12" t="s">
        <v>7582</v>
      </c>
      <c r="G305" s="12" t="s">
        <v>7583</v>
      </c>
      <c r="H305" s="12" t="s">
        <v>6163</v>
      </c>
      <c r="I305" s="12" t="s">
        <v>6253</v>
      </c>
      <c r="J305" s="12">
        <v>5196</v>
      </c>
      <c r="K305" s="12" t="s">
        <v>7209</v>
      </c>
      <c r="L305" s="12" t="s">
        <v>6955</v>
      </c>
      <c r="M305" s="13">
        <v>42829</v>
      </c>
      <c r="N305" s="12" t="s">
        <v>7210</v>
      </c>
      <c r="O305" s="12" t="s">
        <v>7211</v>
      </c>
      <c r="P305" s="12"/>
      <c r="Q305" s="12">
        <v>1</v>
      </c>
    </row>
    <row r="306" spans="1:17" ht="15.75" customHeight="1">
      <c r="A306" s="12">
        <v>479</v>
      </c>
      <c r="B306" s="12">
        <v>278</v>
      </c>
      <c r="C306" s="12">
        <v>4654</v>
      </c>
      <c r="D306" s="12" t="s">
        <v>6047</v>
      </c>
      <c r="E306" s="12" t="s">
        <v>7584</v>
      </c>
      <c r="F306" s="12" t="s">
        <v>7585</v>
      </c>
      <c r="G306" s="12" t="s">
        <v>7586</v>
      </c>
      <c r="H306" s="12" t="s">
        <v>6163</v>
      </c>
      <c r="I306" s="12" t="s">
        <v>6253</v>
      </c>
      <c r="J306" s="12">
        <v>4654</v>
      </c>
      <c r="K306" s="12" t="s">
        <v>7587</v>
      </c>
      <c r="L306" s="12" t="s">
        <v>6455</v>
      </c>
      <c r="M306" s="13">
        <v>43785</v>
      </c>
      <c r="N306" s="12" t="s">
        <v>7588</v>
      </c>
      <c r="O306" s="12" t="s">
        <v>7589</v>
      </c>
      <c r="P306" s="12"/>
      <c r="Q306" s="12">
        <v>1</v>
      </c>
    </row>
    <row r="307" spans="1:17" ht="15.75" customHeight="1">
      <c r="A307" s="12">
        <v>359</v>
      </c>
      <c r="B307" s="12">
        <v>327</v>
      </c>
      <c r="C307" s="12">
        <v>5056</v>
      </c>
      <c r="D307" s="12" t="s">
        <v>6047</v>
      </c>
      <c r="E307" s="12" t="s">
        <v>7590</v>
      </c>
      <c r="F307" s="12" t="s">
        <v>7591</v>
      </c>
      <c r="G307" s="12" t="s">
        <v>7592</v>
      </c>
      <c r="H307" s="12" t="s">
        <v>6163</v>
      </c>
      <c r="I307" s="12" t="s">
        <v>6253</v>
      </c>
      <c r="J307" s="12">
        <v>5056</v>
      </c>
      <c r="K307" s="12" t="s">
        <v>7200</v>
      </c>
      <c r="L307" s="12" t="s">
        <v>6226</v>
      </c>
      <c r="M307" s="13">
        <v>44722</v>
      </c>
      <c r="N307" s="12" t="s">
        <v>7201</v>
      </c>
      <c r="O307" s="12" t="s">
        <v>7593</v>
      </c>
      <c r="P307" s="12"/>
      <c r="Q307" s="12">
        <v>1</v>
      </c>
    </row>
    <row r="308" spans="1:17" ht="15.75" customHeight="1">
      <c r="A308" s="12">
        <v>1201</v>
      </c>
      <c r="B308" s="12">
        <v>1956</v>
      </c>
      <c r="C308" s="12">
        <v>34889</v>
      </c>
      <c r="D308" s="12" t="s">
        <v>6047</v>
      </c>
      <c r="E308" s="12" t="s">
        <v>829</v>
      </c>
      <c r="F308" s="12" t="s">
        <v>7594</v>
      </c>
      <c r="G308" s="12" t="s">
        <v>7595</v>
      </c>
      <c r="H308" s="12" t="s">
        <v>6051</v>
      </c>
      <c r="I308" s="12" t="s">
        <v>6700</v>
      </c>
      <c r="J308" s="12">
        <v>34889</v>
      </c>
      <c r="K308" s="12" t="s">
        <v>6429</v>
      </c>
      <c r="L308" s="12" t="s">
        <v>6423</v>
      </c>
      <c r="M308" s="13">
        <v>41991</v>
      </c>
      <c r="N308" s="12" t="s">
        <v>6430</v>
      </c>
      <c r="O308" s="12" t="s">
        <v>6431</v>
      </c>
      <c r="P308" s="12"/>
      <c r="Q308" s="12">
        <v>1</v>
      </c>
    </row>
    <row r="309" spans="1:17" ht="15.75" customHeight="1">
      <c r="A309" s="12">
        <v>32</v>
      </c>
      <c r="B309" s="12">
        <v>928</v>
      </c>
      <c r="C309" s="12">
        <v>12438</v>
      </c>
      <c r="D309" s="12" t="s">
        <v>6047</v>
      </c>
      <c r="E309" s="12" t="s">
        <v>7596</v>
      </c>
      <c r="F309" s="12" t="s">
        <v>7597</v>
      </c>
      <c r="G309" s="12" t="s">
        <v>7598</v>
      </c>
      <c r="H309" s="12" t="s">
        <v>6627</v>
      </c>
      <c r="I309" s="12" t="s">
        <v>6628</v>
      </c>
      <c r="J309" s="12">
        <v>12438</v>
      </c>
      <c r="K309" s="12" t="s">
        <v>7599</v>
      </c>
      <c r="L309" s="12" t="s">
        <v>6590</v>
      </c>
      <c r="M309" s="13">
        <v>45976</v>
      </c>
      <c r="N309" s="12" t="s">
        <v>7600</v>
      </c>
      <c r="O309" s="12" t="s">
        <v>7601</v>
      </c>
      <c r="P309" s="12"/>
      <c r="Q309" s="12">
        <v>1</v>
      </c>
    </row>
    <row r="310" spans="1:17" ht="15.75" customHeight="1">
      <c r="A310" s="12">
        <v>1882</v>
      </c>
      <c r="B310" s="12">
        <v>32</v>
      </c>
      <c r="C310" s="12">
        <v>485</v>
      </c>
      <c r="D310" s="12" t="s">
        <v>6047</v>
      </c>
      <c r="E310" s="12" t="s">
        <v>7602</v>
      </c>
      <c r="F310" s="12" t="s">
        <v>7603</v>
      </c>
      <c r="G310" s="12" t="s">
        <v>7604</v>
      </c>
      <c r="H310" s="12" t="s">
        <v>6289</v>
      </c>
      <c r="I310" s="12" t="s">
        <v>6290</v>
      </c>
      <c r="J310" s="12">
        <v>485</v>
      </c>
      <c r="K310" s="12" t="s">
        <v>6769</v>
      </c>
      <c r="L310" s="12" t="s">
        <v>6709</v>
      </c>
      <c r="M310" s="13">
        <v>40176</v>
      </c>
      <c r="N310" s="12" t="s">
        <v>6770</v>
      </c>
      <c r="O310" s="12" t="s">
        <v>6771</v>
      </c>
      <c r="P310" s="12"/>
      <c r="Q310" s="12">
        <v>1</v>
      </c>
    </row>
    <row r="311" spans="1:17" ht="15.75" customHeight="1">
      <c r="A311" s="12">
        <v>1774</v>
      </c>
      <c r="B311" s="12">
        <v>1855</v>
      </c>
      <c r="C311" s="12">
        <v>33957</v>
      </c>
      <c r="D311" s="12" t="s">
        <v>6047</v>
      </c>
      <c r="E311" s="12" t="s">
        <v>827</v>
      </c>
      <c r="F311" s="12" t="s">
        <v>7605</v>
      </c>
      <c r="G311" s="12" t="s">
        <v>7606</v>
      </c>
      <c r="H311" s="12" t="s">
        <v>6051</v>
      </c>
      <c r="I311" s="12" t="s">
        <v>6362</v>
      </c>
      <c r="J311" s="12">
        <v>33957</v>
      </c>
      <c r="K311" s="12" t="s">
        <v>6062</v>
      </c>
      <c r="L311" s="12" t="s">
        <v>6063</v>
      </c>
      <c r="M311" s="13">
        <v>40873</v>
      </c>
      <c r="N311" s="12" t="s">
        <v>6064</v>
      </c>
      <c r="O311" s="12" t="s">
        <v>6065</v>
      </c>
      <c r="P311" s="12"/>
      <c r="Q311" s="12">
        <v>1</v>
      </c>
    </row>
    <row r="312" spans="1:17" ht="15.75" customHeight="1">
      <c r="A312" s="12">
        <v>482</v>
      </c>
      <c r="B312" s="12">
        <v>2006</v>
      </c>
      <c r="C312" s="12">
        <v>35323</v>
      </c>
      <c r="D312" s="12" t="s">
        <v>6047</v>
      </c>
      <c r="E312" s="12" t="s">
        <v>7607</v>
      </c>
      <c r="F312" s="12" t="s">
        <v>7608</v>
      </c>
      <c r="G312" s="12" t="s">
        <v>7609</v>
      </c>
      <c r="H312" s="12" t="s">
        <v>6051</v>
      </c>
      <c r="I312" s="12" t="s">
        <v>6700</v>
      </c>
      <c r="J312" s="12">
        <v>35323</v>
      </c>
      <c r="K312" s="12" t="s">
        <v>7035</v>
      </c>
      <c r="L312" s="12" t="s">
        <v>6455</v>
      </c>
      <c r="M312" s="13">
        <v>43785</v>
      </c>
      <c r="N312" s="12" t="s">
        <v>7036</v>
      </c>
      <c r="O312" s="12" t="s">
        <v>7037</v>
      </c>
      <c r="P312" s="12"/>
      <c r="Q312" s="12">
        <v>1</v>
      </c>
    </row>
    <row r="313" spans="1:17" ht="15.75" customHeight="1">
      <c r="A313" s="12">
        <v>1807</v>
      </c>
      <c r="B313" s="12">
        <v>1223</v>
      </c>
      <c r="C313" s="12">
        <v>17379</v>
      </c>
      <c r="D313" s="12" t="s">
        <v>6047</v>
      </c>
      <c r="E313" s="12" t="s">
        <v>7610</v>
      </c>
      <c r="F313" s="12" t="s">
        <v>7611</v>
      </c>
      <c r="G313" s="12" t="s">
        <v>7612</v>
      </c>
      <c r="H313" s="12" t="s">
        <v>6051</v>
      </c>
      <c r="I313" s="12" t="s">
        <v>6052</v>
      </c>
      <c r="J313" s="12">
        <v>17379</v>
      </c>
      <c r="K313" s="12" t="s">
        <v>6062</v>
      </c>
      <c r="L313" s="12" t="s">
        <v>6063</v>
      </c>
      <c r="M313" s="13">
        <v>40873</v>
      </c>
      <c r="N313" s="12" t="s">
        <v>6064</v>
      </c>
      <c r="O313" s="12" t="s">
        <v>6065</v>
      </c>
      <c r="P313" s="12"/>
      <c r="Q313" s="12">
        <v>1</v>
      </c>
    </row>
    <row r="314" spans="1:17" ht="15.75" customHeight="1">
      <c r="A314" s="12">
        <v>1736</v>
      </c>
      <c r="B314" s="12">
        <v>593</v>
      </c>
      <c r="C314" s="12">
        <v>7546</v>
      </c>
      <c r="D314" s="12" t="s">
        <v>6047</v>
      </c>
      <c r="E314" s="12" t="s">
        <v>7613</v>
      </c>
      <c r="F314" s="12" t="s">
        <v>7614</v>
      </c>
      <c r="G314" s="12" t="s">
        <v>7615</v>
      </c>
      <c r="H314" s="12" t="s">
        <v>6187</v>
      </c>
      <c r="I314" s="12" t="s">
        <v>6224</v>
      </c>
      <c r="J314" s="12">
        <v>7546</v>
      </c>
      <c r="K314" s="12" t="s">
        <v>7000</v>
      </c>
      <c r="L314" s="12" t="s">
        <v>7001</v>
      </c>
      <c r="M314" s="13">
        <v>40875</v>
      </c>
      <c r="N314" s="12" t="s">
        <v>7002</v>
      </c>
      <c r="O314" s="12" t="s">
        <v>7003</v>
      </c>
      <c r="P314" s="12"/>
      <c r="Q314" s="12">
        <v>1</v>
      </c>
    </row>
    <row r="315" spans="1:17" ht="15.75" customHeight="1">
      <c r="A315" s="12">
        <v>1128</v>
      </c>
      <c r="B315" s="12">
        <v>1844</v>
      </c>
      <c r="C315" s="12">
        <v>33858</v>
      </c>
      <c r="D315" s="12" t="s">
        <v>6047</v>
      </c>
      <c r="E315" s="12" t="s">
        <v>7616</v>
      </c>
      <c r="F315" s="12" t="s">
        <v>7617</v>
      </c>
      <c r="G315" s="12" t="s">
        <v>7618</v>
      </c>
      <c r="H315" s="12" t="s">
        <v>6051</v>
      </c>
      <c r="I315" s="12" t="s">
        <v>6261</v>
      </c>
      <c r="J315" s="12">
        <v>33858</v>
      </c>
      <c r="K315" s="12" t="s">
        <v>7619</v>
      </c>
      <c r="L315" s="12" t="s">
        <v>6345</v>
      </c>
      <c r="M315" s="13">
        <v>42321</v>
      </c>
      <c r="N315" s="12" t="s">
        <v>7620</v>
      </c>
      <c r="O315" s="12" t="s">
        <v>7621</v>
      </c>
      <c r="P315" s="12"/>
      <c r="Q315" s="12">
        <v>1</v>
      </c>
    </row>
    <row r="316" spans="1:17" ht="15.75" customHeight="1">
      <c r="A316" s="12">
        <v>1666</v>
      </c>
      <c r="B316" s="12">
        <v>1811</v>
      </c>
      <c r="C316" s="12">
        <v>33564</v>
      </c>
      <c r="D316" s="12" t="s">
        <v>6047</v>
      </c>
      <c r="E316" s="12" t="s">
        <v>7622</v>
      </c>
      <c r="F316" s="12" t="s">
        <v>7623</v>
      </c>
      <c r="G316" s="12" t="s">
        <v>7624</v>
      </c>
      <c r="H316" s="12" t="s">
        <v>6051</v>
      </c>
      <c r="I316" s="12" t="s">
        <v>6261</v>
      </c>
      <c r="J316" s="12">
        <v>33564</v>
      </c>
      <c r="K316" s="12" t="s">
        <v>6329</v>
      </c>
      <c r="L316" s="12" t="s">
        <v>6240</v>
      </c>
      <c r="M316" s="13">
        <v>41053</v>
      </c>
      <c r="N316" s="12" t="s">
        <v>6330</v>
      </c>
      <c r="O316" s="12" t="s">
        <v>7625</v>
      </c>
      <c r="P316" s="12"/>
      <c r="Q316" s="12">
        <v>1</v>
      </c>
    </row>
    <row r="317" spans="1:17" ht="15.75" customHeight="1">
      <c r="A317" s="12">
        <v>469</v>
      </c>
      <c r="B317" s="12">
        <v>348</v>
      </c>
      <c r="C317" s="12">
        <v>5304</v>
      </c>
      <c r="D317" s="12" t="s">
        <v>6047</v>
      </c>
      <c r="E317" s="12" t="s">
        <v>7626</v>
      </c>
      <c r="F317" s="12" t="s">
        <v>7627</v>
      </c>
      <c r="G317" s="12" t="s">
        <v>7628</v>
      </c>
      <c r="H317" s="12" t="s">
        <v>6213</v>
      </c>
      <c r="I317" s="12" t="s">
        <v>6214</v>
      </c>
      <c r="J317" s="12">
        <v>5304</v>
      </c>
      <c r="K317" s="12" t="s">
        <v>7629</v>
      </c>
      <c r="L317" s="12" t="s">
        <v>6455</v>
      </c>
      <c r="M317" s="13">
        <v>43787</v>
      </c>
      <c r="N317" s="12" t="s">
        <v>7630</v>
      </c>
      <c r="O317" s="12" t="s">
        <v>7631</v>
      </c>
      <c r="P317" s="12"/>
      <c r="Q317" s="12">
        <v>1</v>
      </c>
    </row>
    <row r="318" spans="1:17" ht="15.75" customHeight="1">
      <c r="A318" s="12">
        <v>1155</v>
      </c>
      <c r="B318" s="12">
        <v>1648</v>
      </c>
      <c r="C318" s="12">
        <v>29885</v>
      </c>
      <c r="D318" s="12" t="s">
        <v>6047</v>
      </c>
      <c r="E318" s="12" t="s">
        <v>860</v>
      </c>
      <c r="F318" s="12" t="s">
        <v>7632</v>
      </c>
      <c r="G318" s="12" t="s">
        <v>7633</v>
      </c>
      <c r="H318" s="12" t="s">
        <v>6051</v>
      </c>
      <c r="I318" s="12" t="s">
        <v>7634</v>
      </c>
      <c r="J318" s="12">
        <v>29885</v>
      </c>
      <c r="K318" s="12" t="s">
        <v>6375</v>
      </c>
      <c r="L318" s="12" t="s">
        <v>6240</v>
      </c>
      <c r="M318" s="13">
        <v>42091</v>
      </c>
      <c r="N318" s="12" t="s">
        <v>6376</v>
      </c>
      <c r="O318" s="12" t="s">
        <v>7635</v>
      </c>
      <c r="P318" s="12"/>
      <c r="Q318" s="12">
        <v>1</v>
      </c>
    </row>
    <row r="319" spans="1:17" ht="15.75" customHeight="1">
      <c r="A319" s="12">
        <v>1620</v>
      </c>
      <c r="B319" s="12">
        <v>482</v>
      </c>
      <c r="C319" s="12">
        <v>6462</v>
      </c>
      <c r="D319" s="12" t="s">
        <v>6047</v>
      </c>
      <c r="E319" s="12" t="s">
        <v>862</v>
      </c>
      <c r="F319" s="12" t="s">
        <v>7636</v>
      </c>
      <c r="G319" s="12" t="s">
        <v>7637</v>
      </c>
      <c r="H319" s="12" t="s">
        <v>6137</v>
      </c>
      <c r="I319" s="12" t="s">
        <v>6200</v>
      </c>
      <c r="J319" s="12">
        <v>6462</v>
      </c>
      <c r="K319" s="12" t="s">
        <v>6300</v>
      </c>
      <c r="L319" s="12" t="s">
        <v>6240</v>
      </c>
      <c r="M319" s="13">
        <v>41396</v>
      </c>
      <c r="N319" s="12" t="s">
        <v>6301</v>
      </c>
      <c r="O319" s="12" t="s">
        <v>6302</v>
      </c>
      <c r="P319" s="12"/>
      <c r="Q319" s="12">
        <v>1</v>
      </c>
    </row>
    <row r="320" spans="1:17" ht="15.75" customHeight="1">
      <c r="A320" s="12">
        <v>1328</v>
      </c>
      <c r="B320" s="12">
        <v>773</v>
      </c>
      <c r="C320" s="12">
        <v>9659</v>
      </c>
      <c r="D320" s="12" t="s">
        <v>6047</v>
      </c>
      <c r="E320" s="12" t="s">
        <v>869</v>
      </c>
      <c r="F320" s="12" t="s">
        <v>7638</v>
      </c>
      <c r="G320" s="12" t="s">
        <v>7639</v>
      </c>
      <c r="H320" s="12" t="s">
        <v>6118</v>
      </c>
      <c r="I320" s="12" t="s">
        <v>6119</v>
      </c>
      <c r="J320" s="12">
        <v>9659</v>
      </c>
      <c r="K320" s="12" t="s">
        <v>7640</v>
      </c>
      <c r="L320" s="12" t="s">
        <v>6106</v>
      </c>
      <c r="M320" s="13">
        <v>41923</v>
      </c>
      <c r="N320" s="12" t="s">
        <v>7641</v>
      </c>
      <c r="O320" s="12" t="s">
        <v>7642</v>
      </c>
      <c r="P320" s="12"/>
      <c r="Q320" s="12">
        <v>1</v>
      </c>
    </row>
    <row r="321" spans="1:17" ht="15.75" customHeight="1">
      <c r="A321" s="12">
        <v>1086</v>
      </c>
      <c r="B321" s="12">
        <v>1175</v>
      </c>
      <c r="C321" s="12">
        <v>16859</v>
      </c>
      <c r="D321" s="12" t="s">
        <v>6047</v>
      </c>
      <c r="E321" s="12" t="s">
        <v>7643</v>
      </c>
      <c r="F321" s="12" t="s">
        <v>7644</v>
      </c>
      <c r="G321" s="12" t="s">
        <v>7645</v>
      </c>
      <c r="H321" s="12" t="s">
        <v>6051</v>
      </c>
      <c r="I321" s="12" t="s">
        <v>6052</v>
      </c>
      <c r="J321" s="12">
        <v>16859</v>
      </c>
      <c r="K321" s="12" t="s">
        <v>7166</v>
      </c>
      <c r="L321" s="12" t="s">
        <v>6504</v>
      </c>
      <c r="M321" s="13">
        <v>42685</v>
      </c>
      <c r="N321" s="12" t="s">
        <v>7167</v>
      </c>
      <c r="O321" s="12" t="s">
        <v>7168</v>
      </c>
      <c r="P321" s="12"/>
      <c r="Q321" s="12">
        <v>1</v>
      </c>
    </row>
    <row r="322" spans="1:17" ht="15.75" customHeight="1">
      <c r="A322" s="12">
        <v>1562</v>
      </c>
      <c r="B322" s="12">
        <v>564</v>
      </c>
      <c r="C322" s="12">
        <v>7389</v>
      </c>
      <c r="D322" s="12" t="s">
        <v>6047</v>
      </c>
      <c r="E322" s="12" t="s">
        <v>871</v>
      </c>
      <c r="F322" s="12" t="s">
        <v>7646</v>
      </c>
      <c r="G322" s="12" t="s">
        <v>7647</v>
      </c>
      <c r="H322" s="12" t="s">
        <v>6084</v>
      </c>
      <c r="I322" s="12" t="s">
        <v>7239</v>
      </c>
      <c r="J322" s="12">
        <v>7389</v>
      </c>
      <c r="K322" s="12" t="s">
        <v>7648</v>
      </c>
      <c r="L322" s="12" t="s">
        <v>6255</v>
      </c>
      <c r="M322" s="13">
        <v>41561</v>
      </c>
      <c r="N322" s="12" t="s">
        <v>7649</v>
      </c>
      <c r="O322" s="12" t="s">
        <v>7650</v>
      </c>
      <c r="P322" s="12"/>
      <c r="Q322" s="12">
        <v>1</v>
      </c>
    </row>
    <row r="323" spans="1:17" ht="15.75" customHeight="1">
      <c r="A323" s="12">
        <v>1531</v>
      </c>
      <c r="B323" s="12">
        <v>12</v>
      </c>
      <c r="C323" s="12">
        <v>314</v>
      </c>
      <c r="D323" s="12" t="s">
        <v>6047</v>
      </c>
      <c r="E323" s="12" t="s">
        <v>7651</v>
      </c>
      <c r="F323" s="12" t="s">
        <v>7652</v>
      </c>
      <c r="G323" s="12" t="s">
        <v>7653</v>
      </c>
      <c r="H323" s="12" t="s">
        <v>6289</v>
      </c>
      <c r="I323" s="12" t="s">
        <v>6290</v>
      </c>
      <c r="J323" s="12">
        <v>314</v>
      </c>
      <c r="K323" s="12" t="s">
        <v>7654</v>
      </c>
      <c r="L323" s="12" t="s">
        <v>6255</v>
      </c>
      <c r="M323" s="13">
        <v>41572</v>
      </c>
      <c r="N323" s="12" t="s">
        <v>7655</v>
      </c>
      <c r="O323" s="12" t="s">
        <v>7656</v>
      </c>
      <c r="P323" s="12"/>
      <c r="Q323" s="12">
        <v>1</v>
      </c>
    </row>
    <row r="324" spans="1:17" ht="15.75" customHeight="1">
      <c r="A324" s="12">
        <v>1539</v>
      </c>
      <c r="B324" s="12">
        <v>1842</v>
      </c>
      <c r="C324" s="12">
        <v>33851</v>
      </c>
      <c r="D324" s="12" t="s">
        <v>6047</v>
      </c>
      <c r="E324" s="12" t="s">
        <v>7657</v>
      </c>
      <c r="F324" s="12" t="s">
        <v>7658</v>
      </c>
      <c r="G324" s="12" t="s">
        <v>7659</v>
      </c>
      <c r="H324" s="12" t="s">
        <v>6051</v>
      </c>
      <c r="I324" s="12" t="s">
        <v>6261</v>
      </c>
      <c r="J324" s="12">
        <v>33851</v>
      </c>
      <c r="K324" s="12" t="s">
        <v>7660</v>
      </c>
      <c r="L324" s="12" t="s">
        <v>6255</v>
      </c>
      <c r="M324" s="13">
        <v>41568</v>
      </c>
      <c r="N324" s="12" t="s">
        <v>7661</v>
      </c>
      <c r="O324" s="12" t="s">
        <v>7662</v>
      </c>
      <c r="P324" s="12"/>
      <c r="Q324" s="12">
        <v>1</v>
      </c>
    </row>
    <row r="325" spans="1:17" ht="15.75" customHeight="1">
      <c r="A325" s="12">
        <v>968</v>
      </c>
      <c r="B325" s="12">
        <v>1210</v>
      </c>
      <c r="C325" s="12">
        <v>17246</v>
      </c>
      <c r="D325" s="12" t="s">
        <v>6047</v>
      </c>
      <c r="E325" s="12" t="s">
        <v>7663</v>
      </c>
      <c r="F325" s="12" t="s">
        <v>7664</v>
      </c>
      <c r="G325" s="12" t="s">
        <v>7665</v>
      </c>
      <c r="H325" s="12" t="s">
        <v>6051</v>
      </c>
      <c r="I325" s="12" t="s">
        <v>6052</v>
      </c>
      <c r="J325" s="12">
        <v>17246</v>
      </c>
      <c r="K325" s="12" t="s">
        <v>7666</v>
      </c>
      <c r="L325" s="12" t="s">
        <v>6054</v>
      </c>
      <c r="M325" s="13">
        <v>42825</v>
      </c>
      <c r="N325" s="12" t="s">
        <v>7667</v>
      </c>
      <c r="O325" s="12" t="s">
        <v>7668</v>
      </c>
      <c r="P325" s="12"/>
      <c r="Q325" s="12">
        <v>1</v>
      </c>
    </row>
    <row r="326" spans="1:17" ht="15.75" customHeight="1">
      <c r="A326" s="12">
        <v>1093</v>
      </c>
      <c r="B326" s="12">
        <v>794</v>
      </c>
      <c r="C326" s="12">
        <v>9891</v>
      </c>
      <c r="D326" s="12" t="s">
        <v>6047</v>
      </c>
      <c r="E326" s="12" t="s">
        <v>7669</v>
      </c>
      <c r="F326" s="12" t="s">
        <v>7670</v>
      </c>
      <c r="G326" s="12" t="s">
        <v>7671</v>
      </c>
      <c r="H326" s="12" t="s">
        <v>6265</v>
      </c>
      <c r="I326" s="12" t="s">
        <v>6449</v>
      </c>
      <c r="J326" s="12">
        <v>9891</v>
      </c>
      <c r="K326" s="12" t="s">
        <v>7166</v>
      </c>
      <c r="L326" s="12" t="s">
        <v>6504</v>
      </c>
      <c r="M326" s="13">
        <v>42685</v>
      </c>
      <c r="N326" s="12" t="s">
        <v>7167</v>
      </c>
      <c r="O326" s="12" t="s">
        <v>7168</v>
      </c>
      <c r="P326" s="12"/>
      <c r="Q326" s="12">
        <v>1</v>
      </c>
    </row>
    <row r="327" spans="1:17" ht="15.75" customHeight="1">
      <c r="A327" s="12">
        <v>1321</v>
      </c>
      <c r="B327" s="12">
        <v>816</v>
      </c>
      <c r="C327" s="12">
        <v>10349</v>
      </c>
      <c r="D327" s="12" t="s">
        <v>6047</v>
      </c>
      <c r="E327" s="12" t="s">
        <v>7672</v>
      </c>
      <c r="F327" s="12" t="s">
        <v>7673</v>
      </c>
      <c r="G327" s="12" t="s">
        <v>7674</v>
      </c>
      <c r="H327" s="12" t="s">
        <v>6265</v>
      </c>
      <c r="I327" s="12" t="s">
        <v>7675</v>
      </c>
      <c r="J327" s="12">
        <v>10349</v>
      </c>
      <c r="K327" s="12" t="s">
        <v>6105</v>
      </c>
      <c r="L327" s="12" t="s">
        <v>6106</v>
      </c>
      <c r="M327" s="13">
        <v>41924</v>
      </c>
      <c r="N327" s="12" t="s">
        <v>6107</v>
      </c>
      <c r="O327" s="12" t="s">
        <v>7676</v>
      </c>
      <c r="P327" s="12"/>
      <c r="Q327" s="12">
        <v>1</v>
      </c>
    </row>
    <row r="328" spans="1:17" ht="15.75" customHeight="1">
      <c r="A328" s="12">
        <v>1520</v>
      </c>
      <c r="B328" s="12">
        <v>711</v>
      </c>
      <c r="C328" s="12">
        <v>8479</v>
      </c>
      <c r="D328" s="12" t="s">
        <v>6047</v>
      </c>
      <c r="E328" s="12" t="s">
        <v>7677</v>
      </c>
      <c r="F328" s="12" t="s">
        <v>7678</v>
      </c>
      <c r="G328" s="12" t="s">
        <v>7679</v>
      </c>
      <c r="H328" s="12" t="s">
        <v>6075</v>
      </c>
      <c r="I328" s="12" t="s">
        <v>6076</v>
      </c>
      <c r="J328" s="12">
        <v>8479</v>
      </c>
      <c r="K328" s="12" t="s">
        <v>6375</v>
      </c>
      <c r="L328" s="12" t="s">
        <v>6240</v>
      </c>
      <c r="M328" s="13">
        <v>41749</v>
      </c>
      <c r="N328" s="12" t="s">
        <v>6376</v>
      </c>
      <c r="O328" s="12" t="s">
        <v>7680</v>
      </c>
      <c r="P328" s="12"/>
      <c r="Q328" s="12">
        <v>1</v>
      </c>
    </row>
    <row r="329" spans="1:17" ht="15.75" customHeight="1">
      <c r="A329" s="12">
        <v>124</v>
      </c>
      <c r="B329" s="12">
        <v>377</v>
      </c>
      <c r="C329" s="12">
        <v>5706</v>
      </c>
      <c r="D329" s="12" t="s">
        <v>6047</v>
      </c>
      <c r="E329" s="12" t="s">
        <v>888</v>
      </c>
      <c r="F329" s="12" t="s">
        <v>7681</v>
      </c>
      <c r="G329" s="12" t="s">
        <v>7682</v>
      </c>
      <c r="H329" s="12" t="s">
        <v>6213</v>
      </c>
      <c r="I329" s="12" t="s">
        <v>7475</v>
      </c>
      <c r="J329" s="12">
        <v>5706</v>
      </c>
      <c r="K329" s="12" t="s">
        <v>7102</v>
      </c>
      <c r="L329" s="12" t="s">
        <v>6511</v>
      </c>
      <c r="M329" s="13">
        <v>45965</v>
      </c>
      <c r="N329" s="12" t="s">
        <v>7103</v>
      </c>
      <c r="O329" s="12" t="s">
        <v>7104</v>
      </c>
      <c r="P329" s="12"/>
      <c r="Q329" s="12">
        <v>1</v>
      </c>
    </row>
    <row r="330" spans="1:17" ht="15.75" customHeight="1">
      <c r="A330" s="12">
        <v>1063</v>
      </c>
      <c r="B330" s="12">
        <v>318</v>
      </c>
      <c r="C330" s="12">
        <v>4963</v>
      </c>
      <c r="D330" s="12" t="s">
        <v>6047</v>
      </c>
      <c r="E330" s="12" t="s">
        <v>7683</v>
      </c>
      <c r="F330" s="12" t="s">
        <v>7684</v>
      </c>
      <c r="G330" s="12" t="s">
        <v>7685</v>
      </c>
      <c r="H330" s="12" t="s">
        <v>6163</v>
      </c>
      <c r="I330" s="12" t="s">
        <v>6253</v>
      </c>
      <c r="J330" s="12">
        <v>4963</v>
      </c>
      <c r="K330" s="12" t="s">
        <v>6053</v>
      </c>
      <c r="L330" s="12" t="s">
        <v>6054</v>
      </c>
      <c r="M330" s="13">
        <v>42687</v>
      </c>
      <c r="N330" s="12" t="s">
        <v>6055</v>
      </c>
      <c r="O330" s="12" t="s">
        <v>6056</v>
      </c>
      <c r="P330" s="12"/>
      <c r="Q330" s="12">
        <v>1</v>
      </c>
    </row>
    <row r="331" spans="1:17" ht="15.75" customHeight="1">
      <c r="A331" s="12">
        <v>481</v>
      </c>
      <c r="B331" s="12">
        <v>262</v>
      </c>
      <c r="C331" s="12">
        <v>4529</v>
      </c>
      <c r="D331" s="12" t="s">
        <v>6047</v>
      </c>
      <c r="E331" s="12" t="s">
        <v>7686</v>
      </c>
      <c r="F331" s="12" t="s">
        <v>7687</v>
      </c>
      <c r="G331" s="12" t="s">
        <v>7688</v>
      </c>
      <c r="H331" s="12" t="s">
        <v>6163</v>
      </c>
      <c r="I331" s="12" t="s">
        <v>6253</v>
      </c>
      <c r="J331" s="12">
        <v>4529</v>
      </c>
      <c r="K331" s="12" t="s">
        <v>7035</v>
      </c>
      <c r="L331" s="12" t="s">
        <v>6455</v>
      </c>
      <c r="M331" s="13">
        <v>43785</v>
      </c>
      <c r="N331" s="12" t="s">
        <v>7036</v>
      </c>
      <c r="O331" s="12" t="s">
        <v>7689</v>
      </c>
      <c r="P331" s="12"/>
      <c r="Q331" s="12">
        <v>1</v>
      </c>
    </row>
    <row r="332" spans="1:17" ht="15.75" customHeight="1">
      <c r="A332" s="12">
        <v>553</v>
      </c>
      <c r="B332" s="12">
        <v>953</v>
      </c>
      <c r="C332" s="12">
        <v>12895</v>
      </c>
      <c r="D332" s="12" t="s">
        <v>6047</v>
      </c>
      <c r="E332" s="12" t="s">
        <v>7690</v>
      </c>
      <c r="F332" s="12" t="s">
        <v>7691</v>
      </c>
      <c r="G332" s="12" t="s">
        <v>7692</v>
      </c>
      <c r="H332" s="12" t="s">
        <v>6627</v>
      </c>
      <c r="I332" s="12" t="s">
        <v>7504</v>
      </c>
      <c r="J332" s="12">
        <v>12895</v>
      </c>
      <c r="K332" s="12" t="s">
        <v>7693</v>
      </c>
      <c r="L332" s="12" t="s">
        <v>6408</v>
      </c>
      <c r="M332" s="13">
        <v>43562</v>
      </c>
      <c r="N332" s="12" t="s">
        <v>7694</v>
      </c>
      <c r="O332" s="12" t="s">
        <v>7695</v>
      </c>
      <c r="P332" s="12"/>
      <c r="Q332" s="12">
        <v>1</v>
      </c>
    </row>
    <row r="333" spans="1:17" ht="15.75" customHeight="1">
      <c r="A333" s="12">
        <v>756</v>
      </c>
      <c r="B333" s="12">
        <v>1836</v>
      </c>
      <c r="C333" s="12">
        <v>33826</v>
      </c>
      <c r="D333" s="12" t="s">
        <v>6047</v>
      </c>
      <c r="E333" s="12" t="s">
        <v>7696</v>
      </c>
      <c r="F333" s="12" t="s">
        <v>7697</v>
      </c>
      <c r="G333" s="12" t="s">
        <v>7698</v>
      </c>
      <c r="H333" s="12" t="s">
        <v>6051</v>
      </c>
      <c r="I333" s="12" t="s">
        <v>6261</v>
      </c>
      <c r="J333" s="12">
        <v>33826</v>
      </c>
      <c r="K333" s="12" t="s">
        <v>7404</v>
      </c>
      <c r="L333" s="12" t="s">
        <v>7405</v>
      </c>
      <c r="M333" s="13">
        <v>43090</v>
      </c>
      <c r="N333" s="12" t="s">
        <v>7406</v>
      </c>
      <c r="O333" s="12" t="s">
        <v>7407</v>
      </c>
      <c r="P333" s="12"/>
      <c r="Q333" s="12">
        <v>1</v>
      </c>
    </row>
    <row r="334" spans="1:17" ht="15.75" customHeight="1">
      <c r="A334" s="12">
        <v>1244</v>
      </c>
      <c r="B334" s="12">
        <v>271</v>
      </c>
      <c r="C334" s="12">
        <v>4614</v>
      </c>
      <c r="D334" s="12" t="s">
        <v>6047</v>
      </c>
      <c r="E334" s="12" t="s">
        <v>7699</v>
      </c>
      <c r="F334" s="12" t="s">
        <v>7700</v>
      </c>
      <c r="G334" s="12" t="s">
        <v>7701</v>
      </c>
      <c r="H334" s="12" t="s">
        <v>6163</v>
      </c>
      <c r="I334" s="12" t="s">
        <v>6253</v>
      </c>
      <c r="J334" s="12">
        <v>4614</v>
      </c>
      <c r="K334" s="12" t="s">
        <v>6429</v>
      </c>
      <c r="L334" s="12" t="s">
        <v>6423</v>
      </c>
      <c r="M334" s="13">
        <v>41991</v>
      </c>
      <c r="N334" s="12" t="s">
        <v>6430</v>
      </c>
      <c r="O334" s="12" t="s">
        <v>6431</v>
      </c>
      <c r="P334" s="12"/>
      <c r="Q334" s="12">
        <v>1</v>
      </c>
    </row>
    <row r="335" spans="1:17" ht="15.75" customHeight="1">
      <c r="A335" s="12">
        <v>689</v>
      </c>
      <c r="B335" s="12">
        <v>555</v>
      </c>
      <c r="C335" s="12">
        <v>7342</v>
      </c>
      <c r="D335" s="12" t="s">
        <v>6047</v>
      </c>
      <c r="E335" s="12" t="s">
        <v>7702</v>
      </c>
      <c r="F335" s="12" t="s">
        <v>7703</v>
      </c>
      <c r="G335" s="12" t="s">
        <v>7704</v>
      </c>
      <c r="H335" s="12" t="s">
        <v>6084</v>
      </c>
      <c r="I335" s="12" t="s">
        <v>6575</v>
      </c>
      <c r="J335" s="12">
        <v>7342</v>
      </c>
      <c r="K335" s="12" t="s">
        <v>7705</v>
      </c>
      <c r="L335" s="12" t="s">
        <v>7254</v>
      </c>
      <c r="M335" s="13">
        <v>43204</v>
      </c>
      <c r="N335" s="12" t="s">
        <v>7706</v>
      </c>
      <c r="O335" s="12" t="s">
        <v>7707</v>
      </c>
      <c r="P335" s="12"/>
      <c r="Q335" s="12">
        <v>1</v>
      </c>
    </row>
    <row r="336" spans="1:17" ht="15.75" customHeight="1">
      <c r="A336" s="12">
        <v>1605</v>
      </c>
      <c r="B336" s="12">
        <v>1526</v>
      </c>
      <c r="C336" s="12">
        <v>27026</v>
      </c>
      <c r="D336" s="12" t="s">
        <v>6047</v>
      </c>
      <c r="E336" s="12" t="s">
        <v>7708</v>
      </c>
      <c r="F336" s="12" t="s">
        <v>7709</v>
      </c>
      <c r="G336" s="12" t="s">
        <v>7710</v>
      </c>
      <c r="H336" s="12" t="s">
        <v>6051</v>
      </c>
      <c r="I336" s="12" t="s">
        <v>7711</v>
      </c>
      <c r="J336" s="12">
        <v>27026</v>
      </c>
      <c r="K336" s="12" t="s">
        <v>6300</v>
      </c>
      <c r="L336" s="12" t="s">
        <v>6240</v>
      </c>
      <c r="M336" s="13">
        <v>41396</v>
      </c>
      <c r="N336" s="12" t="s">
        <v>6301</v>
      </c>
      <c r="O336" s="12" t="s">
        <v>6302</v>
      </c>
      <c r="P336" s="12"/>
      <c r="Q336" s="12">
        <v>1</v>
      </c>
    </row>
    <row r="337" spans="1:17" ht="15.75" customHeight="1">
      <c r="A337" s="12">
        <v>861</v>
      </c>
      <c r="B337" s="12">
        <v>135</v>
      </c>
      <c r="C337" s="12">
        <v>2082</v>
      </c>
      <c r="D337" s="12" t="s">
        <v>6047</v>
      </c>
      <c r="E337" s="12" t="s">
        <v>7712</v>
      </c>
      <c r="F337" s="12" t="s">
        <v>7713</v>
      </c>
      <c r="G337" s="12" t="s">
        <v>7714</v>
      </c>
      <c r="H337" s="12" t="s">
        <v>6127</v>
      </c>
      <c r="I337" s="12" t="s">
        <v>6128</v>
      </c>
      <c r="J337" s="12">
        <v>2082</v>
      </c>
      <c r="K337" s="12" t="s">
        <v>7715</v>
      </c>
      <c r="L337" s="12" t="s">
        <v>6564</v>
      </c>
      <c r="M337" s="13">
        <v>43018</v>
      </c>
      <c r="N337" s="12" t="s">
        <v>7716</v>
      </c>
      <c r="O337" s="12" t="s">
        <v>7717</v>
      </c>
      <c r="P337" s="12"/>
      <c r="Q337" s="12">
        <v>1</v>
      </c>
    </row>
    <row r="338" spans="1:17" ht="15.75" customHeight="1">
      <c r="A338" s="12">
        <v>810</v>
      </c>
      <c r="B338" s="12">
        <v>911</v>
      </c>
      <c r="C338" s="12">
        <v>12086</v>
      </c>
      <c r="D338" s="12" t="s">
        <v>6047</v>
      </c>
      <c r="E338" s="12" t="s">
        <v>7718</v>
      </c>
      <c r="F338" s="12" t="s">
        <v>7719</v>
      </c>
      <c r="G338" s="12" t="s">
        <v>7720</v>
      </c>
      <c r="H338" s="12" t="s">
        <v>6340</v>
      </c>
      <c r="I338" s="12" t="s">
        <v>6341</v>
      </c>
      <c r="J338" s="12">
        <v>12086</v>
      </c>
      <c r="K338" s="12" t="s">
        <v>6649</v>
      </c>
      <c r="L338" s="12" t="s">
        <v>6590</v>
      </c>
      <c r="M338" s="13">
        <v>43029</v>
      </c>
      <c r="N338" s="12" t="s">
        <v>6650</v>
      </c>
      <c r="O338" s="12" t="s">
        <v>6651</v>
      </c>
      <c r="P338" s="12"/>
      <c r="Q338" s="12">
        <v>1</v>
      </c>
    </row>
    <row r="339" spans="1:17" ht="15.75" customHeight="1">
      <c r="A339" s="12">
        <v>43</v>
      </c>
      <c r="B339" s="12">
        <v>680</v>
      </c>
      <c r="C339" s="12">
        <v>8225</v>
      </c>
      <c r="D339" s="12" t="s">
        <v>6047</v>
      </c>
      <c r="E339" s="12" t="s">
        <v>7721</v>
      </c>
      <c r="F339" s="12" t="s">
        <v>7722</v>
      </c>
      <c r="G339" s="12" t="s">
        <v>7723</v>
      </c>
      <c r="H339" s="12" t="s">
        <v>6075</v>
      </c>
      <c r="I339" s="12" t="s">
        <v>6076</v>
      </c>
      <c r="J339" s="12">
        <v>8225</v>
      </c>
      <c r="K339" s="12" t="s">
        <v>7724</v>
      </c>
      <c r="L339" s="12" t="s">
        <v>6590</v>
      </c>
      <c r="M339" s="13">
        <v>45975</v>
      </c>
      <c r="N339" s="12" t="s">
        <v>7725</v>
      </c>
      <c r="O339" s="12" t="s">
        <v>7726</v>
      </c>
      <c r="P339" s="12"/>
      <c r="Q339" s="12">
        <v>1</v>
      </c>
    </row>
    <row r="340" spans="1:17" ht="15.75" customHeight="1">
      <c r="A340" s="12">
        <v>566</v>
      </c>
      <c r="B340" s="12">
        <v>272</v>
      </c>
      <c r="C340" s="12">
        <v>4621</v>
      </c>
      <c r="D340" s="12" t="s">
        <v>6047</v>
      </c>
      <c r="E340" s="12" t="s">
        <v>7727</v>
      </c>
      <c r="F340" s="12" t="s">
        <v>7728</v>
      </c>
      <c r="G340" s="12" t="s">
        <v>7729</v>
      </c>
      <c r="H340" s="12" t="s">
        <v>6163</v>
      </c>
      <c r="I340" s="12" t="s">
        <v>6253</v>
      </c>
      <c r="J340" s="12">
        <v>4621</v>
      </c>
      <c r="K340" s="12" t="s">
        <v>6464</v>
      </c>
      <c r="L340" s="12" t="s">
        <v>6408</v>
      </c>
      <c r="M340" s="13">
        <v>43562</v>
      </c>
      <c r="N340" s="12" t="s">
        <v>6465</v>
      </c>
      <c r="O340" s="12" t="s">
        <v>6466</v>
      </c>
      <c r="P340" s="12"/>
      <c r="Q340" s="12">
        <v>1</v>
      </c>
    </row>
    <row r="341" spans="1:17" ht="15.75" customHeight="1">
      <c r="A341" s="12">
        <v>1746</v>
      </c>
      <c r="B341" s="12">
        <v>1413</v>
      </c>
      <c r="C341" s="12">
        <v>21222</v>
      </c>
      <c r="D341" s="12" t="s">
        <v>6047</v>
      </c>
      <c r="E341" s="12" t="s">
        <v>7730</v>
      </c>
      <c r="F341" s="12" t="s">
        <v>7731</v>
      </c>
      <c r="G341" s="12" t="s">
        <v>7732</v>
      </c>
      <c r="H341" s="12" t="s">
        <v>6051</v>
      </c>
      <c r="I341" s="12" t="s">
        <v>6299</v>
      </c>
      <c r="J341" s="12">
        <v>21222</v>
      </c>
      <c r="K341" s="12" t="s">
        <v>6480</v>
      </c>
      <c r="L341" s="12" t="s">
        <v>6063</v>
      </c>
      <c r="M341" s="13">
        <v>40874</v>
      </c>
      <c r="N341" s="12" t="s">
        <v>6481</v>
      </c>
      <c r="O341" s="12" t="s">
        <v>6482</v>
      </c>
      <c r="P341" s="12"/>
      <c r="Q341" s="12">
        <v>1</v>
      </c>
    </row>
    <row r="342" spans="1:17" ht="15.75" customHeight="1">
      <c r="A342" s="12">
        <v>239</v>
      </c>
      <c r="B342" s="12">
        <v>164</v>
      </c>
      <c r="C342" s="12">
        <v>2859</v>
      </c>
      <c r="D342" s="12" t="s">
        <v>6047</v>
      </c>
      <c r="E342" s="12" t="s">
        <v>7733</v>
      </c>
      <c r="F342" s="12" t="s">
        <v>7734</v>
      </c>
      <c r="G342" s="12" t="s">
        <v>7735</v>
      </c>
      <c r="H342" s="12" t="s">
        <v>7736</v>
      </c>
      <c r="I342" s="12" t="s">
        <v>7737</v>
      </c>
      <c r="J342" s="12">
        <v>2859</v>
      </c>
      <c r="K342" s="12" t="s">
        <v>7738</v>
      </c>
      <c r="L342" s="12" t="s">
        <v>7739</v>
      </c>
      <c r="M342" s="13">
        <v>45606</v>
      </c>
      <c r="N342" s="12" t="s">
        <v>7740</v>
      </c>
      <c r="O342" s="12" t="s">
        <v>7741</v>
      </c>
      <c r="P342" s="12"/>
      <c r="Q342" s="12">
        <v>1</v>
      </c>
    </row>
    <row r="343" spans="1:17" ht="15.75" customHeight="1">
      <c r="A343" s="12">
        <v>2029</v>
      </c>
      <c r="B343" s="12">
        <v>629</v>
      </c>
      <c r="C343" s="12">
        <v>7792</v>
      </c>
      <c r="D343" s="12" t="s">
        <v>6047</v>
      </c>
      <c r="E343" s="12" t="s">
        <v>7742</v>
      </c>
      <c r="F343" s="12" t="s">
        <v>7743</v>
      </c>
      <c r="G343" s="12" t="s">
        <v>7744</v>
      </c>
      <c r="H343" s="12" t="s">
        <v>6187</v>
      </c>
      <c r="I343" s="12" t="s">
        <v>6380</v>
      </c>
      <c r="J343" s="12">
        <v>7792</v>
      </c>
      <c r="K343" s="12" t="s">
        <v>7745</v>
      </c>
      <c r="L343" s="12" t="s">
        <v>6278</v>
      </c>
      <c r="M343" s="13">
        <v>38175</v>
      </c>
      <c r="N343" s="12" t="s">
        <v>7746</v>
      </c>
      <c r="O343" s="12" t="s">
        <v>7747</v>
      </c>
      <c r="P343" s="12"/>
      <c r="Q343" s="12">
        <v>1</v>
      </c>
    </row>
    <row r="344" spans="1:17" ht="15.75" customHeight="1">
      <c r="A344" s="12">
        <v>1337</v>
      </c>
      <c r="B344" s="12">
        <v>661</v>
      </c>
      <c r="C344" s="12">
        <v>7996</v>
      </c>
      <c r="D344" s="12" t="s">
        <v>6047</v>
      </c>
      <c r="E344" s="12" t="s">
        <v>900</v>
      </c>
      <c r="F344" s="12" t="s">
        <v>7748</v>
      </c>
      <c r="G344" s="12" t="s">
        <v>7749</v>
      </c>
      <c r="H344" s="12" t="s">
        <v>6075</v>
      </c>
      <c r="I344" s="12" t="s">
        <v>6076</v>
      </c>
      <c r="J344" s="12">
        <v>7996</v>
      </c>
      <c r="K344" s="12" t="s">
        <v>7750</v>
      </c>
      <c r="L344" s="12" t="s">
        <v>6106</v>
      </c>
      <c r="M344" s="13">
        <v>41920</v>
      </c>
      <c r="N344" s="12" t="s">
        <v>7751</v>
      </c>
      <c r="O344" s="12" t="s">
        <v>7752</v>
      </c>
      <c r="P344" s="12"/>
      <c r="Q344" s="12">
        <v>1</v>
      </c>
    </row>
    <row r="345" spans="1:17" ht="15.75" customHeight="1">
      <c r="A345" s="12">
        <v>104</v>
      </c>
      <c r="B345" s="12">
        <v>1477</v>
      </c>
      <c r="C345" s="12">
        <v>23867</v>
      </c>
      <c r="D345" s="12" t="s">
        <v>6047</v>
      </c>
      <c r="E345" s="12" t="s">
        <v>7753</v>
      </c>
      <c r="F345" s="12" t="s">
        <v>7754</v>
      </c>
      <c r="G345" s="12" t="s">
        <v>7755</v>
      </c>
      <c r="H345" s="12" t="s">
        <v>6051</v>
      </c>
      <c r="I345" s="12" t="s">
        <v>7756</v>
      </c>
      <c r="J345" s="12">
        <v>23867</v>
      </c>
      <c r="K345" s="12" t="s">
        <v>7757</v>
      </c>
      <c r="L345" s="12" t="s">
        <v>6511</v>
      </c>
      <c r="M345" s="13">
        <v>45967</v>
      </c>
      <c r="N345" s="12" t="s">
        <v>7758</v>
      </c>
      <c r="O345" s="12" t="s">
        <v>7759</v>
      </c>
      <c r="P345" s="12"/>
      <c r="Q345" s="12">
        <v>1</v>
      </c>
    </row>
    <row r="346" spans="1:17" ht="15.75" customHeight="1">
      <c r="A346" s="12">
        <v>866</v>
      </c>
      <c r="B346" s="12">
        <v>1304</v>
      </c>
      <c r="C346" s="12">
        <v>18402</v>
      </c>
      <c r="D346" s="12" t="s">
        <v>6047</v>
      </c>
      <c r="E346" s="12" t="s">
        <v>7760</v>
      </c>
      <c r="F346" s="12" t="s">
        <v>7761</v>
      </c>
      <c r="G346" s="12" t="s">
        <v>7762</v>
      </c>
      <c r="H346" s="12" t="s">
        <v>6051</v>
      </c>
      <c r="I346" s="12" t="s">
        <v>7763</v>
      </c>
      <c r="J346" s="12">
        <v>18402</v>
      </c>
      <c r="K346" s="12" t="s">
        <v>6606</v>
      </c>
      <c r="L346" s="12" t="s">
        <v>6564</v>
      </c>
      <c r="M346" s="13">
        <v>43017</v>
      </c>
      <c r="N346" s="12" t="s">
        <v>6607</v>
      </c>
      <c r="O346" s="12" t="s">
        <v>6608</v>
      </c>
      <c r="P346" s="12"/>
      <c r="Q346" s="12">
        <v>1</v>
      </c>
    </row>
    <row r="347" spans="1:17" ht="15.75" customHeight="1">
      <c r="A347" s="12">
        <v>1604</v>
      </c>
      <c r="B347" s="12">
        <v>1592</v>
      </c>
      <c r="C347" s="12">
        <v>28037</v>
      </c>
      <c r="D347" s="12" t="s">
        <v>6047</v>
      </c>
      <c r="E347" s="12" t="s">
        <v>902</v>
      </c>
      <c r="F347" s="12" t="s">
        <v>7764</v>
      </c>
      <c r="G347" s="12" t="s">
        <v>7765</v>
      </c>
      <c r="H347" s="12" t="s">
        <v>6051</v>
      </c>
      <c r="I347" s="12" t="s">
        <v>6894</v>
      </c>
      <c r="J347" s="12">
        <v>28037</v>
      </c>
      <c r="K347" s="12" t="s">
        <v>6300</v>
      </c>
      <c r="L347" s="12" t="s">
        <v>6240</v>
      </c>
      <c r="M347" s="13">
        <v>41396</v>
      </c>
      <c r="N347" s="12" t="s">
        <v>6301</v>
      </c>
      <c r="O347" s="12" t="s">
        <v>6302</v>
      </c>
      <c r="P347" s="12"/>
      <c r="Q347" s="12">
        <v>1</v>
      </c>
    </row>
    <row r="348" spans="1:17" ht="15.75" customHeight="1">
      <c r="A348" s="12">
        <v>783</v>
      </c>
      <c r="B348" s="12">
        <v>1244</v>
      </c>
      <c r="C348" s="12">
        <v>17586</v>
      </c>
      <c r="D348" s="12" t="s">
        <v>6047</v>
      </c>
      <c r="E348" s="12" t="s">
        <v>7766</v>
      </c>
      <c r="F348" s="12" t="s">
        <v>7767</v>
      </c>
      <c r="G348" s="12" t="s">
        <v>7768</v>
      </c>
      <c r="H348" s="12" t="s">
        <v>6051</v>
      </c>
      <c r="I348" s="12" t="s">
        <v>7769</v>
      </c>
      <c r="J348" s="12">
        <v>17586</v>
      </c>
      <c r="K348" s="12" t="s">
        <v>7283</v>
      </c>
      <c r="L348" s="12" t="s">
        <v>6590</v>
      </c>
      <c r="M348" s="13">
        <v>43034</v>
      </c>
      <c r="N348" s="12" t="s">
        <v>7284</v>
      </c>
      <c r="O348" s="12" t="s">
        <v>7285</v>
      </c>
      <c r="P348" s="12"/>
      <c r="Q348" s="12">
        <v>1</v>
      </c>
    </row>
    <row r="349" spans="1:17" ht="15.75" customHeight="1">
      <c r="A349" s="12">
        <v>1689</v>
      </c>
      <c r="B349" s="12">
        <v>242</v>
      </c>
      <c r="C349" s="12">
        <v>4357</v>
      </c>
      <c r="D349" s="12" t="s">
        <v>6047</v>
      </c>
      <c r="E349" s="12" t="s">
        <v>7770</v>
      </c>
      <c r="F349" s="12" t="s">
        <v>7771</v>
      </c>
      <c r="G349" s="12" t="s">
        <v>7772</v>
      </c>
      <c r="H349" s="12" t="s">
        <v>6163</v>
      </c>
      <c r="I349" s="12" t="s">
        <v>6253</v>
      </c>
      <c r="J349" s="12">
        <v>4357</v>
      </c>
      <c r="K349" s="12" t="s">
        <v>7260</v>
      </c>
      <c r="L349" s="12" t="s">
        <v>7261</v>
      </c>
      <c r="M349" s="13">
        <v>40879</v>
      </c>
      <c r="N349" s="12" t="s">
        <v>7262</v>
      </c>
      <c r="O349" s="12" t="s">
        <v>7263</v>
      </c>
      <c r="P349" s="12"/>
      <c r="Q349" s="12">
        <v>1</v>
      </c>
    </row>
    <row r="350" spans="1:17" ht="15.75" customHeight="1">
      <c r="A350" s="12">
        <v>1259</v>
      </c>
      <c r="B350" s="12">
        <v>1208</v>
      </c>
      <c r="C350" s="12">
        <v>17202</v>
      </c>
      <c r="D350" s="12" t="s">
        <v>6047</v>
      </c>
      <c r="E350" s="12" t="s">
        <v>7773</v>
      </c>
      <c r="F350" s="12" t="s">
        <v>7774</v>
      </c>
      <c r="G350" s="12" t="s">
        <v>7775</v>
      </c>
      <c r="H350" s="12" t="s">
        <v>6051</v>
      </c>
      <c r="I350" s="12" t="s">
        <v>6052</v>
      </c>
      <c r="J350" s="12">
        <v>17202</v>
      </c>
      <c r="K350" s="12" t="s">
        <v>6470</v>
      </c>
      <c r="L350" s="12" t="s">
        <v>6423</v>
      </c>
      <c r="M350" s="13">
        <v>41990</v>
      </c>
      <c r="N350" s="12" t="s">
        <v>6471</v>
      </c>
      <c r="O350" s="12" t="s">
        <v>6472</v>
      </c>
      <c r="P350" s="12"/>
      <c r="Q350" s="12">
        <v>1</v>
      </c>
    </row>
    <row r="351" spans="1:17" ht="15.75" customHeight="1">
      <c r="A351" s="12">
        <v>1230</v>
      </c>
      <c r="B351" s="12">
        <v>1023</v>
      </c>
      <c r="C351" s="12">
        <v>14290</v>
      </c>
      <c r="D351" s="12" t="s">
        <v>6047</v>
      </c>
      <c r="E351" s="12" t="s">
        <v>7776</v>
      </c>
      <c r="F351" s="12" t="s">
        <v>7777</v>
      </c>
      <c r="G351" s="12" t="s">
        <v>7778</v>
      </c>
      <c r="H351" s="12" t="s">
        <v>6051</v>
      </c>
      <c r="I351" s="12" t="s">
        <v>6881</v>
      </c>
      <c r="J351" s="12">
        <v>14290</v>
      </c>
      <c r="K351" s="12" t="s">
        <v>6429</v>
      </c>
      <c r="L351" s="12" t="s">
        <v>6423</v>
      </c>
      <c r="M351" s="13">
        <v>41991</v>
      </c>
      <c r="N351" s="12" t="s">
        <v>6430</v>
      </c>
      <c r="O351" s="12" t="s">
        <v>6431</v>
      </c>
      <c r="P351" s="12"/>
      <c r="Q351" s="12">
        <v>1</v>
      </c>
    </row>
    <row r="352" spans="1:17" ht="15.75" customHeight="1">
      <c r="A352" s="12">
        <v>607</v>
      </c>
      <c r="B352" s="12">
        <v>1497</v>
      </c>
      <c r="C352" s="12">
        <v>24135</v>
      </c>
      <c r="D352" s="12" t="s">
        <v>6047</v>
      </c>
      <c r="E352" s="12" t="s">
        <v>7779</v>
      </c>
      <c r="F352" s="12" t="s">
        <v>7780</v>
      </c>
      <c r="G352" s="12" t="s">
        <v>7781</v>
      </c>
      <c r="H352" s="12" t="s">
        <v>6051</v>
      </c>
      <c r="I352" s="12" t="s">
        <v>6738</v>
      </c>
      <c r="J352" s="12">
        <v>24135</v>
      </c>
      <c r="K352" s="12" t="s">
        <v>7160</v>
      </c>
      <c r="L352" s="12" t="s">
        <v>6408</v>
      </c>
      <c r="M352" s="13">
        <v>43558</v>
      </c>
      <c r="N352" s="12" t="s">
        <v>7161</v>
      </c>
      <c r="O352" s="12" t="s">
        <v>7162</v>
      </c>
      <c r="P352" s="12"/>
      <c r="Q352" s="12">
        <v>1</v>
      </c>
    </row>
    <row r="353" spans="1:17" ht="15.75" customHeight="1">
      <c r="A353" s="12">
        <v>494</v>
      </c>
      <c r="B353" s="12">
        <v>1048</v>
      </c>
      <c r="C353" s="12">
        <v>14912</v>
      </c>
      <c r="D353" s="12" t="s">
        <v>6047</v>
      </c>
      <c r="E353" s="12" t="s">
        <v>992</v>
      </c>
      <c r="F353" s="12" t="s">
        <v>7782</v>
      </c>
      <c r="G353" s="12" t="s">
        <v>7783</v>
      </c>
      <c r="H353" s="12" t="s">
        <v>6051</v>
      </c>
      <c r="I353" s="12" t="s">
        <v>6476</v>
      </c>
      <c r="J353" s="12">
        <v>14912</v>
      </c>
      <c r="K353" s="12" t="s">
        <v>6541</v>
      </c>
      <c r="L353" s="12" t="s">
        <v>6455</v>
      </c>
      <c r="M353" s="13">
        <v>43784</v>
      </c>
      <c r="N353" s="12" t="s">
        <v>6542</v>
      </c>
      <c r="O353" s="12" t="s">
        <v>6543</v>
      </c>
      <c r="P353" s="12"/>
      <c r="Q353" s="12">
        <v>1</v>
      </c>
    </row>
    <row r="354" spans="1:17" ht="15.75" customHeight="1">
      <c r="A354" s="12">
        <v>475</v>
      </c>
      <c r="B354" s="12">
        <v>967</v>
      </c>
      <c r="C354" s="12">
        <v>13067</v>
      </c>
      <c r="D354" s="12" t="s">
        <v>6047</v>
      </c>
      <c r="E354" s="12" t="s">
        <v>7784</v>
      </c>
      <c r="F354" s="12" t="s">
        <v>7785</v>
      </c>
      <c r="G354" s="12" t="s">
        <v>7786</v>
      </c>
      <c r="H354" s="12" t="s">
        <v>6627</v>
      </c>
      <c r="I354" s="12" t="s">
        <v>7504</v>
      </c>
      <c r="J354" s="12">
        <v>13067</v>
      </c>
      <c r="K354" s="12" t="s">
        <v>6454</v>
      </c>
      <c r="L354" s="12" t="s">
        <v>6455</v>
      </c>
      <c r="M354" s="13">
        <v>43786</v>
      </c>
      <c r="N354" s="12" t="s">
        <v>6456</v>
      </c>
      <c r="O354" s="12" t="s">
        <v>6457</v>
      </c>
      <c r="P354" s="12"/>
      <c r="Q354" s="12">
        <v>1</v>
      </c>
    </row>
    <row r="355" spans="1:17" ht="15.75" customHeight="1">
      <c r="A355" s="12">
        <v>1012</v>
      </c>
      <c r="B355" s="12">
        <v>1152</v>
      </c>
      <c r="C355" s="12">
        <v>16549</v>
      </c>
      <c r="D355" s="12" t="s">
        <v>6047</v>
      </c>
      <c r="E355" s="12" t="s">
        <v>7787</v>
      </c>
      <c r="F355" s="12" t="s">
        <v>7788</v>
      </c>
      <c r="G355" s="12" t="s">
        <v>7789</v>
      </c>
      <c r="H355" s="12" t="s">
        <v>6051</v>
      </c>
      <c r="I355" s="12" t="s">
        <v>6052</v>
      </c>
      <c r="J355" s="12">
        <v>16549</v>
      </c>
      <c r="K355" s="12" t="s">
        <v>7108</v>
      </c>
      <c r="L355" s="12" t="s">
        <v>6054</v>
      </c>
      <c r="M355" s="13">
        <v>42692</v>
      </c>
      <c r="N355" s="12" t="s">
        <v>7109</v>
      </c>
      <c r="O355" s="12" t="s">
        <v>7532</v>
      </c>
      <c r="P355" s="12"/>
      <c r="Q355" s="12">
        <v>1</v>
      </c>
    </row>
    <row r="356" spans="1:17" ht="15.75" customHeight="1">
      <c r="A356" s="12">
        <v>1214</v>
      </c>
      <c r="B356" s="12">
        <v>1339</v>
      </c>
      <c r="C356" s="12">
        <v>19253</v>
      </c>
      <c r="D356" s="12" t="s">
        <v>6047</v>
      </c>
      <c r="E356" s="12" t="s">
        <v>7790</v>
      </c>
      <c r="F356" s="12" t="s">
        <v>7791</v>
      </c>
      <c r="G356" s="12" t="s">
        <v>7792</v>
      </c>
      <c r="H356" s="12" t="s">
        <v>6051</v>
      </c>
      <c r="I356" s="12" t="s">
        <v>7090</v>
      </c>
      <c r="J356" s="12">
        <v>19253</v>
      </c>
      <c r="K356" s="12" t="s">
        <v>6429</v>
      </c>
      <c r="L356" s="12" t="s">
        <v>6423</v>
      </c>
      <c r="M356" s="13">
        <v>41991</v>
      </c>
      <c r="N356" s="12" t="s">
        <v>6430</v>
      </c>
      <c r="O356" s="12" t="s">
        <v>6431</v>
      </c>
      <c r="P356" s="12"/>
      <c r="Q356" s="12">
        <v>1</v>
      </c>
    </row>
    <row r="357" spans="1:17" ht="15.75" customHeight="1">
      <c r="A357" s="12">
        <v>702</v>
      </c>
      <c r="B357" s="12">
        <v>1219</v>
      </c>
      <c r="C357" s="12">
        <v>17335</v>
      </c>
      <c r="D357" s="12" t="s">
        <v>6047</v>
      </c>
      <c r="E357" s="12" t="s">
        <v>7793</v>
      </c>
      <c r="F357" s="12" t="s">
        <v>7794</v>
      </c>
      <c r="G357" s="12" t="s">
        <v>7795</v>
      </c>
      <c r="H357" s="12" t="s">
        <v>6051</v>
      </c>
      <c r="I357" s="12" t="s">
        <v>6052</v>
      </c>
      <c r="J357" s="12">
        <v>17335</v>
      </c>
      <c r="K357" s="12" t="s">
        <v>7253</v>
      </c>
      <c r="L357" s="12" t="s">
        <v>7254</v>
      </c>
      <c r="M357" s="13">
        <v>43203</v>
      </c>
      <c r="N357" s="12" t="s">
        <v>7255</v>
      </c>
      <c r="O357" s="12" t="s">
        <v>7796</v>
      </c>
      <c r="P357" s="12"/>
      <c r="Q357" s="12">
        <v>1</v>
      </c>
    </row>
    <row r="358" spans="1:17" ht="15.75" customHeight="1">
      <c r="A358" s="12">
        <v>1423</v>
      </c>
      <c r="B358" s="12">
        <v>1383</v>
      </c>
      <c r="C358" s="12">
        <v>20083</v>
      </c>
      <c r="D358" s="12" t="s">
        <v>6047</v>
      </c>
      <c r="E358" s="12" t="s">
        <v>910</v>
      </c>
      <c r="F358" s="12" t="s">
        <v>7797</v>
      </c>
      <c r="G358" s="12" t="s">
        <v>7798</v>
      </c>
      <c r="H358" s="12" t="s">
        <v>6051</v>
      </c>
      <c r="I358" s="12" t="s">
        <v>7041</v>
      </c>
      <c r="J358" s="12">
        <v>20083</v>
      </c>
      <c r="K358" s="12" t="s">
        <v>6139</v>
      </c>
      <c r="L358" s="12" t="s">
        <v>6087</v>
      </c>
      <c r="M358" s="13">
        <v>41909</v>
      </c>
      <c r="N358" s="12" t="s">
        <v>6140</v>
      </c>
      <c r="O358" s="12" t="s">
        <v>6141</v>
      </c>
      <c r="P358" s="12"/>
      <c r="Q358" s="12">
        <v>1</v>
      </c>
    </row>
    <row r="359" spans="1:17" ht="15.75" customHeight="1">
      <c r="A359" s="12">
        <v>1663</v>
      </c>
      <c r="B359" s="12">
        <v>1837</v>
      </c>
      <c r="C359" s="12">
        <v>33833</v>
      </c>
      <c r="D359" s="12" t="s">
        <v>6047</v>
      </c>
      <c r="E359" s="12" t="s">
        <v>7799</v>
      </c>
      <c r="F359" s="12" t="s">
        <v>7800</v>
      </c>
      <c r="G359" s="12" t="s">
        <v>7801</v>
      </c>
      <c r="H359" s="12" t="s">
        <v>6051</v>
      </c>
      <c r="I359" s="12" t="s">
        <v>6261</v>
      </c>
      <c r="J359" s="12">
        <v>33833</v>
      </c>
      <c r="K359" s="12" t="s">
        <v>7802</v>
      </c>
      <c r="L359" s="12" t="s">
        <v>7411</v>
      </c>
      <c r="M359" s="13">
        <v>41057</v>
      </c>
      <c r="N359" s="12" t="s">
        <v>7803</v>
      </c>
      <c r="O359" s="12" t="s">
        <v>7804</v>
      </c>
      <c r="P359" s="12"/>
      <c r="Q359" s="12">
        <v>1</v>
      </c>
    </row>
    <row r="360" spans="1:17" ht="15.75" customHeight="1">
      <c r="A360" s="12">
        <v>835</v>
      </c>
      <c r="B360" s="12">
        <v>1278</v>
      </c>
      <c r="C360" s="12">
        <v>18132</v>
      </c>
      <c r="D360" s="12" t="s">
        <v>6047</v>
      </c>
      <c r="E360" s="12" t="s">
        <v>972</v>
      </c>
      <c r="F360" s="12" t="s">
        <v>7805</v>
      </c>
      <c r="G360" s="12" t="s">
        <v>7806</v>
      </c>
      <c r="H360" s="12" t="s">
        <v>6051</v>
      </c>
      <c r="I360" s="12" t="s">
        <v>6857</v>
      </c>
      <c r="J360" s="12">
        <v>18132</v>
      </c>
      <c r="K360" s="12" t="s">
        <v>7807</v>
      </c>
      <c r="L360" s="12" t="s">
        <v>6564</v>
      </c>
      <c r="M360" s="13">
        <v>43022</v>
      </c>
      <c r="N360" s="12" t="s">
        <v>7808</v>
      </c>
      <c r="O360" s="12" t="s">
        <v>7809</v>
      </c>
      <c r="P360" s="12"/>
      <c r="Q360" s="12">
        <v>1</v>
      </c>
    </row>
    <row r="361" spans="1:17" ht="15.75" customHeight="1">
      <c r="A361" s="12">
        <v>1117</v>
      </c>
      <c r="B361" s="12">
        <v>1524</v>
      </c>
      <c r="C361" s="12">
        <v>26932</v>
      </c>
      <c r="D361" s="12" t="s">
        <v>6047</v>
      </c>
      <c r="E361" s="12" t="s">
        <v>974</v>
      </c>
      <c r="F361" s="12" t="s">
        <v>7810</v>
      </c>
      <c r="G361" s="12" t="s">
        <v>7811</v>
      </c>
      <c r="H361" s="12" t="s">
        <v>6051</v>
      </c>
      <c r="I361" s="12" t="s">
        <v>7812</v>
      </c>
      <c r="J361" s="12">
        <v>26932</v>
      </c>
      <c r="K361" s="12" t="s">
        <v>7813</v>
      </c>
      <c r="L361" s="12" t="s">
        <v>7814</v>
      </c>
      <c r="M361" s="13">
        <v>42335</v>
      </c>
      <c r="N361" s="12" t="s">
        <v>7815</v>
      </c>
      <c r="O361" s="12" t="s">
        <v>7816</v>
      </c>
      <c r="P361" s="12"/>
      <c r="Q361" s="12">
        <v>1</v>
      </c>
    </row>
    <row r="362" spans="1:17" ht="15.75" customHeight="1">
      <c r="A362" s="12">
        <v>1458</v>
      </c>
      <c r="B362" s="12">
        <v>945</v>
      </c>
      <c r="C362" s="12">
        <v>12781</v>
      </c>
      <c r="D362" s="12" t="s">
        <v>6047</v>
      </c>
      <c r="E362" s="12" t="s">
        <v>916</v>
      </c>
      <c r="F362" s="12" t="s">
        <v>7817</v>
      </c>
      <c r="G362" s="12" t="s">
        <v>7818</v>
      </c>
      <c r="H362" s="12" t="s">
        <v>6627</v>
      </c>
      <c r="I362" s="12" t="s">
        <v>7504</v>
      </c>
      <c r="J362" s="12">
        <v>12781</v>
      </c>
      <c r="K362" s="12" t="s">
        <v>6069</v>
      </c>
      <c r="L362" s="12" t="s">
        <v>6070</v>
      </c>
      <c r="M362" s="13">
        <v>41907</v>
      </c>
      <c r="N362" s="12" t="s">
        <v>6071</v>
      </c>
      <c r="O362" s="12" t="s">
        <v>6072</v>
      </c>
      <c r="P362" s="12"/>
      <c r="Q362" s="12">
        <v>1</v>
      </c>
    </row>
    <row r="363" spans="1:17" ht="15.75" customHeight="1">
      <c r="A363" s="12">
        <v>1461</v>
      </c>
      <c r="B363" s="12">
        <v>803</v>
      </c>
      <c r="C363" s="12">
        <v>10103</v>
      </c>
      <c r="D363" s="12" t="s">
        <v>6047</v>
      </c>
      <c r="E363" s="12" t="s">
        <v>7819</v>
      </c>
      <c r="F363" s="12" t="s">
        <v>7820</v>
      </c>
      <c r="G363" s="12" t="s">
        <v>7821</v>
      </c>
      <c r="H363" s="12" t="s">
        <v>6265</v>
      </c>
      <c r="I363" s="12" t="s">
        <v>6266</v>
      </c>
      <c r="J363" s="12">
        <v>10103</v>
      </c>
      <c r="K363" s="12" t="s">
        <v>6069</v>
      </c>
      <c r="L363" s="12" t="s">
        <v>6070</v>
      </c>
      <c r="M363" s="13">
        <v>41907</v>
      </c>
      <c r="N363" s="12" t="s">
        <v>6071</v>
      </c>
      <c r="O363" s="12" t="s">
        <v>6072</v>
      </c>
      <c r="P363" s="12"/>
      <c r="Q363" s="12">
        <v>1</v>
      </c>
    </row>
    <row r="364" spans="1:17" ht="15.75" customHeight="1">
      <c r="A364" s="12">
        <v>1082</v>
      </c>
      <c r="B364" s="12">
        <v>949</v>
      </c>
      <c r="C364" s="12">
        <v>12861</v>
      </c>
      <c r="D364" s="12" t="s">
        <v>6047</v>
      </c>
      <c r="E364" s="12" t="s">
        <v>7822</v>
      </c>
      <c r="F364" s="12" t="s">
        <v>7823</v>
      </c>
      <c r="G364" s="12" t="s">
        <v>7824</v>
      </c>
      <c r="H364" s="12" t="s">
        <v>6627</v>
      </c>
      <c r="I364" s="12" t="s">
        <v>7504</v>
      </c>
      <c r="J364" s="12">
        <v>12861</v>
      </c>
      <c r="K364" s="12" t="s">
        <v>6927</v>
      </c>
      <c r="L364" s="12" t="s">
        <v>6504</v>
      </c>
      <c r="M364" s="13">
        <v>42685</v>
      </c>
      <c r="N364" s="12" t="s">
        <v>6928</v>
      </c>
      <c r="O364" s="12" t="s">
        <v>7825</v>
      </c>
      <c r="P364" s="12"/>
      <c r="Q364" s="12">
        <v>1</v>
      </c>
    </row>
    <row r="365" spans="1:17" ht="15.75" customHeight="1">
      <c r="A365" s="12">
        <v>1036</v>
      </c>
      <c r="B365" s="12">
        <v>971</v>
      </c>
      <c r="C365" s="12">
        <v>13102</v>
      </c>
      <c r="D365" s="12" t="s">
        <v>6047</v>
      </c>
      <c r="E365" s="12" t="s">
        <v>7826</v>
      </c>
      <c r="F365" s="12" t="s">
        <v>7827</v>
      </c>
      <c r="G365" s="12" t="s">
        <v>7828</v>
      </c>
      <c r="H365" s="12" t="s">
        <v>6627</v>
      </c>
      <c r="I365" s="12" t="s">
        <v>7504</v>
      </c>
      <c r="J365" s="12">
        <v>13102</v>
      </c>
      <c r="K365" s="12" t="s">
        <v>7829</v>
      </c>
      <c r="L365" s="12" t="s">
        <v>6504</v>
      </c>
      <c r="M365" s="13">
        <v>42688</v>
      </c>
      <c r="N365" s="12" t="s">
        <v>7830</v>
      </c>
      <c r="O365" s="12" t="s">
        <v>7831</v>
      </c>
      <c r="P365" s="12"/>
      <c r="Q365" s="12">
        <v>1</v>
      </c>
    </row>
    <row r="366" spans="1:17" ht="15.75" customHeight="1">
      <c r="A366" s="12">
        <v>1320</v>
      </c>
      <c r="B366" s="12">
        <v>1380</v>
      </c>
      <c r="C366" s="12">
        <v>20034</v>
      </c>
      <c r="D366" s="12" t="s">
        <v>6047</v>
      </c>
      <c r="E366" s="12" t="s">
        <v>7832</v>
      </c>
      <c r="F366" s="12" t="s">
        <v>7833</v>
      </c>
      <c r="G366" s="12" t="s">
        <v>7834</v>
      </c>
      <c r="H366" s="12" t="s">
        <v>6051</v>
      </c>
      <c r="I366" s="12" t="s">
        <v>7041</v>
      </c>
      <c r="J366" s="12">
        <v>20034</v>
      </c>
      <c r="K366" s="12" t="s">
        <v>6105</v>
      </c>
      <c r="L366" s="12" t="s">
        <v>6106</v>
      </c>
      <c r="M366" s="13">
        <v>41924</v>
      </c>
      <c r="N366" s="12" t="s">
        <v>6107</v>
      </c>
      <c r="O366" s="12" t="s">
        <v>7676</v>
      </c>
      <c r="P366" s="12"/>
      <c r="Q366" s="12">
        <v>1</v>
      </c>
    </row>
    <row r="367" spans="1:17" ht="15.75" customHeight="1">
      <c r="A367" s="12">
        <v>1200</v>
      </c>
      <c r="B367" s="12">
        <v>1958</v>
      </c>
      <c r="C367" s="12">
        <v>34902</v>
      </c>
      <c r="D367" s="12" t="s">
        <v>6047</v>
      </c>
      <c r="E367" s="12" t="s">
        <v>1018</v>
      </c>
      <c r="F367" s="12" t="s">
        <v>7835</v>
      </c>
      <c r="G367" s="12" t="s">
        <v>7836</v>
      </c>
      <c r="H367" s="12" t="s">
        <v>6051</v>
      </c>
      <c r="I367" s="12" t="s">
        <v>6700</v>
      </c>
      <c r="J367" s="12">
        <v>34902</v>
      </c>
      <c r="K367" s="12" t="s">
        <v>6429</v>
      </c>
      <c r="L367" s="12" t="s">
        <v>6423</v>
      </c>
      <c r="M367" s="13">
        <v>41991</v>
      </c>
      <c r="N367" s="12" t="s">
        <v>6430</v>
      </c>
      <c r="O367" s="12" t="s">
        <v>6431</v>
      </c>
      <c r="P367" s="12"/>
      <c r="Q367" s="12">
        <v>1</v>
      </c>
    </row>
    <row r="368" spans="1:17" ht="15.75" customHeight="1">
      <c r="A368" s="12">
        <v>978</v>
      </c>
      <c r="B368" s="12">
        <v>1566</v>
      </c>
      <c r="C368" s="12">
        <v>27554</v>
      </c>
      <c r="D368" s="12" t="s">
        <v>6047</v>
      </c>
      <c r="E368" s="12" t="s">
        <v>7837</v>
      </c>
      <c r="F368" s="12" t="s">
        <v>7838</v>
      </c>
      <c r="G368" s="12" t="s">
        <v>7839</v>
      </c>
      <c r="H368" s="12" t="s">
        <v>6051</v>
      </c>
      <c r="I368" s="12" t="s">
        <v>6704</v>
      </c>
      <c r="J368" s="12">
        <v>27554</v>
      </c>
      <c r="K368" s="12" t="s">
        <v>6356</v>
      </c>
      <c r="L368" s="12" t="s">
        <v>6357</v>
      </c>
      <c r="M368" s="13">
        <v>42697</v>
      </c>
      <c r="N368" s="12" t="s">
        <v>6358</v>
      </c>
      <c r="O368" s="12" t="s">
        <v>6359</v>
      </c>
      <c r="P368" s="12"/>
      <c r="Q368" s="12">
        <v>1</v>
      </c>
    </row>
    <row r="369" spans="1:17" ht="15.75" customHeight="1">
      <c r="A369" s="12">
        <v>579</v>
      </c>
      <c r="B369" s="12">
        <v>1063</v>
      </c>
      <c r="C369" s="12">
        <v>15195</v>
      </c>
      <c r="D369" s="12" t="s">
        <v>6047</v>
      </c>
      <c r="E369" s="12" t="s">
        <v>7840</v>
      </c>
      <c r="F369" s="12" t="s">
        <v>7841</v>
      </c>
      <c r="G369" s="12" t="s">
        <v>7842</v>
      </c>
      <c r="H369" s="12" t="s">
        <v>6051</v>
      </c>
      <c r="I369" s="12" t="s">
        <v>6476</v>
      </c>
      <c r="J369" s="12">
        <v>15195</v>
      </c>
      <c r="K369" s="12" t="s">
        <v>6407</v>
      </c>
      <c r="L369" s="12" t="s">
        <v>6408</v>
      </c>
      <c r="M369" s="13">
        <v>43561</v>
      </c>
      <c r="N369" s="12" t="s">
        <v>6409</v>
      </c>
      <c r="O369" s="12" t="s">
        <v>6410</v>
      </c>
      <c r="P369" s="12"/>
      <c r="Q369" s="12">
        <v>1</v>
      </c>
    </row>
    <row r="370" spans="1:17" ht="15.75" customHeight="1">
      <c r="A370" s="12">
        <v>400</v>
      </c>
      <c r="B370" s="12">
        <v>153</v>
      </c>
      <c r="C370" s="12">
        <v>2372</v>
      </c>
      <c r="D370" s="12" t="s">
        <v>6047</v>
      </c>
      <c r="E370" s="12" t="s">
        <v>7843</v>
      </c>
      <c r="F370" s="12" t="s">
        <v>7844</v>
      </c>
      <c r="G370" s="12" t="s">
        <v>7845</v>
      </c>
      <c r="H370" s="12" t="s">
        <v>6127</v>
      </c>
      <c r="I370" s="12" t="s">
        <v>6128</v>
      </c>
      <c r="J370" s="12">
        <v>2372</v>
      </c>
      <c r="K370" s="12" t="s">
        <v>7846</v>
      </c>
      <c r="L370" s="12" t="s">
        <v>7020</v>
      </c>
      <c r="M370" s="13">
        <v>44716</v>
      </c>
      <c r="N370" s="12" t="s">
        <v>7847</v>
      </c>
      <c r="O370" s="12" t="s">
        <v>7848</v>
      </c>
      <c r="P370" s="12"/>
      <c r="Q370" s="12">
        <v>1</v>
      </c>
    </row>
    <row r="371" spans="1:17" ht="15.75" customHeight="1">
      <c r="A371" s="12">
        <v>1297</v>
      </c>
      <c r="B371" s="12">
        <v>580</v>
      </c>
      <c r="C371" s="12">
        <v>7484</v>
      </c>
      <c r="D371" s="12" t="s">
        <v>6047</v>
      </c>
      <c r="E371" s="12" t="s">
        <v>7849</v>
      </c>
      <c r="F371" s="12" t="s">
        <v>7850</v>
      </c>
      <c r="G371" s="12" t="s">
        <v>7851</v>
      </c>
      <c r="H371" s="12" t="s">
        <v>6187</v>
      </c>
      <c r="I371" s="12" t="s">
        <v>6188</v>
      </c>
      <c r="J371" s="12">
        <v>7484</v>
      </c>
      <c r="K371" s="12" t="s">
        <v>6422</v>
      </c>
      <c r="L371" s="12" t="s">
        <v>6423</v>
      </c>
      <c r="M371" s="13">
        <v>41989</v>
      </c>
      <c r="N371" s="12" t="s">
        <v>6424</v>
      </c>
      <c r="O371" s="12" t="s">
        <v>6425</v>
      </c>
      <c r="P371" s="12"/>
      <c r="Q371" s="12">
        <v>1</v>
      </c>
    </row>
    <row r="372" spans="1:17" ht="15.75" customHeight="1">
      <c r="A372" s="12">
        <v>73</v>
      </c>
      <c r="B372" s="12">
        <v>1307</v>
      </c>
      <c r="C372" s="12">
        <v>18417</v>
      </c>
      <c r="D372" s="12" t="s">
        <v>6047</v>
      </c>
      <c r="E372" s="12" t="s">
        <v>1002</v>
      </c>
      <c r="F372" s="12" t="s">
        <v>7852</v>
      </c>
      <c r="G372" s="12" t="s">
        <v>7853</v>
      </c>
      <c r="H372" s="12" t="s">
        <v>6051</v>
      </c>
      <c r="I372" s="12" t="s">
        <v>7763</v>
      </c>
      <c r="J372" s="12">
        <v>18417</v>
      </c>
      <c r="K372" s="12" t="s">
        <v>7854</v>
      </c>
      <c r="L372" s="12" t="s">
        <v>6564</v>
      </c>
      <c r="M372" s="13">
        <v>45971</v>
      </c>
      <c r="N372" s="12" t="s">
        <v>7855</v>
      </c>
      <c r="O372" s="12" t="s">
        <v>7856</v>
      </c>
      <c r="P372" s="12"/>
      <c r="Q372" s="12">
        <v>1</v>
      </c>
    </row>
    <row r="373" spans="1:17" ht="15.75" customHeight="1">
      <c r="A373" s="12">
        <v>952</v>
      </c>
      <c r="B373" s="12">
        <v>1899</v>
      </c>
      <c r="C373" s="12">
        <v>34308</v>
      </c>
      <c r="D373" s="12" t="s">
        <v>6047</v>
      </c>
      <c r="E373" s="12" t="s">
        <v>7857</v>
      </c>
      <c r="F373" s="12" t="s">
        <v>7858</v>
      </c>
      <c r="G373" s="12" t="s">
        <v>7859</v>
      </c>
      <c r="H373" s="12" t="s">
        <v>6051</v>
      </c>
      <c r="I373" s="12" t="s">
        <v>6362</v>
      </c>
      <c r="J373" s="12">
        <v>34308</v>
      </c>
      <c r="K373" s="12" t="s">
        <v>7860</v>
      </c>
      <c r="L373" s="12" t="s">
        <v>7861</v>
      </c>
      <c r="M373" s="13">
        <v>42827</v>
      </c>
      <c r="N373" s="12" t="s">
        <v>7862</v>
      </c>
      <c r="O373" s="12" t="s">
        <v>7863</v>
      </c>
      <c r="P373" s="12"/>
      <c r="Q373" s="12">
        <v>1</v>
      </c>
    </row>
    <row r="374" spans="1:17" ht="15.75" customHeight="1">
      <c r="A374" s="12">
        <v>2047</v>
      </c>
      <c r="B374" s="12">
        <v>282</v>
      </c>
      <c r="C374" s="12">
        <v>4672</v>
      </c>
      <c r="D374" s="12" t="s">
        <v>6047</v>
      </c>
      <c r="E374" s="12" t="s">
        <v>7864</v>
      </c>
      <c r="F374" s="12" t="s">
        <v>7865</v>
      </c>
      <c r="G374" s="12" t="s">
        <v>7866</v>
      </c>
      <c r="H374" s="12" t="s">
        <v>6163</v>
      </c>
      <c r="I374" s="12" t="s">
        <v>6253</v>
      </c>
      <c r="J374" s="12">
        <v>4672</v>
      </c>
      <c r="K374" s="12" t="s">
        <v>7867</v>
      </c>
      <c r="L374" s="12" t="s">
        <v>6408</v>
      </c>
      <c r="M374" s="13">
        <v>38170</v>
      </c>
      <c r="N374" s="12" t="s">
        <v>7868</v>
      </c>
      <c r="O374" s="12" t="s">
        <v>7869</v>
      </c>
      <c r="P374" s="12"/>
      <c r="Q374" s="12">
        <v>1</v>
      </c>
    </row>
    <row r="375" spans="1:17" ht="15.75" customHeight="1">
      <c r="A375" s="12">
        <v>1164</v>
      </c>
      <c r="B375" s="12">
        <v>2028</v>
      </c>
      <c r="C375" s="12">
        <v>35783</v>
      </c>
      <c r="D375" s="12" t="s">
        <v>6047</v>
      </c>
      <c r="E375" s="12" t="s">
        <v>7870</v>
      </c>
      <c r="F375" s="12" t="s">
        <v>7871</v>
      </c>
      <c r="G375" s="12" t="s">
        <v>7872</v>
      </c>
      <c r="H375" s="12" t="s">
        <v>6051</v>
      </c>
      <c r="I375" s="12" t="s">
        <v>6700</v>
      </c>
      <c r="J375" s="12">
        <v>35783</v>
      </c>
      <c r="K375" s="12" t="s">
        <v>7873</v>
      </c>
      <c r="L375" s="12" t="s">
        <v>6832</v>
      </c>
      <c r="M375" s="13">
        <v>41998</v>
      </c>
      <c r="N375" s="12" t="s">
        <v>7874</v>
      </c>
      <c r="O375" s="12" t="s">
        <v>7875</v>
      </c>
      <c r="P375" s="12"/>
      <c r="Q375" s="12">
        <v>1</v>
      </c>
    </row>
    <row r="376" spans="1:17" ht="15.75" customHeight="1">
      <c r="A376" s="12">
        <v>1268</v>
      </c>
      <c r="B376" s="12">
        <v>276</v>
      </c>
      <c r="C376" s="12">
        <v>4648</v>
      </c>
      <c r="D376" s="12" t="s">
        <v>6047</v>
      </c>
      <c r="E376" s="12" t="s">
        <v>7876</v>
      </c>
      <c r="F376" s="12" t="s">
        <v>7877</v>
      </c>
      <c r="G376" s="12" t="s">
        <v>7878</v>
      </c>
      <c r="H376" s="12" t="s">
        <v>6163</v>
      </c>
      <c r="I376" s="12" t="s">
        <v>6253</v>
      </c>
      <c r="J376" s="12">
        <v>4648</v>
      </c>
      <c r="K376" s="12" t="s">
        <v>6470</v>
      </c>
      <c r="L376" s="12" t="s">
        <v>6423</v>
      </c>
      <c r="M376" s="13">
        <v>41990</v>
      </c>
      <c r="N376" s="12" t="s">
        <v>6471</v>
      </c>
      <c r="O376" s="12" t="s">
        <v>6472</v>
      </c>
      <c r="P376" s="12"/>
      <c r="Q376" s="12">
        <v>1</v>
      </c>
    </row>
    <row r="377" spans="1:17" ht="15.75" customHeight="1">
      <c r="A377" s="12">
        <v>1652</v>
      </c>
      <c r="B377" s="12">
        <v>67</v>
      </c>
      <c r="C377" s="12">
        <v>742</v>
      </c>
      <c r="D377" s="12" t="s">
        <v>6047</v>
      </c>
      <c r="E377" s="12" t="s">
        <v>7879</v>
      </c>
      <c r="F377" s="12" t="s">
        <v>7880</v>
      </c>
      <c r="G377" s="12" t="s">
        <v>7881</v>
      </c>
      <c r="H377" s="12" t="s">
        <v>6289</v>
      </c>
      <c r="I377" s="12" t="s">
        <v>6290</v>
      </c>
      <c r="J377" s="12">
        <v>742</v>
      </c>
      <c r="K377" s="12" t="s">
        <v>7882</v>
      </c>
      <c r="L377" s="12" t="s">
        <v>6240</v>
      </c>
      <c r="M377" s="13">
        <v>41252</v>
      </c>
      <c r="N377" s="12" t="s">
        <v>7883</v>
      </c>
      <c r="O377" s="12" t="s">
        <v>7884</v>
      </c>
      <c r="P377" s="12"/>
      <c r="Q377" s="12">
        <v>1</v>
      </c>
    </row>
    <row r="378" spans="1:17" ht="15.75" customHeight="1">
      <c r="A378" s="12">
        <v>1273</v>
      </c>
      <c r="B378" s="12">
        <v>263</v>
      </c>
      <c r="C378" s="12">
        <v>4533</v>
      </c>
      <c r="D378" s="12" t="s">
        <v>6047</v>
      </c>
      <c r="E378" s="12" t="s">
        <v>7885</v>
      </c>
      <c r="F378" s="12" t="s">
        <v>7886</v>
      </c>
      <c r="G378" s="12" t="s">
        <v>7887</v>
      </c>
      <c r="H378" s="12" t="s">
        <v>6163</v>
      </c>
      <c r="I378" s="12" t="s">
        <v>6253</v>
      </c>
      <c r="J378" s="12">
        <v>4533</v>
      </c>
      <c r="K378" s="12" t="s">
        <v>6470</v>
      </c>
      <c r="L378" s="12" t="s">
        <v>6423</v>
      </c>
      <c r="M378" s="13">
        <v>41990</v>
      </c>
      <c r="N378" s="12" t="s">
        <v>6471</v>
      </c>
      <c r="O378" s="12" t="s">
        <v>6472</v>
      </c>
      <c r="P378" s="12"/>
      <c r="Q378" s="12">
        <v>1</v>
      </c>
    </row>
    <row r="379" spans="1:17" ht="15.75" customHeight="1">
      <c r="A379" s="12">
        <v>151</v>
      </c>
      <c r="B379" s="12">
        <v>326</v>
      </c>
      <c r="C379" s="12">
        <v>5028</v>
      </c>
      <c r="D379" s="12" t="s">
        <v>6047</v>
      </c>
      <c r="E379" s="12" t="s">
        <v>7888</v>
      </c>
      <c r="F379" s="12" t="s">
        <v>7889</v>
      </c>
      <c r="G379" s="12" t="s">
        <v>7890</v>
      </c>
      <c r="H379" s="12" t="s">
        <v>6163</v>
      </c>
      <c r="I379" s="12" t="s">
        <v>6253</v>
      </c>
      <c r="J379" s="12">
        <v>5028</v>
      </c>
      <c r="K379" s="12" t="s">
        <v>7891</v>
      </c>
      <c r="L379" s="12" t="s">
        <v>6760</v>
      </c>
      <c r="M379" s="13">
        <v>45756</v>
      </c>
      <c r="N379" s="12" t="s">
        <v>7892</v>
      </c>
      <c r="O379" s="12" t="s">
        <v>7893</v>
      </c>
      <c r="P379" s="12"/>
      <c r="Q379" s="12">
        <v>1</v>
      </c>
    </row>
    <row r="380" spans="1:17" ht="15.75" customHeight="1">
      <c r="A380" s="12">
        <v>420</v>
      </c>
      <c r="B380" s="12">
        <v>1054</v>
      </c>
      <c r="C380" s="12">
        <v>15012</v>
      </c>
      <c r="D380" s="12" t="s">
        <v>6047</v>
      </c>
      <c r="E380" s="12" t="s">
        <v>7894</v>
      </c>
      <c r="F380" s="12" t="s">
        <v>7895</v>
      </c>
      <c r="G380" s="12" t="s">
        <v>7896</v>
      </c>
      <c r="H380" s="12" t="s">
        <v>6051</v>
      </c>
      <c r="I380" s="12" t="s">
        <v>6476</v>
      </c>
      <c r="J380" s="12">
        <v>15012</v>
      </c>
      <c r="K380" s="12" t="s">
        <v>7019</v>
      </c>
      <c r="L380" s="12" t="s">
        <v>7020</v>
      </c>
      <c r="M380" s="13">
        <v>44715</v>
      </c>
      <c r="N380" s="12" t="s">
        <v>7021</v>
      </c>
      <c r="O380" s="12" t="s">
        <v>7022</v>
      </c>
      <c r="P380" s="12"/>
      <c r="Q380" s="12">
        <v>1</v>
      </c>
    </row>
    <row r="381" spans="1:17" ht="15.75" customHeight="1">
      <c r="A381" s="12">
        <v>1419</v>
      </c>
      <c r="B381" s="12">
        <v>193</v>
      </c>
      <c r="C381" s="12">
        <v>3114</v>
      </c>
      <c r="D381" s="12" t="s">
        <v>6047</v>
      </c>
      <c r="E381" s="12" t="s">
        <v>1026</v>
      </c>
      <c r="F381" s="12" t="s">
        <v>7897</v>
      </c>
      <c r="G381" s="12" t="s">
        <v>7898</v>
      </c>
      <c r="H381" s="12" t="s">
        <v>7069</v>
      </c>
      <c r="I381" s="12" t="s">
        <v>7070</v>
      </c>
      <c r="J381" s="12">
        <v>3114</v>
      </c>
      <c r="K381" s="12" t="s">
        <v>6086</v>
      </c>
      <c r="L381" s="12" t="s">
        <v>6087</v>
      </c>
      <c r="M381" s="13">
        <v>41910</v>
      </c>
      <c r="N381" s="12" t="s">
        <v>6088</v>
      </c>
      <c r="O381" s="12" t="s">
        <v>6089</v>
      </c>
      <c r="P381" s="12"/>
      <c r="Q381" s="12">
        <v>1</v>
      </c>
    </row>
    <row r="382" spans="1:17" ht="15.75" customHeight="1">
      <c r="A382" s="12">
        <v>1929</v>
      </c>
      <c r="B382" s="12">
        <v>168</v>
      </c>
      <c r="C382" s="12">
        <v>2907</v>
      </c>
      <c r="D382" s="12" t="s">
        <v>6047</v>
      </c>
      <c r="E382" s="12" t="s">
        <v>1028</v>
      </c>
      <c r="F382" s="12" t="s">
        <v>7899</v>
      </c>
      <c r="G382" s="12" t="s">
        <v>7900</v>
      </c>
      <c r="H382" s="12" t="s">
        <v>7901</v>
      </c>
      <c r="I382" s="12" t="s">
        <v>7902</v>
      </c>
      <c r="J382" s="12">
        <v>2907</v>
      </c>
      <c r="K382" s="12" t="s">
        <v>7476</v>
      </c>
      <c r="L382" s="12" t="s">
        <v>7477</v>
      </c>
      <c r="M382" s="13">
        <v>39237</v>
      </c>
      <c r="N382" s="12" t="s">
        <v>7478</v>
      </c>
      <c r="O382" s="12" t="s">
        <v>7479</v>
      </c>
      <c r="P382" s="12"/>
      <c r="Q382" s="12">
        <v>1</v>
      </c>
    </row>
    <row r="383" spans="1:17" ht="15.75" customHeight="1">
      <c r="A383" s="12">
        <v>1437</v>
      </c>
      <c r="B383" s="12">
        <v>1584</v>
      </c>
      <c r="C383" s="12">
        <v>27948</v>
      </c>
      <c r="D383" s="12" t="s">
        <v>6047</v>
      </c>
      <c r="E383" s="12" t="s">
        <v>1030</v>
      </c>
      <c r="F383" s="12" t="s">
        <v>7903</v>
      </c>
      <c r="G383" s="12" t="s">
        <v>7904</v>
      </c>
      <c r="H383" s="12" t="s">
        <v>6051</v>
      </c>
      <c r="I383" s="12" t="s">
        <v>6547</v>
      </c>
      <c r="J383" s="12">
        <v>27948</v>
      </c>
      <c r="K383" s="12" t="s">
        <v>6069</v>
      </c>
      <c r="L383" s="12" t="s">
        <v>6070</v>
      </c>
      <c r="M383" s="13">
        <v>41908</v>
      </c>
      <c r="N383" s="12" t="s">
        <v>6071</v>
      </c>
      <c r="O383" s="12" t="s">
        <v>6901</v>
      </c>
      <c r="P383" s="12"/>
      <c r="Q383" s="12">
        <v>1</v>
      </c>
    </row>
    <row r="384" spans="1:17" ht="15.75" customHeight="1">
      <c r="A384" s="12">
        <v>435</v>
      </c>
      <c r="B384" s="12">
        <v>741</v>
      </c>
      <c r="C384" s="12">
        <v>9133</v>
      </c>
      <c r="D384" s="12" t="s">
        <v>6047</v>
      </c>
      <c r="E384" s="12" t="s">
        <v>7905</v>
      </c>
      <c r="F384" s="12" t="s">
        <v>7906</v>
      </c>
      <c r="G384" s="12" t="s">
        <v>7907</v>
      </c>
      <c r="H384" s="12" t="s">
        <v>6275</v>
      </c>
      <c r="I384" s="12" t="s">
        <v>6453</v>
      </c>
      <c r="J384" s="12">
        <v>9133</v>
      </c>
      <c r="K384" s="12" t="s">
        <v>7908</v>
      </c>
      <c r="L384" s="12" t="s">
        <v>6345</v>
      </c>
      <c r="M384" s="13">
        <v>44643</v>
      </c>
      <c r="N384" s="12" t="s">
        <v>7909</v>
      </c>
      <c r="O384" s="12" t="s">
        <v>7910</v>
      </c>
      <c r="P384" s="12"/>
      <c r="Q384" s="12">
        <v>1</v>
      </c>
    </row>
    <row r="385" spans="1:17" ht="15.75" customHeight="1">
      <c r="A385" s="12">
        <v>1548</v>
      </c>
      <c r="B385" s="12">
        <v>1512</v>
      </c>
      <c r="C385" s="12">
        <v>25253</v>
      </c>
      <c r="D385" s="12" t="s">
        <v>6047</v>
      </c>
      <c r="E385" s="12" t="s">
        <v>1035</v>
      </c>
      <c r="F385" s="12" t="s">
        <v>7911</v>
      </c>
      <c r="G385" s="12" t="s">
        <v>7912</v>
      </c>
      <c r="H385" s="12" t="s">
        <v>6051</v>
      </c>
      <c r="I385" s="12" t="s">
        <v>7913</v>
      </c>
      <c r="J385" s="12">
        <v>25253</v>
      </c>
      <c r="K385" s="12" t="s">
        <v>7914</v>
      </c>
      <c r="L385" s="12" t="s">
        <v>6255</v>
      </c>
      <c r="M385" s="13">
        <v>41563</v>
      </c>
      <c r="N385" s="12" t="s">
        <v>7915</v>
      </c>
      <c r="O385" s="12" t="s">
        <v>7916</v>
      </c>
      <c r="P385" s="12"/>
      <c r="Q385" s="12">
        <v>1</v>
      </c>
    </row>
    <row r="386" spans="1:17" ht="15.75" customHeight="1">
      <c r="A386" s="12">
        <v>389</v>
      </c>
      <c r="B386" s="12">
        <v>1795</v>
      </c>
      <c r="C386" s="12">
        <v>33362</v>
      </c>
      <c r="D386" s="12" t="s">
        <v>6047</v>
      </c>
      <c r="E386" s="12" t="s">
        <v>7917</v>
      </c>
      <c r="F386" s="12" t="s">
        <v>7918</v>
      </c>
      <c r="G386" s="12" t="s">
        <v>7919</v>
      </c>
      <c r="H386" s="12" t="s">
        <v>6051</v>
      </c>
      <c r="I386" s="12" t="s">
        <v>6374</v>
      </c>
      <c r="J386" s="12">
        <v>33362</v>
      </c>
      <c r="K386" s="12" t="s">
        <v>7920</v>
      </c>
      <c r="L386" s="12" t="s">
        <v>7311</v>
      </c>
      <c r="M386" s="13">
        <v>44717</v>
      </c>
      <c r="N386" s="12" t="s">
        <v>7921</v>
      </c>
      <c r="O386" s="12" t="s">
        <v>7922</v>
      </c>
      <c r="P386" s="12"/>
      <c r="Q386" s="12">
        <v>1</v>
      </c>
    </row>
    <row r="387" spans="1:17" ht="15.75" customHeight="1">
      <c r="A387" s="12">
        <v>347</v>
      </c>
      <c r="B387" s="12">
        <v>1561</v>
      </c>
      <c r="C387" s="12">
        <v>27535</v>
      </c>
      <c r="D387" s="12" t="s">
        <v>6047</v>
      </c>
      <c r="E387" s="12" t="s">
        <v>7923</v>
      </c>
      <c r="F387" s="12" t="s">
        <v>7924</v>
      </c>
      <c r="G387" s="12" t="s">
        <v>7925</v>
      </c>
      <c r="H387" s="12" t="s">
        <v>6051</v>
      </c>
      <c r="I387" s="12" t="s">
        <v>6704</v>
      </c>
      <c r="J387" s="12">
        <v>27535</v>
      </c>
      <c r="K387" s="12" t="s">
        <v>7926</v>
      </c>
      <c r="L387" s="12" t="s">
        <v>6732</v>
      </c>
      <c r="M387" s="13">
        <v>44724</v>
      </c>
      <c r="N387" s="12" t="s">
        <v>7927</v>
      </c>
      <c r="O387" s="12" t="s">
        <v>7928</v>
      </c>
      <c r="P387" s="12"/>
      <c r="Q387" s="12">
        <v>1</v>
      </c>
    </row>
    <row r="388" spans="1:17" ht="15.75" customHeight="1">
      <c r="A388" s="12">
        <v>1130</v>
      </c>
      <c r="B388" s="12">
        <v>13</v>
      </c>
      <c r="C388" s="12">
        <v>331</v>
      </c>
      <c r="D388" s="12" t="s">
        <v>6047</v>
      </c>
      <c r="E388" s="12" t="s">
        <v>7929</v>
      </c>
      <c r="F388" s="12" t="s">
        <v>7930</v>
      </c>
      <c r="G388" s="12" t="s">
        <v>7931</v>
      </c>
      <c r="H388" s="12" t="s">
        <v>6289</v>
      </c>
      <c r="I388" s="12" t="s">
        <v>6290</v>
      </c>
      <c r="J388" s="12">
        <v>331</v>
      </c>
      <c r="K388" s="12" t="s">
        <v>7932</v>
      </c>
      <c r="L388" s="12" t="s">
        <v>7933</v>
      </c>
      <c r="M388" s="13">
        <v>42291</v>
      </c>
      <c r="N388" s="12" t="s">
        <v>7934</v>
      </c>
      <c r="O388" s="12" t="s">
        <v>7935</v>
      </c>
      <c r="P388" s="12"/>
      <c r="Q388" s="12">
        <v>1</v>
      </c>
    </row>
    <row r="389" spans="1:17" ht="15.75" customHeight="1">
      <c r="A389" s="12">
        <v>1669</v>
      </c>
      <c r="B389" s="12">
        <v>632</v>
      </c>
      <c r="C389" s="12">
        <v>7808</v>
      </c>
      <c r="D389" s="12" t="s">
        <v>6047</v>
      </c>
      <c r="E389" s="12" t="s">
        <v>1040</v>
      </c>
      <c r="F389" s="12" t="s">
        <v>7936</v>
      </c>
      <c r="G389" s="12" t="s">
        <v>7937</v>
      </c>
      <c r="H389" s="12" t="s">
        <v>6414</v>
      </c>
      <c r="I389" s="12" t="s">
        <v>6415</v>
      </c>
      <c r="J389" s="12">
        <v>7808</v>
      </c>
      <c r="K389" s="12" t="s">
        <v>7938</v>
      </c>
      <c r="L389" s="12" t="s">
        <v>7411</v>
      </c>
      <c r="M389" s="13">
        <v>41029</v>
      </c>
      <c r="N389" s="12" t="s">
        <v>7939</v>
      </c>
      <c r="O389" s="12" t="s">
        <v>7940</v>
      </c>
      <c r="P389" s="12"/>
      <c r="Q389" s="12">
        <v>1</v>
      </c>
    </row>
    <row r="390" spans="1:17" ht="15.75" customHeight="1">
      <c r="A390" s="12">
        <v>307</v>
      </c>
      <c r="B390" s="12">
        <v>498</v>
      </c>
      <c r="C390" s="12">
        <v>6591</v>
      </c>
      <c r="D390" s="12" t="s">
        <v>6047</v>
      </c>
      <c r="E390" s="12" t="s">
        <v>7941</v>
      </c>
      <c r="F390" s="12" t="s">
        <v>7942</v>
      </c>
      <c r="G390" s="12" t="s">
        <v>7943</v>
      </c>
      <c r="H390" s="12" t="s">
        <v>6137</v>
      </c>
      <c r="I390" s="12" t="s">
        <v>6200</v>
      </c>
      <c r="J390" s="12">
        <v>6591</v>
      </c>
      <c r="K390" s="12" t="s">
        <v>7944</v>
      </c>
      <c r="L390" s="12" t="s">
        <v>6962</v>
      </c>
      <c r="M390" s="13">
        <v>45559</v>
      </c>
      <c r="N390" s="12" t="s">
        <v>7945</v>
      </c>
      <c r="O390" s="12" t="s">
        <v>7946</v>
      </c>
      <c r="P390" s="12"/>
      <c r="Q390" s="12">
        <v>1</v>
      </c>
    </row>
    <row r="391" spans="1:17" ht="15.75" customHeight="1">
      <c r="A391" s="12">
        <v>633</v>
      </c>
      <c r="B391" s="12">
        <v>93</v>
      </c>
      <c r="C391" s="12">
        <v>1094</v>
      </c>
      <c r="D391" s="12" t="s">
        <v>6047</v>
      </c>
      <c r="E391" s="12" t="s">
        <v>7947</v>
      </c>
      <c r="F391" s="12" t="s">
        <v>7948</v>
      </c>
      <c r="G391" s="12" t="s">
        <v>7949</v>
      </c>
      <c r="H391" s="12" t="s">
        <v>6435</v>
      </c>
      <c r="I391" s="12" t="s">
        <v>7403</v>
      </c>
      <c r="J391" s="12">
        <v>1094</v>
      </c>
      <c r="K391" s="12" t="s">
        <v>7950</v>
      </c>
      <c r="L391" s="12" t="s">
        <v>6255</v>
      </c>
      <c r="M391" s="13">
        <v>43419</v>
      </c>
      <c r="N391" s="12" t="s">
        <v>7951</v>
      </c>
      <c r="O391" s="12" t="s">
        <v>7952</v>
      </c>
      <c r="P391" s="12"/>
      <c r="Q391" s="12">
        <v>1</v>
      </c>
    </row>
    <row r="392" spans="1:17" ht="15.75" customHeight="1">
      <c r="A392" s="12">
        <v>1554</v>
      </c>
      <c r="B392" s="12">
        <v>1419</v>
      </c>
      <c r="C392" s="12">
        <v>21303</v>
      </c>
      <c r="D392" s="12" t="s">
        <v>6047</v>
      </c>
      <c r="E392" s="12" t="s">
        <v>1043</v>
      </c>
      <c r="F392" s="12" t="s">
        <v>7953</v>
      </c>
      <c r="G392" s="12" t="s">
        <v>7954</v>
      </c>
      <c r="H392" s="12" t="s">
        <v>6051</v>
      </c>
      <c r="I392" s="12" t="s">
        <v>6299</v>
      </c>
      <c r="J392" s="12">
        <v>21303</v>
      </c>
      <c r="K392" s="12" t="s">
        <v>7914</v>
      </c>
      <c r="L392" s="12" t="s">
        <v>6255</v>
      </c>
      <c r="M392" s="13">
        <v>41563</v>
      </c>
      <c r="N392" s="12" t="s">
        <v>7915</v>
      </c>
      <c r="O392" s="12" t="s">
        <v>7955</v>
      </c>
      <c r="P392" s="12"/>
      <c r="Q392" s="12">
        <v>1</v>
      </c>
    </row>
    <row r="393" spans="1:17" ht="15.75" customHeight="1">
      <c r="A393" s="12">
        <v>1581</v>
      </c>
      <c r="B393" s="12">
        <v>1593</v>
      </c>
      <c r="C393" s="12">
        <v>28054</v>
      </c>
      <c r="D393" s="12" t="s">
        <v>6047</v>
      </c>
      <c r="E393" s="12" t="s">
        <v>1049</v>
      </c>
      <c r="F393" s="12" t="s">
        <v>7956</v>
      </c>
      <c r="G393" s="12" t="s">
        <v>7957</v>
      </c>
      <c r="H393" s="12" t="s">
        <v>6051</v>
      </c>
      <c r="I393" s="12" t="s">
        <v>6894</v>
      </c>
      <c r="J393" s="12">
        <v>28054</v>
      </c>
      <c r="K393" s="12" t="s">
        <v>7958</v>
      </c>
      <c r="L393" s="12" t="s">
        <v>6255</v>
      </c>
      <c r="M393" s="13">
        <v>41559</v>
      </c>
      <c r="N393" s="12" t="s">
        <v>7959</v>
      </c>
      <c r="O393" s="12" t="s">
        <v>7960</v>
      </c>
      <c r="P393" s="12"/>
      <c r="Q393" s="12">
        <v>1</v>
      </c>
    </row>
    <row r="394" spans="1:17" ht="15.75" customHeight="1">
      <c r="A394" s="12">
        <v>1580</v>
      </c>
      <c r="B394" s="12">
        <v>1793</v>
      </c>
      <c r="C394" s="12">
        <v>33350</v>
      </c>
      <c r="D394" s="12" t="s">
        <v>6047</v>
      </c>
      <c r="E394" s="12" t="s">
        <v>1045</v>
      </c>
      <c r="F394" s="12" t="s">
        <v>7961</v>
      </c>
      <c r="G394" s="12" t="s">
        <v>7962</v>
      </c>
      <c r="H394" s="12" t="s">
        <v>6051</v>
      </c>
      <c r="I394" s="12" t="s">
        <v>6374</v>
      </c>
      <c r="J394" s="12">
        <v>33350</v>
      </c>
      <c r="K394" s="12" t="s">
        <v>7958</v>
      </c>
      <c r="L394" s="12" t="s">
        <v>6255</v>
      </c>
      <c r="M394" s="13">
        <v>41559</v>
      </c>
      <c r="N394" s="12" t="s">
        <v>7959</v>
      </c>
      <c r="O394" s="12" t="s">
        <v>7960</v>
      </c>
      <c r="P394" s="12"/>
      <c r="Q394" s="12">
        <v>1</v>
      </c>
    </row>
    <row r="395" spans="1:17" ht="15.75" customHeight="1">
      <c r="A395" s="12">
        <v>1625</v>
      </c>
      <c r="B395" s="12">
        <v>14</v>
      </c>
      <c r="C395" s="12">
        <v>342</v>
      </c>
      <c r="D395" s="12" t="s">
        <v>6047</v>
      </c>
      <c r="E395" s="12" t="s">
        <v>7963</v>
      </c>
      <c r="F395" s="12" t="s">
        <v>7964</v>
      </c>
      <c r="G395" s="12" t="s">
        <v>7965</v>
      </c>
      <c r="H395" s="12" t="s">
        <v>6289</v>
      </c>
      <c r="I395" s="12" t="s">
        <v>6290</v>
      </c>
      <c r="J395" s="12">
        <v>342</v>
      </c>
      <c r="K395" s="12" t="s">
        <v>7966</v>
      </c>
      <c r="L395" s="12" t="s">
        <v>6240</v>
      </c>
      <c r="M395" s="13">
        <v>41387</v>
      </c>
      <c r="N395" s="12" t="s">
        <v>7967</v>
      </c>
      <c r="O395" s="12" t="s">
        <v>7968</v>
      </c>
      <c r="P395" s="12"/>
      <c r="Q395" s="12">
        <v>1</v>
      </c>
    </row>
    <row r="396" spans="1:17" ht="15.75" customHeight="1">
      <c r="A396" s="12">
        <v>1137</v>
      </c>
      <c r="B396" s="12">
        <v>1410</v>
      </c>
      <c r="C396" s="12">
        <v>21181</v>
      </c>
      <c r="D396" s="12" t="s">
        <v>6047</v>
      </c>
      <c r="E396" s="12" t="s">
        <v>7969</v>
      </c>
      <c r="F396" s="12" t="s">
        <v>7970</v>
      </c>
      <c r="G396" s="12" t="s">
        <v>7971</v>
      </c>
      <c r="H396" s="12" t="s">
        <v>6051</v>
      </c>
      <c r="I396" s="12" t="s">
        <v>6299</v>
      </c>
      <c r="J396" s="12">
        <v>21181</v>
      </c>
      <c r="K396" s="12" t="s">
        <v>7972</v>
      </c>
      <c r="L396" s="12" t="s">
        <v>7933</v>
      </c>
      <c r="M396" s="13">
        <v>42284</v>
      </c>
      <c r="N396" s="12" t="s">
        <v>7973</v>
      </c>
      <c r="O396" s="12" t="s">
        <v>7974</v>
      </c>
      <c r="P396" s="12"/>
      <c r="Q396" s="12">
        <v>1</v>
      </c>
    </row>
    <row r="397" spans="1:17" ht="15.75" customHeight="1">
      <c r="A397" s="12">
        <v>1498</v>
      </c>
      <c r="B397" s="12">
        <v>1903</v>
      </c>
      <c r="C397" s="12">
        <v>34344</v>
      </c>
      <c r="D397" s="12" t="s">
        <v>6047</v>
      </c>
      <c r="E397" s="12" t="s">
        <v>7975</v>
      </c>
      <c r="F397" s="12" t="s">
        <v>7976</v>
      </c>
      <c r="G397" s="12" t="s">
        <v>7977</v>
      </c>
      <c r="H397" s="12" t="s">
        <v>6051</v>
      </c>
      <c r="I397" s="12" t="s">
        <v>6362</v>
      </c>
      <c r="J397" s="12">
        <v>34344</v>
      </c>
      <c r="K397" s="12" t="s">
        <v>6825</v>
      </c>
      <c r="L397" s="12" t="s">
        <v>6284</v>
      </c>
      <c r="M397" s="13">
        <v>41784</v>
      </c>
      <c r="N397" s="12" t="s">
        <v>6826</v>
      </c>
      <c r="O397" s="12" t="s">
        <v>7978</v>
      </c>
      <c r="P397" s="12"/>
      <c r="Q397" s="12">
        <v>1</v>
      </c>
    </row>
    <row r="398" spans="1:17" ht="15.75" customHeight="1">
      <c r="A398" s="12">
        <v>377</v>
      </c>
      <c r="B398" s="12">
        <v>1562</v>
      </c>
      <c r="C398" s="12">
        <v>27536</v>
      </c>
      <c r="D398" s="12" t="s">
        <v>6047</v>
      </c>
      <c r="E398" s="12" t="s">
        <v>7979</v>
      </c>
      <c r="F398" s="12" t="s">
        <v>7980</v>
      </c>
      <c r="G398" s="12" t="s">
        <v>7981</v>
      </c>
      <c r="H398" s="12" t="s">
        <v>6051</v>
      </c>
      <c r="I398" s="12" t="s">
        <v>6704</v>
      </c>
      <c r="J398" s="12">
        <v>27536</v>
      </c>
      <c r="K398" s="12" t="s">
        <v>7982</v>
      </c>
      <c r="L398" s="12" t="s">
        <v>7983</v>
      </c>
      <c r="M398" s="13">
        <v>44719</v>
      </c>
      <c r="N398" s="12" t="s">
        <v>7984</v>
      </c>
      <c r="O398" s="12" t="s">
        <v>7985</v>
      </c>
      <c r="P398" s="12"/>
      <c r="Q398" s="12">
        <v>1</v>
      </c>
    </row>
    <row r="399" spans="1:17" ht="15.75" customHeight="1">
      <c r="A399" s="12">
        <v>349</v>
      </c>
      <c r="B399" s="12">
        <v>306</v>
      </c>
      <c r="C399" s="12">
        <v>4883</v>
      </c>
      <c r="D399" s="12" t="s">
        <v>6047</v>
      </c>
      <c r="E399" s="12" t="s">
        <v>1070</v>
      </c>
      <c r="F399" s="12" t="s">
        <v>7986</v>
      </c>
      <c r="G399" s="12" t="s">
        <v>7987</v>
      </c>
      <c r="H399" s="12" t="s">
        <v>6163</v>
      </c>
      <c r="I399" s="12" t="s">
        <v>6253</v>
      </c>
      <c r="J399" s="12">
        <v>4883</v>
      </c>
      <c r="K399" s="12" t="s">
        <v>7926</v>
      </c>
      <c r="L399" s="12" t="s">
        <v>6732</v>
      </c>
      <c r="M399" s="13">
        <v>44724</v>
      </c>
      <c r="N399" s="12" t="s">
        <v>7927</v>
      </c>
      <c r="O399" s="12" t="s">
        <v>7928</v>
      </c>
      <c r="P399" s="12"/>
      <c r="Q399" s="12">
        <v>1</v>
      </c>
    </row>
    <row r="400" spans="1:17" ht="15.75" customHeight="1">
      <c r="A400" s="12">
        <v>1136</v>
      </c>
      <c r="B400" s="12">
        <v>54</v>
      </c>
      <c r="C400" s="12">
        <v>666</v>
      </c>
      <c r="D400" s="12" t="s">
        <v>6047</v>
      </c>
      <c r="E400" s="12" t="s">
        <v>7988</v>
      </c>
      <c r="F400" s="12" t="s">
        <v>7989</v>
      </c>
      <c r="G400" s="12" t="s">
        <v>7990</v>
      </c>
      <c r="H400" s="12" t="s">
        <v>6289</v>
      </c>
      <c r="I400" s="12" t="s">
        <v>6290</v>
      </c>
      <c r="J400" s="12">
        <v>666</v>
      </c>
      <c r="K400" s="12" t="s">
        <v>7991</v>
      </c>
      <c r="L400" s="12" t="s">
        <v>7933</v>
      </c>
      <c r="M400" s="13">
        <v>42284</v>
      </c>
      <c r="N400" s="12" t="s">
        <v>7992</v>
      </c>
      <c r="O400" s="12" t="s">
        <v>7993</v>
      </c>
      <c r="P400" s="12"/>
      <c r="Q400" s="12">
        <v>1</v>
      </c>
    </row>
    <row r="401" spans="1:17" ht="15.75" customHeight="1">
      <c r="A401" s="12">
        <v>41</v>
      </c>
      <c r="B401" s="12">
        <v>16</v>
      </c>
      <c r="C401" s="12">
        <v>372</v>
      </c>
      <c r="D401" s="12" t="s">
        <v>6047</v>
      </c>
      <c r="E401" s="12" t="s">
        <v>1074</v>
      </c>
      <c r="F401" s="12" t="s">
        <v>7994</v>
      </c>
      <c r="G401" s="12" t="s">
        <v>7995</v>
      </c>
      <c r="H401" s="12" t="s">
        <v>6289</v>
      </c>
      <c r="I401" s="12" t="s">
        <v>6290</v>
      </c>
      <c r="J401" s="12">
        <v>372</v>
      </c>
      <c r="K401" s="12" t="s">
        <v>7996</v>
      </c>
      <c r="L401" s="12" t="s">
        <v>6590</v>
      </c>
      <c r="M401" s="13">
        <v>45975</v>
      </c>
      <c r="N401" s="12" t="s">
        <v>7997</v>
      </c>
      <c r="O401" s="12" t="s">
        <v>7998</v>
      </c>
      <c r="P401" s="12"/>
      <c r="Q401" s="12">
        <v>1</v>
      </c>
    </row>
    <row r="402" spans="1:17" ht="15.75" customHeight="1">
      <c r="A402" s="12">
        <v>1904</v>
      </c>
      <c r="B402" s="12">
        <v>1756</v>
      </c>
      <c r="C402" s="12">
        <v>32762</v>
      </c>
      <c r="D402" s="12" t="s">
        <v>6047</v>
      </c>
      <c r="E402" s="12" t="s">
        <v>7999</v>
      </c>
      <c r="F402" s="12" t="s">
        <v>8000</v>
      </c>
      <c r="G402" s="12" t="s">
        <v>8001</v>
      </c>
      <c r="H402" s="12" t="s">
        <v>6051</v>
      </c>
      <c r="I402" s="12" t="s">
        <v>8002</v>
      </c>
      <c r="J402" s="12">
        <v>32762</v>
      </c>
      <c r="K402" s="12" t="s">
        <v>6120</v>
      </c>
      <c r="L402" s="12" t="s">
        <v>6121</v>
      </c>
      <c r="M402" s="13">
        <v>39245</v>
      </c>
      <c r="N402" s="12" t="s">
        <v>6122</v>
      </c>
      <c r="O402" s="12" t="s">
        <v>6123</v>
      </c>
      <c r="P402" s="12"/>
      <c r="Q402" s="12">
        <v>1</v>
      </c>
    </row>
    <row r="403" spans="1:17" ht="15.75" customHeight="1">
      <c r="A403" s="12">
        <v>1901</v>
      </c>
      <c r="B403" s="12">
        <v>566</v>
      </c>
      <c r="C403" s="12">
        <v>7396</v>
      </c>
      <c r="D403" s="12" t="s">
        <v>6047</v>
      </c>
      <c r="E403" s="12" t="s">
        <v>8003</v>
      </c>
      <c r="F403" s="12" t="s">
        <v>8004</v>
      </c>
      <c r="G403" s="12" t="s">
        <v>8005</v>
      </c>
      <c r="H403" s="12" t="s">
        <v>6084</v>
      </c>
      <c r="I403" s="12" t="s">
        <v>7239</v>
      </c>
      <c r="J403" s="12">
        <v>7396</v>
      </c>
      <c r="K403" s="12" t="s">
        <v>8006</v>
      </c>
      <c r="L403" s="12" t="s">
        <v>6121</v>
      </c>
      <c r="M403" s="13">
        <v>39249</v>
      </c>
      <c r="N403" s="12" t="s">
        <v>8007</v>
      </c>
      <c r="O403" s="12" t="s">
        <v>8008</v>
      </c>
      <c r="P403" s="12"/>
      <c r="Q403" s="12">
        <v>1</v>
      </c>
    </row>
    <row r="404" spans="1:17" ht="15.75" customHeight="1">
      <c r="A404" s="12">
        <v>1426</v>
      </c>
      <c r="B404" s="12">
        <v>657</v>
      </c>
      <c r="C404" s="12">
        <v>7941</v>
      </c>
      <c r="D404" s="12" t="s">
        <v>6047</v>
      </c>
      <c r="E404" s="12" t="s">
        <v>8009</v>
      </c>
      <c r="F404" s="12" t="s">
        <v>8010</v>
      </c>
      <c r="G404" s="12" t="s">
        <v>8011</v>
      </c>
      <c r="H404" s="12" t="s">
        <v>6075</v>
      </c>
      <c r="I404" s="12" t="s">
        <v>6076</v>
      </c>
      <c r="J404" s="12">
        <v>7941</v>
      </c>
      <c r="K404" s="12" t="s">
        <v>6139</v>
      </c>
      <c r="L404" s="12" t="s">
        <v>6087</v>
      </c>
      <c r="M404" s="13">
        <v>41909</v>
      </c>
      <c r="N404" s="12" t="s">
        <v>6140</v>
      </c>
      <c r="O404" s="12" t="s">
        <v>6141</v>
      </c>
      <c r="P404" s="12"/>
      <c r="Q404" s="12">
        <v>1</v>
      </c>
    </row>
    <row r="405" spans="1:17" ht="15.75" customHeight="1">
      <c r="A405" s="12">
        <v>1505</v>
      </c>
      <c r="B405" s="12">
        <v>1871</v>
      </c>
      <c r="C405" s="12">
        <v>34060</v>
      </c>
      <c r="D405" s="12" t="s">
        <v>6047</v>
      </c>
      <c r="E405" s="12" t="s">
        <v>1072</v>
      </c>
      <c r="F405" s="12" t="s">
        <v>8012</v>
      </c>
      <c r="G405" s="12" t="s">
        <v>8013</v>
      </c>
      <c r="H405" s="12" t="s">
        <v>6051</v>
      </c>
      <c r="I405" s="12" t="s">
        <v>6362</v>
      </c>
      <c r="J405" s="12">
        <v>34060</v>
      </c>
      <c r="K405" s="12" t="s">
        <v>7397</v>
      </c>
      <c r="L405" s="12" t="s">
        <v>6284</v>
      </c>
      <c r="M405" s="13">
        <v>41782</v>
      </c>
      <c r="N405" s="12" t="s">
        <v>7398</v>
      </c>
      <c r="O405" s="12" t="s">
        <v>7399</v>
      </c>
      <c r="P405" s="12"/>
      <c r="Q405" s="12">
        <v>1</v>
      </c>
    </row>
    <row r="406" spans="1:17" ht="15.75" customHeight="1">
      <c r="A406" s="12">
        <v>1401</v>
      </c>
      <c r="B406" s="12">
        <v>1637</v>
      </c>
      <c r="C406" s="12">
        <v>29212</v>
      </c>
      <c r="D406" s="12" t="s">
        <v>6047</v>
      </c>
      <c r="E406" s="12" t="s">
        <v>8014</v>
      </c>
      <c r="F406" s="12" t="s">
        <v>8015</v>
      </c>
      <c r="G406" s="12" t="s">
        <v>8016</v>
      </c>
      <c r="H406" s="12" t="s">
        <v>6051</v>
      </c>
      <c r="I406" s="12" t="s">
        <v>6111</v>
      </c>
      <c r="J406" s="12">
        <v>29212</v>
      </c>
      <c r="K406" s="12" t="s">
        <v>8017</v>
      </c>
      <c r="L406" s="12" t="s">
        <v>8018</v>
      </c>
      <c r="M406" s="13">
        <v>41911</v>
      </c>
      <c r="N406" s="12" t="s">
        <v>8019</v>
      </c>
      <c r="O406" s="12" t="s">
        <v>8020</v>
      </c>
      <c r="P406" s="12"/>
      <c r="Q406" s="12">
        <v>1</v>
      </c>
    </row>
    <row r="407" spans="1:17" ht="15.75" customHeight="1">
      <c r="A407" s="12">
        <v>1474</v>
      </c>
      <c r="B407" s="12">
        <v>1643</v>
      </c>
      <c r="C407" s="12">
        <v>29663</v>
      </c>
      <c r="D407" s="12" t="s">
        <v>6047</v>
      </c>
      <c r="E407" s="12" t="s">
        <v>8021</v>
      </c>
      <c r="F407" s="12" t="s">
        <v>8022</v>
      </c>
      <c r="G407" s="12" t="s">
        <v>8023</v>
      </c>
      <c r="H407" s="12" t="s">
        <v>6051</v>
      </c>
      <c r="I407" s="12" t="s">
        <v>6111</v>
      </c>
      <c r="J407" s="12">
        <v>29663</v>
      </c>
      <c r="K407" s="12" t="s">
        <v>6069</v>
      </c>
      <c r="L407" s="12" t="s">
        <v>6070</v>
      </c>
      <c r="M407" s="13">
        <v>41906</v>
      </c>
      <c r="N407" s="12" t="s">
        <v>6071</v>
      </c>
      <c r="O407" s="12" t="s">
        <v>6134</v>
      </c>
      <c r="P407" s="12"/>
      <c r="Q407" s="12">
        <v>1</v>
      </c>
    </row>
    <row r="408" spans="1:17" ht="15.75" customHeight="1">
      <c r="A408" s="12">
        <v>1915</v>
      </c>
      <c r="B408" s="12">
        <v>1703</v>
      </c>
      <c r="C408" s="12">
        <v>31582</v>
      </c>
      <c r="D408" s="12" t="s">
        <v>6047</v>
      </c>
      <c r="E408" s="12" t="s">
        <v>8024</v>
      </c>
      <c r="F408" s="12" t="s">
        <v>8025</v>
      </c>
      <c r="G408" s="12" t="s">
        <v>8026</v>
      </c>
      <c r="H408" s="12" t="s">
        <v>6051</v>
      </c>
      <c r="I408" s="12" t="s">
        <v>8027</v>
      </c>
      <c r="J408" s="12">
        <v>31582</v>
      </c>
      <c r="K408" s="12" t="s">
        <v>7476</v>
      </c>
      <c r="L408" s="12" t="s">
        <v>7477</v>
      </c>
      <c r="M408" s="13">
        <v>39237</v>
      </c>
      <c r="N408" s="12" t="s">
        <v>7478</v>
      </c>
      <c r="O408" s="12" t="s">
        <v>7479</v>
      </c>
      <c r="P408" s="12"/>
      <c r="Q408" s="12">
        <v>1</v>
      </c>
    </row>
    <row r="409" spans="1:17" ht="15.75" customHeight="1">
      <c r="A409" s="12">
        <v>1937</v>
      </c>
      <c r="B409" s="12">
        <v>1589</v>
      </c>
      <c r="C409" s="12">
        <v>27988</v>
      </c>
      <c r="D409" s="12" t="s">
        <v>6047</v>
      </c>
      <c r="E409" s="12" t="s">
        <v>8028</v>
      </c>
      <c r="F409" s="12" t="s">
        <v>8029</v>
      </c>
      <c r="G409" s="12" t="s">
        <v>8030</v>
      </c>
      <c r="H409" s="12" t="s">
        <v>6051</v>
      </c>
      <c r="I409" s="12" t="s">
        <v>6547</v>
      </c>
      <c r="J409" s="12">
        <v>27988</v>
      </c>
      <c r="K409" s="12" t="s">
        <v>7276</v>
      </c>
      <c r="L409" s="12" t="s">
        <v>7277</v>
      </c>
      <c r="M409" s="13">
        <v>39234</v>
      </c>
      <c r="N409" s="12" t="s">
        <v>7278</v>
      </c>
      <c r="O409" s="12" t="s">
        <v>7279</v>
      </c>
      <c r="P409" s="12"/>
      <c r="Q409" s="12">
        <v>1</v>
      </c>
    </row>
    <row r="410" spans="1:17" ht="15.75" customHeight="1">
      <c r="A410" s="12">
        <v>1969</v>
      </c>
      <c r="B410" s="12">
        <v>44</v>
      </c>
      <c r="C410" s="12">
        <v>584</v>
      </c>
      <c r="D410" s="12" t="s">
        <v>6047</v>
      </c>
      <c r="E410" s="12" t="s">
        <v>8031</v>
      </c>
      <c r="F410" s="12" t="s">
        <v>8032</v>
      </c>
      <c r="G410" s="12" t="s">
        <v>8033</v>
      </c>
      <c r="H410" s="12" t="s">
        <v>6289</v>
      </c>
      <c r="I410" s="12" t="s">
        <v>6290</v>
      </c>
      <c r="J410" s="12">
        <v>584</v>
      </c>
      <c r="K410" s="12" t="s">
        <v>7298</v>
      </c>
      <c r="L410" s="12" t="s">
        <v>6113</v>
      </c>
      <c r="M410" s="13">
        <v>38579</v>
      </c>
      <c r="N410" s="12" t="s">
        <v>7299</v>
      </c>
      <c r="O410" s="12" t="s">
        <v>7300</v>
      </c>
      <c r="P410" s="12"/>
      <c r="Q410" s="12">
        <v>1</v>
      </c>
    </row>
    <row r="411" spans="1:17" ht="15.75" customHeight="1">
      <c r="A411" s="12">
        <v>1387</v>
      </c>
      <c r="B411" s="12">
        <v>1707</v>
      </c>
      <c r="C411" s="12">
        <v>31668</v>
      </c>
      <c r="D411" s="12" t="s">
        <v>6047</v>
      </c>
      <c r="E411" s="12" t="s">
        <v>8034</v>
      </c>
      <c r="F411" s="12" t="s">
        <v>8035</v>
      </c>
      <c r="G411" s="12" t="s">
        <v>8036</v>
      </c>
      <c r="H411" s="12" t="s">
        <v>6051</v>
      </c>
      <c r="I411" s="12" t="s">
        <v>6178</v>
      </c>
      <c r="J411" s="12">
        <v>31668</v>
      </c>
      <c r="K411" s="12" t="s">
        <v>6144</v>
      </c>
      <c r="L411" s="12" t="s">
        <v>6078</v>
      </c>
      <c r="M411" s="13">
        <v>41913</v>
      </c>
      <c r="N411" s="12" t="s">
        <v>6145</v>
      </c>
      <c r="O411" s="12" t="s">
        <v>6146</v>
      </c>
      <c r="P411" s="12"/>
      <c r="Q411" s="12">
        <v>1</v>
      </c>
    </row>
    <row r="412" spans="1:17" ht="15.75" customHeight="1">
      <c r="A412" s="12">
        <v>1482</v>
      </c>
      <c r="B412" s="12">
        <v>1668</v>
      </c>
      <c r="C412" s="12">
        <v>30796</v>
      </c>
      <c r="D412" s="12" t="s">
        <v>6047</v>
      </c>
      <c r="E412" s="12" t="s">
        <v>8037</v>
      </c>
      <c r="F412" s="12" t="s">
        <v>8038</v>
      </c>
      <c r="G412" s="12" t="s">
        <v>8039</v>
      </c>
      <c r="H412" s="12" t="s">
        <v>6051</v>
      </c>
      <c r="I412" s="12" t="s">
        <v>6100</v>
      </c>
      <c r="J412" s="12">
        <v>30796</v>
      </c>
      <c r="K412" s="12" t="s">
        <v>6400</v>
      </c>
      <c r="L412" s="12" t="s">
        <v>6087</v>
      </c>
      <c r="M412" s="13">
        <v>41905</v>
      </c>
      <c r="N412" s="12" t="s">
        <v>6401</v>
      </c>
      <c r="O412" s="12" t="s">
        <v>6402</v>
      </c>
      <c r="P412" s="12"/>
      <c r="Q412" s="12">
        <v>1</v>
      </c>
    </row>
    <row r="413" spans="1:17" ht="15.75" customHeight="1">
      <c r="A413" s="12">
        <v>1403</v>
      </c>
      <c r="B413" s="12">
        <v>1515</v>
      </c>
      <c r="C413" s="12">
        <v>25703</v>
      </c>
      <c r="D413" s="12" t="s">
        <v>6047</v>
      </c>
      <c r="E413" s="12" t="s">
        <v>8040</v>
      </c>
      <c r="F413" s="12" t="s">
        <v>8041</v>
      </c>
      <c r="G413" s="12" t="s">
        <v>8042</v>
      </c>
      <c r="H413" s="12" t="s">
        <v>6051</v>
      </c>
      <c r="I413" s="12" t="s">
        <v>8043</v>
      </c>
      <c r="J413" s="12">
        <v>25703</v>
      </c>
      <c r="K413" s="12" t="s">
        <v>8044</v>
      </c>
      <c r="L413" s="12" t="s">
        <v>6087</v>
      </c>
      <c r="M413" s="13">
        <v>41911</v>
      </c>
      <c r="N413" s="12" t="s">
        <v>8045</v>
      </c>
      <c r="O413" s="12" t="s">
        <v>8046</v>
      </c>
      <c r="P413" s="12"/>
      <c r="Q413" s="12">
        <v>1</v>
      </c>
    </row>
    <row r="414" spans="1:17" ht="15.75" customHeight="1">
      <c r="A414" s="12">
        <v>1197</v>
      </c>
      <c r="B414" s="12">
        <v>1999</v>
      </c>
      <c r="C414" s="12">
        <v>35254</v>
      </c>
      <c r="D414" s="12" t="s">
        <v>6047</v>
      </c>
      <c r="E414" s="12" t="s">
        <v>8047</v>
      </c>
      <c r="F414" s="12" t="s">
        <v>8048</v>
      </c>
      <c r="G414" s="12" t="s">
        <v>8049</v>
      </c>
      <c r="H414" s="12" t="s">
        <v>6051</v>
      </c>
      <c r="I414" s="12" t="s">
        <v>6700</v>
      </c>
      <c r="J414" s="12">
        <v>35254</v>
      </c>
      <c r="K414" s="12" t="s">
        <v>6429</v>
      </c>
      <c r="L414" s="12" t="s">
        <v>6423</v>
      </c>
      <c r="M414" s="13">
        <v>41991</v>
      </c>
      <c r="N414" s="12" t="s">
        <v>6430</v>
      </c>
      <c r="O414" s="12" t="s">
        <v>6431</v>
      </c>
      <c r="P414" s="12"/>
      <c r="Q414" s="12">
        <v>1</v>
      </c>
    </row>
    <row r="415" spans="1:17" ht="15.75" customHeight="1">
      <c r="A415" s="12">
        <v>994</v>
      </c>
      <c r="B415" s="12">
        <v>600</v>
      </c>
      <c r="C415" s="12">
        <v>7625</v>
      </c>
      <c r="D415" s="12" t="s">
        <v>6047</v>
      </c>
      <c r="E415" s="12" t="s">
        <v>8050</v>
      </c>
      <c r="F415" s="12" t="s">
        <v>8051</v>
      </c>
      <c r="G415" s="12" t="s">
        <v>8052</v>
      </c>
      <c r="H415" s="12" t="s">
        <v>6187</v>
      </c>
      <c r="I415" s="12" t="s">
        <v>6224</v>
      </c>
      <c r="J415" s="12">
        <v>7625</v>
      </c>
      <c r="K415" s="12" t="s">
        <v>7108</v>
      </c>
      <c r="L415" s="12" t="s">
        <v>6054</v>
      </c>
      <c r="M415" s="13">
        <v>42694</v>
      </c>
      <c r="N415" s="12" t="s">
        <v>7109</v>
      </c>
      <c r="O415" s="12" t="s">
        <v>7327</v>
      </c>
      <c r="P415" s="12"/>
      <c r="Q415" s="12">
        <v>1</v>
      </c>
    </row>
    <row r="416" spans="1:17" ht="15.75" customHeight="1">
      <c r="A416" s="12">
        <v>1443</v>
      </c>
      <c r="B416" s="12">
        <v>875</v>
      </c>
      <c r="C416" s="12">
        <v>11289</v>
      </c>
      <c r="D416" s="12" t="s">
        <v>6047</v>
      </c>
      <c r="E416" s="12" t="s">
        <v>8053</v>
      </c>
      <c r="F416" s="12" t="s">
        <v>8054</v>
      </c>
      <c r="G416" s="12" t="s">
        <v>8055</v>
      </c>
      <c r="H416" s="12" t="s">
        <v>6060</v>
      </c>
      <c r="I416" s="12" t="s">
        <v>6061</v>
      </c>
      <c r="J416" s="12">
        <v>11289</v>
      </c>
      <c r="K416" s="12" t="s">
        <v>6069</v>
      </c>
      <c r="L416" s="12" t="s">
        <v>6070</v>
      </c>
      <c r="M416" s="13">
        <v>41908</v>
      </c>
      <c r="N416" s="12" t="s">
        <v>6071</v>
      </c>
      <c r="O416" s="12" t="s">
        <v>6901</v>
      </c>
      <c r="P416" s="12"/>
      <c r="Q416" s="12">
        <v>1</v>
      </c>
    </row>
    <row r="417" spans="1:17" ht="15.75" customHeight="1">
      <c r="A417" s="12">
        <v>731</v>
      </c>
      <c r="B417" s="12">
        <v>1847</v>
      </c>
      <c r="C417" s="12">
        <v>33889</v>
      </c>
      <c r="D417" s="12" t="s">
        <v>6047</v>
      </c>
      <c r="E417" s="12" t="s">
        <v>8056</v>
      </c>
      <c r="F417" s="12" t="s">
        <v>8057</v>
      </c>
      <c r="G417" s="12" t="s">
        <v>8058</v>
      </c>
      <c r="H417" s="12" t="s">
        <v>6051</v>
      </c>
      <c r="I417" s="12" t="s">
        <v>6261</v>
      </c>
      <c r="J417" s="12">
        <v>33889</v>
      </c>
      <c r="K417" s="12" t="s">
        <v>8059</v>
      </c>
      <c r="L417" s="12" t="s">
        <v>6839</v>
      </c>
      <c r="M417" s="13">
        <v>43198</v>
      </c>
      <c r="N417" s="12" t="s">
        <v>8060</v>
      </c>
      <c r="O417" s="12" t="s">
        <v>8061</v>
      </c>
      <c r="P417" s="12"/>
      <c r="Q417" s="12">
        <v>1</v>
      </c>
    </row>
    <row r="418" spans="1:17" ht="15.75" customHeight="1">
      <c r="A418" s="12">
        <v>197</v>
      </c>
      <c r="B418" s="12">
        <v>1057</v>
      </c>
      <c r="C418" s="12">
        <v>15037</v>
      </c>
      <c r="D418" s="12" t="s">
        <v>6047</v>
      </c>
      <c r="E418" s="12" t="s">
        <v>8062</v>
      </c>
      <c r="F418" s="12" t="s">
        <v>8063</v>
      </c>
      <c r="G418" s="12" t="s">
        <v>8064</v>
      </c>
      <c r="H418" s="12" t="s">
        <v>6051</v>
      </c>
      <c r="I418" s="12" t="s">
        <v>6476</v>
      </c>
      <c r="J418" s="12">
        <v>15037</v>
      </c>
      <c r="K418" s="12" t="s">
        <v>8065</v>
      </c>
      <c r="L418" s="12" t="s">
        <v>8066</v>
      </c>
      <c r="M418" s="13">
        <v>45748</v>
      </c>
      <c r="N418" s="12" t="s">
        <v>8067</v>
      </c>
      <c r="O418" s="12" t="s">
        <v>8068</v>
      </c>
      <c r="P418" s="12"/>
      <c r="Q418" s="12">
        <v>1</v>
      </c>
    </row>
    <row r="419" spans="1:17" ht="15.75" customHeight="1">
      <c r="A419" s="12">
        <v>708</v>
      </c>
      <c r="B419" s="12">
        <v>1491</v>
      </c>
      <c r="C419" s="12">
        <v>24088</v>
      </c>
      <c r="D419" s="12" t="s">
        <v>6047</v>
      </c>
      <c r="E419" s="12" t="s">
        <v>8069</v>
      </c>
      <c r="F419" s="12" t="s">
        <v>8070</v>
      </c>
      <c r="G419" s="12" t="s">
        <v>8071</v>
      </c>
      <c r="H419" s="12" t="s">
        <v>6051</v>
      </c>
      <c r="I419" s="12" t="s">
        <v>6738</v>
      </c>
      <c r="J419" s="12">
        <v>24088</v>
      </c>
      <c r="K419" s="12" t="s">
        <v>8072</v>
      </c>
      <c r="L419" s="12" t="s">
        <v>7254</v>
      </c>
      <c r="M419" s="13">
        <v>43202</v>
      </c>
      <c r="N419" s="12" t="s">
        <v>8073</v>
      </c>
      <c r="O419" s="12" t="s">
        <v>8074</v>
      </c>
      <c r="P419" s="12"/>
      <c r="Q419" s="12">
        <v>1</v>
      </c>
    </row>
    <row r="420" spans="1:17" ht="15.75" customHeight="1">
      <c r="A420" s="12">
        <v>385</v>
      </c>
      <c r="B420" s="12">
        <v>1917</v>
      </c>
      <c r="C420" s="12">
        <v>34493</v>
      </c>
      <c r="D420" s="12" t="s">
        <v>6047</v>
      </c>
      <c r="E420" s="12" t="s">
        <v>8075</v>
      </c>
      <c r="F420" s="12" t="s">
        <v>8076</v>
      </c>
      <c r="G420" s="12" t="s">
        <v>8077</v>
      </c>
      <c r="H420" s="12" t="s">
        <v>6051</v>
      </c>
      <c r="I420" s="12" t="s">
        <v>7034</v>
      </c>
      <c r="J420" s="12">
        <v>34493</v>
      </c>
      <c r="K420" s="12" t="s">
        <v>7310</v>
      </c>
      <c r="L420" s="12" t="s">
        <v>7311</v>
      </c>
      <c r="M420" s="13">
        <v>44718</v>
      </c>
      <c r="N420" s="12" t="s">
        <v>7312</v>
      </c>
      <c r="O420" s="12" t="s">
        <v>7313</v>
      </c>
      <c r="P420" s="12"/>
      <c r="Q420" s="12">
        <v>1</v>
      </c>
    </row>
    <row r="421" spans="1:17" ht="15.75" customHeight="1">
      <c r="A421" s="12">
        <v>1118</v>
      </c>
      <c r="B421" s="12">
        <v>1445</v>
      </c>
      <c r="C421" s="12">
        <v>22060</v>
      </c>
      <c r="D421" s="12" t="s">
        <v>6047</v>
      </c>
      <c r="E421" s="12" t="s">
        <v>8078</v>
      </c>
      <c r="F421" s="12" t="s">
        <v>8079</v>
      </c>
      <c r="G421" s="12" t="s">
        <v>8080</v>
      </c>
      <c r="H421" s="12" t="s">
        <v>6051</v>
      </c>
      <c r="I421" s="12" t="s">
        <v>7114</v>
      </c>
      <c r="J421" s="12">
        <v>22060</v>
      </c>
      <c r="K421" s="12" t="s">
        <v>7813</v>
      </c>
      <c r="L421" s="12" t="s">
        <v>7814</v>
      </c>
      <c r="M421" s="13">
        <v>42335</v>
      </c>
      <c r="N421" s="12" t="s">
        <v>7815</v>
      </c>
      <c r="O421" s="12" t="s">
        <v>7816</v>
      </c>
      <c r="P421" s="12"/>
      <c r="Q421" s="12">
        <v>1</v>
      </c>
    </row>
    <row r="422" spans="1:17" ht="15.75" customHeight="1">
      <c r="A422" s="12">
        <v>897</v>
      </c>
      <c r="B422" s="12">
        <v>1544</v>
      </c>
      <c r="C422" s="12">
        <v>27348</v>
      </c>
      <c r="D422" s="12" t="s">
        <v>6047</v>
      </c>
      <c r="E422" s="12" t="s">
        <v>8081</v>
      </c>
      <c r="F422" s="12" t="s">
        <v>8082</v>
      </c>
      <c r="G422" s="12" t="s">
        <v>8083</v>
      </c>
      <c r="H422" s="12" t="s">
        <v>6051</v>
      </c>
      <c r="I422" s="12" t="s">
        <v>6704</v>
      </c>
      <c r="J422" s="12">
        <v>27348</v>
      </c>
      <c r="K422" s="12" t="s">
        <v>8084</v>
      </c>
      <c r="L422" s="12" t="s">
        <v>6393</v>
      </c>
      <c r="M422" s="13">
        <v>42859</v>
      </c>
      <c r="N422" s="12" t="s">
        <v>8085</v>
      </c>
      <c r="O422" s="12" t="s">
        <v>8086</v>
      </c>
      <c r="P422" s="12"/>
      <c r="Q422" s="12">
        <v>1</v>
      </c>
    </row>
    <row r="423" spans="1:17" ht="15.75" customHeight="1">
      <c r="A423" s="12">
        <v>627</v>
      </c>
      <c r="B423" s="12">
        <v>1428</v>
      </c>
      <c r="C423" s="12">
        <v>21575</v>
      </c>
      <c r="D423" s="12" t="s">
        <v>6047</v>
      </c>
      <c r="E423" s="12" t="s">
        <v>8087</v>
      </c>
      <c r="F423" s="12" t="s">
        <v>8088</v>
      </c>
      <c r="G423" s="12" t="s">
        <v>8089</v>
      </c>
      <c r="H423" s="12" t="s">
        <v>6051</v>
      </c>
      <c r="I423" s="12" t="s">
        <v>6299</v>
      </c>
      <c r="J423" s="12">
        <v>21575</v>
      </c>
      <c r="K423" s="12" t="s">
        <v>8090</v>
      </c>
      <c r="L423" s="12" t="s">
        <v>8091</v>
      </c>
      <c r="M423" s="13">
        <v>43485</v>
      </c>
      <c r="N423" s="12" t="s">
        <v>8092</v>
      </c>
      <c r="O423" s="12" t="s">
        <v>8093</v>
      </c>
      <c r="P423" s="12"/>
      <c r="Q423" s="12">
        <v>1</v>
      </c>
    </row>
    <row r="424" spans="1:17" ht="15.75" customHeight="1">
      <c r="A424" s="12">
        <v>509</v>
      </c>
      <c r="B424" s="12">
        <v>900</v>
      </c>
      <c r="C424" s="12">
        <v>11973</v>
      </c>
      <c r="D424" s="12" t="s">
        <v>6047</v>
      </c>
      <c r="E424" s="12" t="s">
        <v>8094</v>
      </c>
      <c r="F424" s="12" t="s">
        <v>8095</v>
      </c>
      <c r="G424" s="12" t="s">
        <v>8096</v>
      </c>
      <c r="H424" s="12" t="s">
        <v>6340</v>
      </c>
      <c r="I424" s="12" t="s">
        <v>6341</v>
      </c>
      <c r="J424" s="12">
        <v>11973</v>
      </c>
      <c r="K424" s="12" t="s">
        <v>6416</v>
      </c>
      <c r="L424" s="12" t="s">
        <v>6417</v>
      </c>
      <c r="M424" s="13">
        <v>43567</v>
      </c>
      <c r="N424" s="12" t="s">
        <v>6418</v>
      </c>
      <c r="O424" s="12" t="s">
        <v>6419</v>
      </c>
      <c r="P424" s="12"/>
      <c r="Q424" s="12">
        <v>1</v>
      </c>
    </row>
    <row r="425" spans="1:17" ht="15.75" customHeight="1">
      <c r="A425" s="12">
        <v>1902</v>
      </c>
      <c r="B425" s="12">
        <v>506</v>
      </c>
      <c r="C425" s="12">
        <v>6718</v>
      </c>
      <c r="D425" s="12" t="s">
        <v>6047</v>
      </c>
      <c r="E425" s="12" t="s">
        <v>8097</v>
      </c>
      <c r="F425" s="12" t="s">
        <v>8098</v>
      </c>
      <c r="G425" s="12" t="s">
        <v>8099</v>
      </c>
      <c r="H425" s="12" t="s">
        <v>6137</v>
      </c>
      <c r="I425" s="12" t="s">
        <v>6200</v>
      </c>
      <c r="J425" s="12">
        <v>6718</v>
      </c>
      <c r="K425" s="12" t="s">
        <v>8006</v>
      </c>
      <c r="L425" s="12" t="s">
        <v>6121</v>
      </c>
      <c r="M425" s="13">
        <v>39249</v>
      </c>
      <c r="N425" s="12" t="s">
        <v>8007</v>
      </c>
      <c r="O425" s="12" t="s">
        <v>8008</v>
      </c>
      <c r="P425" s="12"/>
      <c r="Q425" s="12">
        <v>1</v>
      </c>
    </row>
    <row r="426" spans="1:17" ht="15.75" customHeight="1">
      <c r="A426" s="12">
        <v>1555</v>
      </c>
      <c r="B426" s="12">
        <v>1233</v>
      </c>
      <c r="C426" s="12">
        <v>17461</v>
      </c>
      <c r="D426" s="12" t="s">
        <v>6047</v>
      </c>
      <c r="E426" s="12" t="s">
        <v>8100</v>
      </c>
      <c r="F426" s="12" t="s">
        <v>8101</v>
      </c>
      <c r="G426" s="12" t="s">
        <v>8102</v>
      </c>
      <c r="H426" s="12" t="s">
        <v>6051</v>
      </c>
      <c r="I426" s="12" t="s">
        <v>6052</v>
      </c>
      <c r="J426" s="12">
        <v>17461</v>
      </c>
      <c r="K426" s="12" t="s">
        <v>7914</v>
      </c>
      <c r="L426" s="12" t="s">
        <v>6255</v>
      </c>
      <c r="M426" s="13">
        <v>41563</v>
      </c>
      <c r="N426" s="12" t="s">
        <v>7915</v>
      </c>
      <c r="O426" s="12" t="s">
        <v>7955</v>
      </c>
      <c r="P426" s="12"/>
      <c r="Q426" s="12">
        <v>1</v>
      </c>
    </row>
    <row r="427" spans="1:17" ht="15.75" customHeight="1">
      <c r="A427" s="12">
        <v>1886</v>
      </c>
      <c r="B427" s="12">
        <v>1220</v>
      </c>
      <c r="C427" s="12">
        <v>17361</v>
      </c>
      <c r="D427" s="12" t="s">
        <v>6047</v>
      </c>
      <c r="E427" s="12" t="s">
        <v>8103</v>
      </c>
      <c r="F427" s="12" t="s">
        <v>8104</v>
      </c>
      <c r="G427" s="12" t="s">
        <v>8105</v>
      </c>
      <c r="H427" s="12" t="s">
        <v>6051</v>
      </c>
      <c r="I427" s="12" t="s">
        <v>6052</v>
      </c>
      <c r="J427" s="12">
        <v>17361</v>
      </c>
      <c r="K427" s="12" t="s">
        <v>8106</v>
      </c>
      <c r="L427" s="12" t="s">
        <v>6709</v>
      </c>
      <c r="M427" s="13">
        <v>40174</v>
      </c>
      <c r="N427" s="12" t="s">
        <v>8107</v>
      </c>
      <c r="O427" s="12" t="s">
        <v>8108</v>
      </c>
      <c r="P427" s="12"/>
      <c r="Q427" s="12">
        <v>1</v>
      </c>
    </row>
    <row r="428" spans="1:17" ht="15.75" customHeight="1">
      <c r="A428" s="12">
        <v>1660</v>
      </c>
      <c r="B428" s="12">
        <v>1649</v>
      </c>
      <c r="C428" s="12">
        <v>29888</v>
      </c>
      <c r="D428" s="12" t="s">
        <v>6047</v>
      </c>
      <c r="E428" s="12" t="s">
        <v>8109</v>
      </c>
      <c r="F428" s="12" t="s">
        <v>8110</v>
      </c>
      <c r="G428" s="12" t="s">
        <v>8111</v>
      </c>
      <c r="H428" s="12" t="s">
        <v>6051</v>
      </c>
      <c r="I428" s="12" t="s">
        <v>7634</v>
      </c>
      <c r="J428" s="12">
        <v>29888</v>
      </c>
      <c r="K428" s="12" t="s">
        <v>6375</v>
      </c>
      <c r="L428" s="12" t="s">
        <v>6240</v>
      </c>
      <c r="M428" s="13">
        <v>41073</v>
      </c>
      <c r="N428" s="12" t="s">
        <v>6376</v>
      </c>
      <c r="O428" s="12" t="s">
        <v>8112</v>
      </c>
      <c r="P428" s="12"/>
      <c r="Q428" s="12">
        <v>1</v>
      </c>
    </row>
    <row r="429" spans="1:17" ht="15.75" customHeight="1">
      <c r="A429" s="12">
        <v>1108</v>
      </c>
      <c r="B429" s="12">
        <v>1872</v>
      </c>
      <c r="C429" s="12">
        <v>34061</v>
      </c>
      <c r="D429" s="12" t="s">
        <v>6047</v>
      </c>
      <c r="E429" s="12" t="s">
        <v>8113</v>
      </c>
      <c r="F429" s="12" t="s">
        <v>8114</v>
      </c>
      <c r="G429" s="12" t="s">
        <v>8115</v>
      </c>
      <c r="H429" s="12" t="s">
        <v>6051</v>
      </c>
      <c r="I429" s="12" t="s">
        <v>6362</v>
      </c>
      <c r="J429" s="12">
        <v>34061</v>
      </c>
      <c r="K429" s="12" t="s">
        <v>7071</v>
      </c>
      <c r="L429" s="12" t="s">
        <v>6240</v>
      </c>
      <c r="M429" s="13">
        <v>42502</v>
      </c>
      <c r="N429" s="12" t="s">
        <v>7072</v>
      </c>
      <c r="O429" s="12" t="s">
        <v>8116</v>
      </c>
      <c r="P429" s="12"/>
      <c r="Q429" s="12">
        <v>1</v>
      </c>
    </row>
    <row r="430" spans="1:17" ht="15.75" customHeight="1">
      <c r="A430" s="12">
        <v>252</v>
      </c>
      <c r="B430" s="12">
        <v>1372</v>
      </c>
      <c r="C430" s="12">
        <v>19983</v>
      </c>
      <c r="D430" s="12" t="s">
        <v>6047</v>
      </c>
      <c r="E430" s="12" t="s">
        <v>1150</v>
      </c>
      <c r="F430" s="12" t="s">
        <v>8117</v>
      </c>
      <c r="G430" s="12" t="s">
        <v>8118</v>
      </c>
      <c r="H430" s="12" t="s">
        <v>6051</v>
      </c>
      <c r="I430" s="12" t="s">
        <v>6523</v>
      </c>
      <c r="J430" s="12">
        <v>19983</v>
      </c>
      <c r="K430" s="12" t="s">
        <v>8119</v>
      </c>
      <c r="L430" s="12" t="s">
        <v>7469</v>
      </c>
      <c r="M430" s="13">
        <v>45604</v>
      </c>
      <c r="N430" s="12" t="s">
        <v>8120</v>
      </c>
      <c r="O430" s="12" t="s">
        <v>8121</v>
      </c>
      <c r="P430" s="12"/>
      <c r="Q430" s="12">
        <v>1</v>
      </c>
    </row>
    <row r="431" spans="1:17" ht="15.75" customHeight="1">
      <c r="A431" s="12">
        <v>738</v>
      </c>
      <c r="B431" s="12">
        <v>857</v>
      </c>
      <c r="C431" s="12">
        <v>10940</v>
      </c>
      <c r="D431" s="12" t="s">
        <v>6047</v>
      </c>
      <c r="E431" s="12" t="s">
        <v>8122</v>
      </c>
      <c r="F431" s="12" t="s">
        <v>8123</v>
      </c>
      <c r="G431" s="12" t="s">
        <v>8124</v>
      </c>
      <c r="H431" s="12" t="s">
        <v>6060</v>
      </c>
      <c r="I431" s="12" t="s">
        <v>7082</v>
      </c>
      <c r="J431" s="12">
        <v>10940</v>
      </c>
      <c r="K431" s="12" t="s">
        <v>6838</v>
      </c>
      <c r="L431" s="12" t="s">
        <v>6839</v>
      </c>
      <c r="M431" s="13">
        <v>43197</v>
      </c>
      <c r="N431" s="12" t="s">
        <v>6840</v>
      </c>
      <c r="O431" s="12" t="s">
        <v>6841</v>
      </c>
      <c r="P431" s="12"/>
      <c r="Q431" s="12">
        <v>1</v>
      </c>
    </row>
    <row r="432" spans="1:17" ht="15.75" customHeight="1">
      <c r="A432" s="12">
        <v>969</v>
      </c>
      <c r="B432" s="12">
        <v>995</v>
      </c>
      <c r="C432" s="12">
        <v>13685</v>
      </c>
      <c r="D432" s="12" t="s">
        <v>6047</v>
      </c>
      <c r="E432" s="12" t="s">
        <v>8125</v>
      </c>
      <c r="F432" s="12" t="s">
        <v>8126</v>
      </c>
      <c r="G432" s="12" t="s">
        <v>8127</v>
      </c>
      <c r="H432" s="12" t="s">
        <v>6051</v>
      </c>
      <c r="I432" s="12" t="s">
        <v>6741</v>
      </c>
      <c r="J432" s="12">
        <v>13685</v>
      </c>
      <c r="K432" s="12" t="s">
        <v>7666</v>
      </c>
      <c r="L432" s="12" t="s">
        <v>6054</v>
      </c>
      <c r="M432" s="13">
        <v>42825</v>
      </c>
      <c r="N432" s="12" t="s">
        <v>7667</v>
      </c>
      <c r="O432" s="12" t="s">
        <v>7668</v>
      </c>
      <c r="P432" s="12"/>
      <c r="Q432" s="12">
        <v>1</v>
      </c>
    </row>
    <row r="433" spans="1:17" ht="15.75" customHeight="1">
      <c r="A433" s="12">
        <v>188</v>
      </c>
      <c r="B433" s="12">
        <v>861</v>
      </c>
      <c r="C433" s="12">
        <v>11100</v>
      </c>
      <c r="D433" s="12" t="s">
        <v>6047</v>
      </c>
      <c r="E433" s="12" t="s">
        <v>8128</v>
      </c>
      <c r="F433" s="12" t="s">
        <v>8129</v>
      </c>
      <c r="G433" s="12" t="s">
        <v>8130</v>
      </c>
      <c r="H433" s="12" t="s">
        <v>6060</v>
      </c>
      <c r="I433" s="12" t="s">
        <v>6061</v>
      </c>
      <c r="J433" s="12">
        <v>11100</v>
      </c>
      <c r="K433" s="12" t="s">
        <v>8131</v>
      </c>
      <c r="L433" s="12" t="s">
        <v>6709</v>
      </c>
      <c r="M433" s="13">
        <v>45751</v>
      </c>
      <c r="N433" s="12" t="s">
        <v>8132</v>
      </c>
      <c r="O433" s="12" t="s">
        <v>8133</v>
      </c>
      <c r="P433" s="12"/>
      <c r="Q433" s="12">
        <v>1</v>
      </c>
    </row>
    <row r="434" spans="1:17" ht="15.75" customHeight="1">
      <c r="A434" s="12">
        <v>97</v>
      </c>
      <c r="B434" s="12">
        <v>1313</v>
      </c>
      <c r="C434" s="12">
        <v>18532</v>
      </c>
      <c r="D434" s="12" t="s">
        <v>6047</v>
      </c>
      <c r="E434" s="12" t="s">
        <v>1158</v>
      </c>
      <c r="F434" s="12" t="s">
        <v>8134</v>
      </c>
      <c r="G434" s="12" t="s">
        <v>8135</v>
      </c>
      <c r="H434" s="12" t="s">
        <v>6051</v>
      </c>
      <c r="I434" s="12" t="s">
        <v>8136</v>
      </c>
      <c r="J434" s="12">
        <v>18532</v>
      </c>
      <c r="K434" s="12" t="s">
        <v>8137</v>
      </c>
      <c r="L434" s="12" t="s">
        <v>6590</v>
      </c>
      <c r="M434" s="13">
        <v>45968</v>
      </c>
      <c r="N434" s="12" t="s">
        <v>8138</v>
      </c>
      <c r="O434" s="12" t="s">
        <v>8139</v>
      </c>
      <c r="P434" s="12"/>
      <c r="Q434" s="12">
        <v>1</v>
      </c>
    </row>
    <row r="435" spans="1:17" ht="15.75" customHeight="1">
      <c r="A435" s="12">
        <v>860</v>
      </c>
      <c r="B435" s="12">
        <v>51</v>
      </c>
      <c r="C435" s="12">
        <v>642</v>
      </c>
      <c r="D435" s="12" t="s">
        <v>6047</v>
      </c>
      <c r="E435" s="12" t="s">
        <v>8140</v>
      </c>
      <c r="F435" s="12" t="s">
        <v>8141</v>
      </c>
      <c r="G435" s="12" t="s">
        <v>8142</v>
      </c>
      <c r="H435" s="12" t="s">
        <v>6289</v>
      </c>
      <c r="I435" s="12" t="s">
        <v>6290</v>
      </c>
      <c r="J435" s="12">
        <v>642</v>
      </c>
      <c r="K435" s="12" t="s">
        <v>6584</v>
      </c>
      <c r="L435" s="12" t="s">
        <v>6564</v>
      </c>
      <c r="M435" s="13">
        <v>43019</v>
      </c>
      <c r="N435" s="12" t="s">
        <v>6585</v>
      </c>
      <c r="O435" s="12" t="s">
        <v>6586</v>
      </c>
      <c r="P435" s="12"/>
      <c r="Q435" s="12">
        <v>1</v>
      </c>
    </row>
    <row r="436" spans="1:17" ht="15.75" customHeight="1">
      <c r="A436" s="12">
        <v>988</v>
      </c>
      <c r="B436" s="12">
        <v>1009</v>
      </c>
      <c r="C436" s="12">
        <v>14020</v>
      </c>
      <c r="D436" s="12" t="s">
        <v>6047</v>
      </c>
      <c r="E436" s="12" t="s">
        <v>8143</v>
      </c>
      <c r="F436" s="12" t="s">
        <v>8144</v>
      </c>
      <c r="G436" s="12" t="s">
        <v>8145</v>
      </c>
      <c r="H436" s="12" t="s">
        <v>6051</v>
      </c>
      <c r="I436" s="12" t="s">
        <v>6741</v>
      </c>
      <c r="J436" s="12">
        <v>14020</v>
      </c>
      <c r="K436" s="12" t="s">
        <v>7215</v>
      </c>
      <c r="L436" s="12" t="s">
        <v>6054</v>
      </c>
      <c r="M436" s="13">
        <v>42694</v>
      </c>
      <c r="N436" s="12" t="s">
        <v>7216</v>
      </c>
      <c r="O436" s="12" t="s">
        <v>7217</v>
      </c>
      <c r="P436" s="12"/>
      <c r="Q436" s="12">
        <v>1</v>
      </c>
    </row>
    <row r="437" spans="1:17" ht="15.75" customHeight="1">
      <c r="A437" s="12">
        <v>670</v>
      </c>
      <c r="B437" s="12">
        <v>1448</v>
      </c>
      <c r="C437" s="12">
        <v>22094</v>
      </c>
      <c r="D437" s="12" t="s">
        <v>6047</v>
      </c>
      <c r="E437" s="12" t="s">
        <v>8146</v>
      </c>
      <c r="F437" s="12" t="s">
        <v>8147</v>
      </c>
      <c r="G437" s="12" t="s">
        <v>8148</v>
      </c>
      <c r="H437" s="12" t="s">
        <v>6051</v>
      </c>
      <c r="I437" s="12" t="s">
        <v>7114</v>
      </c>
      <c r="J437" s="12">
        <v>22094</v>
      </c>
      <c r="K437" s="12" t="s">
        <v>8149</v>
      </c>
      <c r="L437" s="12" t="s">
        <v>6308</v>
      </c>
      <c r="M437" s="13">
        <v>43391</v>
      </c>
      <c r="N437" s="12" t="s">
        <v>8150</v>
      </c>
      <c r="O437" s="12" t="s">
        <v>8151</v>
      </c>
      <c r="P437" s="12"/>
      <c r="Q437" s="12">
        <v>1</v>
      </c>
    </row>
    <row r="438" spans="1:17" ht="15.75" customHeight="1">
      <c r="A438" s="12">
        <v>461</v>
      </c>
      <c r="B438" s="12">
        <v>331</v>
      </c>
      <c r="C438" s="12">
        <v>5082</v>
      </c>
      <c r="D438" s="12" t="s">
        <v>6047</v>
      </c>
      <c r="E438" s="12" t="s">
        <v>8152</v>
      </c>
      <c r="F438" s="12" t="s">
        <v>8153</v>
      </c>
      <c r="G438" s="12" t="s">
        <v>8154</v>
      </c>
      <c r="H438" s="12" t="s">
        <v>6163</v>
      </c>
      <c r="I438" s="12" t="s">
        <v>6253</v>
      </c>
      <c r="J438" s="12">
        <v>5082</v>
      </c>
      <c r="K438" s="12" t="s">
        <v>6497</v>
      </c>
      <c r="L438" s="12" t="s">
        <v>6498</v>
      </c>
      <c r="M438" s="13">
        <v>43790</v>
      </c>
      <c r="N438" s="12" t="s">
        <v>6499</v>
      </c>
      <c r="O438" s="12" t="s">
        <v>6500</v>
      </c>
      <c r="P438" s="12"/>
      <c r="Q438" s="12">
        <v>1</v>
      </c>
    </row>
    <row r="439" spans="1:17" ht="15.75" customHeight="1">
      <c r="A439" s="12">
        <v>1182</v>
      </c>
      <c r="B439" s="12">
        <v>1776</v>
      </c>
      <c r="C439" s="12">
        <v>33081</v>
      </c>
      <c r="D439" s="12" t="s">
        <v>6047</v>
      </c>
      <c r="E439" s="12" t="s">
        <v>8155</v>
      </c>
      <c r="F439" s="12" t="s">
        <v>8156</v>
      </c>
      <c r="G439" s="12" t="s">
        <v>8157</v>
      </c>
      <c r="H439" s="12" t="s">
        <v>6051</v>
      </c>
      <c r="I439" s="12" t="s">
        <v>6374</v>
      </c>
      <c r="J439" s="12">
        <v>33081</v>
      </c>
      <c r="K439" s="12" t="s">
        <v>6429</v>
      </c>
      <c r="L439" s="12" t="s">
        <v>6423</v>
      </c>
      <c r="M439" s="13">
        <v>41992</v>
      </c>
      <c r="N439" s="12" t="s">
        <v>6430</v>
      </c>
      <c r="O439" s="12" t="s">
        <v>7083</v>
      </c>
      <c r="P439" s="12"/>
      <c r="Q439" s="12">
        <v>1</v>
      </c>
    </row>
    <row r="440" spans="1:17" ht="15.75" customHeight="1">
      <c r="A440" s="12">
        <v>1100</v>
      </c>
      <c r="B440" s="12">
        <v>1892</v>
      </c>
      <c r="C440" s="12">
        <v>34233</v>
      </c>
      <c r="D440" s="12" t="s">
        <v>6047</v>
      </c>
      <c r="E440" s="12" t="s">
        <v>8158</v>
      </c>
      <c r="F440" s="12" t="s">
        <v>8159</v>
      </c>
      <c r="G440" s="12" t="s">
        <v>8160</v>
      </c>
      <c r="H440" s="12" t="s">
        <v>6051</v>
      </c>
      <c r="I440" s="12" t="s">
        <v>6362</v>
      </c>
      <c r="J440" s="12">
        <v>34233</v>
      </c>
      <c r="K440" s="12" t="s">
        <v>8161</v>
      </c>
      <c r="L440" s="12" t="s">
        <v>6054</v>
      </c>
      <c r="M440" s="13">
        <v>42684</v>
      </c>
      <c r="N440" s="12" t="s">
        <v>8162</v>
      </c>
      <c r="O440" s="12" t="s">
        <v>8163</v>
      </c>
      <c r="P440" s="12"/>
      <c r="Q440" s="12">
        <v>1</v>
      </c>
    </row>
    <row r="441" spans="1:17" ht="15.75" customHeight="1">
      <c r="A441" s="12">
        <v>373</v>
      </c>
      <c r="B441" s="12">
        <v>889</v>
      </c>
      <c r="C441" s="12">
        <v>11798</v>
      </c>
      <c r="D441" s="12" t="s">
        <v>6047</v>
      </c>
      <c r="E441" s="12" t="s">
        <v>8164</v>
      </c>
      <c r="F441" s="12" t="s">
        <v>8165</v>
      </c>
      <c r="G441" s="12" t="s">
        <v>8166</v>
      </c>
      <c r="H441" s="12" t="s">
        <v>6060</v>
      </c>
      <c r="I441" s="12" t="s">
        <v>6061</v>
      </c>
      <c r="J441" s="12">
        <v>11798</v>
      </c>
      <c r="K441" s="12" t="s">
        <v>8167</v>
      </c>
      <c r="L441" s="12" t="s">
        <v>7983</v>
      </c>
      <c r="M441" s="13">
        <v>44720</v>
      </c>
      <c r="N441" s="12" t="s">
        <v>8168</v>
      </c>
      <c r="O441" s="12" t="s">
        <v>8169</v>
      </c>
      <c r="P441" s="12"/>
      <c r="Q441" s="12">
        <v>1</v>
      </c>
    </row>
    <row r="442" spans="1:17" ht="15.75" customHeight="1">
      <c r="A442" s="12">
        <v>1233</v>
      </c>
      <c r="B442" s="12">
        <v>1016</v>
      </c>
      <c r="C442" s="12">
        <v>14234</v>
      </c>
      <c r="D442" s="12" t="s">
        <v>6047</v>
      </c>
      <c r="E442" s="12" t="s">
        <v>8170</v>
      </c>
      <c r="F442" s="12" t="s">
        <v>8171</v>
      </c>
      <c r="G442" s="12" t="s">
        <v>8172</v>
      </c>
      <c r="H442" s="12" t="s">
        <v>6051</v>
      </c>
      <c r="I442" s="12" t="s">
        <v>6881</v>
      </c>
      <c r="J442" s="12">
        <v>14234</v>
      </c>
      <c r="K442" s="12" t="s">
        <v>6429</v>
      </c>
      <c r="L442" s="12" t="s">
        <v>6423</v>
      </c>
      <c r="M442" s="13">
        <v>41991</v>
      </c>
      <c r="N442" s="12" t="s">
        <v>6430</v>
      </c>
      <c r="O442" s="12" t="s">
        <v>6431</v>
      </c>
      <c r="P442" s="12"/>
      <c r="Q442" s="12">
        <v>1</v>
      </c>
    </row>
    <row r="443" spans="1:17" ht="15.75" customHeight="1">
      <c r="A443" s="12">
        <v>87</v>
      </c>
      <c r="B443" s="12">
        <v>1312</v>
      </c>
      <c r="C443" s="12">
        <v>18515</v>
      </c>
      <c r="D443" s="12" t="s">
        <v>6047</v>
      </c>
      <c r="E443" s="12" t="s">
        <v>8173</v>
      </c>
      <c r="F443" s="12" t="s">
        <v>8174</v>
      </c>
      <c r="G443" s="12" t="s">
        <v>8175</v>
      </c>
      <c r="H443" s="12" t="s">
        <v>6051</v>
      </c>
      <c r="I443" s="12" t="s">
        <v>8176</v>
      </c>
      <c r="J443" s="12">
        <v>18515</v>
      </c>
      <c r="K443" s="12" t="s">
        <v>8177</v>
      </c>
      <c r="L443" s="12" t="s">
        <v>6590</v>
      </c>
      <c r="M443" s="13">
        <v>45969</v>
      </c>
      <c r="N443" s="12" t="s">
        <v>8178</v>
      </c>
      <c r="O443" s="12" t="s">
        <v>8179</v>
      </c>
      <c r="P443" s="12"/>
      <c r="Q443" s="12">
        <v>1</v>
      </c>
    </row>
    <row r="444" spans="1:17" ht="15.75" customHeight="1">
      <c r="A444" s="12">
        <v>431</v>
      </c>
      <c r="B444" s="12">
        <v>974</v>
      </c>
      <c r="C444" s="12">
        <v>13142</v>
      </c>
      <c r="D444" s="12" t="s">
        <v>6047</v>
      </c>
      <c r="E444" s="12" t="s">
        <v>8180</v>
      </c>
      <c r="F444" s="12" t="s">
        <v>8181</v>
      </c>
      <c r="G444" s="12" t="s">
        <v>8182</v>
      </c>
      <c r="H444" s="12" t="s">
        <v>6627</v>
      </c>
      <c r="I444" s="12" t="s">
        <v>7504</v>
      </c>
      <c r="J444" s="12">
        <v>13142</v>
      </c>
      <c r="K444" s="12" t="s">
        <v>8183</v>
      </c>
      <c r="L444" s="12" t="s">
        <v>6345</v>
      </c>
      <c r="M444" s="13">
        <v>44661</v>
      </c>
      <c r="N444" s="12" t="s">
        <v>8184</v>
      </c>
      <c r="O444" s="12" t="s">
        <v>8185</v>
      </c>
      <c r="P444" s="12" t="s">
        <v>7543</v>
      </c>
      <c r="Q444" s="12">
        <v>1</v>
      </c>
    </row>
    <row r="445" spans="1:17" ht="15.75" customHeight="1">
      <c r="A445" s="12">
        <v>1080</v>
      </c>
      <c r="B445" s="12">
        <v>1817</v>
      </c>
      <c r="C445" s="12">
        <v>33629</v>
      </c>
      <c r="D445" s="12" t="s">
        <v>6047</v>
      </c>
      <c r="E445" s="12" t="s">
        <v>1194</v>
      </c>
      <c r="F445" s="12" t="s">
        <v>8186</v>
      </c>
      <c r="G445" s="12" t="s">
        <v>8187</v>
      </c>
      <c r="H445" s="12" t="s">
        <v>6051</v>
      </c>
      <c r="I445" s="12" t="s">
        <v>6261</v>
      </c>
      <c r="J445" s="12">
        <v>33629</v>
      </c>
      <c r="K445" s="12" t="s">
        <v>6927</v>
      </c>
      <c r="L445" s="12" t="s">
        <v>6504</v>
      </c>
      <c r="M445" s="13">
        <v>42685</v>
      </c>
      <c r="N445" s="12" t="s">
        <v>6928</v>
      </c>
      <c r="O445" s="12" t="s">
        <v>7825</v>
      </c>
      <c r="P445" s="12"/>
      <c r="Q445" s="12">
        <v>1</v>
      </c>
    </row>
    <row r="446" spans="1:17" ht="15.75" customHeight="1">
      <c r="A446" s="12">
        <v>1232</v>
      </c>
      <c r="B446" s="12">
        <v>1018</v>
      </c>
      <c r="C446" s="12">
        <v>14252</v>
      </c>
      <c r="D446" s="12" t="s">
        <v>6047</v>
      </c>
      <c r="E446" s="12" t="s">
        <v>8188</v>
      </c>
      <c r="F446" s="12" t="s">
        <v>8189</v>
      </c>
      <c r="G446" s="12" t="s">
        <v>8190</v>
      </c>
      <c r="H446" s="12" t="s">
        <v>6051</v>
      </c>
      <c r="I446" s="12" t="s">
        <v>6881</v>
      </c>
      <c r="J446" s="12">
        <v>14252</v>
      </c>
      <c r="K446" s="12" t="s">
        <v>6429</v>
      </c>
      <c r="L446" s="12" t="s">
        <v>6423</v>
      </c>
      <c r="M446" s="13">
        <v>41991</v>
      </c>
      <c r="N446" s="12" t="s">
        <v>6430</v>
      </c>
      <c r="O446" s="12" t="s">
        <v>6431</v>
      </c>
      <c r="P446" s="12"/>
      <c r="Q446" s="12">
        <v>1</v>
      </c>
    </row>
    <row r="447" spans="1:17" ht="15.75" customHeight="1">
      <c r="A447" s="12">
        <v>111</v>
      </c>
      <c r="B447" s="12">
        <v>1306</v>
      </c>
      <c r="C447" s="12">
        <v>18415</v>
      </c>
      <c r="D447" s="12" t="s">
        <v>6047</v>
      </c>
      <c r="E447" s="12" t="s">
        <v>1164</v>
      </c>
      <c r="F447" s="12" t="s">
        <v>8191</v>
      </c>
      <c r="G447" s="12" t="s">
        <v>8192</v>
      </c>
      <c r="H447" s="12" t="s">
        <v>6051</v>
      </c>
      <c r="I447" s="12" t="s">
        <v>7763</v>
      </c>
      <c r="J447" s="12">
        <v>18415</v>
      </c>
      <c r="K447" s="12" t="s">
        <v>6671</v>
      </c>
      <c r="L447" s="12" t="s">
        <v>6511</v>
      </c>
      <c r="M447" s="13">
        <v>45966</v>
      </c>
      <c r="N447" s="12" t="s">
        <v>6672</v>
      </c>
      <c r="O447" s="12" t="s">
        <v>6673</v>
      </c>
      <c r="P447" s="12"/>
      <c r="Q447" s="12">
        <v>1</v>
      </c>
    </row>
    <row r="448" spans="1:17" ht="15.75" customHeight="1">
      <c r="A448" s="12">
        <v>1867</v>
      </c>
      <c r="B448" s="12">
        <v>1880</v>
      </c>
      <c r="C448" s="12">
        <v>34133</v>
      </c>
      <c r="D448" s="12" t="s">
        <v>6047</v>
      </c>
      <c r="E448" s="12" t="s">
        <v>1196</v>
      </c>
      <c r="F448" s="12" t="s">
        <v>8193</v>
      </c>
      <c r="G448" s="12" t="s">
        <v>8194</v>
      </c>
      <c r="H448" s="12" t="s">
        <v>6051</v>
      </c>
      <c r="I448" s="12" t="s">
        <v>6362</v>
      </c>
      <c r="J448" s="12">
        <v>34133</v>
      </c>
      <c r="K448" s="12" t="s">
        <v>6375</v>
      </c>
      <c r="L448" s="12" t="s">
        <v>6240</v>
      </c>
      <c r="M448" s="13">
        <v>40773</v>
      </c>
      <c r="N448" s="12" t="s">
        <v>6376</v>
      </c>
      <c r="O448" s="12" t="s">
        <v>8195</v>
      </c>
      <c r="P448" s="12"/>
      <c r="Q448" s="12">
        <v>1</v>
      </c>
    </row>
    <row r="449" spans="1:17" ht="15.75" customHeight="1">
      <c r="A449" s="12">
        <v>195</v>
      </c>
      <c r="B449" s="12">
        <v>88</v>
      </c>
      <c r="C449" s="12">
        <v>970</v>
      </c>
      <c r="D449" s="12" t="s">
        <v>6047</v>
      </c>
      <c r="E449" s="12" t="s">
        <v>8196</v>
      </c>
      <c r="F449" s="12" t="s">
        <v>8197</v>
      </c>
      <c r="G449" s="12" t="s">
        <v>8198</v>
      </c>
      <c r="H449" s="12" t="s">
        <v>6435</v>
      </c>
      <c r="I449" s="12" t="s">
        <v>6436</v>
      </c>
      <c r="J449" s="12">
        <v>970</v>
      </c>
      <c r="K449" s="12" t="s">
        <v>8199</v>
      </c>
      <c r="L449" s="12" t="s">
        <v>8066</v>
      </c>
      <c r="M449" s="13">
        <v>45749</v>
      </c>
      <c r="N449" s="12" t="s">
        <v>8200</v>
      </c>
      <c r="O449" s="12" t="s">
        <v>8201</v>
      </c>
      <c r="P449" s="12"/>
      <c r="Q449" s="12">
        <v>1</v>
      </c>
    </row>
    <row r="450" spans="1:17" ht="15.75" customHeight="1">
      <c r="A450" s="12">
        <v>508</v>
      </c>
      <c r="B450" s="12">
        <v>1058</v>
      </c>
      <c r="C450" s="12">
        <v>15092</v>
      </c>
      <c r="D450" s="12" t="s">
        <v>6047</v>
      </c>
      <c r="E450" s="12" t="s">
        <v>8202</v>
      </c>
      <c r="F450" s="12" t="s">
        <v>8203</v>
      </c>
      <c r="G450" s="12" t="s">
        <v>8204</v>
      </c>
      <c r="H450" s="12" t="s">
        <v>6051</v>
      </c>
      <c r="I450" s="12" t="s">
        <v>6476</v>
      </c>
      <c r="J450" s="12">
        <v>15092</v>
      </c>
      <c r="K450" s="12" t="s">
        <v>6416</v>
      </c>
      <c r="L450" s="12" t="s">
        <v>6417</v>
      </c>
      <c r="M450" s="13">
        <v>43567</v>
      </c>
      <c r="N450" s="12" t="s">
        <v>6418</v>
      </c>
      <c r="O450" s="12" t="s">
        <v>6419</v>
      </c>
      <c r="P450" s="12"/>
      <c r="Q450" s="12">
        <v>1</v>
      </c>
    </row>
    <row r="451" spans="1:17" ht="15.75" customHeight="1">
      <c r="A451" s="12">
        <v>1144</v>
      </c>
      <c r="B451" s="12">
        <v>221</v>
      </c>
      <c r="C451" s="12">
        <v>3896</v>
      </c>
      <c r="D451" s="12" t="s">
        <v>6047</v>
      </c>
      <c r="E451" s="12" t="s">
        <v>8205</v>
      </c>
      <c r="F451" s="12" t="s">
        <v>8206</v>
      </c>
      <c r="G451" s="12" t="s">
        <v>8207</v>
      </c>
      <c r="H451" s="12" t="s">
        <v>6163</v>
      </c>
      <c r="I451" s="12" t="s">
        <v>6164</v>
      </c>
      <c r="J451" s="12">
        <v>3896</v>
      </c>
      <c r="K451" s="12" t="s">
        <v>8208</v>
      </c>
      <c r="L451" s="12" t="s">
        <v>6393</v>
      </c>
      <c r="M451" s="13">
        <v>42138</v>
      </c>
      <c r="N451" s="12" t="s">
        <v>8209</v>
      </c>
      <c r="O451" s="12" t="s">
        <v>8210</v>
      </c>
      <c r="P451" s="12"/>
      <c r="Q451" s="12">
        <v>1</v>
      </c>
    </row>
    <row r="452" spans="1:17" ht="15.75" customHeight="1">
      <c r="A452" s="12">
        <v>1456</v>
      </c>
      <c r="B452" s="12">
        <v>1362</v>
      </c>
      <c r="C452" s="12">
        <v>19875</v>
      </c>
      <c r="D452" s="12" t="s">
        <v>6047</v>
      </c>
      <c r="E452" s="12" t="s">
        <v>1221</v>
      </c>
      <c r="F452" s="12" t="s">
        <v>8211</v>
      </c>
      <c r="G452" s="12" t="s">
        <v>8212</v>
      </c>
      <c r="H452" s="12" t="s">
        <v>6051</v>
      </c>
      <c r="I452" s="12" t="s">
        <v>8213</v>
      </c>
      <c r="J452" s="12">
        <v>19875</v>
      </c>
      <c r="K452" s="12" t="s">
        <v>6069</v>
      </c>
      <c r="L452" s="12" t="s">
        <v>6070</v>
      </c>
      <c r="M452" s="13">
        <v>41907</v>
      </c>
      <c r="N452" s="12" t="s">
        <v>6071</v>
      </c>
      <c r="O452" s="12" t="s">
        <v>6072</v>
      </c>
      <c r="P452" s="12"/>
      <c r="Q452" s="12">
        <v>1</v>
      </c>
    </row>
    <row r="453" spans="1:17" ht="15.75" customHeight="1">
      <c r="A453" s="12">
        <v>1864</v>
      </c>
      <c r="B453" s="12">
        <v>1768</v>
      </c>
      <c r="C453" s="12">
        <v>32990</v>
      </c>
      <c r="D453" s="12" t="s">
        <v>6047</v>
      </c>
      <c r="E453" s="12" t="s">
        <v>8214</v>
      </c>
      <c r="F453" s="12" t="s">
        <v>8215</v>
      </c>
      <c r="G453" s="12" t="s">
        <v>8216</v>
      </c>
      <c r="H453" s="12" t="s">
        <v>6051</v>
      </c>
      <c r="I453" s="12" t="s">
        <v>6374</v>
      </c>
      <c r="J453" s="12">
        <v>32990</v>
      </c>
      <c r="K453" s="12" t="s">
        <v>6375</v>
      </c>
      <c r="L453" s="12" t="s">
        <v>6240</v>
      </c>
      <c r="M453" s="13">
        <v>40774</v>
      </c>
      <c r="N453" s="12" t="s">
        <v>6376</v>
      </c>
      <c r="O453" s="12" t="s">
        <v>7115</v>
      </c>
      <c r="P453" s="12"/>
      <c r="Q453" s="12">
        <v>1</v>
      </c>
    </row>
    <row r="454" spans="1:17" ht="15.75" customHeight="1">
      <c r="A454" s="12">
        <v>133</v>
      </c>
      <c r="B454" s="12">
        <v>1319</v>
      </c>
      <c r="C454" s="12">
        <v>18983</v>
      </c>
      <c r="D454" s="12" t="s">
        <v>6047</v>
      </c>
      <c r="E454" s="12" t="s">
        <v>1234</v>
      </c>
      <c r="F454" s="12" t="s">
        <v>8217</v>
      </c>
      <c r="G454" s="12" t="s">
        <v>8218</v>
      </c>
      <c r="H454" s="12" t="s">
        <v>6051</v>
      </c>
      <c r="I454" s="12" t="s">
        <v>8219</v>
      </c>
      <c r="J454" s="12">
        <v>18983</v>
      </c>
      <c r="K454" s="12" t="s">
        <v>8220</v>
      </c>
      <c r="L454" s="12" t="s">
        <v>6511</v>
      </c>
      <c r="M454" s="13">
        <v>45965</v>
      </c>
      <c r="N454" s="12" t="s">
        <v>8221</v>
      </c>
      <c r="O454" s="12" t="s">
        <v>8222</v>
      </c>
      <c r="P454" s="12"/>
      <c r="Q454" s="12">
        <v>1</v>
      </c>
    </row>
    <row r="455" spans="1:17" ht="15.75" customHeight="1">
      <c r="A455" s="12">
        <v>698</v>
      </c>
      <c r="B455" s="12">
        <v>1341</v>
      </c>
      <c r="C455" s="12">
        <v>19273</v>
      </c>
      <c r="D455" s="12" t="s">
        <v>6047</v>
      </c>
      <c r="E455" s="12" t="s">
        <v>8223</v>
      </c>
      <c r="F455" s="12" t="s">
        <v>8224</v>
      </c>
      <c r="G455" s="12" t="s">
        <v>8225</v>
      </c>
      <c r="H455" s="12" t="s">
        <v>6051</v>
      </c>
      <c r="I455" s="12" t="s">
        <v>7090</v>
      </c>
      <c r="J455" s="12">
        <v>19273</v>
      </c>
      <c r="K455" s="12" t="s">
        <v>8226</v>
      </c>
      <c r="L455" s="12" t="s">
        <v>7254</v>
      </c>
      <c r="M455" s="13">
        <v>43203</v>
      </c>
      <c r="N455" s="12" t="s">
        <v>8227</v>
      </c>
      <c r="O455" s="12" t="s">
        <v>8228</v>
      </c>
      <c r="P455" s="12"/>
      <c r="Q455" s="12">
        <v>1</v>
      </c>
    </row>
    <row r="456" spans="1:17" ht="15.75" customHeight="1">
      <c r="A456" s="12">
        <v>582</v>
      </c>
      <c r="B456" s="12">
        <v>1803</v>
      </c>
      <c r="C456" s="12">
        <v>33472</v>
      </c>
      <c r="D456" s="12" t="s">
        <v>6047</v>
      </c>
      <c r="E456" s="12" t="s">
        <v>8229</v>
      </c>
      <c r="F456" s="12" t="s">
        <v>8230</v>
      </c>
      <c r="G456" s="12" t="s">
        <v>8231</v>
      </c>
      <c r="H456" s="12" t="s">
        <v>6051</v>
      </c>
      <c r="I456" s="12" t="s">
        <v>6374</v>
      </c>
      <c r="J456" s="12">
        <v>33472</v>
      </c>
      <c r="K456" s="12" t="s">
        <v>6407</v>
      </c>
      <c r="L456" s="12" t="s">
        <v>6408</v>
      </c>
      <c r="M456" s="13">
        <v>43560</v>
      </c>
      <c r="N456" s="12" t="s">
        <v>6409</v>
      </c>
      <c r="O456" s="12" t="s">
        <v>8232</v>
      </c>
      <c r="P456" s="12"/>
      <c r="Q456" s="12">
        <v>1</v>
      </c>
    </row>
    <row r="457" spans="1:17" ht="15.75" customHeight="1">
      <c r="A457" s="12">
        <v>907</v>
      </c>
      <c r="B457" s="12">
        <v>1211</v>
      </c>
      <c r="C457" s="12">
        <v>17262</v>
      </c>
      <c r="D457" s="12" t="s">
        <v>6047</v>
      </c>
      <c r="E457" s="12" t="s">
        <v>8233</v>
      </c>
      <c r="F457" s="12" t="s">
        <v>8234</v>
      </c>
      <c r="G457" s="12" t="s">
        <v>8235</v>
      </c>
      <c r="H457" s="12" t="s">
        <v>6051</v>
      </c>
      <c r="I457" s="12" t="s">
        <v>6052</v>
      </c>
      <c r="J457" s="12">
        <v>17262</v>
      </c>
      <c r="K457" s="12" t="s">
        <v>6752</v>
      </c>
      <c r="L457" s="12" t="s">
        <v>6753</v>
      </c>
      <c r="M457" s="13">
        <v>42831</v>
      </c>
      <c r="N457" s="12" t="s">
        <v>6754</v>
      </c>
      <c r="O457" s="12" t="s">
        <v>6755</v>
      </c>
      <c r="P457" s="12"/>
      <c r="Q457" s="12">
        <v>1</v>
      </c>
    </row>
    <row r="458" spans="1:17" ht="15.75" customHeight="1">
      <c r="A458" s="12">
        <v>550</v>
      </c>
      <c r="B458" s="12">
        <v>856</v>
      </c>
      <c r="C458" s="12">
        <v>10939</v>
      </c>
      <c r="D458" s="12" t="s">
        <v>6047</v>
      </c>
      <c r="E458" s="12" t="s">
        <v>8236</v>
      </c>
      <c r="F458" s="12" t="s">
        <v>8237</v>
      </c>
      <c r="G458" s="12" t="s">
        <v>8238</v>
      </c>
      <c r="H458" s="12" t="s">
        <v>6060</v>
      </c>
      <c r="I458" s="12" t="s">
        <v>7082</v>
      </c>
      <c r="J458" s="12">
        <v>10939</v>
      </c>
      <c r="K458" s="12" t="s">
        <v>8239</v>
      </c>
      <c r="L458" s="12" t="s">
        <v>6408</v>
      </c>
      <c r="M458" s="13">
        <v>43563</v>
      </c>
      <c r="N458" s="12" t="s">
        <v>8240</v>
      </c>
      <c r="O458" s="12" t="s">
        <v>8241</v>
      </c>
      <c r="P458" s="12"/>
      <c r="Q458" s="12">
        <v>1</v>
      </c>
    </row>
    <row r="459" spans="1:17" ht="15.75" customHeight="1">
      <c r="A459" s="12">
        <v>547</v>
      </c>
      <c r="B459" s="12">
        <v>1170</v>
      </c>
      <c r="C459" s="12">
        <v>16802</v>
      </c>
      <c r="D459" s="12" t="s">
        <v>6047</v>
      </c>
      <c r="E459" s="12" t="s">
        <v>8242</v>
      </c>
      <c r="F459" s="12" t="s">
        <v>8243</v>
      </c>
      <c r="G459" s="12" t="s">
        <v>8244</v>
      </c>
      <c r="H459" s="12" t="s">
        <v>6051</v>
      </c>
      <c r="I459" s="12" t="s">
        <v>6052</v>
      </c>
      <c r="J459" s="12">
        <v>16802</v>
      </c>
      <c r="K459" s="12" t="s">
        <v>8239</v>
      </c>
      <c r="L459" s="12" t="s">
        <v>6408</v>
      </c>
      <c r="M459" s="13">
        <v>43563</v>
      </c>
      <c r="N459" s="12" t="s">
        <v>8240</v>
      </c>
      <c r="O459" s="12" t="s">
        <v>8241</v>
      </c>
      <c r="P459" s="12"/>
      <c r="Q459" s="12">
        <v>1</v>
      </c>
    </row>
    <row r="460" spans="1:17" ht="15.75" customHeight="1">
      <c r="A460" s="12">
        <v>543</v>
      </c>
      <c r="B460" s="12">
        <v>1900</v>
      </c>
      <c r="C460" s="12">
        <v>34324</v>
      </c>
      <c r="D460" s="12" t="s">
        <v>6047</v>
      </c>
      <c r="E460" s="12" t="s">
        <v>8245</v>
      </c>
      <c r="F460" s="12" t="s">
        <v>8246</v>
      </c>
      <c r="G460" s="12" t="s">
        <v>8247</v>
      </c>
      <c r="H460" s="12" t="s">
        <v>6051</v>
      </c>
      <c r="I460" s="12" t="s">
        <v>6362</v>
      </c>
      <c r="J460" s="12">
        <v>34324</v>
      </c>
      <c r="K460" s="12" t="s">
        <v>7441</v>
      </c>
      <c r="L460" s="12" t="s">
        <v>6408</v>
      </c>
      <c r="M460" s="13">
        <v>43563</v>
      </c>
      <c r="N460" s="12" t="s">
        <v>7442</v>
      </c>
      <c r="O460" s="12" t="s">
        <v>8248</v>
      </c>
      <c r="P460" s="12"/>
      <c r="Q460" s="12">
        <v>1</v>
      </c>
    </row>
    <row r="461" spans="1:17" ht="15.75" customHeight="1">
      <c r="A461" s="12">
        <v>436</v>
      </c>
      <c r="B461" s="12">
        <v>210</v>
      </c>
      <c r="C461" s="12">
        <v>3594</v>
      </c>
      <c r="D461" s="12" t="s">
        <v>6047</v>
      </c>
      <c r="E461" s="12" t="s">
        <v>1245</v>
      </c>
      <c r="F461" s="12" t="s">
        <v>8249</v>
      </c>
      <c r="G461" s="12" t="s">
        <v>8250</v>
      </c>
      <c r="H461" s="12" t="s">
        <v>6718</v>
      </c>
      <c r="I461" s="12" t="s">
        <v>6719</v>
      </c>
      <c r="J461" s="12">
        <v>3594</v>
      </c>
      <c r="K461" s="12" t="s">
        <v>8251</v>
      </c>
      <c r="L461" s="12" t="s">
        <v>6345</v>
      </c>
      <c r="M461" s="13">
        <v>44642</v>
      </c>
      <c r="N461" s="12" t="s">
        <v>8252</v>
      </c>
      <c r="O461" s="12" t="s">
        <v>8253</v>
      </c>
      <c r="P461" s="12"/>
      <c r="Q461" s="12">
        <v>1</v>
      </c>
    </row>
    <row r="462" spans="1:17" ht="15.75" customHeight="1">
      <c r="A462" s="12">
        <v>634</v>
      </c>
      <c r="B462" s="12">
        <v>108</v>
      </c>
      <c r="C462" s="12">
        <v>1765</v>
      </c>
      <c r="D462" s="12" t="s">
        <v>6047</v>
      </c>
      <c r="E462" s="12" t="s">
        <v>8254</v>
      </c>
      <c r="F462" s="12" t="s">
        <v>8255</v>
      </c>
      <c r="G462" s="12" t="s">
        <v>8256</v>
      </c>
      <c r="H462" s="12" t="s">
        <v>6435</v>
      </c>
      <c r="I462" s="12" t="s">
        <v>6920</v>
      </c>
      <c r="J462" s="12">
        <v>1765</v>
      </c>
      <c r="K462" s="12" t="s">
        <v>8257</v>
      </c>
      <c r="L462" s="12" t="s">
        <v>6193</v>
      </c>
      <c r="M462" s="13">
        <v>43413</v>
      </c>
      <c r="N462" s="12" t="s">
        <v>8258</v>
      </c>
      <c r="O462" s="12" t="s">
        <v>8259</v>
      </c>
      <c r="P462" s="12" t="s">
        <v>6196</v>
      </c>
      <c r="Q462" s="12">
        <v>1</v>
      </c>
    </row>
    <row r="463" spans="1:17" ht="15.75" customHeight="1">
      <c r="A463" s="12">
        <v>452</v>
      </c>
      <c r="B463" s="12">
        <v>1114</v>
      </c>
      <c r="C463" s="12">
        <v>16034</v>
      </c>
      <c r="D463" s="12" t="s">
        <v>6047</v>
      </c>
      <c r="E463" s="12" t="s">
        <v>8260</v>
      </c>
      <c r="F463" s="12" t="s">
        <v>8261</v>
      </c>
      <c r="G463" s="12" t="s">
        <v>8262</v>
      </c>
      <c r="H463" s="12" t="s">
        <v>6051</v>
      </c>
      <c r="I463" s="12" t="s">
        <v>6781</v>
      </c>
      <c r="J463" s="12">
        <v>16034</v>
      </c>
      <c r="K463" s="12" t="s">
        <v>8263</v>
      </c>
      <c r="L463" s="12" t="s">
        <v>6455</v>
      </c>
      <c r="M463" s="13">
        <v>43793</v>
      </c>
      <c r="N463" s="12" t="s">
        <v>8264</v>
      </c>
      <c r="O463" s="12" t="s">
        <v>8265</v>
      </c>
      <c r="P463" s="12"/>
      <c r="Q463" s="12">
        <v>1</v>
      </c>
    </row>
    <row r="464" spans="1:17" ht="15.75" customHeight="1">
      <c r="A464" s="12">
        <v>613</v>
      </c>
      <c r="B464" s="12">
        <v>2001</v>
      </c>
      <c r="C464" s="12">
        <v>35265</v>
      </c>
      <c r="D464" s="12" t="s">
        <v>6047</v>
      </c>
      <c r="E464" s="12" t="s">
        <v>8266</v>
      </c>
      <c r="F464" s="12" t="s">
        <v>8267</v>
      </c>
      <c r="G464" s="12" t="s">
        <v>8268</v>
      </c>
      <c r="H464" s="12" t="s">
        <v>6051</v>
      </c>
      <c r="I464" s="12" t="s">
        <v>6700</v>
      </c>
      <c r="J464" s="12">
        <v>35265</v>
      </c>
      <c r="K464" s="12" t="s">
        <v>7160</v>
      </c>
      <c r="L464" s="12" t="s">
        <v>6408</v>
      </c>
      <c r="M464" s="13">
        <v>43558</v>
      </c>
      <c r="N464" s="12" t="s">
        <v>7161</v>
      </c>
      <c r="O464" s="12" t="s">
        <v>7384</v>
      </c>
      <c r="P464" s="12"/>
      <c r="Q464" s="12">
        <v>1</v>
      </c>
    </row>
    <row r="465" spans="1:17" ht="15.75" customHeight="1">
      <c r="A465" s="12">
        <v>966</v>
      </c>
      <c r="B465" s="12">
        <v>1115</v>
      </c>
      <c r="C465" s="12">
        <v>16037</v>
      </c>
      <c r="D465" s="12" t="s">
        <v>6047</v>
      </c>
      <c r="E465" s="12" t="s">
        <v>8269</v>
      </c>
      <c r="F465" s="12" t="s">
        <v>8270</v>
      </c>
      <c r="G465" s="12" t="s">
        <v>8271</v>
      </c>
      <c r="H465" s="12" t="s">
        <v>6051</v>
      </c>
      <c r="I465" s="12" t="s">
        <v>6781</v>
      </c>
      <c r="J465" s="12">
        <v>16037</v>
      </c>
      <c r="K465" s="12" t="s">
        <v>8272</v>
      </c>
      <c r="L465" s="12" t="s">
        <v>6357</v>
      </c>
      <c r="M465" s="13">
        <v>42825</v>
      </c>
      <c r="N465" s="12" t="s">
        <v>8273</v>
      </c>
      <c r="O465" s="12" t="s">
        <v>8274</v>
      </c>
      <c r="P465" s="12"/>
      <c r="Q465" s="12">
        <v>1</v>
      </c>
    </row>
    <row r="466" spans="1:17" ht="15.75" customHeight="1">
      <c r="A466" s="12">
        <v>1218</v>
      </c>
      <c r="B466" s="12">
        <v>1150</v>
      </c>
      <c r="C466" s="12">
        <v>16519</v>
      </c>
      <c r="D466" s="12" t="s">
        <v>6047</v>
      </c>
      <c r="E466" s="12" t="s">
        <v>8275</v>
      </c>
      <c r="F466" s="12" t="s">
        <v>8276</v>
      </c>
      <c r="G466" s="12" t="s">
        <v>8277</v>
      </c>
      <c r="H466" s="12" t="s">
        <v>6051</v>
      </c>
      <c r="I466" s="12" t="s">
        <v>6052</v>
      </c>
      <c r="J466" s="12">
        <v>16519</v>
      </c>
      <c r="K466" s="12" t="s">
        <v>6429</v>
      </c>
      <c r="L466" s="12" t="s">
        <v>6423</v>
      </c>
      <c r="M466" s="13">
        <v>41991</v>
      </c>
      <c r="N466" s="12" t="s">
        <v>6430</v>
      </c>
      <c r="O466" s="12" t="s">
        <v>6431</v>
      </c>
      <c r="P466" s="12"/>
      <c r="Q466" s="12">
        <v>1</v>
      </c>
    </row>
    <row r="467" spans="1:17" ht="15.75" customHeight="1">
      <c r="A467" s="12">
        <v>1854</v>
      </c>
      <c r="B467" s="12">
        <v>333</v>
      </c>
      <c r="C467" s="12">
        <v>5100</v>
      </c>
      <c r="D467" s="12" t="s">
        <v>6047</v>
      </c>
      <c r="E467" s="12" t="s">
        <v>8278</v>
      </c>
      <c r="F467" s="12" t="s">
        <v>8279</v>
      </c>
      <c r="G467" s="12" t="s">
        <v>8280</v>
      </c>
      <c r="H467" s="12" t="s">
        <v>6163</v>
      </c>
      <c r="I467" s="12" t="s">
        <v>6253</v>
      </c>
      <c r="J467" s="12">
        <v>5100</v>
      </c>
      <c r="K467" s="12" t="s">
        <v>6062</v>
      </c>
      <c r="L467" s="12" t="s">
        <v>6063</v>
      </c>
      <c r="M467" s="13">
        <v>40873</v>
      </c>
      <c r="N467" s="12" t="s">
        <v>6064</v>
      </c>
      <c r="O467" s="12" t="s">
        <v>6065</v>
      </c>
      <c r="P467" s="12"/>
      <c r="Q467" s="12">
        <v>1</v>
      </c>
    </row>
    <row r="468" spans="1:17" ht="15.75" customHeight="1">
      <c r="A468" s="12">
        <v>130</v>
      </c>
      <c r="B468" s="12">
        <v>1314</v>
      </c>
      <c r="C468" s="12">
        <v>18539</v>
      </c>
      <c r="D468" s="12" t="s">
        <v>6047</v>
      </c>
      <c r="E468" s="12" t="s">
        <v>1261</v>
      </c>
      <c r="F468" s="12" t="s">
        <v>8281</v>
      </c>
      <c r="G468" s="12" t="s">
        <v>8282</v>
      </c>
      <c r="H468" s="12" t="s">
        <v>6051</v>
      </c>
      <c r="I468" s="12" t="s">
        <v>8136</v>
      </c>
      <c r="J468" s="12">
        <v>18539</v>
      </c>
      <c r="K468" s="12" t="s">
        <v>6725</v>
      </c>
      <c r="L468" s="12" t="s">
        <v>6511</v>
      </c>
      <c r="M468" s="13">
        <v>45965</v>
      </c>
      <c r="N468" s="12" t="s">
        <v>6726</v>
      </c>
      <c r="O468" s="12" t="s">
        <v>6727</v>
      </c>
      <c r="P468" s="12"/>
      <c r="Q468" s="12">
        <v>1</v>
      </c>
    </row>
    <row r="469" spans="1:17" ht="15.75" customHeight="1">
      <c r="A469" s="12">
        <v>1010</v>
      </c>
      <c r="B469" s="12">
        <v>888</v>
      </c>
      <c r="C469" s="12">
        <v>11788</v>
      </c>
      <c r="D469" s="12" t="s">
        <v>6047</v>
      </c>
      <c r="E469" s="12" t="s">
        <v>8283</v>
      </c>
      <c r="F469" s="12" t="s">
        <v>8284</v>
      </c>
      <c r="G469" s="12" t="s">
        <v>8285</v>
      </c>
      <c r="H469" s="12" t="s">
        <v>6060</v>
      </c>
      <c r="I469" s="12" t="s">
        <v>6061</v>
      </c>
      <c r="J469" s="12">
        <v>11788</v>
      </c>
      <c r="K469" s="12" t="s">
        <v>7666</v>
      </c>
      <c r="L469" s="12" t="s">
        <v>6054</v>
      </c>
      <c r="M469" s="13">
        <v>42692</v>
      </c>
      <c r="N469" s="12" t="s">
        <v>7667</v>
      </c>
      <c r="O469" s="12" t="s">
        <v>8286</v>
      </c>
      <c r="P469" s="12"/>
      <c r="Q469" s="12">
        <v>1</v>
      </c>
    </row>
    <row r="470" spans="1:17" ht="15.75" customHeight="1">
      <c r="A470" s="12">
        <v>1751</v>
      </c>
      <c r="B470" s="12">
        <v>2033</v>
      </c>
      <c r="C470" s="12">
        <v>35806</v>
      </c>
      <c r="D470" s="12" t="s">
        <v>6047</v>
      </c>
      <c r="E470" s="12" t="s">
        <v>8287</v>
      </c>
      <c r="F470" s="12" t="s">
        <v>8288</v>
      </c>
      <c r="G470" s="12" t="s">
        <v>8289</v>
      </c>
      <c r="H470" s="12" t="s">
        <v>6051</v>
      </c>
      <c r="I470" s="12" t="s">
        <v>6700</v>
      </c>
      <c r="J470" s="12">
        <v>35806</v>
      </c>
      <c r="K470" s="12" t="s">
        <v>6062</v>
      </c>
      <c r="L470" s="12" t="s">
        <v>6063</v>
      </c>
      <c r="M470" s="13">
        <v>40873</v>
      </c>
      <c r="N470" s="12" t="s">
        <v>6064</v>
      </c>
      <c r="O470" s="12" t="s">
        <v>6065</v>
      </c>
      <c r="P470" s="12"/>
      <c r="Q470" s="12">
        <v>1</v>
      </c>
    </row>
    <row r="471" spans="1:17" ht="15.75" customHeight="1">
      <c r="A471" s="12">
        <v>2001</v>
      </c>
      <c r="B471" s="12">
        <v>782</v>
      </c>
      <c r="C471" s="12">
        <v>9794</v>
      </c>
      <c r="D471" s="12" t="s">
        <v>6047</v>
      </c>
      <c r="E471" s="12" t="s">
        <v>1270</v>
      </c>
      <c r="F471" s="12" t="s">
        <v>8290</v>
      </c>
      <c r="G471" s="12" t="s">
        <v>8291</v>
      </c>
      <c r="H471" s="12" t="s">
        <v>6265</v>
      </c>
      <c r="I471" s="12" t="s">
        <v>8292</v>
      </c>
      <c r="J471" s="12">
        <v>9794</v>
      </c>
      <c r="K471" s="12" t="s">
        <v>6112</v>
      </c>
      <c r="L471" s="12" t="s">
        <v>6113</v>
      </c>
      <c r="M471" s="13">
        <v>38573</v>
      </c>
      <c r="N471" s="12" t="s">
        <v>6114</v>
      </c>
      <c r="O471" s="12" t="s">
        <v>6115</v>
      </c>
      <c r="P471" s="12"/>
      <c r="Q471" s="12">
        <v>1</v>
      </c>
    </row>
    <row r="472" spans="1:17" ht="15.75" customHeight="1">
      <c r="A472" s="12">
        <v>1159</v>
      </c>
      <c r="B472" s="12">
        <v>1423</v>
      </c>
      <c r="C472" s="12">
        <v>21484</v>
      </c>
      <c r="D472" s="12" t="s">
        <v>6047</v>
      </c>
      <c r="E472" s="12" t="s">
        <v>1272</v>
      </c>
      <c r="F472" s="12" t="s">
        <v>8293</v>
      </c>
      <c r="G472" s="12" t="s">
        <v>8294</v>
      </c>
      <c r="H472" s="12" t="s">
        <v>6051</v>
      </c>
      <c r="I472" s="12" t="s">
        <v>6299</v>
      </c>
      <c r="J472" s="12">
        <v>21484</v>
      </c>
      <c r="K472" s="12" t="s">
        <v>8295</v>
      </c>
      <c r="L472" s="12" t="s">
        <v>6308</v>
      </c>
      <c r="M472" s="13">
        <v>42079</v>
      </c>
      <c r="N472" s="12" t="s">
        <v>8296</v>
      </c>
      <c r="O472" s="12" t="s">
        <v>8297</v>
      </c>
      <c r="P472" s="12"/>
      <c r="Q472" s="12">
        <v>1</v>
      </c>
    </row>
    <row r="473" spans="1:17" ht="15.75" customHeight="1">
      <c r="A473" s="12">
        <v>1517</v>
      </c>
      <c r="B473" s="12">
        <v>1769</v>
      </c>
      <c r="C473" s="12">
        <v>32996</v>
      </c>
      <c r="D473" s="12" t="s">
        <v>6047</v>
      </c>
      <c r="E473" s="12" t="s">
        <v>8298</v>
      </c>
      <c r="F473" s="12" t="s">
        <v>8299</v>
      </c>
      <c r="G473" s="12" t="s">
        <v>8300</v>
      </c>
      <c r="H473" s="12" t="s">
        <v>6051</v>
      </c>
      <c r="I473" s="12" t="s">
        <v>6374</v>
      </c>
      <c r="J473" s="12">
        <v>32996</v>
      </c>
      <c r="K473" s="12" t="s">
        <v>6300</v>
      </c>
      <c r="L473" s="12" t="s">
        <v>6240</v>
      </c>
      <c r="M473" s="13">
        <v>41760</v>
      </c>
      <c r="N473" s="12" t="s">
        <v>6301</v>
      </c>
      <c r="O473" s="12" t="s">
        <v>8301</v>
      </c>
      <c r="P473" s="12"/>
      <c r="Q473" s="12">
        <v>1</v>
      </c>
    </row>
    <row r="474" spans="1:17" ht="15.75" customHeight="1">
      <c r="A474" s="12">
        <v>1790</v>
      </c>
      <c r="B474" s="12">
        <v>1631</v>
      </c>
      <c r="C474" s="12">
        <v>28767</v>
      </c>
      <c r="D474" s="12" t="s">
        <v>6047</v>
      </c>
      <c r="E474" s="12" t="s">
        <v>8302</v>
      </c>
      <c r="F474" s="12" t="s">
        <v>8303</v>
      </c>
      <c r="G474" s="12" t="s">
        <v>8304</v>
      </c>
      <c r="H474" s="12" t="s">
        <v>6051</v>
      </c>
      <c r="I474" s="12" t="s">
        <v>6366</v>
      </c>
      <c r="J474" s="12">
        <v>28767</v>
      </c>
      <c r="K474" s="12" t="s">
        <v>6062</v>
      </c>
      <c r="L474" s="12" t="s">
        <v>6063</v>
      </c>
      <c r="M474" s="13">
        <v>40873</v>
      </c>
      <c r="N474" s="12" t="s">
        <v>6064</v>
      </c>
      <c r="O474" s="12" t="s">
        <v>6065</v>
      </c>
      <c r="P474" s="12"/>
      <c r="Q474" s="12">
        <v>1</v>
      </c>
    </row>
    <row r="475" spans="1:17" ht="15.75" customHeight="1">
      <c r="A475" s="12">
        <v>1150</v>
      </c>
      <c r="B475" s="12">
        <v>1507</v>
      </c>
      <c r="C475" s="12">
        <v>24281</v>
      </c>
      <c r="D475" s="12" t="s">
        <v>6047</v>
      </c>
      <c r="E475" s="12" t="s">
        <v>8305</v>
      </c>
      <c r="F475" s="12" t="s">
        <v>8306</v>
      </c>
      <c r="G475" s="12" t="s">
        <v>8307</v>
      </c>
      <c r="H475" s="12" t="s">
        <v>6051</v>
      </c>
      <c r="I475" s="12" t="s">
        <v>6738</v>
      </c>
      <c r="J475" s="12">
        <v>24281</v>
      </c>
      <c r="K475" s="12" t="s">
        <v>7456</v>
      </c>
      <c r="L475" s="12" t="s">
        <v>6393</v>
      </c>
      <c r="M475" s="13">
        <v>42136</v>
      </c>
      <c r="N475" s="12" t="s">
        <v>7457</v>
      </c>
      <c r="O475" s="12" t="s">
        <v>7458</v>
      </c>
      <c r="P475" s="12"/>
      <c r="Q475" s="12">
        <v>1</v>
      </c>
    </row>
    <row r="476" spans="1:17" ht="15.75" customHeight="1">
      <c r="A476" s="12">
        <v>732</v>
      </c>
      <c r="B476" s="12">
        <v>1628</v>
      </c>
      <c r="C476" s="12">
        <v>28751</v>
      </c>
      <c r="D476" s="12" t="s">
        <v>6047</v>
      </c>
      <c r="E476" s="12" t="s">
        <v>8308</v>
      </c>
      <c r="F476" s="12" t="s">
        <v>8309</v>
      </c>
      <c r="G476" s="12" t="s">
        <v>8310</v>
      </c>
      <c r="H476" s="12" t="s">
        <v>6051</v>
      </c>
      <c r="I476" s="12" t="s">
        <v>6366</v>
      </c>
      <c r="J476" s="12">
        <v>28751</v>
      </c>
      <c r="K476" s="12" t="s">
        <v>8059</v>
      </c>
      <c r="L476" s="12" t="s">
        <v>6839</v>
      </c>
      <c r="M476" s="13">
        <v>43198</v>
      </c>
      <c r="N476" s="12" t="s">
        <v>8060</v>
      </c>
      <c r="O476" s="12" t="s">
        <v>8061</v>
      </c>
      <c r="P476" s="12"/>
      <c r="Q476" s="12">
        <v>1</v>
      </c>
    </row>
    <row r="477" spans="1:17" ht="15.75" customHeight="1">
      <c r="A477" s="12">
        <v>1030</v>
      </c>
      <c r="B477" s="12">
        <v>1042</v>
      </c>
      <c r="C477" s="12">
        <v>14821</v>
      </c>
      <c r="D477" s="12" t="s">
        <v>6047</v>
      </c>
      <c r="E477" s="12" t="s">
        <v>8311</v>
      </c>
      <c r="F477" s="12" t="s">
        <v>8312</v>
      </c>
      <c r="G477" s="12" t="s">
        <v>8313</v>
      </c>
      <c r="H477" s="12" t="s">
        <v>6051</v>
      </c>
      <c r="I477" s="12" t="s">
        <v>6476</v>
      </c>
      <c r="J477" s="12">
        <v>14821</v>
      </c>
      <c r="K477" s="12" t="s">
        <v>8314</v>
      </c>
      <c r="L477" s="12" t="s">
        <v>6504</v>
      </c>
      <c r="M477" s="13">
        <v>42689</v>
      </c>
      <c r="N477" s="12" t="s">
        <v>8315</v>
      </c>
      <c r="O477" s="12" t="s">
        <v>8316</v>
      </c>
      <c r="P477" s="12"/>
      <c r="Q477" s="12">
        <v>1</v>
      </c>
    </row>
    <row r="478" spans="1:17" ht="15.75" customHeight="1">
      <c r="A478" s="12">
        <v>1873</v>
      </c>
      <c r="B478" s="12">
        <v>622</v>
      </c>
      <c r="C478" s="12">
        <v>7762</v>
      </c>
      <c r="D478" s="12" t="s">
        <v>6047</v>
      </c>
      <c r="E478" s="12" t="s">
        <v>8317</v>
      </c>
      <c r="F478" s="12" t="s">
        <v>8318</v>
      </c>
      <c r="G478" s="12" t="s">
        <v>8319</v>
      </c>
      <c r="H478" s="12" t="s">
        <v>6187</v>
      </c>
      <c r="I478" s="12" t="s">
        <v>6224</v>
      </c>
      <c r="J478" s="12">
        <v>7762</v>
      </c>
      <c r="K478" s="12" t="s">
        <v>6769</v>
      </c>
      <c r="L478" s="12" t="s">
        <v>6709</v>
      </c>
      <c r="M478" s="13">
        <v>40176</v>
      </c>
      <c r="N478" s="12" t="s">
        <v>6770</v>
      </c>
      <c r="O478" s="12" t="s">
        <v>6771</v>
      </c>
      <c r="P478" s="12"/>
      <c r="Q478" s="12">
        <v>1</v>
      </c>
    </row>
    <row r="479" spans="1:17" ht="15.75" customHeight="1">
      <c r="A479" s="12">
        <v>312</v>
      </c>
      <c r="B479" s="12">
        <v>556</v>
      </c>
      <c r="C479" s="12">
        <v>7345</v>
      </c>
      <c r="D479" s="12" t="s">
        <v>6047</v>
      </c>
      <c r="E479" s="12" t="s">
        <v>8320</v>
      </c>
      <c r="F479" s="12" t="s">
        <v>8321</v>
      </c>
      <c r="G479" s="12" t="s">
        <v>8322</v>
      </c>
      <c r="H479" s="12" t="s">
        <v>6084</v>
      </c>
      <c r="I479" s="12" t="s">
        <v>6575</v>
      </c>
      <c r="J479" s="12">
        <v>7345</v>
      </c>
      <c r="K479" s="12" t="s">
        <v>8323</v>
      </c>
      <c r="L479" s="12" t="s">
        <v>8324</v>
      </c>
      <c r="M479" s="13">
        <v>45267</v>
      </c>
      <c r="N479" s="12" t="s">
        <v>8325</v>
      </c>
      <c r="O479" s="12" t="s">
        <v>8326</v>
      </c>
      <c r="P479" s="12"/>
      <c r="Q479" s="12">
        <v>1</v>
      </c>
    </row>
    <row r="480" spans="1:17" ht="15.75" customHeight="1">
      <c r="A480" s="12">
        <v>1884</v>
      </c>
      <c r="B480" s="12">
        <v>851</v>
      </c>
      <c r="C480" s="12">
        <v>10885</v>
      </c>
      <c r="D480" s="12" t="s">
        <v>6047</v>
      </c>
      <c r="E480" s="12" t="s">
        <v>1306</v>
      </c>
      <c r="F480" s="12" t="s">
        <v>8327</v>
      </c>
      <c r="G480" s="12" t="s">
        <v>8328</v>
      </c>
      <c r="H480" s="12" t="s">
        <v>6060</v>
      </c>
      <c r="I480" s="12" t="s">
        <v>7082</v>
      </c>
      <c r="J480" s="12">
        <v>10885</v>
      </c>
      <c r="K480" s="12" t="s">
        <v>8329</v>
      </c>
      <c r="L480" s="12" t="s">
        <v>6709</v>
      </c>
      <c r="M480" s="13">
        <v>40175</v>
      </c>
      <c r="N480" s="12" t="s">
        <v>8330</v>
      </c>
      <c r="O480" s="12" t="s">
        <v>8331</v>
      </c>
      <c r="P480" s="12"/>
      <c r="Q480" s="12">
        <v>1</v>
      </c>
    </row>
    <row r="481" spans="1:17" ht="15.75" customHeight="1">
      <c r="A481" s="12">
        <v>2048</v>
      </c>
      <c r="B481" s="12">
        <v>274</v>
      </c>
      <c r="C481" s="12">
        <v>4623</v>
      </c>
      <c r="D481" s="12" t="s">
        <v>6047</v>
      </c>
      <c r="E481" s="12" t="s">
        <v>8332</v>
      </c>
      <c r="F481" s="12" t="s">
        <v>8333</v>
      </c>
      <c r="G481" s="12" t="s">
        <v>8334</v>
      </c>
      <c r="H481" s="12" t="s">
        <v>6163</v>
      </c>
      <c r="I481" s="12" t="s">
        <v>6253</v>
      </c>
      <c r="J481" s="12">
        <v>4623</v>
      </c>
      <c r="K481" s="12" t="s">
        <v>7867</v>
      </c>
      <c r="L481" s="12" t="s">
        <v>6408</v>
      </c>
      <c r="M481" s="13">
        <v>38170</v>
      </c>
      <c r="N481" s="12" t="s">
        <v>7868</v>
      </c>
      <c r="O481" s="12" t="s">
        <v>7869</v>
      </c>
      <c r="P481" s="12"/>
      <c r="Q481" s="12">
        <v>1</v>
      </c>
    </row>
    <row r="482" spans="1:17" ht="15.75" customHeight="1">
      <c r="A482" s="12">
        <v>334</v>
      </c>
      <c r="B482" s="12">
        <v>415</v>
      </c>
      <c r="C482" s="12">
        <v>5933</v>
      </c>
      <c r="D482" s="12" t="s">
        <v>6047</v>
      </c>
      <c r="E482" s="12" t="s">
        <v>8335</v>
      </c>
      <c r="F482" s="12" t="s">
        <v>8336</v>
      </c>
      <c r="G482" s="12" t="s">
        <v>8337</v>
      </c>
      <c r="H482" s="12" t="s">
        <v>6137</v>
      </c>
      <c r="I482" s="12" t="s">
        <v>6323</v>
      </c>
      <c r="J482" s="12">
        <v>5933</v>
      </c>
      <c r="K482" s="12" t="s">
        <v>8338</v>
      </c>
      <c r="L482" s="12" t="s">
        <v>6732</v>
      </c>
      <c r="M482" s="13">
        <v>44726</v>
      </c>
      <c r="N482" s="12" t="s">
        <v>8339</v>
      </c>
      <c r="O482" s="12" t="s">
        <v>8340</v>
      </c>
      <c r="P482" s="12"/>
      <c r="Q482" s="12">
        <v>1</v>
      </c>
    </row>
    <row r="483" spans="1:17" ht="15.75" customHeight="1">
      <c r="A483" s="12">
        <v>1368</v>
      </c>
      <c r="B483" s="12">
        <v>472</v>
      </c>
      <c r="C483" s="12">
        <v>6347</v>
      </c>
      <c r="D483" s="12" t="s">
        <v>6047</v>
      </c>
      <c r="E483" s="12" t="s">
        <v>8341</v>
      </c>
      <c r="F483" s="12" t="s">
        <v>8342</v>
      </c>
      <c r="G483" s="12" t="s">
        <v>8343</v>
      </c>
      <c r="H483" s="12" t="s">
        <v>6137</v>
      </c>
      <c r="I483" s="12" t="s">
        <v>6654</v>
      </c>
      <c r="J483" s="12">
        <v>6347</v>
      </c>
      <c r="K483" s="12" t="s">
        <v>6077</v>
      </c>
      <c r="L483" s="12" t="s">
        <v>6078</v>
      </c>
      <c r="M483" s="13">
        <v>41915</v>
      </c>
      <c r="N483" s="12" t="s">
        <v>6079</v>
      </c>
      <c r="O483" s="12" t="s">
        <v>7172</v>
      </c>
      <c r="P483" s="12"/>
      <c r="Q483" s="12">
        <v>1</v>
      </c>
    </row>
    <row r="484" spans="1:17" ht="15.75" customHeight="1">
      <c r="A484" s="12">
        <v>396</v>
      </c>
      <c r="B484" s="12">
        <v>1906</v>
      </c>
      <c r="C484" s="12">
        <v>34382</v>
      </c>
      <c r="D484" s="12" t="s">
        <v>6047</v>
      </c>
      <c r="E484" s="12" t="s">
        <v>8344</v>
      </c>
      <c r="F484" s="12" t="s">
        <v>8345</v>
      </c>
      <c r="G484" s="12" t="s">
        <v>8346</v>
      </c>
      <c r="H484" s="12" t="s">
        <v>6051</v>
      </c>
      <c r="I484" s="12" t="s">
        <v>6362</v>
      </c>
      <c r="J484" s="12">
        <v>34382</v>
      </c>
      <c r="K484" s="12" t="s">
        <v>7846</v>
      </c>
      <c r="L484" s="12" t="s">
        <v>7020</v>
      </c>
      <c r="M484" s="13">
        <v>44716</v>
      </c>
      <c r="N484" s="12" t="s">
        <v>7847</v>
      </c>
      <c r="O484" s="12" t="s">
        <v>7848</v>
      </c>
      <c r="P484" s="12"/>
      <c r="Q484" s="12">
        <v>1</v>
      </c>
    </row>
    <row r="485" spans="1:17" ht="15.75" customHeight="1">
      <c r="A485" s="12">
        <v>1377</v>
      </c>
      <c r="B485" s="12">
        <v>1653</v>
      </c>
      <c r="C485" s="12">
        <v>30197</v>
      </c>
      <c r="D485" s="12" t="s">
        <v>6047</v>
      </c>
      <c r="E485" s="12" t="s">
        <v>1297</v>
      </c>
      <c r="F485" s="12" t="s">
        <v>8347</v>
      </c>
      <c r="G485" s="12" t="s">
        <v>8348</v>
      </c>
      <c r="H485" s="12" t="s">
        <v>6051</v>
      </c>
      <c r="I485" s="12" t="s">
        <v>6399</v>
      </c>
      <c r="J485" s="12">
        <v>30197</v>
      </c>
      <c r="K485" s="12" t="s">
        <v>6077</v>
      </c>
      <c r="L485" s="12" t="s">
        <v>6078</v>
      </c>
      <c r="M485" s="13">
        <v>41914</v>
      </c>
      <c r="N485" s="12" t="s">
        <v>6079</v>
      </c>
      <c r="O485" s="12" t="s">
        <v>6101</v>
      </c>
      <c r="P485" s="12"/>
      <c r="Q485" s="12">
        <v>1</v>
      </c>
    </row>
    <row r="486" spans="1:17" ht="15.75" customHeight="1">
      <c r="A486" s="12">
        <v>1713</v>
      </c>
      <c r="B486" s="12">
        <v>766</v>
      </c>
      <c r="C486" s="12">
        <v>9579</v>
      </c>
      <c r="D486" s="12" t="s">
        <v>6047</v>
      </c>
      <c r="E486" s="12" t="s">
        <v>1314</v>
      </c>
      <c r="F486" s="12" t="s">
        <v>8349</v>
      </c>
      <c r="G486" s="12" t="s">
        <v>8350</v>
      </c>
      <c r="H486" s="12" t="s">
        <v>7330</v>
      </c>
      <c r="I486" s="12" t="s">
        <v>7331</v>
      </c>
      <c r="J486" s="12">
        <v>9579</v>
      </c>
      <c r="K486" s="12" t="s">
        <v>7332</v>
      </c>
      <c r="L486" s="12" t="s">
        <v>7333</v>
      </c>
      <c r="M486" s="13">
        <v>40877</v>
      </c>
      <c r="N486" s="12" t="s">
        <v>7334</v>
      </c>
      <c r="O486" s="12" t="s">
        <v>7335</v>
      </c>
      <c r="P486" s="12"/>
      <c r="Q486" s="12">
        <v>1</v>
      </c>
    </row>
    <row r="487" spans="1:17" ht="15.75" customHeight="1">
      <c r="A487" s="12">
        <v>1170</v>
      </c>
      <c r="B487" s="12">
        <v>87</v>
      </c>
      <c r="C487" s="12">
        <v>961</v>
      </c>
      <c r="D487" s="12" t="s">
        <v>6047</v>
      </c>
      <c r="E487" s="12" t="s">
        <v>1320</v>
      </c>
      <c r="F487" s="12" t="s">
        <v>8351</v>
      </c>
      <c r="G487" s="12" t="s">
        <v>8352</v>
      </c>
      <c r="H487" s="12" t="s">
        <v>6435</v>
      </c>
      <c r="I487" s="12" t="s">
        <v>6436</v>
      </c>
      <c r="J487" s="12">
        <v>961</v>
      </c>
      <c r="K487" s="12" t="s">
        <v>7873</v>
      </c>
      <c r="L487" s="12" t="s">
        <v>6832</v>
      </c>
      <c r="M487" s="13">
        <v>41998</v>
      </c>
      <c r="N487" s="12" t="s">
        <v>7874</v>
      </c>
      <c r="O487" s="12" t="s">
        <v>7875</v>
      </c>
      <c r="P487" s="12"/>
      <c r="Q487" s="12">
        <v>1</v>
      </c>
    </row>
    <row r="488" spans="1:17" ht="15.75" customHeight="1">
      <c r="A488" s="12">
        <v>1872</v>
      </c>
      <c r="B488" s="12">
        <v>700</v>
      </c>
      <c r="C488" s="12">
        <v>8411</v>
      </c>
      <c r="D488" s="12" t="s">
        <v>6047</v>
      </c>
      <c r="E488" s="12" t="s">
        <v>1327</v>
      </c>
      <c r="F488" s="12" t="s">
        <v>8353</v>
      </c>
      <c r="G488" s="12" t="s">
        <v>8354</v>
      </c>
      <c r="H488" s="12" t="s">
        <v>6075</v>
      </c>
      <c r="I488" s="12" t="s">
        <v>6076</v>
      </c>
      <c r="J488" s="12">
        <v>8411</v>
      </c>
      <c r="K488" s="12" t="s">
        <v>6769</v>
      </c>
      <c r="L488" s="12" t="s">
        <v>6709</v>
      </c>
      <c r="M488" s="13">
        <v>40176</v>
      </c>
      <c r="N488" s="12" t="s">
        <v>6770</v>
      </c>
      <c r="O488" s="12" t="s">
        <v>6771</v>
      </c>
      <c r="P488" s="12"/>
      <c r="Q488" s="12">
        <v>1</v>
      </c>
    </row>
    <row r="489" spans="1:17" ht="15.75" customHeight="1">
      <c r="A489" s="12">
        <v>788</v>
      </c>
      <c r="B489" s="12">
        <v>138</v>
      </c>
      <c r="C489" s="12">
        <v>2206</v>
      </c>
      <c r="D489" s="12" t="s">
        <v>6047</v>
      </c>
      <c r="E489" s="12" t="s">
        <v>8355</v>
      </c>
      <c r="F489" s="12" t="s">
        <v>8356</v>
      </c>
      <c r="G489" s="12" t="s">
        <v>8357</v>
      </c>
      <c r="H489" s="12" t="s">
        <v>6127</v>
      </c>
      <c r="I489" s="12" t="s">
        <v>6128</v>
      </c>
      <c r="J489" s="12">
        <v>2206</v>
      </c>
      <c r="K489" s="12" t="s">
        <v>8358</v>
      </c>
      <c r="L489" s="12" t="s">
        <v>6590</v>
      </c>
      <c r="M489" s="13">
        <v>43033</v>
      </c>
      <c r="N489" s="12" t="s">
        <v>8359</v>
      </c>
      <c r="O489" s="12" t="s">
        <v>8360</v>
      </c>
      <c r="P489" s="12"/>
      <c r="Q489" s="12">
        <v>1</v>
      </c>
    </row>
    <row r="490" spans="1:17" ht="15.75" customHeight="1">
      <c r="A490" s="12">
        <v>1452</v>
      </c>
      <c r="B490" s="12">
        <v>1510</v>
      </c>
      <c r="C490" s="12">
        <v>24720</v>
      </c>
      <c r="D490" s="12" t="s">
        <v>6047</v>
      </c>
      <c r="E490" s="12" t="s">
        <v>8361</v>
      </c>
      <c r="F490" s="12" t="s">
        <v>8362</v>
      </c>
      <c r="G490" s="12" t="s">
        <v>8363</v>
      </c>
      <c r="H490" s="12" t="s">
        <v>6051</v>
      </c>
      <c r="I490" s="12" t="s">
        <v>7275</v>
      </c>
      <c r="J490" s="12">
        <v>24720</v>
      </c>
      <c r="K490" s="12" t="s">
        <v>6069</v>
      </c>
      <c r="L490" s="12" t="s">
        <v>6070</v>
      </c>
      <c r="M490" s="13">
        <v>41907</v>
      </c>
      <c r="N490" s="12" t="s">
        <v>6071</v>
      </c>
      <c r="O490" s="12" t="s">
        <v>6072</v>
      </c>
      <c r="P490" s="12"/>
      <c r="Q490" s="12">
        <v>1</v>
      </c>
    </row>
    <row r="491" spans="1:17" ht="15.75" customHeight="1">
      <c r="A491" s="12">
        <v>628</v>
      </c>
      <c r="B491" s="12">
        <v>722</v>
      </c>
      <c r="C491" s="12">
        <v>8543</v>
      </c>
      <c r="D491" s="12" t="s">
        <v>6047</v>
      </c>
      <c r="E491" s="12" t="s">
        <v>8364</v>
      </c>
      <c r="F491" s="12" t="s">
        <v>8365</v>
      </c>
      <c r="G491" s="12" t="s">
        <v>8366</v>
      </c>
      <c r="H491" s="12" t="s">
        <v>6075</v>
      </c>
      <c r="I491" s="12" t="s">
        <v>6076</v>
      </c>
      <c r="J491" s="12">
        <v>8543</v>
      </c>
      <c r="K491" s="12" t="s">
        <v>8090</v>
      </c>
      <c r="L491" s="12" t="s">
        <v>8091</v>
      </c>
      <c r="M491" s="13">
        <v>43485</v>
      </c>
      <c r="N491" s="12" t="s">
        <v>8092</v>
      </c>
      <c r="O491" s="12" t="s">
        <v>8093</v>
      </c>
      <c r="P491" s="12"/>
      <c r="Q491" s="12">
        <v>1</v>
      </c>
    </row>
    <row r="492" spans="1:17" ht="15.75" customHeight="1">
      <c r="A492" s="12">
        <v>446</v>
      </c>
      <c r="B492" s="12">
        <v>1715</v>
      </c>
      <c r="C492" s="12">
        <v>31948</v>
      </c>
      <c r="D492" s="12" t="s">
        <v>6047</v>
      </c>
      <c r="E492" s="12" t="s">
        <v>8367</v>
      </c>
      <c r="F492" s="12" t="s">
        <v>8368</v>
      </c>
      <c r="G492" s="12" t="s">
        <v>8369</v>
      </c>
      <c r="H492" s="12" t="s">
        <v>6051</v>
      </c>
      <c r="I492" s="12" t="s">
        <v>6232</v>
      </c>
      <c r="J492" s="12">
        <v>31948</v>
      </c>
      <c r="K492" s="12" t="s">
        <v>8370</v>
      </c>
      <c r="L492" s="12" t="s">
        <v>6248</v>
      </c>
      <c r="M492" s="13">
        <v>43870</v>
      </c>
      <c r="N492" s="12" t="s">
        <v>8371</v>
      </c>
      <c r="O492" s="12" t="s">
        <v>8372</v>
      </c>
      <c r="P492" s="12"/>
      <c r="Q492" s="12">
        <v>1</v>
      </c>
    </row>
    <row r="493" spans="1:17" ht="15.75" customHeight="1">
      <c r="A493" s="12">
        <v>1065</v>
      </c>
      <c r="B493" s="12">
        <v>1760</v>
      </c>
      <c r="C493" s="12">
        <v>32867</v>
      </c>
      <c r="D493" s="12" t="s">
        <v>6047</v>
      </c>
      <c r="E493" s="12" t="s">
        <v>8373</v>
      </c>
      <c r="F493" s="12" t="s">
        <v>8374</v>
      </c>
      <c r="G493" s="12" t="s">
        <v>8375</v>
      </c>
      <c r="H493" s="12" t="s">
        <v>6051</v>
      </c>
      <c r="I493" s="12" t="s">
        <v>6374</v>
      </c>
      <c r="J493" s="12">
        <v>32867</v>
      </c>
      <c r="K493" s="12" t="s">
        <v>6927</v>
      </c>
      <c r="L493" s="12" t="s">
        <v>6504</v>
      </c>
      <c r="M493" s="13">
        <v>42686</v>
      </c>
      <c r="N493" s="12" t="s">
        <v>6928</v>
      </c>
      <c r="O493" s="12" t="s">
        <v>6929</v>
      </c>
      <c r="P493" s="12"/>
      <c r="Q493" s="12">
        <v>1</v>
      </c>
    </row>
    <row r="494" spans="1:17" ht="15.75" customHeight="1">
      <c r="A494" s="12">
        <v>1503</v>
      </c>
      <c r="B494" s="12">
        <v>61</v>
      </c>
      <c r="C494" s="12">
        <v>715</v>
      </c>
      <c r="D494" s="12" t="s">
        <v>6047</v>
      </c>
      <c r="E494" s="12" t="s">
        <v>8376</v>
      </c>
      <c r="F494" s="12" t="s">
        <v>8377</v>
      </c>
      <c r="G494" s="12" t="s">
        <v>8378</v>
      </c>
      <c r="H494" s="12" t="s">
        <v>6289</v>
      </c>
      <c r="I494" s="12" t="s">
        <v>6290</v>
      </c>
      <c r="J494" s="12">
        <v>715</v>
      </c>
      <c r="K494" s="12" t="s">
        <v>8379</v>
      </c>
      <c r="L494" s="12" t="s">
        <v>6284</v>
      </c>
      <c r="M494" s="13">
        <v>41783</v>
      </c>
      <c r="N494" s="12" t="s">
        <v>8380</v>
      </c>
      <c r="O494" s="12" t="s">
        <v>8381</v>
      </c>
      <c r="P494" s="12"/>
      <c r="Q494" s="12">
        <v>1</v>
      </c>
    </row>
    <row r="495" spans="1:17" ht="15.75" customHeight="1">
      <c r="A495" s="12">
        <v>1651</v>
      </c>
      <c r="B495" s="12">
        <v>360</v>
      </c>
      <c r="C495" s="12">
        <v>5468</v>
      </c>
      <c r="D495" s="12" t="s">
        <v>6047</v>
      </c>
      <c r="E495" s="12" t="s">
        <v>8382</v>
      </c>
      <c r="F495" s="12" t="s">
        <v>8383</v>
      </c>
      <c r="G495" s="12" t="s">
        <v>8384</v>
      </c>
      <c r="H495" s="12" t="s">
        <v>6213</v>
      </c>
      <c r="I495" s="12" t="s">
        <v>6214</v>
      </c>
      <c r="J495" s="12">
        <v>5468</v>
      </c>
      <c r="K495" s="12" t="s">
        <v>6381</v>
      </c>
      <c r="L495" s="12" t="s">
        <v>6345</v>
      </c>
      <c r="M495" s="13">
        <v>41260</v>
      </c>
      <c r="N495" s="12" t="s">
        <v>6382</v>
      </c>
      <c r="O495" s="12" t="s">
        <v>6383</v>
      </c>
      <c r="P495" s="12"/>
      <c r="Q495" s="12">
        <v>1</v>
      </c>
    </row>
    <row r="496" spans="1:17" ht="15.75" customHeight="1">
      <c r="A496" s="12">
        <v>1627</v>
      </c>
      <c r="B496" s="12">
        <v>68</v>
      </c>
      <c r="C496" s="12">
        <v>743</v>
      </c>
      <c r="D496" s="12" t="s">
        <v>6047</v>
      </c>
      <c r="E496" s="12" t="s">
        <v>8385</v>
      </c>
      <c r="F496" s="12" t="s">
        <v>8386</v>
      </c>
      <c r="G496" s="12" t="s">
        <v>8387</v>
      </c>
      <c r="H496" s="12" t="s">
        <v>6289</v>
      </c>
      <c r="I496" s="12" t="s">
        <v>6290</v>
      </c>
      <c r="J496" s="12">
        <v>743</v>
      </c>
      <c r="K496" s="12" t="s">
        <v>8388</v>
      </c>
      <c r="L496" s="12" t="s">
        <v>6240</v>
      </c>
      <c r="M496" s="13">
        <v>41371</v>
      </c>
      <c r="N496" s="12" t="s">
        <v>8389</v>
      </c>
      <c r="O496" s="12" t="s">
        <v>8390</v>
      </c>
      <c r="P496" s="12"/>
      <c r="Q496" s="12">
        <v>1</v>
      </c>
    </row>
    <row r="497" spans="1:17" ht="15.75" customHeight="1">
      <c r="A497" s="12">
        <v>1597</v>
      </c>
      <c r="B497" s="12">
        <v>1843</v>
      </c>
      <c r="C497" s="12">
        <v>33853</v>
      </c>
      <c r="D497" s="12" t="s">
        <v>6047</v>
      </c>
      <c r="E497" s="12" t="s">
        <v>8391</v>
      </c>
      <c r="F497" s="12" t="s">
        <v>8392</v>
      </c>
      <c r="G497" s="12" t="s">
        <v>8393</v>
      </c>
      <c r="H497" s="12" t="s">
        <v>6051</v>
      </c>
      <c r="I497" s="12" t="s">
        <v>6261</v>
      </c>
      <c r="J497" s="12">
        <v>33853</v>
      </c>
      <c r="K497" s="12" t="s">
        <v>6300</v>
      </c>
      <c r="L497" s="12" t="s">
        <v>6240</v>
      </c>
      <c r="M497" s="13">
        <v>41396</v>
      </c>
      <c r="N497" s="12" t="s">
        <v>6301</v>
      </c>
      <c r="O497" s="12" t="s">
        <v>6302</v>
      </c>
      <c r="P497" s="12"/>
      <c r="Q497" s="12">
        <v>1</v>
      </c>
    </row>
    <row r="498" spans="1:17" ht="15.75" customHeight="1">
      <c r="A498" s="12">
        <v>2013</v>
      </c>
      <c r="B498" s="12">
        <v>448</v>
      </c>
      <c r="C498" s="12">
        <v>6152</v>
      </c>
      <c r="D498" s="12" t="s">
        <v>6047</v>
      </c>
      <c r="E498" s="12" t="s">
        <v>1363</v>
      </c>
      <c r="F498" s="12" t="s">
        <v>8394</v>
      </c>
      <c r="G498" s="12" t="s">
        <v>8395</v>
      </c>
      <c r="H498" s="12" t="s">
        <v>6137</v>
      </c>
      <c r="I498" s="12" t="s">
        <v>6391</v>
      </c>
      <c r="J498" s="12">
        <v>6152</v>
      </c>
      <c r="K498" s="12" t="s">
        <v>6112</v>
      </c>
      <c r="L498" s="12" t="s">
        <v>6113</v>
      </c>
      <c r="M498" s="13">
        <v>38573</v>
      </c>
      <c r="N498" s="12" t="s">
        <v>6114</v>
      </c>
      <c r="O498" s="12" t="s">
        <v>6115</v>
      </c>
      <c r="P498" s="12"/>
      <c r="Q498" s="12">
        <v>1</v>
      </c>
    </row>
    <row r="499" spans="1:17" ht="15.75" customHeight="1">
      <c r="A499" s="12">
        <v>604</v>
      </c>
      <c r="B499" s="12">
        <v>143</v>
      </c>
      <c r="C499" s="12">
        <v>2243</v>
      </c>
      <c r="D499" s="12" t="s">
        <v>6047</v>
      </c>
      <c r="E499" s="12" t="s">
        <v>1365</v>
      </c>
      <c r="F499" s="12" t="s">
        <v>8396</v>
      </c>
      <c r="G499" s="12" t="s">
        <v>8397</v>
      </c>
      <c r="H499" s="12" t="s">
        <v>6127</v>
      </c>
      <c r="I499" s="12" t="s">
        <v>6128</v>
      </c>
      <c r="J499" s="12">
        <v>2243</v>
      </c>
      <c r="K499" s="12" t="s">
        <v>8398</v>
      </c>
      <c r="L499" s="12" t="s">
        <v>6408</v>
      </c>
      <c r="M499" s="13">
        <v>43558</v>
      </c>
      <c r="N499" s="12" t="s">
        <v>8399</v>
      </c>
      <c r="O499" s="12" t="s">
        <v>8400</v>
      </c>
      <c r="P499" s="12"/>
      <c r="Q499" s="12">
        <v>1</v>
      </c>
    </row>
    <row r="500" spans="1:17" ht="15.75" customHeight="1">
      <c r="A500" s="12">
        <v>1923</v>
      </c>
      <c r="B500" s="12">
        <v>768</v>
      </c>
      <c r="C500" s="12">
        <v>9604</v>
      </c>
      <c r="D500" s="12" t="s">
        <v>6047</v>
      </c>
      <c r="E500" s="12" t="s">
        <v>8401</v>
      </c>
      <c r="F500" s="12" t="s">
        <v>8402</v>
      </c>
      <c r="G500" s="12" t="s">
        <v>8403</v>
      </c>
      <c r="H500" s="12" t="s">
        <v>6118</v>
      </c>
      <c r="I500" s="12" t="s">
        <v>8404</v>
      </c>
      <c r="J500" s="12">
        <v>9604</v>
      </c>
      <c r="K500" s="12" t="s">
        <v>7476</v>
      </c>
      <c r="L500" s="12" t="s">
        <v>7477</v>
      </c>
      <c r="M500" s="13">
        <v>39237</v>
      </c>
      <c r="N500" s="12" t="s">
        <v>7478</v>
      </c>
      <c r="O500" s="12" t="s">
        <v>7479</v>
      </c>
      <c r="P500" s="12"/>
      <c r="Q500" s="12">
        <v>1</v>
      </c>
    </row>
    <row r="501" spans="1:17" ht="15.75" customHeight="1">
      <c r="A501" s="12">
        <v>267</v>
      </c>
      <c r="B501" s="12">
        <v>1462</v>
      </c>
      <c r="C501" s="12">
        <v>22917</v>
      </c>
      <c r="D501" s="12" t="s">
        <v>6047</v>
      </c>
      <c r="E501" s="12" t="s">
        <v>8405</v>
      </c>
      <c r="F501" s="12" t="s">
        <v>8406</v>
      </c>
      <c r="G501" s="12" t="s">
        <v>8407</v>
      </c>
      <c r="H501" s="12" t="s">
        <v>6051</v>
      </c>
      <c r="I501" s="12" t="s">
        <v>6748</v>
      </c>
      <c r="J501" s="12">
        <v>22917</v>
      </c>
      <c r="K501" s="12" t="s">
        <v>8408</v>
      </c>
      <c r="L501" s="12" t="s">
        <v>7469</v>
      </c>
      <c r="M501" s="13">
        <v>45603</v>
      </c>
      <c r="N501" s="12" t="s">
        <v>8409</v>
      </c>
      <c r="O501" s="12" t="s">
        <v>8410</v>
      </c>
      <c r="P501" s="12"/>
      <c r="Q501" s="12">
        <v>1</v>
      </c>
    </row>
    <row r="502" spans="1:17" ht="15.75" customHeight="1">
      <c r="A502" s="12">
        <v>1495</v>
      </c>
      <c r="B502" s="12">
        <v>535</v>
      </c>
      <c r="C502" s="12">
        <v>6933</v>
      </c>
      <c r="D502" s="12" t="s">
        <v>6047</v>
      </c>
      <c r="E502" s="12" t="s">
        <v>8411</v>
      </c>
      <c r="F502" s="12" t="s">
        <v>8412</v>
      </c>
      <c r="G502" s="12" t="s">
        <v>8413</v>
      </c>
      <c r="H502" s="12" t="s">
        <v>8414</v>
      </c>
      <c r="I502" s="12" t="s">
        <v>8415</v>
      </c>
      <c r="J502" s="12">
        <v>6933</v>
      </c>
      <c r="K502" s="12" t="s">
        <v>8416</v>
      </c>
      <c r="L502" s="12" t="s">
        <v>6240</v>
      </c>
      <c r="M502" s="13">
        <v>41794</v>
      </c>
      <c r="N502" s="12" t="s">
        <v>8417</v>
      </c>
      <c r="O502" s="12" t="s">
        <v>8418</v>
      </c>
      <c r="P502" s="12"/>
      <c r="Q502" s="12">
        <v>1</v>
      </c>
    </row>
    <row r="503" spans="1:17" ht="15.75" customHeight="1">
      <c r="A503" s="12">
        <v>1522</v>
      </c>
      <c r="B503" s="12">
        <v>71</v>
      </c>
      <c r="C503" s="12">
        <v>762</v>
      </c>
      <c r="D503" s="12" t="s">
        <v>6047</v>
      </c>
      <c r="E503" s="12" t="s">
        <v>8419</v>
      </c>
      <c r="F503" s="12" t="s">
        <v>8420</v>
      </c>
      <c r="G503" s="12" t="s">
        <v>8421</v>
      </c>
      <c r="H503" s="12" t="s">
        <v>6289</v>
      </c>
      <c r="I503" s="12" t="s">
        <v>6290</v>
      </c>
      <c r="J503" s="12">
        <v>762</v>
      </c>
      <c r="K503" s="12" t="s">
        <v>8422</v>
      </c>
      <c r="L503" s="12" t="s">
        <v>6240</v>
      </c>
      <c r="M503" s="13">
        <v>41735</v>
      </c>
      <c r="N503" s="12" t="s">
        <v>8423</v>
      </c>
      <c r="O503" s="12" t="s">
        <v>8424</v>
      </c>
      <c r="P503" s="12"/>
      <c r="Q503" s="12">
        <v>1</v>
      </c>
    </row>
    <row r="504" spans="1:17" ht="15.75" customHeight="1">
      <c r="A504" s="12">
        <v>314</v>
      </c>
      <c r="B504" s="12">
        <v>478</v>
      </c>
      <c r="C504" s="12">
        <v>6424</v>
      </c>
      <c r="D504" s="12" t="s">
        <v>6047</v>
      </c>
      <c r="E504" s="12" t="s">
        <v>8425</v>
      </c>
      <c r="F504" s="12" t="s">
        <v>8426</v>
      </c>
      <c r="G504" s="12" t="s">
        <v>8427</v>
      </c>
      <c r="H504" s="12" t="s">
        <v>6137</v>
      </c>
      <c r="I504" s="12" t="s">
        <v>6555</v>
      </c>
      <c r="J504" s="12">
        <v>6424</v>
      </c>
      <c r="K504" s="12" t="s">
        <v>8428</v>
      </c>
      <c r="L504" s="12" t="s">
        <v>6284</v>
      </c>
      <c r="M504" s="13">
        <v>45111</v>
      </c>
      <c r="N504" s="12" t="s">
        <v>8429</v>
      </c>
      <c r="O504" s="12" t="s">
        <v>8430</v>
      </c>
      <c r="P504" s="12"/>
      <c r="Q504" s="12">
        <v>1</v>
      </c>
    </row>
    <row r="505" spans="1:17" ht="15.75" customHeight="1">
      <c r="A505" s="12">
        <v>1378</v>
      </c>
      <c r="B505" s="12">
        <v>1579</v>
      </c>
      <c r="C505" s="12">
        <v>27859</v>
      </c>
      <c r="D505" s="12" t="s">
        <v>6047</v>
      </c>
      <c r="E505" s="12" t="s">
        <v>8431</v>
      </c>
      <c r="F505" s="12" t="s">
        <v>8432</v>
      </c>
      <c r="G505" s="12" t="s">
        <v>8433</v>
      </c>
      <c r="H505" s="12" t="s">
        <v>6051</v>
      </c>
      <c r="I505" s="12" t="s">
        <v>6547</v>
      </c>
      <c r="J505" s="12">
        <v>27859</v>
      </c>
      <c r="K505" s="12" t="s">
        <v>6077</v>
      </c>
      <c r="L505" s="12" t="s">
        <v>6078</v>
      </c>
      <c r="M505" s="13">
        <v>41914</v>
      </c>
      <c r="N505" s="12" t="s">
        <v>6079</v>
      </c>
      <c r="O505" s="12" t="s">
        <v>6101</v>
      </c>
      <c r="P505" s="12" t="s">
        <v>6196</v>
      </c>
      <c r="Q505" s="12">
        <v>1</v>
      </c>
    </row>
    <row r="506" spans="1:17" ht="15.75" customHeight="1">
      <c r="A506" s="12">
        <v>270</v>
      </c>
      <c r="B506" s="12">
        <v>1366</v>
      </c>
      <c r="C506" s="12">
        <v>19970</v>
      </c>
      <c r="D506" s="12" t="s">
        <v>6047</v>
      </c>
      <c r="E506" s="12" t="s">
        <v>8434</v>
      </c>
      <c r="F506" s="12" t="s">
        <v>8435</v>
      </c>
      <c r="G506" s="12" t="s">
        <v>8436</v>
      </c>
      <c r="H506" s="12" t="s">
        <v>6051</v>
      </c>
      <c r="I506" s="12" t="s">
        <v>6523</v>
      </c>
      <c r="J506" s="12">
        <v>19970</v>
      </c>
      <c r="K506" s="12" t="s">
        <v>8408</v>
      </c>
      <c r="L506" s="12" t="s">
        <v>7469</v>
      </c>
      <c r="M506" s="13">
        <v>45603</v>
      </c>
      <c r="N506" s="12" t="s">
        <v>8409</v>
      </c>
      <c r="O506" s="12" t="s">
        <v>8410</v>
      </c>
      <c r="P506" s="12"/>
      <c r="Q506" s="12">
        <v>1</v>
      </c>
    </row>
    <row r="507" spans="1:17" ht="15.75" customHeight="1">
      <c r="A507" s="12">
        <v>1151</v>
      </c>
      <c r="B507" s="12">
        <v>205</v>
      </c>
      <c r="C507" s="12">
        <v>3492</v>
      </c>
      <c r="D507" s="12" t="s">
        <v>6047</v>
      </c>
      <c r="E507" s="12" t="s">
        <v>1387</v>
      </c>
      <c r="F507" s="12" t="s">
        <v>8437</v>
      </c>
      <c r="G507" s="12" t="s">
        <v>8438</v>
      </c>
      <c r="H507" s="12" t="s">
        <v>6718</v>
      </c>
      <c r="I507" s="12" t="s">
        <v>6719</v>
      </c>
      <c r="J507" s="12">
        <v>3492</v>
      </c>
      <c r="K507" s="12" t="s">
        <v>6990</v>
      </c>
      <c r="L507" s="12" t="s">
        <v>6393</v>
      </c>
      <c r="M507" s="13">
        <v>42136</v>
      </c>
      <c r="N507" s="12" t="s">
        <v>6991</v>
      </c>
      <c r="O507" s="12" t="s">
        <v>8439</v>
      </c>
      <c r="P507" s="12"/>
      <c r="Q507" s="12">
        <v>1</v>
      </c>
    </row>
    <row r="508" spans="1:17" ht="15.75" customHeight="1">
      <c r="A508" s="12">
        <v>1991</v>
      </c>
      <c r="B508" s="12">
        <v>1</v>
      </c>
      <c r="C508" s="12">
        <v>2</v>
      </c>
      <c r="D508" s="12" t="s">
        <v>6047</v>
      </c>
      <c r="E508" s="12" t="s">
        <v>8440</v>
      </c>
      <c r="F508" s="12" t="s">
        <v>8441</v>
      </c>
      <c r="G508" s="12" t="s">
        <v>8442</v>
      </c>
      <c r="H508" s="12" t="s">
        <v>8443</v>
      </c>
      <c r="I508" s="12" t="s">
        <v>8444</v>
      </c>
      <c r="J508" s="12">
        <v>2</v>
      </c>
      <c r="K508" s="12" t="s">
        <v>8445</v>
      </c>
      <c r="L508" s="12" t="s">
        <v>8446</v>
      </c>
      <c r="M508" s="13">
        <v>38576</v>
      </c>
      <c r="N508" s="12" t="s">
        <v>8447</v>
      </c>
      <c r="O508" s="12" t="s">
        <v>8448</v>
      </c>
      <c r="P508" s="12"/>
      <c r="Q508" s="12">
        <v>1</v>
      </c>
    </row>
    <row r="509" spans="1:17" ht="15.75" customHeight="1">
      <c r="A509" s="12">
        <v>1742</v>
      </c>
      <c r="B509" s="12">
        <v>207</v>
      </c>
      <c r="C509" s="12">
        <v>3527</v>
      </c>
      <c r="D509" s="12" t="s">
        <v>6047</v>
      </c>
      <c r="E509" s="12" t="s">
        <v>8449</v>
      </c>
      <c r="F509" s="12" t="s">
        <v>8450</v>
      </c>
      <c r="G509" s="12" t="s">
        <v>8451</v>
      </c>
      <c r="H509" s="12" t="s">
        <v>6718</v>
      </c>
      <c r="I509" s="12" t="s">
        <v>6719</v>
      </c>
      <c r="J509" s="12">
        <v>3527</v>
      </c>
      <c r="K509" s="12" t="s">
        <v>7000</v>
      </c>
      <c r="L509" s="12" t="s">
        <v>7001</v>
      </c>
      <c r="M509" s="13">
        <v>40875</v>
      </c>
      <c r="N509" s="12" t="s">
        <v>7002</v>
      </c>
      <c r="O509" s="12" t="s">
        <v>7003</v>
      </c>
      <c r="P509" s="12"/>
      <c r="Q509" s="12">
        <v>1</v>
      </c>
    </row>
    <row r="510" spans="1:17" ht="15.75" customHeight="1">
      <c r="A510" s="12">
        <v>2052</v>
      </c>
      <c r="B510" s="12">
        <v>214</v>
      </c>
      <c r="C510" s="12">
        <v>3751</v>
      </c>
      <c r="D510" s="12" t="s">
        <v>6047</v>
      </c>
      <c r="E510" s="12" t="s">
        <v>8452</v>
      </c>
      <c r="F510" s="12" t="s">
        <v>8453</v>
      </c>
      <c r="G510" s="12" t="s">
        <v>8454</v>
      </c>
      <c r="H510" s="12" t="s">
        <v>8455</v>
      </c>
      <c r="I510" s="12" t="s">
        <v>8456</v>
      </c>
      <c r="J510" s="12">
        <v>3751</v>
      </c>
      <c r="K510" s="12" t="s">
        <v>7867</v>
      </c>
      <c r="L510" s="12" t="s">
        <v>6408</v>
      </c>
      <c r="M510" s="13">
        <v>38170</v>
      </c>
      <c r="N510" s="12" t="s">
        <v>7868</v>
      </c>
      <c r="O510" s="12" t="s">
        <v>7869</v>
      </c>
      <c r="P510" s="12"/>
      <c r="Q510" s="12">
        <v>1</v>
      </c>
    </row>
    <row r="511" spans="1:17" ht="15.75" customHeight="1">
      <c r="A511" s="12">
        <v>1664</v>
      </c>
      <c r="B511" s="12">
        <v>1435</v>
      </c>
      <c r="C511" s="12">
        <v>21624</v>
      </c>
      <c r="D511" s="12" t="s">
        <v>6047</v>
      </c>
      <c r="E511" s="12" t="s">
        <v>1398</v>
      </c>
      <c r="F511" s="12" t="s">
        <v>8457</v>
      </c>
      <c r="G511" s="12" t="s">
        <v>8458</v>
      </c>
      <c r="H511" s="12" t="s">
        <v>6051</v>
      </c>
      <c r="I511" s="12" t="s">
        <v>6299</v>
      </c>
      <c r="J511" s="12">
        <v>21624</v>
      </c>
      <c r="K511" s="12" t="s">
        <v>7802</v>
      </c>
      <c r="L511" s="12" t="s">
        <v>7411</v>
      </c>
      <c r="M511" s="13">
        <v>41057</v>
      </c>
      <c r="N511" s="12" t="s">
        <v>7803</v>
      </c>
      <c r="O511" s="12" t="s">
        <v>7804</v>
      </c>
      <c r="P511" s="12"/>
      <c r="Q511" s="12">
        <v>1</v>
      </c>
    </row>
    <row r="512" spans="1:17" ht="15.75" customHeight="1">
      <c r="A512" s="12">
        <v>217</v>
      </c>
      <c r="B512" s="12">
        <v>399</v>
      </c>
      <c r="C512" s="12">
        <v>5831</v>
      </c>
      <c r="D512" s="12" t="s">
        <v>6047</v>
      </c>
      <c r="E512" s="12" t="s">
        <v>8459</v>
      </c>
      <c r="F512" s="12" t="s">
        <v>8460</v>
      </c>
      <c r="G512" s="12" t="s">
        <v>8461</v>
      </c>
      <c r="H512" s="12" t="s">
        <v>6137</v>
      </c>
      <c r="I512" s="12" t="s">
        <v>6323</v>
      </c>
      <c r="J512" s="12">
        <v>5831</v>
      </c>
      <c r="K512" s="12" t="s">
        <v>8462</v>
      </c>
      <c r="L512" s="12" t="s">
        <v>6518</v>
      </c>
      <c r="M512" s="13">
        <v>45609</v>
      </c>
      <c r="N512" s="12" t="s">
        <v>8463</v>
      </c>
      <c r="O512" s="12" t="s">
        <v>8464</v>
      </c>
      <c r="P512" s="12"/>
      <c r="Q512" s="12">
        <v>1</v>
      </c>
    </row>
    <row r="513" spans="1:17" ht="15.75" customHeight="1">
      <c r="A513" s="12">
        <v>1341</v>
      </c>
      <c r="B513" s="12">
        <v>441</v>
      </c>
      <c r="C513" s="12">
        <v>6125</v>
      </c>
      <c r="D513" s="12" t="s">
        <v>6047</v>
      </c>
      <c r="E513" s="12" t="s">
        <v>8465</v>
      </c>
      <c r="F513" s="12" t="s">
        <v>8466</v>
      </c>
      <c r="G513" s="12" t="s">
        <v>8467</v>
      </c>
      <c r="H513" s="12" t="s">
        <v>6137</v>
      </c>
      <c r="I513" s="12" t="s">
        <v>6391</v>
      </c>
      <c r="J513" s="12">
        <v>6125</v>
      </c>
      <c r="K513" s="12" t="s">
        <v>7750</v>
      </c>
      <c r="L513" s="12" t="s">
        <v>6106</v>
      </c>
      <c r="M513" s="13">
        <v>41920</v>
      </c>
      <c r="N513" s="12" t="s">
        <v>7751</v>
      </c>
      <c r="O513" s="12" t="s">
        <v>7752</v>
      </c>
      <c r="P513" s="12"/>
      <c r="Q513" s="12">
        <v>1</v>
      </c>
    </row>
    <row r="514" spans="1:17" ht="15.75" customHeight="1">
      <c r="A514" s="12">
        <v>1722</v>
      </c>
      <c r="B514" s="12">
        <v>195</v>
      </c>
      <c r="C514" s="12">
        <v>3218</v>
      </c>
      <c r="D514" s="12" t="s">
        <v>6047</v>
      </c>
      <c r="E514" s="12" t="s">
        <v>8468</v>
      </c>
      <c r="F514" s="12" t="s">
        <v>8469</v>
      </c>
      <c r="G514" s="12" t="s">
        <v>8470</v>
      </c>
      <c r="H514" s="12" t="s">
        <v>7069</v>
      </c>
      <c r="I514" s="12" t="s">
        <v>7070</v>
      </c>
      <c r="J514" s="12">
        <v>3218</v>
      </c>
      <c r="K514" s="12" t="s">
        <v>8471</v>
      </c>
      <c r="L514" s="12" t="s">
        <v>7333</v>
      </c>
      <c r="M514" s="13">
        <v>40876</v>
      </c>
      <c r="N514" s="12" t="s">
        <v>8472</v>
      </c>
      <c r="O514" s="12" t="s">
        <v>8473</v>
      </c>
      <c r="P514" s="12"/>
      <c r="Q514" s="12">
        <v>1</v>
      </c>
    </row>
    <row r="515" spans="1:17" ht="15.75" customHeight="1">
      <c r="A515" s="12">
        <v>1618</v>
      </c>
      <c r="B515" s="12">
        <v>511</v>
      </c>
      <c r="C515" s="12">
        <v>6748</v>
      </c>
      <c r="D515" s="12" t="s">
        <v>6047</v>
      </c>
      <c r="E515" s="12" t="s">
        <v>8474</v>
      </c>
      <c r="F515" s="12" t="s">
        <v>8475</v>
      </c>
      <c r="G515" s="12" t="s">
        <v>8476</v>
      </c>
      <c r="H515" s="12" t="s">
        <v>6137</v>
      </c>
      <c r="I515" s="12" t="s">
        <v>6200</v>
      </c>
      <c r="J515" s="12">
        <v>6748</v>
      </c>
      <c r="K515" s="12" t="s">
        <v>6300</v>
      </c>
      <c r="L515" s="12" t="s">
        <v>6240</v>
      </c>
      <c r="M515" s="13">
        <v>41396</v>
      </c>
      <c r="N515" s="12" t="s">
        <v>6301</v>
      </c>
      <c r="O515" s="12" t="s">
        <v>6302</v>
      </c>
      <c r="P515" s="12"/>
      <c r="Q515" s="12">
        <v>1</v>
      </c>
    </row>
    <row r="516" spans="1:17" ht="15.75" customHeight="1">
      <c r="A516" s="12">
        <v>1671</v>
      </c>
      <c r="B516" s="12">
        <v>1143</v>
      </c>
      <c r="C516" s="12">
        <v>16429</v>
      </c>
      <c r="D516" s="12" t="s">
        <v>6047</v>
      </c>
      <c r="E516" s="12" t="s">
        <v>8477</v>
      </c>
      <c r="F516" s="12" t="s">
        <v>8478</v>
      </c>
      <c r="G516" s="12" t="s">
        <v>8479</v>
      </c>
      <c r="H516" s="12" t="s">
        <v>6051</v>
      </c>
      <c r="I516" s="12" t="s">
        <v>6052</v>
      </c>
      <c r="J516" s="12">
        <v>16429</v>
      </c>
      <c r="K516" s="12" t="s">
        <v>8480</v>
      </c>
      <c r="L516" s="12" t="s">
        <v>7261</v>
      </c>
      <c r="M516" s="13">
        <v>40880</v>
      </c>
      <c r="N516" s="12" t="s">
        <v>8481</v>
      </c>
      <c r="O516" s="12" t="s">
        <v>8482</v>
      </c>
      <c r="P516" s="12"/>
      <c r="Q516" s="12">
        <v>1</v>
      </c>
    </row>
    <row r="517" spans="1:17" ht="15.75" customHeight="1">
      <c r="A517" s="12">
        <v>1406</v>
      </c>
      <c r="B517" s="12">
        <v>1691</v>
      </c>
      <c r="C517" s="12">
        <v>31298</v>
      </c>
      <c r="D517" s="12" t="s">
        <v>6047</v>
      </c>
      <c r="E517" s="12" t="s">
        <v>8483</v>
      </c>
      <c r="F517" s="12" t="s">
        <v>8484</v>
      </c>
      <c r="G517" s="12" t="s">
        <v>8485</v>
      </c>
      <c r="H517" s="12" t="s">
        <v>6051</v>
      </c>
      <c r="I517" s="12" t="s">
        <v>6093</v>
      </c>
      <c r="J517" s="12">
        <v>31298</v>
      </c>
      <c r="K517" s="12" t="s">
        <v>6086</v>
      </c>
      <c r="L517" s="12" t="s">
        <v>6087</v>
      </c>
      <c r="M517" s="13">
        <v>41910</v>
      </c>
      <c r="N517" s="12" t="s">
        <v>6088</v>
      </c>
      <c r="O517" s="12" t="s">
        <v>6089</v>
      </c>
      <c r="P517" s="12"/>
      <c r="Q517" s="12">
        <v>1</v>
      </c>
    </row>
    <row r="518" spans="1:17" ht="15.75" customHeight="1">
      <c r="A518" s="12">
        <v>444</v>
      </c>
      <c r="B518" s="12">
        <v>118</v>
      </c>
      <c r="C518" s="12">
        <v>1885</v>
      </c>
      <c r="D518" s="12" t="s">
        <v>6047</v>
      </c>
      <c r="E518" s="12" t="s">
        <v>8486</v>
      </c>
      <c r="F518" s="12" t="s">
        <v>8487</v>
      </c>
      <c r="G518" s="12" t="s">
        <v>8488</v>
      </c>
      <c r="H518" s="12" t="s">
        <v>6127</v>
      </c>
      <c r="I518" s="12" t="s">
        <v>6128</v>
      </c>
      <c r="J518" s="12">
        <v>1885</v>
      </c>
      <c r="K518" s="12" t="s">
        <v>8489</v>
      </c>
      <c r="L518" s="12" t="s">
        <v>8091</v>
      </c>
      <c r="M518" s="13">
        <v>43876</v>
      </c>
      <c r="N518" s="12" t="s">
        <v>8490</v>
      </c>
      <c r="O518" s="12" t="s">
        <v>8491</v>
      </c>
      <c r="P518" s="12"/>
      <c r="Q518" s="12">
        <v>1</v>
      </c>
    </row>
    <row r="519" spans="1:17" ht="15.75" customHeight="1">
      <c r="A519" s="12">
        <v>1770</v>
      </c>
      <c r="B519" s="12">
        <v>1867</v>
      </c>
      <c r="C519" s="12">
        <v>34028</v>
      </c>
      <c r="D519" s="12" t="s">
        <v>6047</v>
      </c>
      <c r="E519" s="12" t="s">
        <v>1325</v>
      </c>
      <c r="F519" s="12" t="s">
        <v>8492</v>
      </c>
      <c r="G519" s="12" t="s">
        <v>8493</v>
      </c>
      <c r="H519" s="12" t="s">
        <v>6051</v>
      </c>
      <c r="I519" s="12" t="s">
        <v>6362</v>
      </c>
      <c r="J519" s="12">
        <v>34028</v>
      </c>
      <c r="K519" s="12" t="s">
        <v>6062</v>
      </c>
      <c r="L519" s="12" t="s">
        <v>6063</v>
      </c>
      <c r="M519" s="13">
        <v>40873</v>
      </c>
      <c r="N519" s="12" t="s">
        <v>6064</v>
      </c>
      <c r="O519" s="12" t="s">
        <v>6065</v>
      </c>
      <c r="P519" s="12"/>
      <c r="Q519" s="12">
        <v>1</v>
      </c>
    </row>
    <row r="520" spans="1:17" ht="15.75" customHeight="1">
      <c r="A520" s="12">
        <v>1868</v>
      </c>
      <c r="B520" s="12">
        <v>683</v>
      </c>
      <c r="C520" s="12">
        <v>8278</v>
      </c>
      <c r="D520" s="12" t="s">
        <v>6047</v>
      </c>
      <c r="E520" s="12" t="s">
        <v>1441</v>
      </c>
      <c r="F520" s="12" t="s">
        <v>8494</v>
      </c>
      <c r="G520" s="12" t="s">
        <v>8495</v>
      </c>
      <c r="H520" s="12" t="s">
        <v>6075</v>
      </c>
      <c r="I520" s="12" t="s">
        <v>6076</v>
      </c>
      <c r="J520" s="12">
        <v>8278</v>
      </c>
      <c r="K520" s="12" t="s">
        <v>6375</v>
      </c>
      <c r="L520" s="12" t="s">
        <v>6240</v>
      </c>
      <c r="M520" s="13">
        <v>40280</v>
      </c>
      <c r="N520" s="12" t="s">
        <v>6376</v>
      </c>
      <c r="O520" s="12" t="s">
        <v>8496</v>
      </c>
      <c r="P520" s="12"/>
      <c r="Q520" s="12">
        <v>1</v>
      </c>
    </row>
    <row r="521" spans="1:17" ht="15.75" customHeight="1">
      <c r="A521" s="12">
        <v>746</v>
      </c>
      <c r="B521" s="12">
        <v>332</v>
      </c>
      <c r="C521" s="12">
        <v>5091</v>
      </c>
      <c r="D521" s="12" t="s">
        <v>6047</v>
      </c>
      <c r="E521" s="12" t="s">
        <v>8497</v>
      </c>
      <c r="F521" s="12" t="s">
        <v>8498</v>
      </c>
      <c r="G521" s="12" t="s">
        <v>8499</v>
      </c>
      <c r="H521" s="12" t="s">
        <v>6163</v>
      </c>
      <c r="I521" s="12" t="s">
        <v>6253</v>
      </c>
      <c r="J521" s="12">
        <v>5091</v>
      </c>
      <c r="K521" s="12" t="s">
        <v>6838</v>
      </c>
      <c r="L521" s="12" t="s">
        <v>6839</v>
      </c>
      <c r="M521" s="13">
        <v>43196</v>
      </c>
      <c r="N521" s="12" t="s">
        <v>6840</v>
      </c>
      <c r="O521" s="12" t="s">
        <v>7536</v>
      </c>
      <c r="P521" s="12"/>
      <c r="Q521" s="12">
        <v>1</v>
      </c>
    </row>
    <row r="522" spans="1:17" ht="15.75" customHeight="1">
      <c r="A522" s="12">
        <v>155</v>
      </c>
      <c r="B522" s="12">
        <v>309</v>
      </c>
      <c r="C522" s="12">
        <v>4912</v>
      </c>
      <c r="D522" s="12" t="s">
        <v>6047</v>
      </c>
      <c r="E522" s="12" t="s">
        <v>8500</v>
      </c>
      <c r="F522" s="12" t="s">
        <v>8501</v>
      </c>
      <c r="G522" s="12" t="s">
        <v>8502</v>
      </c>
      <c r="H522" s="12" t="s">
        <v>6163</v>
      </c>
      <c r="I522" s="12" t="s">
        <v>6253</v>
      </c>
      <c r="J522" s="12">
        <v>4912</v>
      </c>
      <c r="K522" s="12" t="s">
        <v>8503</v>
      </c>
      <c r="L522" s="12" t="s">
        <v>6709</v>
      </c>
      <c r="M522" s="13">
        <v>45755</v>
      </c>
      <c r="N522" s="12" t="s">
        <v>8504</v>
      </c>
      <c r="O522" s="12" t="s">
        <v>8505</v>
      </c>
      <c r="P522" s="12"/>
      <c r="Q522" s="12">
        <v>1</v>
      </c>
    </row>
    <row r="523" spans="1:17" ht="15.75" customHeight="1">
      <c r="A523" s="12">
        <v>369</v>
      </c>
      <c r="B523" s="12">
        <v>322</v>
      </c>
      <c r="C523" s="12">
        <v>5008</v>
      </c>
      <c r="D523" s="12" t="s">
        <v>6047</v>
      </c>
      <c r="E523" s="12" t="s">
        <v>8506</v>
      </c>
      <c r="F523" s="12" t="s">
        <v>8507</v>
      </c>
      <c r="G523" s="12" t="s">
        <v>8508</v>
      </c>
      <c r="H523" s="12" t="s">
        <v>6163</v>
      </c>
      <c r="I523" s="12" t="s">
        <v>6253</v>
      </c>
      <c r="J523" s="12">
        <v>5008</v>
      </c>
      <c r="K523" s="12" t="s">
        <v>7049</v>
      </c>
      <c r="L523" s="12" t="s">
        <v>6226</v>
      </c>
      <c r="M523" s="13">
        <v>44721</v>
      </c>
      <c r="N523" s="12" t="s">
        <v>7050</v>
      </c>
      <c r="O523" s="12" t="s">
        <v>7051</v>
      </c>
      <c r="P523" s="12"/>
      <c r="Q523" s="12">
        <v>1</v>
      </c>
    </row>
    <row r="524" spans="1:17" ht="15.75" customHeight="1">
      <c r="A524" s="12">
        <v>1343</v>
      </c>
      <c r="B524" s="12">
        <v>191</v>
      </c>
      <c r="C524" s="12">
        <v>3108</v>
      </c>
      <c r="D524" s="12" t="s">
        <v>6047</v>
      </c>
      <c r="E524" s="12" t="s">
        <v>8509</v>
      </c>
      <c r="F524" s="12" t="s">
        <v>8510</v>
      </c>
      <c r="G524" s="12" t="s">
        <v>8511</v>
      </c>
      <c r="H524" s="12" t="s">
        <v>7069</v>
      </c>
      <c r="I524" s="12" t="s">
        <v>7070</v>
      </c>
      <c r="J524" s="12">
        <v>3108</v>
      </c>
      <c r="K524" s="12" t="s">
        <v>7750</v>
      </c>
      <c r="L524" s="12" t="s">
        <v>6106</v>
      </c>
      <c r="M524" s="13">
        <v>41920</v>
      </c>
      <c r="N524" s="12" t="s">
        <v>7751</v>
      </c>
      <c r="O524" s="12" t="s">
        <v>7752</v>
      </c>
      <c r="P524" s="12"/>
      <c r="Q524" s="12">
        <v>1</v>
      </c>
    </row>
    <row r="525" spans="1:17" ht="15.75" customHeight="1">
      <c r="A525" s="12">
        <v>234</v>
      </c>
      <c r="B525" s="12">
        <v>187</v>
      </c>
      <c r="C525" s="12">
        <v>3070</v>
      </c>
      <c r="D525" s="12" t="s">
        <v>6047</v>
      </c>
      <c r="E525" s="12" t="s">
        <v>1454</v>
      </c>
      <c r="F525" s="12" t="s">
        <v>8512</v>
      </c>
      <c r="G525" s="12" t="s">
        <v>8513</v>
      </c>
      <c r="H525" s="12" t="s">
        <v>7069</v>
      </c>
      <c r="I525" s="12" t="s">
        <v>7070</v>
      </c>
      <c r="J525" s="12">
        <v>3070</v>
      </c>
      <c r="K525" s="12" t="s">
        <v>6517</v>
      </c>
      <c r="L525" s="12" t="s">
        <v>6518</v>
      </c>
      <c r="M525" s="13">
        <v>45608</v>
      </c>
      <c r="N525" s="12" t="s">
        <v>6519</v>
      </c>
      <c r="O525" s="12" t="s">
        <v>6520</v>
      </c>
      <c r="P525" s="12"/>
      <c r="Q525" s="12">
        <v>1</v>
      </c>
    </row>
    <row r="526" spans="1:17" ht="15.75" customHeight="1">
      <c r="A526" s="12">
        <v>1990</v>
      </c>
      <c r="B526" s="12">
        <v>106</v>
      </c>
      <c r="C526" s="12">
        <v>1660</v>
      </c>
      <c r="D526" s="12" t="s">
        <v>6047</v>
      </c>
      <c r="E526" s="12" t="s">
        <v>8514</v>
      </c>
      <c r="F526" s="12" t="s">
        <v>8515</v>
      </c>
      <c r="G526" s="12" t="s">
        <v>8516</v>
      </c>
      <c r="H526" s="12" t="s">
        <v>6435</v>
      </c>
      <c r="I526" s="12" t="s">
        <v>6920</v>
      </c>
      <c r="J526" s="12">
        <v>1660</v>
      </c>
      <c r="K526" s="12" t="s">
        <v>8445</v>
      </c>
      <c r="L526" s="12" t="s">
        <v>8446</v>
      </c>
      <c r="M526" s="13">
        <v>38576</v>
      </c>
      <c r="N526" s="12" t="s">
        <v>8447</v>
      </c>
      <c r="O526" s="12" t="s">
        <v>8448</v>
      </c>
      <c r="P526" s="12"/>
      <c r="Q526" s="12">
        <v>1</v>
      </c>
    </row>
    <row r="527" spans="1:17" ht="15.75" customHeight="1">
      <c r="A527" s="12">
        <v>339</v>
      </c>
      <c r="B527" s="12">
        <v>1895</v>
      </c>
      <c r="C527" s="12">
        <v>34268</v>
      </c>
      <c r="D527" s="12" t="s">
        <v>6047</v>
      </c>
      <c r="E527" s="12" t="s">
        <v>1459</v>
      </c>
      <c r="F527" s="12" t="s">
        <v>8517</v>
      </c>
      <c r="G527" s="12" t="s">
        <v>8518</v>
      </c>
      <c r="H527" s="12" t="s">
        <v>6051</v>
      </c>
      <c r="I527" s="12" t="s">
        <v>6362</v>
      </c>
      <c r="J527" s="12">
        <v>34268</v>
      </c>
      <c r="K527" s="12" t="s">
        <v>8519</v>
      </c>
      <c r="L527" s="12" t="s">
        <v>6732</v>
      </c>
      <c r="M527" s="13">
        <v>44726</v>
      </c>
      <c r="N527" s="12" t="s">
        <v>8520</v>
      </c>
      <c r="O527" s="12" t="s">
        <v>8521</v>
      </c>
      <c r="P527" s="12"/>
      <c r="Q527" s="12">
        <v>1</v>
      </c>
    </row>
    <row r="528" spans="1:17" ht="15.75" customHeight="1">
      <c r="A528" s="12">
        <v>1805</v>
      </c>
      <c r="B528" s="12">
        <v>1232</v>
      </c>
      <c r="C528" s="12">
        <v>17459</v>
      </c>
      <c r="D528" s="12" t="s">
        <v>6047</v>
      </c>
      <c r="E528" s="12" t="s">
        <v>1461</v>
      </c>
      <c r="F528" s="12" t="s">
        <v>8522</v>
      </c>
      <c r="G528" s="12" t="s">
        <v>8523</v>
      </c>
      <c r="H528" s="12" t="s">
        <v>6051</v>
      </c>
      <c r="I528" s="12" t="s">
        <v>6052</v>
      </c>
      <c r="J528" s="12">
        <v>17459</v>
      </c>
      <c r="K528" s="12" t="s">
        <v>6062</v>
      </c>
      <c r="L528" s="12" t="s">
        <v>6063</v>
      </c>
      <c r="M528" s="13">
        <v>40873</v>
      </c>
      <c r="N528" s="12" t="s">
        <v>6064</v>
      </c>
      <c r="O528" s="12" t="s">
        <v>6065</v>
      </c>
      <c r="P528" s="12"/>
      <c r="Q528" s="12">
        <v>1</v>
      </c>
    </row>
    <row r="529" spans="1:17" ht="15.75" customHeight="1">
      <c r="A529" s="12">
        <v>763</v>
      </c>
      <c r="B529" s="12">
        <v>305</v>
      </c>
      <c r="C529" s="12">
        <v>4882</v>
      </c>
      <c r="D529" s="12" t="s">
        <v>6047</v>
      </c>
      <c r="E529" s="12" t="s">
        <v>1463</v>
      </c>
      <c r="F529" s="12" t="s">
        <v>8524</v>
      </c>
      <c r="G529" s="12" t="s">
        <v>8525</v>
      </c>
      <c r="H529" s="12" t="s">
        <v>6163</v>
      </c>
      <c r="I529" s="12" t="s">
        <v>6253</v>
      </c>
      <c r="J529" s="12">
        <v>4882</v>
      </c>
      <c r="K529" s="12" t="s">
        <v>6895</v>
      </c>
      <c r="L529" s="12" t="s">
        <v>6317</v>
      </c>
      <c r="M529" s="13">
        <v>43087</v>
      </c>
      <c r="N529" s="12" t="s">
        <v>6896</v>
      </c>
      <c r="O529" s="12" t="s">
        <v>6897</v>
      </c>
      <c r="P529" s="12"/>
      <c r="Q529" s="12">
        <v>1</v>
      </c>
    </row>
    <row r="530" spans="1:17" ht="15.75" customHeight="1">
      <c r="A530" s="12">
        <v>759</v>
      </c>
      <c r="B530" s="12">
        <v>1332</v>
      </c>
      <c r="C530" s="12">
        <v>19191</v>
      </c>
      <c r="D530" s="12" t="s">
        <v>6047</v>
      </c>
      <c r="E530" s="12" t="s">
        <v>1465</v>
      </c>
      <c r="F530" s="12" t="s">
        <v>8526</v>
      </c>
      <c r="G530" s="12" t="s">
        <v>8527</v>
      </c>
      <c r="H530" s="12" t="s">
        <v>6051</v>
      </c>
      <c r="I530" s="12" t="s">
        <v>7090</v>
      </c>
      <c r="J530" s="12">
        <v>19191</v>
      </c>
      <c r="K530" s="12" t="s">
        <v>8528</v>
      </c>
      <c r="L530" s="12" t="s">
        <v>6317</v>
      </c>
      <c r="M530" s="13">
        <v>43087</v>
      </c>
      <c r="N530" s="12" t="s">
        <v>8529</v>
      </c>
      <c r="O530" s="12" t="s">
        <v>8530</v>
      </c>
      <c r="P530" s="12"/>
      <c r="Q530" s="12">
        <v>1</v>
      </c>
    </row>
    <row r="531" spans="1:17" ht="15.75" customHeight="1">
      <c r="A531" s="12">
        <v>210</v>
      </c>
      <c r="B531" s="12">
        <v>467</v>
      </c>
      <c r="C531" s="12">
        <v>6306</v>
      </c>
      <c r="D531" s="12" t="s">
        <v>6047</v>
      </c>
      <c r="E531" s="12" t="s">
        <v>1470</v>
      </c>
      <c r="F531" s="12" t="s">
        <v>8531</v>
      </c>
      <c r="G531" s="12" t="s">
        <v>8532</v>
      </c>
      <c r="H531" s="12" t="s">
        <v>6137</v>
      </c>
      <c r="I531" s="12" t="s">
        <v>8533</v>
      </c>
      <c r="J531" s="12">
        <v>6306</v>
      </c>
      <c r="K531" s="12" t="s">
        <v>8534</v>
      </c>
      <c r="L531" s="12" t="s">
        <v>6518</v>
      </c>
      <c r="M531" s="13">
        <v>45611</v>
      </c>
      <c r="N531" s="12" t="s">
        <v>8535</v>
      </c>
      <c r="O531" s="12" t="s">
        <v>8536</v>
      </c>
      <c r="P531" s="12"/>
      <c r="Q531" s="12">
        <v>1</v>
      </c>
    </row>
    <row r="532" spans="1:17" ht="15.75" customHeight="1">
      <c r="A532" s="12">
        <v>1006</v>
      </c>
      <c r="B532" s="12">
        <v>696</v>
      </c>
      <c r="C532" s="12">
        <v>8391</v>
      </c>
      <c r="D532" s="12" t="s">
        <v>6047</v>
      </c>
      <c r="E532" s="12" t="s">
        <v>8537</v>
      </c>
      <c r="F532" s="12" t="s">
        <v>8538</v>
      </c>
      <c r="G532" s="12" t="s">
        <v>8539</v>
      </c>
      <c r="H532" s="12" t="s">
        <v>6075</v>
      </c>
      <c r="I532" s="12" t="s">
        <v>6076</v>
      </c>
      <c r="J532" s="12">
        <v>8391</v>
      </c>
      <c r="K532" s="12" t="s">
        <v>7063</v>
      </c>
      <c r="L532" s="12" t="s">
        <v>6054</v>
      </c>
      <c r="M532" s="13">
        <v>42692</v>
      </c>
      <c r="N532" s="12" t="s">
        <v>7064</v>
      </c>
      <c r="O532" s="12" t="s">
        <v>7065</v>
      </c>
      <c r="P532" s="12"/>
      <c r="Q532" s="12">
        <v>1</v>
      </c>
    </row>
    <row r="533" spans="1:17" ht="15.75" customHeight="1">
      <c r="A533" s="12">
        <v>47</v>
      </c>
      <c r="B533" s="12">
        <v>1270</v>
      </c>
      <c r="C533" s="12">
        <v>18099</v>
      </c>
      <c r="D533" s="12" t="s">
        <v>6047</v>
      </c>
      <c r="E533" s="12" t="s">
        <v>8540</v>
      </c>
      <c r="F533" s="12" t="s">
        <v>8541</v>
      </c>
      <c r="G533" s="12" t="s">
        <v>8542</v>
      </c>
      <c r="H533" s="12" t="s">
        <v>6051</v>
      </c>
      <c r="I533" s="12" t="s">
        <v>6857</v>
      </c>
      <c r="J533" s="12">
        <v>18099</v>
      </c>
      <c r="K533" s="12" t="s">
        <v>6677</v>
      </c>
      <c r="L533" s="12" t="s">
        <v>6590</v>
      </c>
      <c r="M533" s="13">
        <v>45974</v>
      </c>
      <c r="N533" s="12" t="s">
        <v>6678</v>
      </c>
      <c r="O533" s="12" t="s">
        <v>8543</v>
      </c>
      <c r="P533" s="12"/>
      <c r="Q533" s="12">
        <v>1</v>
      </c>
    </row>
    <row r="534" spans="1:17" ht="15.75" customHeight="1">
      <c r="A534" s="12">
        <v>1444</v>
      </c>
      <c r="B534" s="12">
        <v>834</v>
      </c>
      <c r="C534" s="12">
        <v>10535</v>
      </c>
      <c r="D534" s="12" t="s">
        <v>6047</v>
      </c>
      <c r="E534" s="12" t="s">
        <v>8544</v>
      </c>
      <c r="F534" s="12" t="s">
        <v>8545</v>
      </c>
      <c r="G534" s="12" t="s">
        <v>8546</v>
      </c>
      <c r="H534" s="12" t="s">
        <v>6060</v>
      </c>
      <c r="I534" s="12" t="s">
        <v>7183</v>
      </c>
      <c r="J534" s="12">
        <v>10535</v>
      </c>
      <c r="K534" s="12" t="s">
        <v>6069</v>
      </c>
      <c r="L534" s="12" t="s">
        <v>6070</v>
      </c>
      <c r="M534" s="13">
        <v>41908</v>
      </c>
      <c r="N534" s="12" t="s">
        <v>6071</v>
      </c>
      <c r="O534" s="12" t="s">
        <v>6901</v>
      </c>
      <c r="P534" s="12"/>
      <c r="Q534" s="12">
        <v>1</v>
      </c>
    </row>
    <row r="535" spans="1:17" ht="15.75" customHeight="1">
      <c r="A535" s="12">
        <v>100</v>
      </c>
      <c r="B535" s="12">
        <v>1320</v>
      </c>
      <c r="C535" s="12">
        <v>18989</v>
      </c>
      <c r="D535" s="12" t="s">
        <v>6047</v>
      </c>
      <c r="E535" s="12" t="s">
        <v>1476</v>
      </c>
      <c r="F535" s="12" t="s">
        <v>8547</v>
      </c>
      <c r="G535" s="12" t="s">
        <v>8548</v>
      </c>
      <c r="H535" s="12" t="s">
        <v>6051</v>
      </c>
      <c r="I535" s="12" t="s">
        <v>8549</v>
      </c>
      <c r="J535" s="12">
        <v>18989</v>
      </c>
      <c r="K535" s="12" t="s">
        <v>8550</v>
      </c>
      <c r="L535" s="12" t="s">
        <v>6511</v>
      </c>
      <c r="M535" s="13">
        <v>45967</v>
      </c>
      <c r="N535" s="12" t="s">
        <v>8551</v>
      </c>
      <c r="O535" s="12" t="s">
        <v>8552</v>
      </c>
      <c r="P535" s="12"/>
      <c r="Q535" s="12">
        <v>1</v>
      </c>
    </row>
    <row r="536" spans="1:17" ht="15.75" customHeight="1">
      <c r="A536" s="12">
        <v>1294</v>
      </c>
      <c r="B536" s="12">
        <v>897</v>
      </c>
      <c r="C536" s="12">
        <v>11962</v>
      </c>
      <c r="D536" s="12" t="s">
        <v>6047</v>
      </c>
      <c r="E536" s="12" t="s">
        <v>1485</v>
      </c>
      <c r="F536" s="12" t="s">
        <v>8553</v>
      </c>
      <c r="G536" s="12" t="s">
        <v>8554</v>
      </c>
      <c r="H536" s="12" t="s">
        <v>6340</v>
      </c>
      <c r="I536" s="12" t="s">
        <v>6341</v>
      </c>
      <c r="J536" s="12">
        <v>11962</v>
      </c>
      <c r="K536" s="12" t="s">
        <v>6422</v>
      </c>
      <c r="L536" s="12" t="s">
        <v>6423</v>
      </c>
      <c r="M536" s="13">
        <v>41989</v>
      </c>
      <c r="N536" s="12" t="s">
        <v>6424</v>
      </c>
      <c r="O536" s="12" t="s">
        <v>6425</v>
      </c>
      <c r="P536" s="12"/>
      <c r="Q536" s="12">
        <v>1</v>
      </c>
    </row>
    <row r="537" spans="1:17" ht="15.75" customHeight="1">
      <c r="A537" s="12">
        <v>226</v>
      </c>
      <c r="B537" s="12">
        <v>182</v>
      </c>
      <c r="C537" s="12">
        <v>3058</v>
      </c>
      <c r="D537" s="12" t="s">
        <v>6047</v>
      </c>
      <c r="E537" s="12" t="s">
        <v>8555</v>
      </c>
      <c r="F537" s="12" t="s">
        <v>8556</v>
      </c>
      <c r="G537" s="12" t="s">
        <v>8557</v>
      </c>
      <c r="H537" s="12" t="s">
        <v>7069</v>
      </c>
      <c r="I537" s="12" t="s">
        <v>7070</v>
      </c>
      <c r="J537" s="12">
        <v>3058</v>
      </c>
      <c r="K537" s="12" t="s">
        <v>6524</v>
      </c>
      <c r="L537" s="12" t="s">
        <v>6518</v>
      </c>
      <c r="M537" s="13">
        <v>45609</v>
      </c>
      <c r="N537" s="12" t="s">
        <v>6525</v>
      </c>
      <c r="O537" s="12" t="s">
        <v>6526</v>
      </c>
      <c r="P537" s="12"/>
      <c r="Q537" s="12">
        <v>1</v>
      </c>
    </row>
    <row r="538" spans="1:17" ht="15.75" customHeight="1">
      <c r="A538" s="12">
        <v>292</v>
      </c>
      <c r="B538" s="12">
        <v>1393</v>
      </c>
      <c r="C538" s="12">
        <v>20430</v>
      </c>
      <c r="D538" s="12" t="s">
        <v>6047</v>
      </c>
      <c r="E538" s="12" t="s">
        <v>1491</v>
      </c>
      <c r="F538" s="12" t="s">
        <v>8558</v>
      </c>
      <c r="G538" s="12" t="s">
        <v>8559</v>
      </c>
      <c r="H538" s="12" t="s">
        <v>6051</v>
      </c>
      <c r="I538" s="12" t="s">
        <v>8560</v>
      </c>
      <c r="J538" s="12">
        <v>20430</v>
      </c>
      <c r="K538" s="12" t="s">
        <v>7468</v>
      </c>
      <c r="L538" s="12" t="s">
        <v>7469</v>
      </c>
      <c r="M538" s="13">
        <v>45602</v>
      </c>
      <c r="N538" s="12" t="s">
        <v>7470</v>
      </c>
      <c r="O538" s="12" t="s">
        <v>7471</v>
      </c>
      <c r="P538" s="12"/>
      <c r="Q538" s="12">
        <v>1</v>
      </c>
    </row>
    <row r="539" spans="1:17" ht="15.75" customHeight="1">
      <c r="A539" s="12">
        <v>906</v>
      </c>
      <c r="B539" s="12">
        <v>672</v>
      </c>
      <c r="C539" s="12">
        <v>8083</v>
      </c>
      <c r="D539" s="12" t="s">
        <v>6047</v>
      </c>
      <c r="E539" s="12" t="s">
        <v>8561</v>
      </c>
      <c r="F539" s="12" t="s">
        <v>8562</v>
      </c>
      <c r="G539" s="12" t="s">
        <v>8563</v>
      </c>
      <c r="H539" s="12" t="s">
        <v>6075</v>
      </c>
      <c r="I539" s="12" t="s">
        <v>6076</v>
      </c>
      <c r="J539" s="12">
        <v>8083</v>
      </c>
      <c r="K539" s="12" t="s">
        <v>8564</v>
      </c>
      <c r="L539" s="12" t="s">
        <v>6753</v>
      </c>
      <c r="M539" s="13">
        <v>42831</v>
      </c>
      <c r="N539" s="12" t="s">
        <v>8565</v>
      </c>
      <c r="O539" s="12" t="s">
        <v>8566</v>
      </c>
      <c r="P539" s="12"/>
      <c r="Q539" s="12">
        <v>1</v>
      </c>
    </row>
    <row r="540" spans="1:17" ht="15.75" customHeight="1">
      <c r="A540" s="12">
        <v>1959</v>
      </c>
      <c r="B540" s="12">
        <v>103</v>
      </c>
      <c r="C540" s="12">
        <v>1632</v>
      </c>
      <c r="D540" s="12" t="s">
        <v>6047</v>
      </c>
      <c r="E540" s="12" t="s">
        <v>8567</v>
      </c>
      <c r="F540" s="12" t="s">
        <v>8568</v>
      </c>
      <c r="G540" s="12" t="s">
        <v>8569</v>
      </c>
      <c r="H540" s="12" t="s">
        <v>6435</v>
      </c>
      <c r="I540" s="12" t="s">
        <v>6920</v>
      </c>
      <c r="J540" s="12">
        <v>1632</v>
      </c>
      <c r="K540" s="12" t="s">
        <v>6548</v>
      </c>
      <c r="L540" s="12" t="s">
        <v>6549</v>
      </c>
      <c r="M540" s="13">
        <v>38580</v>
      </c>
      <c r="N540" s="12" t="s">
        <v>6550</v>
      </c>
      <c r="O540" s="12" t="s">
        <v>6551</v>
      </c>
      <c r="P540" s="12"/>
      <c r="Q540" s="12">
        <v>1</v>
      </c>
    </row>
    <row r="541" spans="1:17" ht="15.75" customHeight="1">
      <c r="A541" s="12">
        <v>376</v>
      </c>
      <c r="B541" s="12">
        <v>82</v>
      </c>
      <c r="C541" s="12">
        <v>884</v>
      </c>
      <c r="D541" s="12" t="s">
        <v>6047</v>
      </c>
      <c r="E541" s="12" t="s">
        <v>8570</v>
      </c>
      <c r="F541" s="12" t="s">
        <v>8571</v>
      </c>
      <c r="G541" s="12" t="s">
        <v>8572</v>
      </c>
      <c r="H541" s="12" t="s">
        <v>6435</v>
      </c>
      <c r="I541" s="12" t="s">
        <v>6436</v>
      </c>
      <c r="J541" s="12">
        <v>884</v>
      </c>
      <c r="K541" s="12" t="s">
        <v>8167</v>
      </c>
      <c r="L541" s="12" t="s">
        <v>7983</v>
      </c>
      <c r="M541" s="13">
        <v>44720</v>
      </c>
      <c r="N541" s="12" t="s">
        <v>8168</v>
      </c>
      <c r="O541" s="12" t="s">
        <v>8573</v>
      </c>
      <c r="P541" s="12"/>
      <c r="Q541" s="12">
        <v>1</v>
      </c>
    </row>
    <row r="542" spans="1:17" ht="15.75" customHeight="1">
      <c r="A542" s="12">
        <v>1081</v>
      </c>
      <c r="B542" s="12">
        <v>1816</v>
      </c>
      <c r="C542" s="12">
        <v>33624</v>
      </c>
      <c r="D542" s="12" t="s">
        <v>6047</v>
      </c>
      <c r="E542" s="12" t="s">
        <v>8574</v>
      </c>
      <c r="F542" s="12" t="s">
        <v>8575</v>
      </c>
      <c r="G542" s="12" t="s">
        <v>8576</v>
      </c>
      <c r="H542" s="12" t="s">
        <v>6051</v>
      </c>
      <c r="I542" s="12" t="s">
        <v>6261</v>
      </c>
      <c r="J542" s="12">
        <v>33624</v>
      </c>
      <c r="K542" s="12" t="s">
        <v>6927</v>
      </c>
      <c r="L542" s="12" t="s">
        <v>6504</v>
      </c>
      <c r="M542" s="13">
        <v>42685</v>
      </c>
      <c r="N542" s="12" t="s">
        <v>6928</v>
      </c>
      <c r="O542" s="12" t="s">
        <v>7825</v>
      </c>
      <c r="P542" s="12"/>
      <c r="Q542" s="12">
        <v>1</v>
      </c>
    </row>
    <row r="543" spans="1:17" ht="15.75" customHeight="1">
      <c r="A543" s="12">
        <v>379</v>
      </c>
      <c r="B543" s="12">
        <v>730</v>
      </c>
      <c r="C543" s="12">
        <v>8892</v>
      </c>
      <c r="D543" s="12" t="s">
        <v>6047</v>
      </c>
      <c r="E543" s="12" t="s">
        <v>8577</v>
      </c>
      <c r="F543" s="12" t="s">
        <v>8578</v>
      </c>
      <c r="G543" s="12" t="s">
        <v>8579</v>
      </c>
      <c r="H543" s="12" t="s">
        <v>6275</v>
      </c>
      <c r="I543" s="12" t="s">
        <v>6453</v>
      </c>
      <c r="J543" s="12">
        <v>8892</v>
      </c>
      <c r="K543" s="12" t="s">
        <v>8580</v>
      </c>
      <c r="L543" s="12" t="s">
        <v>8581</v>
      </c>
      <c r="M543" s="13">
        <v>44719</v>
      </c>
      <c r="N543" s="12" t="s">
        <v>8582</v>
      </c>
      <c r="O543" s="12" t="s">
        <v>8583</v>
      </c>
      <c r="P543" s="12"/>
      <c r="Q543" s="12">
        <v>1</v>
      </c>
    </row>
    <row r="544" spans="1:17" ht="15.75" customHeight="1">
      <c r="A544" s="12">
        <v>892</v>
      </c>
      <c r="B544" s="12">
        <v>139</v>
      </c>
      <c r="C544" s="12">
        <v>2212</v>
      </c>
      <c r="D544" s="12" t="s">
        <v>6047</v>
      </c>
      <c r="E544" s="12" t="s">
        <v>8584</v>
      </c>
      <c r="F544" s="12" t="s">
        <v>8585</v>
      </c>
      <c r="G544" s="12" t="s">
        <v>8586</v>
      </c>
      <c r="H544" s="12" t="s">
        <v>6127</v>
      </c>
      <c r="I544" s="12" t="s">
        <v>6128</v>
      </c>
      <c r="J544" s="12">
        <v>2212</v>
      </c>
      <c r="K544" s="12" t="s">
        <v>6569</v>
      </c>
      <c r="L544" s="12" t="s">
        <v>6564</v>
      </c>
      <c r="M544" s="13">
        <v>43015</v>
      </c>
      <c r="N544" s="12" t="s">
        <v>6570</v>
      </c>
      <c r="O544" s="12" t="s">
        <v>6623</v>
      </c>
      <c r="P544" s="12"/>
      <c r="Q544" s="12">
        <v>1</v>
      </c>
    </row>
    <row r="545" spans="1:17" ht="15.75" customHeight="1">
      <c r="A545" s="12">
        <v>871</v>
      </c>
      <c r="B545" s="12">
        <v>934</v>
      </c>
      <c r="C545" s="12">
        <v>12480</v>
      </c>
      <c r="D545" s="12" t="s">
        <v>6047</v>
      </c>
      <c r="E545" s="12" t="s">
        <v>1520</v>
      </c>
      <c r="F545" s="12" t="s">
        <v>8587</v>
      </c>
      <c r="G545" s="12" t="s">
        <v>8588</v>
      </c>
      <c r="H545" s="12" t="s">
        <v>6627</v>
      </c>
      <c r="I545" s="12" t="s">
        <v>6628</v>
      </c>
      <c r="J545" s="12">
        <v>12480</v>
      </c>
      <c r="K545" s="12" t="s">
        <v>6606</v>
      </c>
      <c r="L545" s="12" t="s">
        <v>6564</v>
      </c>
      <c r="M545" s="13">
        <v>43017</v>
      </c>
      <c r="N545" s="12" t="s">
        <v>6607</v>
      </c>
      <c r="O545" s="12" t="s">
        <v>6608</v>
      </c>
      <c r="P545" s="12"/>
      <c r="Q545" s="12">
        <v>1</v>
      </c>
    </row>
    <row r="546" spans="1:17" ht="15.75" customHeight="1">
      <c r="A546" s="12">
        <v>1167</v>
      </c>
      <c r="B546" s="12">
        <v>1948</v>
      </c>
      <c r="C546" s="12">
        <v>34820</v>
      </c>
      <c r="D546" s="12" t="s">
        <v>6047</v>
      </c>
      <c r="E546" s="12" t="s">
        <v>8589</v>
      </c>
      <c r="F546" s="12" t="s">
        <v>8590</v>
      </c>
      <c r="G546" s="12" t="s">
        <v>8591</v>
      </c>
      <c r="H546" s="12" t="s">
        <v>6051</v>
      </c>
      <c r="I546" s="12" t="s">
        <v>6700</v>
      </c>
      <c r="J546" s="12">
        <v>34820</v>
      </c>
      <c r="K546" s="12" t="s">
        <v>7873</v>
      </c>
      <c r="L546" s="12" t="s">
        <v>6832</v>
      </c>
      <c r="M546" s="13">
        <v>41998</v>
      </c>
      <c r="N546" s="12" t="s">
        <v>7874</v>
      </c>
      <c r="O546" s="12" t="s">
        <v>7875</v>
      </c>
      <c r="P546" s="12"/>
      <c r="Q546" s="12">
        <v>1</v>
      </c>
    </row>
    <row r="547" spans="1:17" ht="15.75" customHeight="1">
      <c r="A547" s="12">
        <v>1940</v>
      </c>
      <c r="B547" s="12">
        <v>1385</v>
      </c>
      <c r="C547" s="12">
        <v>20133</v>
      </c>
      <c r="D547" s="12" t="s">
        <v>6047</v>
      </c>
      <c r="E547" s="12" t="s">
        <v>8592</v>
      </c>
      <c r="F547" s="12" t="s">
        <v>8593</v>
      </c>
      <c r="G547" s="12" t="s">
        <v>8594</v>
      </c>
      <c r="H547" s="12" t="s">
        <v>6051</v>
      </c>
      <c r="I547" s="12" t="s">
        <v>7041</v>
      </c>
      <c r="J547" s="12">
        <v>20133</v>
      </c>
      <c r="K547" s="12" t="s">
        <v>7276</v>
      </c>
      <c r="L547" s="12" t="s">
        <v>7277</v>
      </c>
      <c r="M547" s="13">
        <v>39234</v>
      </c>
      <c r="N547" s="12" t="s">
        <v>7278</v>
      </c>
      <c r="O547" s="12" t="s">
        <v>7279</v>
      </c>
      <c r="P547" s="12"/>
      <c r="Q547" s="12">
        <v>1</v>
      </c>
    </row>
    <row r="548" spans="1:17" ht="15.75" customHeight="1">
      <c r="A548" s="12">
        <v>1694</v>
      </c>
      <c r="B548" s="12">
        <v>1944</v>
      </c>
      <c r="C548" s="12">
        <v>34793</v>
      </c>
      <c r="D548" s="12" t="s">
        <v>6047</v>
      </c>
      <c r="E548" s="12" t="s">
        <v>8595</v>
      </c>
      <c r="F548" s="12" t="s">
        <v>8596</v>
      </c>
      <c r="G548" s="12" t="s">
        <v>8597</v>
      </c>
      <c r="H548" s="12" t="s">
        <v>6051</v>
      </c>
      <c r="I548" s="12" t="s">
        <v>6700</v>
      </c>
      <c r="J548" s="12">
        <v>34793</v>
      </c>
      <c r="K548" s="12" t="s">
        <v>8598</v>
      </c>
      <c r="L548" s="12" t="s">
        <v>7333</v>
      </c>
      <c r="M548" s="13">
        <v>40878</v>
      </c>
      <c r="N548" s="12" t="s">
        <v>8599</v>
      </c>
      <c r="O548" s="12" t="s">
        <v>8600</v>
      </c>
      <c r="P548" s="12"/>
      <c r="Q548" s="12">
        <v>1</v>
      </c>
    </row>
    <row r="549" spans="1:17" ht="15.75" customHeight="1">
      <c r="A549" s="12">
        <v>1076</v>
      </c>
      <c r="B549" s="12">
        <v>883</v>
      </c>
      <c r="C549" s="12">
        <v>11558</v>
      </c>
      <c r="D549" s="12" t="s">
        <v>6047</v>
      </c>
      <c r="E549" s="12" t="s">
        <v>8601</v>
      </c>
      <c r="F549" s="12" t="s">
        <v>8602</v>
      </c>
      <c r="G549" s="12" t="s">
        <v>8603</v>
      </c>
      <c r="H549" s="12" t="s">
        <v>6060</v>
      </c>
      <c r="I549" s="12" t="s">
        <v>6061</v>
      </c>
      <c r="J549" s="12">
        <v>11558</v>
      </c>
      <c r="K549" s="12" t="s">
        <v>6927</v>
      </c>
      <c r="L549" s="12" t="s">
        <v>6504</v>
      </c>
      <c r="M549" s="13">
        <v>42686</v>
      </c>
      <c r="N549" s="12" t="s">
        <v>6928</v>
      </c>
      <c r="O549" s="12" t="s">
        <v>6929</v>
      </c>
      <c r="P549" s="12"/>
      <c r="Q549" s="12">
        <v>1</v>
      </c>
    </row>
    <row r="550" spans="1:17" ht="15.75" customHeight="1">
      <c r="A550" s="12">
        <v>426</v>
      </c>
      <c r="B550" s="12">
        <v>979</v>
      </c>
      <c r="C550" s="12">
        <v>13187</v>
      </c>
      <c r="D550" s="12" t="s">
        <v>6047</v>
      </c>
      <c r="E550" s="12" t="s">
        <v>8604</v>
      </c>
      <c r="F550" s="12" t="s">
        <v>8605</v>
      </c>
      <c r="G550" s="12" t="s">
        <v>8606</v>
      </c>
      <c r="H550" s="12" t="s">
        <v>6627</v>
      </c>
      <c r="I550" s="12" t="s">
        <v>7504</v>
      </c>
      <c r="J550" s="12">
        <v>13187</v>
      </c>
      <c r="K550" s="12" t="s">
        <v>8607</v>
      </c>
      <c r="L550" s="12" t="s">
        <v>7983</v>
      </c>
      <c r="M550" s="13">
        <v>44715</v>
      </c>
      <c r="N550" s="12" t="s">
        <v>8608</v>
      </c>
      <c r="O550" s="12" t="s">
        <v>8609</v>
      </c>
      <c r="P550" s="12"/>
      <c r="Q550" s="12">
        <v>1</v>
      </c>
    </row>
    <row r="551" spans="1:17" ht="15.75" customHeight="1">
      <c r="A551" s="12">
        <v>1236</v>
      </c>
      <c r="B551" s="12">
        <v>893</v>
      </c>
      <c r="C551" s="12">
        <v>11874</v>
      </c>
      <c r="D551" s="12" t="s">
        <v>6047</v>
      </c>
      <c r="E551" s="12" t="s">
        <v>8610</v>
      </c>
      <c r="F551" s="12" t="s">
        <v>8611</v>
      </c>
      <c r="G551" s="12" t="s">
        <v>8612</v>
      </c>
      <c r="H551" s="12" t="s">
        <v>6060</v>
      </c>
      <c r="I551" s="12" t="s">
        <v>6061</v>
      </c>
      <c r="J551" s="12">
        <v>11874</v>
      </c>
      <c r="K551" s="12" t="s">
        <v>6429</v>
      </c>
      <c r="L551" s="12" t="s">
        <v>6423</v>
      </c>
      <c r="M551" s="13">
        <v>41991</v>
      </c>
      <c r="N551" s="12" t="s">
        <v>6430</v>
      </c>
      <c r="O551" s="12" t="s">
        <v>6431</v>
      </c>
      <c r="P551" s="12"/>
      <c r="Q551" s="12">
        <v>1</v>
      </c>
    </row>
    <row r="552" spans="1:17" ht="15.75" customHeight="1">
      <c r="A552" s="12">
        <v>592</v>
      </c>
      <c r="B552" s="12">
        <v>848</v>
      </c>
      <c r="C552" s="12">
        <v>10865</v>
      </c>
      <c r="D552" s="12" t="s">
        <v>6047</v>
      </c>
      <c r="E552" s="12" t="s">
        <v>8613</v>
      </c>
      <c r="F552" s="12" t="s">
        <v>8614</v>
      </c>
      <c r="G552" s="12" t="s">
        <v>8615</v>
      </c>
      <c r="H552" s="12" t="s">
        <v>6060</v>
      </c>
      <c r="I552" s="12" t="s">
        <v>7082</v>
      </c>
      <c r="J552" s="12">
        <v>10865</v>
      </c>
      <c r="K552" s="12" t="s">
        <v>6407</v>
      </c>
      <c r="L552" s="12" t="s">
        <v>6408</v>
      </c>
      <c r="M552" s="13">
        <v>43560</v>
      </c>
      <c r="N552" s="12" t="s">
        <v>6409</v>
      </c>
      <c r="O552" s="12" t="s">
        <v>7139</v>
      </c>
      <c r="P552" s="12"/>
      <c r="Q552" s="12">
        <v>1</v>
      </c>
    </row>
    <row r="553" spans="1:17" ht="15.75" customHeight="1">
      <c r="A553" s="12">
        <v>268</v>
      </c>
      <c r="B553" s="12">
        <v>1373</v>
      </c>
      <c r="C553" s="12">
        <v>19986</v>
      </c>
      <c r="D553" s="12" t="s">
        <v>6047</v>
      </c>
      <c r="E553" s="12" t="s">
        <v>8616</v>
      </c>
      <c r="F553" s="12" t="s">
        <v>8617</v>
      </c>
      <c r="G553" s="12" t="s">
        <v>8618</v>
      </c>
      <c r="H553" s="12" t="s">
        <v>6051</v>
      </c>
      <c r="I553" s="12" t="s">
        <v>6523</v>
      </c>
      <c r="J553" s="12">
        <v>19986</v>
      </c>
      <c r="K553" s="12" t="s">
        <v>8408</v>
      </c>
      <c r="L553" s="12" t="s">
        <v>7469</v>
      </c>
      <c r="M553" s="13">
        <v>45603</v>
      </c>
      <c r="N553" s="12" t="s">
        <v>8409</v>
      </c>
      <c r="O553" s="12" t="s">
        <v>8410</v>
      </c>
      <c r="P553" s="12"/>
      <c r="Q553" s="12">
        <v>1</v>
      </c>
    </row>
    <row r="554" spans="1:17" ht="15.75" customHeight="1">
      <c r="A554" s="12">
        <v>598</v>
      </c>
      <c r="B554" s="12">
        <v>1205</v>
      </c>
      <c r="C554" s="12">
        <v>17170</v>
      </c>
      <c r="D554" s="12" t="s">
        <v>6047</v>
      </c>
      <c r="E554" s="12" t="s">
        <v>8619</v>
      </c>
      <c r="F554" s="12" t="s">
        <v>8620</v>
      </c>
      <c r="G554" s="12" t="s">
        <v>8621</v>
      </c>
      <c r="H554" s="12" t="s">
        <v>6051</v>
      </c>
      <c r="I554" s="12" t="s">
        <v>6052</v>
      </c>
      <c r="J554" s="12">
        <v>17170</v>
      </c>
      <c r="K554" s="12" t="s">
        <v>6437</v>
      </c>
      <c r="L554" s="12" t="s">
        <v>6408</v>
      </c>
      <c r="M554" s="13">
        <v>43559</v>
      </c>
      <c r="N554" s="12" t="s">
        <v>6438</v>
      </c>
      <c r="O554" s="12" t="s">
        <v>6439</v>
      </c>
      <c r="P554" s="12"/>
      <c r="Q554" s="12">
        <v>1</v>
      </c>
    </row>
    <row r="555" spans="1:17" ht="15.75" customHeight="1">
      <c r="A555" s="12">
        <v>1382</v>
      </c>
      <c r="B555" s="12">
        <v>772</v>
      </c>
      <c r="C555" s="12">
        <v>9658</v>
      </c>
      <c r="D555" s="12" t="s">
        <v>6047</v>
      </c>
      <c r="E555" s="12" t="s">
        <v>8622</v>
      </c>
      <c r="F555" s="12" t="s">
        <v>8623</v>
      </c>
      <c r="G555" s="12" t="s">
        <v>8624</v>
      </c>
      <c r="H555" s="12" t="s">
        <v>6118</v>
      </c>
      <c r="I555" s="12" t="s">
        <v>6119</v>
      </c>
      <c r="J555" s="12">
        <v>9658</v>
      </c>
      <c r="K555" s="12" t="s">
        <v>6173</v>
      </c>
      <c r="L555" s="12" t="s">
        <v>6078</v>
      </c>
      <c r="M555" s="13">
        <v>41914</v>
      </c>
      <c r="N555" s="12" t="s">
        <v>6174</v>
      </c>
      <c r="O555" s="12" t="s">
        <v>6175</v>
      </c>
      <c r="P555" s="12"/>
      <c r="Q555" s="12">
        <v>1</v>
      </c>
    </row>
    <row r="556" spans="1:17" ht="15.75" customHeight="1">
      <c r="A556" s="12">
        <v>1988</v>
      </c>
      <c r="B556" s="12">
        <v>409</v>
      </c>
      <c r="C556" s="12">
        <v>5873</v>
      </c>
      <c r="D556" s="12" t="s">
        <v>6047</v>
      </c>
      <c r="E556" s="12" t="s">
        <v>8625</v>
      </c>
      <c r="F556" s="12" t="s">
        <v>8626</v>
      </c>
      <c r="G556" s="12" t="s">
        <v>8627</v>
      </c>
      <c r="H556" s="12" t="s">
        <v>6137</v>
      </c>
      <c r="I556" s="12" t="s">
        <v>6323</v>
      </c>
      <c r="J556" s="12">
        <v>5873</v>
      </c>
      <c r="K556" s="12" t="s">
        <v>8445</v>
      </c>
      <c r="L556" s="12" t="s">
        <v>8446</v>
      </c>
      <c r="M556" s="13">
        <v>38576</v>
      </c>
      <c r="N556" s="12" t="s">
        <v>8447</v>
      </c>
      <c r="O556" s="12" t="s">
        <v>8448</v>
      </c>
      <c r="P556" s="12"/>
      <c r="Q556" s="12">
        <v>1</v>
      </c>
    </row>
    <row r="557" spans="1:17" ht="15.75" customHeight="1">
      <c r="A557" s="12">
        <v>1054</v>
      </c>
      <c r="B557" s="12">
        <v>320</v>
      </c>
      <c r="C557" s="12">
        <v>4976</v>
      </c>
      <c r="D557" s="12" t="s">
        <v>6047</v>
      </c>
      <c r="E557" s="12" t="s">
        <v>1570</v>
      </c>
      <c r="F557" s="12" t="s">
        <v>8628</v>
      </c>
      <c r="G557" s="12" t="s">
        <v>8629</v>
      </c>
      <c r="H557" s="12" t="s">
        <v>6163</v>
      </c>
      <c r="I557" s="12" t="s">
        <v>6253</v>
      </c>
      <c r="J557" s="12">
        <v>4976</v>
      </c>
      <c r="K557" s="12" t="s">
        <v>8630</v>
      </c>
      <c r="L557" s="12" t="s">
        <v>6054</v>
      </c>
      <c r="M557" s="13">
        <v>42687</v>
      </c>
      <c r="N557" s="12" t="s">
        <v>8631</v>
      </c>
      <c r="O557" s="12" t="s">
        <v>8632</v>
      </c>
      <c r="P557" s="12"/>
      <c r="Q557" s="12">
        <v>1</v>
      </c>
    </row>
    <row r="558" spans="1:17" ht="15.75" customHeight="1">
      <c r="A558" s="12">
        <v>265</v>
      </c>
      <c r="B558" s="12">
        <v>1481</v>
      </c>
      <c r="C558" s="12">
        <v>23967</v>
      </c>
      <c r="D558" s="12" t="s">
        <v>6047</v>
      </c>
      <c r="E558" s="12" t="s">
        <v>8633</v>
      </c>
      <c r="F558" s="12" t="s">
        <v>8634</v>
      </c>
      <c r="G558" s="12" t="s">
        <v>8635</v>
      </c>
      <c r="H558" s="12" t="s">
        <v>6051</v>
      </c>
      <c r="I558" s="12" t="s">
        <v>6516</v>
      </c>
      <c r="J558" s="12">
        <v>23967</v>
      </c>
      <c r="K558" s="12" t="s">
        <v>8408</v>
      </c>
      <c r="L558" s="12" t="s">
        <v>7469</v>
      </c>
      <c r="M558" s="13">
        <v>45603</v>
      </c>
      <c r="N558" s="12" t="s">
        <v>8409</v>
      </c>
      <c r="O558" s="12" t="s">
        <v>8410</v>
      </c>
      <c r="P558" s="12"/>
      <c r="Q558" s="12">
        <v>1</v>
      </c>
    </row>
    <row r="559" spans="1:17" ht="15.75" customHeight="1">
      <c r="A559" s="12">
        <v>231</v>
      </c>
      <c r="B559" s="12">
        <v>753</v>
      </c>
      <c r="C559" s="12">
        <v>9444</v>
      </c>
      <c r="D559" s="12" t="s">
        <v>6047</v>
      </c>
      <c r="E559" s="12" t="s">
        <v>8636</v>
      </c>
      <c r="F559" s="12" t="s">
        <v>8637</v>
      </c>
      <c r="G559" s="12" t="s">
        <v>8638</v>
      </c>
      <c r="H559" s="12" t="s">
        <v>8639</v>
      </c>
      <c r="I559" s="12" t="s">
        <v>8640</v>
      </c>
      <c r="J559" s="12">
        <v>9444</v>
      </c>
      <c r="K559" s="12" t="s">
        <v>6517</v>
      </c>
      <c r="L559" s="12" t="s">
        <v>6518</v>
      </c>
      <c r="M559" s="13">
        <v>45608</v>
      </c>
      <c r="N559" s="12" t="s">
        <v>6519</v>
      </c>
      <c r="O559" s="12" t="s">
        <v>6520</v>
      </c>
      <c r="P559" s="12"/>
      <c r="Q559" s="12">
        <v>1</v>
      </c>
    </row>
    <row r="560" spans="1:17" ht="15.75" customHeight="1">
      <c r="A560" s="12">
        <v>1369</v>
      </c>
      <c r="B560" s="12">
        <v>455</v>
      </c>
      <c r="C560" s="12">
        <v>6182</v>
      </c>
      <c r="D560" s="12" t="s">
        <v>6047</v>
      </c>
      <c r="E560" s="12" t="s">
        <v>8641</v>
      </c>
      <c r="F560" s="12" t="s">
        <v>8642</v>
      </c>
      <c r="G560" s="12" t="s">
        <v>8643</v>
      </c>
      <c r="H560" s="12" t="s">
        <v>6137</v>
      </c>
      <c r="I560" s="12" t="s">
        <v>6391</v>
      </c>
      <c r="J560" s="12">
        <v>6182</v>
      </c>
      <c r="K560" s="12" t="s">
        <v>6077</v>
      </c>
      <c r="L560" s="12" t="s">
        <v>6078</v>
      </c>
      <c r="M560" s="13">
        <v>41915</v>
      </c>
      <c r="N560" s="12" t="s">
        <v>6079</v>
      </c>
      <c r="O560" s="12" t="s">
        <v>7172</v>
      </c>
      <c r="P560" s="12"/>
      <c r="Q560" s="12">
        <v>1</v>
      </c>
    </row>
    <row r="561" spans="1:17" ht="15.75" customHeight="1">
      <c r="A561" s="12">
        <v>269</v>
      </c>
      <c r="B561" s="12">
        <v>1367</v>
      </c>
      <c r="C561" s="12">
        <v>19973</v>
      </c>
      <c r="D561" s="12" t="s">
        <v>6047</v>
      </c>
      <c r="E561" s="12" t="s">
        <v>8644</v>
      </c>
      <c r="F561" s="12" t="s">
        <v>8645</v>
      </c>
      <c r="G561" s="12" t="s">
        <v>8646</v>
      </c>
      <c r="H561" s="12" t="s">
        <v>6051</v>
      </c>
      <c r="I561" s="12" t="s">
        <v>6523</v>
      </c>
      <c r="J561" s="12">
        <v>19973</v>
      </c>
      <c r="K561" s="12" t="s">
        <v>8408</v>
      </c>
      <c r="L561" s="12" t="s">
        <v>7469</v>
      </c>
      <c r="M561" s="13">
        <v>45603</v>
      </c>
      <c r="N561" s="12" t="s">
        <v>8409</v>
      </c>
      <c r="O561" s="12" t="s">
        <v>8410</v>
      </c>
      <c r="P561" s="12"/>
      <c r="Q561" s="12">
        <v>1</v>
      </c>
    </row>
    <row r="562" spans="1:17" ht="15.75" customHeight="1">
      <c r="A562" s="12">
        <v>393</v>
      </c>
      <c r="B562" s="12">
        <v>1179</v>
      </c>
      <c r="C562" s="12">
        <v>16895</v>
      </c>
      <c r="D562" s="12" t="s">
        <v>6047</v>
      </c>
      <c r="E562" s="12" t="s">
        <v>8647</v>
      </c>
      <c r="F562" s="12" t="s">
        <v>8648</v>
      </c>
      <c r="G562" s="12" t="s">
        <v>8649</v>
      </c>
      <c r="H562" s="12" t="s">
        <v>6051</v>
      </c>
      <c r="I562" s="12" t="s">
        <v>6052</v>
      </c>
      <c r="J562" s="12">
        <v>16895</v>
      </c>
      <c r="K562" s="12" t="s">
        <v>8650</v>
      </c>
      <c r="L562" s="12" t="s">
        <v>7020</v>
      </c>
      <c r="M562" s="13">
        <v>44716</v>
      </c>
      <c r="N562" s="12" t="s">
        <v>8651</v>
      </c>
      <c r="O562" s="12" t="s">
        <v>8652</v>
      </c>
      <c r="P562" s="12"/>
      <c r="Q562" s="12">
        <v>1</v>
      </c>
    </row>
    <row r="563" spans="1:17" ht="15.75" customHeight="1">
      <c r="A563" s="12">
        <v>1375</v>
      </c>
      <c r="B563" s="12">
        <v>1675</v>
      </c>
      <c r="C563" s="12">
        <v>30877</v>
      </c>
      <c r="D563" s="12" t="s">
        <v>6047</v>
      </c>
      <c r="E563" s="12" t="s">
        <v>1579</v>
      </c>
      <c r="F563" s="12" t="s">
        <v>8653</v>
      </c>
      <c r="G563" s="12" t="s">
        <v>8654</v>
      </c>
      <c r="H563" s="12" t="s">
        <v>6051</v>
      </c>
      <c r="I563" s="12" t="s">
        <v>6100</v>
      </c>
      <c r="J563" s="12">
        <v>30877</v>
      </c>
      <c r="K563" s="12" t="s">
        <v>6077</v>
      </c>
      <c r="L563" s="12" t="s">
        <v>6078</v>
      </c>
      <c r="M563" s="13">
        <v>41914</v>
      </c>
      <c r="N563" s="12" t="s">
        <v>6079</v>
      </c>
      <c r="O563" s="12" t="s">
        <v>6101</v>
      </c>
      <c r="P563" s="12"/>
      <c r="Q563" s="12">
        <v>1</v>
      </c>
    </row>
    <row r="564" spans="1:17" ht="15.75" customHeight="1">
      <c r="A564" s="12">
        <v>1861</v>
      </c>
      <c r="B564" s="12">
        <v>1779</v>
      </c>
      <c r="C564" s="12">
        <v>33124</v>
      </c>
      <c r="D564" s="12" t="s">
        <v>6047</v>
      </c>
      <c r="E564" s="12" t="s">
        <v>8655</v>
      </c>
      <c r="F564" s="12" t="s">
        <v>8656</v>
      </c>
      <c r="G564" s="12" t="s">
        <v>8657</v>
      </c>
      <c r="H564" s="12" t="s">
        <v>6051</v>
      </c>
      <c r="I564" s="12" t="s">
        <v>6374</v>
      </c>
      <c r="J564" s="12">
        <v>33124</v>
      </c>
      <c r="K564" s="12" t="s">
        <v>6375</v>
      </c>
      <c r="L564" s="12" t="s">
        <v>6240</v>
      </c>
      <c r="M564" s="13">
        <v>40842</v>
      </c>
      <c r="N564" s="12" t="s">
        <v>6376</v>
      </c>
      <c r="O564" s="12" t="s">
        <v>8658</v>
      </c>
      <c r="P564" s="12"/>
      <c r="Q564" s="12">
        <v>1</v>
      </c>
    </row>
    <row r="565" spans="1:17" ht="15.75" customHeight="1">
      <c r="A565" s="12">
        <v>57</v>
      </c>
      <c r="B565" s="12">
        <v>1684</v>
      </c>
      <c r="C565" s="12">
        <v>31014</v>
      </c>
      <c r="D565" s="12" t="s">
        <v>6047</v>
      </c>
      <c r="E565" s="12" t="s">
        <v>1583</v>
      </c>
      <c r="F565" s="12" t="s">
        <v>8659</v>
      </c>
      <c r="G565" s="12" t="s">
        <v>8660</v>
      </c>
      <c r="H565" s="12" t="s">
        <v>6051</v>
      </c>
      <c r="I565" s="12" t="s">
        <v>6093</v>
      </c>
      <c r="J565" s="12">
        <v>31014</v>
      </c>
      <c r="K565" s="12" t="s">
        <v>8661</v>
      </c>
      <c r="L565" s="12" t="s">
        <v>6590</v>
      </c>
      <c r="M565" s="13">
        <v>45972</v>
      </c>
      <c r="N565" s="12" t="s">
        <v>8662</v>
      </c>
      <c r="O565" s="12" t="s">
        <v>8663</v>
      </c>
      <c r="P565" s="12"/>
      <c r="Q565" s="12">
        <v>1</v>
      </c>
    </row>
    <row r="566" spans="1:17" ht="15.75" customHeight="1">
      <c r="A566" s="12">
        <v>830</v>
      </c>
      <c r="B566" s="12">
        <v>817</v>
      </c>
      <c r="C566" s="12">
        <v>10358</v>
      </c>
      <c r="D566" s="12" t="s">
        <v>6047</v>
      </c>
      <c r="E566" s="12" t="s">
        <v>8664</v>
      </c>
      <c r="F566" s="12" t="s">
        <v>8665</v>
      </c>
      <c r="G566" s="12" t="s">
        <v>8666</v>
      </c>
      <c r="H566" s="12" t="s">
        <v>6265</v>
      </c>
      <c r="I566" s="12" t="s">
        <v>7675</v>
      </c>
      <c r="J566" s="12">
        <v>10358</v>
      </c>
      <c r="K566" s="12" t="s">
        <v>6807</v>
      </c>
      <c r="L566" s="12" t="s">
        <v>6564</v>
      </c>
      <c r="M566" s="13">
        <v>43022</v>
      </c>
      <c r="N566" s="12" t="s">
        <v>6808</v>
      </c>
      <c r="O566" s="12" t="s">
        <v>6809</v>
      </c>
      <c r="P566" s="12"/>
      <c r="Q566" s="12">
        <v>1</v>
      </c>
    </row>
    <row r="567" spans="1:17" ht="15.75" customHeight="1">
      <c r="A567" s="12">
        <v>1685</v>
      </c>
      <c r="B567" s="12">
        <v>1001</v>
      </c>
      <c r="C567" s="12">
        <v>13817</v>
      </c>
      <c r="D567" s="12" t="s">
        <v>6047</v>
      </c>
      <c r="E567" s="12" t="s">
        <v>8667</v>
      </c>
      <c r="F567" s="12" t="s">
        <v>8668</v>
      </c>
      <c r="G567" s="12" t="s">
        <v>8669</v>
      </c>
      <c r="H567" s="12" t="s">
        <v>6051</v>
      </c>
      <c r="I567" s="12" t="s">
        <v>6741</v>
      </c>
      <c r="J567" s="12">
        <v>13817</v>
      </c>
      <c r="K567" s="12" t="s">
        <v>7260</v>
      </c>
      <c r="L567" s="12" t="s">
        <v>7261</v>
      </c>
      <c r="M567" s="13">
        <v>40879</v>
      </c>
      <c r="N567" s="12" t="s">
        <v>7262</v>
      </c>
      <c r="O567" s="12" t="s">
        <v>7263</v>
      </c>
      <c r="P567" s="12"/>
      <c r="Q567" s="12">
        <v>1</v>
      </c>
    </row>
    <row r="568" spans="1:17" ht="15.75" customHeight="1">
      <c r="A568" s="12">
        <v>941</v>
      </c>
      <c r="B568" s="12">
        <v>1076</v>
      </c>
      <c r="C568" s="12">
        <v>15461</v>
      </c>
      <c r="D568" s="12" t="s">
        <v>6047</v>
      </c>
      <c r="E568" s="12" t="s">
        <v>1592</v>
      </c>
      <c r="F568" s="12" t="s">
        <v>8670</v>
      </c>
      <c r="G568" s="12" t="s">
        <v>8671</v>
      </c>
      <c r="H568" s="12" t="s">
        <v>6051</v>
      </c>
      <c r="I568" s="12" t="s">
        <v>6476</v>
      </c>
      <c r="J568" s="12">
        <v>15461</v>
      </c>
      <c r="K568" s="12" t="s">
        <v>8672</v>
      </c>
      <c r="L568" s="12" t="s">
        <v>6955</v>
      </c>
      <c r="M568" s="13">
        <v>42827</v>
      </c>
      <c r="N568" s="12" t="s">
        <v>8673</v>
      </c>
      <c r="O568" s="12" t="s">
        <v>8674</v>
      </c>
      <c r="P568" s="12"/>
      <c r="Q568" s="12">
        <v>1</v>
      </c>
    </row>
    <row r="569" spans="1:17" ht="15.75" customHeight="1">
      <c r="A569" s="12">
        <v>1327</v>
      </c>
      <c r="B569" s="12">
        <v>167</v>
      </c>
      <c r="C569" s="12">
        <v>2901</v>
      </c>
      <c r="D569" s="12" t="s">
        <v>6047</v>
      </c>
      <c r="E569" s="12" t="s">
        <v>8675</v>
      </c>
      <c r="F569" s="12" t="s">
        <v>8676</v>
      </c>
      <c r="G569" s="12" t="s">
        <v>8677</v>
      </c>
      <c r="H569" s="12" t="s">
        <v>7901</v>
      </c>
      <c r="I569" s="12" t="s">
        <v>7902</v>
      </c>
      <c r="J569" s="12">
        <v>2901</v>
      </c>
      <c r="K569" s="12" t="s">
        <v>6105</v>
      </c>
      <c r="L569" s="12" t="s">
        <v>6106</v>
      </c>
      <c r="M569" s="13">
        <v>41924</v>
      </c>
      <c r="N569" s="12" t="s">
        <v>6107</v>
      </c>
      <c r="O569" s="12" t="s">
        <v>7676</v>
      </c>
      <c r="P569" s="12"/>
      <c r="Q569" s="12">
        <v>1</v>
      </c>
    </row>
    <row r="570" spans="1:17" ht="15.75" customHeight="1">
      <c r="A570" s="12">
        <v>1642</v>
      </c>
      <c r="B570" s="12">
        <v>571</v>
      </c>
      <c r="C570" s="12">
        <v>7424</v>
      </c>
      <c r="D570" s="12" t="s">
        <v>6047</v>
      </c>
      <c r="E570" s="12" t="s">
        <v>8678</v>
      </c>
      <c r="F570" s="12" t="s">
        <v>8679</v>
      </c>
      <c r="G570" s="12" t="s">
        <v>8680</v>
      </c>
      <c r="H570" s="12" t="s">
        <v>6084</v>
      </c>
      <c r="I570" s="12" t="s">
        <v>7239</v>
      </c>
      <c r="J570" s="12">
        <v>7424</v>
      </c>
      <c r="K570" s="12" t="s">
        <v>8681</v>
      </c>
      <c r="L570" s="12" t="s">
        <v>6345</v>
      </c>
      <c r="M570" s="13">
        <v>41268</v>
      </c>
      <c r="N570" s="12" t="s">
        <v>8682</v>
      </c>
      <c r="O570" s="12" t="s">
        <v>8683</v>
      </c>
      <c r="P570" s="12"/>
      <c r="Q570" s="12">
        <v>1</v>
      </c>
    </row>
    <row r="571" spans="1:17" ht="15.75" customHeight="1">
      <c r="A571" s="12">
        <v>335</v>
      </c>
      <c r="B571" s="12">
        <v>381</v>
      </c>
      <c r="C571" s="12">
        <v>5734</v>
      </c>
      <c r="D571" s="12" t="s">
        <v>6047</v>
      </c>
      <c r="E571" s="12" t="s">
        <v>8684</v>
      </c>
      <c r="F571" s="12" t="s">
        <v>8685</v>
      </c>
      <c r="G571" s="12" t="s">
        <v>8686</v>
      </c>
      <c r="H571" s="12" t="s">
        <v>6137</v>
      </c>
      <c r="I571" s="12" t="s">
        <v>8687</v>
      </c>
      <c r="J571" s="12">
        <v>5734</v>
      </c>
      <c r="K571" s="12" t="s">
        <v>8338</v>
      </c>
      <c r="L571" s="12" t="s">
        <v>6732</v>
      </c>
      <c r="M571" s="13">
        <v>44726</v>
      </c>
      <c r="N571" s="12" t="s">
        <v>8339</v>
      </c>
      <c r="O571" s="12" t="s">
        <v>8340</v>
      </c>
      <c r="P571" s="12"/>
      <c r="Q571" s="12">
        <v>1</v>
      </c>
    </row>
    <row r="572" spans="1:17" ht="15.75" customHeight="1">
      <c r="A572" s="12">
        <v>1631</v>
      </c>
      <c r="B572" s="12">
        <v>876</v>
      </c>
      <c r="C572" s="12">
        <v>11400</v>
      </c>
      <c r="D572" s="12" t="s">
        <v>6047</v>
      </c>
      <c r="E572" s="12" t="s">
        <v>8688</v>
      </c>
      <c r="F572" s="12" t="s">
        <v>8689</v>
      </c>
      <c r="G572" s="12" t="s">
        <v>8690</v>
      </c>
      <c r="H572" s="12" t="s">
        <v>6060</v>
      </c>
      <c r="I572" s="12" t="s">
        <v>6061</v>
      </c>
      <c r="J572" s="12">
        <v>11400</v>
      </c>
      <c r="K572" s="12" t="s">
        <v>6789</v>
      </c>
      <c r="L572" s="12" t="s">
        <v>6240</v>
      </c>
      <c r="M572" s="13">
        <v>41321</v>
      </c>
      <c r="N572" s="12" t="s">
        <v>6790</v>
      </c>
      <c r="O572" s="12" t="s">
        <v>6791</v>
      </c>
      <c r="P572" s="12"/>
      <c r="Q572" s="12">
        <v>1</v>
      </c>
    </row>
    <row r="573" spans="1:17" ht="15.75" customHeight="1">
      <c r="A573" s="12">
        <v>180</v>
      </c>
      <c r="B573" s="12">
        <v>2026</v>
      </c>
      <c r="C573" s="12">
        <v>35731</v>
      </c>
      <c r="D573" s="12" t="s">
        <v>6047</v>
      </c>
      <c r="E573" s="12" t="s">
        <v>8691</v>
      </c>
      <c r="F573" s="12" t="s">
        <v>8692</v>
      </c>
      <c r="G573" s="12" t="s">
        <v>8693</v>
      </c>
      <c r="H573" s="12" t="s">
        <v>6051</v>
      </c>
      <c r="I573" s="12" t="s">
        <v>6700</v>
      </c>
      <c r="J573" s="12">
        <v>35731</v>
      </c>
      <c r="K573" s="12" t="s">
        <v>8503</v>
      </c>
      <c r="L573" s="12" t="s">
        <v>6709</v>
      </c>
      <c r="M573" s="13">
        <v>45752</v>
      </c>
      <c r="N573" s="12" t="s">
        <v>8504</v>
      </c>
      <c r="O573" s="12" t="s">
        <v>8694</v>
      </c>
      <c r="P573" s="12"/>
      <c r="Q573" s="12">
        <v>1</v>
      </c>
    </row>
    <row r="574" spans="1:17" ht="15.75" customHeight="1">
      <c r="A574" s="12">
        <v>387</v>
      </c>
      <c r="B574" s="12">
        <v>1010</v>
      </c>
      <c r="C574" s="12">
        <v>14029</v>
      </c>
      <c r="D574" s="12" t="s">
        <v>6047</v>
      </c>
      <c r="E574" s="12" t="s">
        <v>8695</v>
      </c>
      <c r="F574" s="12" t="s">
        <v>8696</v>
      </c>
      <c r="G574" s="12" t="s">
        <v>8697</v>
      </c>
      <c r="H574" s="12" t="s">
        <v>6051</v>
      </c>
      <c r="I574" s="12" t="s">
        <v>6741</v>
      </c>
      <c r="J574" s="12">
        <v>14029</v>
      </c>
      <c r="K574" s="12" t="s">
        <v>8698</v>
      </c>
      <c r="L574" s="12" t="s">
        <v>7311</v>
      </c>
      <c r="M574" s="13">
        <v>44717</v>
      </c>
      <c r="N574" s="12" t="s">
        <v>8699</v>
      </c>
      <c r="O574" s="12" t="s">
        <v>8700</v>
      </c>
      <c r="P574" s="12"/>
      <c r="Q574" s="12">
        <v>1</v>
      </c>
    </row>
    <row r="575" spans="1:17" ht="15.75" customHeight="1">
      <c r="A575" s="12">
        <v>1593</v>
      </c>
      <c r="B575" s="12">
        <v>458</v>
      </c>
      <c r="C575" s="12">
        <v>6192</v>
      </c>
      <c r="D575" s="12" t="s">
        <v>6047</v>
      </c>
      <c r="E575" s="12" t="s">
        <v>8701</v>
      </c>
      <c r="F575" s="12" t="s">
        <v>8702</v>
      </c>
      <c r="G575" s="12" t="s">
        <v>8703</v>
      </c>
      <c r="H575" s="12" t="s">
        <v>6137</v>
      </c>
      <c r="I575" s="12" t="s">
        <v>6391</v>
      </c>
      <c r="J575" s="12">
        <v>6192</v>
      </c>
      <c r="K575" s="12" t="s">
        <v>6300</v>
      </c>
      <c r="L575" s="12" t="s">
        <v>6240</v>
      </c>
      <c r="M575" s="13">
        <v>41397</v>
      </c>
      <c r="N575" s="12" t="s">
        <v>6301</v>
      </c>
      <c r="O575" s="12" t="s">
        <v>7449</v>
      </c>
      <c r="P575" s="12"/>
      <c r="Q575" s="12">
        <v>1</v>
      </c>
    </row>
    <row r="576" spans="1:17" ht="15.75" customHeight="1">
      <c r="A576" s="12">
        <v>1705</v>
      </c>
      <c r="B576" s="12">
        <v>1005</v>
      </c>
      <c r="C576" s="12">
        <v>13906</v>
      </c>
      <c r="D576" s="12" t="s">
        <v>6047</v>
      </c>
      <c r="E576" s="12" t="s">
        <v>8704</v>
      </c>
      <c r="F576" s="12" t="s">
        <v>8705</v>
      </c>
      <c r="G576" s="12" t="s">
        <v>8706</v>
      </c>
      <c r="H576" s="12" t="s">
        <v>6051</v>
      </c>
      <c r="I576" s="12" t="s">
        <v>6741</v>
      </c>
      <c r="J576" s="12">
        <v>13906</v>
      </c>
      <c r="K576" s="12" t="s">
        <v>8598</v>
      </c>
      <c r="L576" s="12" t="s">
        <v>7333</v>
      </c>
      <c r="M576" s="13">
        <v>40878</v>
      </c>
      <c r="N576" s="12" t="s">
        <v>8599</v>
      </c>
      <c r="O576" s="12" t="s">
        <v>8600</v>
      </c>
      <c r="P576" s="12"/>
      <c r="Q576" s="12">
        <v>1</v>
      </c>
    </row>
    <row r="577" spans="1:17" ht="15.75" customHeight="1">
      <c r="A577" s="12">
        <v>551</v>
      </c>
      <c r="B577" s="12">
        <v>1761</v>
      </c>
      <c r="C577" s="12">
        <v>32901</v>
      </c>
      <c r="D577" s="12" t="s">
        <v>6047</v>
      </c>
      <c r="E577" s="12" t="s">
        <v>8707</v>
      </c>
      <c r="F577" s="12" t="s">
        <v>8708</v>
      </c>
      <c r="G577" s="12" t="s">
        <v>8709</v>
      </c>
      <c r="H577" s="12" t="s">
        <v>6051</v>
      </c>
      <c r="I577" s="12" t="s">
        <v>6374</v>
      </c>
      <c r="J577" s="12">
        <v>32901</v>
      </c>
      <c r="K577" s="12" t="s">
        <v>8710</v>
      </c>
      <c r="L577" s="12" t="s">
        <v>6408</v>
      </c>
      <c r="M577" s="13">
        <v>43563</v>
      </c>
      <c r="N577" s="12" t="s">
        <v>8711</v>
      </c>
      <c r="O577" s="12" t="s">
        <v>8712</v>
      </c>
      <c r="P577" s="12"/>
      <c r="Q577" s="12">
        <v>1</v>
      </c>
    </row>
    <row r="578" spans="1:17" ht="15.75" customHeight="1">
      <c r="A578" s="12">
        <v>1453</v>
      </c>
      <c r="B578" s="12">
        <v>1454</v>
      </c>
      <c r="C578" s="12">
        <v>22371</v>
      </c>
      <c r="D578" s="12" t="s">
        <v>6047</v>
      </c>
      <c r="E578" s="12" t="s">
        <v>8713</v>
      </c>
      <c r="F578" s="12" t="s">
        <v>8714</v>
      </c>
      <c r="G578" s="12" t="s">
        <v>8715</v>
      </c>
      <c r="H578" s="12" t="s">
        <v>6051</v>
      </c>
      <c r="I578" s="12" t="s">
        <v>8716</v>
      </c>
      <c r="J578" s="12">
        <v>22371</v>
      </c>
      <c r="K578" s="12" t="s">
        <v>6069</v>
      </c>
      <c r="L578" s="12" t="s">
        <v>6070</v>
      </c>
      <c r="M578" s="13">
        <v>41907</v>
      </c>
      <c r="N578" s="12" t="s">
        <v>6071</v>
      </c>
      <c r="O578" s="12" t="s">
        <v>6072</v>
      </c>
      <c r="P578" s="12"/>
      <c r="Q578" s="12">
        <v>1</v>
      </c>
    </row>
    <row r="579" spans="1:17" ht="15.75" customHeight="1">
      <c r="A579" s="12">
        <v>891</v>
      </c>
      <c r="B579" s="12">
        <v>361</v>
      </c>
      <c r="C579" s="12">
        <v>5478</v>
      </c>
      <c r="D579" s="12" t="s">
        <v>6047</v>
      </c>
      <c r="E579" s="12" t="s">
        <v>8717</v>
      </c>
      <c r="F579" s="12" t="s">
        <v>8718</v>
      </c>
      <c r="G579" s="12" t="s">
        <v>8719</v>
      </c>
      <c r="H579" s="12" t="s">
        <v>6213</v>
      </c>
      <c r="I579" s="12" t="s">
        <v>6214</v>
      </c>
      <c r="J579" s="12">
        <v>5478</v>
      </c>
      <c r="K579" s="12" t="s">
        <v>6569</v>
      </c>
      <c r="L579" s="12" t="s">
        <v>6564</v>
      </c>
      <c r="M579" s="13">
        <v>43015</v>
      </c>
      <c r="N579" s="12" t="s">
        <v>6570</v>
      </c>
      <c r="O579" s="12" t="s">
        <v>6623</v>
      </c>
      <c r="P579" s="12"/>
      <c r="Q579" s="12">
        <v>1</v>
      </c>
    </row>
    <row r="580" spans="1:17" ht="15.75" customHeight="1">
      <c r="A580" s="12">
        <v>1222</v>
      </c>
      <c r="B580" s="12">
        <v>1106</v>
      </c>
      <c r="C580" s="12">
        <v>15938</v>
      </c>
      <c r="D580" s="12" t="s">
        <v>6047</v>
      </c>
      <c r="E580" s="12" t="s">
        <v>8720</v>
      </c>
      <c r="F580" s="12" t="s">
        <v>8721</v>
      </c>
      <c r="G580" s="12" t="s">
        <v>8722</v>
      </c>
      <c r="H580" s="12" t="s">
        <v>6051</v>
      </c>
      <c r="I580" s="12" t="s">
        <v>6406</v>
      </c>
      <c r="J580" s="12">
        <v>15938</v>
      </c>
      <c r="K580" s="12" t="s">
        <v>6429</v>
      </c>
      <c r="L580" s="12" t="s">
        <v>6423</v>
      </c>
      <c r="M580" s="13">
        <v>41991</v>
      </c>
      <c r="N580" s="12" t="s">
        <v>6430</v>
      </c>
      <c r="O580" s="12" t="s">
        <v>6431</v>
      </c>
      <c r="P580" s="12"/>
      <c r="Q580" s="12">
        <v>1</v>
      </c>
    </row>
    <row r="581" spans="1:17" ht="15.75" customHeight="1">
      <c r="A581" s="12">
        <v>14</v>
      </c>
      <c r="B581" s="12">
        <v>1442</v>
      </c>
      <c r="C581" s="12">
        <v>21831</v>
      </c>
      <c r="D581" s="12" t="s">
        <v>6047</v>
      </c>
      <c r="E581" s="12" t="s">
        <v>8723</v>
      </c>
      <c r="F581" s="12" t="s">
        <v>8724</v>
      </c>
      <c r="G581" s="12" t="s">
        <v>8725</v>
      </c>
      <c r="H581" s="12" t="s">
        <v>6051</v>
      </c>
      <c r="I581" s="12" t="s">
        <v>8726</v>
      </c>
      <c r="J581" s="12">
        <v>21831</v>
      </c>
      <c r="K581" s="12" t="s">
        <v>8727</v>
      </c>
      <c r="L581" s="12" t="s">
        <v>6905</v>
      </c>
      <c r="M581" s="13">
        <v>45980</v>
      </c>
      <c r="N581" s="12" t="s">
        <v>8728</v>
      </c>
      <c r="O581" s="12" t="s">
        <v>8729</v>
      </c>
      <c r="P581" s="12"/>
      <c r="Q581" s="12">
        <v>1</v>
      </c>
    </row>
    <row r="582" spans="1:17" ht="15.75" customHeight="1">
      <c r="A582" s="12">
        <v>76</v>
      </c>
      <c r="B582" s="12">
        <v>1354</v>
      </c>
      <c r="C582" s="12">
        <v>19761</v>
      </c>
      <c r="D582" s="12" t="s">
        <v>6047</v>
      </c>
      <c r="E582" s="12" t="s">
        <v>1632</v>
      </c>
      <c r="F582" s="12" t="s">
        <v>8730</v>
      </c>
      <c r="G582" s="12" t="s">
        <v>8731</v>
      </c>
      <c r="H582" s="12" t="s">
        <v>6051</v>
      </c>
      <c r="I582" s="12" t="s">
        <v>6635</v>
      </c>
      <c r="J582" s="12">
        <v>19761</v>
      </c>
      <c r="K582" s="12" t="s">
        <v>8732</v>
      </c>
      <c r="L582" s="12" t="s">
        <v>6564</v>
      </c>
      <c r="M582" s="13">
        <v>45971</v>
      </c>
      <c r="N582" s="12" t="s">
        <v>8733</v>
      </c>
      <c r="O582" s="12" t="s">
        <v>8734</v>
      </c>
      <c r="P582" s="12"/>
      <c r="Q582" s="12">
        <v>1</v>
      </c>
    </row>
    <row r="583" spans="1:17" ht="15.75" customHeight="1">
      <c r="A583" s="12">
        <v>935</v>
      </c>
      <c r="B583" s="12">
        <v>831</v>
      </c>
      <c r="C583" s="12">
        <v>10493</v>
      </c>
      <c r="D583" s="12" t="s">
        <v>6047</v>
      </c>
      <c r="E583" s="12" t="s">
        <v>8735</v>
      </c>
      <c r="F583" s="12" t="s">
        <v>8736</v>
      </c>
      <c r="G583" s="12" t="s">
        <v>8737</v>
      </c>
      <c r="H583" s="12" t="s">
        <v>6060</v>
      </c>
      <c r="I583" s="12" t="s">
        <v>8738</v>
      </c>
      <c r="J583" s="12">
        <v>10493</v>
      </c>
      <c r="K583" s="12" t="s">
        <v>6752</v>
      </c>
      <c r="L583" s="12" t="s">
        <v>6753</v>
      </c>
      <c r="M583" s="13">
        <v>42828</v>
      </c>
      <c r="N583" s="12" t="s">
        <v>6754</v>
      </c>
      <c r="O583" s="12" t="s">
        <v>6891</v>
      </c>
      <c r="P583" s="12"/>
      <c r="Q583" s="12">
        <v>1</v>
      </c>
    </row>
    <row r="584" spans="1:17" ht="15.75" customHeight="1">
      <c r="A584" s="12">
        <v>1809</v>
      </c>
      <c r="B584" s="12">
        <v>1213</v>
      </c>
      <c r="C584" s="12">
        <v>17284</v>
      </c>
      <c r="D584" s="12" t="s">
        <v>6047</v>
      </c>
      <c r="E584" s="12" t="s">
        <v>8739</v>
      </c>
      <c r="F584" s="12" t="s">
        <v>8740</v>
      </c>
      <c r="G584" s="12" t="s">
        <v>8741</v>
      </c>
      <c r="H584" s="12" t="s">
        <v>6051</v>
      </c>
      <c r="I584" s="12" t="s">
        <v>6052</v>
      </c>
      <c r="J584" s="12">
        <v>17284</v>
      </c>
      <c r="K584" s="12" t="s">
        <v>6062</v>
      </c>
      <c r="L584" s="12" t="s">
        <v>6063</v>
      </c>
      <c r="M584" s="13">
        <v>40873</v>
      </c>
      <c r="N584" s="12" t="s">
        <v>6064</v>
      </c>
      <c r="O584" s="12" t="s">
        <v>6065</v>
      </c>
      <c r="P584" s="12"/>
      <c r="Q584" s="12">
        <v>1</v>
      </c>
    </row>
    <row r="585" spans="1:17" ht="15.75" customHeight="1">
      <c r="A585" s="12">
        <v>2022</v>
      </c>
      <c r="B585" s="12">
        <v>1910</v>
      </c>
      <c r="C585" s="12">
        <v>34400</v>
      </c>
      <c r="D585" s="12" t="s">
        <v>6047</v>
      </c>
      <c r="E585" s="12" t="s">
        <v>8742</v>
      </c>
      <c r="F585" s="12" t="s">
        <v>8743</v>
      </c>
      <c r="G585" s="12" t="s">
        <v>8744</v>
      </c>
      <c r="H585" s="12" t="s">
        <v>6051</v>
      </c>
      <c r="I585" s="12" t="s">
        <v>8745</v>
      </c>
      <c r="J585" s="12">
        <v>34400</v>
      </c>
      <c r="K585" s="12" t="s">
        <v>7483</v>
      </c>
      <c r="L585" s="12" t="s">
        <v>7484</v>
      </c>
      <c r="M585" s="13">
        <v>38178</v>
      </c>
      <c r="N585" s="12" t="s">
        <v>7485</v>
      </c>
      <c r="O585" s="12" t="s">
        <v>7486</v>
      </c>
      <c r="P585" s="12"/>
      <c r="Q585" s="12">
        <v>1</v>
      </c>
    </row>
    <row r="586" spans="1:17" ht="15.75" customHeight="1">
      <c r="A586" s="12">
        <v>1305</v>
      </c>
      <c r="B586" s="12">
        <v>158</v>
      </c>
      <c r="C586" s="12">
        <v>2400</v>
      </c>
      <c r="D586" s="12" t="s">
        <v>6047</v>
      </c>
      <c r="E586" s="12" t="s">
        <v>8746</v>
      </c>
      <c r="F586" s="12" t="s">
        <v>8747</v>
      </c>
      <c r="G586" s="12" t="s">
        <v>8748</v>
      </c>
      <c r="H586" s="12" t="s">
        <v>6127</v>
      </c>
      <c r="I586" s="12" t="s">
        <v>6128</v>
      </c>
      <c r="J586" s="12">
        <v>2400</v>
      </c>
      <c r="K586" s="12" t="s">
        <v>6422</v>
      </c>
      <c r="L586" s="12" t="s">
        <v>6423</v>
      </c>
      <c r="M586" s="13">
        <v>41989</v>
      </c>
      <c r="N586" s="12" t="s">
        <v>6424</v>
      </c>
      <c r="O586" s="12" t="s">
        <v>6425</v>
      </c>
      <c r="P586" s="12"/>
      <c r="Q586" s="12">
        <v>1</v>
      </c>
    </row>
    <row r="587" spans="1:17" ht="15.75" customHeight="1">
      <c r="A587" s="12">
        <v>1544</v>
      </c>
      <c r="B587" s="12">
        <v>526</v>
      </c>
      <c r="C587" s="12">
        <v>6876</v>
      </c>
      <c r="D587" s="12" t="s">
        <v>6047</v>
      </c>
      <c r="E587" s="12" t="s">
        <v>1646</v>
      </c>
      <c r="F587" s="12" t="s">
        <v>8749</v>
      </c>
      <c r="G587" s="12" t="s">
        <v>8750</v>
      </c>
      <c r="H587" s="12" t="s">
        <v>6582</v>
      </c>
      <c r="I587" s="12" t="s">
        <v>6583</v>
      </c>
      <c r="J587" s="12">
        <v>6876</v>
      </c>
      <c r="K587" s="12" t="s">
        <v>7914</v>
      </c>
      <c r="L587" s="12" t="s">
        <v>6255</v>
      </c>
      <c r="M587" s="13">
        <v>41564</v>
      </c>
      <c r="N587" s="12" t="s">
        <v>7915</v>
      </c>
      <c r="O587" s="12" t="s">
        <v>8751</v>
      </c>
      <c r="P587" s="12"/>
      <c r="Q587" s="12">
        <v>1</v>
      </c>
    </row>
    <row r="588" spans="1:17" ht="15.75" customHeight="1">
      <c r="A588" s="12">
        <v>1659</v>
      </c>
      <c r="B588" s="12">
        <v>1597</v>
      </c>
      <c r="C588" s="12">
        <v>28126</v>
      </c>
      <c r="D588" s="12" t="s">
        <v>6047</v>
      </c>
      <c r="E588" s="12" t="s">
        <v>8752</v>
      </c>
      <c r="F588" s="12" t="s">
        <v>8753</v>
      </c>
      <c r="G588" s="12" t="s">
        <v>8754</v>
      </c>
      <c r="H588" s="12" t="s">
        <v>6051</v>
      </c>
      <c r="I588" s="12" t="s">
        <v>6366</v>
      </c>
      <c r="J588" s="12">
        <v>28126</v>
      </c>
      <c r="K588" s="12" t="s">
        <v>6329</v>
      </c>
      <c r="L588" s="12" t="s">
        <v>6240</v>
      </c>
      <c r="M588" s="13">
        <v>41079</v>
      </c>
      <c r="N588" s="12" t="s">
        <v>6330</v>
      </c>
      <c r="O588" s="12" t="s">
        <v>6331</v>
      </c>
      <c r="P588" s="12"/>
      <c r="Q588" s="12">
        <v>1</v>
      </c>
    </row>
    <row r="589" spans="1:17" ht="15.75" customHeight="1">
      <c r="A589" s="12">
        <v>840</v>
      </c>
      <c r="B589" s="12">
        <v>617</v>
      </c>
      <c r="C589" s="12">
        <v>7726</v>
      </c>
      <c r="D589" s="12" t="s">
        <v>6047</v>
      </c>
      <c r="E589" s="12" t="s">
        <v>8755</v>
      </c>
      <c r="F589" s="12" t="s">
        <v>8756</v>
      </c>
      <c r="G589" s="12" t="s">
        <v>8757</v>
      </c>
      <c r="H589" s="12" t="s">
        <v>6187</v>
      </c>
      <c r="I589" s="12" t="s">
        <v>6224</v>
      </c>
      <c r="J589" s="12">
        <v>7726</v>
      </c>
      <c r="K589" s="12" t="s">
        <v>8758</v>
      </c>
      <c r="L589" s="12" t="s">
        <v>6564</v>
      </c>
      <c r="M589" s="13">
        <v>43021</v>
      </c>
      <c r="N589" s="12" t="s">
        <v>8759</v>
      </c>
      <c r="O589" s="12" t="s">
        <v>8760</v>
      </c>
      <c r="P589" s="12"/>
      <c r="Q589" s="12">
        <v>1</v>
      </c>
    </row>
    <row r="590" spans="1:17" ht="15.75" customHeight="1">
      <c r="A590" s="12">
        <v>1614</v>
      </c>
      <c r="B590" s="12">
        <v>1235</v>
      </c>
      <c r="C590" s="12">
        <v>17472</v>
      </c>
      <c r="D590" s="12" t="s">
        <v>6047</v>
      </c>
      <c r="E590" s="12" t="s">
        <v>1652</v>
      </c>
      <c r="F590" s="12" t="s">
        <v>8761</v>
      </c>
      <c r="G590" s="12" t="s">
        <v>8762</v>
      </c>
      <c r="H590" s="12" t="s">
        <v>6051</v>
      </c>
      <c r="I590" s="12" t="s">
        <v>6052</v>
      </c>
      <c r="J590" s="12">
        <v>17472</v>
      </c>
      <c r="K590" s="12" t="s">
        <v>6300</v>
      </c>
      <c r="L590" s="12" t="s">
        <v>6240</v>
      </c>
      <c r="M590" s="13">
        <v>41396</v>
      </c>
      <c r="N590" s="12" t="s">
        <v>6301</v>
      </c>
      <c r="O590" s="12" t="s">
        <v>6302</v>
      </c>
      <c r="P590" s="12"/>
      <c r="Q590" s="12">
        <v>1</v>
      </c>
    </row>
    <row r="591" spans="1:17" ht="15.75" customHeight="1">
      <c r="A591" s="12">
        <v>1521</v>
      </c>
      <c r="B591" s="12">
        <v>1813</v>
      </c>
      <c r="C591" s="12">
        <v>33568</v>
      </c>
      <c r="D591" s="12" t="s">
        <v>6047</v>
      </c>
      <c r="E591" s="12" t="s">
        <v>8763</v>
      </c>
      <c r="F591" s="12" t="s">
        <v>8764</v>
      </c>
      <c r="G591" s="12" t="s">
        <v>8765</v>
      </c>
      <c r="H591" s="12" t="s">
        <v>6051</v>
      </c>
      <c r="I591" s="12" t="s">
        <v>6261</v>
      </c>
      <c r="J591" s="12">
        <v>33568</v>
      </c>
      <c r="K591" s="12" t="s">
        <v>8766</v>
      </c>
      <c r="L591" s="12" t="s">
        <v>6240</v>
      </c>
      <c r="M591" s="13">
        <v>41741</v>
      </c>
      <c r="N591" s="12" t="s">
        <v>8767</v>
      </c>
      <c r="O591" s="12" t="s">
        <v>8768</v>
      </c>
      <c r="P591" s="12"/>
      <c r="Q591" s="12">
        <v>1</v>
      </c>
    </row>
    <row r="592" spans="1:17" ht="15.75" customHeight="1">
      <c r="A592" s="12">
        <v>1615</v>
      </c>
      <c r="B592" s="12">
        <v>1193</v>
      </c>
      <c r="C592" s="12">
        <v>17007</v>
      </c>
      <c r="D592" s="12" t="s">
        <v>6047</v>
      </c>
      <c r="E592" s="12" t="s">
        <v>8769</v>
      </c>
      <c r="F592" s="12" t="s">
        <v>8770</v>
      </c>
      <c r="G592" s="12" t="s">
        <v>8771</v>
      </c>
      <c r="H592" s="12" t="s">
        <v>6051</v>
      </c>
      <c r="I592" s="12" t="s">
        <v>6052</v>
      </c>
      <c r="J592" s="12">
        <v>17007</v>
      </c>
      <c r="K592" s="12" t="s">
        <v>6300</v>
      </c>
      <c r="L592" s="12" t="s">
        <v>6240</v>
      </c>
      <c r="M592" s="13">
        <v>41396</v>
      </c>
      <c r="N592" s="12" t="s">
        <v>6301</v>
      </c>
      <c r="O592" s="12" t="s">
        <v>6302</v>
      </c>
      <c r="P592" s="12"/>
      <c r="Q592" s="12">
        <v>1</v>
      </c>
    </row>
    <row r="593" spans="1:17" ht="15.75" customHeight="1">
      <c r="A593" s="12">
        <v>839</v>
      </c>
      <c r="B593" s="12">
        <v>935</v>
      </c>
      <c r="C593" s="12">
        <v>12492</v>
      </c>
      <c r="D593" s="12" t="s">
        <v>6047</v>
      </c>
      <c r="E593" s="12" t="s">
        <v>8772</v>
      </c>
      <c r="F593" s="12" t="s">
        <v>8773</v>
      </c>
      <c r="G593" s="12" t="s">
        <v>8774</v>
      </c>
      <c r="H593" s="12" t="s">
        <v>6627</v>
      </c>
      <c r="I593" s="12" t="s">
        <v>6628</v>
      </c>
      <c r="J593" s="12">
        <v>12492</v>
      </c>
      <c r="K593" s="12" t="s">
        <v>8758</v>
      </c>
      <c r="L593" s="12" t="s">
        <v>6564</v>
      </c>
      <c r="M593" s="13">
        <v>43021</v>
      </c>
      <c r="N593" s="12" t="s">
        <v>8759</v>
      </c>
      <c r="O593" s="12" t="s">
        <v>8760</v>
      </c>
      <c r="P593" s="12"/>
      <c r="Q593" s="12">
        <v>1</v>
      </c>
    </row>
    <row r="594" spans="1:17" ht="15.75" customHeight="1">
      <c r="A594" s="12">
        <v>1153</v>
      </c>
      <c r="B594" s="12">
        <v>729</v>
      </c>
      <c r="C594" s="12">
        <v>8866</v>
      </c>
      <c r="D594" s="12" t="s">
        <v>6047</v>
      </c>
      <c r="E594" s="12" t="s">
        <v>8775</v>
      </c>
      <c r="F594" s="12" t="s">
        <v>8776</v>
      </c>
      <c r="G594" s="12" t="s">
        <v>8777</v>
      </c>
      <c r="H594" s="12" t="s">
        <v>6275</v>
      </c>
      <c r="I594" s="12" t="s">
        <v>6453</v>
      </c>
      <c r="J594" s="12">
        <v>8866</v>
      </c>
      <c r="K594" s="12" t="s">
        <v>8208</v>
      </c>
      <c r="L594" s="12" t="s">
        <v>6393</v>
      </c>
      <c r="M594" s="13">
        <v>42136</v>
      </c>
      <c r="N594" s="12" t="s">
        <v>8209</v>
      </c>
      <c r="O594" s="12" t="s">
        <v>8778</v>
      </c>
      <c r="P594" s="12"/>
      <c r="Q594" s="12">
        <v>1</v>
      </c>
    </row>
    <row r="595" spans="1:17" ht="15.75" customHeight="1">
      <c r="A595" s="12">
        <v>68</v>
      </c>
      <c r="B595" s="12">
        <v>1321</v>
      </c>
      <c r="C595" s="12">
        <v>19002</v>
      </c>
      <c r="D595" s="12" t="s">
        <v>6047</v>
      </c>
      <c r="E595" s="12" t="s">
        <v>1695</v>
      </c>
      <c r="F595" s="12" t="s">
        <v>8779</v>
      </c>
      <c r="G595" s="12" t="s">
        <v>8780</v>
      </c>
      <c r="H595" s="12" t="s">
        <v>6051</v>
      </c>
      <c r="I595" s="12" t="s">
        <v>8781</v>
      </c>
      <c r="J595" s="12">
        <v>19002</v>
      </c>
      <c r="K595" s="12" t="s">
        <v>8782</v>
      </c>
      <c r="L595" s="12" t="s">
        <v>6564</v>
      </c>
      <c r="M595" s="13">
        <v>45971</v>
      </c>
      <c r="N595" s="12" t="s">
        <v>8783</v>
      </c>
      <c r="O595" s="12" t="s">
        <v>8784</v>
      </c>
      <c r="P595" s="12"/>
      <c r="Q595" s="12">
        <v>1</v>
      </c>
    </row>
    <row r="596" spans="1:17" ht="15.75" customHeight="1">
      <c r="A596" s="12">
        <v>870</v>
      </c>
      <c r="B596" s="12">
        <v>1252</v>
      </c>
      <c r="C596" s="12">
        <v>17706</v>
      </c>
      <c r="D596" s="12" t="s">
        <v>6047</v>
      </c>
      <c r="E596" s="12" t="s">
        <v>8785</v>
      </c>
      <c r="F596" s="12" t="s">
        <v>8786</v>
      </c>
      <c r="G596" s="12" t="s">
        <v>8787</v>
      </c>
      <c r="H596" s="12" t="s">
        <v>6051</v>
      </c>
      <c r="I596" s="12" t="s">
        <v>6857</v>
      </c>
      <c r="J596" s="12">
        <v>17706</v>
      </c>
      <c r="K596" s="12" t="s">
        <v>6606</v>
      </c>
      <c r="L596" s="12" t="s">
        <v>6564</v>
      </c>
      <c r="M596" s="13">
        <v>43017</v>
      </c>
      <c r="N596" s="12" t="s">
        <v>6607</v>
      </c>
      <c r="O596" s="12" t="s">
        <v>6608</v>
      </c>
      <c r="P596" s="12"/>
      <c r="Q596" s="12">
        <v>1</v>
      </c>
    </row>
    <row r="597" spans="1:17" ht="15.75" customHeight="1">
      <c r="A597" s="12">
        <v>1592</v>
      </c>
      <c r="B597" s="12">
        <v>1798</v>
      </c>
      <c r="C597" s="12">
        <v>33415</v>
      </c>
      <c r="D597" s="12" t="s">
        <v>6047</v>
      </c>
      <c r="E597" s="12" t="s">
        <v>8788</v>
      </c>
      <c r="F597" s="12" t="s">
        <v>8789</v>
      </c>
      <c r="G597" s="12" t="s">
        <v>8790</v>
      </c>
      <c r="H597" s="12" t="s">
        <v>6051</v>
      </c>
      <c r="I597" s="12" t="s">
        <v>6374</v>
      </c>
      <c r="J597" s="12">
        <v>33415</v>
      </c>
      <c r="K597" s="12" t="s">
        <v>6300</v>
      </c>
      <c r="L597" s="12" t="s">
        <v>6240</v>
      </c>
      <c r="M597" s="13">
        <v>41397</v>
      </c>
      <c r="N597" s="12" t="s">
        <v>6301</v>
      </c>
      <c r="O597" s="12" t="s">
        <v>7449</v>
      </c>
      <c r="P597" s="12"/>
      <c r="Q597" s="12">
        <v>1</v>
      </c>
    </row>
    <row r="598" spans="1:17" ht="15.75" customHeight="1">
      <c r="A598" s="12">
        <v>1612</v>
      </c>
      <c r="B598" s="12">
        <v>1338</v>
      </c>
      <c r="C598" s="12">
        <v>19245</v>
      </c>
      <c r="D598" s="12" t="s">
        <v>6047</v>
      </c>
      <c r="E598" s="12" t="s">
        <v>1703</v>
      </c>
      <c r="F598" s="12" t="s">
        <v>8791</v>
      </c>
      <c r="G598" s="12" t="s">
        <v>8792</v>
      </c>
      <c r="H598" s="12" t="s">
        <v>6051</v>
      </c>
      <c r="I598" s="12" t="s">
        <v>7090</v>
      </c>
      <c r="J598" s="12">
        <v>19245</v>
      </c>
      <c r="K598" s="12" t="s">
        <v>6300</v>
      </c>
      <c r="L598" s="12" t="s">
        <v>6240</v>
      </c>
      <c r="M598" s="13">
        <v>41396</v>
      </c>
      <c r="N598" s="12" t="s">
        <v>6301</v>
      </c>
      <c r="O598" s="12" t="s">
        <v>6302</v>
      </c>
      <c r="P598" s="12"/>
      <c r="Q598" s="12">
        <v>1</v>
      </c>
    </row>
    <row r="599" spans="1:17" ht="15.75" customHeight="1">
      <c r="A599" s="12">
        <v>687</v>
      </c>
      <c r="B599" s="12">
        <v>211</v>
      </c>
      <c r="C599" s="12">
        <v>3614</v>
      </c>
      <c r="D599" s="12" t="s">
        <v>6047</v>
      </c>
      <c r="E599" s="12" t="s">
        <v>8793</v>
      </c>
      <c r="F599" s="12" t="s">
        <v>8794</v>
      </c>
      <c r="G599" s="12" t="s">
        <v>8795</v>
      </c>
      <c r="H599" s="12" t="s">
        <v>6718</v>
      </c>
      <c r="I599" s="12" t="s">
        <v>6719</v>
      </c>
      <c r="J599" s="12">
        <v>3614</v>
      </c>
      <c r="K599" s="12" t="s">
        <v>8796</v>
      </c>
      <c r="L599" s="12" t="s">
        <v>6240</v>
      </c>
      <c r="M599" s="13">
        <v>43229</v>
      </c>
      <c r="N599" s="12" t="s">
        <v>8797</v>
      </c>
      <c r="O599" s="12" t="s">
        <v>8798</v>
      </c>
      <c r="P599" s="12"/>
      <c r="Q599" s="12">
        <v>1</v>
      </c>
    </row>
    <row r="600" spans="1:17" ht="15.75" customHeight="1">
      <c r="A600" s="12">
        <v>1492</v>
      </c>
      <c r="B600" s="12">
        <v>1183</v>
      </c>
      <c r="C600" s="12">
        <v>16924</v>
      </c>
      <c r="D600" s="12" t="s">
        <v>6047</v>
      </c>
      <c r="E600" s="12" t="s">
        <v>8799</v>
      </c>
      <c r="F600" s="12" t="s">
        <v>8800</v>
      </c>
      <c r="G600" s="12" t="s">
        <v>8801</v>
      </c>
      <c r="H600" s="12" t="s">
        <v>6051</v>
      </c>
      <c r="I600" s="12" t="s">
        <v>6052</v>
      </c>
      <c r="J600" s="12">
        <v>16924</v>
      </c>
      <c r="K600" s="12" t="s">
        <v>8388</v>
      </c>
      <c r="L600" s="12" t="s">
        <v>6240</v>
      </c>
      <c r="M600" s="13">
        <v>41883</v>
      </c>
      <c r="N600" s="12" t="s">
        <v>8389</v>
      </c>
      <c r="O600" s="12" t="s">
        <v>8802</v>
      </c>
      <c r="P600" s="12"/>
      <c r="Q600" s="12">
        <v>1</v>
      </c>
    </row>
    <row r="601" spans="1:17" ht="15.75" customHeight="1">
      <c r="A601" s="12">
        <v>834</v>
      </c>
      <c r="B601" s="12">
        <v>1444</v>
      </c>
      <c r="C601" s="12">
        <v>21861</v>
      </c>
      <c r="D601" s="12" t="s">
        <v>6047</v>
      </c>
      <c r="E601" s="12" t="s">
        <v>1728</v>
      </c>
      <c r="F601" s="12" t="s">
        <v>8803</v>
      </c>
      <c r="G601" s="12" t="s">
        <v>8804</v>
      </c>
      <c r="H601" s="12" t="s">
        <v>6051</v>
      </c>
      <c r="I601" s="12" t="s">
        <v>8726</v>
      </c>
      <c r="J601" s="12">
        <v>21861</v>
      </c>
      <c r="K601" s="12" t="s">
        <v>7807</v>
      </c>
      <c r="L601" s="12" t="s">
        <v>6564</v>
      </c>
      <c r="M601" s="13">
        <v>43022</v>
      </c>
      <c r="N601" s="12" t="s">
        <v>7808</v>
      </c>
      <c r="O601" s="12" t="s">
        <v>7809</v>
      </c>
      <c r="P601" s="12"/>
      <c r="Q601" s="12">
        <v>1</v>
      </c>
    </row>
    <row r="602" spans="1:17" ht="15.75" customHeight="1">
      <c r="A602" s="12">
        <v>516</v>
      </c>
      <c r="B602" s="12">
        <v>259</v>
      </c>
      <c r="C602" s="12">
        <v>4487</v>
      </c>
      <c r="D602" s="12" t="s">
        <v>6047</v>
      </c>
      <c r="E602" s="12" t="s">
        <v>8805</v>
      </c>
      <c r="F602" s="12" t="s">
        <v>8806</v>
      </c>
      <c r="G602" s="12" t="s">
        <v>8807</v>
      </c>
      <c r="H602" s="12" t="s">
        <v>6163</v>
      </c>
      <c r="I602" s="12" t="s">
        <v>6253</v>
      </c>
      <c r="J602" s="12">
        <v>4487</v>
      </c>
      <c r="K602" s="12" t="s">
        <v>6416</v>
      </c>
      <c r="L602" s="12" t="s">
        <v>6417</v>
      </c>
      <c r="M602" s="13">
        <v>43567</v>
      </c>
      <c r="N602" s="12" t="s">
        <v>6418</v>
      </c>
      <c r="O602" s="12" t="s">
        <v>6419</v>
      </c>
      <c r="P602" s="12"/>
      <c r="Q602" s="12">
        <v>1</v>
      </c>
    </row>
    <row r="603" spans="1:17" ht="15.75" customHeight="1">
      <c r="A603" s="12">
        <v>552</v>
      </c>
      <c r="B603" s="12">
        <v>1630</v>
      </c>
      <c r="C603" s="12">
        <v>28766</v>
      </c>
      <c r="D603" s="12" t="s">
        <v>6047</v>
      </c>
      <c r="E603" s="12" t="s">
        <v>8808</v>
      </c>
      <c r="F603" s="12" t="s">
        <v>8809</v>
      </c>
      <c r="G603" s="12" t="s">
        <v>8810</v>
      </c>
      <c r="H603" s="12" t="s">
        <v>6051</v>
      </c>
      <c r="I603" s="12" t="s">
        <v>6366</v>
      </c>
      <c r="J603" s="12">
        <v>28766</v>
      </c>
      <c r="K603" s="12" t="s">
        <v>6407</v>
      </c>
      <c r="L603" s="12" t="s">
        <v>6408</v>
      </c>
      <c r="M603" s="13">
        <v>43563</v>
      </c>
      <c r="N603" s="12" t="s">
        <v>6409</v>
      </c>
      <c r="O603" s="12" t="s">
        <v>8811</v>
      </c>
      <c r="P603" s="12"/>
      <c r="Q603" s="12">
        <v>1</v>
      </c>
    </row>
    <row r="604" spans="1:17" ht="15.75" customHeight="1">
      <c r="A604" s="12">
        <v>2018</v>
      </c>
      <c r="B604" s="12">
        <v>23</v>
      </c>
      <c r="C604" s="12">
        <v>417</v>
      </c>
      <c r="D604" s="12" t="s">
        <v>6047</v>
      </c>
      <c r="E604" s="12" t="s">
        <v>1735</v>
      </c>
      <c r="F604" s="12" t="s">
        <v>8812</v>
      </c>
      <c r="G604" s="12" t="s">
        <v>8813</v>
      </c>
      <c r="H604" s="12" t="s">
        <v>6289</v>
      </c>
      <c r="I604" s="12" t="s">
        <v>6290</v>
      </c>
      <c r="J604" s="12">
        <v>417</v>
      </c>
      <c r="K604" s="12" t="s">
        <v>6112</v>
      </c>
      <c r="L604" s="12" t="s">
        <v>6113</v>
      </c>
      <c r="M604" s="13">
        <v>38573</v>
      </c>
      <c r="N604" s="12" t="s">
        <v>6114</v>
      </c>
      <c r="O604" s="12" t="s">
        <v>6115</v>
      </c>
      <c r="P604" s="12"/>
      <c r="Q604" s="12">
        <v>1</v>
      </c>
    </row>
    <row r="605" spans="1:17" ht="15.75" customHeight="1">
      <c r="A605" s="12">
        <v>310</v>
      </c>
      <c r="B605" s="12">
        <v>1716</v>
      </c>
      <c r="C605" s="12">
        <v>31977</v>
      </c>
      <c r="D605" s="12" t="s">
        <v>6047</v>
      </c>
      <c r="E605" s="12" t="s">
        <v>8814</v>
      </c>
      <c r="F605" s="12" t="s">
        <v>8815</v>
      </c>
      <c r="G605" s="12" t="s">
        <v>8816</v>
      </c>
      <c r="H605" s="12" t="s">
        <v>6051</v>
      </c>
      <c r="I605" s="12" t="s">
        <v>6232</v>
      </c>
      <c r="J605" s="12">
        <v>31977</v>
      </c>
      <c r="K605" s="12" t="s">
        <v>8817</v>
      </c>
      <c r="L605" s="12" t="s">
        <v>6732</v>
      </c>
      <c r="M605" s="13">
        <v>45270</v>
      </c>
      <c r="N605" s="12" t="s">
        <v>8818</v>
      </c>
      <c r="O605" s="12" t="s">
        <v>8819</v>
      </c>
      <c r="P605" s="12"/>
      <c r="Q605" s="12">
        <v>1</v>
      </c>
    </row>
    <row r="606" spans="1:17" ht="15.75" customHeight="1">
      <c r="A606" s="12">
        <v>105</v>
      </c>
      <c r="B606" s="12">
        <v>929</v>
      </c>
      <c r="C606" s="12">
        <v>12439</v>
      </c>
      <c r="D606" s="12" t="s">
        <v>6047</v>
      </c>
      <c r="E606" s="12" t="s">
        <v>1741</v>
      </c>
      <c r="F606" s="12" t="s">
        <v>8820</v>
      </c>
      <c r="G606" s="12" t="s">
        <v>8821</v>
      </c>
      <c r="H606" s="12" t="s">
        <v>6627</v>
      </c>
      <c r="I606" s="12" t="s">
        <v>6628</v>
      </c>
      <c r="J606" s="12">
        <v>12439</v>
      </c>
      <c r="K606" s="12" t="s">
        <v>8822</v>
      </c>
      <c r="L606" s="12" t="s">
        <v>6511</v>
      </c>
      <c r="M606" s="13">
        <v>45967</v>
      </c>
      <c r="N606" s="12" t="s">
        <v>8823</v>
      </c>
      <c r="O606" s="12" t="s">
        <v>8824</v>
      </c>
      <c r="P606" s="12"/>
      <c r="Q606" s="12">
        <v>1</v>
      </c>
    </row>
    <row r="607" spans="1:17" ht="15.75" customHeight="1">
      <c r="A607" s="12">
        <v>498</v>
      </c>
      <c r="B607" s="12">
        <v>1984</v>
      </c>
      <c r="C607" s="12">
        <v>35127</v>
      </c>
      <c r="D607" s="12" t="s">
        <v>6047</v>
      </c>
      <c r="E607" s="12" t="s">
        <v>8825</v>
      </c>
      <c r="F607" s="12" t="s">
        <v>8826</v>
      </c>
      <c r="G607" s="12" t="s">
        <v>8827</v>
      </c>
      <c r="H607" s="12" t="s">
        <v>6051</v>
      </c>
      <c r="I607" s="12" t="s">
        <v>6700</v>
      </c>
      <c r="J607" s="12">
        <v>35127</v>
      </c>
      <c r="K607" s="12" t="s">
        <v>8828</v>
      </c>
      <c r="L607" s="12" t="s">
        <v>6054</v>
      </c>
      <c r="M607" s="13">
        <v>43781</v>
      </c>
      <c r="N607" s="12" t="s">
        <v>8829</v>
      </c>
      <c r="O607" s="12" t="s">
        <v>8830</v>
      </c>
      <c r="P607" s="12"/>
      <c r="Q607" s="12">
        <v>1</v>
      </c>
    </row>
    <row r="608" spans="1:17" ht="15.75" customHeight="1">
      <c r="A608" s="12">
        <v>1469</v>
      </c>
      <c r="B608" s="12">
        <v>136</v>
      </c>
      <c r="C608" s="12">
        <v>2151</v>
      </c>
      <c r="D608" s="12" t="s">
        <v>6047</v>
      </c>
      <c r="E608" s="12" t="s">
        <v>8831</v>
      </c>
      <c r="F608" s="12" t="s">
        <v>8832</v>
      </c>
      <c r="G608" s="12" t="s">
        <v>8833</v>
      </c>
      <c r="H608" s="12" t="s">
        <v>6127</v>
      </c>
      <c r="I608" s="12" t="s">
        <v>6128</v>
      </c>
      <c r="J608" s="12">
        <v>2151</v>
      </c>
      <c r="K608" s="12" t="s">
        <v>6069</v>
      </c>
      <c r="L608" s="12" t="s">
        <v>6070</v>
      </c>
      <c r="M608" s="13">
        <v>41907</v>
      </c>
      <c r="N608" s="12" t="s">
        <v>6071</v>
      </c>
      <c r="O608" s="12" t="s">
        <v>6072</v>
      </c>
      <c r="P608" s="12"/>
      <c r="Q608" s="12">
        <v>1</v>
      </c>
    </row>
    <row r="609" spans="1:17" ht="15.75" customHeight="1">
      <c r="A609" s="12">
        <v>564</v>
      </c>
      <c r="B609" s="12">
        <v>288</v>
      </c>
      <c r="C609" s="12">
        <v>4710</v>
      </c>
      <c r="D609" s="12" t="s">
        <v>6047</v>
      </c>
      <c r="E609" s="12" t="s">
        <v>8834</v>
      </c>
      <c r="F609" s="12" t="s">
        <v>8835</v>
      </c>
      <c r="G609" s="12" t="s">
        <v>8836</v>
      </c>
      <c r="H609" s="12" t="s">
        <v>6163</v>
      </c>
      <c r="I609" s="12" t="s">
        <v>6253</v>
      </c>
      <c r="J609" s="12">
        <v>4710</v>
      </c>
      <c r="K609" s="12" t="s">
        <v>6464</v>
      </c>
      <c r="L609" s="12" t="s">
        <v>6408</v>
      </c>
      <c r="M609" s="13">
        <v>43562</v>
      </c>
      <c r="N609" s="12" t="s">
        <v>6465</v>
      </c>
      <c r="O609" s="12" t="s">
        <v>6466</v>
      </c>
      <c r="P609" s="12"/>
      <c r="Q609" s="12">
        <v>1</v>
      </c>
    </row>
    <row r="610" spans="1:17" ht="15.75" customHeight="1">
      <c r="A610" s="12">
        <v>822</v>
      </c>
      <c r="B610" s="12">
        <v>2</v>
      </c>
      <c r="C610" s="12">
        <v>15</v>
      </c>
      <c r="D610" s="12" t="s">
        <v>6047</v>
      </c>
      <c r="E610" s="12" t="s">
        <v>8837</v>
      </c>
      <c r="F610" s="12" t="s">
        <v>8838</v>
      </c>
      <c r="G610" s="12" t="s">
        <v>8839</v>
      </c>
      <c r="H610" s="12" t="s">
        <v>8840</v>
      </c>
      <c r="I610" s="12" t="s">
        <v>8841</v>
      </c>
      <c r="J610" s="12">
        <v>15</v>
      </c>
      <c r="K610" s="12" t="s">
        <v>8842</v>
      </c>
      <c r="L610" s="12" t="s">
        <v>6590</v>
      </c>
      <c r="M610" s="13">
        <v>43026</v>
      </c>
      <c r="N610" s="12" t="s">
        <v>8843</v>
      </c>
      <c r="O610" s="12" t="s">
        <v>8844</v>
      </c>
      <c r="P610" s="12"/>
      <c r="Q610" s="12">
        <v>1</v>
      </c>
    </row>
    <row r="611" spans="1:17" ht="15.75" customHeight="1">
      <c r="A611" s="12">
        <v>601</v>
      </c>
      <c r="B611" s="12">
        <v>1021</v>
      </c>
      <c r="C611" s="12">
        <v>14277</v>
      </c>
      <c r="D611" s="12" t="s">
        <v>6047</v>
      </c>
      <c r="E611" s="12" t="s">
        <v>8845</v>
      </c>
      <c r="F611" s="12" t="s">
        <v>8846</v>
      </c>
      <c r="G611" s="12" t="s">
        <v>8847</v>
      </c>
      <c r="H611" s="12" t="s">
        <v>6051</v>
      </c>
      <c r="I611" s="12" t="s">
        <v>6881</v>
      </c>
      <c r="J611" s="12">
        <v>14277</v>
      </c>
      <c r="K611" s="12" t="s">
        <v>6437</v>
      </c>
      <c r="L611" s="12" t="s">
        <v>6408</v>
      </c>
      <c r="M611" s="13">
        <v>43559</v>
      </c>
      <c r="N611" s="12" t="s">
        <v>6438</v>
      </c>
      <c r="O611" s="12" t="s">
        <v>6439</v>
      </c>
      <c r="P611" s="12"/>
      <c r="Q611" s="12">
        <v>1</v>
      </c>
    </row>
    <row r="612" spans="1:17" ht="15.75" customHeight="1">
      <c r="A612" s="12">
        <v>648</v>
      </c>
      <c r="B612" s="12">
        <v>109</v>
      </c>
      <c r="C612" s="12">
        <v>1816</v>
      </c>
      <c r="D612" s="12" t="s">
        <v>6047</v>
      </c>
      <c r="E612" s="12" t="s">
        <v>1754</v>
      </c>
      <c r="F612" s="12" t="s">
        <v>8848</v>
      </c>
      <c r="G612" s="12" t="s">
        <v>8849</v>
      </c>
      <c r="H612" s="12" t="s">
        <v>6435</v>
      </c>
      <c r="I612" s="12" t="s">
        <v>6920</v>
      </c>
      <c r="J612" s="12">
        <v>1816</v>
      </c>
      <c r="K612" s="12" t="s">
        <v>8850</v>
      </c>
      <c r="L612" s="12" t="s">
        <v>6193</v>
      </c>
      <c r="M612" s="13">
        <v>43404</v>
      </c>
      <c r="N612" s="12" t="s">
        <v>8851</v>
      </c>
      <c r="O612" s="12" t="s">
        <v>8852</v>
      </c>
      <c r="P612" s="12" t="s">
        <v>6196</v>
      </c>
      <c r="Q612" s="12">
        <v>1</v>
      </c>
    </row>
    <row r="613" spans="1:17" ht="15.75" customHeight="1">
      <c r="A613" s="12">
        <v>719</v>
      </c>
      <c r="B613" s="12">
        <v>1176</v>
      </c>
      <c r="C613" s="12">
        <v>16870</v>
      </c>
      <c r="D613" s="12" t="s">
        <v>6047</v>
      </c>
      <c r="E613" s="12" t="s">
        <v>8853</v>
      </c>
      <c r="F613" s="12" t="s">
        <v>8854</v>
      </c>
      <c r="G613" s="12" t="s">
        <v>8855</v>
      </c>
      <c r="H613" s="12" t="s">
        <v>6051</v>
      </c>
      <c r="I613" s="12" t="s">
        <v>6052</v>
      </c>
      <c r="J613" s="12">
        <v>16870</v>
      </c>
      <c r="K613" s="12" t="s">
        <v>8856</v>
      </c>
      <c r="L613" s="12" t="s">
        <v>8857</v>
      </c>
      <c r="M613" s="13">
        <v>43200</v>
      </c>
      <c r="N613" s="12" t="s">
        <v>8858</v>
      </c>
      <c r="O613" s="12" t="s">
        <v>8859</v>
      </c>
      <c r="P613" s="12"/>
      <c r="Q613" s="12">
        <v>1</v>
      </c>
    </row>
    <row r="614" spans="1:17" ht="15.75" customHeight="1">
      <c r="A614" s="12">
        <v>865</v>
      </c>
      <c r="B614" s="12">
        <v>1616</v>
      </c>
      <c r="C614" s="12">
        <v>28500</v>
      </c>
      <c r="D614" s="12" t="s">
        <v>6047</v>
      </c>
      <c r="E614" s="12" t="s">
        <v>8860</v>
      </c>
      <c r="F614" s="12" t="s">
        <v>8861</v>
      </c>
      <c r="G614" s="12" t="s">
        <v>8862</v>
      </c>
      <c r="H614" s="12" t="s">
        <v>6051</v>
      </c>
      <c r="I614" s="12" t="s">
        <v>6366</v>
      </c>
      <c r="J614" s="12">
        <v>28500</v>
      </c>
      <c r="K614" s="12" t="s">
        <v>6606</v>
      </c>
      <c r="L614" s="12" t="s">
        <v>6564</v>
      </c>
      <c r="M614" s="13">
        <v>43017</v>
      </c>
      <c r="N614" s="12" t="s">
        <v>6607</v>
      </c>
      <c r="O614" s="12" t="s">
        <v>6608</v>
      </c>
      <c r="P614" s="12" t="s">
        <v>6196</v>
      </c>
      <c r="Q614" s="12">
        <v>1</v>
      </c>
    </row>
    <row r="615" spans="1:17" ht="15.75" customHeight="1">
      <c r="A615" s="12">
        <v>445</v>
      </c>
      <c r="B615" s="12">
        <v>1449</v>
      </c>
      <c r="C615" s="12">
        <v>22114</v>
      </c>
      <c r="D615" s="12" t="s">
        <v>6047</v>
      </c>
      <c r="E615" s="12" t="s">
        <v>8863</v>
      </c>
      <c r="F615" s="12" t="s">
        <v>8864</v>
      </c>
      <c r="G615" s="12" t="s">
        <v>8865</v>
      </c>
      <c r="H615" s="12" t="s">
        <v>6051</v>
      </c>
      <c r="I615" s="12" t="s">
        <v>7114</v>
      </c>
      <c r="J615" s="12">
        <v>22114</v>
      </c>
      <c r="K615" s="12" t="s">
        <v>8866</v>
      </c>
      <c r="L615" s="12" t="s">
        <v>6248</v>
      </c>
      <c r="M615" s="13">
        <v>43876</v>
      </c>
      <c r="N615" s="12" t="s">
        <v>8867</v>
      </c>
      <c r="O615" s="12" t="s">
        <v>8868</v>
      </c>
      <c r="P615" s="12"/>
      <c r="Q615" s="12">
        <v>1</v>
      </c>
    </row>
    <row r="616" spans="1:17" ht="15.75" customHeight="1">
      <c r="A616" s="12">
        <v>1157</v>
      </c>
      <c r="B616" s="12">
        <v>129</v>
      </c>
      <c r="C616" s="12">
        <v>2031</v>
      </c>
      <c r="D616" s="12" t="s">
        <v>6047</v>
      </c>
      <c r="E616" s="12" t="s">
        <v>8869</v>
      </c>
      <c r="F616" s="12" t="s">
        <v>8870</v>
      </c>
      <c r="G616" s="12" t="s">
        <v>8871</v>
      </c>
      <c r="H616" s="12" t="s">
        <v>6127</v>
      </c>
      <c r="I616" s="12" t="s">
        <v>6128</v>
      </c>
      <c r="J616" s="12">
        <v>2031</v>
      </c>
      <c r="K616" s="12" t="s">
        <v>8872</v>
      </c>
      <c r="L616" s="12" t="s">
        <v>6308</v>
      </c>
      <c r="M616" s="13">
        <v>42082</v>
      </c>
      <c r="N616" s="12" t="s">
        <v>8873</v>
      </c>
      <c r="O616" s="12" t="s">
        <v>8874</v>
      </c>
      <c r="P616" s="12" t="s">
        <v>6196</v>
      </c>
      <c r="Q616" s="12">
        <v>1</v>
      </c>
    </row>
    <row r="617" spans="1:17" ht="15.75" customHeight="1">
      <c r="A617" s="12">
        <v>859</v>
      </c>
      <c r="B617" s="12">
        <v>362</v>
      </c>
      <c r="C617" s="12">
        <v>5487</v>
      </c>
      <c r="D617" s="12" t="s">
        <v>6047</v>
      </c>
      <c r="E617" s="12" t="s">
        <v>1762</v>
      </c>
      <c r="F617" s="12" t="s">
        <v>8875</v>
      </c>
      <c r="G617" s="12" t="s">
        <v>8876</v>
      </c>
      <c r="H617" s="12" t="s">
        <v>6213</v>
      </c>
      <c r="I617" s="12" t="s">
        <v>6214</v>
      </c>
      <c r="J617" s="12">
        <v>5487</v>
      </c>
      <c r="K617" s="12" t="s">
        <v>6584</v>
      </c>
      <c r="L617" s="12" t="s">
        <v>6564</v>
      </c>
      <c r="M617" s="13">
        <v>43019</v>
      </c>
      <c r="N617" s="12" t="s">
        <v>6585</v>
      </c>
      <c r="O617" s="12" t="s">
        <v>6586</v>
      </c>
      <c r="P617" s="12"/>
      <c r="Q617" s="12">
        <v>1</v>
      </c>
    </row>
    <row r="618" spans="1:17" ht="15.75" customHeight="1">
      <c r="A618" s="12">
        <v>1160</v>
      </c>
      <c r="B618" s="12">
        <v>1425</v>
      </c>
      <c r="C618" s="12">
        <v>21514</v>
      </c>
      <c r="D618" s="12" t="s">
        <v>6047</v>
      </c>
      <c r="E618" s="12" t="s">
        <v>8877</v>
      </c>
      <c r="F618" s="12" t="s">
        <v>8878</v>
      </c>
      <c r="G618" s="12" t="s">
        <v>8879</v>
      </c>
      <c r="H618" s="12" t="s">
        <v>6051</v>
      </c>
      <c r="I618" s="12" t="s">
        <v>6299</v>
      </c>
      <c r="J618" s="12">
        <v>21514</v>
      </c>
      <c r="K618" s="12" t="s">
        <v>8880</v>
      </c>
      <c r="L618" s="12" t="s">
        <v>6248</v>
      </c>
      <c r="M618" s="13">
        <v>42046</v>
      </c>
      <c r="N618" s="12" t="s">
        <v>8881</v>
      </c>
      <c r="O618" s="12" t="s">
        <v>8882</v>
      </c>
      <c r="P618" s="12"/>
      <c r="Q618" s="12">
        <v>1</v>
      </c>
    </row>
    <row r="619" spans="1:17" ht="15.75" customHeight="1">
      <c r="A619" s="12">
        <v>449</v>
      </c>
      <c r="B619" s="12">
        <v>902</v>
      </c>
      <c r="C619" s="12">
        <v>11993</v>
      </c>
      <c r="D619" s="12" t="s">
        <v>6047</v>
      </c>
      <c r="E619" s="12" t="s">
        <v>8883</v>
      </c>
      <c r="F619" s="12" t="s">
        <v>8884</v>
      </c>
      <c r="G619" s="12" t="s">
        <v>8885</v>
      </c>
      <c r="H619" s="12" t="s">
        <v>6340</v>
      </c>
      <c r="I619" s="12" t="s">
        <v>6341</v>
      </c>
      <c r="J619" s="12">
        <v>11993</v>
      </c>
      <c r="K619" s="12" t="s">
        <v>8886</v>
      </c>
      <c r="L619" s="12" t="s">
        <v>6248</v>
      </c>
      <c r="M619" s="13">
        <v>43862</v>
      </c>
      <c r="N619" s="12" t="s">
        <v>8887</v>
      </c>
      <c r="O619" s="12" t="s">
        <v>8888</v>
      </c>
      <c r="P619" s="12"/>
      <c r="Q619" s="12">
        <v>1</v>
      </c>
    </row>
    <row r="620" spans="1:17" ht="15.75" customHeight="1">
      <c r="A620" s="12">
        <v>448</v>
      </c>
      <c r="B620" s="12">
        <v>1421</v>
      </c>
      <c r="C620" s="12">
        <v>21467</v>
      </c>
      <c r="D620" s="12" t="s">
        <v>6047</v>
      </c>
      <c r="E620" s="12" t="s">
        <v>8889</v>
      </c>
      <c r="F620" s="12" t="s">
        <v>8890</v>
      </c>
      <c r="G620" s="12" t="s">
        <v>8891</v>
      </c>
      <c r="H620" s="12" t="s">
        <v>6051</v>
      </c>
      <c r="I620" s="12" t="s">
        <v>6299</v>
      </c>
      <c r="J620" s="12">
        <v>21467</v>
      </c>
      <c r="K620" s="12" t="s">
        <v>8892</v>
      </c>
      <c r="L620" s="12" t="s">
        <v>6248</v>
      </c>
      <c r="M620" s="13">
        <v>43866</v>
      </c>
      <c r="N620" s="12" t="s">
        <v>8893</v>
      </c>
      <c r="O620" s="12" t="s">
        <v>8894</v>
      </c>
      <c r="P620" s="12"/>
      <c r="Q620" s="12">
        <v>1</v>
      </c>
    </row>
    <row r="621" spans="1:17" ht="15.75" customHeight="1">
      <c r="A621" s="12">
        <v>1349</v>
      </c>
      <c r="B621" s="12">
        <v>359</v>
      </c>
      <c r="C621" s="12">
        <v>5462</v>
      </c>
      <c r="D621" s="12" t="s">
        <v>6047</v>
      </c>
      <c r="E621" s="12" t="s">
        <v>8895</v>
      </c>
      <c r="F621" s="12" t="s">
        <v>8896</v>
      </c>
      <c r="G621" s="12" t="s">
        <v>8897</v>
      </c>
      <c r="H621" s="12" t="s">
        <v>6213</v>
      </c>
      <c r="I621" s="12" t="s">
        <v>6214</v>
      </c>
      <c r="J621" s="12">
        <v>5462</v>
      </c>
      <c r="K621" s="12" t="s">
        <v>6215</v>
      </c>
      <c r="L621" s="12" t="s">
        <v>6216</v>
      </c>
      <c r="M621" s="13">
        <v>41918</v>
      </c>
      <c r="N621" s="12" t="s">
        <v>6217</v>
      </c>
      <c r="O621" s="12" t="s">
        <v>6218</v>
      </c>
      <c r="P621" s="12"/>
      <c r="Q621" s="12">
        <v>1</v>
      </c>
    </row>
    <row r="622" spans="1:17" ht="15.75" customHeight="1">
      <c r="A622" s="12">
        <v>643</v>
      </c>
      <c r="B622" s="12">
        <v>1458</v>
      </c>
      <c r="C622" s="12">
        <v>22615</v>
      </c>
      <c r="D622" s="12" t="s">
        <v>6047</v>
      </c>
      <c r="E622" s="12" t="s">
        <v>8898</v>
      </c>
      <c r="F622" s="12" t="s">
        <v>8899</v>
      </c>
      <c r="G622" s="12" t="s">
        <v>8900</v>
      </c>
      <c r="H622" s="12" t="s">
        <v>6051</v>
      </c>
      <c r="I622" s="12" t="s">
        <v>8716</v>
      </c>
      <c r="J622" s="12">
        <v>22615</v>
      </c>
      <c r="K622" s="12" t="s">
        <v>6921</v>
      </c>
      <c r="L622" s="12" t="s">
        <v>6193</v>
      </c>
      <c r="M622" s="13">
        <v>43405</v>
      </c>
      <c r="N622" s="12" t="s">
        <v>6922</v>
      </c>
      <c r="O622" s="12" t="s">
        <v>6923</v>
      </c>
      <c r="P622" s="12" t="s">
        <v>6196</v>
      </c>
      <c r="Q622" s="12">
        <v>1</v>
      </c>
    </row>
    <row r="623" spans="1:17" ht="15.75" customHeight="1">
      <c r="A623" s="12">
        <v>40</v>
      </c>
      <c r="B623" s="12">
        <v>1705</v>
      </c>
      <c r="C623" s="12">
        <v>31603</v>
      </c>
      <c r="D623" s="12" t="s">
        <v>6047</v>
      </c>
      <c r="E623" s="12" t="s">
        <v>1771</v>
      </c>
      <c r="F623" s="12" t="s">
        <v>8901</v>
      </c>
      <c r="G623" s="12" t="s">
        <v>8902</v>
      </c>
      <c r="H623" s="12" t="s">
        <v>6051</v>
      </c>
      <c r="I623" s="12" t="s">
        <v>8027</v>
      </c>
      <c r="J623" s="12">
        <v>31603</v>
      </c>
      <c r="K623" s="12" t="s">
        <v>7996</v>
      </c>
      <c r="L623" s="12" t="s">
        <v>6590</v>
      </c>
      <c r="M623" s="13">
        <v>45975</v>
      </c>
      <c r="N623" s="12" t="s">
        <v>7997</v>
      </c>
      <c r="O623" s="12" t="s">
        <v>7998</v>
      </c>
      <c r="P623" s="12" t="s">
        <v>6196</v>
      </c>
      <c r="Q623" s="12">
        <v>1</v>
      </c>
    </row>
    <row r="624" spans="1:17" ht="15.75" customHeight="1">
      <c r="A624" s="12">
        <v>219</v>
      </c>
      <c r="B624" s="12">
        <v>428</v>
      </c>
      <c r="C624" s="12">
        <v>6012</v>
      </c>
      <c r="D624" s="12" t="s">
        <v>6047</v>
      </c>
      <c r="E624" s="12" t="s">
        <v>8903</v>
      </c>
      <c r="F624" s="12" t="s">
        <v>8904</v>
      </c>
      <c r="G624" s="12" t="s">
        <v>8905</v>
      </c>
      <c r="H624" s="12" t="s">
        <v>6137</v>
      </c>
      <c r="I624" s="12" t="s">
        <v>6391</v>
      </c>
      <c r="J624" s="12">
        <v>6012</v>
      </c>
      <c r="K624" s="12" t="s">
        <v>8462</v>
      </c>
      <c r="L624" s="12" t="s">
        <v>6518</v>
      </c>
      <c r="M624" s="13">
        <v>45609</v>
      </c>
      <c r="N624" s="12" t="s">
        <v>8463</v>
      </c>
      <c r="O624" s="12" t="s">
        <v>8906</v>
      </c>
      <c r="P624" s="12"/>
      <c r="Q624" s="12">
        <v>1</v>
      </c>
    </row>
    <row r="625" spans="1:17" ht="15.75" customHeight="1">
      <c r="A625" s="12">
        <v>665</v>
      </c>
      <c r="B625" s="12">
        <v>36</v>
      </c>
      <c r="C625" s="12">
        <v>512</v>
      </c>
      <c r="D625" s="12" t="s">
        <v>6047</v>
      </c>
      <c r="E625" s="12" t="s">
        <v>8907</v>
      </c>
      <c r="F625" s="12" t="s">
        <v>8908</v>
      </c>
      <c r="G625" s="12" t="s">
        <v>8909</v>
      </c>
      <c r="H625" s="12" t="s">
        <v>6289</v>
      </c>
      <c r="I625" s="12" t="s">
        <v>6290</v>
      </c>
      <c r="J625" s="12">
        <v>512</v>
      </c>
      <c r="K625" s="12" t="s">
        <v>8910</v>
      </c>
      <c r="L625" s="12" t="s">
        <v>6308</v>
      </c>
      <c r="M625" s="13">
        <v>43392</v>
      </c>
      <c r="N625" s="12" t="s">
        <v>8911</v>
      </c>
      <c r="O625" s="12" t="s">
        <v>8912</v>
      </c>
      <c r="P625" s="12"/>
      <c r="Q625" s="12">
        <v>1</v>
      </c>
    </row>
    <row r="626" spans="1:17" ht="15.75" customHeight="1">
      <c r="A626" s="12">
        <v>1413</v>
      </c>
      <c r="B626" s="12">
        <v>785</v>
      </c>
      <c r="C626" s="12">
        <v>9829</v>
      </c>
      <c r="D626" s="12" t="s">
        <v>6047</v>
      </c>
      <c r="E626" s="12" t="s">
        <v>1782</v>
      </c>
      <c r="F626" s="12" t="s">
        <v>8913</v>
      </c>
      <c r="G626" s="12" t="s">
        <v>8914</v>
      </c>
      <c r="H626" s="12" t="s">
        <v>6265</v>
      </c>
      <c r="I626" s="12" t="s">
        <v>8292</v>
      </c>
      <c r="J626" s="12">
        <v>9829</v>
      </c>
      <c r="K626" s="12" t="s">
        <v>6086</v>
      </c>
      <c r="L626" s="12" t="s">
        <v>6087</v>
      </c>
      <c r="M626" s="13">
        <v>41910</v>
      </c>
      <c r="N626" s="12" t="s">
        <v>6088</v>
      </c>
      <c r="O626" s="12" t="s">
        <v>6089</v>
      </c>
      <c r="P626" s="12"/>
      <c r="Q626" s="12">
        <v>1</v>
      </c>
    </row>
    <row r="627" spans="1:17" ht="15.75" customHeight="1">
      <c r="A627" s="12">
        <v>798</v>
      </c>
      <c r="B627" s="12">
        <v>1744</v>
      </c>
      <c r="C627" s="12">
        <v>32552</v>
      </c>
      <c r="D627" s="12" t="s">
        <v>6047</v>
      </c>
      <c r="E627" s="12" t="s">
        <v>8915</v>
      </c>
      <c r="F627" s="12" t="s">
        <v>8916</v>
      </c>
      <c r="G627" s="12" t="s">
        <v>8917</v>
      </c>
      <c r="H627" s="12" t="s">
        <v>6051</v>
      </c>
      <c r="I627" s="12" t="s">
        <v>6232</v>
      </c>
      <c r="J627" s="12">
        <v>32552</v>
      </c>
      <c r="K627" s="12" t="s">
        <v>8918</v>
      </c>
      <c r="L627" s="12" t="s">
        <v>6590</v>
      </c>
      <c r="M627" s="13">
        <v>43031</v>
      </c>
      <c r="N627" s="12" t="s">
        <v>8919</v>
      </c>
      <c r="O627" s="12" t="s">
        <v>8920</v>
      </c>
      <c r="P627" s="12" t="s">
        <v>6196</v>
      </c>
      <c r="Q627" s="12">
        <v>1</v>
      </c>
    </row>
    <row r="628" spans="1:17" ht="15.75" customHeight="1">
      <c r="A628" s="12">
        <v>793</v>
      </c>
      <c r="B628" s="12">
        <v>1739</v>
      </c>
      <c r="C628" s="12">
        <v>32336</v>
      </c>
      <c r="D628" s="12" t="s">
        <v>6047</v>
      </c>
      <c r="E628" s="12" t="s">
        <v>8921</v>
      </c>
      <c r="F628" s="12" t="s">
        <v>8922</v>
      </c>
      <c r="G628" s="12" t="s">
        <v>8923</v>
      </c>
      <c r="H628" s="12" t="s">
        <v>6051</v>
      </c>
      <c r="I628" s="12" t="s">
        <v>6232</v>
      </c>
      <c r="J628" s="12">
        <v>32336</v>
      </c>
      <c r="K628" s="12" t="s">
        <v>8924</v>
      </c>
      <c r="L628" s="12" t="s">
        <v>6590</v>
      </c>
      <c r="M628" s="13">
        <v>43032</v>
      </c>
      <c r="N628" s="12" t="s">
        <v>8925</v>
      </c>
      <c r="O628" s="12" t="s">
        <v>8926</v>
      </c>
      <c r="P628" s="12" t="s">
        <v>6196</v>
      </c>
      <c r="Q628" s="12">
        <v>1</v>
      </c>
    </row>
    <row r="629" spans="1:17" ht="15.75" customHeight="1">
      <c r="A629" s="12">
        <v>1525</v>
      </c>
      <c r="B629" s="12">
        <v>1577</v>
      </c>
      <c r="C629" s="12">
        <v>27813</v>
      </c>
      <c r="D629" s="12" t="s">
        <v>6047</v>
      </c>
      <c r="E629" s="12" t="s">
        <v>8927</v>
      </c>
      <c r="F629" s="12" t="s">
        <v>8928</v>
      </c>
      <c r="G629" s="12" t="s">
        <v>8929</v>
      </c>
      <c r="H629" s="12" t="s">
        <v>6051</v>
      </c>
      <c r="I629" s="12" t="s">
        <v>6547</v>
      </c>
      <c r="J629" s="12">
        <v>27813</v>
      </c>
      <c r="K629" s="12" t="s">
        <v>8930</v>
      </c>
      <c r="L629" s="12" t="s">
        <v>6240</v>
      </c>
      <c r="M629" s="13">
        <v>41727</v>
      </c>
      <c r="N629" s="12" t="s">
        <v>8931</v>
      </c>
      <c r="O629" s="12" t="s">
        <v>8932</v>
      </c>
      <c r="P629" s="12" t="s">
        <v>6196</v>
      </c>
      <c r="Q629" s="12">
        <v>1</v>
      </c>
    </row>
    <row r="630" spans="1:17" ht="15.75" customHeight="1">
      <c r="A630" s="12">
        <v>440</v>
      </c>
      <c r="B630" s="12">
        <v>1729</v>
      </c>
      <c r="C630" s="12">
        <v>32085</v>
      </c>
      <c r="D630" s="12" t="s">
        <v>6047</v>
      </c>
      <c r="E630" s="12" t="s">
        <v>1788</v>
      </c>
      <c r="F630" s="12" t="s">
        <v>8933</v>
      </c>
      <c r="G630" s="12" t="s">
        <v>8934</v>
      </c>
      <c r="H630" s="12" t="s">
        <v>6051</v>
      </c>
      <c r="I630" s="12" t="s">
        <v>6232</v>
      </c>
      <c r="J630" s="12">
        <v>32085</v>
      </c>
      <c r="K630" s="12" t="s">
        <v>8935</v>
      </c>
      <c r="L630" s="12" t="s">
        <v>6284</v>
      </c>
      <c r="M630" s="13">
        <v>44209</v>
      </c>
      <c r="N630" s="12" t="s">
        <v>8936</v>
      </c>
      <c r="O630" s="12" t="s">
        <v>8937</v>
      </c>
      <c r="P630" s="12"/>
      <c r="Q630" s="12">
        <v>1</v>
      </c>
    </row>
    <row r="631" spans="1:17" ht="15.75" customHeight="1">
      <c r="A631" s="12">
        <v>341</v>
      </c>
      <c r="B631" s="12">
        <v>1145</v>
      </c>
      <c r="C631" s="12">
        <v>16453</v>
      </c>
      <c r="D631" s="12" t="s">
        <v>6047</v>
      </c>
      <c r="E631" s="12" t="s">
        <v>8938</v>
      </c>
      <c r="F631" s="12" t="s">
        <v>8939</v>
      </c>
      <c r="G631" s="12" t="s">
        <v>8940</v>
      </c>
      <c r="H631" s="12" t="s">
        <v>6051</v>
      </c>
      <c r="I631" s="12" t="s">
        <v>6052</v>
      </c>
      <c r="J631" s="12">
        <v>16453</v>
      </c>
      <c r="K631" s="12" t="s">
        <v>8519</v>
      </c>
      <c r="L631" s="12" t="s">
        <v>6732</v>
      </c>
      <c r="M631" s="13">
        <v>44726</v>
      </c>
      <c r="N631" s="12" t="s">
        <v>8520</v>
      </c>
      <c r="O631" s="12" t="s">
        <v>8521</v>
      </c>
      <c r="P631" s="12"/>
      <c r="Q631" s="12">
        <v>1</v>
      </c>
    </row>
    <row r="632" spans="1:17" ht="15.75" customHeight="1">
      <c r="A632" s="12">
        <v>779</v>
      </c>
      <c r="B632" s="12">
        <v>1505</v>
      </c>
      <c r="C632" s="12">
        <v>24275</v>
      </c>
      <c r="D632" s="12" t="s">
        <v>6047</v>
      </c>
      <c r="E632" s="12" t="s">
        <v>8941</v>
      </c>
      <c r="F632" s="12" t="s">
        <v>8942</v>
      </c>
      <c r="G632" s="12" t="s">
        <v>8943</v>
      </c>
      <c r="H632" s="12" t="s">
        <v>6051</v>
      </c>
      <c r="I632" s="12" t="s">
        <v>6738</v>
      </c>
      <c r="J632" s="12">
        <v>24275</v>
      </c>
      <c r="K632" s="12" t="s">
        <v>7283</v>
      </c>
      <c r="L632" s="12" t="s">
        <v>6590</v>
      </c>
      <c r="M632" s="13">
        <v>43034</v>
      </c>
      <c r="N632" s="12" t="s">
        <v>7284</v>
      </c>
      <c r="O632" s="12" t="s">
        <v>7285</v>
      </c>
      <c r="P632" s="12"/>
      <c r="Q632" s="12">
        <v>1</v>
      </c>
    </row>
    <row r="633" spans="1:17" ht="15.75" customHeight="1">
      <c r="A633" s="12">
        <v>1389</v>
      </c>
      <c r="B633" s="12">
        <v>1647</v>
      </c>
      <c r="C633" s="12">
        <v>29830</v>
      </c>
      <c r="D633" s="12" t="s">
        <v>6047</v>
      </c>
      <c r="E633" s="12" t="s">
        <v>8944</v>
      </c>
      <c r="F633" s="12" t="s">
        <v>8945</v>
      </c>
      <c r="G633" s="12" t="s">
        <v>8946</v>
      </c>
      <c r="H633" s="12" t="s">
        <v>6051</v>
      </c>
      <c r="I633" s="12" t="s">
        <v>6111</v>
      </c>
      <c r="J633" s="12">
        <v>29830</v>
      </c>
      <c r="K633" s="12" t="s">
        <v>6144</v>
      </c>
      <c r="L633" s="12" t="s">
        <v>6078</v>
      </c>
      <c r="M633" s="13">
        <v>41913</v>
      </c>
      <c r="N633" s="12" t="s">
        <v>6145</v>
      </c>
      <c r="O633" s="12" t="s">
        <v>6146</v>
      </c>
      <c r="P633" s="12"/>
      <c r="Q633" s="12">
        <v>1</v>
      </c>
    </row>
    <row r="634" spans="1:17" ht="15.75" customHeight="1">
      <c r="A634" s="12">
        <v>841</v>
      </c>
      <c r="B634" s="12">
        <v>203</v>
      </c>
      <c r="C634" s="12">
        <v>3351</v>
      </c>
      <c r="D634" s="12" t="s">
        <v>6047</v>
      </c>
      <c r="E634" s="12" t="s">
        <v>8947</v>
      </c>
      <c r="F634" s="12" t="s">
        <v>8948</v>
      </c>
      <c r="G634" s="12" t="s">
        <v>8949</v>
      </c>
      <c r="H634" s="12" t="s">
        <v>7069</v>
      </c>
      <c r="I634" s="12" t="s">
        <v>7070</v>
      </c>
      <c r="J634" s="12">
        <v>3351</v>
      </c>
      <c r="K634" s="12" t="s">
        <v>8758</v>
      </c>
      <c r="L634" s="12" t="s">
        <v>6564</v>
      </c>
      <c r="M634" s="13">
        <v>43021</v>
      </c>
      <c r="N634" s="12" t="s">
        <v>8759</v>
      </c>
      <c r="O634" s="12" t="s">
        <v>8760</v>
      </c>
      <c r="P634" s="12"/>
      <c r="Q634" s="12">
        <v>1</v>
      </c>
    </row>
    <row r="635" spans="1:17" ht="15.75" customHeight="1">
      <c r="A635" s="12">
        <v>29</v>
      </c>
      <c r="B635" s="12">
        <v>430</v>
      </c>
      <c r="C635" s="12">
        <v>6024</v>
      </c>
      <c r="D635" s="12" t="s">
        <v>6047</v>
      </c>
      <c r="E635" s="12" t="s">
        <v>8950</v>
      </c>
      <c r="F635" s="12" t="s">
        <v>8951</v>
      </c>
      <c r="G635" s="12" t="s">
        <v>8952</v>
      </c>
      <c r="H635" s="12" t="s">
        <v>6137</v>
      </c>
      <c r="I635" s="12" t="s">
        <v>6391</v>
      </c>
      <c r="J635" s="12">
        <v>6024</v>
      </c>
      <c r="K635" s="12" t="s">
        <v>8953</v>
      </c>
      <c r="L635" s="12" t="s">
        <v>6590</v>
      </c>
      <c r="M635" s="13">
        <v>45976</v>
      </c>
      <c r="N635" s="12" t="s">
        <v>8954</v>
      </c>
      <c r="O635" s="12" t="s">
        <v>8955</v>
      </c>
      <c r="P635" s="12"/>
      <c r="Q635" s="12">
        <v>1</v>
      </c>
    </row>
    <row r="636" spans="1:17" ht="15.75" customHeight="1">
      <c r="A636" s="12">
        <v>1009</v>
      </c>
      <c r="B636" s="12">
        <v>984</v>
      </c>
      <c r="C636" s="12">
        <v>13445</v>
      </c>
      <c r="D636" s="12" t="s">
        <v>6047</v>
      </c>
      <c r="E636" s="12" t="s">
        <v>8956</v>
      </c>
      <c r="F636" s="12" t="s">
        <v>8957</v>
      </c>
      <c r="G636" s="12" t="s">
        <v>8958</v>
      </c>
      <c r="H636" s="12" t="s">
        <v>6051</v>
      </c>
      <c r="I636" s="12" t="s">
        <v>6741</v>
      </c>
      <c r="J636" s="12">
        <v>13445</v>
      </c>
      <c r="K636" s="12" t="s">
        <v>7666</v>
      </c>
      <c r="L636" s="12" t="s">
        <v>6054</v>
      </c>
      <c r="M636" s="13">
        <v>42692</v>
      </c>
      <c r="N636" s="12" t="s">
        <v>7667</v>
      </c>
      <c r="O636" s="12" t="s">
        <v>8286</v>
      </c>
      <c r="P636" s="12"/>
      <c r="Q636" s="12">
        <v>1</v>
      </c>
    </row>
    <row r="637" spans="1:17" ht="15.75" customHeight="1">
      <c r="A637" s="12">
        <v>1243</v>
      </c>
      <c r="B637" s="12">
        <v>286</v>
      </c>
      <c r="C637" s="12">
        <v>4702</v>
      </c>
      <c r="D637" s="12" t="s">
        <v>6047</v>
      </c>
      <c r="E637" s="12" t="s">
        <v>8959</v>
      </c>
      <c r="F637" s="12" t="s">
        <v>8960</v>
      </c>
      <c r="G637" s="12" t="s">
        <v>8961</v>
      </c>
      <c r="H637" s="12" t="s">
        <v>6163</v>
      </c>
      <c r="I637" s="12" t="s">
        <v>6253</v>
      </c>
      <c r="J637" s="12">
        <v>4702</v>
      </c>
      <c r="K637" s="12" t="s">
        <v>6429</v>
      </c>
      <c r="L637" s="12" t="s">
        <v>6423</v>
      </c>
      <c r="M637" s="13">
        <v>41991</v>
      </c>
      <c r="N637" s="12" t="s">
        <v>6430</v>
      </c>
      <c r="O637" s="12" t="s">
        <v>6431</v>
      </c>
      <c r="P637" s="12"/>
      <c r="Q637" s="12">
        <v>1</v>
      </c>
    </row>
    <row r="638" spans="1:17" ht="15.75" customHeight="1">
      <c r="A638" s="12">
        <v>490</v>
      </c>
      <c r="B638" s="12">
        <v>1960</v>
      </c>
      <c r="C638" s="12">
        <v>34917</v>
      </c>
      <c r="D638" s="12" t="s">
        <v>6047</v>
      </c>
      <c r="E638" s="12" t="s">
        <v>1806</v>
      </c>
      <c r="F638" s="12" t="s">
        <v>8962</v>
      </c>
      <c r="G638" s="12" t="s">
        <v>8963</v>
      </c>
      <c r="H638" s="12" t="s">
        <v>6051</v>
      </c>
      <c r="I638" s="12" t="s">
        <v>6700</v>
      </c>
      <c r="J638" s="12">
        <v>34917</v>
      </c>
      <c r="K638" s="12" t="s">
        <v>6541</v>
      </c>
      <c r="L638" s="12" t="s">
        <v>6455</v>
      </c>
      <c r="M638" s="13">
        <v>43784</v>
      </c>
      <c r="N638" s="12" t="s">
        <v>6542</v>
      </c>
      <c r="O638" s="12" t="s">
        <v>6543</v>
      </c>
      <c r="P638" s="12"/>
      <c r="Q638" s="12">
        <v>1</v>
      </c>
    </row>
    <row r="639" spans="1:17" ht="15.75" customHeight="1">
      <c r="A639" s="12">
        <v>380</v>
      </c>
      <c r="B639" s="12">
        <v>1066</v>
      </c>
      <c r="C639" s="12">
        <v>15255</v>
      </c>
      <c r="D639" s="12" t="s">
        <v>6047</v>
      </c>
      <c r="E639" s="12" t="s">
        <v>8964</v>
      </c>
      <c r="F639" s="12" t="s">
        <v>8965</v>
      </c>
      <c r="G639" s="12" t="s">
        <v>8966</v>
      </c>
      <c r="H639" s="12" t="s">
        <v>6051</v>
      </c>
      <c r="I639" s="12" t="s">
        <v>6476</v>
      </c>
      <c r="J639" s="12">
        <v>15255</v>
      </c>
      <c r="K639" s="12" t="s">
        <v>8698</v>
      </c>
      <c r="L639" s="12" t="s">
        <v>7311</v>
      </c>
      <c r="M639" s="13">
        <v>44719</v>
      </c>
      <c r="N639" s="12" t="s">
        <v>8699</v>
      </c>
      <c r="O639" s="12" t="s">
        <v>8967</v>
      </c>
      <c r="P639" s="12"/>
      <c r="Q639" s="12">
        <v>1</v>
      </c>
    </row>
    <row r="640" spans="1:17" ht="15.75" customHeight="1">
      <c r="A640" s="12">
        <v>1038</v>
      </c>
      <c r="B640" s="12">
        <v>739</v>
      </c>
      <c r="C640" s="12">
        <v>9037</v>
      </c>
      <c r="D640" s="12" t="s">
        <v>6047</v>
      </c>
      <c r="E640" s="12" t="s">
        <v>8968</v>
      </c>
      <c r="F640" s="12" t="s">
        <v>8969</v>
      </c>
      <c r="G640" s="12" t="s">
        <v>8970</v>
      </c>
      <c r="H640" s="12" t="s">
        <v>6275</v>
      </c>
      <c r="I640" s="12" t="s">
        <v>6453</v>
      </c>
      <c r="J640" s="12">
        <v>9037</v>
      </c>
      <c r="K640" s="12" t="s">
        <v>8971</v>
      </c>
      <c r="L640" s="12" t="s">
        <v>6504</v>
      </c>
      <c r="M640" s="13">
        <v>42688</v>
      </c>
      <c r="N640" s="12" t="s">
        <v>8972</v>
      </c>
      <c r="O640" s="12" t="s">
        <v>8973</v>
      </c>
      <c r="P640" s="12"/>
      <c r="Q640" s="12">
        <v>1</v>
      </c>
    </row>
    <row r="641" spans="1:17" ht="15.75" customHeight="1">
      <c r="A641" s="12">
        <v>1514</v>
      </c>
      <c r="B641" s="12">
        <v>1770</v>
      </c>
      <c r="C641" s="12">
        <v>33002</v>
      </c>
      <c r="D641" s="12" t="s">
        <v>6047</v>
      </c>
      <c r="E641" s="12" t="s">
        <v>8974</v>
      </c>
      <c r="F641" s="12" t="s">
        <v>8975</v>
      </c>
      <c r="G641" s="12" t="s">
        <v>8976</v>
      </c>
      <c r="H641" s="12" t="s">
        <v>6051</v>
      </c>
      <c r="I641" s="12" t="s">
        <v>6374</v>
      </c>
      <c r="J641" s="12">
        <v>33002</v>
      </c>
      <c r="K641" s="12" t="s">
        <v>8977</v>
      </c>
      <c r="L641" s="12" t="s">
        <v>6240</v>
      </c>
      <c r="M641" s="13">
        <v>41761</v>
      </c>
      <c r="N641" s="12" t="s">
        <v>8978</v>
      </c>
      <c r="O641" s="12" t="s">
        <v>8979</v>
      </c>
      <c r="P641" s="12"/>
      <c r="Q641" s="12">
        <v>1</v>
      </c>
    </row>
    <row r="642" spans="1:17" ht="15.75" customHeight="1">
      <c r="A642" s="12">
        <v>329</v>
      </c>
      <c r="B642" s="12">
        <v>853</v>
      </c>
      <c r="C642" s="12">
        <v>10894</v>
      </c>
      <c r="D642" s="12" t="s">
        <v>6047</v>
      </c>
      <c r="E642" s="12" t="s">
        <v>8980</v>
      </c>
      <c r="F642" s="12" t="s">
        <v>8981</v>
      </c>
      <c r="G642" s="12" t="s">
        <v>8982</v>
      </c>
      <c r="H642" s="12" t="s">
        <v>6060</v>
      </c>
      <c r="I642" s="12" t="s">
        <v>7082</v>
      </c>
      <c r="J642" s="12">
        <v>10894</v>
      </c>
      <c r="K642" s="12" t="s">
        <v>7339</v>
      </c>
      <c r="L642" s="12" t="s">
        <v>6732</v>
      </c>
      <c r="M642" s="13">
        <v>44727</v>
      </c>
      <c r="N642" s="12" t="s">
        <v>7340</v>
      </c>
      <c r="O642" s="12" t="s">
        <v>7341</v>
      </c>
      <c r="P642" s="12"/>
      <c r="Q642" s="12">
        <v>1</v>
      </c>
    </row>
    <row r="643" spans="1:17" ht="15.75" customHeight="1">
      <c r="A643" s="12">
        <v>423</v>
      </c>
      <c r="B643" s="12">
        <v>292</v>
      </c>
      <c r="C643" s="12">
        <v>4736</v>
      </c>
      <c r="D643" s="12" t="s">
        <v>6047</v>
      </c>
      <c r="E643" s="12" t="s">
        <v>8983</v>
      </c>
      <c r="F643" s="12" t="s">
        <v>8984</v>
      </c>
      <c r="G643" s="12" t="s">
        <v>8985</v>
      </c>
      <c r="H643" s="12" t="s">
        <v>6163</v>
      </c>
      <c r="I643" s="12" t="s">
        <v>6253</v>
      </c>
      <c r="J643" s="12">
        <v>4736</v>
      </c>
      <c r="K643" s="12" t="s">
        <v>7019</v>
      </c>
      <c r="L643" s="12" t="s">
        <v>7020</v>
      </c>
      <c r="M643" s="13">
        <v>44715</v>
      </c>
      <c r="N643" s="12" t="s">
        <v>7021</v>
      </c>
      <c r="O643" s="12" t="s">
        <v>7022</v>
      </c>
      <c r="P643" s="12"/>
      <c r="Q643" s="12">
        <v>1</v>
      </c>
    </row>
    <row r="644" spans="1:17" ht="15.75" customHeight="1">
      <c r="A644" s="12">
        <v>1126</v>
      </c>
      <c r="B644" s="12">
        <v>1427</v>
      </c>
      <c r="C644" s="12">
        <v>21570</v>
      </c>
      <c r="D644" s="12" t="s">
        <v>6047</v>
      </c>
      <c r="E644" s="12" t="s">
        <v>8986</v>
      </c>
      <c r="F644" s="12" t="s">
        <v>8987</v>
      </c>
      <c r="G644" s="12" t="s">
        <v>8988</v>
      </c>
      <c r="H644" s="12" t="s">
        <v>6051</v>
      </c>
      <c r="I644" s="12" t="s">
        <v>6299</v>
      </c>
      <c r="J644" s="12">
        <v>21570</v>
      </c>
      <c r="K644" s="12" t="s">
        <v>8989</v>
      </c>
      <c r="L644" s="12" t="s">
        <v>6345</v>
      </c>
      <c r="M644" s="13">
        <v>42323</v>
      </c>
      <c r="N644" s="12" t="s">
        <v>8990</v>
      </c>
      <c r="O644" s="12" t="s">
        <v>8991</v>
      </c>
      <c r="P644" s="12"/>
      <c r="Q644" s="12">
        <v>1</v>
      </c>
    </row>
    <row r="645" spans="1:17" ht="15.75" customHeight="1">
      <c r="A645" s="12">
        <v>790</v>
      </c>
      <c r="B645" s="12">
        <v>1438</v>
      </c>
      <c r="C645" s="12">
        <v>21769</v>
      </c>
      <c r="D645" s="12" t="s">
        <v>6047</v>
      </c>
      <c r="E645" s="12" t="s">
        <v>8992</v>
      </c>
      <c r="F645" s="12" t="s">
        <v>8993</v>
      </c>
      <c r="G645" s="12" t="s">
        <v>8994</v>
      </c>
      <c r="H645" s="12" t="s">
        <v>6051</v>
      </c>
      <c r="I645" s="12" t="s">
        <v>8726</v>
      </c>
      <c r="J645" s="12">
        <v>21769</v>
      </c>
      <c r="K645" s="12" t="s">
        <v>8995</v>
      </c>
      <c r="L645" s="12" t="s">
        <v>6590</v>
      </c>
      <c r="M645" s="13">
        <v>43033</v>
      </c>
      <c r="N645" s="12" t="s">
        <v>8996</v>
      </c>
      <c r="O645" s="12" t="s">
        <v>8997</v>
      </c>
      <c r="P645" s="12"/>
      <c r="Q645" s="12">
        <v>1</v>
      </c>
    </row>
    <row r="646" spans="1:17" ht="15.75" customHeight="1">
      <c r="A646" s="12">
        <v>407</v>
      </c>
      <c r="B646" s="12">
        <v>1914</v>
      </c>
      <c r="C646" s="12">
        <v>34442</v>
      </c>
      <c r="D646" s="12" t="s">
        <v>6047</v>
      </c>
      <c r="E646" s="12" t="s">
        <v>8998</v>
      </c>
      <c r="F646" s="12" t="s">
        <v>8999</v>
      </c>
      <c r="G646" s="12" t="s">
        <v>9000</v>
      </c>
      <c r="H646" s="12" t="s">
        <v>6051</v>
      </c>
      <c r="I646" s="12" t="s">
        <v>7034</v>
      </c>
      <c r="J646" s="12">
        <v>34442</v>
      </c>
      <c r="K646" s="12" t="s">
        <v>9001</v>
      </c>
      <c r="L646" s="12" t="s">
        <v>7020</v>
      </c>
      <c r="M646" s="13">
        <v>44715</v>
      </c>
      <c r="N646" s="12" t="s">
        <v>9002</v>
      </c>
      <c r="O646" s="12" t="s">
        <v>9003</v>
      </c>
      <c r="P646" s="12"/>
      <c r="Q646" s="12">
        <v>1</v>
      </c>
    </row>
    <row r="647" spans="1:17" ht="15.75" customHeight="1">
      <c r="A647" s="12">
        <v>555</v>
      </c>
      <c r="B647" s="12">
        <v>1982</v>
      </c>
      <c r="C647" s="12">
        <v>35106</v>
      </c>
      <c r="D647" s="12" t="s">
        <v>6047</v>
      </c>
      <c r="E647" s="12" t="s">
        <v>9004</v>
      </c>
      <c r="F647" s="12" t="s">
        <v>9005</v>
      </c>
      <c r="G647" s="12" t="s">
        <v>9006</v>
      </c>
      <c r="H647" s="12" t="s">
        <v>6051</v>
      </c>
      <c r="I647" s="12" t="s">
        <v>6700</v>
      </c>
      <c r="J647" s="12">
        <v>35106</v>
      </c>
      <c r="K647" s="12" t="s">
        <v>6464</v>
      </c>
      <c r="L647" s="12" t="s">
        <v>6408</v>
      </c>
      <c r="M647" s="13">
        <v>43562</v>
      </c>
      <c r="N647" s="12" t="s">
        <v>6465</v>
      </c>
      <c r="O647" s="12" t="s">
        <v>6466</v>
      </c>
      <c r="P647" s="12"/>
      <c r="Q647" s="12">
        <v>1</v>
      </c>
    </row>
    <row r="648" spans="1:17" ht="15.75" customHeight="1">
      <c r="A648" s="12">
        <v>1281</v>
      </c>
      <c r="B648" s="12">
        <v>1945</v>
      </c>
      <c r="C648" s="12">
        <v>34796</v>
      </c>
      <c r="D648" s="12" t="s">
        <v>6047</v>
      </c>
      <c r="E648" s="12" t="s">
        <v>1836</v>
      </c>
      <c r="F648" s="12" t="s">
        <v>9007</v>
      </c>
      <c r="G648" s="12" t="s">
        <v>9008</v>
      </c>
      <c r="H648" s="12" t="s">
        <v>6051</v>
      </c>
      <c r="I648" s="12" t="s">
        <v>6700</v>
      </c>
      <c r="J648" s="12">
        <v>34796</v>
      </c>
      <c r="K648" s="12" t="s">
        <v>6422</v>
      </c>
      <c r="L648" s="12" t="s">
        <v>6423</v>
      </c>
      <c r="M648" s="13">
        <v>41989</v>
      </c>
      <c r="N648" s="12" t="s">
        <v>6424</v>
      </c>
      <c r="O648" s="12" t="s">
        <v>6425</v>
      </c>
      <c r="P648" s="12"/>
      <c r="Q648" s="12">
        <v>1</v>
      </c>
    </row>
    <row r="649" spans="1:17" ht="15.75" customHeight="1">
      <c r="A649" s="12">
        <v>413</v>
      </c>
      <c r="B649" s="12">
        <v>1858</v>
      </c>
      <c r="C649" s="12">
        <v>33971</v>
      </c>
      <c r="D649" s="12" t="s">
        <v>6047</v>
      </c>
      <c r="E649" s="12" t="s">
        <v>9009</v>
      </c>
      <c r="F649" s="12" t="s">
        <v>9010</v>
      </c>
      <c r="G649" s="12" t="s">
        <v>9011</v>
      </c>
      <c r="H649" s="12" t="s">
        <v>6051</v>
      </c>
      <c r="I649" s="12" t="s">
        <v>6362</v>
      </c>
      <c r="J649" s="12">
        <v>33971</v>
      </c>
      <c r="K649" s="12" t="s">
        <v>7019</v>
      </c>
      <c r="L649" s="12" t="s">
        <v>7020</v>
      </c>
      <c r="M649" s="13">
        <v>44715</v>
      </c>
      <c r="N649" s="12" t="s">
        <v>7021</v>
      </c>
      <c r="O649" s="12" t="s">
        <v>7022</v>
      </c>
      <c r="P649" s="12"/>
      <c r="Q649" s="12">
        <v>1</v>
      </c>
    </row>
    <row r="650" spans="1:17" ht="15.75" customHeight="1">
      <c r="A650" s="12">
        <v>523</v>
      </c>
      <c r="B650" s="12">
        <v>1174</v>
      </c>
      <c r="C650" s="12">
        <v>16844</v>
      </c>
      <c r="D650" s="12" t="s">
        <v>6047</v>
      </c>
      <c r="E650" s="12" t="s">
        <v>9012</v>
      </c>
      <c r="F650" s="12" t="s">
        <v>9013</v>
      </c>
      <c r="G650" s="12" t="s">
        <v>9014</v>
      </c>
      <c r="H650" s="12" t="s">
        <v>6051</v>
      </c>
      <c r="I650" s="12" t="s">
        <v>6052</v>
      </c>
      <c r="J650" s="12">
        <v>16844</v>
      </c>
      <c r="K650" s="12" t="s">
        <v>7441</v>
      </c>
      <c r="L650" s="12" t="s">
        <v>6408</v>
      </c>
      <c r="M650" s="13">
        <v>43565</v>
      </c>
      <c r="N650" s="12" t="s">
        <v>7442</v>
      </c>
      <c r="O650" s="12" t="s">
        <v>7559</v>
      </c>
      <c r="P650" s="12"/>
      <c r="Q650" s="12">
        <v>1</v>
      </c>
    </row>
    <row r="651" spans="1:17" ht="15.75" customHeight="1">
      <c r="A651" s="12">
        <v>1120</v>
      </c>
      <c r="B651" s="12">
        <v>1418</v>
      </c>
      <c r="C651" s="12">
        <v>21301</v>
      </c>
      <c r="D651" s="12" t="s">
        <v>6047</v>
      </c>
      <c r="E651" s="12" t="s">
        <v>9015</v>
      </c>
      <c r="F651" s="12" t="s">
        <v>9016</v>
      </c>
      <c r="G651" s="12" t="s">
        <v>9017</v>
      </c>
      <c r="H651" s="12" t="s">
        <v>6051</v>
      </c>
      <c r="I651" s="12" t="s">
        <v>6299</v>
      </c>
      <c r="J651" s="12">
        <v>21301</v>
      </c>
      <c r="K651" s="12" t="s">
        <v>9018</v>
      </c>
      <c r="L651" s="12" t="s">
        <v>6345</v>
      </c>
      <c r="M651" s="13">
        <v>42333</v>
      </c>
      <c r="N651" s="12" t="s">
        <v>9019</v>
      </c>
      <c r="O651" s="12" t="s">
        <v>9020</v>
      </c>
      <c r="P651" s="12"/>
      <c r="Q651" s="12">
        <v>1</v>
      </c>
    </row>
    <row r="652" spans="1:17" ht="15.75" customHeight="1">
      <c r="A652" s="12">
        <v>1002</v>
      </c>
      <c r="B652" s="12">
        <v>1161</v>
      </c>
      <c r="C652" s="12">
        <v>16654</v>
      </c>
      <c r="D652" s="12" t="s">
        <v>6047</v>
      </c>
      <c r="E652" s="12" t="s">
        <v>9021</v>
      </c>
      <c r="F652" s="12" t="s">
        <v>9022</v>
      </c>
      <c r="G652" s="12" t="s">
        <v>9023</v>
      </c>
      <c r="H652" s="12" t="s">
        <v>6051</v>
      </c>
      <c r="I652" s="12" t="s">
        <v>6052</v>
      </c>
      <c r="J652" s="12">
        <v>16654</v>
      </c>
      <c r="K652" s="12" t="s">
        <v>9024</v>
      </c>
      <c r="L652" s="12" t="s">
        <v>6054</v>
      </c>
      <c r="M652" s="13">
        <v>42693</v>
      </c>
      <c r="N652" s="12" t="s">
        <v>9025</v>
      </c>
      <c r="O652" s="12" t="s">
        <v>9026</v>
      </c>
      <c r="P652" s="12"/>
      <c r="Q652" s="12">
        <v>1</v>
      </c>
    </row>
    <row r="653" spans="1:17" ht="15.75" customHeight="1">
      <c r="A653" s="12">
        <v>263</v>
      </c>
      <c r="B653" s="12">
        <v>1680</v>
      </c>
      <c r="C653" s="12">
        <v>30937</v>
      </c>
      <c r="D653" s="12" t="s">
        <v>6047</v>
      </c>
      <c r="E653" s="12" t="s">
        <v>9027</v>
      </c>
      <c r="F653" s="12" t="s">
        <v>9028</v>
      </c>
      <c r="G653" s="12" t="s">
        <v>9029</v>
      </c>
      <c r="H653" s="12" t="s">
        <v>6051</v>
      </c>
      <c r="I653" s="12" t="s">
        <v>6100</v>
      </c>
      <c r="J653" s="12">
        <v>30937</v>
      </c>
      <c r="K653" s="12" t="s">
        <v>8408</v>
      </c>
      <c r="L653" s="12" t="s">
        <v>7469</v>
      </c>
      <c r="M653" s="13">
        <v>45603</v>
      </c>
      <c r="N653" s="12" t="s">
        <v>8409</v>
      </c>
      <c r="O653" s="12" t="s">
        <v>8410</v>
      </c>
      <c r="P653" s="12"/>
      <c r="Q653" s="12">
        <v>1</v>
      </c>
    </row>
    <row r="654" spans="1:17" ht="15.75" customHeight="1">
      <c r="A654" s="12">
        <v>819</v>
      </c>
      <c r="B654" s="12">
        <v>1433</v>
      </c>
      <c r="C654" s="12">
        <v>21612</v>
      </c>
      <c r="D654" s="12" t="s">
        <v>6047</v>
      </c>
      <c r="E654" s="12" t="s">
        <v>9030</v>
      </c>
      <c r="F654" s="12" t="s">
        <v>9031</v>
      </c>
      <c r="G654" s="12" t="s">
        <v>9032</v>
      </c>
      <c r="H654" s="12" t="s">
        <v>6051</v>
      </c>
      <c r="I654" s="12" t="s">
        <v>6299</v>
      </c>
      <c r="J654" s="12">
        <v>21612</v>
      </c>
      <c r="K654" s="12" t="s">
        <v>9033</v>
      </c>
      <c r="L654" s="12" t="s">
        <v>6590</v>
      </c>
      <c r="M654" s="13">
        <v>43027</v>
      </c>
      <c r="N654" s="12" t="s">
        <v>9034</v>
      </c>
      <c r="O654" s="12" t="s">
        <v>9035</v>
      </c>
      <c r="P654" s="12"/>
      <c r="Q654" s="12">
        <v>1</v>
      </c>
    </row>
    <row r="655" spans="1:17" ht="15.75" customHeight="1">
      <c r="A655" s="12">
        <v>248</v>
      </c>
      <c r="B655" s="12">
        <v>1642</v>
      </c>
      <c r="C655" s="12">
        <v>29648</v>
      </c>
      <c r="D655" s="12" t="s">
        <v>6047</v>
      </c>
      <c r="E655" s="12" t="s">
        <v>9036</v>
      </c>
      <c r="F655" s="12" t="s">
        <v>9037</v>
      </c>
      <c r="G655" s="12" t="s">
        <v>9038</v>
      </c>
      <c r="H655" s="12" t="s">
        <v>6051</v>
      </c>
      <c r="I655" s="12" t="s">
        <v>6111</v>
      </c>
      <c r="J655" s="12">
        <v>29648</v>
      </c>
      <c r="K655" s="12" t="s">
        <v>9039</v>
      </c>
      <c r="L655" s="12" t="s">
        <v>7739</v>
      </c>
      <c r="M655" s="13">
        <v>45605</v>
      </c>
      <c r="N655" s="12" t="s">
        <v>9040</v>
      </c>
      <c r="O655" s="12" t="s">
        <v>9041</v>
      </c>
      <c r="P655" s="12"/>
      <c r="Q655" s="12">
        <v>1</v>
      </c>
    </row>
    <row r="656" spans="1:17" ht="15.75" customHeight="1">
      <c r="A656" s="12">
        <v>1997</v>
      </c>
      <c r="B656" s="12">
        <v>1392</v>
      </c>
      <c r="C656" s="12">
        <v>20415</v>
      </c>
      <c r="D656" s="12" t="s">
        <v>6047</v>
      </c>
      <c r="E656" s="12" t="s">
        <v>9042</v>
      </c>
      <c r="F656" s="12" t="s">
        <v>9043</v>
      </c>
      <c r="G656" s="12" t="s">
        <v>9044</v>
      </c>
      <c r="H656" s="12" t="s">
        <v>6051</v>
      </c>
      <c r="I656" s="12" t="s">
        <v>8560</v>
      </c>
      <c r="J656" s="12">
        <v>20415</v>
      </c>
      <c r="K656" s="12" t="s">
        <v>6112</v>
      </c>
      <c r="L656" s="12" t="s">
        <v>6113</v>
      </c>
      <c r="M656" s="13">
        <v>38573</v>
      </c>
      <c r="N656" s="12" t="s">
        <v>6114</v>
      </c>
      <c r="O656" s="12" t="s">
        <v>6115</v>
      </c>
      <c r="P656" s="12"/>
      <c r="Q656" s="12">
        <v>1</v>
      </c>
    </row>
    <row r="657" spans="1:17" ht="15.75" customHeight="1">
      <c r="A657" s="12">
        <v>1802</v>
      </c>
      <c r="B657" s="12">
        <v>1238</v>
      </c>
      <c r="C657" s="12">
        <v>17494</v>
      </c>
      <c r="D657" s="12" t="s">
        <v>6047</v>
      </c>
      <c r="E657" s="12" t="s">
        <v>9045</v>
      </c>
      <c r="F657" s="12" t="s">
        <v>9046</v>
      </c>
      <c r="G657" s="12" t="s">
        <v>9047</v>
      </c>
      <c r="H657" s="12" t="s">
        <v>6051</v>
      </c>
      <c r="I657" s="12" t="s">
        <v>6052</v>
      </c>
      <c r="J657" s="12">
        <v>17494</v>
      </c>
      <c r="K657" s="12" t="s">
        <v>6062</v>
      </c>
      <c r="L657" s="12" t="s">
        <v>6063</v>
      </c>
      <c r="M657" s="13">
        <v>40873</v>
      </c>
      <c r="N657" s="12" t="s">
        <v>6064</v>
      </c>
      <c r="O657" s="12" t="s">
        <v>6065</v>
      </c>
      <c r="P657" s="12"/>
      <c r="Q657" s="12">
        <v>1</v>
      </c>
    </row>
    <row r="658" spans="1:17" ht="15.75" customHeight="1">
      <c r="A658" s="12">
        <v>728</v>
      </c>
      <c r="B658" s="12">
        <v>229</v>
      </c>
      <c r="C658" s="12">
        <v>4194</v>
      </c>
      <c r="D658" s="12" t="s">
        <v>6047</v>
      </c>
      <c r="E658" s="12" t="s">
        <v>9048</v>
      </c>
      <c r="F658" s="12" t="s">
        <v>9049</v>
      </c>
      <c r="G658" s="12" t="s">
        <v>9050</v>
      </c>
      <c r="H658" s="12" t="s">
        <v>6163</v>
      </c>
      <c r="I658" s="12" t="s">
        <v>6164</v>
      </c>
      <c r="J658" s="12">
        <v>4194</v>
      </c>
      <c r="K658" s="12" t="s">
        <v>7193</v>
      </c>
      <c r="L658" s="12" t="s">
        <v>7194</v>
      </c>
      <c r="M658" s="13">
        <v>43199</v>
      </c>
      <c r="N658" s="12" t="s">
        <v>7195</v>
      </c>
      <c r="O658" s="12" t="s">
        <v>7196</v>
      </c>
      <c r="P658" s="12"/>
      <c r="Q658" s="12">
        <v>1</v>
      </c>
    </row>
    <row r="659" spans="1:17" ht="15.75" customHeight="1">
      <c r="A659" s="12">
        <v>1516</v>
      </c>
      <c r="B659" s="12">
        <v>509</v>
      </c>
      <c r="C659" s="12">
        <v>6731</v>
      </c>
      <c r="D659" s="12" t="s">
        <v>6047</v>
      </c>
      <c r="E659" s="12" t="s">
        <v>1847</v>
      </c>
      <c r="F659" s="12" t="s">
        <v>9051</v>
      </c>
      <c r="G659" s="12" t="s">
        <v>9052</v>
      </c>
      <c r="H659" s="12" t="s">
        <v>6137</v>
      </c>
      <c r="I659" s="12" t="s">
        <v>6200</v>
      </c>
      <c r="J659" s="12">
        <v>6731</v>
      </c>
      <c r="K659" s="12" t="s">
        <v>6324</v>
      </c>
      <c r="L659" s="12" t="s">
        <v>6240</v>
      </c>
      <c r="M659" s="13">
        <v>41760</v>
      </c>
      <c r="N659" s="12" t="s">
        <v>6325</v>
      </c>
      <c r="O659" s="12" t="s">
        <v>9053</v>
      </c>
      <c r="P659" s="12"/>
      <c r="Q659" s="12">
        <v>1</v>
      </c>
    </row>
    <row r="660" spans="1:17" ht="15.75" customHeight="1">
      <c r="A660" s="12">
        <v>19</v>
      </c>
      <c r="B660" s="12">
        <v>1287</v>
      </c>
      <c r="C660" s="12">
        <v>18231</v>
      </c>
      <c r="D660" s="12" t="s">
        <v>6047</v>
      </c>
      <c r="E660" s="12" t="s">
        <v>1850</v>
      </c>
      <c r="F660" s="12" t="s">
        <v>9054</v>
      </c>
      <c r="G660" s="12" t="s">
        <v>9055</v>
      </c>
      <c r="H660" s="12" t="s">
        <v>6051</v>
      </c>
      <c r="I660" s="12" t="s">
        <v>9056</v>
      </c>
      <c r="J660" s="12">
        <v>18231</v>
      </c>
      <c r="K660" s="12" t="s">
        <v>8727</v>
      </c>
      <c r="L660" s="12" t="s">
        <v>6905</v>
      </c>
      <c r="M660" s="13">
        <v>45980</v>
      </c>
      <c r="N660" s="12" t="s">
        <v>8728</v>
      </c>
      <c r="O660" s="12" t="s">
        <v>8729</v>
      </c>
      <c r="P660" s="12"/>
      <c r="Q660" s="12">
        <v>1</v>
      </c>
    </row>
    <row r="661" spans="1:17" ht="15.75" customHeight="1">
      <c r="A661" s="12">
        <v>677</v>
      </c>
      <c r="B661" s="12">
        <v>1778</v>
      </c>
      <c r="C661" s="12">
        <v>33099</v>
      </c>
      <c r="D661" s="12" t="s">
        <v>6047</v>
      </c>
      <c r="E661" s="12" t="s">
        <v>1852</v>
      </c>
      <c r="F661" s="12" t="s">
        <v>9057</v>
      </c>
      <c r="G661" s="12" t="s">
        <v>9058</v>
      </c>
      <c r="H661" s="12" t="s">
        <v>6051</v>
      </c>
      <c r="I661" s="12" t="s">
        <v>6374</v>
      </c>
      <c r="J661" s="12">
        <v>33099</v>
      </c>
      <c r="K661" s="12" t="s">
        <v>9059</v>
      </c>
      <c r="L661" s="12" t="s">
        <v>6531</v>
      </c>
      <c r="M661" s="13">
        <v>43282</v>
      </c>
      <c r="N661" s="12" t="s">
        <v>9060</v>
      </c>
      <c r="O661" s="12" t="s">
        <v>9061</v>
      </c>
      <c r="P661" s="12"/>
      <c r="Q661" s="12">
        <v>1</v>
      </c>
    </row>
    <row r="662" spans="1:17" ht="15.75" customHeight="1">
      <c r="A662" s="12">
        <v>297</v>
      </c>
      <c r="B662" s="12">
        <v>678</v>
      </c>
      <c r="C662" s="12">
        <v>8179</v>
      </c>
      <c r="D662" s="12" t="s">
        <v>6047</v>
      </c>
      <c r="E662" s="12" t="s">
        <v>1857</v>
      </c>
      <c r="F662" s="12" t="s">
        <v>9062</v>
      </c>
      <c r="G662" s="12" t="s">
        <v>9063</v>
      </c>
      <c r="H662" s="12" t="s">
        <v>6075</v>
      </c>
      <c r="I662" s="12" t="s">
        <v>6076</v>
      </c>
      <c r="J662" s="12">
        <v>8179</v>
      </c>
      <c r="K662" s="12" t="s">
        <v>7468</v>
      </c>
      <c r="L662" s="12" t="s">
        <v>7469</v>
      </c>
      <c r="M662" s="13">
        <v>45602</v>
      </c>
      <c r="N662" s="12" t="s">
        <v>7470</v>
      </c>
      <c r="O662" s="12" t="s">
        <v>7471</v>
      </c>
      <c r="P662" s="12"/>
      <c r="Q662" s="12">
        <v>1</v>
      </c>
    </row>
    <row r="663" spans="1:17" ht="15.75" customHeight="1">
      <c r="A663" s="12">
        <v>1131</v>
      </c>
      <c r="B663" s="12">
        <v>488</v>
      </c>
      <c r="C663" s="12">
        <v>6494</v>
      </c>
      <c r="D663" s="12" t="s">
        <v>6047</v>
      </c>
      <c r="E663" s="12" t="s">
        <v>9064</v>
      </c>
      <c r="F663" s="12" t="s">
        <v>9065</v>
      </c>
      <c r="G663" s="12" t="s">
        <v>9066</v>
      </c>
      <c r="H663" s="12" t="s">
        <v>6137</v>
      </c>
      <c r="I663" s="12" t="s">
        <v>6200</v>
      </c>
      <c r="J663" s="12">
        <v>6494</v>
      </c>
      <c r="K663" s="12" t="s">
        <v>9067</v>
      </c>
      <c r="L663" s="12" t="s">
        <v>7933</v>
      </c>
      <c r="M663" s="13">
        <v>42291</v>
      </c>
      <c r="N663" s="12" t="s">
        <v>9068</v>
      </c>
      <c r="O663" s="12" t="s">
        <v>9069</v>
      </c>
      <c r="P663" s="12"/>
      <c r="Q663" s="12">
        <v>1</v>
      </c>
    </row>
    <row r="664" spans="1:17" ht="15.75" customHeight="1">
      <c r="A664" s="12">
        <v>34</v>
      </c>
      <c r="B664" s="12">
        <v>17</v>
      </c>
      <c r="C664" s="12">
        <v>375</v>
      </c>
      <c r="D664" s="12" t="s">
        <v>6047</v>
      </c>
      <c r="E664" s="12" t="s">
        <v>1859</v>
      </c>
      <c r="F664" s="12" t="s">
        <v>9070</v>
      </c>
      <c r="G664" s="12" t="s">
        <v>9071</v>
      </c>
      <c r="H664" s="12" t="s">
        <v>6289</v>
      </c>
      <c r="I664" s="12" t="s">
        <v>6290</v>
      </c>
      <c r="J664" s="12">
        <v>375</v>
      </c>
      <c r="K664" s="12" t="s">
        <v>9072</v>
      </c>
      <c r="L664" s="12" t="s">
        <v>6590</v>
      </c>
      <c r="M664" s="13">
        <v>45975</v>
      </c>
      <c r="N664" s="12" t="s">
        <v>9073</v>
      </c>
      <c r="O664" s="12" t="s">
        <v>9074</v>
      </c>
      <c r="P664" s="12"/>
      <c r="Q664" s="12">
        <v>1</v>
      </c>
    </row>
    <row r="665" spans="1:17" ht="15.75" customHeight="1">
      <c r="A665" s="12">
        <v>317</v>
      </c>
      <c r="B665" s="12">
        <v>9</v>
      </c>
      <c r="C665" s="12">
        <v>249</v>
      </c>
      <c r="D665" s="12" t="s">
        <v>6047</v>
      </c>
      <c r="E665" s="12" t="s">
        <v>9075</v>
      </c>
      <c r="F665" s="12" t="s">
        <v>9076</v>
      </c>
      <c r="G665" s="12" t="s">
        <v>9077</v>
      </c>
      <c r="H665" s="12" t="s">
        <v>6289</v>
      </c>
      <c r="I665" s="12" t="s">
        <v>6290</v>
      </c>
      <c r="J665" s="12">
        <v>249</v>
      </c>
      <c r="K665" s="12" t="s">
        <v>9078</v>
      </c>
      <c r="L665" s="12" t="s">
        <v>6345</v>
      </c>
      <c r="M665" s="13">
        <v>44898</v>
      </c>
      <c r="N665" s="12" t="s">
        <v>9079</v>
      </c>
      <c r="O665" s="12" t="s">
        <v>9080</v>
      </c>
      <c r="P665" s="12"/>
      <c r="Q665" s="12">
        <v>1</v>
      </c>
    </row>
    <row r="666" spans="1:17" ht="15.75" customHeight="1">
      <c r="A666" s="12">
        <v>984</v>
      </c>
      <c r="B666" s="12">
        <v>1726</v>
      </c>
      <c r="C666" s="12">
        <v>32045</v>
      </c>
      <c r="D666" s="12" t="s">
        <v>6047</v>
      </c>
      <c r="E666" s="12" t="s">
        <v>9081</v>
      </c>
      <c r="F666" s="12" t="s">
        <v>9082</v>
      </c>
      <c r="G666" s="12" t="s">
        <v>9083</v>
      </c>
      <c r="H666" s="12" t="s">
        <v>6051</v>
      </c>
      <c r="I666" s="12" t="s">
        <v>6232</v>
      </c>
      <c r="J666" s="12">
        <v>32045</v>
      </c>
      <c r="K666" s="12" t="s">
        <v>9084</v>
      </c>
      <c r="L666" s="12" t="s">
        <v>6357</v>
      </c>
      <c r="M666" s="13">
        <v>42694</v>
      </c>
      <c r="N666" s="12" t="s">
        <v>9085</v>
      </c>
      <c r="O666" s="12" t="s">
        <v>9086</v>
      </c>
      <c r="P666" s="12"/>
      <c r="Q666" s="12">
        <v>1</v>
      </c>
    </row>
    <row r="667" spans="1:17" ht="15.75" customHeight="1">
      <c r="A667" s="12">
        <v>703</v>
      </c>
      <c r="B667" s="12">
        <v>1184</v>
      </c>
      <c r="C667" s="12">
        <v>16940</v>
      </c>
      <c r="D667" s="12" t="s">
        <v>6047</v>
      </c>
      <c r="E667" s="12" t="s">
        <v>9087</v>
      </c>
      <c r="F667" s="12" t="s">
        <v>9088</v>
      </c>
      <c r="G667" s="12" t="s">
        <v>9089</v>
      </c>
      <c r="H667" s="12" t="s">
        <v>6051</v>
      </c>
      <c r="I667" s="12" t="s">
        <v>6052</v>
      </c>
      <c r="J667" s="12">
        <v>16940</v>
      </c>
      <c r="K667" s="12" t="s">
        <v>7253</v>
      </c>
      <c r="L667" s="12" t="s">
        <v>7254</v>
      </c>
      <c r="M667" s="13">
        <v>43203</v>
      </c>
      <c r="N667" s="12" t="s">
        <v>7255</v>
      </c>
      <c r="O667" s="12" t="s">
        <v>7796</v>
      </c>
      <c r="P667" s="12"/>
      <c r="Q667" s="12">
        <v>1</v>
      </c>
    </row>
    <row r="668" spans="1:17" ht="15.75" customHeight="1">
      <c r="A668" s="12">
        <v>54</v>
      </c>
      <c r="B668" s="12">
        <v>1267</v>
      </c>
      <c r="C668" s="12">
        <v>17892</v>
      </c>
      <c r="D668" s="12" t="s">
        <v>6047</v>
      </c>
      <c r="E668" s="12" t="s">
        <v>9090</v>
      </c>
      <c r="F668" s="12" t="s">
        <v>9091</v>
      </c>
      <c r="G668" s="12" t="s">
        <v>9092</v>
      </c>
      <c r="H668" s="12" t="s">
        <v>6051</v>
      </c>
      <c r="I668" s="12" t="s">
        <v>6857</v>
      </c>
      <c r="J668" s="12">
        <v>17892</v>
      </c>
      <c r="K668" s="12" t="s">
        <v>9093</v>
      </c>
      <c r="L668" s="12" t="s">
        <v>6590</v>
      </c>
      <c r="M668" s="13">
        <v>45972</v>
      </c>
      <c r="N668" s="12" t="s">
        <v>9094</v>
      </c>
      <c r="O668" s="12" t="s">
        <v>9095</v>
      </c>
      <c r="P668" s="12"/>
      <c r="Q668" s="12">
        <v>1</v>
      </c>
    </row>
    <row r="669" spans="1:17" ht="15.75" customHeight="1">
      <c r="A669" s="12">
        <v>1926</v>
      </c>
      <c r="B669" s="12">
        <v>673</v>
      </c>
      <c r="C669" s="12">
        <v>8098</v>
      </c>
      <c r="D669" s="12" t="s">
        <v>6047</v>
      </c>
      <c r="E669" s="12" t="s">
        <v>9096</v>
      </c>
      <c r="F669" s="12" t="s">
        <v>9097</v>
      </c>
      <c r="G669" s="12" t="s">
        <v>9098</v>
      </c>
      <c r="H669" s="12" t="s">
        <v>6075</v>
      </c>
      <c r="I669" s="12" t="s">
        <v>6076</v>
      </c>
      <c r="J669" s="12">
        <v>8098</v>
      </c>
      <c r="K669" s="12" t="s">
        <v>7476</v>
      </c>
      <c r="L669" s="12" t="s">
        <v>7477</v>
      </c>
      <c r="M669" s="13">
        <v>39237</v>
      </c>
      <c r="N669" s="12" t="s">
        <v>7478</v>
      </c>
      <c r="O669" s="12" t="s">
        <v>7479</v>
      </c>
      <c r="P669" s="12"/>
      <c r="Q669" s="12">
        <v>1</v>
      </c>
    </row>
    <row r="670" spans="1:17" ht="15.75" customHeight="1">
      <c r="A670" s="12">
        <v>1310</v>
      </c>
      <c r="B670" s="12">
        <v>1384</v>
      </c>
      <c r="C670" s="12">
        <v>20117</v>
      </c>
      <c r="D670" s="12" t="s">
        <v>6047</v>
      </c>
      <c r="E670" s="12" t="s">
        <v>9099</v>
      </c>
      <c r="F670" s="12" t="s">
        <v>9100</v>
      </c>
      <c r="G670" s="12" t="s">
        <v>9101</v>
      </c>
      <c r="H670" s="12" t="s">
        <v>6051</v>
      </c>
      <c r="I670" s="12" t="s">
        <v>7041</v>
      </c>
      <c r="J670" s="12">
        <v>20117</v>
      </c>
      <c r="K670" s="12" t="s">
        <v>6851</v>
      </c>
      <c r="L670" s="12" t="s">
        <v>6106</v>
      </c>
      <c r="M670" s="13">
        <v>41927</v>
      </c>
      <c r="N670" s="12" t="s">
        <v>6852</v>
      </c>
      <c r="O670" s="12" t="s">
        <v>9102</v>
      </c>
      <c r="P670" s="12"/>
      <c r="Q670" s="12">
        <v>1</v>
      </c>
    </row>
    <row r="671" spans="1:17" ht="15.75" customHeight="1">
      <c r="A671" s="12">
        <v>1553</v>
      </c>
      <c r="B671" s="12">
        <v>35</v>
      </c>
      <c r="C671" s="12">
        <v>505</v>
      </c>
      <c r="D671" s="12" t="s">
        <v>6047</v>
      </c>
      <c r="E671" s="12" t="s">
        <v>9103</v>
      </c>
      <c r="F671" s="12" t="s">
        <v>9104</v>
      </c>
      <c r="G671" s="12" t="s">
        <v>9105</v>
      </c>
      <c r="H671" s="12" t="s">
        <v>6289</v>
      </c>
      <c r="I671" s="12" t="s">
        <v>6290</v>
      </c>
      <c r="J671" s="12">
        <v>505</v>
      </c>
      <c r="K671" s="12" t="s">
        <v>7914</v>
      </c>
      <c r="L671" s="12" t="s">
        <v>6255</v>
      </c>
      <c r="M671" s="13">
        <v>41563</v>
      </c>
      <c r="N671" s="12" t="s">
        <v>7915</v>
      </c>
      <c r="O671" s="12" t="s">
        <v>9106</v>
      </c>
      <c r="P671" s="12"/>
      <c r="Q671" s="12">
        <v>1</v>
      </c>
    </row>
    <row r="672" spans="1:17" ht="15.75" customHeight="1">
      <c r="A672" s="12">
        <v>851</v>
      </c>
      <c r="B672" s="12">
        <v>919</v>
      </c>
      <c r="C672" s="12">
        <v>12176</v>
      </c>
      <c r="D672" s="12" t="s">
        <v>6047</v>
      </c>
      <c r="E672" s="12" t="s">
        <v>9107</v>
      </c>
      <c r="F672" s="12" t="s">
        <v>9108</v>
      </c>
      <c r="G672" s="12" t="s">
        <v>9109</v>
      </c>
      <c r="H672" s="12" t="s">
        <v>6627</v>
      </c>
      <c r="I672" s="12" t="s">
        <v>9110</v>
      </c>
      <c r="J672" s="12">
        <v>12176</v>
      </c>
      <c r="K672" s="12" t="s">
        <v>6660</v>
      </c>
      <c r="L672" s="12" t="s">
        <v>6564</v>
      </c>
      <c r="M672" s="13">
        <v>43019</v>
      </c>
      <c r="N672" s="12" t="s">
        <v>6661</v>
      </c>
      <c r="O672" s="12" t="s">
        <v>6662</v>
      </c>
      <c r="P672" s="12"/>
      <c r="Q672" s="12">
        <v>1</v>
      </c>
    </row>
    <row r="673" spans="1:17" ht="15.75" customHeight="1">
      <c r="A673" s="12">
        <v>2028</v>
      </c>
      <c r="B673" s="12">
        <v>157</v>
      </c>
      <c r="C673" s="12">
        <v>2397</v>
      </c>
      <c r="D673" s="12" t="s">
        <v>6047</v>
      </c>
      <c r="E673" s="12" t="s">
        <v>9111</v>
      </c>
      <c r="F673" s="12" t="s">
        <v>9112</v>
      </c>
      <c r="G673" s="12" t="s">
        <v>9113</v>
      </c>
      <c r="H673" s="12" t="s">
        <v>6127</v>
      </c>
      <c r="I673" s="12" t="s">
        <v>6128</v>
      </c>
      <c r="J673" s="12">
        <v>2397</v>
      </c>
      <c r="K673" s="12" t="s">
        <v>6277</v>
      </c>
      <c r="L673" s="12" t="s">
        <v>6278</v>
      </c>
      <c r="M673" s="13">
        <v>38176</v>
      </c>
      <c r="N673" s="12" t="s">
        <v>6279</v>
      </c>
      <c r="O673" s="12" t="s">
        <v>6280</v>
      </c>
      <c r="P673" s="12"/>
      <c r="Q673" s="12">
        <v>1</v>
      </c>
    </row>
    <row r="674" spans="1:17" ht="15.75" customHeight="1">
      <c r="A674" s="12">
        <v>2031</v>
      </c>
      <c r="B674" s="12">
        <v>717</v>
      </c>
      <c r="C674" s="12">
        <v>8505</v>
      </c>
      <c r="D674" s="12" t="s">
        <v>6047</v>
      </c>
      <c r="E674" s="12" t="s">
        <v>9114</v>
      </c>
      <c r="F674" s="12" t="s">
        <v>9115</v>
      </c>
      <c r="G674" s="12" t="s">
        <v>9116</v>
      </c>
      <c r="H674" s="12" t="s">
        <v>6075</v>
      </c>
      <c r="I674" s="12" t="s">
        <v>6076</v>
      </c>
      <c r="J674" s="12">
        <v>8505</v>
      </c>
      <c r="K674" s="12" t="s">
        <v>7553</v>
      </c>
      <c r="L674" s="12" t="s">
        <v>6278</v>
      </c>
      <c r="M674" s="13">
        <v>38174</v>
      </c>
      <c r="N674" s="12" t="s">
        <v>7554</v>
      </c>
      <c r="O674" s="12" t="s">
        <v>7555</v>
      </c>
      <c r="P674" s="12"/>
      <c r="Q674" s="12">
        <v>1</v>
      </c>
    </row>
    <row r="675" spans="1:17" ht="15.75" customHeight="1">
      <c r="A675" s="12">
        <v>2039</v>
      </c>
      <c r="B675" s="12">
        <v>1594</v>
      </c>
      <c r="C675" s="12">
        <v>28085</v>
      </c>
      <c r="D675" s="12" t="s">
        <v>6047</v>
      </c>
      <c r="E675" s="12" t="s">
        <v>9117</v>
      </c>
      <c r="F675" s="12" t="s">
        <v>9118</v>
      </c>
      <c r="G675" s="12" t="s">
        <v>9119</v>
      </c>
      <c r="H675" s="12" t="s">
        <v>6051</v>
      </c>
      <c r="I675" s="12" t="s">
        <v>6894</v>
      </c>
      <c r="J675" s="12">
        <v>28085</v>
      </c>
      <c r="K675" s="12" t="s">
        <v>9120</v>
      </c>
      <c r="L675" s="12" t="s">
        <v>6278</v>
      </c>
      <c r="M675" s="13">
        <v>38172</v>
      </c>
      <c r="N675" s="12" t="s">
        <v>9121</v>
      </c>
      <c r="O675" s="12" t="s">
        <v>9122</v>
      </c>
      <c r="P675" s="12"/>
      <c r="Q675" s="12">
        <v>1</v>
      </c>
    </row>
    <row r="676" spans="1:17" ht="15.75" customHeight="1">
      <c r="A676" s="12">
        <v>2037</v>
      </c>
      <c r="B676" s="12">
        <v>537</v>
      </c>
      <c r="C676" s="12">
        <v>6958</v>
      </c>
      <c r="D676" s="12" t="s">
        <v>6047</v>
      </c>
      <c r="E676" s="12" t="s">
        <v>9123</v>
      </c>
      <c r="F676" s="12" t="s">
        <v>9124</v>
      </c>
      <c r="G676" s="12" t="s">
        <v>9125</v>
      </c>
      <c r="H676" s="12" t="s">
        <v>9126</v>
      </c>
      <c r="I676" s="12" t="s">
        <v>9127</v>
      </c>
      <c r="J676" s="12">
        <v>6958</v>
      </c>
      <c r="K676" s="12" t="s">
        <v>9128</v>
      </c>
      <c r="L676" s="12" t="s">
        <v>6278</v>
      </c>
      <c r="M676" s="13">
        <v>38173</v>
      </c>
      <c r="N676" s="12" t="s">
        <v>9129</v>
      </c>
      <c r="O676" s="12" t="s">
        <v>9130</v>
      </c>
      <c r="P676" s="12"/>
      <c r="Q676" s="12">
        <v>1</v>
      </c>
    </row>
    <row r="677" spans="1:17" ht="15.75" customHeight="1">
      <c r="A677" s="12">
        <v>829</v>
      </c>
      <c r="B677" s="12">
        <v>918</v>
      </c>
      <c r="C677" s="12">
        <v>12175</v>
      </c>
      <c r="D677" s="12" t="s">
        <v>6047</v>
      </c>
      <c r="E677" s="12" t="s">
        <v>9131</v>
      </c>
      <c r="F677" s="12" t="s">
        <v>9132</v>
      </c>
      <c r="G677" s="12" t="s">
        <v>9133</v>
      </c>
      <c r="H677" s="12" t="s">
        <v>6627</v>
      </c>
      <c r="I677" s="12" t="s">
        <v>9110</v>
      </c>
      <c r="J677" s="12">
        <v>12175</v>
      </c>
      <c r="K677" s="12" t="s">
        <v>6807</v>
      </c>
      <c r="L677" s="12" t="s">
        <v>6564</v>
      </c>
      <c r="M677" s="13">
        <v>43022</v>
      </c>
      <c r="N677" s="12" t="s">
        <v>6808</v>
      </c>
      <c r="O677" s="12" t="s">
        <v>6809</v>
      </c>
      <c r="P677" s="12"/>
      <c r="Q677" s="12">
        <v>1</v>
      </c>
    </row>
    <row r="678" spans="1:17" ht="15.75" customHeight="1">
      <c r="A678" s="12">
        <v>1032</v>
      </c>
      <c r="B678" s="12">
        <v>310</v>
      </c>
      <c r="C678" s="12">
        <v>4913</v>
      </c>
      <c r="D678" s="12" t="s">
        <v>6047</v>
      </c>
      <c r="E678" s="12" t="s">
        <v>9134</v>
      </c>
      <c r="F678" s="12" t="s">
        <v>9135</v>
      </c>
      <c r="G678" s="12" t="s">
        <v>9136</v>
      </c>
      <c r="H678" s="12" t="s">
        <v>6163</v>
      </c>
      <c r="I678" s="12" t="s">
        <v>6253</v>
      </c>
      <c r="J678" s="12">
        <v>4913</v>
      </c>
      <c r="K678" s="12" t="s">
        <v>8314</v>
      </c>
      <c r="L678" s="12" t="s">
        <v>6504</v>
      </c>
      <c r="M678" s="13">
        <v>42689</v>
      </c>
      <c r="N678" s="12" t="s">
        <v>8315</v>
      </c>
      <c r="O678" s="12" t="s">
        <v>8316</v>
      </c>
      <c r="P678" s="12"/>
      <c r="Q678" s="12">
        <v>1</v>
      </c>
    </row>
    <row r="679" spans="1:17" ht="15.75" customHeight="1">
      <c r="A679" s="12">
        <v>997</v>
      </c>
      <c r="B679" s="12">
        <v>763</v>
      </c>
      <c r="C679" s="12">
        <v>9543</v>
      </c>
      <c r="D679" s="12" t="s">
        <v>6047</v>
      </c>
      <c r="E679" s="12" t="s">
        <v>1889</v>
      </c>
      <c r="F679" s="12" t="s">
        <v>9137</v>
      </c>
      <c r="G679" s="12" t="s">
        <v>9138</v>
      </c>
      <c r="H679" s="12" t="s">
        <v>7330</v>
      </c>
      <c r="I679" s="12" t="s">
        <v>7331</v>
      </c>
      <c r="J679" s="12">
        <v>9543</v>
      </c>
      <c r="K679" s="12" t="s">
        <v>7376</v>
      </c>
      <c r="L679" s="12" t="s">
        <v>6054</v>
      </c>
      <c r="M679" s="13">
        <v>42693</v>
      </c>
      <c r="N679" s="12" t="s">
        <v>7377</v>
      </c>
      <c r="O679" s="12" t="s">
        <v>9139</v>
      </c>
      <c r="P679" s="12"/>
      <c r="Q679" s="12">
        <v>1</v>
      </c>
    </row>
    <row r="680" spans="1:17" ht="15.75" customHeight="1">
      <c r="A680" s="12">
        <v>233</v>
      </c>
      <c r="B680" s="12">
        <v>189</v>
      </c>
      <c r="C680" s="12">
        <v>3072</v>
      </c>
      <c r="D680" s="12" t="s">
        <v>6047</v>
      </c>
      <c r="E680" s="12" t="s">
        <v>1893</v>
      </c>
      <c r="F680" s="12" t="s">
        <v>9140</v>
      </c>
      <c r="G680" s="12" t="s">
        <v>9141</v>
      </c>
      <c r="H680" s="12" t="s">
        <v>7069</v>
      </c>
      <c r="I680" s="12" t="s">
        <v>7070</v>
      </c>
      <c r="J680" s="12">
        <v>3072</v>
      </c>
      <c r="K680" s="12" t="s">
        <v>6517</v>
      </c>
      <c r="L680" s="12" t="s">
        <v>6518</v>
      </c>
      <c r="M680" s="13">
        <v>45608</v>
      </c>
      <c r="N680" s="12" t="s">
        <v>6519</v>
      </c>
      <c r="O680" s="12" t="s">
        <v>6520</v>
      </c>
      <c r="P680" s="12"/>
      <c r="Q680" s="12">
        <v>1</v>
      </c>
    </row>
    <row r="681" spans="1:17" ht="15.75" customHeight="1">
      <c r="A681" s="12">
        <v>956</v>
      </c>
      <c r="B681" s="12">
        <v>1838</v>
      </c>
      <c r="C681" s="12">
        <v>33840</v>
      </c>
      <c r="D681" s="12" t="s">
        <v>6047</v>
      </c>
      <c r="E681" s="12" t="s">
        <v>9142</v>
      </c>
      <c r="F681" s="12" t="s">
        <v>9143</v>
      </c>
      <c r="G681" s="12" t="s">
        <v>9144</v>
      </c>
      <c r="H681" s="12" t="s">
        <v>6051</v>
      </c>
      <c r="I681" s="12" t="s">
        <v>6261</v>
      </c>
      <c r="J681" s="12">
        <v>33840</v>
      </c>
      <c r="K681" s="12" t="s">
        <v>7376</v>
      </c>
      <c r="L681" s="12" t="s">
        <v>6054</v>
      </c>
      <c r="M681" s="13">
        <v>42826</v>
      </c>
      <c r="N681" s="12" t="s">
        <v>7377</v>
      </c>
      <c r="O681" s="12" t="s">
        <v>7378</v>
      </c>
      <c r="P681" s="12"/>
      <c r="Q681" s="12">
        <v>1</v>
      </c>
    </row>
    <row r="682" spans="1:17" ht="15.75" customHeight="1">
      <c r="A682" s="12">
        <v>515</v>
      </c>
      <c r="B682" s="12">
        <v>289</v>
      </c>
      <c r="C682" s="12">
        <v>4718</v>
      </c>
      <c r="D682" s="12" t="s">
        <v>6047</v>
      </c>
      <c r="E682" s="12" t="s">
        <v>9145</v>
      </c>
      <c r="F682" s="12" t="s">
        <v>9146</v>
      </c>
      <c r="G682" s="12" t="s">
        <v>9147</v>
      </c>
      <c r="H682" s="12" t="s">
        <v>6163</v>
      </c>
      <c r="I682" s="12" t="s">
        <v>6253</v>
      </c>
      <c r="J682" s="12">
        <v>4718</v>
      </c>
      <c r="K682" s="12" t="s">
        <v>6416</v>
      </c>
      <c r="L682" s="12" t="s">
        <v>6417</v>
      </c>
      <c r="M682" s="13">
        <v>43567</v>
      </c>
      <c r="N682" s="12" t="s">
        <v>6418</v>
      </c>
      <c r="O682" s="12" t="s">
        <v>6419</v>
      </c>
      <c r="P682" s="12"/>
      <c r="Q682" s="12">
        <v>1</v>
      </c>
    </row>
    <row r="683" spans="1:17" ht="15.75" customHeight="1">
      <c r="A683" s="12">
        <v>1460</v>
      </c>
      <c r="B683" s="12">
        <v>807</v>
      </c>
      <c r="C683" s="12">
        <v>10293</v>
      </c>
      <c r="D683" s="12" t="s">
        <v>6047</v>
      </c>
      <c r="E683" s="12" t="s">
        <v>9148</v>
      </c>
      <c r="F683" s="12" t="s">
        <v>9149</v>
      </c>
      <c r="G683" s="12" t="s">
        <v>9150</v>
      </c>
      <c r="H683" s="12" t="s">
        <v>6265</v>
      </c>
      <c r="I683" s="12" t="s">
        <v>6266</v>
      </c>
      <c r="J683" s="12">
        <v>10293</v>
      </c>
      <c r="K683" s="12" t="s">
        <v>6069</v>
      </c>
      <c r="L683" s="12" t="s">
        <v>6070</v>
      </c>
      <c r="M683" s="13">
        <v>41907</v>
      </c>
      <c r="N683" s="12" t="s">
        <v>6071</v>
      </c>
      <c r="O683" s="12" t="s">
        <v>6072</v>
      </c>
      <c r="P683" s="12"/>
      <c r="Q683" s="12">
        <v>1</v>
      </c>
    </row>
    <row r="684" spans="1:17" ht="15.75" customHeight="1">
      <c r="A684" s="12">
        <v>198</v>
      </c>
      <c r="B684" s="12">
        <v>1964</v>
      </c>
      <c r="C684" s="12">
        <v>34953</v>
      </c>
      <c r="D684" s="12" t="s">
        <v>6047</v>
      </c>
      <c r="E684" s="12" t="s">
        <v>9151</v>
      </c>
      <c r="F684" s="12" t="s">
        <v>9152</v>
      </c>
      <c r="G684" s="12" t="s">
        <v>9153</v>
      </c>
      <c r="H684" s="12" t="s">
        <v>6051</v>
      </c>
      <c r="I684" s="12" t="s">
        <v>6700</v>
      </c>
      <c r="J684" s="12">
        <v>34953</v>
      </c>
      <c r="K684" s="12" t="s">
        <v>9154</v>
      </c>
      <c r="L684" s="12" t="s">
        <v>8066</v>
      </c>
      <c r="M684" s="13">
        <v>45748</v>
      </c>
      <c r="N684" s="12" t="s">
        <v>9155</v>
      </c>
      <c r="O684" s="12" t="s">
        <v>9156</v>
      </c>
      <c r="P684" s="12"/>
      <c r="Q684" s="12">
        <v>1</v>
      </c>
    </row>
    <row r="685" spans="1:17" ht="15.75" customHeight="1">
      <c r="A685" s="12">
        <v>672</v>
      </c>
      <c r="B685" s="12">
        <v>499</v>
      </c>
      <c r="C685" s="12">
        <v>6596</v>
      </c>
      <c r="D685" s="12" t="s">
        <v>6047</v>
      </c>
      <c r="E685" s="12" t="s">
        <v>9157</v>
      </c>
      <c r="F685" s="12" t="s">
        <v>9158</v>
      </c>
      <c r="G685" s="12" t="s">
        <v>9159</v>
      </c>
      <c r="H685" s="12" t="s">
        <v>6137</v>
      </c>
      <c r="I685" s="12" t="s">
        <v>6200</v>
      </c>
      <c r="J685" s="12">
        <v>6596</v>
      </c>
      <c r="K685" s="12" t="s">
        <v>9160</v>
      </c>
      <c r="L685" s="12" t="s">
        <v>6308</v>
      </c>
      <c r="M685" s="13">
        <v>43390</v>
      </c>
      <c r="N685" s="12" t="s">
        <v>9161</v>
      </c>
      <c r="O685" s="12" t="s">
        <v>9162</v>
      </c>
      <c r="P685" s="12"/>
      <c r="Q685" s="12">
        <v>1</v>
      </c>
    </row>
    <row r="686" spans="1:17" ht="15.75" customHeight="1">
      <c r="A686" s="12">
        <v>557</v>
      </c>
      <c r="B686" s="12">
        <v>1962</v>
      </c>
      <c r="C686" s="12">
        <v>34926</v>
      </c>
      <c r="D686" s="12" t="s">
        <v>6047</v>
      </c>
      <c r="E686" s="12" t="s">
        <v>9163</v>
      </c>
      <c r="F686" s="12" t="s">
        <v>9164</v>
      </c>
      <c r="G686" s="12" t="s">
        <v>9165</v>
      </c>
      <c r="H686" s="12" t="s">
        <v>6051</v>
      </c>
      <c r="I686" s="12" t="s">
        <v>6700</v>
      </c>
      <c r="J686" s="12">
        <v>34926</v>
      </c>
      <c r="K686" s="12" t="s">
        <v>6464</v>
      </c>
      <c r="L686" s="12" t="s">
        <v>6408</v>
      </c>
      <c r="M686" s="13">
        <v>43562</v>
      </c>
      <c r="N686" s="12" t="s">
        <v>6465</v>
      </c>
      <c r="O686" s="12" t="s">
        <v>6466</v>
      </c>
      <c r="P686" s="12"/>
      <c r="Q686" s="12">
        <v>1</v>
      </c>
    </row>
    <row r="687" spans="1:17" ht="15.75" customHeight="1">
      <c r="A687" s="12">
        <v>863</v>
      </c>
      <c r="B687" s="12">
        <v>917</v>
      </c>
      <c r="C687" s="12">
        <v>12163</v>
      </c>
      <c r="D687" s="12" t="s">
        <v>6047</v>
      </c>
      <c r="E687" s="12" t="s">
        <v>9166</v>
      </c>
      <c r="F687" s="12" t="s">
        <v>9167</v>
      </c>
      <c r="G687" s="12" t="s">
        <v>9168</v>
      </c>
      <c r="H687" s="12" t="s">
        <v>6627</v>
      </c>
      <c r="I687" s="12" t="s">
        <v>9110</v>
      </c>
      <c r="J687" s="12">
        <v>12163</v>
      </c>
      <c r="K687" s="12" t="s">
        <v>9169</v>
      </c>
      <c r="L687" s="12" t="s">
        <v>6564</v>
      </c>
      <c r="M687" s="13">
        <v>43018</v>
      </c>
      <c r="N687" s="12" t="s">
        <v>9170</v>
      </c>
      <c r="O687" s="12" t="s">
        <v>9171</v>
      </c>
      <c r="P687" s="12"/>
      <c r="Q687" s="12">
        <v>1</v>
      </c>
    </row>
    <row r="688" spans="1:17" ht="15.75" customHeight="1">
      <c r="A688" s="12">
        <v>2011</v>
      </c>
      <c r="B688" s="12">
        <v>575</v>
      </c>
      <c r="C688" s="12">
        <v>7467</v>
      </c>
      <c r="D688" s="12" t="s">
        <v>6047</v>
      </c>
      <c r="E688" s="12" t="s">
        <v>9172</v>
      </c>
      <c r="F688" s="12" t="s">
        <v>9173</v>
      </c>
      <c r="G688" s="12" t="s">
        <v>9174</v>
      </c>
      <c r="H688" s="12" t="s">
        <v>6187</v>
      </c>
      <c r="I688" s="12" t="s">
        <v>6188</v>
      </c>
      <c r="J688" s="12">
        <v>7467</v>
      </c>
      <c r="K688" s="12" t="s">
        <v>6112</v>
      </c>
      <c r="L688" s="12" t="s">
        <v>6113</v>
      </c>
      <c r="M688" s="13">
        <v>38573</v>
      </c>
      <c r="N688" s="12" t="s">
        <v>6114</v>
      </c>
      <c r="O688" s="12" t="s">
        <v>6115</v>
      </c>
      <c r="P688" s="12"/>
      <c r="Q688" s="12">
        <v>1</v>
      </c>
    </row>
    <row r="689" spans="1:17" ht="15.75" customHeight="1">
      <c r="A689" s="12">
        <v>2040</v>
      </c>
      <c r="B689" s="12">
        <v>1620</v>
      </c>
      <c r="C689" s="12">
        <v>28661</v>
      </c>
      <c r="D689" s="12" t="s">
        <v>6047</v>
      </c>
      <c r="E689" s="12" t="s">
        <v>9175</v>
      </c>
      <c r="F689" s="12" t="s">
        <v>9176</v>
      </c>
      <c r="G689" s="12" t="s">
        <v>9177</v>
      </c>
      <c r="H689" s="12" t="s">
        <v>6051</v>
      </c>
      <c r="I689" s="12" t="s">
        <v>6366</v>
      </c>
      <c r="J689" s="12">
        <v>28661</v>
      </c>
      <c r="K689" s="12" t="s">
        <v>7867</v>
      </c>
      <c r="L689" s="12" t="s">
        <v>6408</v>
      </c>
      <c r="M689" s="13">
        <v>38170</v>
      </c>
      <c r="N689" s="12" t="s">
        <v>7868</v>
      </c>
      <c r="O689" s="12" t="s">
        <v>7869</v>
      </c>
      <c r="P689" s="12"/>
      <c r="Q689" s="12">
        <v>1</v>
      </c>
    </row>
    <row r="690" spans="1:17" ht="15.75" customHeight="1">
      <c r="A690" s="12">
        <v>480</v>
      </c>
      <c r="B690" s="12">
        <v>266</v>
      </c>
      <c r="C690" s="12">
        <v>4581</v>
      </c>
      <c r="D690" s="12" t="s">
        <v>6047</v>
      </c>
      <c r="E690" s="12" t="s">
        <v>9178</v>
      </c>
      <c r="F690" s="12" t="s">
        <v>9179</v>
      </c>
      <c r="G690" s="12" t="s">
        <v>9180</v>
      </c>
      <c r="H690" s="12" t="s">
        <v>6163</v>
      </c>
      <c r="I690" s="12" t="s">
        <v>6253</v>
      </c>
      <c r="J690" s="12">
        <v>4581</v>
      </c>
      <c r="K690" s="12" t="s">
        <v>7035</v>
      </c>
      <c r="L690" s="12" t="s">
        <v>6455</v>
      </c>
      <c r="M690" s="13">
        <v>43785</v>
      </c>
      <c r="N690" s="12" t="s">
        <v>7036</v>
      </c>
      <c r="O690" s="12" t="s">
        <v>7689</v>
      </c>
      <c r="P690" s="12"/>
      <c r="Q690" s="12">
        <v>1</v>
      </c>
    </row>
    <row r="691" spans="1:17" ht="15.75" customHeight="1">
      <c r="A691" s="12">
        <v>615</v>
      </c>
      <c r="B691" s="12">
        <v>1922</v>
      </c>
      <c r="C691" s="12">
        <v>34546</v>
      </c>
      <c r="D691" s="12" t="s">
        <v>6047</v>
      </c>
      <c r="E691" s="12" t="s">
        <v>9181</v>
      </c>
      <c r="F691" s="12" t="s">
        <v>9182</v>
      </c>
      <c r="G691" s="12" t="s">
        <v>9183</v>
      </c>
      <c r="H691" s="12" t="s">
        <v>6051</v>
      </c>
      <c r="I691" s="12" t="s">
        <v>7034</v>
      </c>
      <c r="J691" s="12">
        <v>34546</v>
      </c>
      <c r="K691" s="12" t="s">
        <v>7160</v>
      </c>
      <c r="L691" s="12" t="s">
        <v>6408</v>
      </c>
      <c r="M691" s="13">
        <v>43558</v>
      </c>
      <c r="N691" s="12" t="s">
        <v>7161</v>
      </c>
      <c r="O691" s="12" t="s">
        <v>7384</v>
      </c>
      <c r="P691" s="12"/>
      <c r="Q691" s="12">
        <v>1</v>
      </c>
    </row>
    <row r="692" spans="1:17" ht="15.75" customHeight="1">
      <c r="A692" s="12">
        <v>586</v>
      </c>
      <c r="B692" s="12">
        <v>1983</v>
      </c>
      <c r="C692" s="12">
        <v>35115</v>
      </c>
      <c r="D692" s="12" t="s">
        <v>6047</v>
      </c>
      <c r="E692" s="12" t="s">
        <v>9184</v>
      </c>
      <c r="F692" s="12" t="s">
        <v>9185</v>
      </c>
      <c r="G692" s="12" t="s">
        <v>9186</v>
      </c>
      <c r="H692" s="12" t="s">
        <v>6051</v>
      </c>
      <c r="I692" s="12" t="s">
        <v>6700</v>
      </c>
      <c r="J692" s="12">
        <v>35115</v>
      </c>
      <c r="K692" s="12" t="s">
        <v>6407</v>
      </c>
      <c r="L692" s="12" t="s">
        <v>6408</v>
      </c>
      <c r="M692" s="13">
        <v>43560</v>
      </c>
      <c r="N692" s="12" t="s">
        <v>6409</v>
      </c>
      <c r="O692" s="12" t="s">
        <v>7139</v>
      </c>
      <c r="P692" s="12"/>
      <c r="Q692" s="12">
        <v>1</v>
      </c>
    </row>
    <row r="693" spans="1:17" ht="15.75" customHeight="1">
      <c r="A693" s="12">
        <v>91</v>
      </c>
      <c r="B693" s="12">
        <v>1345</v>
      </c>
      <c r="C693" s="12">
        <v>19476</v>
      </c>
      <c r="D693" s="12" t="s">
        <v>6047</v>
      </c>
      <c r="E693" s="12" t="s">
        <v>9187</v>
      </c>
      <c r="F693" s="12" t="s">
        <v>9188</v>
      </c>
      <c r="G693" s="12" t="s">
        <v>9189</v>
      </c>
      <c r="H693" s="12" t="s">
        <v>6051</v>
      </c>
      <c r="I693" s="12" t="s">
        <v>9190</v>
      </c>
      <c r="J693" s="12">
        <v>19476</v>
      </c>
      <c r="K693" s="12" t="s">
        <v>9191</v>
      </c>
      <c r="L693" s="12" t="s">
        <v>6590</v>
      </c>
      <c r="M693" s="13">
        <v>45968</v>
      </c>
      <c r="N693" s="12" t="s">
        <v>9192</v>
      </c>
      <c r="O693" s="12" t="s">
        <v>9193</v>
      </c>
      <c r="P693" s="12"/>
      <c r="Q693" s="12">
        <v>1</v>
      </c>
    </row>
    <row r="694" spans="1:17" ht="15.75" customHeight="1">
      <c r="A694" s="12">
        <v>576</v>
      </c>
      <c r="B694" s="12">
        <v>1227</v>
      </c>
      <c r="C694" s="12">
        <v>17423</v>
      </c>
      <c r="D694" s="12" t="s">
        <v>6047</v>
      </c>
      <c r="E694" s="12" t="s">
        <v>9194</v>
      </c>
      <c r="F694" s="12" t="s">
        <v>9195</v>
      </c>
      <c r="G694" s="12" t="s">
        <v>9196</v>
      </c>
      <c r="H694" s="12" t="s">
        <v>6051</v>
      </c>
      <c r="I694" s="12" t="s">
        <v>6052</v>
      </c>
      <c r="J694" s="12">
        <v>17423</v>
      </c>
      <c r="K694" s="12" t="s">
        <v>6407</v>
      </c>
      <c r="L694" s="12" t="s">
        <v>6408</v>
      </c>
      <c r="M694" s="13">
        <v>43561</v>
      </c>
      <c r="N694" s="12" t="s">
        <v>6409</v>
      </c>
      <c r="O694" s="12" t="s">
        <v>6410</v>
      </c>
      <c r="P694" s="12"/>
      <c r="Q694" s="12">
        <v>1</v>
      </c>
    </row>
    <row r="695" spans="1:17" ht="15.75" customHeight="1">
      <c r="A695" s="12">
        <v>487</v>
      </c>
      <c r="B695" s="12">
        <v>277</v>
      </c>
      <c r="C695" s="12">
        <v>4652</v>
      </c>
      <c r="D695" s="12" t="s">
        <v>6047</v>
      </c>
      <c r="E695" s="12" t="s">
        <v>1935</v>
      </c>
      <c r="F695" s="12" t="s">
        <v>9197</v>
      </c>
      <c r="G695" s="12" t="s">
        <v>9198</v>
      </c>
      <c r="H695" s="12" t="s">
        <v>6163</v>
      </c>
      <c r="I695" s="12" t="s">
        <v>6253</v>
      </c>
      <c r="J695" s="12">
        <v>4652</v>
      </c>
      <c r="K695" s="12" t="s">
        <v>9199</v>
      </c>
      <c r="L695" s="12" t="s">
        <v>6455</v>
      </c>
      <c r="M695" s="13">
        <v>43784</v>
      </c>
      <c r="N695" s="12" t="s">
        <v>9200</v>
      </c>
      <c r="O695" s="12" t="s">
        <v>9201</v>
      </c>
      <c r="P695" s="12"/>
      <c r="Q695" s="12">
        <v>1</v>
      </c>
    </row>
    <row r="696" spans="1:17" ht="15.75" customHeight="1">
      <c r="A696" s="12">
        <v>1449</v>
      </c>
      <c r="B696" s="12">
        <v>1755</v>
      </c>
      <c r="C696" s="12">
        <v>32756</v>
      </c>
      <c r="D696" s="12" t="s">
        <v>6047</v>
      </c>
      <c r="E696" s="12" t="s">
        <v>1939</v>
      </c>
      <c r="F696" s="12" t="s">
        <v>9202</v>
      </c>
      <c r="G696" s="12" t="s">
        <v>9203</v>
      </c>
      <c r="H696" s="12" t="s">
        <v>6051</v>
      </c>
      <c r="I696" s="12" t="s">
        <v>8002</v>
      </c>
      <c r="J696" s="12">
        <v>32756</v>
      </c>
      <c r="K696" s="12" t="s">
        <v>6069</v>
      </c>
      <c r="L696" s="12" t="s">
        <v>6070</v>
      </c>
      <c r="M696" s="13">
        <v>41907</v>
      </c>
      <c r="N696" s="12" t="s">
        <v>6071</v>
      </c>
      <c r="O696" s="12" t="s">
        <v>6072</v>
      </c>
      <c r="P696" s="12"/>
      <c r="Q696" s="12">
        <v>1</v>
      </c>
    </row>
    <row r="697" spans="1:17" ht="15.75" customHeight="1">
      <c r="A697" s="12">
        <v>1270</v>
      </c>
      <c r="B697" s="12">
        <v>269</v>
      </c>
      <c r="C697" s="12">
        <v>4597</v>
      </c>
      <c r="D697" s="12" t="s">
        <v>6047</v>
      </c>
      <c r="E697" s="12" t="s">
        <v>1937</v>
      </c>
      <c r="F697" s="12" t="s">
        <v>9204</v>
      </c>
      <c r="G697" s="12" t="s">
        <v>9205</v>
      </c>
      <c r="H697" s="12" t="s">
        <v>6163</v>
      </c>
      <c r="I697" s="12" t="s">
        <v>6253</v>
      </c>
      <c r="J697" s="12">
        <v>4597</v>
      </c>
      <c r="K697" s="12" t="s">
        <v>6470</v>
      </c>
      <c r="L697" s="12" t="s">
        <v>6423</v>
      </c>
      <c r="M697" s="13">
        <v>41990</v>
      </c>
      <c r="N697" s="12" t="s">
        <v>6471</v>
      </c>
      <c r="O697" s="12" t="s">
        <v>6472</v>
      </c>
      <c r="P697" s="12"/>
      <c r="Q697" s="12">
        <v>1</v>
      </c>
    </row>
    <row r="698" spans="1:17" ht="15.75" customHeight="1">
      <c r="A698" s="12">
        <v>398</v>
      </c>
      <c r="B698" s="12">
        <v>1718</v>
      </c>
      <c r="C698" s="12">
        <v>31999</v>
      </c>
      <c r="D698" s="12" t="s">
        <v>6047</v>
      </c>
      <c r="E698" s="12" t="s">
        <v>9206</v>
      </c>
      <c r="F698" s="12" t="s">
        <v>9207</v>
      </c>
      <c r="G698" s="12" t="s">
        <v>9208</v>
      </c>
      <c r="H698" s="12" t="s">
        <v>6051</v>
      </c>
      <c r="I698" s="12" t="s">
        <v>6232</v>
      </c>
      <c r="J698" s="12">
        <v>31999</v>
      </c>
      <c r="K698" s="12" t="s">
        <v>7846</v>
      </c>
      <c r="L698" s="12" t="s">
        <v>7020</v>
      </c>
      <c r="M698" s="13">
        <v>44716</v>
      </c>
      <c r="N698" s="12" t="s">
        <v>7847</v>
      </c>
      <c r="O698" s="12" t="s">
        <v>7848</v>
      </c>
      <c r="P698" s="12"/>
      <c r="Q698" s="12">
        <v>1</v>
      </c>
    </row>
    <row r="699" spans="1:17" ht="15.75" customHeight="1">
      <c r="A699" s="12">
        <v>554</v>
      </c>
      <c r="B699" s="12">
        <v>1994</v>
      </c>
      <c r="C699" s="12">
        <v>35196</v>
      </c>
      <c r="D699" s="12" t="s">
        <v>6047</v>
      </c>
      <c r="E699" s="12" t="s">
        <v>9209</v>
      </c>
      <c r="F699" s="12" t="s">
        <v>9210</v>
      </c>
      <c r="G699" s="12" t="s">
        <v>9211</v>
      </c>
      <c r="H699" s="12" t="s">
        <v>6051</v>
      </c>
      <c r="I699" s="12" t="s">
        <v>6700</v>
      </c>
      <c r="J699" s="12">
        <v>35196</v>
      </c>
      <c r="K699" s="12" t="s">
        <v>6464</v>
      </c>
      <c r="L699" s="12" t="s">
        <v>6408</v>
      </c>
      <c r="M699" s="13">
        <v>43562</v>
      </c>
      <c r="N699" s="12" t="s">
        <v>6465</v>
      </c>
      <c r="O699" s="12" t="s">
        <v>6466</v>
      </c>
      <c r="P699" s="12"/>
      <c r="Q699" s="12">
        <v>1</v>
      </c>
    </row>
    <row r="700" spans="1:17" ht="15.75" customHeight="1">
      <c r="A700" s="12">
        <v>1035</v>
      </c>
      <c r="B700" s="12">
        <v>1095</v>
      </c>
      <c r="C700" s="12">
        <v>15766</v>
      </c>
      <c r="D700" s="12" t="s">
        <v>6047</v>
      </c>
      <c r="E700" s="12" t="s">
        <v>9212</v>
      </c>
      <c r="F700" s="12" t="s">
        <v>9213</v>
      </c>
      <c r="G700" s="12" t="s">
        <v>9214</v>
      </c>
      <c r="H700" s="12" t="s">
        <v>6051</v>
      </c>
      <c r="I700" s="12" t="s">
        <v>7511</v>
      </c>
      <c r="J700" s="12">
        <v>15766</v>
      </c>
      <c r="K700" s="12" t="s">
        <v>9215</v>
      </c>
      <c r="L700" s="12" t="s">
        <v>6504</v>
      </c>
      <c r="M700" s="13">
        <v>42689</v>
      </c>
      <c r="N700" s="12" t="s">
        <v>9216</v>
      </c>
      <c r="O700" s="12" t="s">
        <v>9217</v>
      </c>
      <c r="P700" s="12"/>
      <c r="Q700" s="12">
        <v>1</v>
      </c>
    </row>
    <row r="701" spans="1:17" ht="15.75" customHeight="1">
      <c r="A701" s="12">
        <v>1493</v>
      </c>
      <c r="B701" s="12">
        <v>1522</v>
      </c>
      <c r="C701" s="12">
        <v>26848</v>
      </c>
      <c r="D701" s="12" t="s">
        <v>6047</v>
      </c>
      <c r="E701" s="12" t="s">
        <v>9218</v>
      </c>
      <c r="F701" s="12" t="s">
        <v>9219</v>
      </c>
      <c r="G701" s="12" t="s">
        <v>9220</v>
      </c>
      <c r="H701" s="12" t="s">
        <v>6051</v>
      </c>
      <c r="I701" s="12" t="s">
        <v>9221</v>
      </c>
      <c r="J701" s="12">
        <v>26848</v>
      </c>
      <c r="K701" s="12" t="s">
        <v>9222</v>
      </c>
      <c r="L701" s="12" t="s">
        <v>6240</v>
      </c>
      <c r="M701" s="13">
        <v>41795</v>
      </c>
      <c r="N701" s="12" t="s">
        <v>9223</v>
      </c>
      <c r="O701" s="12" t="s">
        <v>9224</v>
      </c>
      <c r="P701" s="12"/>
      <c r="Q701" s="12">
        <v>1</v>
      </c>
    </row>
    <row r="702" spans="1:17" ht="15.75" customHeight="1">
      <c r="A702" s="12">
        <v>1008</v>
      </c>
      <c r="B702" s="12">
        <v>1125</v>
      </c>
      <c r="C702" s="12">
        <v>16182</v>
      </c>
      <c r="D702" s="12" t="s">
        <v>6047</v>
      </c>
      <c r="E702" s="12" t="s">
        <v>9225</v>
      </c>
      <c r="F702" s="12" t="s">
        <v>9226</v>
      </c>
      <c r="G702" s="12" t="s">
        <v>9227</v>
      </c>
      <c r="H702" s="12" t="s">
        <v>6051</v>
      </c>
      <c r="I702" s="12" t="s">
        <v>6052</v>
      </c>
      <c r="J702" s="12">
        <v>16182</v>
      </c>
      <c r="K702" s="12" t="s">
        <v>7666</v>
      </c>
      <c r="L702" s="12" t="s">
        <v>6054</v>
      </c>
      <c r="M702" s="13">
        <v>42692</v>
      </c>
      <c r="N702" s="12" t="s">
        <v>7667</v>
      </c>
      <c r="O702" s="12" t="s">
        <v>8286</v>
      </c>
      <c r="P702" s="12"/>
      <c r="Q702" s="12">
        <v>1</v>
      </c>
    </row>
    <row r="703" spans="1:17" ht="15.75" customHeight="1">
      <c r="A703" s="12">
        <v>673</v>
      </c>
      <c r="B703" s="12">
        <v>1783</v>
      </c>
      <c r="C703" s="12">
        <v>33196</v>
      </c>
      <c r="D703" s="12" t="s">
        <v>6047</v>
      </c>
      <c r="E703" s="12" t="s">
        <v>9228</v>
      </c>
      <c r="F703" s="12" t="s">
        <v>9229</v>
      </c>
      <c r="G703" s="12" t="s">
        <v>9230</v>
      </c>
      <c r="H703" s="12" t="s">
        <v>6051</v>
      </c>
      <c r="I703" s="12" t="s">
        <v>6374</v>
      </c>
      <c r="J703" s="12">
        <v>33196</v>
      </c>
      <c r="K703" s="12" t="s">
        <v>9231</v>
      </c>
      <c r="L703" s="12" t="s">
        <v>6308</v>
      </c>
      <c r="M703" s="13">
        <v>43389</v>
      </c>
      <c r="N703" s="12" t="s">
        <v>9232</v>
      </c>
      <c r="O703" s="12" t="s">
        <v>9233</v>
      </c>
      <c r="P703" s="12"/>
      <c r="Q703" s="12">
        <v>1</v>
      </c>
    </row>
    <row r="704" spans="1:17" ht="15.75" customHeight="1">
      <c r="A704" s="12">
        <v>478</v>
      </c>
      <c r="B704" s="12">
        <v>1959</v>
      </c>
      <c r="C704" s="12">
        <v>34912</v>
      </c>
      <c r="D704" s="12" t="s">
        <v>6047</v>
      </c>
      <c r="E704" s="12" t="s">
        <v>9234</v>
      </c>
      <c r="F704" s="12" t="s">
        <v>9235</v>
      </c>
      <c r="G704" s="12" t="s">
        <v>9236</v>
      </c>
      <c r="H704" s="12" t="s">
        <v>6051</v>
      </c>
      <c r="I704" s="12" t="s">
        <v>6700</v>
      </c>
      <c r="J704" s="12">
        <v>34912</v>
      </c>
      <c r="K704" s="12" t="s">
        <v>6454</v>
      </c>
      <c r="L704" s="12" t="s">
        <v>6455</v>
      </c>
      <c r="M704" s="13">
        <v>43786</v>
      </c>
      <c r="N704" s="12" t="s">
        <v>6456</v>
      </c>
      <c r="O704" s="12" t="s">
        <v>9237</v>
      </c>
      <c r="P704" s="12"/>
      <c r="Q704" s="12">
        <v>1</v>
      </c>
    </row>
    <row r="705" spans="1:17" ht="15.75" customHeight="1">
      <c r="A705" s="12">
        <v>749</v>
      </c>
      <c r="B705" s="12">
        <v>1894</v>
      </c>
      <c r="C705" s="12">
        <v>34250</v>
      </c>
      <c r="D705" s="12" t="s">
        <v>6047</v>
      </c>
      <c r="E705" s="12" t="s">
        <v>9238</v>
      </c>
      <c r="F705" s="12" t="s">
        <v>9239</v>
      </c>
      <c r="G705" s="12" t="s">
        <v>9240</v>
      </c>
      <c r="H705" s="12" t="s">
        <v>6051</v>
      </c>
      <c r="I705" s="12" t="s">
        <v>6362</v>
      </c>
      <c r="J705" s="12">
        <v>34250</v>
      </c>
      <c r="K705" s="12" t="s">
        <v>9241</v>
      </c>
      <c r="L705" s="12" t="s">
        <v>6839</v>
      </c>
      <c r="M705" s="13">
        <v>43196</v>
      </c>
      <c r="N705" s="12" t="s">
        <v>9242</v>
      </c>
      <c r="O705" s="12" t="s">
        <v>9243</v>
      </c>
      <c r="P705" s="12"/>
      <c r="Q705" s="12">
        <v>1</v>
      </c>
    </row>
    <row r="706" spans="1:17" ht="15.75" customHeight="1">
      <c r="A706" s="12">
        <v>1287</v>
      </c>
      <c r="B706" s="12">
        <v>1172</v>
      </c>
      <c r="C706" s="12">
        <v>16806</v>
      </c>
      <c r="D706" s="12" t="s">
        <v>6047</v>
      </c>
      <c r="E706" s="12" t="s">
        <v>1994</v>
      </c>
      <c r="F706" s="12" t="s">
        <v>9244</v>
      </c>
      <c r="G706" s="12" t="s">
        <v>9245</v>
      </c>
      <c r="H706" s="12" t="s">
        <v>6051</v>
      </c>
      <c r="I706" s="12" t="s">
        <v>6052</v>
      </c>
      <c r="J706" s="12">
        <v>16806</v>
      </c>
      <c r="K706" s="12" t="s">
        <v>6422</v>
      </c>
      <c r="L706" s="12" t="s">
        <v>6423</v>
      </c>
      <c r="M706" s="13">
        <v>41989</v>
      </c>
      <c r="N706" s="12" t="s">
        <v>6424</v>
      </c>
      <c r="O706" s="12" t="s">
        <v>6425</v>
      </c>
      <c r="P706" s="12"/>
      <c r="Q706" s="12">
        <v>1</v>
      </c>
    </row>
    <row r="707" spans="1:17" ht="15.75" customHeight="1">
      <c r="A707" s="12">
        <v>1001</v>
      </c>
      <c r="B707" s="12">
        <v>1329</v>
      </c>
      <c r="C707" s="12">
        <v>19151</v>
      </c>
      <c r="D707" s="12" t="s">
        <v>6047</v>
      </c>
      <c r="E707" s="12" t="s">
        <v>9246</v>
      </c>
      <c r="F707" s="12" t="s">
        <v>9247</v>
      </c>
      <c r="G707" s="12" t="s">
        <v>9248</v>
      </c>
      <c r="H707" s="12" t="s">
        <v>6051</v>
      </c>
      <c r="I707" s="12" t="s">
        <v>7090</v>
      </c>
      <c r="J707" s="12">
        <v>19151</v>
      </c>
      <c r="K707" s="12" t="s">
        <v>9024</v>
      </c>
      <c r="L707" s="12" t="s">
        <v>6054</v>
      </c>
      <c r="M707" s="13">
        <v>42693</v>
      </c>
      <c r="N707" s="12" t="s">
        <v>9025</v>
      </c>
      <c r="O707" s="12" t="s">
        <v>9026</v>
      </c>
      <c r="P707" s="12"/>
      <c r="Q707" s="12">
        <v>1</v>
      </c>
    </row>
    <row r="708" spans="1:17" ht="15.75" customHeight="1">
      <c r="A708" s="12">
        <v>1206</v>
      </c>
      <c r="B708" s="12">
        <v>1908</v>
      </c>
      <c r="C708" s="12">
        <v>34384</v>
      </c>
      <c r="D708" s="12" t="s">
        <v>6047</v>
      </c>
      <c r="E708" s="12" t="s">
        <v>9249</v>
      </c>
      <c r="F708" s="12" t="s">
        <v>9250</v>
      </c>
      <c r="G708" s="12" t="s">
        <v>9251</v>
      </c>
      <c r="H708" s="12" t="s">
        <v>6051</v>
      </c>
      <c r="I708" s="12" t="s">
        <v>6362</v>
      </c>
      <c r="J708" s="12">
        <v>34384</v>
      </c>
      <c r="K708" s="12" t="s">
        <v>6429</v>
      </c>
      <c r="L708" s="12" t="s">
        <v>6423</v>
      </c>
      <c r="M708" s="13">
        <v>41991</v>
      </c>
      <c r="N708" s="12" t="s">
        <v>6430</v>
      </c>
      <c r="O708" s="12" t="s">
        <v>6431</v>
      </c>
      <c r="P708" s="12"/>
      <c r="Q708" s="12">
        <v>1</v>
      </c>
    </row>
    <row r="709" spans="1:17" ht="15.75" customHeight="1">
      <c r="A709" s="12">
        <v>1825</v>
      </c>
      <c r="B709" s="12">
        <v>870</v>
      </c>
      <c r="C709" s="12">
        <v>11183</v>
      </c>
      <c r="D709" s="12" t="s">
        <v>6047</v>
      </c>
      <c r="E709" s="12" t="s">
        <v>9252</v>
      </c>
      <c r="F709" s="12" t="s">
        <v>9253</v>
      </c>
      <c r="G709" s="12" t="s">
        <v>9254</v>
      </c>
      <c r="H709" s="12" t="s">
        <v>6060</v>
      </c>
      <c r="I709" s="12" t="s">
        <v>6061</v>
      </c>
      <c r="J709" s="12">
        <v>11183</v>
      </c>
      <c r="K709" s="12" t="s">
        <v>6062</v>
      </c>
      <c r="L709" s="12" t="s">
        <v>6063</v>
      </c>
      <c r="M709" s="13">
        <v>40873</v>
      </c>
      <c r="N709" s="12" t="s">
        <v>6064</v>
      </c>
      <c r="O709" s="12" t="s">
        <v>6065</v>
      </c>
      <c r="P709" s="12"/>
      <c r="Q709" s="12">
        <v>1</v>
      </c>
    </row>
    <row r="710" spans="1:17" ht="15.75" customHeight="1">
      <c r="A710" s="12">
        <v>934</v>
      </c>
      <c r="B710" s="12">
        <v>891</v>
      </c>
      <c r="C710" s="12">
        <v>11843</v>
      </c>
      <c r="D710" s="12" t="s">
        <v>6047</v>
      </c>
      <c r="E710" s="12" t="s">
        <v>9255</v>
      </c>
      <c r="F710" s="12" t="s">
        <v>9256</v>
      </c>
      <c r="G710" s="12" t="s">
        <v>9257</v>
      </c>
      <c r="H710" s="12" t="s">
        <v>6060</v>
      </c>
      <c r="I710" s="12" t="s">
        <v>6061</v>
      </c>
      <c r="J710" s="12">
        <v>11843</v>
      </c>
      <c r="K710" s="12" t="s">
        <v>6752</v>
      </c>
      <c r="L710" s="12" t="s">
        <v>6753</v>
      </c>
      <c r="M710" s="13">
        <v>42828</v>
      </c>
      <c r="N710" s="12" t="s">
        <v>6754</v>
      </c>
      <c r="O710" s="12" t="s">
        <v>6891</v>
      </c>
      <c r="P710" s="12"/>
      <c r="Q710" s="12">
        <v>1</v>
      </c>
    </row>
    <row r="711" spans="1:17" ht="15.75" customHeight="1">
      <c r="A711" s="12">
        <v>922</v>
      </c>
      <c r="B711" s="12">
        <v>1098</v>
      </c>
      <c r="C711" s="12">
        <v>15840</v>
      </c>
      <c r="D711" s="12" t="s">
        <v>6047</v>
      </c>
      <c r="E711" s="12" t="s">
        <v>9258</v>
      </c>
      <c r="F711" s="12" t="s">
        <v>9259</v>
      </c>
      <c r="G711" s="12" t="s">
        <v>9260</v>
      </c>
      <c r="H711" s="12" t="s">
        <v>6051</v>
      </c>
      <c r="I711" s="12" t="s">
        <v>7511</v>
      </c>
      <c r="J711" s="12">
        <v>15840</v>
      </c>
      <c r="K711" s="12" t="s">
        <v>7209</v>
      </c>
      <c r="L711" s="12" t="s">
        <v>6955</v>
      </c>
      <c r="M711" s="13">
        <v>42829</v>
      </c>
      <c r="N711" s="12" t="s">
        <v>7210</v>
      </c>
      <c r="O711" s="12" t="s">
        <v>7211</v>
      </c>
      <c r="P711" s="12"/>
      <c r="Q711" s="12">
        <v>1</v>
      </c>
    </row>
    <row r="712" spans="1:17" ht="15.75" customHeight="1">
      <c r="A712" s="12">
        <v>520</v>
      </c>
      <c r="B712" s="12">
        <v>754</v>
      </c>
      <c r="C712" s="12">
        <v>9505</v>
      </c>
      <c r="D712" s="12" t="s">
        <v>6047</v>
      </c>
      <c r="E712" s="12" t="s">
        <v>9261</v>
      </c>
      <c r="F712" s="12" t="s">
        <v>9262</v>
      </c>
      <c r="G712" s="12" t="s">
        <v>9263</v>
      </c>
      <c r="H712" s="12" t="s">
        <v>7330</v>
      </c>
      <c r="I712" s="12" t="s">
        <v>7331</v>
      </c>
      <c r="J712" s="12">
        <v>9505</v>
      </c>
      <c r="K712" s="12" t="s">
        <v>9264</v>
      </c>
      <c r="L712" s="12" t="s">
        <v>6408</v>
      </c>
      <c r="M712" s="13">
        <v>43566</v>
      </c>
      <c r="N712" s="12" t="s">
        <v>9265</v>
      </c>
      <c r="O712" s="12" t="s">
        <v>9266</v>
      </c>
      <c r="P712" s="12"/>
      <c r="Q712" s="12">
        <v>1</v>
      </c>
    </row>
    <row r="713" spans="1:17" ht="15.75" customHeight="1">
      <c r="A713" s="12">
        <v>1673</v>
      </c>
      <c r="B713" s="12">
        <v>1973</v>
      </c>
      <c r="C713" s="12">
        <v>35022</v>
      </c>
      <c r="D713" s="12" t="s">
        <v>6047</v>
      </c>
      <c r="E713" s="12" t="s">
        <v>9267</v>
      </c>
      <c r="F713" s="12" t="s">
        <v>9268</v>
      </c>
      <c r="G713" s="12" t="s">
        <v>9269</v>
      </c>
      <c r="H713" s="12" t="s">
        <v>6051</v>
      </c>
      <c r="I713" s="12" t="s">
        <v>6700</v>
      </c>
      <c r="J713" s="12">
        <v>35022</v>
      </c>
      <c r="K713" s="12" t="s">
        <v>7260</v>
      </c>
      <c r="L713" s="12" t="s">
        <v>7261</v>
      </c>
      <c r="M713" s="13">
        <v>40879</v>
      </c>
      <c r="N713" s="12" t="s">
        <v>7262</v>
      </c>
      <c r="O713" s="12" t="s">
        <v>7263</v>
      </c>
      <c r="P713" s="12"/>
      <c r="Q713" s="12">
        <v>1</v>
      </c>
    </row>
    <row r="714" spans="1:17" ht="15.75" customHeight="1">
      <c r="A714" s="12">
        <v>589</v>
      </c>
      <c r="B714" s="12">
        <v>1969</v>
      </c>
      <c r="C714" s="12">
        <v>34983</v>
      </c>
      <c r="D714" s="12" t="s">
        <v>6047</v>
      </c>
      <c r="E714" s="12" t="s">
        <v>9270</v>
      </c>
      <c r="F714" s="12" t="s">
        <v>9271</v>
      </c>
      <c r="G714" s="12" t="s">
        <v>9272</v>
      </c>
      <c r="H714" s="12" t="s">
        <v>6051</v>
      </c>
      <c r="I714" s="12" t="s">
        <v>6700</v>
      </c>
      <c r="J714" s="12">
        <v>34983</v>
      </c>
      <c r="K714" s="12" t="s">
        <v>6407</v>
      </c>
      <c r="L714" s="12" t="s">
        <v>6408</v>
      </c>
      <c r="M714" s="13">
        <v>43560</v>
      </c>
      <c r="N714" s="12" t="s">
        <v>6409</v>
      </c>
      <c r="O714" s="12" t="s">
        <v>7139</v>
      </c>
      <c r="P714" s="12"/>
      <c r="Q714" s="12">
        <v>1</v>
      </c>
    </row>
    <row r="715" spans="1:17" ht="15.75" customHeight="1">
      <c r="A715" s="12">
        <v>1237</v>
      </c>
      <c r="B715" s="12">
        <v>892</v>
      </c>
      <c r="C715" s="12">
        <v>11852</v>
      </c>
      <c r="D715" s="12" t="s">
        <v>6047</v>
      </c>
      <c r="E715" s="12" t="s">
        <v>9273</v>
      </c>
      <c r="F715" s="12" t="s">
        <v>9274</v>
      </c>
      <c r="G715" s="12" t="s">
        <v>9275</v>
      </c>
      <c r="H715" s="12" t="s">
        <v>6060</v>
      </c>
      <c r="I715" s="12" t="s">
        <v>6061</v>
      </c>
      <c r="J715" s="12">
        <v>11852</v>
      </c>
      <c r="K715" s="12" t="s">
        <v>6429</v>
      </c>
      <c r="L715" s="12" t="s">
        <v>6423</v>
      </c>
      <c r="M715" s="13">
        <v>41991</v>
      </c>
      <c r="N715" s="12" t="s">
        <v>6430</v>
      </c>
      <c r="O715" s="12" t="s">
        <v>6431</v>
      </c>
      <c r="P715" s="12"/>
      <c r="Q715" s="12">
        <v>1</v>
      </c>
    </row>
    <row r="716" spans="1:17" ht="15.75" customHeight="1">
      <c r="A716" s="12">
        <v>1235</v>
      </c>
      <c r="B716" s="12">
        <v>977</v>
      </c>
      <c r="C716" s="12">
        <v>13161</v>
      </c>
      <c r="D716" s="12" t="s">
        <v>6047</v>
      </c>
      <c r="E716" s="12" t="s">
        <v>9276</v>
      </c>
      <c r="F716" s="12" t="s">
        <v>9277</v>
      </c>
      <c r="G716" s="12" t="s">
        <v>9278</v>
      </c>
      <c r="H716" s="12" t="s">
        <v>6627</v>
      </c>
      <c r="I716" s="12" t="s">
        <v>7504</v>
      </c>
      <c r="J716" s="12">
        <v>13161</v>
      </c>
      <c r="K716" s="12" t="s">
        <v>6429</v>
      </c>
      <c r="L716" s="12" t="s">
        <v>6423</v>
      </c>
      <c r="M716" s="13">
        <v>41991</v>
      </c>
      <c r="N716" s="12" t="s">
        <v>6430</v>
      </c>
      <c r="O716" s="12" t="s">
        <v>6431</v>
      </c>
      <c r="P716" s="12"/>
      <c r="Q716" s="12">
        <v>1</v>
      </c>
    </row>
    <row r="717" spans="1:17" ht="15.75" customHeight="1">
      <c r="A717" s="12">
        <v>1355</v>
      </c>
      <c r="B717" s="12">
        <v>885</v>
      </c>
      <c r="C717" s="12">
        <v>11733</v>
      </c>
      <c r="D717" s="12" t="s">
        <v>6047</v>
      </c>
      <c r="E717" s="12" t="s">
        <v>1986</v>
      </c>
      <c r="F717" s="12" t="s">
        <v>9279</v>
      </c>
      <c r="G717" s="12" t="s">
        <v>9280</v>
      </c>
      <c r="H717" s="12" t="s">
        <v>6060</v>
      </c>
      <c r="I717" s="12" t="s">
        <v>6061</v>
      </c>
      <c r="J717" s="12">
        <v>11733</v>
      </c>
      <c r="K717" s="12" t="s">
        <v>6077</v>
      </c>
      <c r="L717" s="12" t="s">
        <v>6078</v>
      </c>
      <c r="M717" s="13">
        <v>41916</v>
      </c>
      <c r="N717" s="12" t="s">
        <v>6079</v>
      </c>
      <c r="O717" s="12" t="s">
        <v>6080</v>
      </c>
      <c r="P717" s="12"/>
      <c r="Q717" s="12">
        <v>1</v>
      </c>
    </row>
    <row r="718" spans="1:17" ht="15.75" customHeight="1">
      <c r="A718" s="12">
        <v>524</v>
      </c>
      <c r="B718" s="12">
        <v>1091</v>
      </c>
      <c r="C718" s="12">
        <v>15712</v>
      </c>
      <c r="D718" s="12" t="s">
        <v>6047</v>
      </c>
      <c r="E718" s="12" t="s">
        <v>9281</v>
      </c>
      <c r="F718" s="12" t="s">
        <v>9282</v>
      </c>
      <c r="G718" s="12" t="s">
        <v>9283</v>
      </c>
      <c r="H718" s="12" t="s">
        <v>6051</v>
      </c>
      <c r="I718" s="12" t="s">
        <v>7511</v>
      </c>
      <c r="J718" s="12">
        <v>15712</v>
      </c>
      <c r="K718" s="12" t="s">
        <v>7441</v>
      </c>
      <c r="L718" s="12" t="s">
        <v>6408</v>
      </c>
      <c r="M718" s="13">
        <v>43565</v>
      </c>
      <c r="N718" s="12" t="s">
        <v>7442</v>
      </c>
      <c r="O718" s="12" t="s">
        <v>7559</v>
      </c>
      <c r="P718" s="12"/>
      <c r="Q718" s="12">
        <v>1</v>
      </c>
    </row>
    <row r="719" spans="1:17" ht="15.75" customHeight="1">
      <c r="A719" s="12">
        <v>184</v>
      </c>
      <c r="B719" s="12">
        <v>1775</v>
      </c>
      <c r="C719" s="12">
        <v>33063</v>
      </c>
      <c r="D719" s="12" t="s">
        <v>6047</v>
      </c>
      <c r="E719" s="12" t="s">
        <v>9284</v>
      </c>
      <c r="F719" s="12" t="s">
        <v>9285</v>
      </c>
      <c r="G719" s="12" t="s">
        <v>9286</v>
      </c>
      <c r="H719" s="12" t="s">
        <v>6051</v>
      </c>
      <c r="I719" s="12" t="s">
        <v>6374</v>
      </c>
      <c r="J719" s="12">
        <v>33063</v>
      </c>
      <c r="K719" s="12" t="s">
        <v>7345</v>
      </c>
      <c r="L719" s="12" t="s">
        <v>6709</v>
      </c>
      <c r="M719" s="13">
        <v>45752</v>
      </c>
      <c r="N719" s="12" t="s">
        <v>7346</v>
      </c>
      <c r="O719" s="12" t="s">
        <v>7347</v>
      </c>
      <c r="P719" s="12"/>
      <c r="Q719" s="12">
        <v>1</v>
      </c>
    </row>
    <row r="720" spans="1:17" ht="15.75" customHeight="1">
      <c r="A720" s="12">
        <v>1697</v>
      </c>
      <c r="B720" s="12">
        <v>1854</v>
      </c>
      <c r="C720" s="12">
        <v>33956</v>
      </c>
      <c r="D720" s="12" t="s">
        <v>6047</v>
      </c>
      <c r="E720" s="12" t="s">
        <v>9287</v>
      </c>
      <c r="F720" s="12" t="s">
        <v>9288</v>
      </c>
      <c r="G720" s="12" t="s">
        <v>9289</v>
      </c>
      <c r="H720" s="12" t="s">
        <v>6051</v>
      </c>
      <c r="I720" s="12" t="s">
        <v>6362</v>
      </c>
      <c r="J720" s="12">
        <v>33956</v>
      </c>
      <c r="K720" s="12" t="s">
        <v>8598</v>
      </c>
      <c r="L720" s="12" t="s">
        <v>7333</v>
      </c>
      <c r="M720" s="13">
        <v>40878</v>
      </c>
      <c r="N720" s="12" t="s">
        <v>8599</v>
      </c>
      <c r="O720" s="12" t="s">
        <v>8600</v>
      </c>
      <c r="P720" s="12"/>
      <c r="Q720" s="12">
        <v>1</v>
      </c>
    </row>
    <row r="721" spans="1:17" ht="15.75" customHeight="1">
      <c r="A721" s="12">
        <v>2007</v>
      </c>
      <c r="B721" s="12">
        <v>626</v>
      </c>
      <c r="C721" s="12">
        <v>7780</v>
      </c>
      <c r="D721" s="12" t="s">
        <v>6047</v>
      </c>
      <c r="E721" s="12" t="s">
        <v>1996</v>
      </c>
      <c r="F721" s="12" t="s">
        <v>9290</v>
      </c>
      <c r="G721" s="12" t="s">
        <v>9291</v>
      </c>
      <c r="H721" s="12" t="s">
        <v>6187</v>
      </c>
      <c r="I721" s="12" t="s">
        <v>6224</v>
      </c>
      <c r="J721" s="12">
        <v>7780</v>
      </c>
      <c r="K721" s="12" t="s">
        <v>6112</v>
      </c>
      <c r="L721" s="12" t="s">
        <v>6113</v>
      </c>
      <c r="M721" s="13">
        <v>38573</v>
      </c>
      <c r="N721" s="12" t="s">
        <v>6114</v>
      </c>
      <c r="O721" s="12" t="s">
        <v>6115</v>
      </c>
      <c r="P721" s="12"/>
      <c r="Q721" s="12">
        <v>1</v>
      </c>
    </row>
    <row r="722" spans="1:17" ht="15.75" customHeight="1">
      <c r="A722" s="12">
        <v>580</v>
      </c>
      <c r="B722" s="12">
        <v>251</v>
      </c>
      <c r="C722" s="12">
        <v>4413</v>
      </c>
      <c r="D722" s="12" t="s">
        <v>6047</v>
      </c>
      <c r="E722" s="12" t="s">
        <v>9292</v>
      </c>
      <c r="F722" s="12" t="s">
        <v>9293</v>
      </c>
      <c r="G722" s="12" t="s">
        <v>9294</v>
      </c>
      <c r="H722" s="12" t="s">
        <v>6163</v>
      </c>
      <c r="I722" s="12" t="s">
        <v>6253</v>
      </c>
      <c r="J722" s="12">
        <v>4413</v>
      </c>
      <c r="K722" s="12" t="s">
        <v>6407</v>
      </c>
      <c r="L722" s="12" t="s">
        <v>6408</v>
      </c>
      <c r="M722" s="13">
        <v>43561</v>
      </c>
      <c r="N722" s="12" t="s">
        <v>6409</v>
      </c>
      <c r="O722" s="12" t="s">
        <v>6410</v>
      </c>
      <c r="P722" s="12"/>
      <c r="Q722" s="12">
        <v>1</v>
      </c>
    </row>
    <row r="723" spans="1:17" ht="15.75" customHeight="1">
      <c r="A723" s="12">
        <v>495</v>
      </c>
      <c r="B723" s="12">
        <v>297</v>
      </c>
      <c r="C723" s="12">
        <v>4784</v>
      </c>
      <c r="D723" s="12" t="s">
        <v>6047</v>
      </c>
      <c r="E723" s="12" t="s">
        <v>9295</v>
      </c>
      <c r="F723" s="12" t="s">
        <v>9296</v>
      </c>
      <c r="G723" s="12" t="s">
        <v>9297</v>
      </c>
      <c r="H723" s="12" t="s">
        <v>6163</v>
      </c>
      <c r="I723" s="12" t="s">
        <v>6253</v>
      </c>
      <c r="J723" s="12">
        <v>4784</v>
      </c>
      <c r="K723" s="12" t="s">
        <v>6541</v>
      </c>
      <c r="L723" s="12" t="s">
        <v>6455</v>
      </c>
      <c r="M723" s="13">
        <v>43784</v>
      </c>
      <c r="N723" s="12" t="s">
        <v>6542</v>
      </c>
      <c r="O723" s="12" t="s">
        <v>6543</v>
      </c>
      <c r="P723" s="12"/>
      <c r="Q723" s="12">
        <v>1</v>
      </c>
    </row>
    <row r="724" spans="1:17" ht="15.75" customHeight="1">
      <c r="A724" s="12">
        <v>1762</v>
      </c>
      <c r="B724" s="12">
        <v>1888</v>
      </c>
      <c r="C724" s="12">
        <v>34194</v>
      </c>
      <c r="D724" s="12" t="s">
        <v>6047</v>
      </c>
      <c r="E724" s="12" t="s">
        <v>9298</v>
      </c>
      <c r="F724" s="12" t="s">
        <v>9299</v>
      </c>
      <c r="G724" s="12" t="s">
        <v>9300</v>
      </c>
      <c r="H724" s="12" t="s">
        <v>6051</v>
      </c>
      <c r="I724" s="12" t="s">
        <v>6362</v>
      </c>
      <c r="J724" s="12">
        <v>34194</v>
      </c>
      <c r="K724" s="12" t="s">
        <v>6062</v>
      </c>
      <c r="L724" s="12" t="s">
        <v>6063</v>
      </c>
      <c r="M724" s="13">
        <v>40873</v>
      </c>
      <c r="N724" s="12" t="s">
        <v>6064</v>
      </c>
      <c r="O724" s="12" t="s">
        <v>6065</v>
      </c>
      <c r="P724" s="12"/>
      <c r="Q724" s="12">
        <v>1</v>
      </c>
    </row>
    <row r="725" spans="1:17" ht="15.75" customHeight="1">
      <c r="A725" s="12">
        <v>955</v>
      </c>
      <c r="B725" s="12">
        <v>765</v>
      </c>
      <c r="C725" s="12">
        <v>9560</v>
      </c>
      <c r="D725" s="12" t="s">
        <v>6047</v>
      </c>
      <c r="E725" s="12" t="s">
        <v>2002</v>
      </c>
      <c r="F725" s="12" t="s">
        <v>9301</v>
      </c>
      <c r="G725" s="12" t="s">
        <v>9302</v>
      </c>
      <c r="H725" s="12" t="s">
        <v>7330</v>
      </c>
      <c r="I725" s="12" t="s">
        <v>7331</v>
      </c>
      <c r="J725" s="12">
        <v>9560</v>
      </c>
      <c r="K725" s="12" t="s">
        <v>7860</v>
      </c>
      <c r="L725" s="12" t="s">
        <v>7861</v>
      </c>
      <c r="M725" s="13">
        <v>42827</v>
      </c>
      <c r="N725" s="12" t="s">
        <v>7862</v>
      </c>
      <c r="O725" s="12" t="s">
        <v>7863</v>
      </c>
      <c r="P725" s="12"/>
      <c r="Q725" s="12">
        <v>1</v>
      </c>
    </row>
    <row r="726" spans="1:17" ht="15.75" customHeight="1">
      <c r="A726" s="12">
        <v>1257</v>
      </c>
      <c r="B726" s="12">
        <v>1542</v>
      </c>
      <c r="C726" s="12">
        <v>27304</v>
      </c>
      <c r="D726" s="12" t="s">
        <v>6047</v>
      </c>
      <c r="E726" s="12" t="s">
        <v>9303</v>
      </c>
      <c r="F726" s="12" t="s">
        <v>9304</v>
      </c>
      <c r="G726" s="12" t="s">
        <v>9305</v>
      </c>
      <c r="H726" s="12" t="s">
        <v>6051</v>
      </c>
      <c r="I726" s="12" t="s">
        <v>6704</v>
      </c>
      <c r="J726" s="12">
        <v>27304</v>
      </c>
      <c r="K726" s="12" t="s">
        <v>6470</v>
      </c>
      <c r="L726" s="12" t="s">
        <v>6423</v>
      </c>
      <c r="M726" s="13">
        <v>41990</v>
      </c>
      <c r="N726" s="12" t="s">
        <v>6471</v>
      </c>
      <c r="O726" s="12" t="s">
        <v>6472</v>
      </c>
      <c r="P726" s="12"/>
      <c r="Q726" s="12">
        <v>1</v>
      </c>
    </row>
    <row r="727" spans="1:17" ht="15.75" customHeight="1">
      <c r="A727" s="12">
        <v>1203</v>
      </c>
      <c r="B727" s="12">
        <v>1952</v>
      </c>
      <c r="C727" s="12">
        <v>34857</v>
      </c>
      <c r="D727" s="12" t="s">
        <v>6047</v>
      </c>
      <c r="E727" s="12" t="s">
        <v>9306</v>
      </c>
      <c r="F727" s="12" t="s">
        <v>9307</v>
      </c>
      <c r="G727" s="12" t="s">
        <v>9308</v>
      </c>
      <c r="H727" s="12" t="s">
        <v>6051</v>
      </c>
      <c r="I727" s="12" t="s">
        <v>6700</v>
      </c>
      <c r="J727" s="12">
        <v>34857</v>
      </c>
      <c r="K727" s="12" t="s">
        <v>6429</v>
      </c>
      <c r="L727" s="12" t="s">
        <v>6423</v>
      </c>
      <c r="M727" s="13">
        <v>41991</v>
      </c>
      <c r="N727" s="12" t="s">
        <v>6430</v>
      </c>
      <c r="O727" s="12" t="s">
        <v>6431</v>
      </c>
      <c r="P727" s="12"/>
      <c r="Q727" s="12">
        <v>1</v>
      </c>
    </row>
    <row r="728" spans="1:17" ht="15.75" customHeight="1">
      <c r="A728" s="12">
        <v>684</v>
      </c>
      <c r="B728" s="12">
        <v>1763</v>
      </c>
      <c r="C728" s="12">
        <v>32943</v>
      </c>
      <c r="D728" s="12" t="s">
        <v>6047</v>
      </c>
      <c r="E728" s="12" t="s">
        <v>9309</v>
      </c>
      <c r="F728" s="12" t="s">
        <v>9310</v>
      </c>
      <c r="G728" s="12" t="s">
        <v>9311</v>
      </c>
      <c r="H728" s="12" t="s">
        <v>6051</v>
      </c>
      <c r="I728" s="12" t="s">
        <v>6374</v>
      </c>
      <c r="J728" s="12">
        <v>32943</v>
      </c>
      <c r="K728" s="12" t="s">
        <v>9312</v>
      </c>
      <c r="L728" s="12" t="s">
        <v>6240</v>
      </c>
      <c r="M728" s="13">
        <v>43233</v>
      </c>
      <c r="N728" s="12" t="s">
        <v>9313</v>
      </c>
      <c r="O728" s="12" t="s">
        <v>9314</v>
      </c>
      <c r="P728" s="12"/>
      <c r="Q728" s="12">
        <v>1</v>
      </c>
    </row>
    <row r="729" spans="1:17" ht="15.75" customHeight="1">
      <c r="A729" s="12">
        <v>468</v>
      </c>
      <c r="B729" s="12">
        <v>2011</v>
      </c>
      <c r="C729" s="12">
        <v>35483</v>
      </c>
      <c r="D729" s="12" t="s">
        <v>6047</v>
      </c>
      <c r="E729" s="12" t="s">
        <v>9315</v>
      </c>
      <c r="F729" s="12" t="s">
        <v>9316</v>
      </c>
      <c r="G729" s="12" t="s">
        <v>9317</v>
      </c>
      <c r="H729" s="12" t="s">
        <v>6051</v>
      </c>
      <c r="I729" s="12" t="s">
        <v>6700</v>
      </c>
      <c r="J729" s="12">
        <v>35483</v>
      </c>
      <c r="K729" s="12" t="s">
        <v>7629</v>
      </c>
      <c r="L729" s="12" t="s">
        <v>6455</v>
      </c>
      <c r="M729" s="13">
        <v>43787</v>
      </c>
      <c r="N729" s="12" t="s">
        <v>7630</v>
      </c>
      <c r="O729" s="12" t="s">
        <v>7631</v>
      </c>
      <c r="P729" s="12"/>
      <c r="Q729" s="12">
        <v>1</v>
      </c>
    </row>
    <row r="730" spans="1:17" ht="15.75" customHeight="1">
      <c r="A730" s="12">
        <v>109</v>
      </c>
      <c r="B730" s="12">
        <v>1355</v>
      </c>
      <c r="C730" s="12">
        <v>19773</v>
      </c>
      <c r="D730" s="12" t="s">
        <v>6047</v>
      </c>
      <c r="E730" s="12" t="s">
        <v>9318</v>
      </c>
      <c r="F730" s="12" t="s">
        <v>9319</v>
      </c>
      <c r="G730" s="12" t="s">
        <v>9320</v>
      </c>
      <c r="H730" s="12" t="s">
        <v>6051</v>
      </c>
      <c r="I730" s="12" t="s">
        <v>6635</v>
      </c>
      <c r="J730" s="12">
        <v>19773</v>
      </c>
      <c r="K730" s="12" t="s">
        <v>6510</v>
      </c>
      <c r="L730" s="12" t="s">
        <v>6511</v>
      </c>
      <c r="M730" s="13">
        <v>45966</v>
      </c>
      <c r="N730" s="12" t="s">
        <v>6512</v>
      </c>
      <c r="O730" s="12" t="s">
        <v>6513</v>
      </c>
      <c r="P730" s="12"/>
      <c r="Q730" s="12">
        <v>1</v>
      </c>
    </row>
    <row r="731" spans="1:17" ht="15.75" customHeight="1">
      <c r="A731" s="12">
        <v>1793</v>
      </c>
      <c r="B731" s="12">
        <v>1591</v>
      </c>
      <c r="C731" s="12">
        <v>28000</v>
      </c>
      <c r="D731" s="12" t="s">
        <v>6047</v>
      </c>
      <c r="E731" s="12" t="s">
        <v>9321</v>
      </c>
      <c r="F731" s="12" t="s">
        <v>9322</v>
      </c>
      <c r="G731" s="12" t="s">
        <v>9323</v>
      </c>
      <c r="H731" s="12" t="s">
        <v>6051</v>
      </c>
      <c r="I731" s="12" t="s">
        <v>6894</v>
      </c>
      <c r="J731" s="12">
        <v>28000</v>
      </c>
      <c r="K731" s="12" t="s">
        <v>6062</v>
      </c>
      <c r="L731" s="12" t="s">
        <v>6063</v>
      </c>
      <c r="M731" s="13">
        <v>40873</v>
      </c>
      <c r="N731" s="12" t="s">
        <v>6064</v>
      </c>
      <c r="O731" s="12" t="s">
        <v>6065</v>
      </c>
      <c r="P731" s="12"/>
      <c r="Q731" s="12">
        <v>1</v>
      </c>
    </row>
    <row r="732" spans="1:17" ht="15.75" customHeight="1">
      <c r="A732" s="12">
        <v>1966</v>
      </c>
      <c r="B732" s="12">
        <v>375</v>
      </c>
      <c r="C732" s="12">
        <v>5690</v>
      </c>
      <c r="D732" s="12" t="s">
        <v>6047</v>
      </c>
      <c r="E732" s="12" t="s">
        <v>9324</v>
      </c>
      <c r="F732" s="12" t="s">
        <v>9325</v>
      </c>
      <c r="G732" s="12" t="s">
        <v>9326</v>
      </c>
      <c r="H732" s="12" t="s">
        <v>6213</v>
      </c>
      <c r="I732" s="12" t="s">
        <v>7475</v>
      </c>
      <c r="J732" s="12">
        <v>5690</v>
      </c>
      <c r="K732" s="12" t="s">
        <v>7298</v>
      </c>
      <c r="L732" s="12" t="s">
        <v>6113</v>
      </c>
      <c r="M732" s="13">
        <v>38579</v>
      </c>
      <c r="N732" s="12" t="s">
        <v>7299</v>
      </c>
      <c r="O732" s="12" t="s">
        <v>7300</v>
      </c>
      <c r="P732" s="12"/>
      <c r="Q732" s="12">
        <v>1</v>
      </c>
    </row>
    <row r="733" spans="1:17" ht="15.75" customHeight="1">
      <c r="A733" s="12">
        <v>80</v>
      </c>
      <c r="B733" s="12">
        <v>1360</v>
      </c>
      <c r="C733" s="12">
        <v>19818</v>
      </c>
      <c r="D733" s="12" t="s">
        <v>6047</v>
      </c>
      <c r="E733" s="12" t="s">
        <v>2036</v>
      </c>
      <c r="F733" s="12" t="s">
        <v>9327</v>
      </c>
      <c r="G733" s="12" t="s">
        <v>9328</v>
      </c>
      <c r="H733" s="12" t="s">
        <v>6051</v>
      </c>
      <c r="I733" s="12" t="s">
        <v>6635</v>
      </c>
      <c r="J733" s="12">
        <v>19818</v>
      </c>
      <c r="K733" s="12" t="s">
        <v>9329</v>
      </c>
      <c r="L733" s="12" t="s">
        <v>6590</v>
      </c>
      <c r="M733" s="13">
        <v>45970</v>
      </c>
      <c r="N733" s="12" t="s">
        <v>9330</v>
      </c>
      <c r="O733" s="12" t="s">
        <v>9331</v>
      </c>
      <c r="P733" s="12"/>
      <c r="Q733" s="12">
        <v>1</v>
      </c>
    </row>
    <row r="734" spans="1:17" ht="15.75" customHeight="1">
      <c r="A734" s="12">
        <v>843</v>
      </c>
      <c r="B734" s="12">
        <v>1390</v>
      </c>
      <c r="C734" s="12">
        <v>20386</v>
      </c>
      <c r="D734" s="12" t="s">
        <v>6047</v>
      </c>
      <c r="E734" s="12" t="s">
        <v>9332</v>
      </c>
      <c r="F734" s="12" t="s">
        <v>9333</v>
      </c>
      <c r="G734" s="12" t="s">
        <v>9334</v>
      </c>
      <c r="H734" s="12" t="s">
        <v>6051</v>
      </c>
      <c r="I734" s="12" t="s">
        <v>6676</v>
      </c>
      <c r="J734" s="12">
        <v>20386</v>
      </c>
      <c r="K734" s="12" t="s">
        <v>9335</v>
      </c>
      <c r="L734" s="12" t="s">
        <v>6564</v>
      </c>
      <c r="M734" s="13">
        <v>43020</v>
      </c>
      <c r="N734" s="12" t="s">
        <v>9336</v>
      </c>
      <c r="O734" s="12" t="s">
        <v>9337</v>
      </c>
      <c r="P734" s="12"/>
      <c r="Q734" s="12">
        <v>1</v>
      </c>
    </row>
    <row r="735" spans="1:17" ht="15.75" customHeight="1">
      <c r="A735" s="12">
        <v>662</v>
      </c>
      <c r="B735" s="12">
        <v>104</v>
      </c>
      <c r="C735" s="12">
        <v>1639</v>
      </c>
      <c r="D735" s="12" t="s">
        <v>6047</v>
      </c>
      <c r="E735" s="12" t="s">
        <v>9338</v>
      </c>
      <c r="F735" s="12" t="s">
        <v>9339</v>
      </c>
      <c r="G735" s="12" t="s">
        <v>9340</v>
      </c>
      <c r="H735" s="12" t="s">
        <v>6435</v>
      </c>
      <c r="I735" s="12" t="s">
        <v>6920</v>
      </c>
      <c r="J735" s="12">
        <v>1639</v>
      </c>
      <c r="K735" s="12" t="s">
        <v>6192</v>
      </c>
      <c r="L735" s="12" t="s">
        <v>6193</v>
      </c>
      <c r="M735" s="13">
        <v>43401</v>
      </c>
      <c r="N735" s="12" t="s">
        <v>6194</v>
      </c>
      <c r="O735" s="12" t="s">
        <v>6195</v>
      </c>
      <c r="P735" s="12" t="s">
        <v>6196</v>
      </c>
      <c r="Q735" s="12">
        <v>1</v>
      </c>
    </row>
    <row r="736" spans="1:17" ht="15.75" customHeight="1">
      <c r="A736" s="12">
        <v>1944</v>
      </c>
      <c r="B736" s="12">
        <v>172</v>
      </c>
      <c r="C736" s="12">
        <v>2970</v>
      </c>
      <c r="D736" s="12" t="s">
        <v>6047</v>
      </c>
      <c r="E736" s="12" t="s">
        <v>9341</v>
      </c>
      <c r="F736" s="12" t="s">
        <v>9342</v>
      </c>
      <c r="G736" s="12" t="s">
        <v>9343</v>
      </c>
      <c r="H736" s="12" t="s">
        <v>9344</v>
      </c>
      <c r="I736" s="12" t="s">
        <v>9345</v>
      </c>
      <c r="J736" s="12">
        <v>2970</v>
      </c>
      <c r="K736" s="12" t="s">
        <v>7276</v>
      </c>
      <c r="L736" s="12" t="s">
        <v>7277</v>
      </c>
      <c r="M736" s="13">
        <v>39234</v>
      </c>
      <c r="N736" s="12" t="s">
        <v>7278</v>
      </c>
      <c r="O736" s="12" t="s">
        <v>7279</v>
      </c>
      <c r="P736" s="12"/>
      <c r="Q736" s="12">
        <v>1</v>
      </c>
    </row>
    <row r="737" spans="1:17" ht="15.75" customHeight="1">
      <c r="A737" s="12">
        <v>845</v>
      </c>
      <c r="B737" s="12">
        <v>679</v>
      </c>
      <c r="C737" s="12">
        <v>8187</v>
      </c>
      <c r="D737" s="12" t="s">
        <v>6047</v>
      </c>
      <c r="E737" s="12" t="s">
        <v>2045</v>
      </c>
      <c r="F737" s="12" t="s">
        <v>9346</v>
      </c>
      <c r="G737" s="12" t="s">
        <v>9347</v>
      </c>
      <c r="H737" s="12" t="s">
        <v>6075</v>
      </c>
      <c r="I737" s="12" t="s">
        <v>6076</v>
      </c>
      <c r="J737" s="12">
        <v>8187</v>
      </c>
      <c r="K737" s="12" t="s">
        <v>9348</v>
      </c>
      <c r="L737" s="12" t="s">
        <v>6564</v>
      </c>
      <c r="M737" s="13">
        <v>43020</v>
      </c>
      <c r="N737" s="12" t="s">
        <v>9349</v>
      </c>
      <c r="O737" s="12" t="s">
        <v>9350</v>
      </c>
      <c r="P737" s="12"/>
      <c r="Q737" s="12">
        <v>1</v>
      </c>
    </row>
    <row r="738" spans="1:17" ht="15.75" customHeight="1">
      <c r="A738" s="12">
        <v>1834</v>
      </c>
      <c r="B738" s="12">
        <v>709</v>
      </c>
      <c r="C738" s="12">
        <v>8473</v>
      </c>
      <c r="D738" s="12" t="s">
        <v>6047</v>
      </c>
      <c r="E738" s="12" t="s">
        <v>9351</v>
      </c>
      <c r="F738" s="12" t="s">
        <v>9352</v>
      </c>
      <c r="G738" s="12" t="s">
        <v>9353</v>
      </c>
      <c r="H738" s="12" t="s">
        <v>6075</v>
      </c>
      <c r="I738" s="12" t="s">
        <v>6076</v>
      </c>
      <c r="J738" s="12">
        <v>8473</v>
      </c>
      <c r="K738" s="12" t="s">
        <v>6062</v>
      </c>
      <c r="L738" s="12" t="s">
        <v>6063</v>
      </c>
      <c r="M738" s="13">
        <v>40873</v>
      </c>
      <c r="N738" s="12" t="s">
        <v>6064</v>
      </c>
      <c r="O738" s="12" t="s">
        <v>6065</v>
      </c>
      <c r="P738" s="12"/>
      <c r="Q738" s="12">
        <v>1</v>
      </c>
    </row>
    <row r="739" spans="1:17" ht="15.75" customHeight="1">
      <c r="A739" s="12">
        <v>1465</v>
      </c>
      <c r="B739" s="12">
        <v>620</v>
      </c>
      <c r="C739" s="12">
        <v>7745</v>
      </c>
      <c r="D739" s="12" t="s">
        <v>6047</v>
      </c>
      <c r="E739" s="12" t="s">
        <v>9354</v>
      </c>
      <c r="F739" s="12" t="s">
        <v>9355</v>
      </c>
      <c r="G739" s="12" t="s">
        <v>9356</v>
      </c>
      <c r="H739" s="12" t="s">
        <v>6187</v>
      </c>
      <c r="I739" s="12" t="s">
        <v>6224</v>
      </c>
      <c r="J739" s="12">
        <v>7745</v>
      </c>
      <c r="K739" s="12" t="s">
        <v>6069</v>
      </c>
      <c r="L739" s="12" t="s">
        <v>6070</v>
      </c>
      <c r="M739" s="13">
        <v>41907</v>
      </c>
      <c r="N739" s="12" t="s">
        <v>6071</v>
      </c>
      <c r="O739" s="12" t="s">
        <v>6072</v>
      </c>
      <c r="P739" s="12"/>
      <c r="Q739" s="12">
        <v>1</v>
      </c>
    </row>
    <row r="740" spans="1:17" ht="15.75" customHeight="1">
      <c r="A740" s="12">
        <v>1804</v>
      </c>
      <c r="B740" s="12">
        <v>1236</v>
      </c>
      <c r="C740" s="12">
        <v>17474</v>
      </c>
      <c r="D740" s="12" t="s">
        <v>6047</v>
      </c>
      <c r="E740" s="12" t="s">
        <v>9357</v>
      </c>
      <c r="F740" s="12" t="s">
        <v>9358</v>
      </c>
      <c r="G740" s="12" t="s">
        <v>9359</v>
      </c>
      <c r="H740" s="12" t="s">
        <v>6051</v>
      </c>
      <c r="I740" s="12" t="s">
        <v>6052</v>
      </c>
      <c r="J740" s="12">
        <v>17474</v>
      </c>
      <c r="K740" s="12" t="s">
        <v>6062</v>
      </c>
      <c r="L740" s="12" t="s">
        <v>6063</v>
      </c>
      <c r="M740" s="13">
        <v>40873</v>
      </c>
      <c r="N740" s="12" t="s">
        <v>6064</v>
      </c>
      <c r="O740" s="12" t="s">
        <v>6065</v>
      </c>
      <c r="P740" s="12"/>
      <c r="Q740" s="12">
        <v>1</v>
      </c>
    </row>
    <row r="741" spans="1:17" ht="15.75" customHeight="1">
      <c r="A741" s="12">
        <v>1133</v>
      </c>
      <c r="B741" s="12">
        <v>100</v>
      </c>
      <c r="C741" s="12">
        <v>1450</v>
      </c>
      <c r="D741" s="12" t="s">
        <v>6047</v>
      </c>
      <c r="E741" s="12" t="s">
        <v>2012</v>
      </c>
      <c r="F741" s="12" t="s">
        <v>9360</v>
      </c>
      <c r="G741" s="12" t="s">
        <v>9361</v>
      </c>
      <c r="H741" s="12" t="s">
        <v>6435</v>
      </c>
      <c r="I741" s="12" t="s">
        <v>6920</v>
      </c>
      <c r="J741" s="12">
        <v>1450</v>
      </c>
      <c r="K741" s="12" t="s">
        <v>9362</v>
      </c>
      <c r="L741" s="12" t="s">
        <v>7933</v>
      </c>
      <c r="M741" s="13">
        <v>42287</v>
      </c>
      <c r="N741" s="12" t="s">
        <v>9363</v>
      </c>
      <c r="O741" s="12" t="s">
        <v>9364</v>
      </c>
      <c r="P741" s="12" t="s">
        <v>6196</v>
      </c>
      <c r="Q741" s="12">
        <v>1</v>
      </c>
    </row>
    <row r="742" spans="1:17" ht="15.75" customHeight="1">
      <c r="A742" s="12">
        <v>772</v>
      </c>
      <c r="B742" s="12">
        <v>1343</v>
      </c>
      <c r="C742" s="12">
        <v>19318</v>
      </c>
      <c r="D742" s="12" t="s">
        <v>6047</v>
      </c>
      <c r="E742" s="12" t="s">
        <v>9365</v>
      </c>
      <c r="F742" s="12" t="s">
        <v>9366</v>
      </c>
      <c r="G742" s="12" t="s">
        <v>9367</v>
      </c>
      <c r="H742" s="12" t="s">
        <v>6051</v>
      </c>
      <c r="I742" s="12" t="s">
        <v>9190</v>
      </c>
      <c r="J742" s="12">
        <v>19318</v>
      </c>
      <c r="K742" s="12" t="s">
        <v>9368</v>
      </c>
      <c r="L742" s="12" t="s">
        <v>6590</v>
      </c>
      <c r="M742" s="13">
        <v>43035</v>
      </c>
      <c r="N742" s="12" t="s">
        <v>9369</v>
      </c>
      <c r="O742" s="12" t="s">
        <v>9370</v>
      </c>
      <c r="P742" s="12"/>
      <c r="Q742" s="12">
        <v>1</v>
      </c>
    </row>
    <row r="743" spans="1:17" ht="15.75" customHeight="1">
      <c r="A743" s="12">
        <v>775</v>
      </c>
      <c r="B743" s="12">
        <v>50</v>
      </c>
      <c r="C743" s="12">
        <v>637</v>
      </c>
      <c r="D743" s="12" t="s">
        <v>6047</v>
      </c>
      <c r="E743" s="12" t="s">
        <v>2063</v>
      </c>
      <c r="F743" s="12" t="s">
        <v>9371</v>
      </c>
      <c r="G743" s="12" t="s">
        <v>9372</v>
      </c>
      <c r="H743" s="12" t="s">
        <v>6289</v>
      </c>
      <c r="I743" s="12" t="s">
        <v>6290</v>
      </c>
      <c r="J743" s="12">
        <v>637</v>
      </c>
      <c r="K743" s="12" t="s">
        <v>9368</v>
      </c>
      <c r="L743" s="12" t="s">
        <v>6590</v>
      </c>
      <c r="M743" s="13">
        <v>43035</v>
      </c>
      <c r="N743" s="12" t="s">
        <v>9369</v>
      </c>
      <c r="O743" s="12" t="s">
        <v>9370</v>
      </c>
      <c r="P743" s="12"/>
      <c r="Q743" s="12">
        <v>1</v>
      </c>
    </row>
    <row r="744" spans="1:17" ht="15.75" customHeight="1">
      <c r="A744" s="12">
        <v>1981</v>
      </c>
      <c r="B744" s="12">
        <v>1405</v>
      </c>
      <c r="C744" s="12">
        <v>21134</v>
      </c>
      <c r="D744" s="12" t="s">
        <v>6047</v>
      </c>
      <c r="E744" s="12" t="s">
        <v>9373</v>
      </c>
      <c r="F744" s="12" t="s">
        <v>9374</v>
      </c>
      <c r="G744" s="12" t="s">
        <v>9375</v>
      </c>
      <c r="H744" s="12" t="s">
        <v>6051</v>
      </c>
      <c r="I744" s="12" t="s">
        <v>9376</v>
      </c>
      <c r="J744" s="12">
        <v>21134</v>
      </c>
      <c r="K744" s="12" t="s">
        <v>8445</v>
      </c>
      <c r="L744" s="12" t="s">
        <v>8446</v>
      </c>
      <c r="M744" s="13">
        <v>38576</v>
      </c>
      <c r="N744" s="12" t="s">
        <v>8447</v>
      </c>
      <c r="O744" s="12" t="s">
        <v>8448</v>
      </c>
      <c r="P744" s="12"/>
      <c r="Q744" s="12">
        <v>1</v>
      </c>
    </row>
    <row r="745" spans="1:17" ht="15.75" customHeight="1">
      <c r="A745" s="12">
        <v>1899</v>
      </c>
      <c r="B745" s="12">
        <v>1456</v>
      </c>
      <c r="C745" s="12">
        <v>22423</v>
      </c>
      <c r="D745" s="12" t="s">
        <v>6047</v>
      </c>
      <c r="E745" s="12" t="s">
        <v>9377</v>
      </c>
      <c r="F745" s="12" t="s">
        <v>9378</v>
      </c>
      <c r="G745" s="12" t="s">
        <v>9379</v>
      </c>
      <c r="H745" s="12" t="s">
        <v>6051</v>
      </c>
      <c r="I745" s="12" t="s">
        <v>8716</v>
      </c>
      <c r="J745" s="12">
        <v>22423</v>
      </c>
      <c r="K745" s="12" t="s">
        <v>9380</v>
      </c>
      <c r="L745" s="12" t="s">
        <v>9381</v>
      </c>
      <c r="M745" s="13">
        <v>39251</v>
      </c>
      <c r="N745" s="12" t="s">
        <v>9382</v>
      </c>
      <c r="O745" s="12" t="s">
        <v>9383</v>
      </c>
      <c r="P745" s="12"/>
      <c r="Q745" s="12">
        <v>1</v>
      </c>
    </row>
    <row r="746" spans="1:17" ht="15.75" customHeight="1">
      <c r="A746" s="12">
        <v>1049</v>
      </c>
      <c r="B746" s="12">
        <v>1492</v>
      </c>
      <c r="C746" s="12">
        <v>24093</v>
      </c>
      <c r="D746" s="12" t="s">
        <v>6047</v>
      </c>
      <c r="E746" s="12" t="s">
        <v>9384</v>
      </c>
      <c r="F746" s="12" t="s">
        <v>9385</v>
      </c>
      <c r="G746" s="12" t="s">
        <v>9386</v>
      </c>
      <c r="H746" s="12" t="s">
        <v>6051</v>
      </c>
      <c r="I746" s="12" t="s">
        <v>6738</v>
      </c>
      <c r="J746" s="12">
        <v>24093</v>
      </c>
      <c r="K746" s="12" t="s">
        <v>9387</v>
      </c>
      <c r="L746" s="12" t="s">
        <v>6504</v>
      </c>
      <c r="M746" s="13">
        <v>42688</v>
      </c>
      <c r="N746" s="12" t="s">
        <v>9388</v>
      </c>
      <c r="O746" s="12" t="s">
        <v>9389</v>
      </c>
      <c r="P746" s="12"/>
      <c r="Q746" s="12">
        <v>1</v>
      </c>
    </row>
    <row r="747" spans="1:17" ht="15.75" customHeight="1">
      <c r="A747" s="12">
        <v>1211</v>
      </c>
      <c r="B747" s="12">
        <v>1570</v>
      </c>
      <c r="C747" s="12">
        <v>27612</v>
      </c>
      <c r="D747" s="12" t="s">
        <v>6047</v>
      </c>
      <c r="E747" s="12" t="s">
        <v>2074</v>
      </c>
      <c r="F747" s="12" t="s">
        <v>9390</v>
      </c>
      <c r="G747" s="12" t="s">
        <v>9391</v>
      </c>
      <c r="H747" s="12" t="s">
        <v>6051</v>
      </c>
      <c r="I747" s="12" t="s">
        <v>6704</v>
      </c>
      <c r="J747" s="12">
        <v>27612</v>
      </c>
      <c r="K747" s="12" t="s">
        <v>6429</v>
      </c>
      <c r="L747" s="12" t="s">
        <v>6423</v>
      </c>
      <c r="M747" s="13">
        <v>41991</v>
      </c>
      <c r="N747" s="12" t="s">
        <v>6430</v>
      </c>
      <c r="O747" s="12" t="s">
        <v>6431</v>
      </c>
      <c r="P747" s="12"/>
      <c r="Q747" s="12">
        <v>1</v>
      </c>
    </row>
    <row r="748" spans="1:17" ht="15.75" customHeight="1">
      <c r="A748" s="12">
        <v>1209</v>
      </c>
      <c r="B748" s="12">
        <v>1773</v>
      </c>
      <c r="C748" s="12">
        <v>33041</v>
      </c>
      <c r="D748" s="12" t="s">
        <v>6047</v>
      </c>
      <c r="E748" s="12" t="s">
        <v>9392</v>
      </c>
      <c r="F748" s="12" t="s">
        <v>9393</v>
      </c>
      <c r="G748" s="12" t="s">
        <v>9394</v>
      </c>
      <c r="H748" s="12" t="s">
        <v>6051</v>
      </c>
      <c r="I748" s="12" t="s">
        <v>6374</v>
      </c>
      <c r="J748" s="12">
        <v>33041</v>
      </c>
      <c r="K748" s="12" t="s">
        <v>6429</v>
      </c>
      <c r="L748" s="12" t="s">
        <v>6423</v>
      </c>
      <c r="M748" s="13">
        <v>41991</v>
      </c>
      <c r="N748" s="12" t="s">
        <v>6430</v>
      </c>
      <c r="O748" s="12" t="s">
        <v>6431</v>
      </c>
      <c r="P748" s="12"/>
      <c r="Q748" s="12">
        <v>1</v>
      </c>
    </row>
    <row r="749" spans="1:17" ht="15.75" customHeight="1">
      <c r="A749" s="12">
        <v>1057</v>
      </c>
      <c r="B749" s="12">
        <v>1226</v>
      </c>
      <c r="C749" s="12">
        <v>17403</v>
      </c>
      <c r="D749" s="12" t="s">
        <v>6047</v>
      </c>
      <c r="E749" s="12" t="s">
        <v>9395</v>
      </c>
      <c r="F749" s="12" t="s">
        <v>9396</v>
      </c>
      <c r="G749" s="12" t="s">
        <v>9397</v>
      </c>
      <c r="H749" s="12" t="s">
        <v>6051</v>
      </c>
      <c r="I749" s="12" t="s">
        <v>6052</v>
      </c>
      <c r="J749" s="12">
        <v>17403</v>
      </c>
      <c r="K749" s="12" t="s">
        <v>6053</v>
      </c>
      <c r="L749" s="12" t="s">
        <v>6054</v>
      </c>
      <c r="M749" s="13">
        <v>42687</v>
      </c>
      <c r="N749" s="12" t="s">
        <v>6055</v>
      </c>
      <c r="O749" s="12" t="s">
        <v>6056</v>
      </c>
      <c r="P749" s="12"/>
      <c r="Q749" s="12">
        <v>1</v>
      </c>
    </row>
    <row r="750" spans="1:17" ht="15.75" customHeight="1">
      <c r="A750" s="12">
        <v>936</v>
      </c>
      <c r="B750" s="12">
        <v>828</v>
      </c>
      <c r="C750" s="12">
        <v>10445</v>
      </c>
      <c r="D750" s="12" t="s">
        <v>6047</v>
      </c>
      <c r="E750" s="12" t="s">
        <v>9398</v>
      </c>
      <c r="F750" s="12" t="s">
        <v>9399</v>
      </c>
      <c r="G750" s="12" t="s">
        <v>9400</v>
      </c>
      <c r="H750" s="12" t="s">
        <v>6060</v>
      </c>
      <c r="I750" s="12" t="s">
        <v>6795</v>
      </c>
      <c r="J750" s="12">
        <v>10445</v>
      </c>
      <c r="K750" s="12" t="s">
        <v>6752</v>
      </c>
      <c r="L750" s="12" t="s">
        <v>6753</v>
      </c>
      <c r="M750" s="13">
        <v>42828</v>
      </c>
      <c r="N750" s="12" t="s">
        <v>6754</v>
      </c>
      <c r="O750" s="12" t="s">
        <v>6891</v>
      </c>
      <c r="P750" s="12"/>
      <c r="Q750" s="12">
        <v>1</v>
      </c>
    </row>
    <row r="751" spans="1:17" ht="15.75" customHeight="1">
      <c r="A751" s="12">
        <v>1146</v>
      </c>
      <c r="B751" s="12">
        <v>1610</v>
      </c>
      <c r="C751" s="12">
        <v>28318</v>
      </c>
      <c r="D751" s="12" t="s">
        <v>6047</v>
      </c>
      <c r="E751" s="12" t="s">
        <v>9401</v>
      </c>
      <c r="F751" s="12" t="s">
        <v>9402</v>
      </c>
      <c r="G751" s="12" t="s">
        <v>9403</v>
      </c>
      <c r="H751" s="12" t="s">
        <v>6051</v>
      </c>
      <c r="I751" s="12" t="s">
        <v>6366</v>
      </c>
      <c r="J751" s="12">
        <v>28318</v>
      </c>
      <c r="K751" s="12" t="s">
        <v>9404</v>
      </c>
      <c r="L751" s="12" t="s">
        <v>6393</v>
      </c>
      <c r="M751" s="13">
        <v>42137</v>
      </c>
      <c r="N751" s="12" t="s">
        <v>9405</v>
      </c>
      <c r="O751" s="12" t="s">
        <v>9406</v>
      </c>
      <c r="P751" s="12"/>
      <c r="Q751" s="12">
        <v>1</v>
      </c>
    </row>
    <row r="752" spans="1:17" ht="15.75" customHeight="1">
      <c r="A752" s="12">
        <v>375</v>
      </c>
      <c r="B752" s="12">
        <v>150</v>
      </c>
      <c r="C752" s="12">
        <v>2347</v>
      </c>
      <c r="D752" s="12" t="s">
        <v>6047</v>
      </c>
      <c r="E752" s="12" t="s">
        <v>9407</v>
      </c>
      <c r="F752" s="12" t="s">
        <v>9408</v>
      </c>
      <c r="G752" s="12" t="s">
        <v>9409</v>
      </c>
      <c r="H752" s="12" t="s">
        <v>6127</v>
      </c>
      <c r="I752" s="12" t="s">
        <v>6128</v>
      </c>
      <c r="J752" s="12">
        <v>2347</v>
      </c>
      <c r="K752" s="12" t="s">
        <v>8167</v>
      </c>
      <c r="L752" s="12" t="s">
        <v>7983</v>
      </c>
      <c r="M752" s="13">
        <v>44720</v>
      </c>
      <c r="N752" s="12" t="s">
        <v>8168</v>
      </c>
      <c r="O752" s="12" t="s">
        <v>8573</v>
      </c>
      <c r="P752" s="12"/>
      <c r="Q752" s="12">
        <v>1</v>
      </c>
    </row>
    <row r="753" spans="1:17" ht="15.75" customHeight="1">
      <c r="A753" s="12">
        <v>1102</v>
      </c>
      <c r="B753" s="12">
        <v>354</v>
      </c>
      <c r="C753" s="12">
        <v>5441</v>
      </c>
      <c r="D753" s="12" t="s">
        <v>6047</v>
      </c>
      <c r="E753" s="12" t="s">
        <v>9410</v>
      </c>
      <c r="F753" s="12" t="s">
        <v>9411</v>
      </c>
      <c r="G753" s="12" t="s">
        <v>9412</v>
      </c>
      <c r="H753" s="12" t="s">
        <v>6213</v>
      </c>
      <c r="I753" s="12" t="s">
        <v>6214</v>
      </c>
      <c r="J753" s="12">
        <v>5441</v>
      </c>
      <c r="K753" s="12" t="s">
        <v>8161</v>
      </c>
      <c r="L753" s="12" t="s">
        <v>6054</v>
      </c>
      <c r="M753" s="13">
        <v>42684</v>
      </c>
      <c r="N753" s="12" t="s">
        <v>8162</v>
      </c>
      <c r="O753" s="12" t="s">
        <v>8163</v>
      </c>
      <c r="P753" s="12"/>
      <c r="Q753" s="12">
        <v>1</v>
      </c>
    </row>
    <row r="754" spans="1:17" ht="15.75" customHeight="1">
      <c r="A754" s="12">
        <v>70</v>
      </c>
      <c r="B754" s="12">
        <v>1310</v>
      </c>
      <c r="C754" s="12">
        <v>18504</v>
      </c>
      <c r="D754" s="12" t="s">
        <v>6047</v>
      </c>
      <c r="E754" s="12" t="s">
        <v>2085</v>
      </c>
      <c r="F754" s="12" t="s">
        <v>9413</v>
      </c>
      <c r="G754" s="12" t="s">
        <v>9414</v>
      </c>
      <c r="H754" s="12" t="s">
        <v>6051</v>
      </c>
      <c r="I754" s="12" t="s">
        <v>8176</v>
      </c>
      <c r="J754" s="12">
        <v>18504</v>
      </c>
      <c r="K754" s="12" t="s">
        <v>9415</v>
      </c>
      <c r="L754" s="12" t="s">
        <v>6564</v>
      </c>
      <c r="M754" s="13">
        <v>45971</v>
      </c>
      <c r="N754" s="12" t="s">
        <v>9416</v>
      </c>
      <c r="O754" s="12" t="s">
        <v>9417</v>
      </c>
      <c r="P754" s="12"/>
      <c r="Q754" s="12">
        <v>1</v>
      </c>
    </row>
    <row r="755" spans="1:17" ht="15.75" customHeight="1">
      <c r="A755" s="12">
        <v>755</v>
      </c>
      <c r="B755" s="12">
        <v>1862</v>
      </c>
      <c r="C755" s="12">
        <v>33992</v>
      </c>
      <c r="D755" s="12" t="s">
        <v>6047</v>
      </c>
      <c r="E755" s="12" t="s">
        <v>2088</v>
      </c>
      <c r="F755" s="12" t="s">
        <v>9418</v>
      </c>
      <c r="G755" s="12" t="s">
        <v>9419</v>
      </c>
      <c r="H755" s="12" t="s">
        <v>6051</v>
      </c>
      <c r="I755" s="12" t="s">
        <v>6362</v>
      </c>
      <c r="J755" s="12">
        <v>33992</v>
      </c>
      <c r="K755" s="12" t="s">
        <v>9420</v>
      </c>
      <c r="L755" s="12" t="s">
        <v>7405</v>
      </c>
      <c r="M755" s="13">
        <v>43090</v>
      </c>
      <c r="N755" s="12" t="s">
        <v>9421</v>
      </c>
      <c r="O755" s="12" t="s">
        <v>9422</v>
      </c>
      <c r="P755" s="12"/>
      <c r="Q755" s="12">
        <v>1</v>
      </c>
    </row>
    <row r="756" spans="1:17" ht="15.75" customHeight="1">
      <c r="A756" s="12">
        <v>733</v>
      </c>
      <c r="B756" s="12">
        <v>151</v>
      </c>
      <c r="C756" s="12">
        <v>2360</v>
      </c>
      <c r="D756" s="12" t="s">
        <v>6047</v>
      </c>
      <c r="E756" s="12" t="s">
        <v>9423</v>
      </c>
      <c r="F756" s="12" t="s">
        <v>9424</v>
      </c>
      <c r="G756" s="12" t="s">
        <v>9425</v>
      </c>
      <c r="H756" s="12" t="s">
        <v>6127</v>
      </c>
      <c r="I756" s="12" t="s">
        <v>6128</v>
      </c>
      <c r="J756" s="12">
        <v>2360</v>
      </c>
      <c r="K756" s="12" t="s">
        <v>6838</v>
      </c>
      <c r="L756" s="12" t="s">
        <v>6839</v>
      </c>
      <c r="M756" s="13">
        <v>43197</v>
      </c>
      <c r="N756" s="12" t="s">
        <v>6840</v>
      </c>
      <c r="O756" s="12" t="s">
        <v>9426</v>
      </c>
      <c r="P756" s="12"/>
      <c r="Q756" s="12">
        <v>1</v>
      </c>
    </row>
    <row r="757" spans="1:17" ht="15.75" customHeight="1">
      <c r="A757" s="12">
        <v>114</v>
      </c>
      <c r="B757" s="12">
        <v>1268</v>
      </c>
      <c r="C757" s="12">
        <v>17896</v>
      </c>
      <c r="D757" s="12" t="s">
        <v>6047</v>
      </c>
      <c r="E757" s="12" t="s">
        <v>2090</v>
      </c>
      <c r="F757" s="12" t="s">
        <v>9427</v>
      </c>
      <c r="G757" s="12" t="s">
        <v>9428</v>
      </c>
      <c r="H757" s="12" t="s">
        <v>6051</v>
      </c>
      <c r="I757" s="12" t="s">
        <v>6857</v>
      </c>
      <c r="J757" s="12">
        <v>17896</v>
      </c>
      <c r="K757" s="12" t="s">
        <v>6671</v>
      </c>
      <c r="L757" s="12" t="s">
        <v>6511</v>
      </c>
      <c r="M757" s="13">
        <v>45966</v>
      </c>
      <c r="N757" s="12" t="s">
        <v>6672</v>
      </c>
      <c r="O757" s="12" t="s">
        <v>6673</v>
      </c>
      <c r="P757" s="12"/>
      <c r="Q757" s="12">
        <v>1</v>
      </c>
    </row>
    <row r="758" spans="1:17" ht="15.75" customHeight="1">
      <c r="A758" s="12">
        <v>1422</v>
      </c>
      <c r="B758" s="12">
        <v>1387</v>
      </c>
      <c r="C758" s="12">
        <v>20192</v>
      </c>
      <c r="D758" s="12" t="s">
        <v>6047</v>
      </c>
      <c r="E758" s="12" t="s">
        <v>2092</v>
      </c>
      <c r="F758" s="12" t="s">
        <v>9429</v>
      </c>
      <c r="G758" s="12" t="s">
        <v>9430</v>
      </c>
      <c r="H758" s="12" t="s">
        <v>6051</v>
      </c>
      <c r="I758" s="12" t="s">
        <v>7041</v>
      </c>
      <c r="J758" s="12">
        <v>20192</v>
      </c>
      <c r="K758" s="12" t="s">
        <v>6139</v>
      </c>
      <c r="L758" s="12" t="s">
        <v>6087</v>
      </c>
      <c r="M758" s="13">
        <v>41909</v>
      </c>
      <c r="N758" s="12" t="s">
        <v>6140</v>
      </c>
      <c r="O758" s="12" t="s">
        <v>6141</v>
      </c>
      <c r="P758" s="12"/>
      <c r="Q758" s="12">
        <v>1</v>
      </c>
    </row>
    <row r="759" spans="1:17" ht="15.75" customHeight="1">
      <c r="A759" s="12">
        <v>1078</v>
      </c>
      <c r="B759" s="12">
        <v>86</v>
      </c>
      <c r="C759" s="12">
        <v>954</v>
      </c>
      <c r="D759" s="12" t="s">
        <v>6047</v>
      </c>
      <c r="E759" s="12" t="s">
        <v>9431</v>
      </c>
      <c r="F759" s="12" t="s">
        <v>9432</v>
      </c>
      <c r="G759" s="12" t="s">
        <v>9433</v>
      </c>
      <c r="H759" s="12" t="s">
        <v>6435</v>
      </c>
      <c r="I759" s="12" t="s">
        <v>6436</v>
      </c>
      <c r="J759" s="12">
        <v>954</v>
      </c>
      <c r="K759" s="12" t="s">
        <v>6927</v>
      </c>
      <c r="L759" s="12" t="s">
        <v>6504</v>
      </c>
      <c r="M759" s="13">
        <v>42686</v>
      </c>
      <c r="N759" s="12" t="s">
        <v>6928</v>
      </c>
      <c r="O759" s="12" t="s">
        <v>6929</v>
      </c>
      <c r="P759" s="12"/>
      <c r="Q759" s="12">
        <v>1</v>
      </c>
    </row>
    <row r="760" spans="1:17" ht="15.75" customHeight="1">
      <c r="A760" s="12">
        <v>2000</v>
      </c>
      <c r="B760" s="12">
        <v>802</v>
      </c>
      <c r="C760" s="12">
        <v>10083</v>
      </c>
      <c r="D760" s="12" t="s">
        <v>6047</v>
      </c>
      <c r="E760" s="12" t="s">
        <v>9434</v>
      </c>
      <c r="F760" s="12" t="s">
        <v>9435</v>
      </c>
      <c r="G760" s="12" t="s">
        <v>9436</v>
      </c>
      <c r="H760" s="12" t="s">
        <v>6265</v>
      </c>
      <c r="I760" s="12" t="s">
        <v>6266</v>
      </c>
      <c r="J760" s="12">
        <v>10083</v>
      </c>
      <c r="K760" s="12" t="s">
        <v>6112</v>
      </c>
      <c r="L760" s="12" t="s">
        <v>6113</v>
      </c>
      <c r="M760" s="13">
        <v>38573</v>
      </c>
      <c r="N760" s="12" t="s">
        <v>6114</v>
      </c>
      <c r="O760" s="12" t="s">
        <v>6115</v>
      </c>
      <c r="P760" s="12"/>
      <c r="Q760" s="12">
        <v>1</v>
      </c>
    </row>
    <row r="761" spans="1:17" ht="15.75" customHeight="1">
      <c r="A761" s="12">
        <v>1838</v>
      </c>
      <c r="B761" s="12">
        <v>648</v>
      </c>
      <c r="C761" s="12">
        <v>7871</v>
      </c>
      <c r="D761" s="12" t="s">
        <v>6047</v>
      </c>
      <c r="E761" s="12" t="s">
        <v>9437</v>
      </c>
      <c r="F761" s="12" t="s">
        <v>9438</v>
      </c>
      <c r="G761" s="12" t="s">
        <v>9439</v>
      </c>
      <c r="H761" s="12" t="s">
        <v>6075</v>
      </c>
      <c r="I761" s="12" t="s">
        <v>6076</v>
      </c>
      <c r="J761" s="12">
        <v>7871</v>
      </c>
      <c r="K761" s="12" t="s">
        <v>6062</v>
      </c>
      <c r="L761" s="12" t="s">
        <v>6063</v>
      </c>
      <c r="M761" s="13">
        <v>40873</v>
      </c>
      <c r="N761" s="12" t="s">
        <v>6064</v>
      </c>
      <c r="O761" s="12" t="s">
        <v>6065</v>
      </c>
      <c r="P761" s="12"/>
      <c r="Q761" s="12">
        <v>1</v>
      </c>
    </row>
    <row r="762" spans="1:17" ht="15.75" customHeight="1">
      <c r="A762" s="12">
        <v>235</v>
      </c>
      <c r="B762" s="12">
        <v>941</v>
      </c>
      <c r="C762" s="12">
        <v>12737</v>
      </c>
      <c r="D762" s="12" t="s">
        <v>6047</v>
      </c>
      <c r="E762" s="12" t="s">
        <v>9440</v>
      </c>
      <c r="F762" s="12" t="s">
        <v>9441</v>
      </c>
      <c r="G762" s="12" t="s">
        <v>9442</v>
      </c>
      <c r="H762" s="12" t="s">
        <v>6627</v>
      </c>
      <c r="I762" s="12" t="s">
        <v>6628</v>
      </c>
      <c r="J762" s="12">
        <v>12737</v>
      </c>
      <c r="K762" s="12" t="s">
        <v>9443</v>
      </c>
      <c r="L762" s="12" t="s">
        <v>7739</v>
      </c>
      <c r="M762" s="13">
        <v>45608</v>
      </c>
      <c r="N762" s="12" t="s">
        <v>9444</v>
      </c>
      <c r="O762" s="12" t="s">
        <v>9445</v>
      </c>
      <c r="P762" s="12"/>
      <c r="Q762" s="12">
        <v>1</v>
      </c>
    </row>
    <row r="763" spans="1:17" ht="15.75" customHeight="1">
      <c r="A763" s="12">
        <v>1122</v>
      </c>
      <c r="B763" s="12">
        <v>370</v>
      </c>
      <c r="C763" s="12">
        <v>5533</v>
      </c>
      <c r="D763" s="12" t="s">
        <v>6047</v>
      </c>
      <c r="E763" s="12" t="s">
        <v>9446</v>
      </c>
      <c r="F763" s="12" t="s">
        <v>9447</v>
      </c>
      <c r="G763" s="12" t="s">
        <v>9448</v>
      </c>
      <c r="H763" s="12" t="s">
        <v>6213</v>
      </c>
      <c r="I763" s="12" t="s">
        <v>6214</v>
      </c>
      <c r="J763" s="12">
        <v>5533</v>
      </c>
      <c r="K763" s="12" t="s">
        <v>9449</v>
      </c>
      <c r="L763" s="12" t="s">
        <v>6345</v>
      </c>
      <c r="M763" s="13">
        <v>42328</v>
      </c>
      <c r="N763" s="12" t="s">
        <v>9450</v>
      </c>
      <c r="O763" s="12" t="s">
        <v>9451</v>
      </c>
      <c r="P763" s="12" t="s">
        <v>6196</v>
      </c>
      <c r="Q763" s="12">
        <v>1</v>
      </c>
    </row>
    <row r="764" spans="1:17" ht="15.75" customHeight="1">
      <c r="A764" s="12">
        <v>1675</v>
      </c>
      <c r="B764" s="12">
        <v>1938</v>
      </c>
      <c r="C764" s="12">
        <v>34740</v>
      </c>
      <c r="D764" s="12" t="s">
        <v>6047</v>
      </c>
      <c r="E764" s="12" t="s">
        <v>9452</v>
      </c>
      <c r="F764" s="12" t="s">
        <v>9453</v>
      </c>
      <c r="G764" s="12" t="s">
        <v>9454</v>
      </c>
      <c r="H764" s="12" t="s">
        <v>6051</v>
      </c>
      <c r="I764" s="12" t="s">
        <v>6700</v>
      </c>
      <c r="J764" s="12">
        <v>34740</v>
      </c>
      <c r="K764" s="12" t="s">
        <v>7260</v>
      </c>
      <c r="L764" s="12" t="s">
        <v>7261</v>
      </c>
      <c r="M764" s="13">
        <v>40879</v>
      </c>
      <c r="N764" s="12" t="s">
        <v>7262</v>
      </c>
      <c r="O764" s="12" t="s">
        <v>7263</v>
      </c>
      <c r="P764" s="12"/>
      <c r="Q764" s="12">
        <v>1</v>
      </c>
    </row>
    <row r="765" spans="1:17" ht="15.75" customHeight="1">
      <c r="A765" s="12">
        <v>1367</v>
      </c>
      <c r="B765" s="12">
        <v>486</v>
      </c>
      <c r="C765" s="12">
        <v>6480</v>
      </c>
      <c r="D765" s="12" t="s">
        <v>6047</v>
      </c>
      <c r="E765" s="12" t="s">
        <v>2116</v>
      </c>
      <c r="F765" s="12" t="s">
        <v>9455</v>
      </c>
      <c r="G765" s="12" t="s">
        <v>9456</v>
      </c>
      <c r="H765" s="12" t="s">
        <v>6137</v>
      </c>
      <c r="I765" s="12" t="s">
        <v>6200</v>
      </c>
      <c r="J765" s="12">
        <v>6480</v>
      </c>
      <c r="K765" s="12" t="s">
        <v>6077</v>
      </c>
      <c r="L765" s="12" t="s">
        <v>6078</v>
      </c>
      <c r="M765" s="13">
        <v>41915</v>
      </c>
      <c r="N765" s="12" t="s">
        <v>6079</v>
      </c>
      <c r="O765" s="12" t="s">
        <v>7172</v>
      </c>
      <c r="P765" s="12"/>
      <c r="Q765" s="12">
        <v>1</v>
      </c>
    </row>
    <row r="766" spans="1:17" ht="15.75" customHeight="1">
      <c r="A766" s="12">
        <v>1062</v>
      </c>
      <c r="B766" s="12">
        <v>710</v>
      </c>
      <c r="C766" s="12">
        <v>8474</v>
      </c>
      <c r="D766" s="12" t="s">
        <v>6047</v>
      </c>
      <c r="E766" s="12" t="s">
        <v>9457</v>
      </c>
      <c r="F766" s="12" t="s">
        <v>9458</v>
      </c>
      <c r="G766" s="12" t="s">
        <v>9459</v>
      </c>
      <c r="H766" s="12" t="s">
        <v>6075</v>
      </c>
      <c r="I766" s="12" t="s">
        <v>6076</v>
      </c>
      <c r="J766" s="12">
        <v>8474</v>
      </c>
      <c r="K766" s="12" t="s">
        <v>6053</v>
      </c>
      <c r="L766" s="12" t="s">
        <v>6054</v>
      </c>
      <c r="M766" s="13">
        <v>42687</v>
      </c>
      <c r="N766" s="12" t="s">
        <v>6055</v>
      </c>
      <c r="O766" s="12" t="s">
        <v>6056</v>
      </c>
      <c r="P766" s="12"/>
      <c r="Q766" s="12">
        <v>1</v>
      </c>
    </row>
    <row r="767" spans="1:17" ht="15.75" customHeight="1">
      <c r="A767" s="12">
        <v>705</v>
      </c>
      <c r="B767" s="12">
        <v>220</v>
      </c>
      <c r="C767" s="12">
        <v>3880</v>
      </c>
      <c r="D767" s="12" t="s">
        <v>6047</v>
      </c>
      <c r="E767" s="12" t="s">
        <v>9460</v>
      </c>
      <c r="F767" s="12" t="s">
        <v>9461</v>
      </c>
      <c r="G767" s="12" t="s">
        <v>9462</v>
      </c>
      <c r="H767" s="12" t="s">
        <v>6163</v>
      </c>
      <c r="I767" s="12" t="s">
        <v>6164</v>
      </c>
      <c r="J767" s="12">
        <v>3880</v>
      </c>
      <c r="K767" s="12" t="s">
        <v>7253</v>
      </c>
      <c r="L767" s="12" t="s">
        <v>7254</v>
      </c>
      <c r="M767" s="13">
        <v>43202</v>
      </c>
      <c r="N767" s="12" t="s">
        <v>7255</v>
      </c>
      <c r="O767" s="12" t="s">
        <v>7256</v>
      </c>
      <c r="P767" s="12"/>
      <c r="Q767" s="12">
        <v>1</v>
      </c>
    </row>
    <row r="768" spans="1:17" ht="15.75" customHeight="1">
      <c r="A768" s="12">
        <v>160</v>
      </c>
      <c r="B768" s="12">
        <v>1033</v>
      </c>
      <c r="C768" s="12">
        <v>14560</v>
      </c>
      <c r="D768" s="12" t="s">
        <v>6047</v>
      </c>
      <c r="E768" s="12" t="s">
        <v>9463</v>
      </c>
      <c r="F768" s="12" t="s">
        <v>9464</v>
      </c>
      <c r="G768" s="12" t="s">
        <v>9465</v>
      </c>
      <c r="H768" s="12" t="s">
        <v>6051</v>
      </c>
      <c r="I768" s="12" t="s">
        <v>6476</v>
      </c>
      <c r="J768" s="12">
        <v>14560</v>
      </c>
      <c r="K768" s="12" t="s">
        <v>9466</v>
      </c>
      <c r="L768" s="12" t="s">
        <v>6709</v>
      </c>
      <c r="M768" s="13">
        <v>45754</v>
      </c>
      <c r="N768" s="12" t="s">
        <v>9467</v>
      </c>
      <c r="O768" s="12" t="s">
        <v>9468</v>
      </c>
      <c r="P768" s="12"/>
      <c r="Q768" s="12">
        <v>1</v>
      </c>
    </row>
    <row r="769" spans="1:17" ht="15.75" customHeight="1">
      <c r="A769" s="12">
        <v>1296</v>
      </c>
      <c r="B769" s="12">
        <v>860</v>
      </c>
      <c r="C769" s="12">
        <v>11097</v>
      </c>
      <c r="D769" s="12" t="s">
        <v>6047</v>
      </c>
      <c r="E769" s="12" t="s">
        <v>9469</v>
      </c>
      <c r="F769" s="12" t="s">
        <v>9470</v>
      </c>
      <c r="G769" s="12" t="s">
        <v>9471</v>
      </c>
      <c r="H769" s="12" t="s">
        <v>6060</v>
      </c>
      <c r="I769" s="12" t="s">
        <v>6061</v>
      </c>
      <c r="J769" s="12">
        <v>11097</v>
      </c>
      <c r="K769" s="12" t="s">
        <v>6422</v>
      </c>
      <c r="L769" s="12" t="s">
        <v>6423</v>
      </c>
      <c r="M769" s="13">
        <v>41989</v>
      </c>
      <c r="N769" s="12" t="s">
        <v>6424</v>
      </c>
      <c r="O769" s="12" t="s">
        <v>6425</v>
      </c>
      <c r="P769" s="12"/>
      <c r="Q769" s="12">
        <v>1</v>
      </c>
    </row>
    <row r="770" spans="1:17" ht="15.75" customHeight="1">
      <c r="A770" s="12">
        <v>996</v>
      </c>
      <c r="B770" s="12">
        <v>985</v>
      </c>
      <c r="C770" s="12">
        <v>13464</v>
      </c>
      <c r="D770" s="12" t="s">
        <v>6047</v>
      </c>
      <c r="E770" s="12" t="s">
        <v>9472</v>
      </c>
      <c r="F770" s="12" t="s">
        <v>9473</v>
      </c>
      <c r="G770" s="12" t="s">
        <v>9474</v>
      </c>
      <c r="H770" s="12" t="s">
        <v>6051</v>
      </c>
      <c r="I770" s="12" t="s">
        <v>6741</v>
      </c>
      <c r="J770" s="12">
        <v>13464</v>
      </c>
      <c r="K770" s="12" t="s">
        <v>7376</v>
      </c>
      <c r="L770" s="12" t="s">
        <v>6054</v>
      </c>
      <c r="M770" s="13">
        <v>42693</v>
      </c>
      <c r="N770" s="12" t="s">
        <v>7377</v>
      </c>
      <c r="O770" s="12" t="s">
        <v>9139</v>
      </c>
      <c r="P770" s="12"/>
      <c r="Q770" s="12">
        <v>1</v>
      </c>
    </row>
    <row r="771" spans="1:17" ht="15.75" customHeight="1">
      <c r="A771" s="12">
        <v>1748</v>
      </c>
      <c r="B771" s="12">
        <v>702</v>
      </c>
      <c r="C771" s="12">
        <v>8421</v>
      </c>
      <c r="D771" s="12" t="s">
        <v>6047</v>
      </c>
      <c r="E771" s="12" t="s">
        <v>2132</v>
      </c>
      <c r="F771" s="12" t="s">
        <v>9475</v>
      </c>
      <c r="G771" s="12" t="s">
        <v>9476</v>
      </c>
      <c r="H771" s="12" t="s">
        <v>6075</v>
      </c>
      <c r="I771" s="12" t="s">
        <v>6076</v>
      </c>
      <c r="J771" s="12">
        <v>8421</v>
      </c>
      <c r="K771" s="12" t="s">
        <v>6480</v>
      </c>
      <c r="L771" s="12" t="s">
        <v>6063</v>
      </c>
      <c r="M771" s="13">
        <v>40874</v>
      </c>
      <c r="N771" s="12" t="s">
        <v>6481</v>
      </c>
      <c r="O771" s="12" t="s">
        <v>6482</v>
      </c>
      <c r="P771" s="12"/>
      <c r="Q771" s="12">
        <v>1</v>
      </c>
    </row>
    <row r="772" spans="1:17" ht="15.75" customHeight="1">
      <c r="A772" s="12">
        <v>1530</v>
      </c>
      <c r="B772" s="12">
        <v>496</v>
      </c>
      <c r="C772" s="12">
        <v>6562</v>
      </c>
      <c r="D772" s="12" t="s">
        <v>6047</v>
      </c>
      <c r="E772" s="12" t="s">
        <v>2135</v>
      </c>
      <c r="F772" s="12" t="s">
        <v>9477</v>
      </c>
      <c r="G772" s="12" t="s">
        <v>9478</v>
      </c>
      <c r="H772" s="12" t="s">
        <v>6137</v>
      </c>
      <c r="I772" s="12" t="s">
        <v>6200</v>
      </c>
      <c r="J772" s="12">
        <v>6562</v>
      </c>
      <c r="K772" s="12" t="s">
        <v>7882</v>
      </c>
      <c r="L772" s="12" t="s">
        <v>6240</v>
      </c>
      <c r="M772" s="13">
        <v>41579</v>
      </c>
      <c r="N772" s="12" t="s">
        <v>7883</v>
      </c>
      <c r="O772" s="12" t="s">
        <v>9479</v>
      </c>
      <c r="P772" s="12"/>
      <c r="Q772" s="12">
        <v>1</v>
      </c>
    </row>
    <row r="773" spans="1:17" ht="15.75" customHeight="1">
      <c r="A773" s="12">
        <v>1734</v>
      </c>
      <c r="B773" s="12">
        <v>621</v>
      </c>
      <c r="C773" s="12">
        <v>7753</v>
      </c>
      <c r="D773" s="12" t="s">
        <v>6047</v>
      </c>
      <c r="E773" s="12" t="s">
        <v>2138</v>
      </c>
      <c r="F773" s="12" t="s">
        <v>9480</v>
      </c>
      <c r="G773" s="12" t="s">
        <v>9481</v>
      </c>
      <c r="H773" s="12" t="s">
        <v>6187</v>
      </c>
      <c r="I773" s="12" t="s">
        <v>6224</v>
      </c>
      <c r="J773" s="12">
        <v>7753</v>
      </c>
      <c r="K773" s="12" t="s">
        <v>7000</v>
      </c>
      <c r="L773" s="12" t="s">
        <v>7001</v>
      </c>
      <c r="M773" s="13">
        <v>40875</v>
      </c>
      <c r="N773" s="12" t="s">
        <v>7002</v>
      </c>
      <c r="O773" s="12" t="s">
        <v>7003</v>
      </c>
      <c r="P773" s="12"/>
      <c r="Q773" s="12">
        <v>1</v>
      </c>
    </row>
    <row r="774" spans="1:17" ht="15.75" customHeight="1">
      <c r="A774" s="12">
        <v>1339</v>
      </c>
      <c r="B774" s="12">
        <v>567</v>
      </c>
      <c r="C774" s="12">
        <v>7397</v>
      </c>
      <c r="D774" s="12" t="s">
        <v>6047</v>
      </c>
      <c r="E774" s="12" t="s">
        <v>9482</v>
      </c>
      <c r="F774" s="12" t="s">
        <v>9483</v>
      </c>
      <c r="G774" s="12" t="s">
        <v>9484</v>
      </c>
      <c r="H774" s="12" t="s">
        <v>6084</v>
      </c>
      <c r="I774" s="12" t="s">
        <v>7239</v>
      </c>
      <c r="J774" s="12">
        <v>7397</v>
      </c>
      <c r="K774" s="12" t="s">
        <v>7750</v>
      </c>
      <c r="L774" s="12" t="s">
        <v>6106</v>
      </c>
      <c r="M774" s="13">
        <v>41920</v>
      </c>
      <c r="N774" s="12" t="s">
        <v>7751</v>
      </c>
      <c r="O774" s="12" t="s">
        <v>7752</v>
      </c>
      <c r="P774" s="12"/>
      <c r="Q774" s="12">
        <v>1</v>
      </c>
    </row>
    <row r="775" spans="1:17" ht="15.75" customHeight="1">
      <c r="A775" s="12">
        <v>1808</v>
      </c>
      <c r="B775" s="12">
        <v>1218</v>
      </c>
      <c r="C775" s="12">
        <v>17334</v>
      </c>
      <c r="D775" s="12" t="s">
        <v>6047</v>
      </c>
      <c r="E775" s="12" t="s">
        <v>2155</v>
      </c>
      <c r="F775" s="12" t="s">
        <v>9485</v>
      </c>
      <c r="G775" s="12" t="s">
        <v>9486</v>
      </c>
      <c r="H775" s="12" t="s">
        <v>6051</v>
      </c>
      <c r="I775" s="12" t="s">
        <v>6052</v>
      </c>
      <c r="J775" s="12">
        <v>17334</v>
      </c>
      <c r="K775" s="12" t="s">
        <v>6062</v>
      </c>
      <c r="L775" s="12" t="s">
        <v>6063</v>
      </c>
      <c r="M775" s="13">
        <v>40873</v>
      </c>
      <c r="N775" s="12" t="s">
        <v>6064</v>
      </c>
      <c r="O775" s="12" t="s">
        <v>6065</v>
      </c>
      <c r="P775" s="12"/>
      <c r="Q775" s="12">
        <v>1</v>
      </c>
    </row>
    <row r="776" spans="1:17" ht="15.75" customHeight="1">
      <c r="A776" s="12">
        <v>777</v>
      </c>
      <c r="B776" s="12">
        <v>525</v>
      </c>
      <c r="C776" s="12">
        <v>6872</v>
      </c>
      <c r="D776" s="12" t="s">
        <v>6047</v>
      </c>
      <c r="E776" s="12" t="s">
        <v>2161</v>
      </c>
      <c r="F776" s="12" t="s">
        <v>9487</v>
      </c>
      <c r="G776" s="12" t="s">
        <v>9488</v>
      </c>
      <c r="H776" s="12" t="s">
        <v>6582</v>
      </c>
      <c r="I776" s="12" t="s">
        <v>6583</v>
      </c>
      <c r="J776" s="12">
        <v>6872</v>
      </c>
      <c r="K776" s="12" t="s">
        <v>9489</v>
      </c>
      <c r="L776" s="12" t="s">
        <v>6590</v>
      </c>
      <c r="M776" s="13">
        <v>43034</v>
      </c>
      <c r="N776" s="12" t="s">
        <v>9490</v>
      </c>
      <c r="O776" s="12" t="s">
        <v>9491</v>
      </c>
      <c r="P776" s="12"/>
      <c r="Q776" s="12">
        <v>1</v>
      </c>
    </row>
    <row r="777" spans="1:17" ht="15.75" customHeight="1">
      <c r="A777" s="12">
        <v>1897</v>
      </c>
      <c r="B777" s="12">
        <v>515</v>
      </c>
      <c r="C777" s="12">
        <v>6792</v>
      </c>
      <c r="D777" s="12" t="s">
        <v>6047</v>
      </c>
      <c r="E777" s="12" t="s">
        <v>2163</v>
      </c>
      <c r="F777" s="12" t="s">
        <v>9492</v>
      </c>
      <c r="G777" s="12" t="s">
        <v>9493</v>
      </c>
      <c r="H777" s="12" t="s">
        <v>6137</v>
      </c>
      <c r="I777" s="12" t="s">
        <v>6200</v>
      </c>
      <c r="J777" s="12">
        <v>6792</v>
      </c>
      <c r="K777" s="12" t="s">
        <v>6156</v>
      </c>
      <c r="L777" s="12" t="s">
        <v>6157</v>
      </c>
      <c r="M777" s="13">
        <v>39253</v>
      </c>
      <c r="N777" s="12" t="s">
        <v>6158</v>
      </c>
      <c r="O777" s="12" t="s">
        <v>6159</v>
      </c>
      <c r="P777" s="12"/>
      <c r="Q777" s="12">
        <v>1</v>
      </c>
    </row>
    <row r="778" spans="1:17" ht="15.75" customHeight="1">
      <c r="A778" s="12">
        <v>360</v>
      </c>
      <c r="B778" s="12">
        <v>84</v>
      </c>
      <c r="C778" s="12">
        <v>930</v>
      </c>
      <c r="D778" s="12" t="s">
        <v>6047</v>
      </c>
      <c r="E778" s="12" t="s">
        <v>9494</v>
      </c>
      <c r="F778" s="12" t="s">
        <v>9495</v>
      </c>
      <c r="G778" s="12" t="s">
        <v>9496</v>
      </c>
      <c r="H778" s="12" t="s">
        <v>6435</v>
      </c>
      <c r="I778" s="12" t="s">
        <v>6436</v>
      </c>
      <c r="J778" s="12">
        <v>930</v>
      </c>
      <c r="K778" s="12" t="s">
        <v>7200</v>
      </c>
      <c r="L778" s="12" t="s">
        <v>6226</v>
      </c>
      <c r="M778" s="13">
        <v>44722</v>
      </c>
      <c r="N778" s="12" t="s">
        <v>7201</v>
      </c>
      <c r="O778" s="12" t="s">
        <v>7593</v>
      </c>
      <c r="P778" s="12"/>
      <c r="Q778" s="12">
        <v>1</v>
      </c>
    </row>
    <row r="779" spans="1:17" ht="15.75" customHeight="1">
      <c r="A779" s="12">
        <v>1887</v>
      </c>
      <c r="B779" s="12">
        <v>619</v>
      </c>
      <c r="C779" s="12">
        <v>7729</v>
      </c>
      <c r="D779" s="12" t="s">
        <v>6047</v>
      </c>
      <c r="E779" s="12" t="s">
        <v>2124</v>
      </c>
      <c r="F779" s="12" t="s">
        <v>9497</v>
      </c>
      <c r="G779" s="12" t="s">
        <v>9498</v>
      </c>
      <c r="H779" s="12" t="s">
        <v>6187</v>
      </c>
      <c r="I779" s="12" t="s">
        <v>6224</v>
      </c>
      <c r="J779" s="12">
        <v>7729</v>
      </c>
      <c r="K779" s="12" t="s">
        <v>8106</v>
      </c>
      <c r="L779" s="12" t="s">
        <v>6709</v>
      </c>
      <c r="M779" s="13">
        <v>40174</v>
      </c>
      <c r="N779" s="12" t="s">
        <v>8107</v>
      </c>
      <c r="O779" s="12" t="s">
        <v>8108</v>
      </c>
      <c r="P779" s="12"/>
      <c r="Q779" s="12">
        <v>1</v>
      </c>
    </row>
    <row r="780" spans="1:17" ht="15.75" customHeight="1">
      <c r="A780" s="12">
        <v>1630</v>
      </c>
      <c r="B780" s="12">
        <v>745</v>
      </c>
      <c r="C780" s="12">
        <v>9243</v>
      </c>
      <c r="D780" s="12" t="s">
        <v>6047</v>
      </c>
      <c r="E780" s="12" t="s">
        <v>2184</v>
      </c>
      <c r="F780" s="12" t="s">
        <v>9499</v>
      </c>
      <c r="G780" s="12" t="s">
        <v>9500</v>
      </c>
      <c r="H780" s="12" t="s">
        <v>6275</v>
      </c>
      <c r="I780" s="12" t="s">
        <v>6453</v>
      </c>
      <c r="J780" s="12">
        <v>9243</v>
      </c>
      <c r="K780" s="12" t="s">
        <v>9501</v>
      </c>
      <c r="L780" s="12" t="s">
        <v>6240</v>
      </c>
      <c r="M780" s="13">
        <v>41344</v>
      </c>
      <c r="N780" s="12" t="s">
        <v>9502</v>
      </c>
      <c r="O780" s="12" t="s">
        <v>9503</v>
      </c>
      <c r="P780" s="12"/>
      <c r="Q780" s="12">
        <v>1</v>
      </c>
    </row>
    <row r="781" spans="1:17" ht="15.75" customHeight="1">
      <c r="A781" s="12">
        <v>911</v>
      </c>
      <c r="B781" s="12">
        <v>975</v>
      </c>
      <c r="C781" s="12">
        <v>13149</v>
      </c>
      <c r="D781" s="12" t="s">
        <v>6047</v>
      </c>
      <c r="E781" s="12" t="s">
        <v>2186</v>
      </c>
      <c r="F781" s="12" t="s">
        <v>9504</v>
      </c>
      <c r="G781" s="12" t="s">
        <v>9505</v>
      </c>
      <c r="H781" s="12" t="s">
        <v>6627</v>
      </c>
      <c r="I781" s="12" t="s">
        <v>7504</v>
      </c>
      <c r="J781" s="12">
        <v>13149</v>
      </c>
      <c r="K781" s="12" t="s">
        <v>9506</v>
      </c>
      <c r="L781" s="12" t="s">
        <v>6955</v>
      </c>
      <c r="M781" s="13">
        <v>42830</v>
      </c>
      <c r="N781" s="12" t="s">
        <v>9507</v>
      </c>
      <c r="O781" s="12" t="s">
        <v>9508</v>
      </c>
      <c r="P781" s="12"/>
      <c r="Q781" s="12">
        <v>1</v>
      </c>
    </row>
    <row r="782" spans="1:17" ht="15.75" customHeight="1">
      <c r="A782" s="12">
        <v>1589</v>
      </c>
      <c r="B782" s="12">
        <v>733</v>
      </c>
      <c r="C782" s="12">
        <v>8910</v>
      </c>
      <c r="D782" s="12" t="s">
        <v>6047</v>
      </c>
      <c r="E782" s="12" t="s">
        <v>2126</v>
      </c>
      <c r="F782" s="12" t="s">
        <v>9509</v>
      </c>
      <c r="G782" s="12" t="s">
        <v>9510</v>
      </c>
      <c r="H782" s="12" t="s">
        <v>6275</v>
      </c>
      <c r="I782" s="12" t="s">
        <v>6453</v>
      </c>
      <c r="J782" s="12">
        <v>8910</v>
      </c>
      <c r="K782" s="12" t="s">
        <v>8388</v>
      </c>
      <c r="L782" s="12" t="s">
        <v>6240</v>
      </c>
      <c r="M782" s="13">
        <v>41400</v>
      </c>
      <c r="N782" s="12" t="s">
        <v>8389</v>
      </c>
      <c r="O782" s="12" t="s">
        <v>9511</v>
      </c>
      <c r="P782" s="12"/>
      <c r="Q782" s="12">
        <v>1</v>
      </c>
    </row>
    <row r="783" spans="1:17" ht="15.75" customHeight="1">
      <c r="A783" s="12">
        <v>902</v>
      </c>
      <c r="B783" s="12">
        <v>833</v>
      </c>
      <c r="C783" s="12">
        <v>10522</v>
      </c>
      <c r="D783" s="12" t="s">
        <v>6047</v>
      </c>
      <c r="E783" s="12" t="s">
        <v>2128</v>
      </c>
      <c r="F783" s="12" t="s">
        <v>9512</v>
      </c>
      <c r="G783" s="12" t="s">
        <v>9513</v>
      </c>
      <c r="H783" s="12" t="s">
        <v>6060</v>
      </c>
      <c r="I783" s="12" t="s">
        <v>8738</v>
      </c>
      <c r="J783" s="12">
        <v>10522</v>
      </c>
      <c r="K783" s="12" t="s">
        <v>9514</v>
      </c>
      <c r="L783" s="12" t="s">
        <v>6054</v>
      </c>
      <c r="M783" s="13">
        <v>42833</v>
      </c>
      <c r="N783" s="12" t="s">
        <v>9515</v>
      </c>
      <c r="O783" s="12" t="s">
        <v>9516</v>
      </c>
      <c r="P783" s="12"/>
      <c r="Q783" s="12">
        <v>1</v>
      </c>
    </row>
    <row r="784" spans="1:17" ht="15.75" customHeight="1">
      <c r="A784" s="12">
        <v>1718</v>
      </c>
      <c r="B784" s="12">
        <v>1222</v>
      </c>
      <c r="C784" s="12">
        <v>17368</v>
      </c>
      <c r="D784" s="12" t="s">
        <v>6047</v>
      </c>
      <c r="E784" s="12" t="s">
        <v>9517</v>
      </c>
      <c r="F784" s="12" t="s">
        <v>9518</v>
      </c>
      <c r="G784" s="12" t="s">
        <v>9519</v>
      </c>
      <c r="H784" s="12" t="s">
        <v>6051</v>
      </c>
      <c r="I784" s="12" t="s">
        <v>6052</v>
      </c>
      <c r="J784" s="12">
        <v>17368</v>
      </c>
      <c r="K784" s="12" t="s">
        <v>9520</v>
      </c>
      <c r="L784" s="12" t="s">
        <v>7333</v>
      </c>
      <c r="M784" s="13">
        <v>40876</v>
      </c>
      <c r="N784" s="12" t="s">
        <v>9521</v>
      </c>
      <c r="O784" s="12" t="s">
        <v>9522</v>
      </c>
      <c r="P784" s="12"/>
      <c r="Q784" s="12">
        <v>1</v>
      </c>
    </row>
    <row r="785" spans="1:17" ht="15.75" customHeight="1">
      <c r="A785" s="12">
        <v>964</v>
      </c>
      <c r="B785" s="12">
        <v>213</v>
      </c>
      <c r="C785" s="12">
        <v>3746</v>
      </c>
      <c r="D785" s="12" t="s">
        <v>6047</v>
      </c>
      <c r="E785" s="12" t="s">
        <v>9523</v>
      </c>
      <c r="F785" s="12" t="s">
        <v>9524</v>
      </c>
      <c r="G785" s="12" t="s">
        <v>9525</v>
      </c>
      <c r="H785" s="12" t="s">
        <v>8455</v>
      </c>
      <c r="I785" s="12" t="s">
        <v>8456</v>
      </c>
      <c r="J785" s="12">
        <v>3746</v>
      </c>
      <c r="K785" s="12" t="s">
        <v>9526</v>
      </c>
      <c r="L785" s="12" t="s">
        <v>6357</v>
      </c>
      <c r="M785" s="13">
        <v>42826</v>
      </c>
      <c r="N785" s="12" t="s">
        <v>9527</v>
      </c>
      <c r="O785" s="12" t="s">
        <v>9528</v>
      </c>
      <c r="P785" s="12"/>
      <c r="Q785" s="12">
        <v>1</v>
      </c>
    </row>
    <row r="786" spans="1:17" ht="15.75" customHeight="1">
      <c r="A786" s="12">
        <v>1916</v>
      </c>
      <c r="B786" s="12">
        <v>1702</v>
      </c>
      <c r="C786" s="12">
        <v>31575</v>
      </c>
      <c r="D786" s="12" t="s">
        <v>6047</v>
      </c>
      <c r="E786" s="12" t="s">
        <v>2202</v>
      </c>
      <c r="F786" s="12" t="s">
        <v>9529</v>
      </c>
      <c r="G786" s="12" t="s">
        <v>9530</v>
      </c>
      <c r="H786" s="12" t="s">
        <v>6051</v>
      </c>
      <c r="I786" s="12" t="s">
        <v>8027</v>
      </c>
      <c r="J786" s="12">
        <v>31575</v>
      </c>
      <c r="K786" s="12" t="s">
        <v>7476</v>
      </c>
      <c r="L786" s="12" t="s">
        <v>7477</v>
      </c>
      <c r="M786" s="13">
        <v>39237</v>
      </c>
      <c r="N786" s="12" t="s">
        <v>7478</v>
      </c>
      <c r="O786" s="12" t="s">
        <v>7479</v>
      </c>
      <c r="P786" s="12"/>
      <c r="Q786" s="12">
        <v>1</v>
      </c>
    </row>
    <row r="787" spans="1:17" ht="15.75" customHeight="1">
      <c r="A787" s="12">
        <v>1266</v>
      </c>
      <c r="B787" s="12">
        <v>281</v>
      </c>
      <c r="C787" s="12">
        <v>4668</v>
      </c>
      <c r="D787" s="12" t="s">
        <v>6047</v>
      </c>
      <c r="E787" s="12" t="s">
        <v>9531</v>
      </c>
      <c r="F787" s="12" t="s">
        <v>9532</v>
      </c>
      <c r="G787" s="12" t="s">
        <v>9533</v>
      </c>
      <c r="H787" s="12" t="s">
        <v>6163</v>
      </c>
      <c r="I787" s="12" t="s">
        <v>6253</v>
      </c>
      <c r="J787" s="12">
        <v>4668</v>
      </c>
      <c r="K787" s="12" t="s">
        <v>6470</v>
      </c>
      <c r="L787" s="12" t="s">
        <v>6423</v>
      </c>
      <c r="M787" s="13">
        <v>41990</v>
      </c>
      <c r="N787" s="12" t="s">
        <v>6471</v>
      </c>
      <c r="O787" s="12" t="s">
        <v>6472</v>
      </c>
      <c r="P787" s="12"/>
      <c r="Q787" s="12">
        <v>1</v>
      </c>
    </row>
    <row r="788" spans="1:17" ht="15.75" customHeight="1">
      <c r="A788" s="12">
        <v>1256</v>
      </c>
      <c r="B788" s="12">
        <v>1622</v>
      </c>
      <c r="C788" s="12">
        <v>28677</v>
      </c>
      <c r="D788" s="12" t="s">
        <v>6047</v>
      </c>
      <c r="E788" s="12" t="s">
        <v>9534</v>
      </c>
      <c r="F788" s="12" t="s">
        <v>9535</v>
      </c>
      <c r="G788" s="12" t="s">
        <v>9536</v>
      </c>
      <c r="H788" s="12" t="s">
        <v>6051</v>
      </c>
      <c r="I788" s="12" t="s">
        <v>6366</v>
      </c>
      <c r="J788" s="12">
        <v>28677</v>
      </c>
      <c r="K788" s="12" t="s">
        <v>6470</v>
      </c>
      <c r="L788" s="12" t="s">
        <v>6423</v>
      </c>
      <c r="M788" s="13">
        <v>41990</v>
      </c>
      <c r="N788" s="12" t="s">
        <v>6471</v>
      </c>
      <c r="O788" s="12" t="s">
        <v>6472</v>
      </c>
      <c r="P788" s="12"/>
      <c r="Q788" s="12">
        <v>1</v>
      </c>
    </row>
    <row r="789" spans="1:17" ht="15.75" customHeight="1">
      <c r="A789" s="12">
        <v>990</v>
      </c>
      <c r="B789" s="12">
        <v>3</v>
      </c>
      <c r="C789" s="12">
        <v>126</v>
      </c>
      <c r="D789" s="12" t="s">
        <v>6047</v>
      </c>
      <c r="E789" s="12" t="s">
        <v>9537</v>
      </c>
      <c r="F789" s="12" t="s">
        <v>9538</v>
      </c>
      <c r="G789" s="12" t="s">
        <v>9539</v>
      </c>
      <c r="H789" s="12" t="s">
        <v>9540</v>
      </c>
      <c r="I789" s="12" t="s">
        <v>9541</v>
      </c>
      <c r="J789" s="12">
        <v>126</v>
      </c>
      <c r="K789" s="12" t="s">
        <v>7215</v>
      </c>
      <c r="L789" s="12" t="s">
        <v>6054</v>
      </c>
      <c r="M789" s="13">
        <v>42694</v>
      </c>
      <c r="N789" s="12" t="s">
        <v>7216</v>
      </c>
      <c r="O789" s="12" t="s">
        <v>7217</v>
      </c>
      <c r="P789" s="12"/>
      <c r="Q789" s="12">
        <v>1</v>
      </c>
    </row>
    <row r="790" spans="1:17" ht="15.75" customHeight="1">
      <c r="A790" s="12">
        <v>447</v>
      </c>
      <c r="B790" s="12">
        <v>1452</v>
      </c>
      <c r="C790" s="12">
        <v>22175</v>
      </c>
      <c r="D790" s="12" t="s">
        <v>6047</v>
      </c>
      <c r="E790" s="12" t="s">
        <v>9542</v>
      </c>
      <c r="F790" s="12" t="s">
        <v>9543</v>
      </c>
      <c r="G790" s="12" t="s">
        <v>9544</v>
      </c>
      <c r="H790" s="12" t="s">
        <v>6051</v>
      </c>
      <c r="I790" s="12" t="s">
        <v>7114</v>
      </c>
      <c r="J790" s="12">
        <v>22175</v>
      </c>
      <c r="K790" s="12" t="s">
        <v>8892</v>
      </c>
      <c r="L790" s="12" t="s">
        <v>6248</v>
      </c>
      <c r="M790" s="13">
        <v>43866</v>
      </c>
      <c r="N790" s="12" t="s">
        <v>8893</v>
      </c>
      <c r="O790" s="12" t="s">
        <v>8894</v>
      </c>
      <c r="P790" s="12"/>
      <c r="Q790" s="12">
        <v>1</v>
      </c>
    </row>
    <row r="791" spans="1:17" ht="15.75" customHeight="1">
      <c r="A791" s="12">
        <v>2005</v>
      </c>
      <c r="B791" s="12">
        <v>630</v>
      </c>
      <c r="C791" s="12">
        <v>7800</v>
      </c>
      <c r="D791" s="12" t="s">
        <v>6047</v>
      </c>
      <c r="E791" s="12" t="s">
        <v>2212</v>
      </c>
      <c r="F791" s="12" t="s">
        <v>9545</v>
      </c>
      <c r="G791" s="12" t="s">
        <v>9546</v>
      </c>
      <c r="H791" s="12" t="s">
        <v>6187</v>
      </c>
      <c r="I791" s="12" t="s">
        <v>6380</v>
      </c>
      <c r="J791" s="12">
        <v>7800</v>
      </c>
      <c r="K791" s="12" t="s">
        <v>6112</v>
      </c>
      <c r="L791" s="12" t="s">
        <v>6113</v>
      </c>
      <c r="M791" s="13">
        <v>38573</v>
      </c>
      <c r="N791" s="12" t="s">
        <v>6114</v>
      </c>
      <c r="O791" s="12" t="s">
        <v>6115</v>
      </c>
      <c r="P791" s="12"/>
      <c r="Q791" s="12">
        <v>1</v>
      </c>
    </row>
    <row r="792" spans="1:17" ht="15.75" customHeight="1">
      <c r="A792" s="12">
        <v>1885</v>
      </c>
      <c r="B792" s="12">
        <v>1845</v>
      </c>
      <c r="C792" s="12">
        <v>33864</v>
      </c>
      <c r="D792" s="12" t="s">
        <v>6047</v>
      </c>
      <c r="E792" s="12" t="s">
        <v>9547</v>
      </c>
      <c r="F792" s="12" t="s">
        <v>9548</v>
      </c>
      <c r="G792" s="12" t="s">
        <v>9549</v>
      </c>
      <c r="H792" s="12" t="s">
        <v>6051</v>
      </c>
      <c r="I792" s="12" t="s">
        <v>6261</v>
      </c>
      <c r="J792" s="12">
        <v>33864</v>
      </c>
      <c r="K792" s="12" t="s">
        <v>8106</v>
      </c>
      <c r="L792" s="12" t="s">
        <v>6709</v>
      </c>
      <c r="M792" s="13">
        <v>40174</v>
      </c>
      <c r="N792" s="12" t="s">
        <v>8107</v>
      </c>
      <c r="O792" s="12" t="s">
        <v>8108</v>
      </c>
      <c r="P792" s="12"/>
      <c r="Q792" s="12">
        <v>1</v>
      </c>
    </row>
    <row r="793" spans="1:17" ht="15.75" customHeight="1">
      <c r="A793" s="12">
        <v>1000</v>
      </c>
      <c r="B793" s="12">
        <v>175</v>
      </c>
      <c r="C793" s="12">
        <v>3025</v>
      </c>
      <c r="D793" s="12" t="s">
        <v>6047</v>
      </c>
      <c r="E793" s="12" t="s">
        <v>9550</v>
      </c>
      <c r="F793" s="12" t="s">
        <v>9551</v>
      </c>
      <c r="G793" s="12" t="s">
        <v>9552</v>
      </c>
      <c r="H793" s="12" t="s">
        <v>7069</v>
      </c>
      <c r="I793" s="12" t="s">
        <v>7070</v>
      </c>
      <c r="J793" s="12">
        <v>3025</v>
      </c>
      <c r="K793" s="12" t="s">
        <v>7376</v>
      </c>
      <c r="L793" s="12" t="s">
        <v>6054</v>
      </c>
      <c r="M793" s="13">
        <v>42693</v>
      </c>
      <c r="N793" s="12" t="s">
        <v>7377</v>
      </c>
      <c r="O793" s="12" t="s">
        <v>9139</v>
      </c>
      <c r="P793" s="12"/>
      <c r="Q793" s="12">
        <v>1</v>
      </c>
    </row>
    <row r="794" spans="1:17" ht="15.75" customHeight="1">
      <c r="A794" s="12">
        <v>103</v>
      </c>
      <c r="B794" s="12">
        <v>936</v>
      </c>
      <c r="C794" s="12">
        <v>12508</v>
      </c>
      <c r="D794" s="12" t="s">
        <v>6047</v>
      </c>
      <c r="E794" s="12" t="s">
        <v>9553</v>
      </c>
      <c r="F794" s="12" t="s">
        <v>9554</v>
      </c>
      <c r="G794" s="12" t="s">
        <v>9555</v>
      </c>
      <c r="H794" s="12" t="s">
        <v>6627</v>
      </c>
      <c r="I794" s="12" t="s">
        <v>6628</v>
      </c>
      <c r="J794" s="12">
        <v>12508</v>
      </c>
      <c r="K794" s="12" t="s">
        <v>8550</v>
      </c>
      <c r="L794" s="12" t="s">
        <v>6511</v>
      </c>
      <c r="M794" s="13">
        <v>45967</v>
      </c>
      <c r="N794" s="12" t="s">
        <v>8551</v>
      </c>
      <c r="O794" s="12" t="s">
        <v>8552</v>
      </c>
      <c r="P794" s="12"/>
      <c r="Q794" s="12">
        <v>1</v>
      </c>
    </row>
    <row r="795" spans="1:17" ht="15.75" customHeight="1">
      <c r="A795" s="12">
        <v>1400</v>
      </c>
      <c r="B795" s="12">
        <v>1656</v>
      </c>
      <c r="C795" s="12">
        <v>30376</v>
      </c>
      <c r="D795" s="12" t="s">
        <v>6047</v>
      </c>
      <c r="E795" s="12" t="s">
        <v>2227</v>
      </c>
      <c r="F795" s="12" t="s">
        <v>9556</v>
      </c>
      <c r="G795" s="12" t="s">
        <v>9557</v>
      </c>
      <c r="H795" s="12" t="s">
        <v>6051</v>
      </c>
      <c r="I795" s="12" t="s">
        <v>6399</v>
      </c>
      <c r="J795" s="12">
        <v>30376</v>
      </c>
      <c r="K795" s="12" t="s">
        <v>8017</v>
      </c>
      <c r="L795" s="12" t="s">
        <v>8018</v>
      </c>
      <c r="M795" s="13">
        <v>41911</v>
      </c>
      <c r="N795" s="12" t="s">
        <v>8019</v>
      </c>
      <c r="O795" s="12" t="s">
        <v>8020</v>
      </c>
      <c r="P795" s="12"/>
      <c r="Q795" s="12">
        <v>1</v>
      </c>
    </row>
    <row r="796" spans="1:17" ht="15.75" customHeight="1">
      <c r="A796" s="12">
        <v>1896</v>
      </c>
      <c r="B796" s="12">
        <v>517</v>
      </c>
      <c r="C796" s="12">
        <v>6811</v>
      </c>
      <c r="D796" s="12" t="s">
        <v>6047</v>
      </c>
      <c r="E796" s="12" t="s">
        <v>9558</v>
      </c>
      <c r="F796" s="12" t="s">
        <v>9559</v>
      </c>
      <c r="G796" s="12" t="s">
        <v>9560</v>
      </c>
      <c r="H796" s="12" t="s">
        <v>6314</v>
      </c>
      <c r="I796" s="12" t="s">
        <v>6315</v>
      </c>
      <c r="J796" s="12">
        <v>6811</v>
      </c>
      <c r="K796" s="12" t="s">
        <v>6156</v>
      </c>
      <c r="L796" s="12" t="s">
        <v>6157</v>
      </c>
      <c r="M796" s="13">
        <v>39253</v>
      </c>
      <c r="N796" s="12" t="s">
        <v>6158</v>
      </c>
      <c r="O796" s="12" t="s">
        <v>6159</v>
      </c>
      <c r="P796" s="12"/>
      <c r="Q796" s="12">
        <v>1</v>
      </c>
    </row>
    <row r="797" spans="1:17" ht="15.75" customHeight="1">
      <c r="A797" s="12">
        <v>1922</v>
      </c>
      <c r="B797" s="12">
        <v>906</v>
      </c>
      <c r="C797" s="12">
        <v>12024</v>
      </c>
      <c r="D797" s="12" t="s">
        <v>6047</v>
      </c>
      <c r="E797" s="12" t="s">
        <v>9561</v>
      </c>
      <c r="F797" s="12" t="s">
        <v>9562</v>
      </c>
      <c r="G797" s="12" t="s">
        <v>9563</v>
      </c>
      <c r="H797" s="12" t="s">
        <v>6340</v>
      </c>
      <c r="I797" s="12" t="s">
        <v>6341</v>
      </c>
      <c r="J797" s="12">
        <v>12024</v>
      </c>
      <c r="K797" s="12" t="s">
        <v>7476</v>
      </c>
      <c r="L797" s="12" t="s">
        <v>7477</v>
      </c>
      <c r="M797" s="13">
        <v>39237</v>
      </c>
      <c r="N797" s="12" t="s">
        <v>7478</v>
      </c>
      <c r="O797" s="12" t="s">
        <v>7479</v>
      </c>
      <c r="P797" s="12"/>
      <c r="Q797" s="12">
        <v>1</v>
      </c>
    </row>
    <row r="798" spans="1:17" ht="15.75" customHeight="1">
      <c r="A798" s="12">
        <v>1326</v>
      </c>
      <c r="B798" s="12">
        <v>421</v>
      </c>
      <c r="C798" s="12">
        <v>5983</v>
      </c>
      <c r="D798" s="12" t="s">
        <v>6047</v>
      </c>
      <c r="E798" s="12" t="s">
        <v>9564</v>
      </c>
      <c r="F798" s="12" t="s">
        <v>9565</v>
      </c>
      <c r="G798" s="12" t="s">
        <v>9566</v>
      </c>
      <c r="H798" s="12" t="s">
        <v>6137</v>
      </c>
      <c r="I798" s="12" t="s">
        <v>9567</v>
      </c>
      <c r="J798" s="12">
        <v>5983</v>
      </c>
      <c r="K798" s="12" t="s">
        <v>6105</v>
      </c>
      <c r="L798" s="12" t="s">
        <v>6106</v>
      </c>
      <c r="M798" s="13">
        <v>41924</v>
      </c>
      <c r="N798" s="12" t="s">
        <v>6107</v>
      </c>
      <c r="O798" s="12" t="s">
        <v>7676</v>
      </c>
      <c r="P798" s="12"/>
      <c r="Q798" s="12">
        <v>1</v>
      </c>
    </row>
    <row r="799" spans="1:17" ht="15.75" customHeight="1">
      <c r="A799" s="12">
        <v>1556</v>
      </c>
      <c r="B799" s="12">
        <v>181</v>
      </c>
      <c r="C799" s="12">
        <v>3038</v>
      </c>
      <c r="D799" s="12" t="s">
        <v>6047</v>
      </c>
      <c r="E799" s="12" t="s">
        <v>2221</v>
      </c>
      <c r="F799" s="12" t="s">
        <v>9568</v>
      </c>
      <c r="G799" s="12" t="s">
        <v>9569</v>
      </c>
      <c r="H799" s="12" t="s">
        <v>7069</v>
      </c>
      <c r="I799" s="12" t="s">
        <v>7070</v>
      </c>
      <c r="J799" s="12">
        <v>3038</v>
      </c>
      <c r="K799" s="12" t="s">
        <v>9570</v>
      </c>
      <c r="L799" s="12" t="s">
        <v>6255</v>
      </c>
      <c r="M799" s="13">
        <v>41562</v>
      </c>
      <c r="N799" s="12" t="s">
        <v>9571</v>
      </c>
      <c r="O799" s="12" t="s">
        <v>9572</v>
      </c>
      <c r="P799" s="12"/>
      <c r="Q799" s="12">
        <v>1</v>
      </c>
    </row>
    <row r="800" spans="1:17" ht="15.75" customHeight="1">
      <c r="A800" s="12">
        <v>1594</v>
      </c>
      <c r="B800" s="12">
        <v>59</v>
      </c>
      <c r="C800" s="12">
        <v>694</v>
      </c>
      <c r="D800" s="12" t="s">
        <v>6047</v>
      </c>
      <c r="E800" s="12" t="s">
        <v>9573</v>
      </c>
      <c r="F800" s="12" t="s">
        <v>9574</v>
      </c>
      <c r="G800" s="12" t="s">
        <v>9575</v>
      </c>
      <c r="H800" s="12" t="s">
        <v>6289</v>
      </c>
      <c r="I800" s="12" t="s">
        <v>6290</v>
      </c>
      <c r="J800" s="12">
        <v>694</v>
      </c>
      <c r="K800" s="12" t="s">
        <v>6300</v>
      </c>
      <c r="L800" s="12" t="s">
        <v>6240</v>
      </c>
      <c r="M800" s="13">
        <v>41397</v>
      </c>
      <c r="N800" s="12" t="s">
        <v>6301</v>
      </c>
      <c r="O800" s="12" t="s">
        <v>7449</v>
      </c>
      <c r="P800" s="12"/>
      <c r="Q800" s="12">
        <v>1</v>
      </c>
    </row>
    <row r="801" spans="1:17" ht="15.75" customHeight="1">
      <c r="A801" s="12">
        <v>1476</v>
      </c>
      <c r="B801" s="12">
        <v>1502</v>
      </c>
      <c r="C801" s="12">
        <v>24229</v>
      </c>
      <c r="D801" s="12" t="s">
        <v>6047</v>
      </c>
      <c r="E801" s="12" t="s">
        <v>9576</v>
      </c>
      <c r="F801" s="12" t="s">
        <v>9577</v>
      </c>
      <c r="G801" s="12" t="s">
        <v>9578</v>
      </c>
      <c r="H801" s="12" t="s">
        <v>6051</v>
      </c>
      <c r="I801" s="12" t="s">
        <v>6738</v>
      </c>
      <c r="J801" s="12">
        <v>24229</v>
      </c>
      <c r="K801" s="12" t="s">
        <v>6069</v>
      </c>
      <c r="L801" s="12" t="s">
        <v>6070</v>
      </c>
      <c r="M801" s="13">
        <v>41906</v>
      </c>
      <c r="N801" s="12" t="s">
        <v>6071</v>
      </c>
      <c r="O801" s="12" t="s">
        <v>6134</v>
      </c>
      <c r="P801" s="12"/>
      <c r="Q801" s="12">
        <v>1</v>
      </c>
    </row>
    <row r="802" spans="1:17" ht="15.75" customHeight="1">
      <c r="A802" s="12">
        <v>272</v>
      </c>
      <c r="B802" s="12">
        <v>923</v>
      </c>
      <c r="C802" s="12">
        <v>12222</v>
      </c>
      <c r="D802" s="12" t="s">
        <v>6047</v>
      </c>
      <c r="E802" s="12" t="s">
        <v>2238</v>
      </c>
      <c r="F802" s="12" t="s">
        <v>9579</v>
      </c>
      <c r="G802" s="12" t="s">
        <v>9580</v>
      </c>
      <c r="H802" s="12" t="s">
        <v>6627</v>
      </c>
      <c r="I802" s="12" t="s">
        <v>6628</v>
      </c>
      <c r="J802" s="12">
        <v>12222</v>
      </c>
      <c r="K802" s="12" t="s">
        <v>8408</v>
      </c>
      <c r="L802" s="12" t="s">
        <v>7469</v>
      </c>
      <c r="M802" s="13">
        <v>45603</v>
      </c>
      <c r="N802" s="12" t="s">
        <v>8409</v>
      </c>
      <c r="O802" s="12" t="s">
        <v>8410</v>
      </c>
      <c r="P802" s="12"/>
      <c r="Q802" s="12">
        <v>1</v>
      </c>
    </row>
    <row r="803" spans="1:17" ht="15.75" customHeight="1">
      <c r="A803" s="12">
        <v>1532</v>
      </c>
      <c r="B803" s="12">
        <v>11</v>
      </c>
      <c r="C803" s="12">
        <v>287</v>
      </c>
      <c r="D803" s="12" t="s">
        <v>6047</v>
      </c>
      <c r="E803" s="12" t="s">
        <v>2241</v>
      </c>
      <c r="F803" s="12" t="s">
        <v>9581</v>
      </c>
      <c r="G803" s="12" t="s">
        <v>9582</v>
      </c>
      <c r="H803" s="12" t="s">
        <v>6289</v>
      </c>
      <c r="I803" s="12" t="s">
        <v>6290</v>
      </c>
      <c r="J803" s="12">
        <v>287</v>
      </c>
      <c r="K803" s="12" t="s">
        <v>9583</v>
      </c>
      <c r="L803" s="12" t="s">
        <v>6255</v>
      </c>
      <c r="M803" s="13">
        <v>41572</v>
      </c>
      <c r="N803" s="12" t="s">
        <v>9584</v>
      </c>
      <c r="O803" s="12" t="s">
        <v>9585</v>
      </c>
      <c r="P803" s="12"/>
      <c r="Q803" s="12">
        <v>1</v>
      </c>
    </row>
    <row r="804" spans="1:17" ht="15.75" customHeight="1">
      <c r="A804" s="12">
        <v>1892</v>
      </c>
      <c r="B804" s="12">
        <v>449</v>
      </c>
      <c r="C804" s="12">
        <v>6154</v>
      </c>
      <c r="D804" s="12" t="s">
        <v>6047</v>
      </c>
      <c r="E804" s="12" t="s">
        <v>9586</v>
      </c>
      <c r="F804" s="12" t="s">
        <v>9587</v>
      </c>
      <c r="G804" s="12" t="s">
        <v>9588</v>
      </c>
      <c r="H804" s="12" t="s">
        <v>6137</v>
      </c>
      <c r="I804" s="12" t="s">
        <v>6391</v>
      </c>
      <c r="J804" s="12">
        <v>6154</v>
      </c>
      <c r="K804" s="12" t="s">
        <v>7357</v>
      </c>
      <c r="L804" s="12" t="s">
        <v>6709</v>
      </c>
      <c r="M804" s="13">
        <v>40174</v>
      </c>
      <c r="N804" s="12" t="s">
        <v>7358</v>
      </c>
      <c r="O804" s="12" t="s">
        <v>7359</v>
      </c>
      <c r="P804" s="12"/>
      <c r="Q804" s="12">
        <v>1</v>
      </c>
    </row>
    <row r="805" spans="1:17" ht="15.75" customHeight="1">
      <c r="A805" s="12">
        <v>838</v>
      </c>
      <c r="B805" s="12">
        <v>1240</v>
      </c>
      <c r="C805" s="12">
        <v>17533</v>
      </c>
      <c r="D805" s="12" t="s">
        <v>6047</v>
      </c>
      <c r="E805" s="12" t="s">
        <v>9589</v>
      </c>
      <c r="F805" s="12" t="s">
        <v>9590</v>
      </c>
      <c r="G805" s="12" t="s">
        <v>9591</v>
      </c>
      <c r="H805" s="12" t="s">
        <v>6051</v>
      </c>
      <c r="I805" s="12" t="s">
        <v>9592</v>
      </c>
      <c r="J805" s="12">
        <v>17533</v>
      </c>
      <c r="K805" s="12" t="s">
        <v>8758</v>
      </c>
      <c r="L805" s="12" t="s">
        <v>6564</v>
      </c>
      <c r="M805" s="13">
        <v>43021</v>
      </c>
      <c r="N805" s="12" t="s">
        <v>8759</v>
      </c>
      <c r="O805" s="12" t="s">
        <v>8760</v>
      </c>
      <c r="P805" s="12"/>
      <c r="Q805" s="12">
        <v>1</v>
      </c>
    </row>
    <row r="806" spans="1:17" ht="15.75" customHeight="1">
      <c r="A806" s="12">
        <v>748</v>
      </c>
      <c r="B806" s="12">
        <v>234</v>
      </c>
      <c r="C806" s="12">
        <v>4260</v>
      </c>
      <c r="D806" s="12" t="s">
        <v>6047</v>
      </c>
      <c r="E806" s="12" t="s">
        <v>9593</v>
      </c>
      <c r="F806" s="12" t="s">
        <v>9594</v>
      </c>
      <c r="G806" s="12" t="s">
        <v>9595</v>
      </c>
      <c r="H806" s="12" t="s">
        <v>6163</v>
      </c>
      <c r="I806" s="12" t="s">
        <v>6253</v>
      </c>
      <c r="J806" s="12">
        <v>4260</v>
      </c>
      <c r="K806" s="12" t="s">
        <v>6838</v>
      </c>
      <c r="L806" s="12" t="s">
        <v>6839</v>
      </c>
      <c r="M806" s="13">
        <v>43196</v>
      </c>
      <c r="N806" s="12" t="s">
        <v>6840</v>
      </c>
      <c r="O806" s="12" t="s">
        <v>7536</v>
      </c>
      <c r="P806" s="12"/>
      <c r="Q806" s="12">
        <v>1</v>
      </c>
    </row>
    <row r="807" spans="1:17" ht="15.75" customHeight="1">
      <c r="A807" s="12">
        <v>1843</v>
      </c>
      <c r="B807" s="12">
        <v>613</v>
      </c>
      <c r="C807" s="12">
        <v>7704</v>
      </c>
      <c r="D807" s="12" t="s">
        <v>6047</v>
      </c>
      <c r="E807" s="12" t="s">
        <v>9596</v>
      </c>
      <c r="F807" s="12" t="s">
        <v>9597</v>
      </c>
      <c r="G807" s="12" t="s">
        <v>9598</v>
      </c>
      <c r="H807" s="12" t="s">
        <v>6187</v>
      </c>
      <c r="I807" s="12" t="s">
        <v>6224</v>
      </c>
      <c r="J807" s="12">
        <v>7704</v>
      </c>
      <c r="K807" s="12" t="s">
        <v>6062</v>
      </c>
      <c r="L807" s="12" t="s">
        <v>6063</v>
      </c>
      <c r="M807" s="13">
        <v>40873</v>
      </c>
      <c r="N807" s="12" t="s">
        <v>6064</v>
      </c>
      <c r="O807" s="12" t="s">
        <v>6065</v>
      </c>
      <c r="P807" s="12"/>
      <c r="Q807" s="12">
        <v>1</v>
      </c>
    </row>
    <row r="808" spans="1:17" ht="15.75" customHeight="1">
      <c r="A808" s="12">
        <v>2019</v>
      </c>
      <c r="B808" s="12">
        <v>1993</v>
      </c>
      <c r="C808" s="12">
        <v>35188</v>
      </c>
      <c r="D808" s="12" t="s">
        <v>6047</v>
      </c>
      <c r="E808" s="12" t="s">
        <v>9599</v>
      </c>
      <c r="F808" s="12" t="s">
        <v>9600</v>
      </c>
      <c r="G808" s="12" t="s">
        <v>9601</v>
      </c>
      <c r="H808" s="12" t="s">
        <v>6051</v>
      </c>
      <c r="I808" s="12" t="s">
        <v>6700</v>
      </c>
      <c r="J808" s="12">
        <v>35188</v>
      </c>
      <c r="K808" s="12" t="s">
        <v>7483</v>
      </c>
      <c r="L808" s="12" t="s">
        <v>7484</v>
      </c>
      <c r="M808" s="13">
        <v>38178</v>
      </c>
      <c r="N808" s="12" t="s">
        <v>7485</v>
      </c>
      <c r="O808" s="12" t="s">
        <v>7486</v>
      </c>
      <c r="P808" s="12"/>
      <c r="Q808" s="12">
        <v>1</v>
      </c>
    </row>
    <row r="809" spans="1:17" ht="15.75" customHeight="1">
      <c r="A809" s="12">
        <v>383</v>
      </c>
      <c r="B809" s="12">
        <v>578</v>
      </c>
      <c r="C809" s="12">
        <v>7477</v>
      </c>
      <c r="D809" s="12" t="s">
        <v>6047</v>
      </c>
      <c r="E809" s="12" t="s">
        <v>9602</v>
      </c>
      <c r="F809" s="12" t="s">
        <v>9603</v>
      </c>
      <c r="G809" s="12" t="s">
        <v>9604</v>
      </c>
      <c r="H809" s="12" t="s">
        <v>6187</v>
      </c>
      <c r="I809" s="12" t="s">
        <v>6188</v>
      </c>
      <c r="J809" s="12">
        <v>7477</v>
      </c>
      <c r="K809" s="12" t="s">
        <v>9605</v>
      </c>
      <c r="L809" s="12" t="s">
        <v>7311</v>
      </c>
      <c r="M809" s="13">
        <v>44718</v>
      </c>
      <c r="N809" s="12" t="s">
        <v>9606</v>
      </c>
      <c r="O809" s="12" t="s">
        <v>9607</v>
      </c>
      <c r="P809" s="12"/>
      <c r="Q809" s="12">
        <v>1</v>
      </c>
    </row>
    <row r="810" spans="1:17" ht="15.75" customHeight="1">
      <c r="A810" s="12">
        <v>1798</v>
      </c>
      <c r="B810" s="12">
        <v>1414</v>
      </c>
      <c r="C810" s="12">
        <v>21233</v>
      </c>
      <c r="D810" s="12" t="s">
        <v>6047</v>
      </c>
      <c r="E810" s="12" t="s">
        <v>9608</v>
      </c>
      <c r="F810" s="12" t="s">
        <v>9609</v>
      </c>
      <c r="G810" s="12" t="s">
        <v>9610</v>
      </c>
      <c r="H810" s="12" t="s">
        <v>6051</v>
      </c>
      <c r="I810" s="12" t="s">
        <v>6299</v>
      </c>
      <c r="J810" s="12">
        <v>21233</v>
      </c>
      <c r="K810" s="12" t="s">
        <v>6062</v>
      </c>
      <c r="L810" s="12" t="s">
        <v>6063</v>
      </c>
      <c r="M810" s="13">
        <v>40873</v>
      </c>
      <c r="N810" s="12" t="s">
        <v>6064</v>
      </c>
      <c r="O810" s="12" t="s">
        <v>6065</v>
      </c>
      <c r="P810" s="12"/>
      <c r="Q810" s="12">
        <v>1</v>
      </c>
    </row>
    <row r="811" spans="1:17" ht="15.75" customHeight="1">
      <c r="A811" s="12">
        <v>266</v>
      </c>
      <c r="B811" s="12">
        <v>1463</v>
      </c>
      <c r="C811" s="12">
        <v>22922</v>
      </c>
      <c r="D811" s="12" t="s">
        <v>6047</v>
      </c>
      <c r="E811" s="12" t="s">
        <v>9611</v>
      </c>
      <c r="F811" s="12" t="s">
        <v>9612</v>
      </c>
      <c r="G811" s="12" t="s">
        <v>9613</v>
      </c>
      <c r="H811" s="12" t="s">
        <v>6051</v>
      </c>
      <c r="I811" s="12" t="s">
        <v>6748</v>
      </c>
      <c r="J811" s="12">
        <v>22922</v>
      </c>
      <c r="K811" s="12" t="s">
        <v>8408</v>
      </c>
      <c r="L811" s="12" t="s">
        <v>7469</v>
      </c>
      <c r="M811" s="13">
        <v>45603</v>
      </c>
      <c r="N811" s="12" t="s">
        <v>8409</v>
      </c>
      <c r="O811" s="12" t="s">
        <v>8410</v>
      </c>
      <c r="P811" s="12"/>
      <c r="Q811" s="12">
        <v>1</v>
      </c>
    </row>
    <row r="812" spans="1:17" ht="15.75" customHeight="1">
      <c r="A812" s="12">
        <v>1729</v>
      </c>
      <c r="B812" s="12">
        <v>813</v>
      </c>
      <c r="C812" s="12">
        <v>10316</v>
      </c>
      <c r="D812" s="12" t="s">
        <v>6047</v>
      </c>
      <c r="E812" s="12" t="s">
        <v>9614</v>
      </c>
      <c r="F812" s="12" t="s">
        <v>9615</v>
      </c>
      <c r="G812" s="12" t="s">
        <v>9616</v>
      </c>
      <c r="H812" s="12" t="s">
        <v>6265</v>
      </c>
      <c r="I812" s="12" t="s">
        <v>6266</v>
      </c>
      <c r="J812" s="12">
        <v>10316</v>
      </c>
      <c r="K812" s="12" t="s">
        <v>7000</v>
      </c>
      <c r="L812" s="12" t="s">
        <v>7001</v>
      </c>
      <c r="M812" s="13">
        <v>40875</v>
      </c>
      <c r="N812" s="12" t="s">
        <v>7002</v>
      </c>
      <c r="O812" s="12" t="s">
        <v>7003</v>
      </c>
      <c r="P812" s="12"/>
      <c r="Q812" s="12">
        <v>1</v>
      </c>
    </row>
    <row r="813" spans="1:17" ht="15.75" customHeight="1">
      <c r="A813" s="12">
        <v>20</v>
      </c>
      <c r="B813" s="12">
        <v>933</v>
      </c>
      <c r="C813" s="12">
        <v>12479</v>
      </c>
      <c r="D813" s="12" t="s">
        <v>6047</v>
      </c>
      <c r="E813" s="12" t="s">
        <v>9617</v>
      </c>
      <c r="F813" s="12" t="s">
        <v>9618</v>
      </c>
      <c r="G813" s="12" t="s">
        <v>9619</v>
      </c>
      <c r="H813" s="12" t="s">
        <v>6627</v>
      </c>
      <c r="I813" s="12" t="s">
        <v>6628</v>
      </c>
      <c r="J813" s="12">
        <v>12479</v>
      </c>
      <c r="K813" s="12" t="s">
        <v>8727</v>
      </c>
      <c r="L813" s="12" t="s">
        <v>6905</v>
      </c>
      <c r="M813" s="13">
        <v>45980</v>
      </c>
      <c r="N813" s="12" t="s">
        <v>8728</v>
      </c>
      <c r="O813" s="12" t="s">
        <v>8729</v>
      </c>
      <c r="P813" s="12"/>
      <c r="Q813" s="12">
        <v>1</v>
      </c>
    </row>
    <row r="814" spans="1:17" ht="15.75" customHeight="1">
      <c r="A814" s="12">
        <v>1011</v>
      </c>
      <c r="B814" s="12">
        <v>1325</v>
      </c>
      <c r="C814" s="12">
        <v>19108</v>
      </c>
      <c r="D814" s="12" t="s">
        <v>6047</v>
      </c>
      <c r="E814" s="12" t="s">
        <v>9620</v>
      </c>
      <c r="F814" s="12" t="s">
        <v>9621</v>
      </c>
      <c r="G814" s="12" t="s">
        <v>9622</v>
      </c>
      <c r="H814" s="12" t="s">
        <v>6051</v>
      </c>
      <c r="I814" s="12" t="s">
        <v>7090</v>
      </c>
      <c r="J814" s="12">
        <v>19108</v>
      </c>
      <c r="K814" s="12" t="s">
        <v>7108</v>
      </c>
      <c r="L814" s="12" t="s">
        <v>6054</v>
      </c>
      <c r="M814" s="13">
        <v>42692</v>
      </c>
      <c r="N814" s="12" t="s">
        <v>7109</v>
      </c>
      <c r="O814" s="12" t="s">
        <v>7532</v>
      </c>
      <c r="P814" s="12"/>
      <c r="Q814" s="12">
        <v>1</v>
      </c>
    </row>
    <row r="815" spans="1:17" ht="15.75" customHeight="1">
      <c r="A815" s="12">
        <v>567</v>
      </c>
      <c r="B815" s="12">
        <v>253</v>
      </c>
      <c r="C815" s="12">
        <v>4438</v>
      </c>
      <c r="D815" s="12" t="s">
        <v>6047</v>
      </c>
      <c r="E815" s="12" t="s">
        <v>9623</v>
      </c>
      <c r="F815" s="12" t="s">
        <v>9624</v>
      </c>
      <c r="G815" s="12" t="s">
        <v>9625</v>
      </c>
      <c r="H815" s="12" t="s">
        <v>6163</v>
      </c>
      <c r="I815" s="12" t="s">
        <v>6253</v>
      </c>
      <c r="J815" s="12">
        <v>4438</v>
      </c>
      <c r="K815" s="12" t="s">
        <v>6464</v>
      </c>
      <c r="L815" s="12" t="s">
        <v>6408</v>
      </c>
      <c r="M815" s="13">
        <v>43562</v>
      </c>
      <c r="N815" s="12" t="s">
        <v>6465</v>
      </c>
      <c r="O815" s="12" t="s">
        <v>6466</v>
      </c>
      <c r="P815" s="12"/>
      <c r="Q815" s="12">
        <v>1</v>
      </c>
    </row>
    <row r="816" spans="1:17" ht="15.75" customHeight="1">
      <c r="A816" s="12">
        <v>1462</v>
      </c>
      <c r="B816" s="12">
        <v>770</v>
      </c>
      <c r="C816" s="12">
        <v>9618</v>
      </c>
      <c r="D816" s="12" t="s">
        <v>6047</v>
      </c>
      <c r="E816" s="12" t="s">
        <v>9626</v>
      </c>
      <c r="F816" s="12" t="s">
        <v>9627</v>
      </c>
      <c r="G816" s="12" t="s">
        <v>9628</v>
      </c>
      <c r="H816" s="12" t="s">
        <v>6118</v>
      </c>
      <c r="I816" s="12" t="s">
        <v>9629</v>
      </c>
      <c r="J816" s="12">
        <v>9618</v>
      </c>
      <c r="K816" s="12" t="s">
        <v>6069</v>
      </c>
      <c r="L816" s="12" t="s">
        <v>6070</v>
      </c>
      <c r="M816" s="13">
        <v>41907</v>
      </c>
      <c r="N816" s="12" t="s">
        <v>6071</v>
      </c>
      <c r="O816" s="12" t="s">
        <v>6072</v>
      </c>
      <c r="P816" s="12"/>
      <c r="Q816" s="12">
        <v>1</v>
      </c>
    </row>
    <row r="817" spans="1:17" ht="15.75" customHeight="1">
      <c r="A817" s="12">
        <v>1223</v>
      </c>
      <c r="B817" s="12">
        <v>1099</v>
      </c>
      <c r="C817" s="12">
        <v>15849</v>
      </c>
      <c r="D817" s="12" t="s">
        <v>6047</v>
      </c>
      <c r="E817" s="12" t="s">
        <v>9630</v>
      </c>
      <c r="F817" s="12" t="s">
        <v>9631</v>
      </c>
      <c r="G817" s="12" t="s">
        <v>9632</v>
      </c>
      <c r="H817" s="12" t="s">
        <v>6051</v>
      </c>
      <c r="I817" s="12" t="s">
        <v>6406</v>
      </c>
      <c r="J817" s="12">
        <v>15849</v>
      </c>
      <c r="K817" s="12" t="s">
        <v>6429</v>
      </c>
      <c r="L817" s="12" t="s">
        <v>6423</v>
      </c>
      <c r="M817" s="13">
        <v>41991</v>
      </c>
      <c r="N817" s="12" t="s">
        <v>6430</v>
      </c>
      <c r="O817" s="12" t="s">
        <v>6431</v>
      </c>
      <c r="P817" s="12"/>
      <c r="Q817" s="12">
        <v>1</v>
      </c>
    </row>
    <row r="818" spans="1:17" ht="15.75" customHeight="1">
      <c r="A818" s="12">
        <v>914</v>
      </c>
      <c r="B818" s="12">
        <v>814</v>
      </c>
      <c r="C818" s="12">
        <v>10322</v>
      </c>
      <c r="D818" s="12" t="s">
        <v>6047</v>
      </c>
      <c r="E818" s="12" t="s">
        <v>9633</v>
      </c>
      <c r="F818" s="12" t="s">
        <v>9634</v>
      </c>
      <c r="G818" s="12" t="s">
        <v>9635</v>
      </c>
      <c r="H818" s="12" t="s">
        <v>6265</v>
      </c>
      <c r="I818" s="12" t="s">
        <v>6266</v>
      </c>
      <c r="J818" s="12">
        <v>10322</v>
      </c>
      <c r="K818" s="12" t="s">
        <v>9636</v>
      </c>
      <c r="L818" s="12" t="s">
        <v>6753</v>
      </c>
      <c r="M818" s="13">
        <v>42830</v>
      </c>
      <c r="N818" s="12" t="s">
        <v>9637</v>
      </c>
      <c r="O818" s="12" t="s">
        <v>9638</v>
      </c>
      <c r="P818" s="12"/>
      <c r="Q818" s="12">
        <v>1</v>
      </c>
    </row>
    <row r="819" spans="1:17" ht="15.75" customHeight="1">
      <c r="A819" s="12">
        <v>1939</v>
      </c>
      <c r="B819" s="12">
        <v>1465</v>
      </c>
      <c r="C819" s="12">
        <v>23017</v>
      </c>
      <c r="D819" s="12" t="s">
        <v>6047</v>
      </c>
      <c r="E819" s="12" t="s">
        <v>9639</v>
      </c>
      <c r="F819" s="12" t="s">
        <v>9640</v>
      </c>
      <c r="G819" s="12" t="s">
        <v>9641</v>
      </c>
      <c r="H819" s="12" t="s">
        <v>6051</v>
      </c>
      <c r="I819" s="12" t="s">
        <v>6748</v>
      </c>
      <c r="J819" s="12">
        <v>23017</v>
      </c>
      <c r="K819" s="12" t="s">
        <v>7276</v>
      </c>
      <c r="L819" s="12" t="s">
        <v>7277</v>
      </c>
      <c r="M819" s="13">
        <v>39234</v>
      </c>
      <c r="N819" s="12" t="s">
        <v>7278</v>
      </c>
      <c r="O819" s="12" t="s">
        <v>7279</v>
      </c>
      <c r="P819" s="12"/>
      <c r="Q819" s="12">
        <v>1</v>
      </c>
    </row>
    <row r="820" spans="1:17" ht="15.75" customHeight="1">
      <c r="A820" s="12">
        <v>1788</v>
      </c>
      <c r="B820" s="12">
        <v>1765</v>
      </c>
      <c r="C820" s="12">
        <v>32978</v>
      </c>
      <c r="D820" s="12" t="s">
        <v>6047</v>
      </c>
      <c r="E820" s="12" t="s">
        <v>9642</v>
      </c>
      <c r="F820" s="12" t="s">
        <v>9643</v>
      </c>
      <c r="G820" s="12" t="s">
        <v>9644</v>
      </c>
      <c r="H820" s="12" t="s">
        <v>6051</v>
      </c>
      <c r="I820" s="12" t="s">
        <v>6374</v>
      </c>
      <c r="J820" s="12">
        <v>32978</v>
      </c>
      <c r="K820" s="12" t="s">
        <v>6062</v>
      </c>
      <c r="L820" s="12" t="s">
        <v>6063</v>
      </c>
      <c r="M820" s="13">
        <v>40873</v>
      </c>
      <c r="N820" s="12" t="s">
        <v>6064</v>
      </c>
      <c r="O820" s="12" t="s">
        <v>6065</v>
      </c>
      <c r="P820" s="12"/>
      <c r="Q820" s="12">
        <v>1</v>
      </c>
    </row>
    <row r="821" spans="1:17" ht="15.75" customHeight="1">
      <c r="A821" s="12">
        <v>739</v>
      </c>
      <c r="B821" s="12">
        <v>762</v>
      </c>
      <c r="C821" s="12">
        <v>9541</v>
      </c>
      <c r="D821" s="12" t="s">
        <v>6047</v>
      </c>
      <c r="E821" s="12" t="s">
        <v>9645</v>
      </c>
      <c r="F821" s="12" t="s">
        <v>9646</v>
      </c>
      <c r="G821" s="12" t="s">
        <v>9647</v>
      </c>
      <c r="H821" s="12" t="s">
        <v>7330</v>
      </c>
      <c r="I821" s="12" t="s">
        <v>7331</v>
      </c>
      <c r="J821" s="12">
        <v>9541</v>
      </c>
      <c r="K821" s="12" t="s">
        <v>6838</v>
      </c>
      <c r="L821" s="12" t="s">
        <v>6839</v>
      </c>
      <c r="M821" s="13">
        <v>43197</v>
      </c>
      <c r="N821" s="12" t="s">
        <v>6840</v>
      </c>
      <c r="O821" s="12" t="s">
        <v>6841</v>
      </c>
      <c r="P821" s="12"/>
      <c r="Q821" s="12">
        <v>1</v>
      </c>
    </row>
    <row r="822" spans="1:17" ht="15.75" customHeight="1">
      <c r="A822" s="12">
        <v>1688</v>
      </c>
      <c r="B822" s="12">
        <v>248</v>
      </c>
      <c r="C822" s="12">
        <v>4388</v>
      </c>
      <c r="D822" s="12" t="s">
        <v>6047</v>
      </c>
      <c r="E822" s="12" t="s">
        <v>9648</v>
      </c>
      <c r="F822" s="12" t="s">
        <v>9649</v>
      </c>
      <c r="G822" s="12" t="s">
        <v>9650</v>
      </c>
      <c r="H822" s="12" t="s">
        <v>6163</v>
      </c>
      <c r="I822" s="12" t="s">
        <v>6253</v>
      </c>
      <c r="J822" s="12">
        <v>4388</v>
      </c>
      <c r="K822" s="12" t="s">
        <v>7260</v>
      </c>
      <c r="L822" s="12" t="s">
        <v>7261</v>
      </c>
      <c r="M822" s="13">
        <v>40879</v>
      </c>
      <c r="N822" s="12" t="s">
        <v>7262</v>
      </c>
      <c r="O822" s="12" t="s">
        <v>7263</v>
      </c>
      <c r="P822" s="12"/>
      <c r="Q822" s="12">
        <v>1</v>
      </c>
    </row>
    <row r="823" spans="1:17" ht="15.75" customHeight="1">
      <c r="A823" s="12">
        <v>584</v>
      </c>
      <c r="B823" s="12">
        <v>287</v>
      </c>
      <c r="C823" s="12">
        <v>4706</v>
      </c>
      <c r="D823" s="12" t="s">
        <v>6047</v>
      </c>
      <c r="E823" s="12" t="s">
        <v>9651</v>
      </c>
      <c r="F823" s="12" t="s">
        <v>9652</v>
      </c>
      <c r="G823" s="12" t="s">
        <v>9653</v>
      </c>
      <c r="H823" s="12" t="s">
        <v>6163</v>
      </c>
      <c r="I823" s="12" t="s">
        <v>6253</v>
      </c>
      <c r="J823" s="12">
        <v>4706</v>
      </c>
      <c r="K823" s="12" t="s">
        <v>6407</v>
      </c>
      <c r="L823" s="12" t="s">
        <v>6408</v>
      </c>
      <c r="M823" s="13">
        <v>43560</v>
      </c>
      <c r="N823" s="12" t="s">
        <v>6409</v>
      </c>
      <c r="O823" s="12" t="s">
        <v>8232</v>
      </c>
      <c r="P823" s="12"/>
      <c r="Q823" s="12">
        <v>1</v>
      </c>
    </row>
    <row r="824" spans="1:17" ht="15.75" customHeight="1">
      <c r="A824" s="12">
        <v>1248</v>
      </c>
      <c r="B824" s="12">
        <v>239</v>
      </c>
      <c r="C824" s="12">
        <v>4337</v>
      </c>
      <c r="D824" s="12" t="s">
        <v>6047</v>
      </c>
      <c r="E824" s="12" t="s">
        <v>9654</v>
      </c>
      <c r="F824" s="12" t="s">
        <v>9655</v>
      </c>
      <c r="G824" s="12" t="s">
        <v>9656</v>
      </c>
      <c r="H824" s="12" t="s">
        <v>6163</v>
      </c>
      <c r="I824" s="12" t="s">
        <v>6253</v>
      </c>
      <c r="J824" s="12">
        <v>4337</v>
      </c>
      <c r="K824" s="12" t="s">
        <v>6429</v>
      </c>
      <c r="L824" s="12" t="s">
        <v>6423</v>
      </c>
      <c r="M824" s="13">
        <v>41991</v>
      </c>
      <c r="N824" s="12" t="s">
        <v>6430</v>
      </c>
      <c r="O824" s="12" t="s">
        <v>6431</v>
      </c>
      <c r="P824" s="12"/>
      <c r="Q824" s="12">
        <v>1</v>
      </c>
    </row>
    <row r="825" spans="1:17" ht="15.75" customHeight="1">
      <c r="A825" s="12">
        <v>721</v>
      </c>
      <c r="B825" s="12">
        <v>963</v>
      </c>
      <c r="C825" s="12">
        <v>12990</v>
      </c>
      <c r="D825" s="12" t="s">
        <v>6047</v>
      </c>
      <c r="E825" s="12" t="s">
        <v>9657</v>
      </c>
      <c r="F825" s="12" t="s">
        <v>9658</v>
      </c>
      <c r="G825" s="12" t="s">
        <v>9659</v>
      </c>
      <c r="H825" s="12" t="s">
        <v>6627</v>
      </c>
      <c r="I825" s="12" t="s">
        <v>7504</v>
      </c>
      <c r="J825" s="12">
        <v>12990</v>
      </c>
      <c r="K825" s="12" t="s">
        <v>8856</v>
      </c>
      <c r="L825" s="12" t="s">
        <v>8857</v>
      </c>
      <c r="M825" s="13">
        <v>43200</v>
      </c>
      <c r="N825" s="12" t="s">
        <v>8858</v>
      </c>
      <c r="O825" s="12" t="s">
        <v>8859</v>
      </c>
      <c r="P825" s="12"/>
      <c r="Q825" s="12">
        <v>1</v>
      </c>
    </row>
    <row r="826" spans="1:17" ht="15.75" customHeight="1">
      <c r="A826" s="12">
        <v>714</v>
      </c>
      <c r="B826" s="12">
        <v>247</v>
      </c>
      <c r="C826" s="12">
        <v>4387</v>
      </c>
      <c r="D826" s="12" t="s">
        <v>6047</v>
      </c>
      <c r="E826" s="12" t="s">
        <v>9660</v>
      </c>
      <c r="F826" s="12" t="s">
        <v>9661</v>
      </c>
      <c r="G826" s="12" t="s">
        <v>9662</v>
      </c>
      <c r="H826" s="12" t="s">
        <v>6163</v>
      </c>
      <c r="I826" s="12" t="s">
        <v>6253</v>
      </c>
      <c r="J826" s="12">
        <v>4387</v>
      </c>
      <c r="K826" s="12" t="s">
        <v>9663</v>
      </c>
      <c r="L826" s="12" t="s">
        <v>9664</v>
      </c>
      <c r="M826" s="13">
        <v>43201</v>
      </c>
      <c r="N826" s="12" t="s">
        <v>9665</v>
      </c>
      <c r="O826" s="12" t="s">
        <v>9666</v>
      </c>
      <c r="P826" s="12"/>
      <c r="Q826" s="12">
        <v>1</v>
      </c>
    </row>
    <row r="827" spans="1:17" ht="15.75" customHeight="1">
      <c r="A827" s="12">
        <v>1933</v>
      </c>
      <c r="B827" s="12">
        <v>1696</v>
      </c>
      <c r="C827" s="12">
        <v>31383</v>
      </c>
      <c r="D827" s="12" t="s">
        <v>6047</v>
      </c>
      <c r="E827" s="12" t="s">
        <v>9667</v>
      </c>
      <c r="F827" s="12" t="s">
        <v>9668</v>
      </c>
      <c r="G827" s="12" t="s">
        <v>9669</v>
      </c>
      <c r="H827" s="12" t="s">
        <v>6051</v>
      </c>
      <c r="I827" s="12" t="s">
        <v>6093</v>
      </c>
      <c r="J827" s="12">
        <v>31383</v>
      </c>
      <c r="K827" s="12" t="s">
        <v>7276</v>
      </c>
      <c r="L827" s="12" t="s">
        <v>7277</v>
      </c>
      <c r="M827" s="13">
        <v>39234</v>
      </c>
      <c r="N827" s="12" t="s">
        <v>7278</v>
      </c>
      <c r="O827" s="12" t="s">
        <v>7279</v>
      </c>
      <c r="P827" s="12"/>
      <c r="Q827" s="12">
        <v>1</v>
      </c>
    </row>
    <row r="828" spans="1:17" ht="15.75" customHeight="1">
      <c r="A828" s="12">
        <v>1551</v>
      </c>
      <c r="B828" s="12">
        <v>48</v>
      </c>
      <c r="C828" s="12">
        <v>612</v>
      </c>
      <c r="D828" s="12" t="s">
        <v>6047</v>
      </c>
      <c r="E828" s="12" t="s">
        <v>9670</v>
      </c>
      <c r="F828" s="12" t="s">
        <v>9671</v>
      </c>
      <c r="G828" s="12" t="s">
        <v>9672</v>
      </c>
      <c r="H828" s="12" t="s">
        <v>6289</v>
      </c>
      <c r="I828" s="12" t="s">
        <v>6290</v>
      </c>
      <c r="J828" s="12">
        <v>612</v>
      </c>
      <c r="K828" s="12" t="s">
        <v>7914</v>
      </c>
      <c r="L828" s="12" t="s">
        <v>6255</v>
      </c>
      <c r="M828" s="13">
        <v>41563</v>
      </c>
      <c r="N828" s="12" t="s">
        <v>7915</v>
      </c>
      <c r="O828" s="12" t="s">
        <v>7916</v>
      </c>
      <c r="P828" s="12"/>
      <c r="Q828" s="12">
        <v>1</v>
      </c>
    </row>
    <row r="829" spans="1:17" ht="15.75" customHeight="1">
      <c r="A829" s="12">
        <v>1743</v>
      </c>
      <c r="B829" s="12">
        <v>177</v>
      </c>
      <c r="C829" s="12">
        <v>3027</v>
      </c>
      <c r="D829" s="12" t="s">
        <v>6047</v>
      </c>
      <c r="E829" s="12" t="s">
        <v>9673</v>
      </c>
      <c r="F829" s="12" t="s">
        <v>9674</v>
      </c>
      <c r="G829" s="12" t="s">
        <v>9675</v>
      </c>
      <c r="H829" s="12" t="s">
        <v>7069</v>
      </c>
      <c r="I829" s="12" t="s">
        <v>7070</v>
      </c>
      <c r="J829" s="12">
        <v>3027</v>
      </c>
      <c r="K829" s="12" t="s">
        <v>7000</v>
      </c>
      <c r="L829" s="12" t="s">
        <v>7001</v>
      </c>
      <c r="M829" s="13">
        <v>40875</v>
      </c>
      <c r="N829" s="12" t="s">
        <v>7002</v>
      </c>
      <c r="O829" s="12" t="s">
        <v>7003</v>
      </c>
      <c r="P829" s="12"/>
      <c r="Q829" s="12">
        <v>1</v>
      </c>
    </row>
    <row r="830" spans="1:17" ht="15.75" customHeight="1">
      <c r="A830" s="12">
        <v>162</v>
      </c>
      <c r="B830" s="12">
        <v>847</v>
      </c>
      <c r="C830" s="12">
        <v>10855</v>
      </c>
      <c r="D830" s="12" t="s">
        <v>6047</v>
      </c>
      <c r="E830" s="12" t="s">
        <v>9676</v>
      </c>
      <c r="F830" s="12" t="s">
        <v>9677</v>
      </c>
      <c r="G830" s="12" t="s">
        <v>9678</v>
      </c>
      <c r="H830" s="12" t="s">
        <v>6060</v>
      </c>
      <c r="I830" s="12" t="s">
        <v>7082</v>
      </c>
      <c r="J830" s="12">
        <v>10855</v>
      </c>
      <c r="K830" s="12" t="s">
        <v>9466</v>
      </c>
      <c r="L830" s="12" t="s">
        <v>6709</v>
      </c>
      <c r="M830" s="13">
        <v>45754</v>
      </c>
      <c r="N830" s="12" t="s">
        <v>9467</v>
      </c>
      <c r="O830" s="12" t="s">
        <v>9468</v>
      </c>
      <c r="P830" s="12"/>
      <c r="Q830" s="12">
        <v>1</v>
      </c>
    </row>
    <row r="831" spans="1:17" ht="15.75" customHeight="1">
      <c r="A831" s="12">
        <v>1359</v>
      </c>
      <c r="B831" s="12">
        <v>1683</v>
      </c>
      <c r="C831" s="12">
        <v>30997</v>
      </c>
      <c r="D831" s="12" t="s">
        <v>6047</v>
      </c>
      <c r="E831" s="12" t="s">
        <v>2343</v>
      </c>
      <c r="F831" s="12" t="s">
        <v>9679</v>
      </c>
      <c r="G831" s="12" t="s">
        <v>9680</v>
      </c>
      <c r="H831" s="12" t="s">
        <v>6051</v>
      </c>
      <c r="I831" s="12" t="s">
        <v>6100</v>
      </c>
      <c r="J831" s="12">
        <v>30997</v>
      </c>
      <c r="K831" s="12" t="s">
        <v>6077</v>
      </c>
      <c r="L831" s="12" t="s">
        <v>6078</v>
      </c>
      <c r="M831" s="13">
        <v>41915</v>
      </c>
      <c r="N831" s="12" t="s">
        <v>6079</v>
      </c>
      <c r="O831" s="12" t="s">
        <v>7172</v>
      </c>
      <c r="P831" s="12"/>
      <c r="Q831" s="12">
        <v>1</v>
      </c>
    </row>
    <row r="832" spans="1:17" ht="15.75" customHeight="1">
      <c r="A832" s="12">
        <v>1932</v>
      </c>
      <c r="B832" s="12">
        <v>1614</v>
      </c>
      <c r="C832" s="12">
        <v>28425</v>
      </c>
      <c r="D832" s="12" t="s">
        <v>6047</v>
      </c>
      <c r="E832" s="12" t="s">
        <v>9681</v>
      </c>
      <c r="F832" s="12" t="s">
        <v>9682</v>
      </c>
      <c r="G832" s="12" t="s">
        <v>9683</v>
      </c>
      <c r="H832" s="12" t="s">
        <v>6051</v>
      </c>
      <c r="I832" s="12" t="s">
        <v>6366</v>
      </c>
      <c r="J832" s="12">
        <v>28425</v>
      </c>
      <c r="K832" s="12" t="s">
        <v>9684</v>
      </c>
      <c r="L832" s="12" t="s">
        <v>7277</v>
      </c>
      <c r="M832" s="13">
        <v>39235</v>
      </c>
      <c r="N832" s="12" t="s">
        <v>9685</v>
      </c>
      <c r="O832" s="12" t="s">
        <v>9686</v>
      </c>
      <c r="P832" s="12"/>
      <c r="Q832" s="12">
        <v>1</v>
      </c>
    </row>
    <row r="833" spans="1:17" ht="15.75" customHeight="1">
      <c r="A833" s="12">
        <v>1832</v>
      </c>
      <c r="B833" s="12">
        <v>764</v>
      </c>
      <c r="C833" s="12">
        <v>9547</v>
      </c>
      <c r="D833" s="12" t="s">
        <v>6047</v>
      </c>
      <c r="E833" s="12" t="s">
        <v>9687</v>
      </c>
      <c r="F833" s="12" t="s">
        <v>9688</v>
      </c>
      <c r="G833" s="12" t="s">
        <v>9689</v>
      </c>
      <c r="H833" s="12" t="s">
        <v>7330</v>
      </c>
      <c r="I833" s="12" t="s">
        <v>7331</v>
      </c>
      <c r="J833" s="12">
        <v>9547</v>
      </c>
      <c r="K833" s="12" t="s">
        <v>6062</v>
      </c>
      <c r="L833" s="12" t="s">
        <v>6063</v>
      </c>
      <c r="M833" s="13">
        <v>40873</v>
      </c>
      <c r="N833" s="12" t="s">
        <v>6064</v>
      </c>
      <c r="O833" s="12" t="s">
        <v>6065</v>
      </c>
      <c r="P833" s="12"/>
      <c r="Q833" s="12">
        <v>1</v>
      </c>
    </row>
    <row r="834" spans="1:17" ht="15.75" customHeight="1">
      <c r="A834" s="12">
        <v>541</v>
      </c>
      <c r="B834" s="12">
        <v>1995</v>
      </c>
      <c r="C834" s="12">
        <v>35203</v>
      </c>
      <c r="D834" s="12" t="s">
        <v>6047</v>
      </c>
      <c r="E834" s="12" t="s">
        <v>9690</v>
      </c>
      <c r="F834" s="12" t="s">
        <v>9691</v>
      </c>
      <c r="G834" s="12" t="s">
        <v>9692</v>
      </c>
      <c r="H834" s="12" t="s">
        <v>6051</v>
      </c>
      <c r="I834" s="12" t="s">
        <v>6700</v>
      </c>
      <c r="J834" s="12">
        <v>35203</v>
      </c>
      <c r="K834" s="12" t="s">
        <v>7441</v>
      </c>
      <c r="L834" s="12" t="s">
        <v>6408</v>
      </c>
      <c r="M834" s="13">
        <v>43563</v>
      </c>
      <c r="N834" s="12" t="s">
        <v>7442</v>
      </c>
      <c r="O834" s="12" t="s">
        <v>7443</v>
      </c>
      <c r="P834" s="12"/>
      <c r="Q834" s="12">
        <v>1</v>
      </c>
    </row>
    <row r="835" spans="1:17" ht="15.75" customHeight="1">
      <c r="A835" s="12">
        <v>1428</v>
      </c>
      <c r="B835" s="12">
        <v>586</v>
      </c>
      <c r="C835" s="12">
        <v>7516</v>
      </c>
      <c r="D835" s="12" t="s">
        <v>6047</v>
      </c>
      <c r="E835" s="12" t="s">
        <v>2348</v>
      </c>
      <c r="F835" s="12" t="s">
        <v>9693</v>
      </c>
      <c r="G835" s="12" t="s">
        <v>9694</v>
      </c>
      <c r="H835" s="12" t="s">
        <v>6187</v>
      </c>
      <c r="I835" s="12" t="s">
        <v>6188</v>
      </c>
      <c r="J835" s="12">
        <v>7516</v>
      </c>
      <c r="K835" s="12" t="s">
        <v>6139</v>
      </c>
      <c r="L835" s="12" t="s">
        <v>6087</v>
      </c>
      <c r="M835" s="13">
        <v>41909</v>
      </c>
      <c r="N835" s="12" t="s">
        <v>6140</v>
      </c>
      <c r="O835" s="12" t="s">
        <v>6141</v>
      </c>
      <c r="P835" s="12"/>
      <c r="Q835" s="12">
        <v>1</v>
      </c>
    </row>
    <row r="836" spans="1:17" ht="15.75" customHeight="1">
      <c r="A836" s="12">
        <v>1587</v>
      </c>
      <c r="B836" s="12">
        <v>878</v>
      </c>
      <c r="C836" s="12">
        <v>11427</v>
      </c>
      <c r="D836" s="12" t="s">
        <v>6047</v>
      </c>
      <c r="E836" s="12" t="s">
        <v>9695</v>
      </c>
      <c r="F836" s="12" t="s">
        <v>9696</v>
      </c>
      <c r="G836" s="12" t="s">
        <v>9697</v>
      </c>
      <c r="H836" s="12" t="s">
        <v>6060</v>
      </c>
      <c r="I836" s="12" t="s">
        <v>6061</v>
      </c>
      <c r="J836" s="12">
        <v>11427</v>
      </c>
      <c r="K836" s="12" t="s">
        <v>9698</v>
      </c>
      <c r="L836" s="12" t="s">
        <v>6240</v>
      </c>
      <c r="M836" s="13">
        <v>41542</v>
      </c>
      <c r="N836" s="12" t="s">
        <v>9699</v>
      </c>
      <c r="O836" s="12" t="s">
        <v>9700</v>
      </c>
      <c r="P836" s="12"/>
      <c r="Q836" s="12">
        <v>1</v>
      </c>
    </row>
    <row r="837" spans="1:17" ht="15.75" customHeight="1">
      <c r="A837" s="12">
        <v>1336</v>
      </c>
      <c r="B837" s="12">
        <v>796</v>
      </c>
      <c r="C837" s="12">
        <v>9922</v>
      </c>
      <c r="D837" s="12" t="s">
        <v>6047</v>
      </c>
      <c r="E837" s="12" t="s">
        <v>9701</v>
      </c>
      <c r="F837" s="12" t="s">
        <v>9702</v>
      </c>
      <c r="G837" s="12" t="s">
        <v>9703</v>
      </c>
      <c r="H837" s="12" t="s">
        <v>6265</v>
      </c>
      <c r="I837" s="12" t="s">
        <v>6266</v>
      </c>
      <c r="J837" s="12">
        <v>9922</v>
      </c>
      <c r="K837" s="12" t="s">
        <v>7750</v>
      </c>
      <c r="L837" s="12" t="s">
        <v>6106</v>
      </c>
      <c r="M837" s="13">
        <v>41920</v>
      </c>
      <c r="N837" s="12" t="s">
        <v>7751</v>
      </c>
      <c r="O837" s="12" t="s">
        <v>7752</v>
      </c>
      <c r="P837" s="12"/>
      <c r="Q837" s="12">
        <v>1</v>
      </c>
    </row>
    <row r="838" spans="1:17" ht="15.75" customHeight="1">
      <c r="A838" s="12">
        <v>2006</v>
      </c>
      <c r="B838" s="12">
        <v>627</v>
      </c>
      <c r="C838" s="12">
        <v>7785</v>
      </c>
      <c r="D838" s="12" t="s">
        <v>6047</v>
      </c>
      <c r="E838" s="12" t="s">
        <v>9704</v>
      </c>
      <c r="F838" s="12" t="s">
        <v>9705</v>
      </c>
      <c r="G838" s="12" t="s">
        <v>9706</v>
      </c>
      <c r="H838" s="12" t="s">
        <v>6187</v>
      </c>
      <c r="I838" s="12" t="s">
        <v>9707</v>
      </c>
      <c r="J838" s="12">
        <v>7785</v>
      </c>
      <c r="K838" s="12" t="s">
        <v>6112</v>
      </c>
      <c r="L838" s="12" t="s">
        <v>6113</v>
      </c>
      <c r="M838" s="13">
        <v>38573</v>
      </c>
      <c r="N838" s="12" t="s">
        <v>6114</v>
      </c>
      <c r="O838" s="12" t="s">
        <v>6115</v>
      </c>
      <c r="P838" s="12"/>
      <c r="Q838" s="12">
        <v>1</v>
      </c>
    </row>
    <row r="839" spans="1:17" ht="15.75" customHeight="1">
      <c r="A839" s="12">
        <v>797</v>
      </c>
      <c r="B839" s="12">
        <v>57</v>
      </c>
      <c r="C839" s="12">
        <v>685</v>
      </c>
      <c r="D839" s="12" t="s">
        <v>6047</v>
      </c>
      <c r="E839" s="12" t="s">
        <v>9708</v>
      </c>
      <c r="F839" s="12" t="s">
        <v>9709</v>
      </c>
      <c r="G839" s="12" t="s">
        <v>9710</v>
      </c>
      <c r="H839" s="12" t="s">
        <v>6289</v>
      </c>
      <c r="I839" s="12" t="s">
        <v>6290</v>
      </c>
      <c r="J839" s="12">
        <v>685</v>
      </c>
      <c r="K839" s="12" t="s">
        <v>6666</v>
      </c>
      <c r="L839" s="12" t="s">
        <v>6590</v>
      </c>
      <c r="M839" s="13">
        <v>43031</v>
      </c>
      <c r="N839" s="12" t="s">
        <v>6667</v>
      </c>
      <c r="O839" s="12" t="s">
        <v>6668</v>
      </c>
      <c r="P839" s="12"/>
      <c r="Q839" s="12">
        <v>1</v>
      </c>
    </row>
    <row r="840" spans="1:17" ht="15.75" customHeight="1">
      <c r="A840" s="12">
        <v>974</v>
      </c>
      <c r="B840" s="12">
        <v>62</v>
      </c>
      <c r="C840" s="12">
        <v>727</v>
      </c>
      <c r="D840" s="12" t="s">
        <v>6047</v>
      </c>
      <c r="E840" s="12" t="s">
        <v>9711</v>
      </c>
      <c r="F840" s="12" t="s">
        <v>9712</v>
      </c>
      <c r="G840" s="12" t="s">
        <v>9713</v>
      </c>
      <c r="H840" s="12" t="s">
        <v>6289</v>
      </c>
      <c r="I840" s="12" t="s">
        <v>6290</v>
      </c>
      <c r="J840" s="12">
        <v>727</v>
      </c>
      <c r="K840" s="12" t="s">
        <v>9714</v>
      </c>
      <c r="L840" s="12" t="s">
        <v>6240</v>
      </c>
      <c r="M840" s="13">
        <v>42814</v>
      </c>
      <c r="N840" s="12" t="s">
        <v>9715</v>
      </c>
      <c r="O840" s="12" t="s">
        <v>9716</v>
      </c>
      <c r="P840" s="12"/>
      <c r="Q840" s="12">
        <v>1</v>
      </c>
    </row>
    <row r="841" spans="1:17" ht="15.75" customHeight="1">
      <c r="A841" s="12">
        <v>366</v>
      </c>
      <c r="B841" s="12">
        <v>704</v>
      </c>
      <c r="C841" s="12">
        <v>8445</v>
      </c>
      <c r="D841" s="12" t="s">
        <v>6047</v>
      </c>
      <c r="E841" s="12" t="s">
        <v>2363</v>
      </c>
      <c r="F841" s="12" t="s">
        <v>9717</v>
      </c>
      <c r="G841" s="12" t="s">
        <v>9718</v>
      </c>
      <c r="H841" s="12" t="s">
        <v>6075</v>
      </c>
      <c r="I841" s="12" t="s">
        <v>6076</v>
      </c>
      <c r="J841" s="12">
        <v>8445</v>
      </c>
      <c r="K841" s="12" t="s">
        <v>9719</v>
      </c>
      <c r="L841" s="12" t="s">
        <v>6226</v>
      </c>
      <c r="M841" s="13">
        <v>44721</v>
      </c>
      <c r="N841" s="12" t="s">
        <v>9720</v>
      </c>
      <c r="O841" s="12" t="s">
        <v>9721</v>
      </c>
      <c r="P841" s="12"/>
      <c r="Q841" s="12">
        <v>1</v>
      </c>
    </row>
    <row r="842" spans="1:17" ht="15.75" customHeight="1">
      <c r="A842" s="12">
        <v>675</v>
      </c>
      <c r="B842" s="12">
        <v>1784</v>
      </c>
      <c r="C842" s="12">
        <v>33198</v>
      </c>
      <c r="D842" s="12" t="s">
        <v>6047</v>
      </c>
      <c r="E842" s="12" t="s">
        <v>2361</v>
      </c>
      <c r="F842" s="12" t="s">
        <v>9722</v>
      </c>
      <c r="G842" s="12" t="s">
        <v>9723</v>
      </c>
      <c r="H842" s="12" t="s">
        <v>6051</v>
      </c>
      <c r="I842" s="12" t="s">
        <v>6374</v>
      </c>
      <c r="J842" s="12">
        <v>33198</v>
      </c>
      <c r="K842" s="12" t="s">
        <v>9059</v>
      </c>
      <c r="L842" s="12" t="s">
        <v>6531</v>
      </c>
      <c r="M842" s="13">
        <v>43283</v>
      </c>
      <c r="N842" s="12" t="s">
        <v>9060</v>
      </c>
      <c r="O842" s="12" t="s">
        <v>9724</v>
      </c>
      <c r="P842" s="12"/>
      <c r="Q842" s="12">
        <v>1</v>
      </c>
    </row>
    <row r="843" spans="1:17" ht="15.75" customHeight="1">
      <c r="A843" s="12">
        <v>1312</v>
      </c>
      <c r="B843" s="12">
        <v>1520</v>
      </c>
      <c r="C843" s="12">
        <v>26696</v>
      </c>
      <c r="D843" s="12" t="s">
        <v>6047</v>
      </c>
      <c r="E843" s="12" t="s">
        <v>2366</v>
      </c>
      <c r="F843" s="12" t="s">
        <v>9725</v>
      </c>
      <c r="G843" s="12" t="s">
        <v>9726</v>
      </c>
      <c r="H843" s="12" t="s">
        <v>6051</v>
      </c>
      <c r="I843" s="12" t="s">
        <v>6537</v>
      </c>
      <c r="J843" s="12">
        <v>26696</v>
      </c>
      <c r="K843" s="12" t="s">
        <v>6851</v>
      </c>
      <c r="L843" s="12" t="s">
        <v>6106</v>
      </c>
      <c r="M843" s="13">
        <v>41926</v>
      </c>
      <c r="N843" s="12" t="s">
        <v>6852</v>
      </c>
      <c r="O843" s="12" t="s">
        <v>6853</v>
      </c>
      <c r="P843" s="12"/>
      <c r="Q843" s="12">
        <v>1</v>
      </c>
    </row>
    <row r="844" spans="1:17" ht="15.75" customHeight="1">
      <c r="A844" s="12">
        <v>653</v>
      </c>
      <c r="B844" s="12">
        <v>1734</v>
      </c>
      <c r="C844" s="12">
        <v>32135</v>
      </c>
      <c r="D844" s="12" t="s">
        <v>6047</v>
      </c>
      <c r="E844" s="12" t="s">
        <v>9727</v>
      </c>
      <c r="F844" s="12" t="s">
        <v>9728</v>
      </c>
      <c r="G844" s="12" t="s">
        <v>9729</v>
      </c>
      <c r="H844" s="12" t="s">
        <v>6051</v>
      </c>
      <c r="I844" s="12" t="s">
        <v>6232</v>
      </c>
      <c r="J844" s="12">
        <v>32135</v>
      </c>
      <c r="K844" s="12" t="s">
        <v>9730</v>
      </c>
      <c r="L844" s="12" t="s">
        <v>6193</v>
      </c>
      <c r="M844" s="13">
        <v>43404</v>
      </c>
      <c r="N844" s="12" t="s">
        <v>9731</v>
      </c>
      <c r="O844" s="12" t="s">
        <v>9732</v>
      </c>
      <c r="P844" s="12"/>
      <c r="Q844" s="12">
        <v>1</v>
      </c>
    </row>
    <row r="845" spans="1:17" ht="15.75" customHeight="1">
      <c r="A845" s="12">
        <v>637</v>
      </c>
      <c r="B845" s="12">
        <v>1735</v>
      </c>
      <c r="C845" s="12">
        <v>32141</v>
      </c>
      <c r="D845" s="12" t="s">
        <v>6047</v>
      </c>
      <c r="E845" s="12" t="s">
        <v>9733</v>
      </c>
      <c r="F845" s="12" t="s">
        <v>9734</v>
      </c>
      <c r="G845" s="12" t="s">
        <v>9735</v>
      </c>
      <c r="H845" s="12" t="s">
        <v>6051</v>
      </c>
      <c r="I845" s="12" t="s">
        <v>6232</v>
      </c>
      <c r="J845" s="12">
        <v>32141</v>
      </c>
      <c r="K845" s="12" t="s">
        <v>6233</v>
      </c>
      <c r="L845" s="12" t="s">
        <v>6193</v>
      </c>
      <c r="M845" s="13">
        <v>43405</v>
      </c>
      <c r="N845" s="12" t="s">
        <v>6234</v>
      </c>
      <c r="O845" s="12" t="s">
        <v>6235</v>
      </c>
      <c r="P845" s="12"/>
      <c r="Q845" s="12">
        <v>1</v>
      </c>
    </row>
    <row r="846" spans="1:17" ht="15.75" customHeight="1">
      <c r="A846" s="12">
        <v>642</v>
      </c>
      <c r="B846" s="12">
        <v>1396</v>
      </c>
      <c r="C846" s="12">
        <v>20796</v>
      </c>
      <c r="D846" s="12" t="s">
        <v>6047</v>
      </c>
      <c r="E846" s="12" t="s">
        <v>9736</v>
      </c>
      <c r="F846" s="12" t="s">
        <v>9737</v>
      </c>
      <c r="G846" s="12" t="s">
        <v>9738</v>
      </c>
      <c r="H846" s="12" t="s">
        <v>6051</v>
      </c>
      <c r="I846" s="12" t="s">
        <v>6172</v>
      </c>
      <c r="J846" s="12">
        <v>20796</v>
      </c>
      <c r="K846" s="12" t="s">
        <v>9739</v>
      </c>
      <c r="L846" s="12" t="s">
        <v>6193</v>
      </c>
      <c r="M846" s="13">
        <v>43405</v>
      </c>
      <c r="N846" s="12" t="s">
        <v>9740</v>
      </c>
      <c r="O846" s="12" t="s">
        <v>9741</v>
      </c>
      <c r="P846" s="12"/>
      <c r="Q846" s="12">
        <v>1</v>
      </c>
    </row>
    <row r="847" spans="1:17" ht="15.75" customHeight="1">
      <c r="A847" s="12">
        <v>654</v>
      </c>
      <c r="B847" s="12">
        <v>364</v>
      </c>
      <c r="C847" s="12">
        <v>5497</v>
      </c>
      <c r="D847" s="12" t="s">
        <v>6047</v>
      </c>
      <c r="E847" s="12" t="s">
        <v>9742</v>
      </c>
      <c r="F847" s="12" t="s">
        <v>9743</v>
      </c>
      <c r="G847" s="12" t="s">
        <v>9744</v>
      </c>
      <c r="H847" s="12" t="s">
        <v>6213</v>
      </c>
      <c r="I847" s="12" t="s">
        <v>6214</v>
      </c>
      <c r="J847" s="12">
        <v>5497</v>
      </c>
      <c r="K847" s="12" t="s">
        <v>9745</v>
      </c>
      <c r="L847" s="12" t="s">
        <v>6193</v>
      </c>
      <c r="M847" s="13">
        <v>43403</v>
      </c>
      <c r="N847" s="12" t="s">
        <v>9746</v>
      </c>
      <c r="O847" s="12" t="s">
        <v>9747</v>
      </c>
      <c r="P847" s="12"/>
      <c r="Q847" s="12">
        <v>1</v>
      </c>
    </row>
    <row r="848" spans="1:17" ht="15.75" customHeight="1">
      <c r="A848" s="12">
        <v>650</v>
      </c>
      <c r="B848" s="12">
        <v>15</v>
      </c>
      <c r="C848" s="12">
        <v>365</v>
      </c>
      <c r="D848" s="12" t="s">
        <v>6047</v>
      </c>
      <c r="E848" s="12" t="s">
        <v>9748</v>
      </c>
      <c r="F848" s="12" t="s">
        <v>9749</v>
      </c>
      <c r="G848" s="12" t="s">
        <v>9750</v>
      </c>
      <c r="H848" s="12" t="s">
        <v>6289</v>
      </c>
      <c r="I848" s="12" t="s">
        <v>6290</v>
      </c>
      <c r="J848" s="12">
        <v>365</v>
      </c>
      <c r="K848" s="12" t="s">
        <v>8850</v>
      </c>
      <c r="L848" s="12" t="s">
        <v>6193</v>
      </c>
      <c r="M848" s="13">
        <v>43404</v>
      </c>
      <c r="N848" s="12" t="s">
        <v>8851</v>
      </c>
      <c r="O848" s="12" t="s">
        <v>8852</v>
      </c>
      <c r="P848" s="12"/>
      <c r="Q848" s="12">
        <v>1</v>
      </c>
    </row>
    <row r="849" spans="1:17" ht="15.75" customHeight="1">
      <c r="A849" s="12">
        <v>647</v>
      </c>
      <c r="B849" s="12">
        <v>714</v>
      </c>
      <c r="C849" s="12">
        <v>8499</v>
      </c>
      <c r="D849" s="12" t="s">
        <v>6047</v>
      </c>
      <c r="E849" s="12" t="s">
        <v>9751</v>
      </c>
      <c r="F849" s="12" t="s">
        <v>9752</v>
      </c>
      <c r="G849" s="12" t="s">
        <v>9753</v>
      </c>
      <c r="H849" s="12" t="s">
        <v>6075</v>
      </c>
      <c r="I849" s="12" t="s">
        <v>6076</v>
      </c>
      <c r="J849" s="12">
        <v>8499</v>
      </c>
      <c r="K849" s="12" t="s">
        <v>8850</v>
      </c>
      <c r="L849" s="12" t="s">
        <v>6193</v>
      </c>
      <c r="M849" s="13">
        <v>43404</v>
      </c>
      <c r="N849" s="12" t="s">
        <v>8851</v>
      </c>
      <c r="O849" s="12" t="s">
        <v>8852</v>
      </c>
      <c r="P849" s="12"/>
      <c r="Q849" s="12">
        <v>1</v>
      </c>
    </row>
    <row r="850" spans="1:17" ht="15.75" customHeight="1">
      <c r="A850" s="12">
        <v>1582</v>
      </c>
      <c r="B850" s="12">
        <v>490</v>
      </c>
      <c r="C850" s="12">
        <v>6512</v>
      </c>
      <c r="D850" s="12" t="s">
        <v>6047</v>
      </c>
      <c r="E850" s="12" t="s">
        <v>2374</v>
      </c>
      <c r="F850" s="12" t="s">
        <v>9754</v>
      </c>
      <c r="G850" s="12" t="s">
        <v>9755</v>
      </c>
      <c r="H850" s="12" t="s">
        <v>6137</v>
      </c>
      <c r="I850" s="12" t="s">
        <v>6200</v>
      </c>
      <c r="J850" s="12">
        <v>6512</v>
      </c>
      <c r="K850" s="12" t="s">
        <v>7958</v>
      </c>
      <c r="L850" s="12" t="s">
        <v>6255</v>
      </c>
      <c r="M850" s="13">
        <v>41559</v>
      </c>
      <c r="N850" s="12" t="s">
        <v>7959</v>
      </c>
      <c r="O850" s="12" t="s">
        <v>7960</v>
      </c>
      <c r="P850" s="12"/>
      <c r="Q850" s="12">
        <v>1</v>
      </c>
    </row>
    <row r="851" spans="1:17" ht="15.75" customHeight="1">
      <c r="A851" s="12">
        <v>2017</v>
      </c>
      <c r="B851" s="12">
        <v>90</v>
      </c>
      <c r="C851" s="12">
        <v>977</v>
      </c>
      <c r="D851" s="12" t="s">
        <v>6047</v>
      </c>
      <c r="E851" s="12" t="s">
        <v>9756</v>
      </c>
      <c r="F851" s="12" t="s">
        <v>9757</v>
      </c>
      <c r="G851" s="12" t="s">
        <v>9758</v>
      </c>
      <c r="H851" s="12" t="s">
        <v>6435</v>
      </c>
      <c r="I851" s="12" t="s">
        <v>9759</v>
      </c>
      <c r="J851" s="12">
        <v>977</v>
      </c>
      <c r="K851" s="12" t="s">
        <v>6112</v>
      </c>
      <c r="L851" s="12" t="s">
        <v>6113</v>
      </c>
      <c r="M851" s="13">
        <v>38573</v>
      </c>
      <c r="N851" s="12" t="s">
        <v>6114</v>
      </c>
      <c r="O851" s="12" t="s">
        <v>6115</v>
      </c>
      <c r="P851" s="12"/>
      <c r="Q851" s="12">
        <v>1</v>
      </c>
    </row>
    <row r="852" spans="1:17" ht="15.75" customHeight="1">
      <c r="A852" s="12">
        <v>1508</v>
      </c>
      <c r="B852" s="12">
        <v>1788</v>
      </c>
      <c r="C852" s="12">
        <v>33272</v>
      </c>
      <c r="D852" s="12" t="s">
        <v>6047</v>
      </c>
      <c r="E852" s="12" t="s">
        <v>2382</v>
      </c>
      <c r="F852" s="12" t="s">
        <v>9760</v>
      </c>
      <c r="G852" s="12" t="s">
        <v>9761</v>
      </c>
      <c r="H852" s="12" t="s">
        <v>6051</v>
      </c>
      <c r="I852" s="12" t="s">
        <v>6374</v>
      </c>
      <c r="J852" s="12">
        <v>33272</v>
      </c>
      <c r="K852" s="12" t="s">
        <v>7071</v>
      </c>
      <c r="L852" s="12" t="s">
        <v>6240</v>
      </c>
      <c r="M852" s="13">
        <v>41763</v>
      </c>
      <c r="N852" s="12" t="s">
        <v>7072</v>
      </c>
      <c r="O852" s="12" t="s">
        <v>9762</v>
      </c>
      <c r="P852" s="12"/>
      <c r="Q852" s="12">
        <v>1</v>
      </c>
    </row>
    <row r="853" spans="1:17" ht="15.75" customHeight="1">
      <c r="A853" s="12">
        <v>1759</v>
      </c>
      <c r="B853" s="12">
        <v>1911</v>
      </c>
      <c r="C853" s="12">
        <v>34413</v>
      </c>
      <c r="D853" s="12" t="s">
        <v>6047</v>
      </c>
      <c r="E853" s="12" t="s">
        <v>9763</v>
      </c>
      <c r="F853" s="12" t="s">
        <v>9764</v>
      </c>
      <c r="G853" s="12" t="s">
        <v>9765</v>
      </c>
      <c r="H853" s="12" t="s">
        <v>6051</v>
      </c>
      <c r="I853" s="12" t="s">
        <v>7034</v>
      </c>
      <c r="J853" s="12">
        <v>34413</v>
      </c>
      <c r="K853" s="12" t="s">
        <v>6062</v>
      </c>
      <c r="L853" s="12" t="s">
        <v>6063</v>
      </c>
      <c r="M853" s="13">
        <v>40873</v>
      </c>
      <c r="N853" s="12" t="s">
        <v>6064</v>
      </c>
      <c r="O853" s="12" t="s">
        <v>6065</v>
      </c>
      <c r="P853" s="12"/>
      <c r="Q853" s="12">
        <v>1</v>
      </c>
    </row>
    <row r="854" spans="1:17" ht="15.75" customHeight="1">
      <c r="A854" s="12">
        <v>1541</v>
      </c>
      <c r="B854" s="12">
        <v>1612</v>
      </c>
      <c r="C854" s="12">
        <v>28333</v>
      </c>
      <c r="D854" s="12" t="s">
        <v>6047</v>
      </c>
      <c r="E854" s="12" t="s">
        <v>9766</v>
      </c>
      <c r="F854" s="12" t="s">
        <v>9767</v>
      </c>
      <c r="G854" s="12" t="s">
        <v>9768</v>
      </c>
      <c r="H854" s="12" t="s">
        <v>6051</v>
      </c>
      <c r="I854" s="12" t="s">
        <v>6366</v>
      </c>
      <c r="J854" s="12">
        <v>28333</v>
      </c>
      <c r="K854" s="12" t="s">
        <v>9769</v>
      </c>
      <c r="L854" s="12" t="s">
        <v>6255</v>
      </c>
      <c r="M854" s="13">
        <v>41567</v>
      </c>
      <c r="N854" s="12" t="s">
        <v>9770</v>
      </c>
      <c r="O854" s="12" t="s">
        <v>9771</v>
      </c>
      <c r="P854" s="12"/>
      <c r="Q854" s="12">
        <v>1</v>
      </c>
    </row>
    <row r="855" spans="1:17" ht="15.75" customHeight="1">
      <c r="A855" s="12">
        <v>171</v>
      </c>
      <c r="B855" s="12">
        <v>1571</v>
      </c>
      <c r="C855" s="12">
        <v>27628</v>
      </c>
      <c r="D855" s="12" t="s">
        <v>6047</v>
      </c>
      <c r="E855" s="12" t="s">
        <v>9772</v>
      </c>
      <c r="F855" s="12" t="s">
        <v>9773</v>
      </c>
      <c r="G855" s="12" t="s">
        <v>9774</v>
      </c>
      <c r="H855" s="12" t="s">
        <v>6051</v>
      </c>
      <c r="I855" s="12" t="s">
        <v>6704</v>
      </c>
      <c r="J855" s="12">
        <v>27628</v>
      </c>
      <c r="K855" s="12" t="s">
        <v>7145</v>
      </c>
      <c r="L855" s="12" t="s">
        <v>6709</v>
      </c>
      <c r="M855" s="13">
        <v>45753</v>
      </c>
      <c r="N855" s="12" t="s">
        <v>7146</v>
      </c>
      <c r="O855" s="12" t="s">
        <v>7147</v>
      </c>
      <c r="P855" s="12"/>
      <c r="Q855" s="12">
        <v>1</v>
      </c>
    </row>
    <row r="856" spans="1:17" ht="15.75" customHeight="1">
      <c r="A856" s="12">
        <v>2016</v>
      </c>
      <c r="B856" s="12">
        <v>112</v>
      </c>
      <c r="C856" s="12">
        <v>1825</v>
      </c>
      <c r="D856" s="12" t="s">
        <v>6047</v>
      </c>
      <c r="E856" s="12" t="s">
        <v>2397</v>
      </c>
      <c r="F856" s="12" t="s">
        <v>9775</v>
      </c>
      <c r="G856" s="12" t="s">
        <v>9776</v>
      </c>
      <c r="H856" s="12" t="s">
        <v>6435</v>
      </c>
      <c r="I856" s="12" t="s">
        <v>6920</v>
      </c>
      <c r="J856" s="12">
        <v>1825</v>
      </c>
      <c r="K856" s="12" t="s">
        <v>6112</v>
      </c>
      <c r="L856" s="12" t="s">
        <v>6113</v>
      </c>
      <c r="M856" s="13">
        <v>38573</v>
      </c>
      <c r="N856" s="12" t="s">
        <v>6114</v>
      </c>
      <c r="O856" s="12" t="s">
        <v>6115</v>
      </c>
      <c r="P856" s="12"/>
      <c r="Q856" s="12">
        <v>1</v>
      </c>
    </row>
    <row r="857" spans="1:17" ht="15.75" customHeight="1">
      <c r="A857" s="12">
        <v>1977</v>
      </c>
      <c r="B857" s="12">
        <v>1583</v>
      </c>
      <c r="C857" s="12">
        <v>27946</v>
      </c>
      <c r="D857" s="12" t="s">
        <v>6047</v>
      </c>
      <c r="E857" s="12" t="s">
        <v>2399</v>
      </c>
      <c r="F857" s="12" t="s">
        <v>9777</v>
      </c>
      <c r="G857" s="12" t="s">
        <v>9778</v>
      </c>
      <c r="H857" s="12" t="s">
        <v>6051</v>
      </c>
      <c r="I857" s="12" t="s">
        <v>6547</v>
      </c>
      <c r="J857" s="12">
        <v>27946</v>
      </c>
      <c r="K857" s="12" t="s">
        <v>8445</v>
      </c>
      <c r="L857" s="12" t="s">
        <v>8446</v>
      </c>
      <c r="M857" s="13">
        <v>38576</v>
      </c>
      <c r="N857" s="12" t="s">
        <v>8447</v>
      </c>
      <c r="O857" s="12" t="s">
        <v>8448</v>
      </c>
      <c r="P857" s="12"/>
      <c r="Q857" s="12">
        <v>1</v>
      </c>
    </row>
    <row r="858" spans="1:17" ht="15.75" customHeight="1">
      <c r="A858" s="12">
        <v>815</v>
      </c>
      <c r="B858" s="12">
        <v>522</v>
      </c>
      <c r="C858" s="12">
        <v>6860</v>
      </c>
      <c r="D858" s="12" t="s">
        <v>6047</v>
      </c>
      <c r="E858" s="12" t="s">
        <v>9779</v>
      </c>
      <c r="F858" s="12" t="s">
        <v>9780</v>
      </c>
      <c r="G858" s="12" t="s">
        <v>9781</v>
      </c>
      <c r="H858" s="12" t="s">
        <v>6582</v>
      </c>
      <c r="I858" s="12" t="s">
        <v>6583</v>
      </c>
      <c r="J858" s="12">
        <v>6860</v>
      </c>
      <c r="K858" s="12" t="s">
        <v>9782</v>
      </c>
      <c r="L858" s="12" t="s">
        <v>6590</v>
      </c>
      <c r="M858" s="13">
        <v>43028</v>
      </c>
      <c r="N858" s="12" t="s">
        <v>9783</v>
      </c>
      <c r="O858" s="12" t="s">
        <v>9784</v>
      </c>
      <c r="P858" s="12"/>
      <c r="Q858" s="12">
        <v>1</v>
      </c>
    </row>
    <row r="859" spans="1:17" ht="15.75" customHeight="1">
      <c r="A859" s="12">
        <v>427</v>
      </c>
      <c r="B859" s="12">
        <v>869</v>
      </c>
      <c r="C859" s="12">
        <v>11180</v>
      </c>
      <c r="D859" s="12" t="s">
        <v>6047</v>
      </c>
      <c r="E859" s="12" t="s">
        <v>2404</v>
      </c>
      <c r="F859" s="12" t="s">
        <v>9785</v>
      </c>
      <c r="G859" s="12" t="s">
        <v>9786</v>
      </c>
      <c r="H859" s="12" t="s">
        <v>6060</v>
      </c>
      <c r="I859" s="12" t="s">
        <v>6061</v>
      </c>
      <c r="J859" s="12">
        <v>11180</v>
      </c>
      <c r="K859" s="12" t="s">
        <v>8607</v>
      </c>
      <c r="L859" s="12" t="s">
        <v>7983</v>
      </c>
      <c r="M859" s="13">
        <v>44715</v>
      </c>
      <c r="N859" s="12" t="s">
        <v>8608</v>
      </c>
      <c r="O859" s="12" t="s">
        <v>8609</v>
      </c>
      <c r="P859" s="12"/>
      <c r="Q859" s="12">
        <v>1</v>
      </c>
    </row>
    <row r="860" spans="1:17" ht="15.75" customHeight="1">
      <c r="A860" s="12">
        <v>1311</v>
      </c>
      <c r="B860" s="12">
        <v>1670</v>
      </c>
      <c r="C860" s="12">
        <v>30801</v>
      </c>
      <c r="D860" s="12" t="s">
        <v>6047</v>
      </c>
      <c r="E860" s="12" t="s">
        <v>2411</v>
      </c>
      <c r="F860" s="12" t="s">
        <v>9787</v>
      </c>
      <c r="G860" s="12" t="s">
        <v>9788</v>
      </c>
      <c r="H860" s="12" t="s">
        <v>6051</v>
      </c>
      <c r="I860" s="12" t="s">
        <v>6100</v>
      </c>
      <c r="J860" s="12">
        <v>30801</v>
      </c>
      <c r="K860" s="12" t="s">
        <v>6851</v>
      </c>
      <c r="L860" s="12" t="s">
        <v>6106</v>
      </c>
      <c r="M860" s="13">
        <v>41926</v>
      </c>
      <c r="N860" s="12" t="s">
        <v>6852</v>
      </c>
      <c r="O860" s="12" t="s">
        <v>6853</v>
      </c>
      <c r="P860" s="12"/>
      <c r="Q860" s="12">
        <v>1</v>
      </c>
    </row>
    <row r="861" spans="1:17" ht="15.75" customHeight="1">
      <c r="A861" s="12">
        <v>1894</v>
      </c>
      <c r="B861" s="12">
        <v>1429</v>
      </c>
      <c r="C861" s="12">
        <v>21578</v>
      </c>
      <c r="D861" s="12" t="s">
        <v>6047</v>
      </c>
      <c r="E861" s="12" t="s">
        <v>9789</v>
      </c>
      <c r="F861" s="12" t="s">
        <v>9790</v>
      </c>
      <c r="G861" s="12" t="s">
        <v>9791</v>
      </c>
      <c r="H861" s="12" t="s">
        <v>6051</v>
      </c>
      <c r="I861" s="12" t="s">
        <v>6299</v>
      </c>
      <c r="J861" s="12">
        <v>21578</v>
      </c>
      <c r="K861" s="12" t="s">
        <v>9792</v>
      </c>
      <c r="L861" s="12" t="s">
        <v>9793</v>
      </c>
      <c r="M861" s="13">
        <v>39999</v>
      </c>
      <c r="N861" s="12" t="s">
        <v>9794</v>
      </c>
      <c r="O861" s="12" t="s">
        <v>9795</v>
      </c>
      <c r="P861" s="12"/>
      <c r="Q861" s="12">
        <v>1</v>
      </c>
    </row>
    <row r="862" spans="1:17" ht="15.75" customHeight="1">
      <c r="A862" s="12">
        <v>1653</v>
      </c>
      <c r="B862" s="12">
        <v>70</v>
      </c>
      <c r="C862" s="12">
        <v>754</v>
      </c>
      <c r="D862" s="12" t="s">
        <v>6047</v>
      </c>
      <c r="E862" s="12" t="s">
        <v>9796</v>
      </c>
      <c r="F862" s="12" t="s">
        <v>9797</v>
      </c>
      <c r="G862" s="12" t="s">
        <v>9798</v>
      </c>
      <c r="H862" s="12" t="s">
        <v>6289</v>
      </c>
      <c r="I862" s="12" t="s">
        <v>6290</v>
      </c>
      <c r="J862" s="12">
        <v>754</v>
      </c>
      <c r="K862" s="12" t="s">
        <v>9799</v>
      </c>
      <c r="L862" s="12" t="s">
        <v>6240</v>
      </c>
      <c r="M862" s="13">
        <v>41239</v>
      </c>
      <c r="N862" s="12" t="s">
        <v>9800</v>
      </c>
      <c r="O862" s="12" t="s">
        <v>9801</v>
      </c>
      <c r="P862" s="12"/>
      <c r="Q862" s="12">
        <v>1</v>
      </c>
    </row>
    <row r="863" spans="1:17" ht="15.75" customHeight="1">
      <c r="A863" s="12">
        <v>1176</v>
      </c>
      <c r="B863" s="12">
        <v>1950</v>
      </c>
      <c r="C863" s="12">
        <v>34839</v>
      </c>
      <c r="D863" s="12" t="s">
        <v>6047</v>
      </c>
      <c r="E863" s="12" t="s">
        <v>2417</v>
      </c>
      <c r="F863" s="12" t="s">
        <v>9802</v>
      </c>
      <c r="G863" s="12" t="s">
        <v>9803</v>
      </c>
      <c r="H863" s="12" t="s">
        <v>6051</v>
      </c>
      <c r="I863" s="12" t="s">
        <v>6700</v>
      </c>
      <c r="J863" s="12">
        <v>34839</v>
      </c>
      <c r="K863" s="12" t="s">
        <v>6429</v>
      </c>
      <c r="L863" s="12" t="s">
        <v>6423</v>
      </c>
      <c r="M863" s="13">
        <v>41992</v>
      </c>
      <c r="N863" s="12" t="s">
        <v>6430</v>
      </c>
      <c r="O863" s="12" t="s">
        <v>7083</v>
      </c>
      <c r="P863" s="12"/>
      <c r="Q863" s="12">
        <v>1</v>
      </c>
    </row>
    <row r="864" spans="1:17" ht="15.75" customHeight="1">
      <c r="A864" s="12">
        <v>1783</v>
      </c>
      <c r="B864" s="12">
        <v>1825</v>
      </c>
      <c r="C864" s="12">
        <v>33682</v>
      </c>
      <c r="D864" s="12" t="s">
        <v>6047</v>
      </c>
      <c r="E864" s="12" t="s">
        <v>9804</v>
      </c>
      <c r="F864" s="12" t="s">
        <v>9805</v>
      </c>
      <c r="G864" s="12" t="s">
        <v>9806</v>
      </c>
      <c r="H864" s="12" t="s">
        <v>6051</v>
      </c>
      <c r="I864" s="12" t="s">
        <v>6261</v>
      </c>
      <c r="J864" s="12">
        <v>33682</v>
      </c>
      <c r="K864" s="12" t="s">
        <v>6062</v>
      </c>
      <c r="L864" s="12" t="s">
        <v>6063</v>
      </c>
      <c r="M864" s="13">
        <v>40873</v>
      </c>
      <c r="N864" s="12" t="s">
        <v>6064</v>
      </c>
      <c r="O864" s="12" t="s">
        <v>6065</v>
      </c>
      <c r="P864" s="12"/>
      <c r="Q864" s="12">
        <v>1</v>
      </c>
    </row>
    <row r="865" spans="1:17" ht="15.75" customHeight="1">
      <c r="A865" s="12">
        <v>30</v>
      </c>
      <c r="B865" s="12">
        <v>402</v>
      </c>
      <c r="C865" s="12">
        <v>5837</v>
      </c>
      <c r="D865" s="12" t="s">
        <v>6047</v>
      </c>
      <c r="E865" s="12" t="s">
        <v>9807</v>
      </c>
      <c r="F865" s="12" t="s">
        <v>9808</v>
      </c>
      <c r="G865" s="12" t="s">
        <v>9809</v>
      </c>
      <c r="H865" s="12" t="s">
        <v>6137</v>
      </c>
      <c r="I865" s="12" t="s">
        <v>6323</v>
      </c>
      <c r="J865" s="12">
        <v>5837</v>
      </c>
      <c r="K865" s="12" t="s">
        <v>9810</v>
      </c>
      <c r="L865" s="12" t="s">
        <v>6590</v>
      </c>
      <c r="M865" s="13">
        <v>45976</v>
      </c>
      <c r="N865" s="12" t="s">
        <v>9811</v>
      </c>
      <c r="O865" s="12" t="s">
        <v>9812</v>
      </c>
      <c r="P865" s="12"/>
      <c r="Q865" s="12">
        <v>1</v>
      </c>
    </row>
    <row r="866" spans="1:17" ht="15.75" customHeight="1">
      <c r="A866" s="12">
        <v>58</v>
      </c>
      <c r="B866" s="12">
        <v>1443</v>
      </c>
      <c r="C866" s="12">
        <v>21834</v>
      </c>
      <c r="D866" s="12" t="s">
        <v>6047</v>
      </c>
      <c r="E866" s="12" t="s">
        <v>2422</v>
      </c>
      <c r="F866" s="12" t="s">
        <v>9813</v>
      </c>
      <c r="G866" s="12" t="s">
        <v>9814</v>
      </c>
      <c r="H866" s="12" t="s">
        <v>6051</v>
      </c>
      <c r="I866" s="12" t="s">
        <v>8726</v>
      </c>
      <c r="J866" s="12">
        <v>21834</v>
      </c>
      <c r="K866" s="12" t="s">
        <v>8661</v>
      </c>
      <c r="L866" s="12" t="s">
        <v>6590</v>
      </c>
      <c r="M866" s="13">
        <v>45972</v>
      </c>
      <c r="N866" s="12" t="s">
        <v>8662</v>
      </c>
      <c r="O866" s="12" t="s">
        <v>8663</v>
      </c>
      <c r="P866" s="12"/>
      <c r="Q866" s="12">
        <v>1</v>
      </c>
    </row>
    <row r="867" spans="1:17" ht="15.75" customHeight="1">
      <c r="A867" s="12">
        <v>606</v>
      </c>
      <c r="B867" s="12">
        <v>1751</v>
      </c>
      <c r="C867" s="12">
        <v>32638</v>
      </c>
      <c r="D867" s="12" t="s">
        <v>6047</v>
      </c>
      <c r="E867" s="12" t="s">
        <v>9815</v>
      </c>
      <c r="F867" s="12" t="s">
        <v>9816</v>
      </c>
      <c r="G867" s="12" t="s">
        <v>9817</v>
      </c>
      <c r="H867" s="12" t="s">
        <v>6051</v>
      </c>
      <c r="I867" s="12" t="s">
        <v>6232</v>
      </c>
      <c r="J867" s="12">
        <v>32638</v>
      </c>
      <c r="K867" s="12" t="s">
        <v>7160</v>
      </c>
      <c r="L867" s="12" t="s">
        <v>6408</v>
      </c>
      <c r="M867" s="13">
        <v>43558</v>
      </c>
      <c r="N867" s="12" t="s">
        <v>7161</v>
      </c>
      <c r="O867" s="12" t="s">
        <v>7162</v>
      </c>
      <c r="P867" s="12"/>
      <c r="Q867" s="12">
        <v>1</v>
      </c>
    </row>
    <row r="868" spans="1:17" ht="15.75" customHeight="1">
      <c r="A868" s="12">
        <v>193</v>
      </c>
      <c r="B868" s="12">
        <v>1934</v>
      </c>
      <c r="C868" s="12">
        <v>34662</v>
      </c>
      <c r="D868" s="12" t="s">
        <v>6047</v>
      </c>
      <c r="E868" s="12" t="s">
        <v>9818</v>
      </c>
      <c r="F868" s="12" t="s">
        <v>9819</v>
      </c>
      <c r="G868" s="12" t="s">
        <v>9820</v>
      </c>
      <c r="H868" s="12" t="s">
        <v>6051</v>
      </c>
      <c r="I868" s="12" t="s">
        <v>6700</v>
      </c>
      <c r="J868" s="12">
        <v>34662</v>
      </c>
      <c r="K868" s="12" t="s">
        <v>8199</v>
      </c>
      <c r="L868" s="12" t="s">
        <v>8066</v>
      </c>
      <c r="M868" s="13">
        <v>45749</v>
      </c>
      <c r="N868" s="12" t="s">
        <v>8200</v>
      </c>
      <c r="O868" s="12" t="s">
        <v>9821</v>
      </c>
      <c r="P868" s="12"/>
      <c r="Q868" s="12">
        <v>1</v>
      </c>
    </row>
    <row r="869" spans="1:17" ht="15.75" customHeight="1">
      <c r="A869" s="12">
        <v>1985</v>
      </c>
      <c r="B869" s="12">
        <v>655</v>
      </c>
      <c r="C869" s="12">
        <v>7935</v>
      </c>
      <c r="D869" s="12" t="s">
        <v>6047</v>
      </c>
      <c r="E869" s="12" t="s">
        <v>9822</v>
      </c>
      <c r="F869" s="12" t="s">
        <v>9823</v>
      </c>
      <c r="G869" s="12" t="s">
        <v>9824</v>
      </c>
      <c r="H869" s="12" t="s">
        <v>6075</v>
      </c>
      <c r="I869" s="12" t="s">
        <v>6076</v>
      </c>
      <c r="J869" s="12">
        <v>7935</v>
      </c>
      <c r="K869" s="12" t="s">
        <v>8445</v>
      </c>
      <c r="L869" s="12" t="s">
        <v>8446</v>
      </c>
      <c r="M869" s="13">
        <v>38576</v>
      </c>
      <c r="N869" s="12" t="s">
        <v>8447</v>
      </c>
      <c r="O869" s="12" t="s">
        <v>8448</v>
      </c>
      <c r="P869" s="12"/>
      <c r="Q869" s="12">
        <v>1</v>
      </c>
    </row>
    <row r="870" spans="1:17" ht="15.75" customHeight="1">
      <c r="A870" s="12">
        <v>1769</v>
      </c>
      <c r="B870" s="12">
        <v>1868</v>
      </c>
      <c r="C870" s="12">
        <v>34057</v>
      </c>
      <c r="D870" s="12" t="s">
        <v>6047</v>
      </c>
      <c r="E870" s="12" t="s">
        <v>9825</v>
      </c>
      <c r="F870" s="12" t="s">
        <v>9826</v>
      </c>
      <c r="G870" s="12" t="s">
        <v>9827</v>
      </c>
      <c r="H870" s="12" t="s">
        <v>6051</v>
      </c>
      <c r="I870" s="12" t="s">
        <v>6362</v>
      </c>
      <c r="J870" s="12">
        <v>34057</v>
      </c>
      <c r="K870" s="12" t="s">
        <v>6062</v>
      </c>
      <c r="L870" s="12" t="s">
        <v>6063</v>
      </c>
      <c r="M870" s="13">
        <v>40873</v>
      </c>
      <c r="N870" s="12" t="s">
        <v>6064</v>
      </c>
      <c r="O870" s="12" t="s">
        <v>6065</v>
      </c>
      <c r="P870" s="12"/>
      <c r="Q870" s="12">
        <v>1</v>
      </c>
    </row>
    <row r="871" spans="1:17" ht="15.75" customHeight="1">
      <c r="A871" s="12">
        <v>1190</v>
      </c>
      <c r="B871" s="12">
        <v>647</v>
      </c>
      <c r="C871" s="12">
        <v>7867</v>
      </c>
      <c r="D871" s="12" t="s">
        <v>6047</v>
      </c>
      <c r="E871" s="12" t="s">
        <v>9828</v>
      </c>
      <c r="F871" s="12" t="s">
        <v>9829</v>
      </c>
      <c r="G871" s="12" t="s">
        <v>9830</v>
      </c>
      <c r="H871" s="12" t="s">
        <v>6075</v>
      </c>
      <c r="I871" s="12" t="s">
        <v>6076</v>
      </c>
      <c r="J871" s="12">
        <v>7867</v>
      </c>
      <c r="K871" s="12" t="s">
        <v>6429</v>
      </c>
      <c r="L871" s="12" t="s">
        <v>6423</v>
      </c>
      <c r="M871" s="13">
        <v>41992</v>
      </c>
      <c r="N871" s="12" t="s">
        <v>6430</v>
      </c>
      <c r="O871" s="12" t="s">
        <v>7083</v>
      </c>
      <c r="P871" s="12"/>
      <c r="Q871" s="12">
        <v>1</v>
      </c>
    </row>
    <row r="872" spans="1:17" ht="15.75" customHeight="1">
      <c r="A872" s="12">
        <v>244</v>
      </c>
      <c r="B872" s="12">
        <v>1375</v>
      </c>
      <c r="C872" s="12">
        <v>19991</v>
      </c>
      <c r="D872" s="12" t="s">
        <v>6047</v>
      </c>
      <c r="E872" s="12" t="s">
        <v>9831</v>
      </c>
      <c r="F872" s="12" t="s">
        <v>9832</v>
      </c>
      <c r="G872" s="12" t="s">
        <v>9833</v>
      </c>
      <c r="H872" s="12" t="s">
        <v>6051</v>
      </c>
      <c r="I872" s="12" t="s">
        <v>6523</v>
      </c>
      <c r="J872" s="12">
        <v>19991</v>
      </c>
      <c r="K872" s="12" t="s">
        <v>9834</v>
      </c>
      <c r="L872" s="12" t="s">
        <v>7739</v>
      </c>
      <c r="M872" s="13">
        <v>45606</v>
      </c>
      <c r="N872" s="12" t="s">
        <v>9835</v>
      </c>
      <c r="O872" s="12" t="s">
        <v>9836</v>
      </c>
      <c r="P872" s="12"/>
      <c r="Q872" s="12">
        <v>1</v>
      </c>
    </row>
    <row r="873" spans="1:17" ht="15.75" customHeight="1">
      <c r="A873" s="12">
        <v>1617</v>
      </c>
      <c r="B873" s="12">
        <v>523</v>
      </c>
      <c r="C873" s="12">
        <v>6866</v>
      </c>
      <c r="D873" s="12" t="s">
        <v>6047</v>
      </c>
      <c r="E873" s="12" t="s">
        <v>9837</v>
      </c>
      <c r="F873" s="12" t="s">
        <v>9838</v>
      </c>
      <c r="G873" s="12" t="s">
        <v>9839</v>
      </c>
      <c r="H873" s="12" t="s">
        <v>6582</v>
      </c>
      <c r="I873" s="12" t="s">
        <v>6583</v>
      </c>
      <c r="J873" s="12">
        <v>6866</v>
      </c>
      <c r="K873" s="12" t="s">
        <v>6300</v>
      </c>
      <c r="L873" s="12" t="s">
        <v>6240</v>
      </c>
      <c r="M873" s="13">
        <v>41396</v>
      </c>
      <c r="N873" s="12" t="s">
        <v>6301</v>
      </c>
      <c r="O873" s="12" t="s">
        <v>6302</v>
      </c>
      <c r="P873" s="12"/>
      <c r="Q873" s="12">
        <v>1</v>
      </c>
    </row>
    <row r="874" spans="1:17" ht="15.75" customHeight="1">
      <c r="A874" s="12">
        <v>1511</v>
      </c>
      <c r="B874" s="12">
        <v>1459</v>
      </c>
      <c r="C874" s="12">
        <v>22710</v>
      </c>
      <c r="D874" s="12" t="s">
        <v>6047</v>
      </c>
      <c r="E874" s="12" t="s">
        <v>9840</v>
      </c>
      <c r="F874" s="12" t="s">
        <v>9841</v>
      </c>
      <c r="G874" s="12" t="s">
        <v>9842</v>
      </c>
      <c r="H874" s="12" t="s">
        <v>6051</v>
      </c>
      <c r="I874" s="12" t="s">
        <v>8716</v>
      </c>
      <c r="J874" s="12">
        <v>22710</v>
      </c>
      <c r="K874" s="12" t="s">
        <v>8977</v>
      </c>
      <c r="L874" s="12" t="s">
        <v>6240</v>
      </c>
      <c r="M874" s="13">
        <v>41763</v>
      </c>
      <c r="N874" s="12" t="s">
        <v>8978</v>
      </c>
      <c r="O874" s="12" t="s">
        <v>9843</v>
      </c>
      <c r="P874" s="12"/>
      <c r="Q874" s="12">
        <v>1</v>
      </c>
    </row>
    <row r="875" spans="1:17" ht="15.75" customHeight="1">
      <c r="A875" s="12">
        <v>66</v>
      </c>
      <c r="B875" s="12">
        <v>199</v>
      </c>
      <c r="C875" s="12">
        <v>3315</v>
      </c>
      <c r="D875" s="12" t="s">
        <v>6047</v>
      </c>
      <c r="E875" s="12" t="s">
        <v>2454</v>
      </c>
      <c r="F875" s="12" t="s">
        <v>9844</v>
      </c>
      <c r="G875" s="12" t="s">
        <v>9845</v>
      </c>
      <c r="H875" s="12" t="s">
        <v>7069</v>
      </c>
      <c r="I875" s="12" t="s">
        <v>7070</v>
      </c>
      <c r="J875" s="12">
        <v>3315</v>
      </c>
      <c r="K875" s="12" t="s">
        <v>9846</v>
      </c>
      <c r="L875" s="12" t="s">
        <v>6564</v>
      </c>
      <c r="M875" s="13">
        <v>45971</v>
      </c>
      <c r="N875" s="12" t="s">
        <v>9847</v>
      </c>
      <c r="O875" s="12" t="s">
        <v>9848</v>
      </c>
      <c r="P875" s="12"/>
      <c r="Q875" s="12">
        <v>1</v>
      </c>
    </row>
    <row r="876" spans="1:17" ht="15.75" customHeight="1">
      <c r="A876" s="12">
        <v>1576</v>
      </c>
      <c r="B876" s="12">
        <v>1737</v>
      </c>
      <c r="C876" s="12">
        <v>32310</v>
      </c>
      <c r="D876" s="12" t="s">
        <v>6047</v>
      </c>
      <c r="E876" s="12" t="s">
        <v>9849</v>
      </c>
      <c r="F876" s="12" t="s">
        <v>9850</v>
      </c>
      <c r="G876" s="12" t="s">
        <v>9851</v>
      </c>
      <c r="H876" s="12" t="s">
        <v>6051</v>
      </c>
      <c r="I876" s="12" t="s">
        <v>6232</v>
      </c>
      <c r="J876" s="12">
        <v>32310</v>
      </c>
      <c r="K876" s="12" t="s">
        <v>6485</v>
      </c>
      <c r="L876" s="12" t="s">
        <v>6255</v>
      </c>
      <c r="M876" s="13">
        <v>41560</v>
      </c>
      <c r="N876" s="12" t="s">
        <v>6486</v>
      </c>
      <c r="O876" s="12" t="s">
        <v>6487</v>
      </c>
      <c r="P876" s="12"/>
      <c r="Q876" s="12">
        <v>1</v>
      </c>
    </row>
    <row r="877" spans="1:17" ht="15.75" customHeight="1">
      <c r="A877" s="12">
        <v>623</v>
      </c>
      <c r="B877" s="12">
        <v>1701</v>
      </c>
      <c r="C877" s="12">
        <v>31534</v>
      </c>
      <c r="D877" s="12" t="s">
        <v>6047</v>
      </c>
      <c r="E877" s="12" t="s">
        <v>9852</v>
      </c>
      <c r="F877" s="12" t="s">
        <v>9853</v>
      </c>
      <c r="G877" s="12" t="s">
        <v>9854</v>
      </c>
      <c r="H877" s="12" t="s">
        <v>6051</v>
      </c>
      <c r="I877" s="12" t="s">
        <v>8027</v>
      </c>
      <c r="J877" s="12">
        <v>31534</v>
      </c>
      <c r="K877" s="12" t="s">
        <v>7292</v>
      </c>
      <c r="L877" s="12" t="s">
        <v>6248</v>
      </c>
      <c r="M877" s="13">
        <v>43498</v>
      </c>
      <c r="N877" s="12" t="s">
        <v>7293</v>
      </c>
      <c r="O877" s="12" t="s">
        <v>7294</v>
      </c>
      <c r="P877" s="12"/>
      <c r="Q877" s="12">
        <v>1</v>
      </c>
    </row>
    <row r="878" spans="1:17" ht="15.75" customHeight="1">
      <c r="A878" s="12">
        <v>680</v>
      </c>
      <c r="B878" s="12">
        <v>432</v>
      </c>
      <c r="C878" s="12">
        <v>6048</v>
      </c>
      <c r="D878" s="12" t="s">
        <v>6047</v>
      </c>
      <c r="E878" s="12" t="s">
        <v>2466</v>
      </c>
      <c r="F878" s="12" t="s">
        <v>9855</v>
      </c>
      <c r="G878" s="12" t="s">
        <v>9856</v>
      </c>
      <c r="H878" s="12" t="s">
        <v>6137</v>
      </c>
      <c r="I878" s="12" t="s">
        <v>6391</v>
      </c>
      <c r="J878" s="12">
        <v>6048</v>
      </c>
      <c r="K878" s="12" t="s">
        <v>6530</v>
      </c>
      <c r="L878" s="12" t="s">
        <v>6531</v>
      </c>
      <c r="M878" s="13">
        <v>43281</v>
      </c>
      <c r="N878" s="12" t="s">
        <v>6532</v>
      </c>
      <c r="O878" s="12" t="s">
        <v>6533</v>
      </c>
      <c r="P878" s="12"/>
      <c r="Q878" s="12">
        <v>1</v>
      </c>
    </row>
    <row r="879" spans="1:17" ht="15.75" customHeight="1">
      <c r="A879" s="12">
        <v>1567</v>
      </c>
      <c r="B879" s="12">
        <v>427</v>
      </c>
      <c r="C879" s="12">
        <v>6011</v>
      </c>
      <c r="D879" s="12" t="s">
        <v>6047</v>
      </c>
      <c r="E879" s="12" t="s">
        <v>2471</v>
      </c>
      <c r="F879" s="12" t="s">
        <v>9857</v>
      </c>
      <c r="G879" s="12" t="s">
        <v>9858</v>
      </c>
      <c r="H879" s="12" t="s">
        <v>6137</v>
      </c>
      <c r="I879" s="12" t="s">
        <v>6391</v>
      </c>
      <c r="J879" s="12">
        <v>6011</v>
      </c>
      <c r="K879" s="12" t="s">
        <v>9859</v>
      </c>
      <c r="L879" s="12" t="s">
        <v>6255</v>
      </c>
      <c r="M879" s="13">
        <v>41561</v>
      </c>
      <c r="N879" s="12" t="s">
        <v>9860</v>
      </c>
      <c r="O879" s="12" t="s">
        <v>9861</v>
      </c>
      <c r="P879" s="12"/>
      <c r="Q879" s="12">
        <v>1</v>
      </c>
    </row>
    <row r="880" spans="1:17" ht="15.75" customHeight="1">
      <c r="A880" s="12">
        <v>218</v>
      </c>
      <c r="B880" s="12">
        <v>624</v>
      </c>
      <c r="C880" s="12">
        <v>7774</v>
      </c>
      <c r="D880" s="12" t="s">
        <v>6047</v>
      </c>
      <c r="E880" s="12" t="s">
        <v>2476</v>
      </c>
      <c r="F880" s="12" t="s">
        <v>9862</v>
      </c>
      <c r="G880" s="12" t="s">
        <v>9863</v>
      </c>
      <c r="H880" s="12" t="s">
        <v>6187</v>
      </c>
      <c r="I880" s="12" t="s">
        <v>6224</v>
      </c>
      <c r="J880" s="12">
        <v>7774</v>
      </c>
      <c r="K880" s="12" t="s">
        <v>8462</v>
      </c>
      <c r="L880" s="12" t="s">
        <v>6518</v>
      </c>
      <c r="M880" s="13">
        <v>45609</v>
      </c>
      <c r="N880" s="12" t="s">
        <v>8463</v>
      </c>
      <c r="O880" s="12" t="s">
        <v>8906</v>
      </c>
      <c r="P880" s="12"/>
      <c r="Q880" s="12">
        <v>1</v>
      </c>
    </row>
    <row r="881" spans="1:17" ht="15.75" customHeight="1">
      <c r="A881" s="12">
        <v>1565</v>
      </c>
      <c r="B881" s="12">
        <v>1333</v>
      </c>
      <c r="C881" s="12">
        <v>19204</v>
      </c>
      <c r="D881" s="12" t="s">
        <v>6047</v>
      </c>
      <c r="E881" s="12" t="s">
        <v>2478</v>
      </c>
      <c r="F881" s="12" t="s">
        <v>9864</v>
      </c>
      <c r="G881" s="12" t="s">
        <v>9865</v>
      </c>
      <c r="H881" s="12" t="s">
        <v>6051</v>
      </c>
      <c r="I881" s="12" t="s">
        <v>7090</v>
      </c>
      <c r="J881" s="12">
        <v>19204</v>
      </c>
      <c r="K881" s="12" t="s">
        <v>6869</v>
      </c>
      <c r="L881" s="12" t="s">
        <v>6255</v>
      </c>
      <c r="M881" s="13">
        <v>41561</v>
      </c>
      <c r="N881" s="12" t="s">
        <v>6870</v>
      </c>
      <c r="O881" s="12" t="s">
        <v>6871</v>
      </c>
      <c r="P881" s="12"/>
      <c r="Q881" s="12">
        <v>1</v>
      </c>
    </row>
    <row r="882" spans="1:17" ht="15.75" customHeight="1">
      <c r="A882" s="12">
        <v>766</v>
      </c>
      <c r="B882" s="12">
        <v>500</v>
      </c>
      <c r="C882" s="12">
        <v>6606</v>
      </c>
      <c r="D882" s="12" t="s">
        <v>6047</v>
      </c>
      <c r="E882" s="12" t="s">
        <v>2480</v>
      </c>
      <c r="F882" s="12" t="s">
        <v>9866</v>
      </c>
      <c r="G882" s="12" t="s">
        <v>9867</v>
      </c>
      <c r="H882" s="12" t="s">
        <v>6137</v>
      </c>
      <c r="I882" s="12" t="s">
        <v>6200</v>
      </c>
      <c r="J882" s="12">
        <v>6606</v>
      </c>
      <c r="K882" s="12" t="s">
        <v>7882</v>
      </c>
      <c r="L882" s="12" t="s">
        <v>6240</v>
      </c>
      <c r="M882" s="13">
        <v>43071</v>
      </c>
      <c r="N882" s="12" t="s">
        <v>7883</v>
      </c>
      <c r="O882" s="12" t="s">
        <v>9868</v>
      </c>
      <c r="P882" s="12"/>
      <c r="Q882" s="12">
        <v>1</v>
      </c>
    </row>
    <row r="883" spans="1:17" ht="15.75" customHeight="1">
      <c r="A883" s="12">
        <v>639</v>
      </c>
      <c r="B883" s="12">
        <v>1732</v>
      </c>
      <c r="C883" s="12">
        <v>32118</v>
      </c>
      <c r="D883" s="12" t="s">
        <v>6047</v>
      </c>
      <c r="E883" s="12" t="s">
        <v>9869</v>
      </c>
      <c r="F883" s="12" t="s">
        <v>9870</v>
      </c>
      <c r="G883" s="12" t="s">
        <v>9871</v>
      </c>
      <c r="H883" s="12" t="s">
        <v>6051</v>
      </c>
      <c r="I883" s="12" t="s">
        <v>6232</v>
      </c>
      <c r="J883" s="12">
        <v>32118</v>
      </c>
      <c r="K883" s="12" t="s">
        <v>6233</v>
      </c>
      <c r="L883" s="12" t="s">
        <v>6193</v>
      </c>
      <c r="M883" s="13">
        <v>43405</v>
      </c>
      <c r="N883" s="12" t="s">
        <v>6234</v>
      </c>
      <c r="O883" s="12" t="s">
        <v>6235</v>
      </c>
      <c r="P883" s="12"/>
      <c r="Q883" s="12">
        <v>1</v>
      </c>
    </row>
    <row r="884" spans="1:17" ht="15.75" customHeight="1">
      <c r="A884" s="12">
        <v>330</v>
      </c>
      <c r="B884" s="12">
        <v>142</v>
      </c>
      <c r="C884" s="12">
        <v>2242</v>
      </c>
      <c r="D884" s="12" t="s">
        <v>6047</v>
      </c>
      <c r="E884" s="12" t="s">
        <v>9872</v>
      </c>
      <c r="F884" s="12" t="s">
        <v>9873</v>
      </c>
      <c r="G884" s="12" t="s">
        <v>9874</v>
      </c>
      <c r="H884" s="12" t="s">
        <v>6127</v>
      </c>
      <c r="I884" s="12" t="s">
        <v>6128</v>
      </c>
      <c r="J884" s="12">
        <v>2242</v>
      </c>
      <c r="K884" s="12" t="s">
        <v>9875</v>
      </c>
      <c r="L884" s="12" t="s">
        <v>6732</v>
      </c>
      <c r="M884" s="13">
        <v>44727</v>
      </c>
      <c r="N884" s="12" t="s">
        <v>9876</v>
      </c>
      <c r="O884" s="12" t="s">
        <v>9877</v>
      </c>
      <c r="P884" s="12"/>
      <c r="Q884" s="12">
        <v>1</v>
      </c>
    </row>
    <row r="885" spans="1:17" ht="15.75" customHeight="1">
      <c r="A885" s="12">
        <v>1676</v>
      </c>
      <c r="B885" s="12">
        <v>1928</v>
      </c>
      <c r="C885" s="12">
        <v>34607</v>
      </c>
      <c r="D885" s="12" t="s">
        <v>6047</v>
      </c>
      <c r="E885" s="12" t="s">
        <v>9878</v>
      </c>
      <c r="F885" s="12" t="s">
        <v>9879</v>
      </c>
      <c r="G885" s="12" t="s">
        <v>9880</v>
      </c>
      <c r="H885" s="12" t="s">
        <v>6051</v>
      </c>
      <c r="I885" s="12" t="s">
        <v>7034</v>
      </c>
      <c r="J885" s="12">
        <v>34607</v>
      </c>
      <c r="K885" s="12" t="s">
        <v>7260</v>
      </c>
      <c r="L885" s="12" t="s">
        <v>7261</v>
      </c>
      <c r="M885" s="13">
        <v>40879</v>
      </c>
      <c r="N885" s="12" t="s">
        <v>7262</v>
      </c>
      <c r="O885" s="12" t="s">
        <v>7263</v>
      </c>
      <c r="P885" s="12"/>
      <c r="Q885" s="12">
        <v>1</v>
      </c>
    </row>
    <row r="886" spans="1:17" ht="15.75" customHeight="1">
      <c r="A886" s="12">
        <v>450</v>
      </c>
      <c r="B886" s="12">
        <v>330</v>
      </c>
      <c r="C886" s="12">
        <v>5081</v>
      </c>
      <c r="D886" s="12" t="s">
        <v>6047</v>
      </c>
      <c r="E886" s="12" t="s">
        <v>9881</v>
      </c>
      <c r="F886" s="12" t="s">
        <v>9882</v>
      </c>
      <c r="G886" s="12" t="s">
        <v>9883</v>
      </c>
      <c r="H886" s="12" t="s">
        <v>6163</v>
      </c>
      <c r="I886" s="12" t="s">
        <v>6253</v>
      </c>
      <c r="J886" s="12">
        <v>5081</v>
      </c>
      <c r="K886" s="12" t="s">
        <v>9884</v>
      </c>
      <c r="L886" s="12" t="s">
        <v>6455</v>
      </c>
      <c r="M886" s="13">
        <v>43793</v>
      </c>
      <c r="N886" s="12" t="s">
        <v>9885</v>
      </c>
      <c r="O886" s="12" t="s">
        <v>9886</v>
      </c>
      <c r="P886" s="12"/>
      <c r="Q886" s="12">
        <v>1</v>
      </c>
    </row>
    <row r="887" spans="1:17" ht="15.75" customHeight="1">
      <c r="A887" s="12">
        <v>140</v>
      </c>
      <c r="B887" s="12">
        <v>1302</v>
      </c>
      <c r="C887" s="12">
        <v>18393</v>
      </c>
      <c r="D887" s="12" t="s">
        <v>6047</v>
      </c>
      <c r="E887" s="12" t="s">
        <v>9887</v>
      </c>
      <c r="F887" s="12" t="s">
        <v>9888</v>
      </c>
      <c r="G887" s="12" t="s">
        <v>9889</v>
      </c>
      <c r="H887" s="12" t="s">
        <v>6051</v>
      </c>
      <c r="I887" s="12" t="s">
        <v>7763</v>
      </c>
      <c r="J887" s="12">
        <v>18393</v>
      </c>
      <c r="K887" s="12" t="s">
        <v>6612</v>
      </c>
      <c r="L887" s="12" t="s">
        <v>6511</v>
      </c>
      <c r="M887" s="13">
        <v>45964</v>
      </c>
      <c r="N887" s="12" t="s">
        <v>6613</v>
      </c>
      <c r="O887" s="12" t="s">
        <v>6614</v>
      </c>
      <c r="P887" s="12"/>
      <c r="Q887" s="12">
        <v>1</v>
      </c>
    </row>
    <row r="888" spans="1:17" ht="15.75" customHeight="1">
      <c r="A888" s="12">
        <v>500</v>
      </c>
      <c r="B888" s="12">
        <v>1563</v>
      </c>
      <c r="C888" s="12">
        <v>27538</v>
      </c>
      <c r="D888" s="12" t="s">
        <v>6047</v>
      </c>
      <c r="E888" s="12" t="s">
        <v>9890</v>
      </c>
      <c r="F888" s="12" t="s">
        <v>9891</v>
      </c>
      <c r="G888" s="12" t="s">
        <v>9892</v>
      </c>
      <c r="H888" s="12" t="s">
        <v>6051</v>
      </c>
      <c r="I888" s="12" t="s">
        <v>6704</v>
      </c>
      <c r="J888" s="12">
        <v>27538</v>
      </c>
      <c r="K888" s="12" t="s">
        <v>9893</v>
      </c>
      <c r="L888" s="12" t="s">
        <v>6504</v>
      </c>
      <c r="M888" s="13">
        <v>43779</v>
      </c>
      <c r="N888" s="12" t="s">
        <v>9894</v>
      </c>
      <c r="O888" s="12" t="s">
        <v>9895</v>
      </c>
      <c r="P888" s="12"/>
      <c r="Q888" s="12">
        <v>1</v>
      </c>
    </row>
    <row r="889" spans="1:17" ht="15.75" customHeight="1">
      <c r="A889" s="12">
        <v>1726</v>
      </c>
      <c r="B889" s="12">
        <v>1043</v>
      </c>
      <c r="C889" s="12">
        <v>14844</v>
      </c>
      <c r="D889" s="12" t="s">
        <v>6047</v>
      </c>
      <c r="E889" s="12" t="s">
        <v>9896</v>
      </c>
      <c r="F889" s="12" t="s">
        <v>9897</v>
      </c>
      <c r="G889" s="12" t="s">
        <v>9898</v>
      </c>
      <c r="H889" s="12" t="s">
        <v>6051</v>
      </c>
      <c r="I889" s="12" t="s">
        <v>6476</v>
      </c>
      <c r="J889" s="12">
        <v>14844</v>
      </c>
      <c r="K889" s="12" t="s">
        <v>7000</v>
      </c>
      <c r="L889" s="12" t="s">
        <v>7001</v>
      </c>
      <c r="M889" s="13">
        <v>40875</v>
      </c>
      <c r="N889" s="12" t="s">
        <v>7002</v>
      </c>
      <c r="O889" s="12" t="s">
        <v>7003</v>
      </c>
      <c r="P889" s="12"/>
      <c r="Q889" s="12">
        <v>1</v>
      </c>
    </row>
    <row r="890" spans="1:17" ht="15.75" customHeight="1">
      <c r="A890" s="12">
        <v>1737</v>
      </c>
      <c r="B890" s="12">
        <v>547</v>
      </c>
      <c r="C890" s="12">
        <v>7301</v>
      </c>
      <c r="D890" s="12" t="s">
        <v>6047</v>
      </c>
      <c r="E890" s="12" t="s">
        <v>9899</v>
      </c>
      <c r="F890" s="12" t="s">
        <v>9900</v>
      </c>
      <c r="G890" s="12" t="s">
        <v>9901</v>
      </c>
      <c r="H890" s="12" t="s">
        <v>6150</v>
      </c>
      <c r="I890" s="12" t="s">
        <v>6151</v>
      </c>
      <c r="J890" s="12">
        <v>7301</v>
      </c>
      <c r="K890" s="12" t="s">
        <v>7000</v>
      </c>
      <c r="L890" s="12" t="s">
        <v>7001</v>
      </c>
      <c r="M890" s="13">
        <v>40875</v>
      </c>
      <c r="N890" s="12" t="s">
        <v>7002</v>
      </c>
      <c r="O890" s="12" t="s">
        <v>7003</v>
      </c>
      <c r="P890" s="12"/>
      <c r="Q890" s="12">
        <v>1</v>
      </c>
    </row>
    <row r="891" spans="1:17" ht="15.75" customHeight="1">
      <c r="A891" s="12">
        <v>1393</v>
      </c>
      <c r="B891" s="12">
        <v>721</v>
      </c>
      <c r="C891" s="12">
        <v>8541</v>
      </c>
      <c r="D891" s="12" t="s">
        <v>6047</v>
      </c>
      <c r="E891" s="12" t="s">
        <v>9902</v>
      </c>
      <c r="F891" s="12" t="s">
        <v>9903</v>
      </c>
      <c r="G891" s="12" t="s">
        <v>9904</v>
      </c>
      <c r="H891" s="12" t="s">
        <v>6075</v>
      </c>
      <c r="I891" s="12" t="s">
        <v>6076</v>
      </c>
      <c r="J891" s="12">
        <v>8541</v>
      </c>
      <c r="K891" s="12" t="s">
        <v>6144</v>
      </c>
      <c r="L891" s="12" t="s">
        <v>6078</v>
      </c>
      <c r="M891" s="13">
        <v>41913</v>
      </c>
      <c r="N891" s="12" t="s">
        <v>6145</v>
      </c>
      <c r="O891" s="12" t="s">
        <v>6146</v>
      </c>
      <c r="P891" s="12"/>
      <c r="Q891" s="12">
        <v>1</v>
      </c>
    </row>
    <row r="892" spans="1:17" ht="15.75" customHeight="1">
      <c r="A892" s="12">
        <v>780</v>
      </c>
      <c r="B892" s="12">
        <v>1440</v>
      </c>
      <c r="C892" s="12">
        <v>21798</v>
      </c>
      <c r="D892" s="12" t="s">
        <v>6047</v>
      </c>
      <c r="E892" s="12" t="s">
        <v>2501</v>
      </c>
      <c r="F892" s="12" t="s">
        <v>9905</v>
      </c>
      <c r="G892" s="12" t="s">
        <v>9906</v>
      </c>
      <c r="H892" s="12" t="s">
        <v>6051</v>
      </c>
      <c r="I892" s="12" t="s">
        <v>8726</v>
      </c>
      <c r="J892" s="12">
        <v>21798</v>
      </c>
      <c r="K892" s="12" t="s">
        <v>7283</v>
      </c>
      <c r="L892" s="12" t="s">
        <v>6590</v>
      </c>
      <c r="M892" s="13">
        <v>43034</v>
      </c>
      <c r="N892" s="12" t="s">
        <v>7284</v>
      </c>
      <c r="O892" s="12" t="s">
        <v>7285</v>
      </c>
      <c r="P892" s="12"/>
      <c r="Q892" s="12">
        <v>1</v>
      </c>
    </row>
    <row r="893" spans="1:17" ht="15.75" customHeight="1">
      <c r="A893" s="12">
        <v>657</v>
      </c>
      <c r="B893" s="12">
        <v>1689</v>
      </c>
      <c r="C893" s="12">
        <v>31066</v>
      </c>
      <c r="D893" s="12" t="s">
        <v>6047</v>
      </c>
      <c r="E893" s="12" t="s">
        <v>9907</v>
      </c>
      <c r="F893" s="12" t="s">
        <v>9908</v>
      </c>
      <c r="G893" s="12" t="s">
        <v>9909</v>
      </c>
      <c r="H893" s="12" t="s">
        <v>6051</v>
      </c>
      <c r="I893" s="12" t="s">
        <v>6093</v>
      </c>
      <c r="J893" s="12">
        <v>31066</v>
      </c>
      <c r="K893" s="12" t="s">
        <v>9910</v>
      </c>
      <c r="L893" s="12" t="s">
        <v>6193</v>
      </c>
      <c r="M893" s="13">
        <v>43401</v>
      </c>
      <c r="N893" s="12" t="s">
        <v>9911</v>
      </c>
      <c r="O893" s="12" t="s">
        <v>9912</v>
      </c>
      <c r="P893" s="12" t="s">
        <v>6196</v>
      </c>
      <c r="Q893" s="12">
        <v>1</v>
      </c>
    </row>
    <row r="894" spans="1:17" ht="15.75" customHeight="1">
      <c r="A894" s="12">
        <v>995</v>
      </c>
      <c r="B894" s="12">
        <v>1006</v>
      </c>
      <c r="C894" s="12">
        <v>13936</v>
      </c>
      <c r="D894" s="12" t="s">
        <v>6047</v>
      </c>
      <c r="E894" s="12" t="s">
        <v>9913</v>
      </c>
      <c r="F894" s="12" t="s">
        <v>9914</v>
      </c>
      <c r="G894" s="12" t="s">
        <v>9915</v>
      </c>
      <c r="H894" s="12" t="s">
        <v>6051</v>
      </c>
      <c r="I894" s="12" t="s">
        <v>6741</v>
      </c>
      <c r="J894" s="12">
        <v>13936</v>
      </c>
      <c r="K894" s="12" t="s">
        <v>7376</v>
      </c>
      <c r="L894" s="12" t="s">
        <v>6054</v>
      </c>
      <c r="M894" s="13">
        <v>42693</v>
      </c>
      <c r="N894" s="12" t="s">
        <v>7377</v>
      </c>
      <c r="O894" s="12" t="s">
        <v>9139</v>
      </c>
      <c r="P894" s="12"/>
      <c r="Q894" s="12">
        <v>1</v>
      </c>
    </row>
    <row r="895" spans="1:17" ht="15.75" customHeight="1">
      <c r="A895" s="12">
        <v>649</v>
      </c>
      <c r="B895" s="12">
        <v>102</v>
      </c>
      <c r="C895" s="12">
        <v>1529</v>
      </c>
      <c r="D895" s="12" t="s">
        <v>6047</v>
      </c>
      <c r="E895" s="12" t="s">
        <v>9916</v>
      </c>
      <c r="F895" s="12" t="s">
        <v>9917</v>
      </c>
      <c r="G895" s="12" t="s">
        <v>9918</v>
      </c>
      <c r="H895" s="12" t="s">
        <v>6435</v>
      </c>
      <c r="I895" s="12" t="s">
        <v>6920</v>
      </c>
      <c r="J895" s="12">
        <v>1529</v>
      </c>
      <c r="K895" s="12" t="s">
        <v>8850</v>
      </c>
      <c r="L895" s="12" t="s">
        <v>6193</v>
      </c>
      <c r="M895" s="13">
        <v>43404</v>
      </c>
      <c r="N895" s="12" t="s">
        <v>8851</v>
      </c>
      <c r="O895" s="12" t="s">
        <v>8852</v>
      </c>
      <c r="P895" s="12" t="s">
        <v>6196</v>
      </c>
      <c r="Q895" s="12">
        <v>1</v>
      </c>
    </row>
    <row r="896" spans="1:17" ht="15.75" customHeight="1">
      <c r="A896" s="12">
        <v>371</v>
      </c>
      <c r="B896" s="12">
        <v>793</v>
      </c>
      <c r="C896" s="12">
        <v>9890</v>
      </c>
      <c r="D896" s="12" t="s">
        <v>6047</v>
      </c>
      <c r="E896" s="12" t="s">
        <v>9919</v>
      </c>
      <c r="F896" s="12" t="s">
        <v>9920</v>
      </c>
      <c r="G896" s="12" t="s">
        <v>9921</v>
      </c>
      <c r="H896" s="12" t="s">
        <v>6265</v>
      </c>
      <c r="I896" s="12" t="s">
        <v>6449</v>
      </c>
      <c r="J896" s="12">
        <v>9890</v>
      </c>
      <c r="K896" s="12" t="s">
        <v>9922</v>
      </c>
      <c r="L896" s="12" t="s">
        <v>7983</v>
      </c>
      <c r="M896" s="13">
        <v>44720</v>
      </c>
      <c r="N896" s="12" t="s">
        <v>9923</v>
      </c>
      <c r="O896" s="12" t="s">
        <v>9924</v>
      </c>
      <c r="P896" s="12"/>
      <c r="Q896" s="12">
        <v>1</v>
      </c>
    </row>
    <row r="897" spans="1:17" ht="15.75" customHeight="1">
      <c r="A897" s="12">
        <v>1829</v>
      </c>
      <c r="B897" s="12">
        <v>855</v>
      </c>
      <c r="C897" s="12">
        <v>10936</v>
      </c>
      <c r="D897" s="12" t="s">
        <v>6047</v>
      </c>
      <c r="E897" s="12" t="s">
        <v>9925</v>
      </c>
      <c r="F897" s="12" t="s">
        <v>9926</v>
      </c>
      <c r="G897" s="12" t="s">
        <v>9927</v>
      </c>
      <c r="H897" s="12" t="s">
        <v>6060</v>
      </c>
      <c r="I897" s="12" t="s">
        <v>7082</v>
      </c>
      <c r="J897" s="12">
        <v>10936</v>
      </c>
      <c r="K897" s="12" t="s">
        <v>6062</v>
      </c>
      <c r="L897" s="12" t="s">
        <v>6063</v>
      </c>
      <c r="M897" s="13">
        <v>40873</v>
      </c>
      <c r="N897" s="12" t="s">
        <v>6064</v>
      </c>
      <c r="O897" s="12" t="s">
        <v>6065</v>
      </c>
      <c r="P897" s="12"/>
      <c r="Q897" s="12">
        <v>1</v>
      </c>
    </row>
    <row r="898" spans="1:17" ht="15.75" customHeight="1">
      <c r="A898" s="12">
        <v>1903</v>
      </c>
      <c r="B898" s="12">
        <v>494</v>
      </c>
      <c r="C898" s="12">
        <v>6533</v>
      </c>
      <c r="D898" s="12" t="s">
        <v>6047</v>
      </c>
      <c r="E898" s="12" t="s">
        <v>9928</v>
      </c>
      <c r="F898" s="12" t="s">
        <v>9929</v>
      </c>
      <c r="G898" s="12" t="s">
        <v>9930</v>
      </c>
      <c r="H898" s="12" t="s">
        <v>6137</v>
      </c>
      <c r="I898" s="12" t="s">
        <v>6200</v>
      </c>
      <c r="J898" s="12">
        <v>6533</v>
      </c>
      <c r="K898" s="12" t="s">
        <v>8006</v>
      </c>
      <c r="L898" s="12" t="s">
        <v>6121</v>
      </c>
      <c r="M898" s="13">
        <v>39249</v>
      </c>
      <c r="N898" s="12" t="s">
        <v>8007</v>
      </c>
      <c r="O898" s="12" t="s">
        <v>8008</v>
      </c>
      <c r="P898" s="12"/>
      <c r="Q898" s="12">
        <v>1</v>
      </c>
    </row>
    <row r="899" spans="1:17" ht="15.75" customHeight="1">
      <c r="A899" s="12">
        <v>1771</v>
      </c>
      <c r="B899" s="12">
        <v>1865</v>
      </c>
      <c r="C899" s="12">
        <v>34011</v>
      </c>
      <c r="D899" s="12" t="s">
        <v>6047</v>
      </c>
      <c r="E899" s="12" t="s">
        <v>9931</v>
      </c>
      <c r="F899" s="12" t="s">
        <v>9932</v>
      </c>
      <c r="G899" s="12" t="s">
        <v>9933</v>
      </c>
      <c r="H899" s="12" t="s">
        <v>6051</v>
      </c>
      <c r="I899" s="12" t="s">
        <v>6362</v>
      </c>
      <c r="J899" s="12">
        <v>34011</v>
      </c>
      <c r="K899" s="12" t="s">
        <v>6062</v>
      </c>
      <c r="L899" s="12" t="s">
        <v>6063</v>
      </c>
      <c r="M899" s="13">
        <v>40873</v>
      </c>
      <c r="N899" s="12" t="s">
        <v>6064</v>
      </c>
      <c r="O899" s="12" t="s">
        <v>6065</v>
      </c>
      <c r="P899" s="12"/>
      <c r="Q899" s="12">
        <v>1</v>
      </c>
    </row>
    <row r="900" spans="1:17" ht="15.75" customHeight="1">
      <c r="A900" s="12">
        <v>1850</v>
      </c>
      <c r="B900" s="12">
        <v>398</v>
      </c>
      <c r="C900" s="12">
        <v>5827</v>
      </c>
      <c r="D900" s="12" t="s">
        <v>6047</v>
      </c>
      <c r="E900" s="12" t="s">
        <v>9934</v>
      </c>
      <c r="F900" s="12" t="s">
        <v>9935</v>
      </c>
      <c r="G900" s="12" t="s">
        <v>9936</v>
      </c>
      <c r="H900" s="12" t="s">
        <v>6137</v>
      </c>
      <c r="I900" s="12" t="s">
        <v>6323</v>
      </c>
      <c r="J900" s="12">
        <v>5827</v>
      </c>
      <c r="K900" s="12" t="s">
        <v>6062</v>
      </c>
      <c r="L900" s="12" t="s">
        <v>6063</v>
      </c>
      <c r="M900" s="13">
        <v>40873</v>
      </c>
      <c r="N900" s="12" t="s">
        <v>6064</v>
      </c>
      <c r="O900" s="12" t="s">
        <v>6065</v>
      </c>
      <c r="P900" s="12"/>
      <c r="Q900" s="12">
        <v>1</v>
      </c>
    </row>
    <row r="901" spans="1:17" ht="15.75" customHeight="1">
      <c r="A901" s="12">
        <v>1842</v>
      </c>
      <c r="B901" s="12">
        <v>633</v>
      </c>
      <c r="C901" s="12">
        <v>7809</v>
      </c>
      <c r="D901" s="12" t="s">
        <v>6047</v>
      </c>
      <c r="E901" s="12" t="s">
        <v>9937</v>
      </c>
      <c r="F901" s="12" t="s">
        <v>9938</v>
      </c>
      <c r="G901" s="12" t="s">
        <v>9939</v>
      </c>
      <c r="H901" s="12" t="s">
        <v>6414</v>
      </c>
      <c r="I901" s="12" t="s">
        <v>6415</v>
      </c>
      <c r="J901" s="12">
        <v>7809</v>
      </c>
      <c r="K901" s="12" t="s">
        <v>6062</v>
      </c>
      <c r="L901" s="12" t="s">
        <v>6063</v>
      </c>
      <c r="M901" s="13">
        <v>40873</v>
      </c>
      <c r="N901" s="12" t="s">
        <v>6064</v>
      </c>
      <c r="O901" s="12" t="s">
        <v>6065</v>
      </c>
      <c r="P901" s="12"/>
      <c r="Q901" s="12">
        <v>1</v>
      </c>
    </row>
    <row r="902" spans="1:17" ht="15.75" customHeight="1">
      <c r="A902" s="12">
        <v>1110</v>
      </c>
      <c r="B902" s="12">
        <v>1870</v>
      </c>
      <c r="C902" s="12">
        <v>34059</v>
      </c>
      <c r="D902" s="12" t="s">
        <v>6047</v>
      </c>
      <c r="E902" s="12" t="s">
        <v>2536</v>
      </c>
      <c r="F902" s="12" t="s">
        <v>9940</v>
      </c>
      <c r="G902" s="12" t="s">
        <v>9941</v>
      </c>
      <c r="H902" s="12" t="s">
        <v>6051</v>
      </c>
      <c r="I902" s="12" t="s">
        <v>6362</v>
      </c>
      <c r="J902" s="12">
        <v>34059</v>
      </c>
      <c r="K902" s="12" t="s">
        <v>7071</v>
      </c>
      <c r="L902" s="12" t="s">
        <v>6240</v>
      </c>
      <c r="M902" s="13">
        <v>42499</v>
      </c>
      <c r="N902" s="12" t="s">
        <v>7072</v>
      </c>
      <c r="O902" s="12" t="s">
        <v>9942</v>
      </c>
      <c r="P902" s="12"/>
      <c r="Q902" s="12">
        <v>1</v>
      </c>
    </row>
    <row r="903" spans="1:17" ht="15.75" customHeight="1">
      <c r="A903" s="12">
        <v>1963</v>
      </c>
      <c r="B903" s="12">
        <v>416</v>
      </c>
      <c r="C903" s="12">
        <v>5938</v>
      </c>
      <c r="D903" s="12" t="s">
        <v>6047</v>
      </c>
      <c r="E903" s="12" t="s">
        <v>2538</v>
      </c>
      <c r="F903" s="12" t="s">
        <v>9943</v>
      </c>
      <c r="G903" s="12" t="s">
        <v>9944</v>
      </c>
      <c r="H903" s="12" t="s">
        <v>6137</v>
      </c>
      <c r="I903" s="12" t="s">
        <v>6323</v>
      </c>
      <c r="J903" s="12">
        <v>5938</v>
      </c>
      <c r="K903" s="12" t="s">
        <v>7298</v>
      </c>
      <c r="L903" s="12" t="s">
        <v>6113</v>
      </c>
      <c r="M903" s="13">
        <v>38579</v>
      </c>
      <c r="N903" s="12" t="s">
        <v>7299</v>
      </c>
      <c r="O903" s="12" t="s">
        <v>7300</v>
      </c>
      <c r="P903" s="12"/>
      <c r="Q903" s="12">
        <v>1</v>
      </c>
    </row>
    <row r="904" spans="1:17" ht="15.75" customHeight="1">
      <c r="A904" s="12">
        <v>1333</v>
      </c>
      <c r="B904" s="12">
        <v>22</v>
      </c>
      <c r="C904" s="12">
        <v>396</v>
      </c>
      <c r="D904" s="12" t="s">
        <v>6047</v>
      </c>
      <c r="E904" s="12" t="s">
        <v>9945</v>
      </c>
      <c r="F904" s="12" t="s">
        <v>9946</v>
      </c>
      <c r="G904" s="12" t="s">
        <v>9947</v>
      </c>
      <c r="H904" s="12" t="s">
        <v>6289</v>
      </c>
      <c r="I904" s="12" t="s">
        <v>6290</v>
      </c>
      <c r="J904" s="12">
        <v>396</v>
      </c>
      <c r="K904" s="12" t="s">
        <v>6201</v>
      </c>
      <c r="L904" s="12" t="s">
        <v>6106</v>
      </c>
      <c r="M904" s="13">
        <v>41921</v>
      </c>
      <c r="N904" s="12" t="s">
        <v>6202</v>
      </c>
      <c r="O904" s="12" t="s">
        <v>6203</v>
      </c>
      <c r="P904" s="12"/>
      <c r="Q904" s="12">
        <v>1</v>
      </c>
    </row>
    <row r="905" spans="1:17" ht="15.75" customHeight="1">
      <c r="A905" s="12">
        <v>1967</v>
      </c>
      <c r="B905" s="12">
        <v>169</v>
      </c>
      <c r="C905" s="12">
        <v>2918</v>
      </c>
      <c r="D905" s="12" t="s">
        <v>6047</v>
      </c>
      <c r="E905" s="12" t="s">
        <v>9948</v>
      </c>
      <c r="F905" s="12" t="s">
        <v>9949</v>
      </c>
      <c r="G905" s="12" t="s">
        <v>9950</v>
      </c>
      <c r="H905" s="12" t="s">
        <v>9951</v>
      </c>
      <c r="I905" s="12" t="s">
        <v>9952</v>
      </c>
      <c r="J905" s="12">
        <v>2918</v>
      </c>
      <c r="K905" s="12" t="s">
        <v>7298</v>
      </c>
      <c r="L905" s="12" t="s">
        <v>6113</v>
      </c>
      <c r="M905" s="13">
        <v>38579</v>
      </c>
      <c r="N905" s="12" t="s">
        <v>7299</v>
      </c>
      <c r="O905" s="12" t="s">
        <v>7300</v>
      </c>
      <c r="P905" s="12"/>
      <c r="Q905" s="12">
        <v>1</v>
      </c>
    </row>
    <row r="906" spans="1:17" ht="15.75" customHeight="1">
      <c r="A906" s="12">
        <v>1475</v>
      </c>
      <c r="B906" s="12">
        <v>1615</v>
      </c>
      <c r="C906" s="12">
        <v>28448</v>
      </c>
      <c r="D906" s="12" t="s">
        <v>6047</v>
      </c>
      <c r="E906" s="12" t="s">
        <v>2551</v>
      </c>
      <c r="F906" s="12" t="s">
        <v>9953</v>
      </c>
      <c r="G906" s="12" t="s">
        <v>9954</v>
      </c>
      <c r="H906" s="12" t="s">
        <v>6051</v>
      </c>
      <c r="I906" s="12" t="s">
        <v>6366</v>
      </c>
      <c r="J906" s="12">
        <v>28448</v>
      </c>
      <c r="K906" s="12" t="s">
        <v>6069</v>
      </c>
      <c r="L906" s="12" t="s">
        <v>6070</v>
      </c>
      <c r="M906" s="13">
        <v>41906</v>
      </c>
      <c r="N906" s="12" t="s">
        <v>6071</v>
      </c>
      <c r="O906" s="12" t="s">
        <v>6134</v>
      </c>
      <c r="P906" s="12"/>
      <c r="Q906" s="12">
        <v>1</v>
      </c>
    </row>
    <row r="907" spans="1:17" ht="15.75" customHeight="1">
      <c r="A907" s="12">
        <v>1202</v>
      </c>
      <c r="B907" s="12">
        <v>1954</v>
      </c>
      <c r="C907" s="12">
        <v>34872</v>
      </c>
      <c r="D907" s="12" t="s">
        <v>6047</v>
      </c>
      <c r="E907" s="12" t="s">
        <v>9955</v>
      </c>
      <c r="F907" s="12" t="s">
        <v>9956</v>
      </c>
      <c r="G907" s="12" t="s">
        <v>9957</v>
      </c>
      <c r="H907" s="12" t="s">
        <v>6051</v>
      </c>
      <c r="I907" s="12" t="s">
        <v>6700</v>
      </c>
      <c r="J907" s="12">
        <v>34872</v>
      </c>
      <c r="K907" s="12" t="s">
        <v>6429</v>
      </c>
      <c r="L907" s="12" t="s">
        <v>6423</v>
      </c>
      <c r="M907" s="13">
        <v>41991</v>
      </c>
      <c r="N907" s="12" t="s">
        <v>6430</v>
      </c>
      <c r="O907" s="12" t="s">
        <v>6431</v>
      </c>
      <c r="P907" s="12"/>
      <c r="Q907" s="12">
        <v>1</v>
      </c>
    </row>
    <row r="908" spans="1:17" ht="15.75" customHeight="1">
      <c r="A908" s="12">
        <v>212</v>
      </c>
      <c r="B908" s="12">
        <v>1379</v>
      </c>
      <c r="C908" s="12">
        <v>20005</v>
      </c>
      <c r="D908" s="12" t="s">
        <v>6047</v>
      </c>
      <c r="E908" s="12" t="s">
        <v>2553</v>
      </c>
      <c r="F908" s="12" t="s">
        <v>9958</v>
      </c>
      <c r="G908" s="12" t="s">
        <v>9959</v>
      </c>
      <c r="H908" s="12" t="s">
        <v>6051</v>
      </c>
      <c r="I908" s="12" t="s">
        <v>6523</v>
      </c>
      <c r="J908" s="12">
        <v>20005</v>
      </c>
      <c r="K908" s="12" t="s">
        <v>9960</v>
      </c>
      <c r="L908" s="12" t="s">
        <v>6518</v>
      </c>
      <c r="M908" s="13">
        <v>45610</v>
      </c>
      <c r="N908" s="12" t="s">
        <v>9961</v>
      </c>
      <c r="O908" s="12" t="s">
        <v>9962</v>
      </c>
      <c r="P908" s="12"/>
      <c r="Q908" s="12">
        <v>1</v>
      </c>
    </row>
    <row r="909" spans="1:17" ht="15.75" customHeight="1">
      <c r="A909" s="12">
        <v>1047</v>
      </c>
      <c r="B909" s="12">
        <v>1088</v>
      </c>
      <c r="C909" s="12">
        <v>15699</v>
      </c>
      <c r="D909" s="12" t="s">
        <v>6047</v>
      </c>
      <c r="E909" s="12" t="s">
        <v>9963</v>
      </c>
      <c r="F909" s="12" t="s">
        <v>9964</v>
      </c>
      <c r="G909" s="12" t="s">
        <v>9965</v>
      </c>
      <c r="H909" s="12" t="s">
        <v>6051</v>
      </c>
      <c r="I909" s="12" t="s">
        <v>7511</v>
      </c>
      <c r="J909" s="12">
        <v>15699</v>
      </c>
      <c r="K909" s="12" t="s">
        <v>9966</v>
      </c>
      <c r="L909" s="12" t="s">
        <v>6504</v>
      </c>
      <c r="M909" s="13">
        <v>42688</v>
      </c>
      <c r="N909" s="12" t="s">
        <v>9967</v>
      </c>
      <c r="O909" s="12" t="s">
        <v>9968</v>
      </c>
      <c r="P909" s="12"/>
      <c r="Q909" s="12">
        <v>1</v>
      </c>
    </row>
    <row r="910" spans="1:17" ht="15.75" customHeight="1">
      <c r="A910" s="12">
        <v>438</v>
      </c>
      <c r="B910" s="12">
        <v>1752</v>
      </c>
      <c r="C910" s="12">
        <v>32664</v>
      </c>
      <c r="D910" s="12" t="s">
        <v>6047</v>
      </c>
      <c r="E910" s="12" t="s">
        <v>9969</v>
      </c>
      <c r="F910" s="12" t="s">
        <v>9970</v>
      </c>
      <c r="G910" s="12" t="s">
        <v>9971</v>
      </c>
      <c r="H910" s="12" t="s">
        <v>6051</v>
      </c>
      <c r="I910" s="12" t="s">
        <v>9972</v>
      </c>
      <c r="J910" s="12">
        <v>32664</v>
      </c>
      <c r="K910" s="12" t="s">
        <v>9973</v>
      </c>
      <c r="L910" s="12" t="s">
        <v>6240</v>
      </c>
      <c r="M910" s="13">
        <v>44608</v>
      </c>
      <c r="N910" s="12" t="s">
        <v>9974</v>
      </c>
      <c r="O910" s="12" t="s">
        <v>9975</v>
      </c>
      <c r="P910" s="12"/>
      <c r="Q910" s="12">
        <v>1</v>
      </c>
    </row>
    <row r="911" spans="1:17" ht="15.75" customHeight="1">
      <c r="A911" s="12">
        <v>1986</v>
      </c>
      <c r="B911" s="12">
        <v>654</v>
      </c>
      <c r="C911" s="12">
        <v>7931</v>
      </c>
      <c r="D911" s="12" t="s">
        <v>6047</v>
      </c>
      <c r="E911" s="12" t="s">
        <v>9976</v>
      </c>
      <c r="F911" s="12" t="s">
        <v>9977</v>
      </c>
      <c r="G911" s="12" t="s">
        <v>9978</v>
      </c>
      <c r="H911" s="12" t="s">
        <v>6075</v>
      </c>
      <c r="I911" s="12" t="s">
        <v>6076</v>
      </c>
      <c r="J911" s="12">
        <v>7931</v>
      </c>
      <c r="K911" s="12" t="s">
        <v>8445</v>
      </c>
      <c r="L911" s="12" t="s">
        <v>8446</v>
      </c>
      <c r="M911" s="13">
        <v>38576</v>
      </c>
      <c r="N911" s="12" t="s">
        <v>8447</v>
      </c>
      <c r="O911" s="12" t="s">
        <v>8448</v>
      </c>
      <c r="P911" s="12"/>
      <c r="Q911" s="12">
        <v>1</v>
      </c>
    </row>
    <row r="912" spans="1:17" ht="15.75" customHeight="1">
      <c r="A912" s="12">
        <v>191</v>
      </c>
      <c r="B912" s="12">
        <v>505</v>
      </c>
      <c r="C912" s="12">
        <v>6707</v>
      </c>
      <c r="D912" s="12" t="s">
        <v>6047</v>
      </c>
      <c r="E912" s="12" t="s">
        <v>9979</v>
      </c>
      <c r="F912" s="12" t="s">
        <v>9980</v>
      </c>
      <c r="G912" s="12" t="s">
        <v>9981</v>
      </c>
      <c r="H912" s="12" t="s">
        <v>6137</v>
      </c>
      <c r="I912" s="12" t="s">
        <v>6200</v>
      </c>
      <c r="J912" s="12">
        <v>6707</v>
      </c>
      <c r="K912" s="12" t="s">
        <v>9982</v>
      </c>
      <c r="L912" s="12" t="s">
        <v>9983</v>
      </c>
      <c r="M912" s="13">
        <v>45751</v>
      </c>
      <c r="N912" s="12" t="s">
        <v>9984</v>
      </c>
      <c r="O912" s="12" t="s">
        <v>9985</v>
      </c>
      <c r="P912" s="12"/>
      <c r="Q912" s="12">
        <v>1</v>
      </c>
    </row>
    <row r="913" spans="1:17" ht="15.75" customHeight="1">
      <c r="A913" s="12">
        <v>390</v>
      </c>
      <c r="B913" s="12">
        <v>1792</v>
      </c>
      <c r="C913" s="12">
        <v>33321</v>
      </c>
      <c r="D913" s="12" t="s">
        <v>6047</v>
      </c>
      <c r="E913" s="12" t="s">
        <v>9986</v>
      </c>
      <c r="F913" s="12" t="s">
        <v>9987</v>
      </c>
      <c r="G913" s="12" t="s">
        <v>9988</v>
      </c>
      <c r="H913" s="12" t="s">
        <v>6051</v>
      </c>
      <c r="I913" s="12" t="s">
        <v>6374</v>
      </c>
      <c r="J913" s="12">
        <v>33321</v>
      </c>
      <c r="K913" s="12" t="s">
        <v>9001</v>
      </c>
      <c r="L913" s="12" t="s">
        <v>7020</v>
      </c>
      <c r="M913" s="13">
        <v>44717</v>
      </c>
      <c r="N913" s="12" t="s">
        <v>9002</v>
      </c>
      <c r="O913" s="12" t="s">
        <v>9989</v>
      </c>
      <c r="P913" s="12"/>
      <c r="Q913" s="12">
        <v>1</v>
      </c>
    </row>
    <row r="914" spans="1:17" ht="15.75" customHeight="1">
      <c r="A914" s="12">
        <v>629</v>
      </c>
      <c r="B914" s="12">
        <v>1771</v>
      </c>
      <c r="C914" s="12">
        <v>33029</v>
      </c>
      <c r="D914" s="12" t="s">
        <v>6047</v>
      </c>
      <c r="E914" s="12" t="s">
        <v>9990</v>
      </c>
      <c r="F914" s="12" t="s">
        <v>9991</v>
      </c>
      <c r="G914" s="12" t="s">
        <v>9992</v>
      </c>
      <c r="H914" s="12" t="s">
        <v>6051</v>
      </c>
      <c r="I914" s="12" t="s">
        <v>6374</v>
      </c>
      <c r="J914" s="12">
        <v>33029</v>
      </c>
      <c r="K914" s="12" t="s">
        <v>9993</v>
      </c>
      <c r="L914" s="12" t="s">
        <v>6255</v>
      </c>
      <c r="M914" s="13">
        <v>43419</v>
      </c>
      <c r="N914" s="12" t="s">
        <v>9994</v>
      </c>
      <c r="O914" s="12" t="s">
        <v>9995</v>
      </c>
      <c r="P914" s="12"/>
      <c r="Q914" s="12">
        <v>1</v>
      </c>
    </row>
    <row r="915" spans="1:17" ht="15.75" customHeight="1">
      <c r="A915" s="12">
        <v>1913</v>
      </c>
      <c r="B915" s="12">
        <v>1757</v>
      </c>
      <c r="C915" s="12">
        <v>32775</v>
      </c>
      <c r="D915" s="12" t="s">
        <v>6047</v>
      </c>
      <c r="E915" s="12" t="s">
        <v>9996</v>
      </c>
      <c r="F915" s="12" t="s">
        <v>9997</v>
      </c>
      <c r="G915" s="12" t="s">
        <v>9998</v>
      </c>
      <c r="H915" s="12" t="s">
        <v>6051</v>
      </c>
      <c r="I915" s="12" t="s">
        <v>8002</v>
      </c>
      <c r="J915" s="12">
        <v>32775</v>
      </c>
      <c r="K915" s="12" t="s">
        <v>7476</v>
      </c>
      <c r="L915" s="12" t="s">
        <v>7477</v>
      </c>
      <c r="M915" s="13">
        <v>39237</v>
      </c>
      <c r="N915" s="12" t="s">
        <v>7478</v>
      </c>
      <c r="O915" s="12" t="s">
        <v>7479</v>
      </c>
      <c r="P915" s="12"/>
      <c r="Q915" s="12">
        <v>1</v>
      </c>
    </row>
    <row r="916" spans="1:17" ht="15.75" customHeight="1">
      <c r="A916" s="12">
        <v>55</v>
      </c>
      <c r="B916" s="12">
        <v>437</v>
      </c>
      <c r="C916" s="12">
        <v>6094</v>
      </c>
      <c r="D916" s="12" t="s">
        <v>6047</v>
      </c>
      <c r="E916" s="12" t="s">
        <v>2572</v>
      </c>
      <c r="F916" s="12" t="s">
        <v>9999</v>
      </c>
      <c r="G916" s="12" t="s">
        <v>10000</v>
      </c>
      <c r="H916" s="12" t="s">
        <v>6137</v>
      </c>
      <c r="I916" s="12" t="s">
        <v>6391</v>
      </c>
      <c r="J916" s="12">
        <v>6094</v>
      </c>
      <c r="K916" s="12" t="s">
        <v>10001</v>
      </c>
      <c r="L916" s="12" t="s">
        <v>6590</v>
      </c>
      <c r="M916" s="13">
        <v>45972</v>
      </c>
      <c r="N916" s="12" t="s">
        <v>10002</v>
      </c>
      <c r="O916" s="12" t="s">
        <v>10003</v>
      </c>
      <c r="P916" s="12"/>
      <c r="Q916" s="12">
        <v>1</v>
      </c>
    </row>
    <row r="917" spans="1:17" ht="15.75" customHeight="1">
      <c r="A917" s="12">
        <v>1470</v>
      </c>
      <c r="B917" s="12">
        <v>134</v>
      </c>
      <c r="C917" s="12">
        <v>2071</v>
      </c>
      <c r="D917" s="12" t="s">
        <v>6047</v>
      </c>
      <c r="E917" s="12" t="s">
        <v>2574</v>
      </c>
      <c r="F917" s="12" t="s">
        <v>10004</v>
      </c>
      <c r="G917" s="12" t="s">
        <v>10005</v>
      </c>
      <c r="H917" s="12" t="s">
        <v>6127</v>
      </c>
      <c r="I917" s="12" t="s">
        <v>6128</v>
      </c>
      <c r="J917" s="12">
        <v>2071</v>
      </c>
      <c r="K917" s="12" t="s">
        <v>6069</v>
      </c>
      <c r="L917" s="12" t="s">
        <v>6070</v>
      </c>
      <c r="M917" s="13">
        <v>41907</v>
      </c>
      <c r="N917" s="12" t="s">
        <v>6071</v>
      </c>
      <c r="O917" s="12" t="s">
        <v>6072</v>
      </c>
      <c r="P917" s="12"/>
      <c r="Q917" s="12">
        <v>1</v>
      </c>
    </row>
    <row r="918" spans="1:17" ht="15.75" customHeight="1">
      <c r="A918" s="12">
        <v>753</v>
      </c>
      <c r="B918" s="12">
        <v>896</v>
      </c>
      <c r="C918" s="12">
        <v>11939</v>
      </c>
      <c r="D918" s="12" t="s">
        <v>6047</v>
      </c>
      <c r="E918" s="12" t="s">
        <v>10006</v>
      </c>
      <c r="F918" s="12" t="s">
        <v>10007</v>
      </c>
      <c r="G918" s="12" t="s">
        <v>10008</v>
      </c>
      <c r="H918" s="12" t="s">
        <v>6340</v>
      </c>
      <c r="I918" s="12" t="s">
        <v>6341</v>
      </c>
      <c r="J918" s="12">
        <v>11939</v>
      </c>
      <c r="K918" s="12" t="s">
        <v>10009</v>
      </c>
      <c r="L918" s="12" t="s">
        <v>7405</v>
      </c>
      <c r="M918" s="13">
        <v>43090</v>
      </c>
      <c r="N918" s="12" t="s">
        <v>10010</v>
      </c>
      <c r="O918" s="12" t="s">
        <v>10011</v>
      </c>
      <c r="P918" s="12"/>
      <c r="Q918" s="12">
        <v>1</v>
      </c>
    </row>
    <row r="919" spans="1:17" ht="15.75" customHeight="1">
      <c r="A919" s="12">
        <v>1641</v>
      </c>
      <c r="B919" s="12">
        <v>487</v>
      </c>
      <c r="C919" s="12">
        <v>6490</v>
      </c>
      <c r="D919" s="12" t="s">
        <v>6047</v>
      </c>
      <c r="E919" s="12" t="s">
        <v>10012</v>
      </c>
      <c r="F919" s="12" t="s">
        <v>10013</v>
      </c>
      <c r="G919" s="12" t="s">
        <v>10014</v>
      </c>
      <c r="H919" s="12" t="s">
        <v>6137</v>
      </c>
      <c r="I919" s="12" t="s">
        <v>6200</v>
      </c>
      <c r="J919" s="12">
        <v>6490</v>
      </c>
      <c r="K919" s="12" t="s">
        <v>10015</v>
      </c>
      <c r="L919" s="12" t="s">
        <v>6345</v>
      </c>
      <c r="M919" s="13">
        <v>41268</v>
      </c>
      <c r="N919" s="12" t="s">
        <v>10016</v>
      </c>
      <c r="O919" s="12" t="s">
        <v>10017</v>
      </c>
      <c r="P919" s="12"/>
      <c r="Q919" s="12">
        <v>1</v>
      </c>
    </row>
    <row r="920" spans="1:17" ht="15.75" customHeight="1">
      <c r="A920" s="12">
        <v>885</v>
      </c>
      <c r="B920" s="12">
        <v>801</v>
      </c>
      <c r="C920" s="12">
        <v>10028</v>
      </c>
      <c r="D920" s="12" t="s">
        <v>6047</v>
      </c>
      <c r="E920" s="12" t="s">
        <v>10018</v>
      </c>
      <c r="F920" s="12" t="s">
        <v>10019</v>
      </c>
      <c r="G920" s="12" t="s">
        <v>10020</v>
      </c>
      <c r="H920" s="12" t="s">
        <v>6265</v>
      </c>
      <c r="I920" s="12" t="s">
        <v>6266</v>
      </c>
      <c r="J920" s="12">
        <v>10028</v>
      </c>
      <c r="K920" s="12" t="s">
        <v>6569</v>
      </c>
      <c r="L920" s="12" t="s">
        <v>6564</v>
      </c>
      <c r="M920" s="13">
        <v>43015</v>
      </c>
      <c r="N920" s="12" t="s">
        <v>6570</v>
      </c>
      <c r="O920" s="12" t="s">
        <v>6623</v>
      </c>
      <c r="P920" s="12"/>
      <c r="Q920" s="12">
        <v>1</v>
      </c>
    </row>
    <row r="921" spans="1:17" ht="15.75" customHeight="1">
      <c r="A921" s="12">
        <v>2032</v>
      </c>
      <c r="B921" s="12">
        <v>611</v>
      </c>
      <c r="C921" s="12">
        <v>7670</v>
      </c>
      <c r="D921" s="12" t="s">
        <v>6047</v>
      </c>
      <c r="E921" s="12" t="s">
        <v>10021</v>
      </c>
      <c r="F921" s="12" t="s">
        <v>10022</v>
      </c>
      <c r="G921" s="12" t="s">
        <v>10023</v>
      </c>
      <c r="H921" s="12" t="s">
        <v>6187</v>
      </c>
      <c r="I921" s="12" t="s">
        <v>6224</v>
      </c>
      <c r="J921" s="12">
        <v>7670</v>
      </c>
      <c r="K921" s="12" t="s">
        <v>7553</v>
      </c>
      <c r="L921" s="12" t="s">
        <v>6278</v>
      </c>
      <c r="M921" s="13">
        <v>38174</v>
      </c>
      <c r="N921" s="12" t="s">
        <v>7554</v>
      </c>
      <c r="O921" s="12" t="s">
        <v>7555</v>
      </c>
      <c r="P921" s="12"/>
      <c r="Q921" s="12">
        <v>1</v>
      </c>
    </row>
    <row r="922" spans="1:17" ht="15.75" customHeight="1">
      <c r="A922" s="12">
        <v>465</v>
      </c>
      <c r="B922" s="12">
        <v>316</v>
      </c>
      <c r="C922" s="12">
        <v>4960</v>
      </c>
      <c r="D922" s="12" t="s">
        <v>6047</v>
      </c>
      <c r="E922" s="12" t="s">
        <v>10024</v>
      </c>
      <c r="F922" s="12" t="s">
        <v>10025</v>
      </c>
      <c r="G922" s="12" t="s">
        <v>10026</v>
      </c>
      <c r="H922" s="12" t="s">
        <v>6163</v>
      </c>
      <c r="I922" s="12" t="s">
        <v>6253</v>
      </c>
      <c r="J922" s="12">
        <v>4960</v>
      </c>
      <c r="K922" s="12" t="s">
        <v>6945</v>
      </c>
      <c r="L922" s="12" t="s">
        <v>6498</v>
      </c>
      <c r="M922" s="13">
        <v>43788</v>
      </c>
      <c r="N922" s="12" t="s">
        <v>6946</v>
      </c>
      <c r="O922" s="12" t="s">
        <v>6947</v>
      </c>
      <c r="P922" s="12"/>
      <c r="Q922" s="12">
        <v>1</v>
      </c>
    </row>
    <row r="923" spans="1:17" ht="15.75" customHeight="1">
      <c r="A923" s="12">
        <v>1488</v>
      </c>
      <c r="B923" s="12">
        <v>596</v>
      </c>
      <c r="C923" s="12">
        <v>7565</v>
      </c>
      <c r="D923" s="12" t="s">
        <v>6047</v>
      </c>
      <c r="E923" s="12" t="s">
        <v>10027</v>
      </c>
      <c r="F923" s="12" t="s">
        <v>10028</v>
      </c>
      <c r="G923" s="12" t="s">
        <v>10029</v>
      </c>
      <c r="H923" s="12" t="s">
        <v>6187</v>
      </c>
      <c r="I923" s="12" t="s">
        <v>6224</v>
      </c>
      <c r="J923" s="12">
        <v>7565</v>
      </c>
      <c r="K923" s="12" t="s">
        <v>10030</v>
      </c>
      <c r="L923" s="12" t="s">
        <v>6240</v>
      </c>
      <c r="M923" s="13">
        <v>41891</v>
      </c>
      <c r="N923" s="12" t="s">
        <v>10031</v>
      </c>
      <c r="O923" s="12" t="s">
        <v>10032</v>
      </c>
      <c r="P923" s="12"/>
      <c r="Q923" s="12">
        <v>1</v>
      </c>
    </row>
    <row r="924" spans="1:17" ht="15.75" customHeight="1">
      <c r="A924" s="12">
        <v>1720</v>
      </c>
      <c r="B924" s="12">
        <v>1189</v>
      </c>
      <c r="C924" s="12">
        <v>16963</v>
      </c>
      <c r="D924" s="12" t="s">
        <v>6047</v>
      </c>
      <c r="E924" s="12" t="s">
        <v>10033</v>
      </c>
      <c r="F924" s="12" t="s">
        <v>10034</v>
      </c>
      <c r="G924" s="12" t="s">
        <v>10035</v>
      </c>
      <c r="H924" s="12" t="s">
        <v>6051</v>
      </c>
      <c r="I924" s="12" t="s">
        <v>6052</v>
      </c>
      <c r="J924" s="12">
        <v>16963</v>
      </c>
      <c r="K924" s="12" t="s">
        <v>8471</v>
      </c>
      <c r="L924" s="12" t="s">
        <v>7333</v>
      </c>
      <c r="M924" s="13">
        <v>40876</v>
      </c>
      <c r="N924" s="12" t="s">
        <v>8472</v>
      </c>
      <c r="O924" s="12" t="s">
        <v>8473</v>
      </c>
      <c r="P924" s="12"/>
      <c r="Q924" s="12">
        <v>1</v>
      </c>
    </row>
    <row r="925" spans="1:17" ht="15.75" customHeight="1">
      <c r="A925" s="12">
        <v>1299</v>
      </c>
      <c r="B925" s="12">
        <v>520</v>
      </c>
      <c r="C925" s="12">
        <v>6849</v>
      </c>
      <c r="D925" s="12" t="s">
        <v>6047</v>
      </c>
      <c r="E925" s="12" t="s">
        <v>10036</v>
      </c>
      <c r="F925" s="12" t="s">
        <v>10037</v>
      </c>
      <c r="G925" s="12" t="s">
        <v>10038</v>
      </c>
      <c r="H925" s="12" t="s">
        <v>6582</v>
      </c>
      <c r="I925" s="12" t="s">
        <v>6583</v>
      </c>
      <c r="J925" s="12">
        <v>6849</v>
      </c>
      <c r="K925" s="12" t="s">
        <v>6422</v>
      </c>
      <c r="L925" s="12" t="s">
        <v>6423</v>
      </c>
      <c r="M925" s="13">
        <v>41989</v>
      </c>
      <c r="N925" s="12" t="s">
        <v>6424</v>
      </c>
      <c r="O925" s="12" t="s">
        <v>6425</v>
      </c>
      <c r="P925" s="12"/>
      <c r="Q925" s="12">
        <v>1</v>
      </c>
    </row>
    <row r="926" spans="1:17" ht="15.75" customHeight="1">
      <c r="A926" s="12">
        <v>1849</v>
      </c>
      <c r="B926" s="12">
        <v>461</v>
      </c>
      <c r="C926" s="12">
        <v>6226</v>
      </c>
      <c r="D926" s="12" t="s">
        <v>6047</v>
      </c>
      <c r="E926" s="12" t="s">
        <v>10039</v>
      </c>
      <c r="F926" s="12" t="s">
        <v>10040</v>
      </c>
      <c r="G926" s="12" t="s">
        <v>10041</v>
      </c>
      <c r="H926" s="12" t="s">
        <v>6137</v>
      </c>
      <c r="I926" s="12" t="s">
        <v>6391</v>
      </c>
      <c r="J926" s="12">
        <v>6226</v>
      </c>
      <c r="K926" s="12" t="s">
        <v>6062</v>
      </c>
      <c r="L926" s="12" t="s">
        <v>6063</v>
      </c>
      <c r="M926" s="13">
        <v>40873</v>
      </c>
      <c r="N926" s="12" t="s">
        <v>6064</v>
      </c>
      <c r="O926" s="12" t="s">
        <v>6065</v>
      </c>
      <c r="P926" s="12"/>
      <c r="Q926" s="12">
        <v>1</v>
      </c>
    </row>
    <row r="927" spans="1:17" ht="15.75" customHeight="1">
      <c r="A927" s="12">
        <v>896</v>
      </c>
      <c r="B927" s="12">
        <v>497</v>
      </c>
      <c r="C927" s="12">
        <v>6576</v>
      </c>
      <c r="D927" s="12" t="s">
        <v>6047</v>
      </c>
      <c r="E927" s="12" t="s">
        <v>2642</v>
      </c>
      <c r="F927" s="12" t="s">
        <v>10042</v>
      </c>
      <c r="G927" s="12" t="s">
        <v>10043</v>
      </c>
      <c r="H927" s="12" t="s">
        <v>6137</v>
      </c>
      <c r="I927" s="12" t="s">
        <v>6200</v>
      </c>
      <c r="J927" s="12">
        <v>6576</v>
      </c>
      <c r="K927" s="12" t="s">
        <v>6324</v>
      </c>
      <c r="L927" s="12" t="s">
        <v>6240</v>
      </c>
      <c r="M927" s="13">
        <v>42865</v>
      </c>
      <c r="N927" s="12" t="s">
        <v>6325</v>
      </c>
      <c r="O927" s="12" t="s">
        <v>10044</v>
      </c>
      <c r="P927" s="12"/>
      <c r="Q927" s="12">
        <v>1</v>
      </c>
    </row>
    <row r="928" spans="1:17" ht="15.75" customHeight="1">
      <c r="A928" s="12">
        <v>211</v>
      </c>
      <c r="B928" s="12">
        <v>513</v>
      </c>
      <c r="C928" s="12">
        <v>6783</v>
      </c>
      <c r="D928" s="12" t="s">
        <v>6047</v>
      </c>
      <c r="E928" s="12" t="s">
        <v>2644</v>
      </c>
      <c r="F928" s="12" t="s">
        <v>10045</v>
      </c>
      <c r="G928" s="12" t="s">
        <v>10046</v>
      </c>
      <c r="H928" s="12" t="s">
        <v>6137</v>
      </c>
      <c r="I928" s="12" t="s">
        <v>6200</v>
      </c>
      <c r="J928" s="12">
        <v>6783</v>
      </c>
      <c r="K928" s="12" t="s">
        <v>10047</v>
      </c>
      <c r="L928" s="12" t="s">
        <v>6518</v>
      </c>
      <c r="M928" s="13">
        <v>45611</v>
      </c>
      <c r="N928" s="12" t="s">
        <v>10048</v>
      </c>
      <c r="O928" s="12" t="s">
        <v>10049</v>
      </c>
      <c r="P928" s="12"/>
      <c r="Q928" s="12">
        <v>1</v>
      </c>
    </row>
    <row r="929" spans="1:17" ht="15.75" customHeight="1">
      <c r="A929" s="12">
        <v>1575</v>
      </c>
      <c r="B929" s="12">
        <v>1747</v>
      </c>
      <c r="C929" s="12">
        <v>32609</v>
      </c>
      <c r="D929" s="12" t="s">
        <v>6047</v>
      </c>
      <c r="E929" s="12" t="s">
        <v>2638</v>
      </c>
      <c r="F929" s="12" t="s">
        <v>10050</v>
      </c>
      <c r="G929" s="12" t="s">
        <v>10051</v>
      </c>
      <c r="H929" s="12" t="s">
        <v>6051</v>
      </c>
      <c r="I929" s="12" t="s">
        <v>6232</v>
      </c>
      <c r="J929" s="12">
        <v>32609</v>
      </c>
      <c r="K929" s="12" t="s">
        <v>6485</v>
      </c>
      <c r="L929" s="12" t="s">
        <v>6255</v>
      </c>
      <c r="M929" s="13">
        <v>41560</v>
      </c>
      <c r="N929" s="12" t="s">
        <v>6486</v>
      </c>
      <c r="O929" s="12" t="s">
        <v>6487</v>
      </c>
      <c r="P929" s="12"/>
      <c r="Q929" s="12">
        <v>1</v>
      </c>
    </row>
    <row r="930" spans="1:17" ht="15.75" customHeight="1">
      <c r="A930" s="12">
        <v>1801</v>
      </c>
      <c r="B930" s="12">
        <v>1328</v>
      </c>
      <c r="C930" s="12">
        <v>19136</v>
      </c>
      <c r="D930" s="12" t="s">
        <v>6047</v>
      </c>
      <c r="E930" s="12" t="s">
        <v>10052</v>
      </c>
      <c r="F930" s="12" t="s">
        <v>10053</v>
      </c>
      <c r="G930" s="12" t="s">
        <v>10054</v>
      </c>
      <c r="H930" s="12" t="s">
        <v>6051</v>
      </c>
      <c r="I930" s="12" t="s">
        <v>7090</v>
      </c>
      <c r="J930" s="12">
        <v>19136</v>
      </c>
      <c r="K930" s="12" t="s">
        <v>6062</v>
      </c>
      <c r="L930" s="12" t="s">
        <v>6063</v>
      </c>
      <c r="M930" s="13">
        <v>40873</v>
      </c>
      <c r="N930" s="12" t="s">
        <v>6064</v>
      </c>
      <c r="O930" s="12" t="s">
        <v>6065</v>
      </c>
      <c r="P930" s="12"/>
      <c r="Q930" s="12">
        <v>1</v>
      </c>
    </row>
    <row r="931" spans="1:17" ht="15.75" customHeight="1">
      <c r="A931" s="12">
        <v>321</v>
      </c>
      <c r="B931" s="12">
        <v>180</v>
      </c>
      <c r="C931" s="12">
        <v>3034</v>
      </c>
      <c r="D931" s="12" t="s">
        <v>6047</v>
      </c>
      <c r="E931" s="12" t="s">
        <v>10055</v>
      </c>
      <c r="F931" s="12" t="s">
        <v>10056</v>
      </c>
      <c r="G931" s="12" t="s">
        <v>10057</v>
      </c>
      <c r="H931" s="12" t="s">
        <v>7069</v>
      </c>
      <c r="I931" s="12" t="s">
        <v>7070</v>
      </c>
      <c r="J931" s="12">
        <v>3034</v>
      </c>
      <c r="K931" s="12" t="s">
        <v>6731</v>
      </c>
      <c r="L931" s="12" t="s">
        <v>6732</v>
      </c>
      <c r="M931" s="13">
        <v>44728</v>
      </c>
      <c r="N931" s="12" t="s">
        <v>6733</v>
      </c>
      <c r="O931" s="12" t="s">
        <v>6734</v>
      </c>
      <c r="P931" s="12"/>
      <c r="Q931" s="12">
        <v>1</v>
      </c>
    </row>
    <row r="932" spans="1:17" ht="15.75" customHeight="1">
      <c r="A932" s="12">
        <v>1325</v>
      </c>
      <c r="B932" s="12">
        <v>424</v>
      </c>
      <c r="C932" s="12">
        <v>5999</v>
      </c>
      <c r="D932" s="12" t="s">
        <v>6047</v>
      </c>
      <c r="E932" s="12" t="s">
        <v>10058</v>
      </c>
      <c r="F932" s="12" t="s">
        <v>10059</v>
      </c>
      <c r="G932" s="12" t="s">
        <v>10060</v>
      </c>
      <c r="H932" s="12" t="s">
        <v>6137</v>
      </c>
      <c r="I932" s="12" t="s">
        <v>6138</v>
      </c>
      <c r="J932" s="12">
        <v>5999</v>
      </c>
      <c r="K932" s="12" t="s">
        <v>6105</v>
      </c>
      <c r="L932" s="12" t="s">
        <v>6106</v>
      </c>
      <c r="M932" s="13">
        <v>41924</v>
      </c>
      <c r="N932" s="12" t="s">
        <v>6107</v>
      </c>
      <c r="O932" s="12" t="s">
        <v>7676</v>
      </c>
      <c r="P932" s="12"/>
      <c r="Q932" s="12">
        <v>1</v>
      </c>
    </row>
    <row r="933" spans="1:17" ht="15.75" customHeight="1">
      <c r="A933" s="12">
        <v>1028</v>
      </c>
      <c r="B933" s="12">
        <v>1221</v>
      </c>
      <c r="C933" s="12">
        <v>17365</v>
      </c>
      <c r="D933" s="12" t="s">
        <v>6047</v>
      </c>
      <c r="E933" s="12" t="s">
        <v>10061</v>
      </c>
      <c r="F933" s="12" t="s">
        <v>10062</v>
      </c>
      <c r="G933" s="12" t="s">
        <v>10063</v>
      </c>
      <c r="H933" s="12" t="s">
        <v>6051</v>
      </c>
      <c r="I933" s="12" t="s">
        <v>6052</v>
      </c>
      <c r="J933" s="12">
        <v>17365</v>
      </c>
      <c r="K933" s="12" t="s">
        <v>10064</v>
      </c>
      <c r="L933" s="12" t="s">
        <v>6357</v>
      </c>
      <c r="M933" s="13">
        <v>42690</v>
      </c>
      <c r="N933" s="12" t="s">
        <v>10065</v>
      </c>
      <c r="O933" s="12" t="s">
        <v>10066</v>
      </c>
      <c r="P933" s="12"/>
      <c r="Q933" s="12">
        <v>1</v>
      </c>
    </row>
    <row r="934" spans="1:17" ht="15.75" customHeight="1">
      <c r="A934" s="12">
        <v>1407</v>
      </c>
      <c r="B934" s="12">
        <v>1672</v>
      </c>
      <c r="C934" s="12">
        <v>30817</v>
      </c>
      <c r="D934" s="12" t="s">
        <v>6047</v>
      </c>
      <c r="E934" s="12" t="s">
        <v>2640</v>
      </c>
      <c r="F934" s="12" t="s">
        <v>10067</v>
      </c>
      <c r="G934" s="12" t="s">
        <v>10068</v>
      </c>
      <c r="H934" s="12" t="s">
        <v>6051</v>
      </c>
      <c r="I934" s="12" t="s">
        <v>6100</v>
      </c>
      <c r="J934" s="12">
        <v>30817</v>
      </c>
      <c r="K934" s="12" t="s">
        <v>6086</v>
      </c>
      <c r="L934" s="12" t="s">
        <v>6087</v>
      </c>
      <c r="M934" s="13">
        <v>41910</v>
      </c>
      <c r="N934" s="12" t="s">
        <v>6088</v>
      </c>
      <c r="O934" s="12" t="s">
        <v>6089</v>
      </c>
      <c r="P934" s="12"/>
      <c r="Q934" s="12">
        <v>1</v>
      </c>
    </row>
    <row r="935" spans="1:17" ht="15.75" customHeight="1">
      <c r="A935" s="12">
        <v>1635</v>
      </c>
      <c r="B935" s="12">
        <v>60</v>
      </c>
      <c r="C935" s="12">
        <v>700</v>
      </c>
      <c r="D935" s="12" t="s">
        <v>6047</v>
      </c>
      <c r="E935" s="12" t="s">
        <v>10069</v>
      </c>
      <c r="F935" s="12" t="s">
        <v>10070</v>
      </c>
      <c r="G935" s="12" t="s">
        <v>10071</v>
      </c>
      <c r="H935" s="12" t="s">
        <v>6289</v>
      </c>
      <c r="I935" s="12" t="s">
        <v>6290</v>
      </c>
      <c r="J935" s="12">
        <v>700</v>
      </c>
      <c r="K935" s="12" t="s">
        <v>6386</v>
      </c>
      <c r="L935" s="12" t="s">
        <v>6345</v>
      </c>
      <c r="M935" s="13">
        <v>41275</v>
      </c>
      <c r="N935" s="12" t="s">
        <v>6387</v>
      </c>
      <c r="O935" s="12" t="s">
        <v>6388</v>
      </c>
      <c r="P935" s="12"/>
      <c r="Q935" s="12">
        <v>1</v>
      </c>
    </row>
    <row r="936" spans="1:17" ht="15.75" customHeight="1">
      <c r="A936" s="12">
        <v>1438</v>
      </c>
      <c r="B936" s="12">
        <v>1503</v>
      </c>
      <c r="C936" s="12">
        <v>24254</v>
      </c>
      <c r="D936" s="12" t="s">
        <v>6047</v>
      </c>
      <c r="E936" s="12" t="s">
        <v>2664</v>
      </c>
      <c r="F936" s="12" t="s">
        <v>10072</v>
      </c>
      <c r="G936" s="12" t="s">
        <v>10073</v>
      </c>
      <c r="H936" s="12" t="s">
        <v>6051</v>
      </c>
      <c r="I936" s="12" t="s">
        <v>6738</v>
      </c>
      <c r="J936" s="12">
        <v>24254</v>
      </c>
      <c r="K936" s="12" t="s">
        <v>6069</v>
      </c>
      <c r="L936" s="12" t="s">
        <v>6070</v>
      </c>
      <c r="M936" s="13">
        <v>41908</v>
      </c>
      <c r="N936" s="12" t="s">
        <v>6071</v>
      </c>
      <c r="O936" s="12" t="s">
        <v>6901</v>
      </c>
      <c r="P936" s="12"/>
      <c r="Q936" s="12">
        <v>1</v>
      </c>
    </row>
    <row r="937" spans="1:17" ht="15.75" customHeight="1">
      <c r="A937" s="12">
        <v>1029</v>
      </c>
      <c r="B937" s="12">
        <v>226</v>
      </c>
      <c r="C937" s="12">
        <v>4169</v>
      </c>
      <c r="D937" s="12" t="s">
        <v>6047</v>
      </c>
      <c r="E937" s="12" t="s">
        <v>10074</v>
      </c>
      <c r="F937" s="12" t="s">
        <v>10075</v>
      </c>
      <c r="G937" s="12" t="s">
        <v>10076</v>
      </c>
      <c r="H937" s="12" t="s">
        <v>6163</v>
      </c>
      <c r="I937" s="12" t="s">
        <v>6164</v>
      </c>
      <c r="J937" s="12">
        <v>4169</v>
      </c>
      <c r="K937" s="12" t="s">
        <v>10064</v>
      </c>
      <c r="L937" s="12" t="s">
        <v>6357</v>
      </c>
      <c r="M937" s="13">
        <v>42690</v>
      </c>
      <c r="N937" s="12" t="s">
        <v>10065</v>
      </c>
      <c r="O937" s="12" t="s">
        <v>10066</v>
      </c>
      <c r="P937" s="12"/>
      <c r="Q937" s="12">
        <v>1</v>
      </c>
    </row>
    <row r="938" spans="1:17" ht="15.75" customHeight="1">
      <c r="A938" s="12">
        <v>255</v>
      </c>
      <c r="B938" s="12">
        <v>924</v>
      </c>
      <c r="C938" s="12">
        <v>12226</v>
      </c>
      <c r="D938" s="12" t="s">
        <v>6047</v>
      </c>
      <c r="E938" s="12" t="s">
        <v>10077</v>
      </c>
      <c r="F938" s="12" t="s">
        <v>10078</v>
      </c>
      <c r="G938" s="12" t="s">
        <v>10079</v>
      </c>
      <c r="H938" s="12" t="s">
        <v>6627</v>
      </c>
      <c r="I938" s="12" t="s">
        <v>6628</v>
      </c>
      <c r="J938" s="12">
        <v>12226</v>
      </c>
      <c r="K938" s="12" t="s">
        <v>7468</v>
      </c>
      <c r="L938" s="12" t="s">
        <v>7469</v>
      </c>
      <c r="M938" s="13">
        <v>45603</v>
      </c>
      <c r="N938" s="12" t="s">
        <v>7470</v>
      </c>
      <c r="O938" s="12" t="s">
        <v>10080</v>
      </c>
      <c r="P938" s="12"/>
      <c r="Q938" s="12">
        <v>1</v>
      </c>
    </row>
    <row r="939" spans="1:17" ht="15.75" customHeight="1">
      <c r="A939" s="12">
        <v>1246</v>
      </c>
      <c r="B939" s="12">
        <v>243</v>
      </c>
      <c r="C939" s="12">
        <v>4359</v>
      </c>
      <c r="D939" s="12" t="s">
        <v>6047</v>
      </c>
      <c r="E939" s="12" t="s">
        <v>10081</v>
      </c>
      <c r="F939" s="12" t="s">
        <v>10082</v>
      </c>
      <c r="G939" s="12" t="s">
        <v>10083</v>
      </c>
      <c r="H939" s="12" t="s">
        <v>6163</v>
      </c>
      <c r="I939" s="12" t="s">
        <v>6253</v>
      </c>
      <c r="J939" s="12">
        <v>4359</v>
      </c>
      <c r="K939" s="12" t="s">
        <v>6429</v>
      </c>
      <c r="L939" s="12" t="s">
        <v>6423</v>
      </c>
      <c r="M939" s="13">
        <v>41991</v>
      </c>
      <c r="N939" s="12" t="s">
        <v>6430</v>
      </c>
      <c r="O939" s="12" t="s">
        <v>6431</v>
      </c>
      <c r="P939" s="12"/>
      <c r="Q939" s="12">
        <v>1</v>
      </c>
    </row>
    <row r="940" spans="1:17" ht="15.75" customHeight="1">
      <c r="A940" s="12">
        <v>1840</v>
      </c>
      <c r="B940" s="12">
        <v>637</v>
      </c>
      <c r="C940" s="12">
        <v>7823</v>
      </c>
      <c r="D940" s="12" t="s">
        <v>6047</v>
      </c>
      <c r="E940" s="12" t="s">
        <v>2671</v>
      </c>
      <c r="F940" s="12" t="s">
        <v>10084</v>
      </c>
      <c r="G940" s="12" t="s">
        <v>10085</v>
      </c>
      <c r="H940" s="12" t="s">
        <v>6414</v>
      </c>
      <c r="I940" s="12" t="s">
        <v>6415</v>
      </c>
      <c r="J940" s="12">
        <v>7823</v>
      </c>
      <c r="K940" s="12" t="s">
        <v>6062</v>
      </c>
      <c r="L940" s="12" t="s">
        <v>6063</v>
      </c>
      <c r="M940" s="13">
        <v>40873</v>
      </c>
      <c r="N940" s="12" t="s">
        <v>6064</v>
      </c>
      <c r="O940" s="12" t="s">
        <v>6065</v>
      </c>
      <c r="P940" s="12"/>
      <c r="Q940" s="12">
        <v>1</v>
      </c>
    </row>
    <row r="941" spans="1:17" ht="15.75" customHeight="1">
      <c r="A941" s="12">
        <v>1648</v>
      </c>
      <c r="B941" s="12">
        <v>446</v>
      </c>
      <c r="C941" s="12">
        <v>6145</v>
      </c>
      <c r="D941" s="12" t="s">
        <v>6047</v>
      </c>
      <c r="E941" s="12" t="s">
        <v>10086</v>
      </c>
      <c r="F941" s="12" t="s">
        <v>10087</v>
      </c>
      <c r="G941" s="12" t="s">
        <v>10088</v>
      </c>
      <c r="H941" s="12" t="s">
        <v>6137</v>
      </c>
      <c r="I941" s="12" t="s">
        <v>6391</v>
      </c>
      <c r="J941" s="12">
        <v>6145</v>
      </c>
      <c r="K941" s="12" t="s">
        <v>6381</v>
      </c>
      <c r="L941" s="12" t="s">
        <v>6345</v>
      </c>
      <c r="M941" s="13">
        <v>41260</v>
      </c>
      <c r="N941" s="12" t="s">
        <v>6382</v>
      </c>
      <c r="O941" s="12" t="s">
        <v>6383</v>
      </c>
      <c r="P941" s="12"/>
      <c r="Q941" s="12">
        <v>1</v>
      </c>
    </row>
    <row r="942" spans="1:17" ht="15.75" customHeight="1">
      <c r="A942" s="12">
        <v>1708</v>
      </c>
      <c r="B942" s="12">
        <v>788</v>
      </c>
      <c r="C942" s="12">
        <v>9857</v>
      </c>
      <c r="D942" s="12" t="s">
        <v>6047</v>
      </c>
      <c r="E942" s="12" t="s">
        <v>2683</v>
      </c>
      <c r="F942" s="12" t="s">
        <v>10089</v>
      </c>
      <c r="G942" s="12" t="s">
        <v>10090</v>
      </c>
      <c r="H942" s="12" t="s">
        <v>6265</v>
      </c>
      <c r="I942" s="12" t="s">
        <v>6449</v>
      </c>
      <c r="J942" s="12">
        <v>9857</v>
      </c>
      <c r="K942" s="12" t="s">
        <v>8598</v>
      </c>
      <c r="L942" s="12" t="s">
        <v>7333</v>
      </c>
      <c r="M942" s="13">
        <v>40878</v>
      </c>
      <c r="N942" s="12" t="s">
        <v>8599</v>
      </c>
      <c r="O942" s="12" t="s">
        <v>8600</v>
      </c>
      <c r="P942" s="12"/>
      <c r="Q942" s="12">
        <v>1</v>
      </c>
    </row>
    <row r="943" spans="1:17" ht="15.75" customHeight="1">
      <c r="A943" s="12">
        <v>869</v>
      </c>
      <c r="B943" s="12">
        <v>1253</v>
      </c>
      <c r="C943" s="12">
        <v>17743</v>
      </c>
      <c r="D943" s="12" t="s">
        <v>6047</v>
      </c>
      <c r="E943" s="12" t="s">
        <v>10091</v>
      </c>
      <c r="F943" s="12" t="s">
        <v>10092</v>
      </c>
      <c r="G943" s="12" t="s">
        <v>10093</v>
      </c>
      <c r="H943" s="12" t="s">
        <v>6051</v>
      </c>
      <c r="I943" s="12" t="s">
        <v>6857</v>
      </c>
      <c r="J943" s="12">
        <v>17743</v>
      </c>
      <c r="K943" s="12" t="s">
        <v>6606</v>
      </c>
      <c r="L943" s="12" t="s">
        <v>6564</v>
      </c>
      <c r="M943" s="13">
        <v>43017</v>
      </c>
      <c r="N943" s="12" t="s">
        <v>6607</v>
      </c>
      <c r="O943" s="12" t="s">
        <v>6608</v>
      </c>
      <c r="P943" s="12"/>
      <c r="Q943" s="12">
        <v>1</v>
      </c>
    </row>
    <row r="944" spans="1:17" ht="15.75" customHeight="1">
      <c r="A944" s="12">
        <v>6</v>
      </c>
      <c r="B944" s="12">
        <v>350</v>
      </c>
      <c r="C944" s="12">
        <v>5339</v>
      </c>
      <c r="D944" s="12" t="s">
        <v>6047</v>
      </c>
      <c r="E944" s="12" t="s">
        <v>2687</v>
      </c>
      <c r="F944" s="12" t="s">
        <v>10094</v>
      </c>
      <c r="G944" s="12" t="s">
        <v>10095</v>
      </c>
      <c r="H944" s="12" t="s">
        <v>6213</v>
      </c>
      <c r="I944" s="12" t="s">
        <v>6214</v>
      </c>
      <c r="J944" s="12">
        <v>5339</v>
      </c>
      <c r="K944" s="12" t="s">
        <v>10096</v>
      </c>
      <c r="L944" s="12" t="s">
        <v>6905</v>
      </c>
      <c r="M944" s="13">
        <v>45984</v>
      </c>
      <c r="N944" s="12" t="s">
        <v>10097</v>
      </c>
      <c r="O944" s="12" t="s">
        <v>10098</v>
      </c>
      <c r="P944" s="12"/>
      <c r="Q944" s="12">
        <v>1</v>
      </c>
    </row>
    <row r="945" spans="1:17" ht="15.75" customHeight="1">
      <c r="A945" s="12">
        <v>1999</v>
      </c>
      <c r="B945" s="12">
        <v>815</v>
      </c>
      <c r="C945" s="12">
        <v>10332</v>
      </c>
      <c r="D945" s="12" t="s">
        <v>6047</v>
      </c>
      <c r="E945" s="12" t="s">
        <v>10099</v>
      </c>
      <c r="F945" s="12" t="s">
        <v>10100</v>
      </c>
      <c r="G945" s="12" t="s">
        <v>10101</v>
      </c>
      <c r="H945" s="12" t="s">
        <v>6265</v>
      </c>
      <c r="I945" s="12" t="s">
        <v>7675</v>
      </c>
      <c r="J945" s="12">
        <v>10332</v>
      </c>
      <c r="K945" s="12" t="s">
        <v>6112</v>
      </c>
      <c r="L945" s="12" t="s">
        <v>6113</v>
      </c>
      <c r="M945" s="13">
        <v>38573</v>
      </c>
      <c r="N945" s="12" t="s">
        <v>6114</v>
      </c>
      <c r="O945" s="12" t="s">
        <v>6115</v>
      </c>
      <c r="P945" s="12"/>
      <c r="Q945" s="12">
        <v>1</v>
      </c>
    </row>
    <row r="946" spans="1:17" ht="15.75" customHeight="1">
      <c r="A946" s="12">
        <v>1740</v>
      </c>
      <c r="B946" s="12">
        <v>374</v>
      </c>
      <c r="C946" s="12">
        <v>5671</v>
      </c>
      <c r="D946" s="12" t="s">
        <v>6047</v>
      </c>
      <c r="E946" s="12" t="s">
        <v>10102</v>
      </c>
      <c r="F946" s="12" t="s">
        <v>10103</v>
      </c>
      <c r="G946" s="12" t="s">
        <v>10104</v>
      </c>
      <c r="H946" s="12" t="s">
        <v>6213</v>
      </c>
      <c r="I946" s="12" t="s">
        <v>10105</v>
      </c>
      <c r="J946" s="12">
        <v>5671</v>
      </c>
      <c r="K946" s="12" t="s">
        <v>7000</v>
      </c>
      <c r="L946" s="12" t="s">
        <v>7001</v>
      </c>
      <c r="M946" s="13">
        <v>40875</v>
      </c>
      <c r="N946" s="12" t="s">
        <v>7002</v>
      </c>
      <c r="O946" s="12" t="s">
        <v>7003</v>
      </c>
      <c r="P946" s="12"/>
      <c r="Q946" s="12">
        <v>1</v>
      </c>
    </row>
    <row r="947" spans="1:17" ht="15.75" customHeight="1">
      <c r="A947" s="12">
        <v>1114</v>
      </c>
      <c r="B947" s="12">
        <v>1790</v>
      </c>
      <c r="C947" s="12">
        <v>33310</v>
      </c>
      <c r="D947" s="12" t="s">
        <v>6047</v>
      </c>
      <c r="E947" s="12" t="s">
        <v>2708</v>
      </c>
      <c r="F947" s="12" t="s">
        <v>10106</v>
      </c>
      <c r="G947" s="12" t="s">
        <v>10107</v>
      </c>
      <c r="H947" s="12" t="s">
        <v>6051</v>
      </c>
      <c r="I947" s="12" t="s">
        <v>6374</v>
      </c>
      <c r="J947" s="12">
        <v>33310</v>
      </c>
      <c r="K947" s="12" t="s">
        <v>6392</v>
      </c>
      <c r="L947" s="12" t="s">
        <v>6393</v>
      </c>
      <c r="M947" s="13">
        <v>42493</v>
      </c>
      <c r="N947" s="12" t="s">
        <v>6394</v>
      </c>
      <c r="O947" s="12" t="s">
        <v>10108</v>
      </c>
      <c r="P947" s="12"/>
      <c r="Q947" s="12">
        <v>1</v>
      </c>
    </row>
    <row r="948" spans="1:17" ht="15.75" customHeight="1">
      <c r="A948" s="12">
        <v>525</v>
      </c>
      <c r="B948" s="12">
        <v>1062</v>
      </c>
      <c r="C948" s="12">
        <v>15166</v>
      </c>
      <c r="D948" s="12" t="s">
        <v>6047</v>
      </c>
      <c r="E948" s="12" t="s">
        <v>10109</v>
      </c>
      <c r="F948" s="12" t="s">
        <v>10110</v>
      </c>
      <c r="G948" s="12" t="s">
        <v>10111</v>
      </c>
      <c r="H948" s="12" t="s">
        <v>6051</v>
      </c>
      <c r="I948" s="12" t="s">
        <v>6476</v>
      </c>
      <c r="J948" s="12">
        <v>15166</v>
      </c>
      <c r="K948" s="12" t="s">
        <v>7441</v>
      </c>
      <c r="L948" s="12" t="s">
        <v>6408</v>
      </c>
      <c r="M948" s="13">
        <v>43565</v>
      </c>
      <c r="N948" s="12" t="s">
        <v>7442</v>
      </c>
      <c r="O948" s="12" t="s">
        <v>7559</v>
      </c>
      <c r="P948" s="12"/>
      <c r="Q948" s="12">
        <v>1</v>
      </c>
    </row>
    <row r="949" spans="1:17" ht="15.75" customHeight="1">
      <c r="A949" s="12">
        <v>1823</v>
      </c>
      <c r="B949" s="12">
        <v>886</v>
      </c>
      <c r="C949" s="12">
        <v>11754</v>
      </c>
      <c r="D949" s="12" t="s">
        <v>6047</v>
      </c>
      <c r="E949" s="12" t="s">
        <v>10112</v>
      </c>
      <c r="F949" s="12" t="s">
        <v>10113</v>
      </c>
      <c r="G949" s="12" t="s">
        <v>10114</v>
      </c>
      <c r="H949" s="12" t="s">
        <v>6060</v>
      </c>
      <c r="I949" s="12" t="s">
        <v>6061</v>
      </c>
      <c r="J949" s="12">
        <v>11754</v>
      </c>
      <c r="K949" s="12" t="s">
        <v>6062</v>
      </c>
      <c r="L949" s="12" t="s">
        <v>6063</v>
      </c>
      <c r="M949" s="13">
        <v>40873</v>
      </c>
      <c r="N949" s="12" t="s">
        <v>6064</v>
      </c>
      <c r="O949" s="12" t="s">
        <v>6065</v>
      </c>
      <c r="P949" s="12"/>
      <c r="Q949" s="12">
        <v>1</v>
      </c>
    </row>
    <row r="950" spans="1:17" ht="15.75" customHeight="1">
      <c r="A950" s="12">
        <v>158</v>
      </c>
      <c r="B950" s="12">
        <v>155</v>
      </c>
      <c r="C950" s="12">
        <v>2380</v>
      </c>
      <c r="D950" s="12" t="s">
        <v>6047</v>
      </c>
      <c r="E950" s="12" t="s">
        <v>10115</v>
      </c>
      <c r="F950" s="12" t="s">
        <v>10116</v>
      </c>
      <c r="G950" s="12" t="s">
        <v>10117</v>
      </c>
      <c r="H950" s="12" t="s">
        <v>6127</v>
      </c>
      <c r="I950" s="12" t="s">
        <v>6128</v>
      </c>
      <c r="J950" s="12">
        <v>2380</v>
      </c>
      <c r="K950" s="12" t="s">
        <v>9466</v>
      </c>
      <c r="L950" s="12" t="s">
        <v>6709</v>
      </c>
      <c r="M950" s="13">
        <v>45754</v>
      </c>
      <c r="N950" s="12" t="s">
        <v>9467</v>
      </c>
      <c r="O950" s="12" t="s">
        <v>10118</v>
      </c>
      <c r="P950" s="12"/>
      <c r="Q950" s="12">
        <v>1</v>
      </c>
    </row>
    <row r="951" spans="1:17" ht="15.75" customHeight="1">
      <c r="A951" s="12">
        <v>2002</v>
      </c>
      <c r="B951" s="12">
        <v>781</v>
      </c>
      <c r="C951" s="12">
        <v>9783</v>
      </c>
      <c r="D951" s="12" t="s">
        <v>6047</v>
      </c>
      <c r="E951" s="12" t="s">
        <v>10119</v>
      </c>
      <c r="F951" s="12" t="s">
        <v>10120</v>
      </c>
      <c r="G951" s="12" t="s">
        <v>10121</v>
      </c>
      <c r="H951" s="12" t="s">
        <v>6265</v>
      </c>
      <c r="I951" s="12" t="s">
        <v>8292</v>
      </c>
      <c r="J951" s="12">
        <v>9783</v>
      </c>
      <c r="K951" s="12" t="s">
        <v>6112</v>
      </c>
      <c r="L951" s="12" t="s">
        <v>6113</v>
      </c>
      <c r="M951" s="13">
        <v>38573</v>
      </c>
      <c r="N951" s="12" t="s">
        <v>6114</v>
      </c>
      <c r="O951" s="12" t="s">
        <v>6115</v>
      </c>
      <c r="P951" s="12"/>
      <c r="Q951" s="12">
        <v>1</v>
      </c>
    </row>
    <row r="952" spans="1:17" ht="15.75" customHeight="1">
      <c r="A952" s="12">
        <v>887</v>
      </c>
      <c r="B952" s="12">
        <v>568</v>
      </c>
      <c r="C952" s="12">
        <v>7413</v>
      </c>
      <c r="D952" s="12" t="s">
        <v>6047</v>
      </c>
      <c r="E952" s="12" t="s">
        <v>2725</v>
      </c>
      <c r="F952" s="12" t="s">
        <v>10122</v>
      </c>
      <c r="G952" s="12" t="s">
        <v>10123</v>
      </c>
      <c r="H952" s="12" t="s">
        <v>6084</v>
      </c>
      <c r="I952" s="12" t="s">
        <v>7239</v>
      </c>
      <c r="J952" s="12">
        <v>7413</v>
      </c>
      <c r="K952" s="12" t="s">
        <v>6569</v>
      </c>
      <c r="L952" s="12" t="s">
        <v>6564</v>
      </c>
      <c r="M952" s="13">
        <v>43015</v>
      </c>
      <c r="N952" s="12" t="s">
        <v>6570</v>
      </c>
      <c r="O952" s="12" t="s">
        <v>6623</v>
      </c>
      <c r="P952" s="12"/>
      <c r="Q952" s="12">
        <v>1</v>
      </c>
    </row>
    <row r="953" spans="1:17" ht="15.75" customHeight="1">
      <c r="A953" s="12">
        <v>1844</v>
      </c>
      <c r="B953" s="12">
        <v>602</v>
      </c>
      <c r="C953" s="12">
        <v>7629</v>
      </c>
      <c r="D953" s="12" t="s">
        <v>6047</v>
      </c>
      <c r="E953" s="12" t="s">
        <v>2729</v>
      </c>
      <c r="F953" s="12" t="s">
        <v>10124</v>
      </c>
      <c r="G953" s="12" t="s">
        <v>10125</v>
      </c>
      <c r="H953" s="12" t="s">
        <v>6187</v>
      </c>
      <c r="I953" s="12" t="s">
        <v>6224</v>
      </c>
      <c r="J953" s="12">
        <v>7629</v>
      </c>
      <c r="K953" s="12" t="s">
        <v>6062</v>
      </c>
      <c r="L953" s="12" t="s">
        <v>6063</v>
      </c>
      <c r="M953" s="13">
        <v>40873</v>
      </c>
      <c r="N953" s="12" t="s">
        <v>6064</v>
      </c>
      <c r="O953" s="12" t="s">
        <v>6065</v>
      </c>
      <c r="P953" s="12"/>
      <c r="Q953" s="12">
        <v>1</v>
      </c>
    </row>
    <row r="954" spans="1:17" ht="15.75" customHeight="1">
      <c r="A954" s="12">
        <v>801</v>
      </c>
      <c r="B954" s="12">
        <v>920</v>
      </c>
      <c r="C954" s="12">
        <v>12189</v>
      </c>
      <c r="D954" s="12" t="s">
        <v>6047</v>
      </c>
      <c r="E954" s="12" t="s">
        <v>10126</v>
      </c>
      <c r="F954" s="12" t="s">
        <v>10127</v>
      </c>
      <c r="G954" s="12" t="s">
        <v>10128</v>
      </c>
      <c r="H954" s="12" t="s">
        <v>6627</v>
      </c>
      <c r="I954" s="12" t="s">
        <v>9110</v>
      </c>
      <c r="J954" s="12">
        <v>12189</v>
      </c>
      <c r="K954" s="12" t="s">
        <v>10129</v>
      </c>
      <c r="L954" s="12" t="s">
        <v>6590</v>
      </c>
      <c r="M954" s="13">
        <v>43031</v>
      </c>
      <c r="N954" s="12" t="s">
        <v>10130</v>
      </c>
      <c r="O954" s="12" t="s">
        <v>10131</v>
      </c>
      <c r="P954" s="12"/>
      <c r="Q954" s="12">
        <v>1</v>
      </c>
    </row>
    <row r="955" spans="1:17" ht="15.75" customHeight="1">
      <c r="A955" s="12">
        <v>90</v>
      </c>
      <c r="B955" s="12">
        <v>1430</v>
      </c>
      <c r="C955" s="12">
        <v>21607</v>
      </c>
      <c r="D955" s="12" t="s">
        <v>6047</v>
      </c>
      <c r="E955" s="12" t="s">
        <v>10132</v>
      </c>
      <c r="F955" s="12" t="s">
        <v>10133</v>
      </c>
      <c r="G955" s="12" t="s">
        <v>10134</v>
      </c>
      <c r="H955" s="12" t="s">
        <v>6051</v>
      </c>
      <c r="I955" s="12" t="s">
        <v>6299</v>
      </c>
      <c r="J955" s="12">
        <v>21607</v>
      </c>
      <c r="K955" s="12" t="s">
        <v>9191</v>
      </c>
      <c r="L955" s="12" t="s">
        <v>6590</v>
      </c>
      <c r="M955" s="13">
        <v>45968</v>
      </c>
      <c r="N955" s="12" t="s">
        <v>9192</v>
      </c>
      <c r="O955" s="12" t="s">
        <v>9193</v>
      </c>
      <c r="P955" s="12"/>
      <c r="Q955" s="12">
        <v>1</v>
      </c>
    </row>
    <row r="956" spans="1:17" ht="15.75" customHeight="1">
      <c r="A956" s="12">
        <v>778</v>
      </c>
      <c r="B956" s="12">
        <v>668</v>
      </c>
      <c r="C956" s="12">
        <v>8048</v>
      </c>
      <c r="D956" s="12" t="s">
        <v>6047</v>
      </c>
      <c r="E956" s="12" t="s">
        <v>2746</v>
      </c>
      <c r="F956" s="12" t="s">
        <v>10135</v>
      </c>
      <c r="G956" s="12" t="s">
        <v>10136</v>
      </c>
      <c r="H956" s="12" t="s">
        <v>6075</v>
      </c>
      <c r="I956" s="12" t="s">
        <v>6076</v>
      </c>
      <c r="J956" s="12">
        <v>8048</v>
      </c>
      <c r="K956" s="12" t="s">
        <v>10137</v>
      </c>
      <c r="L956" s="12" t="s">
        <v>6590</v>
      </c>
      <c r="M956" s="13">
        <v>43034</v>
      </c>
      <c r="N956" s="12" t="s">
        <v>10138</v>
      </c>
      <c r="O956" s="12" t="s">
        <v>10139</v>
      </c>
      <c r="P956" s="12"/>
      <c r="Q956" s="12">
        <v>1</v>
      </c>
    </row>
    <row r="957" spans="1:17" ht="15.75" customHeight="1">
      <c r="A957" s="12">
        <v>2009</v>
      </c>
      <c r="B957" s="12">
        <v>608</v>
      </c>
      <c r="C957" s="12">
        <v>7650</v>
      </c>
      <c r="D957" s="12" t="s">
        <v>6047</v>
      </c>
      <c r="E957" s="12" t="s">
        <v>10140</v>
      </c>
      <c r="F957" s="12" t="s">
        <v>10141</v>
      </c>
      <c r="G957" s="12" t="s">
        <v>10142</v>
      </c>
      <c r="H957" s="12" t="s">
        <v>6187</v>
      </c>
      <c r="I957" s="12" t="s">
        <v>6224</v>
      </c>
      <c r="J957" s="12">
        <v>7650</v>
      </c>
      <c r="K957" s="12" t="s">
        <v>6112</v>
      </c>
      <c r="L957" s="12" t="s">
        <v>6113</v>
      </c>
      <c r="M957" s="13">
        <v>38573</v>
      </c>
      <c r="N957" s="12" t="s">
        <v>6114</v>
      </c>
      <c r="O957" s="12" t="s">
        <v>6115</v>
      </c>
      <c r="P957" s="12"/>
      <c r="Q957" s="12">
        <v>1</v>
      </c>
    </row>
    <row r="958" spans="1:17" ht="15.75" customHeight="1">
      <c r="A958" s="12">
        <v>77</v>
      </c>
      <c r="B958" s="12">
        <v>1283</v>
      </c>
      <c r="C958" s="12">
        <v>18181</v>
      </c>
      <c r="D958" s="12" t="s">
        <v>6047</v>
      </c>
      <c r="E958" s="12" t="s">
        <v>2751</v>
      </c>
      <c r="F958" s="12" t="s">
        <v>10143</v>
      </c>
      <c r="G958" s="12" t="s">
        <v>10144</v>
      </c>
      <c r="H958" s="12" t="s">
        <v>6051</v>
      </c>
      <c r="I958" s="12" t="s">
        <v>6857</v>
      </c>
      <c r="J958" s="12">
        <v>18181</v>
      </c>
      <c r="K958" s="12" t="s">
        <v>10145</v>
      </c>
      <c r="L958" s="12" t="s">
        <v>6564</v>
      </c>
      <c r="M958" s="13">
        <v>45970</v>
      </c>
      <c r="N958" s="12" t="s">
        <v>10146</v>
      </c>
      <c r="O958" s="12" t="s">
        <v>10147</v>
      </c>
      <c r="P958" s="12"/>
      <c r="Q958" s="12">
        <v>1</v>
      </c>
    </row>
    <row r="959" spans="1:17" ht="15.75" customHeight="1">
      <c r="A959" s="12">
        <v>122</v>
      </c>
      <c r="B959" s="12">
        <v>1476</v>
      </c>
      <c r="C959" s="12">
        <v>23850</v>
      </c>
      <c r="D959" s="12" t="s">
        <v>6047</v>
      </c>
      <c r="E959" s="12" t="s">
        <v>10148</v>
      </c>
      <c r="F959" s="12" t="s">
        <v>10149</v>
      </c>
      <c r="G959" s="12" t="s">
        <v>10150</v>
      </c>
      <c r="H959" s="12" t="s">
        <v>6051</v>
      </c>
      <c r="I959" s="12" t="s">
        <v>7756</v>
      </c>
      <c r="J959" s="12">
        <v>23850</v>
      </c>
      <c r="K959" s="12" t="s">
        <v>7102</v>
      </c>
      <c r="L959" s="12" t="s">
        <v>6511</v>
      </c>
      <c r="M959" s="13">
        <v>45965</v>
      </c>
      <c r="N959" s="12" t="s">
        <v>7103</v>
      </c>
      <c r="O959" s="12" t="s">
        <v>7104</v>
      </c>
      <c r="P959" s="12"/>
      <c r="Q959" s="12">
        <v>1</v>
      </c>
    </row>
    <row r="960" spans="1:17" ht="15.75" customHeight="1">
      <c r="A960" s="12">
        <v>1346</v>
      </c>
      <c r="B960" s="12">
        <v>518</v>
      </c>
      <c r="C960" s="12">
        <v>6827</v>
      </c>
      <c r="D960" s="12" t="s">
        <v>6047</v>
      </c>
      <c r="E960" s="12" t="s">
        <v>2719</v>
      </c>
      <c r="F960" s="12" t="s">
        <v>10151</v>
      </c>
      <c r="G960" s="12" t="s">
        <v>10152</v>
      </c>
      <c r="H960" s="12" t="s">
        <v>6582</v>
      </c>
      <c r="I960" s="12" t="s">
        <v>6583</v>
      </c>
      <c r="J960" s="12">
        <v>6827</v>
      </c>
      <c r="K960" s="12" t="s">
        <v>6215</v>
      </c>
      <c r="L960" s="12" t="s">
        <v>6216</v>
      </c>
      <c r="M960" s="13">
        <v>41918</v>
      </c>
      <c r="N960" s="12" t="s">
        <v>6217</v>
      </c>
      <c r="O960" s="12" t="s">
        <v>6218</v>
      </c>
      <c r="P960" s="12"/>
      <c r="Q960" s="12">
        <v>1</v>
      </c>
    </row>
    <row r="961" spans="1:17" ht="15.75" customHeight="1">
      <c r="A961" s="12">
        <v>316</v>
      </c>
      <c r="B961" s="12">
        <v>480</v>
      </c>
      <c r="C961" s="12">
        <v>6447</v>
      </c>
      <c r="D961" s="12" t="s">
        <v>6047</v>
      </c>
      <c r="E961" s="12" t="s">
        <v>10153</v>
      </c>
      <c r="F961" s="12" t="s">
        <v>10154</v>
      </c>
      <c r="G961" s="12" t="s">
        <v>10155</v>
      </c>
      <c r="H961" s="12" t="s">
        <v>6137</v>
      </c>
      <c r="I961" s="12" t="s">
        <v>6200</v>
      </c>
      <c r="J961" s="12">
        <v>6447</v>
      </c>
      <c r="K961" s="12" t="s">
        <v>7071</v>
      </c>
      <c r="L961" s="12" t="s">
        <v>6240</v>
      </c>
      <c r="M961" s="13">
        <v>45060</v>
      </c>
      <c r="N961" s="12" t="s">
        <v>7072</v>
      </c>
      <c r="O961" s="12" t="s">
        <v>10156</v>
      </c>
      <c r="P961" s="12"/>
      <c r="Q961" s="12">
        <v>1</v>
      </c>
    </row>
    <row r="962" spans="1:17" ht="15.75" customHeight="1">
      <c r="A962" s="12">
        <v>1856</v>
      </c>
      <c r="B962" s="12">
        <v>237</v>
      </c>
      <c r="C962" s="12">
        <v>4303</v>
      </c>
      <c r="D962" s="12" t="s">
        <v>6047</v>
      </c>
      <c r="E962" s="12" t="s">
        <v>10157</v>
      </c>
      <c r="F962" s="12" t="s">
        <v>10158</v>
      </c>
      <c r="G962" s="12" t="s">
        <v>10159</v>
      </c>
      <c r="H962" s="12" t="s">
        <v>6163</v>
      </c>
      <c r="I962" s="12" t="s">
        <v>6253</v>
      </c>
      <c r="J962" s="12">
        <v>4303</v>
      </c>
      <c r="K962" s="12" t="s">
        <v>6062</v>
      </c>
      <c r="L962" s="12" t="s">
        <v>6063</v>
      </c>
      <c r="M962" s="13">
        <v>40873</v>
      </c>
      <c r="N962" s="12" t="s">
        <v>6064</v>
      </c>
      <c r="O962" s="12" t="s">
        <v>6065</v>
      </c>
      <c r="P962" s="12"/>
      <c r="Q962" s="12">
        <v>1</v>
      </c>
    </row>
    <row r="963" spans="1:17" ht="15.75" customHeight="1">
      <c r="A963" s="12">
        <v>1338</v>
      </c>
      <c r="B963" s="12">
        <v>612</v>
      </c>
      <c r="C963" s="12">
        <v>7673</v>
      </c>
      <c r="D963" s="12" t="s">
        <v>6047</v>
      </c>
      <c r="E963" s="12" t="s">
        <v>2758</v>
      </c>
      <c r="F963" s="12" t="s">
        <v>10160</v>
      </c>
      <c r="G963" s="12" t="s">
        <v>10161</v>
      </c>
      <c r="H963" s="12" t="s">
        <v>6187</v>
      </c>
      <c r="I963" s="12" t="s">
        <v>6224</v>
      </c>
      <c r="J963" s="12">
        <v>7673</v>
      </c>
      <c r="K963" s="12" t="s">
        <v>7750</v>
      </c>
      <c r="L963" s="12" t="s">
        <v>6106</v>
      </c>
      <c r="M963" s="13">
        <v>41920</v>
      </c>
      <c r="N963" s="12" t="s">
        <v>7751</v>
      </c>
      <c r="O963" s="12" t="s">
        <v>7752</v>
      </c>
      <c r="P963" s="12"/>
      <c r="Q963" s="12">
        <v>1</v>
      </c>
    </row>
    <row r="964" spans="1:17" ht="15.75" customHeight="1">
      <c r="A964" s="12">
        <v>813</v>
      </c>
      <c r="B964" s="12">
        <v>536</v>
      </c>
      <c r="C964" s="12">
        <v>6949</v>
      </c>
      <c r="D964" s="12" t="s">
        <v>6047</v>
      </c>
      <c r="E964" s="12" t="s">
        <v>10162</v>
      </c>
      <c r="F964" s="12" t="s">
        <v>10163</v>
      </c>
      <c r="G964" s="12" t="s">
        <v>10164</v>
      </c>
      <c r="H964" s="12" t="s">
        <v>9126</v>
      </c>
      <c r="I964" s="12" t="s">
        <v>9127</v>
      </c>
      <c r="J964" s="12">
        <v>6949</v>
      </c>
      <c r="K964" s="12" t="s">
        <v>10165</v>
      </c>
      <c r="L964" s="12" t="s">
        <v>6590</v>
      </c>
      <c r="M964" s="13">
        <v>43028</v>
      </c>
      <c r="N964" s="12" t="s">
        <v>10166</v>
      </c>
      <c r="O964" s="12" t="s">
        <v>10167</v>
      </c>
      <c r="P964" s="12"/>
      <c r="Q964" s="12">
        <v>1</v>
      </c>
    </row>
    <row r="965" spans="1:17" ht="15.75" customHeight="1">
      <c r="A965" s="12">
        <v>888</v>
      </c>
      <c r="B965" s="12">
        <v>562</v>
      </c>
      <c r="C965" s="12">
        <v>7377</v>
      </c>
      <c r="D965" s="12" t="s">
        <v>6047</v>
      </c>
      <c r="E965" s="12" t="s">
        <v>2763</v>
      </c>
      <c r="F965" s="12" t="s">
        <v>10168</v>
      </c>
      <c r="G965" s="12" t="s">
        <v>10169</v>
      </c>
      <c r="H965" s="12" t="s">
        <v>6084</v>
      </c>
      <c r="I965" s="12" t="s">
        <v>7239</v>
      </c>
      <c r="J965" s="12">
        <v>7377</v>
      </c>
      <c r="K965" s="12" t="s">
        <v>6569</v>
      </c>
      <c r="L965" s="12" t="s">
        <v>6564</v>
      </c>
      <c r="M965" s="13">
        <v>43015</v>
      </c>
      <c r="N965" s="12" t="s">
        <v>6570</v>
      </c>
      <c r="O965" s="12" t="s">
        <v>6623</v>
      </c>
      <c r="P965" s="12"/>
      <c r="Q965" s="12">
        <v>1</v>
      </c>
    </row>
    <row r="966" spans="1:17" ht="15.75" customHeight="1">
      <c r="A966" s="12">
        <v>824</v>
      </c>
      <c r="B966" s="12">
        <v>1432</v>
      </c>
      <c r="C966" s="12">
        <v>21611</v>
      </c>
      <c r="D966" s="12" t="s">
        <v>6047</v>
      </c>
      <c r="E966" s="12" t="s">
        <v>10170</v>
      </c>
      <c r="F966" s="12" t="s">
        <v>10171</v>
      </c>
      <c r="G966" s="12" t="s">
        <v>10172</v>
      </c>
      <c r="H966" s="12" t="s">
        <v>6051</v>
      </c>
      <c r="I966" s="12" t="s">
        <v>6299</v>
      </c>
      <c r="J966" s="12">
        <v>21611</v>
      </c>
      <c r="K966" s="12" t="s">
        <v>10173</v>
      </c>
      <c r="L966" s="12" t="s">
        <v>6590</v>
      </c>
      <c r="M966" s="13">
        <v>43025</v>
      </c>
      <c r="N966" s="12" t="s">
        <v>10174</v>
      </c>
      <c r="O966" s="12" t="s">
        <v>10175</v>
      </c>
      <c r="P966" s="12"/>
      <c r="Q966" s="12">
        <v>1</v>
      </c>
    </row>
    <row r="967" spans="1:17" ht="15.75" customHeight="1">
      <c r="A967" s="12">
        <v>1952</v>
      </c>
      <c r="B967" s="12">
        <v>676</v>
      </c>
      <c r="C967" s="12">
        <v>8134</v>
      </c>
      <c r="D967" s="12" t="s">
        <v>6047</v>
      </c>
      <c r="E967" s="12" t="s">
        <v>10176</v>
      </c>
      <c r="F967" s="12" t="s">
        <v>10177</v>
      </c>
      <c r="G967" s="12" t="s">
        <v>10178</v>
      </c>
      <c r="H967" s="12" t="s">
        <v>6075</v>
      </c>
      <c r="I967" s="12" t="s">
        <v>6076</v>
      </c>
      <c r="J967" s="12">
        <v>8134</v>
      </c>
      <c r="K967" s="12" t="s">
        <v>6548</v>
      </c>
      <c r="L967" s="12" t="s">
        <v>6549</v>
      </c>
      <c r="M967" s="13">
        <v>38580</v>
      </c>
      <c r="N967" s="12" t="s">
        <v>6550</v>
      </c>
      <c r="O967" s="12" t="s">
        <v>6551</v>
      </c>
      <c r="P967" s="12"/>
      <c r="Q967" s="12">
        <v>1</v>
      </c>
    </row>
    <row r="968" spans="1:17" ht="15.75" customHeight="1">
      <c r="A968" s="12">
        <v>1962</v>
      </c>
      <c r="B968" s="12">
        <v>459</v>
      </c>
      <c r="C968" s="12">
        <v>6219</v>
      </c>
      <c r="D968" s="12" t="s">
        <v>6047</v>
      </c>
      <c r="E968" s="12" t="s">
        <v>2721</v>
      </c>
      <c r="F968" s="12" t="s">
        <v>10179</v>
      </c>
      <c r="G968" s="12" t="s">
        <v>10180</v>
      </c>
      <c r="H968" s="12" t="s">
        <v>6137</v>
      </c>
      <c r="I968" s="12" t="s">
        <v>6391</v>
      </c>
      <c r="J968" s="12">
        <v>6219</v>
      </c>
      <c r="K968" s="12" t="s">
        <v>7298</v>
      </c>
      <c r="L968" s="12" t="s">
        <v>6113</v>
      </c>
      <c r="M968" s="13">
        <v>38579</v>
      </c>
      <c r="N968" s="12" t="s">
        <v>7299</v>
      </c>
      <c r="O968" s="12" t="s">
        <v>7300</v>
      </c>
      <c r="P968" s="12"/>
      <c r="Q968" s="12">
        <v>1</v>
      </c>
    </row>
    <row r="969" spans="1:17" ht="15.75" customHeight="1">
      <c r="A969" s="12">
        <v>37</v>
      </c>
      <c r="B969" s="12">
        <v>504</v>
      </c>
      <c r="C969" s="12">
        <v>6682</v>
      </c>
      <c r="D969" s="12" t="s">
        <v>6047</v>
      </c>
      <c r="E969" s="12" t="s">
        <v>10181</v>
      </c>
      <c r="F969" s="12" t="s">
        <v>10182</v>
      </c>
      <c r="G969" s="12" t="s">
        <v>10183</v>
      </c>
      <c r="H969" s="12" t="s">
        <v>6137</v>
      </c>
      <c r="I969" s="12" t="s">
        <v>6200</v>
      </c>
      <c r="J969" s="12">
        <v>6682</v>
      </c>
      <c r="K969" s="12" t="s">
        <v>10184</v>
      </c>
      <c r="L969" s="12" t="s">
        <v>6590</v>
      </c>
      <c r="M969" s="13">
        <v>45975</v>
      </c>
      <c r="N969" s="12" t="s">
        <v>10185</v>
      </c>
      <c r="O969" s="12" t="s">
        <v>10186</v>
      </c>
      <c r="P969" s="12"/>
      <c r="Q969" s="12">
        <v>1</v>
      </c>
    </row>
    <row r="970" spans="1:17" ht="15.75" customHeight="1">
      <c r="A970" s="12">
        <v>960</v>
      </c>
      <c r="B970" s="12">
        <v>4</v>
      </c>
      <c r="C970" s="12">
        <v>174</v>
      </c>
      <c r="D970" s="12" t="s">
        <v>6047</v>
      </c>
      <c r="E970" s="12" t="s">
        <v>10187</v>
      </c>
      <c r="F970" s="12" t="s">
        <v>10188</v>
      </c>
      <c r="G970" s="12" t="s">
        <v>10189</v>
      </c>
      <c r="H970" s="12" t="s">
        <v>9540</v>
      </c>
      <c r="I970" s="12" t="s">
        <v>9541</v>
      </c>
      <c r="J970" s="12">
        <v>174</v>
      </c>
      <c r="K970" s="12" t="s">
        <v>7376</v>
      </c>
      <c r="L970" s="12" t="s">
        <v>6054</v>
      </c>
      <c r="M970" s="13">
        <v>42826</v>
      </c>
      <c r="N970" s="12" t="s">
        <v>7377</v>
      </c>
      <c r="O970" s="12" t="s">
        <v>7378</v>
      </c>
      <c r="P970" s="12"/>
      <c r="Q970" s="12">
        <v>1</v>
      </c>
    </row>
    <row r="971" spans="1:17" ht="15.75" customHeight="1">
      <c r="A971" s="12">
        <v>868</v>
      </c>
      <c r="B971" s="12">
        <v>1261</v>
      </c>
      <c r="C971" s="12">
        <v>17859</v>
      </c>
      <c r="D971" s="12" t="s">
        <v>6047</v>
      </c>
      <c r="E971" s="12" t="s">
        <v>10190</v>
      </c>
      <c r="F971" s="12" t="s">
        <v>10191</v>
      </c>
      <c r="G971" s="12" t="s">
        <v>10192</v>
      </c>
      <c r="H971" s="12" t="s">
        <v>6051</v>
      </c>
      <c r="I971" s="12" t="s">
        <v>6857</v>
      </c>
      <c r="J971" s="12">
        <v>17859</v>
      </c>
      <c r="K971" s="12" t="s">
        <v>6606</v>
      </c>
      <c r="L971" s="12" t="s">
        <v>6564</v>
      </c>
      <c r="M971" s="13">
        <v>43017</v>
      </c>
      <c r="N971" s="12" t="s">
        <v>6607</v>
      </c>
      <c r="O971" s="12" t="s">
        <v>6608</v>
      </c>
      <c r="P971" s="12"/>
      <c r="Q971" s="12">
        <v>1</v>
      </c>
    </row>
    <row r="972" spans="1:17" ht="15.75" customHeight="1">
      <c r="A972" s="12">
        <v>207</v>
      </c>
      <c r="B972" s="12">
        <v>1641</v>
      </c>
      <c r="C972" s="12">
        <v>29646</v>
      </c>
      <c r="D972" s="12" t="s">
        <v>6047</v>
      </c>
      <c r="E972" s="12" t="s">
        <v>2777</v>
      </c>
      <c r="F972" s="12" t="s">
        <v>10193</v>
      </c>
      <c r="G972" s="12" t="s">
        <v>10194</v>
      </c>
      <c r="H972" s="12" t="s">
        <v>6051</v>
      </c>
      <c r="I972" s="12" t="s">
        <v>6111</v>
      </c>
      <c r="J972" s="12">
        <v>29646</v>
      </c>
      <c r="K972" s="12" t="s">
        <v>10195</v>
      </c>
      <c r="L972" s="12" t="s">
        <v>6518</v>
      </c>
      <c r="M972" s="13">
        <v>45611</v>
      </c>
      <c r="N972" s="12" t="s">
        <v>10196</v>
      </c>
      <c r="O972" s="12" t="s">
        <v>10197</v>
      </c>
      <c r="P972" s="12"/>
      <c r="Q972" s="12">
        <v>1</v>
      </c>
    </row>
    <row r="973" spans="1:17" ht="15.75" customHeight="1">
      <c r="A973" s="12">
        <v>1534</v>
      </c>
      <c r="B973" s="12">
        <v>1403</v>
      </c>
      <c r="C973" s="12">
        <v>21091</v>
      </c>
      <c r="D973" s="12" t="s">
        <v>6047</v>
      </c>
      <c r="E973" s="12" t="s">
        <v>10198</v>
      </c>
      <c r="F973" s="12" t="s">
        <v>10199</v>
      </c>
      <c r="G973" s="12" t="s">
        <v>10200</v>
      </c>
      <c r="H973" s="12" t="s">
        <v>6051</v>
      </c>
      <c r="I973" s="12" t="s">
        <v>9376</v>
      </c>
      <c r="J973" s="12">
        <v>21091</v>
      </c>
      <c r="K973" s="12" t="s">
        <v>7429</v>
      </c>
      <c r="L973" s="12" t="s">
        <v>6255</v>
      </c>
      <c r="M973" s="13">
        <v>41568</v>
      </c>
      <c r="N973" s="12" t="s">
        <v>7430</v>
      </c>
      <c r="O973" s="12" t="s">
        <v>7431</v>
      </c>
      <c r="P973" s="12"/>
      <c r="Q973" s="12">
        <v>1</v>
      </c>
    </row>
    <row r="974" spans="1:17" ht="15.75" customHeight="1">
      <c r="A974" s="12">
        <v>229</v>
      </c>
      <c r="B974" s="12">
        <v>1480</v>
      </c>
      <c r="C974" s="12">
        <v>23964</v>
      </c>
      <c r="D974" s="12" t="s">
        <v>6047</v>
      </c>
      <c r="E974" s="12" t="s">
        <v>10201</v>
      </c>
      <c r="F974" s="12" t="s">
        <v>10202</v>
      </c>
      <c r="G974" s="12" t="s">
        <v>10203</v>
      </c>
      <c r="H974" s="12" t="s">
        <v>6051</v>
      </c>
      <c r="I974" s="12" t="s">
        <v>6516</v>
      </c>
      <c r="J974" s="12">
        <v>23964</v>
      </c>
      <c r="K974" s="12" t="s">
        <v>6517</v>
      </c>
      <c r="L974" s="12" t="s">
        <v>6518</v>
      </c>
      <c r="M974" s="13">
        <v>45608</v>
      </c>
      <c r="N974" s="12" t="s">
        <v>6519</v>
      </c>
      <c r="O974" s="12" t="s">
        <v>6520</v>
      </c>
      <c r="P974" s="12"/>
      <c r="Q974" s="12">
        <v>1</v>
      </c>
    </row>
    <row r="975" spans="1:17" ht="15.75" customHeight="1">
      <c r="A975" s="12">
        <v>803</v>
      </c>
      <c r="B975" s="12">
        <v>921</v>
      </c>
      <c r="C975" s="12">
        <v>12196</v>
      </c>
      <c r="D975" s="12" t="s">
        <v>6047</v>
      </c>
      <c r="E975" s="12" t="s">
        <v>10204</v>
      </c>
      <c r="F975" s="12" t="s">
        <v>10205</v>
      </c>
      <c r="G975" s="12" t="s">
        <v>10206</v>
      </c>
      <c r="H975" s="12" t="s">
        <v>6627</v>
      </c>
      <c r="I975" s="12" t="s">
        <v>9110</v>
      </c>
      <c r="J975" s="12">
        <v>12196</v>
      </c>
      <c r="K975" s="12" t="s">
        <v>10207</v>
      </c>
      <c r="L975" s="12" t="s">
        <v>6590</v>
      </c>
      <c r="M975" s="13">
        <v>43030</v>
      </c>
      <c r="N975" s="12" t="s">
        <v>10208</v>
      </c>
      <c r="O975" s="12" t="s">
        <v>10209</v>
      </c>
      <c r="P975" s="12"/>
      <c r="Q975" s="12">
        <v>1</v>
      </c>
    </row>
    <row r="976" spans="1:17" ht="15.75" customHeight="1">
      <c r="A976" s="12">
        <v>1440</v>
      </c>
      <c r="B976" s="12">
        <v>1461</v>
      </c>
      <c r="C976" s="12">
        <v>22880</v>
      </c>
      <c r="D976" s="12" t="s">
        <v>6047</v>
      </c>
      <c r="E976" s="12" t="s">
        <v>10210</v>
      </c>
      <c r="F976" s="12" t="s">
        <v>10211</v>
      </c>
      <c r="G976" s="12" t="s">
        <v>10212</v>
      </c>
      <c r="H976" s="12" t="s">
        <v>6051</v>
      </c>
      <c r="I976" s="12" t="s">
        <v>10213</v>
      </c>
      <c r="J976" s="12">
        <v>22880</v>
      </c>
      <c r="K976" s="12" t="s">
        <v>6069</v>
      </c>
      <c r="L976" s="12" t="s">
        <v>6070</v>
      </c>
      <c r="M976" s="13">
        <v>41908</v>
      </c>
      <c r="N976" s="12" t="s">
        <v>6071</v>
      </c>
      <c r="O976" s="12" t="s">
        <v>6901</v>
      </c>
      <c r="P976" s="12"/>
      <c r="Q976" s="12">
        <v>1</v>
      </c>
    </row>
    <row r="977" spans="1:17" ht="15.75" customHeight="1">
      <c r="A977" s="12">
        <v>1570</v>
      </c>
      <c r="B977" s="12">
        <v>429</v>
      </c>
      <c r="C977" s="12">
        <v>6021</v>
      </c>
      <c r="D977" s="12" t="s">
        <v>6047</v>
      </c>
      <c r="E977" s="12" t="s">
        <v>10214</v>
      </c>
      <c r="F977" s="12" t="s">
        <v>10215</v>
      </c>
      <c r="G977" s="12" t="s">
        <v>10216</v>
      </c>
      <c r="H977" s="12" t="s">
        <v>6137</v>
      </c>
      <c r="I977" s="12" t="s">
        <v>6391</v>
      </c>
      <c r="J977" s="12">
        <v>6021</v>
      </c>
      <c r="K977" s="12" t="s">
        <v>10217</v>
      </c>
      <c r="L977" s="12" t="s">
        <v>6255</v>
      </c>
      <c r="M977" s="13">
        <v>41560</v>
      </c>
      <c r="N977" s="12" t="s">
        <v>10218</v>
      </c>
      <c r="O977" s="12" t="s">
        <v>10219</v>
      </c>
      <c r="P977" s="12"/>
      <c r="Q977" s="12">
        <v>1</v>
      </c>
    </row>
    <row r="978" spans="1:17" ht="15.75" customHeight="1">
      <c r="A978" s="12">
        <v>1640</v>
      </c>
      <c r="B978" s="12">
        <v>435</v>
      </c>
      <c r="C978" s="12">
        <v>6061</v>
      </c>
      <c r="D978" s="12" t="s">
        <v>6047</v>
      </c>
      <c r="E978" s="12" t="s">
        <v>10220</v>
      </c>
      <c r="F978" s="12" t="s">
        <v>10221</v>
      </c>
      <c r="G978" s="12" t="s">
        <v>10222</v>
      </c>
      <c r="H978" s="12" t="s">
        <v>6137</v>
      </c>
      <c r="I978" s="12" t="s">
        <v>6391</v>
      </c>
      <c r="J978" s="12">
        <v>6061</v>
      </c>
      <c r="K978" s="12" t="s">
        <v>10223</v>
      </c>
      <c r="L978" s="12" t="s">
        <v>6345</v>
      </c>
      <c r="M978" s="13">
        <v>41274</v>
      </c>
      <c r="N978" s="12" t="s">
        <v>10224</v>
      </c>
      <c r="O978" s="12" t="s">
        <v>10225</v>
      </c>
      <c r="P978" s="12"/>
      <c r="Q978" s="12">
        <v>1</v>
      </c>
    </row>
    <row r="979" spans="1:17" ht="15.75" customHeight="1">
      <c r="A979" s="12">
        <v>1699</v>
      </c>
      <c r="B979" s="12">
        <v>1528</v>
      </c>
      <c r="C979" s="12">
        <v>27074</v>
      </c>
      <c r="D979" s="12" t="s">
        <v>6047</v>
      </c>
      <c r="E979" s="12" t="s">
        <v>10226</v>
      </c>
      <c r="F979" s="12" t="s">
        <v>10227</v>
      </c>
      <c r="G979" s="12" t="s">
        <v>10228</v>
      </c>
      <c r="H979" s="12" t="s">
        <v>6051</v>
      </c>
      <c r="I979" s="12" t="s">
        <v>7563</v>
      </c>
      <c r="J979" s="12">
        <v>27074</v>
      </c>
      <c r="K979" s="12" t="s">
        <v>8598</v>
      </c>
      <c r="L979" s="12" t="s">
        <v>7333</v>
      </c>
      <c r="M979" s="13">
        <v>40878</v>
      </c>
      <c r="N979" s="12" t="s">
        <v>8599</v>
      </c>
      <c r="O979" s="12" t="s">
        <v>8600</v>
      </c>
      <c r="P979" s="12"/>
      <c r="Q979" s="12">
        <v>1</v>
      </c>
    </row>
    <row r="980" spans="1:17" ht="15.75" customHeight="1">
      <c r="A980" s="12">
        <v>1027</v>
      </c>
      <c r="B980" s="12">
        <v>235</v>
      </c>
      <c r="C980" s="12">
        <v>4273</v>
      </c>
      <c r="D980" s="12" t="s">
        <v>6047</v>
      </c>
      <c r="E980" s="12" t="s">
        <v>10229</v>
      </c>
      <c r="F980" s="12" t="s">
        <v>10230</v>
      </c>
      <c r="G980" s="12" t="s">
        <v>10231</v>
      </c>
      <c r="H980" s="12" t="s">
        <v>6163</v>
      </c>
      <c r="I980" s="12" t="s">
        <v>6253</v>
      </c>
      <c r="J980" s="12">
        <v>4273</v>
      </c>
      <c r="K980" s="12" t="s">
        <v>7108</v>
      </c>
      <c r="L980" s="12" t="s">
        <v>6054</v>
      </c>
      <c r="M980" s="13">
        <v>42691</v>
      </c>
      <c r="N980" s="12" t="s">
        <v>7109</v>
      </c>
      <c r="O980" s="12" t="s">
        <v>7110</v>
      </c>
      <c r="P980" s="12"/>
      <c r="Q980" s="12">
        <v>1</v>
      </c>
    </row>
    <row r="981" spans="1:17" ht="15.75" customHeight="1">
      <c r="A981" s="12">
        <v>1097</v>
      </c>
      <c r="B981" s="12">
        <v>291</v>
      </c>
      <c r="C981" s="12">
        <v>4725</v>
      </c>
      <c r="D981" s="12" t="s">
        <v>6047</v>
      </c>
      <c r="E981" s="12" t="s">
        <v>10232</v>
      </c>
      <c r="F981" s="12" t="s">
        <v>10233</v>
      </c>
      <c r="G981" s="12" t="s">
        <v>10234</v>
      </c>
      <c r="H981" s="12" t="s">
        <v>6163</v>
      </c>
      <c r="I981" s="12" t="s">
        <v>6253</v>
      </c>
      <c r="J981" s="12">
        <v>4725</v>
      </c>
      <c r="K981" s="12" t="s">
        <v>7166</v>
      </c>
      <c r="L981" s="12" t="s">
        <v>6504</v>
      </c>
      <c r="M981" s="13">
        <v>42685</v>
      </c>
      <c r="N981" s="12" t="s">
        <v>7167</v>
      </c>
      <c r="O981" s="12" t="s">
        <v>7168</v>
      </c>
      <c r="P981" s="12"/>
      <c r="Q981" s="12">
        <v>1</v>
      </c>
    </row>
    <row r="982" spans="1:17" ht="15.75" customHeight="1">
      <c r="A982" s="12">
        <v>1322</v>
      </c>
      <c r="B982" s="12">
        <v>666</v>
      </c>
      <c r="C982" s="12">
        <v>8034</v>
      </c>
      <c r="D982" s="12" t="s">
        <v>6047</v>
      </c>
      <c r="E982" s="12" t="s">
        <v>10235</v>
      </c>
      <c r="F982" s="12" t="s">
        <v>10236</v>
      </c>
      <c r="G982" s="12" t="s">
        <v>10237</v>
      </c>
      <c r="H982" s="12" t="s">
        <v>6075</v>
      </c>
      <c r="I982" s="12" t="s">
        <v>6076</v>
      </c>
      <c r="J982" s="12">
        <v>8034</v>
      </c>
      <c r="K982" s="12" t="s">
        <v>6105</v>
      </c>
      <c r="L982" s="12" t="s">
        <v>6106</v>
      </c>
      <c r="M982" s="13">
        <v>41924</v>
      </c>
      <c r="N982" s="12" t="s">
        <v>6107</v>
      </c>
      <c r="O982" s="12" t="s">
        <v>7676</v>
      </c>
      <c r="P982" s="12"/>
      <c r="Q982" s="12">
        <v>1</v>
      </c>
    </row>
    <row r="983" spans="1:17" ht="15.75" customHeight="1">
      <c r="A983" s="12">
        <v>504</v>
      </c>
      <c r="B983" s="12">
        <v>746</v>
      </c>
      <c r="C983" s="12">
        <v>9253</v>
      </c>
      <c r="D983" s="12" t="s">
        <v>6047</v>
      </c>
      <c r="E983" s="12" t="s">
        <v>10238</v>
      </c>
      <c r="F983" s="12" t="s">
        <v>10239</v>
      </c>
      <c r="G983" s="12" t="s">
        <v>10240</v>
      </c>
      <c r="H983" s="12" t="s">
        <v>6275</v>
      </c>
      <c r="I983" s="12" t="s">
        <v>6453</v>
      </c>
      <c r="J983" s="12">
        <v>9253</v>
      </c>
      <c r="K983" s="12" t="s">
        <v>7071</v>
      </c>
      <c r="L983" s="12" t="s">
        <v>6240</v>
      </c>
      <c r="M983" s="13">
        <v>43592</v>
      </c>
      <c r="N983" s="12" t="s">
        <v>7072</v>
      </c>
      <c r="O983" s="12" t="s">
        <v>10241</v>
      </c>
      <c r="P983" s="12"/>
      <c r="Q983" s="12">
        <v>1</v>
      </c>
    </row>
    <row r="984" spans="1:17" ht="15.75" customHeight="1">
      <c r="A984" s="12">
        <v>1523</v>
      </c>
      <c r="B984" s="12">
        <v>66</v>
      </c>
      <c r="C984" s="12">
        <v>741</v>
      </c>
      <c r="D984" s="12" t="s">
        <v>6047</v>
      </c>
      <c r="E984" s="12" t="s">
        <v>10242</v>
      </c>
      <c r="F984" s="12" t="s">
        <v>10243</v>
      </c>
      <c r="G984" s="12" t="s">
        <v>10244</v>
      </c>
      <c r="H984" s="12" t="s">
        <v>6289</v>
      </c>
      <c r="I984" s="12" t="s">
        <v>6290</v>
      </c>
      <c r="J984" s="12">
        <v>741</v>
      </c>
      <c r="K984" s="12" t="s">
        <v>8422</v>
      </c>
      <c r="L984" s="12" t="s">
        <v>6240</v>
      </c>
      <c r="M984" s="13">
        <v>41735</v>
      </c>
      <c r="N984" s="12" t="s">
        <v>8423</v>
      </c>
      <c r="O984" s="12" t="s">
        <v>8424</v>
      </c>
      <c r="P984" s="12"/>
      <c r="Q984" s="12">
        <v>1</v>
      </c>
    </row>
    <row r="985" spans="1:17" ht="15.75" customHeight="1">
      <c r="A985" s="12">
        <v>1996</v>
      </c>
      <c r="B985" s="12">
        <v>1406</v>
      </c>
      <c r="C985" s="12">
        <v>21138</v>
      </c>
      <c r="D985" s="12" t="s">
        <v>6047</v>
      </c>
      <c r="E985" s="12" t="s">
        <v>10245</v>
      </c>
      <c r="F985" s="12" t="s">
        <v>10246</v>
      </c>
      <c r="G985" s="12" t="s">
        <v>10247</v>
      </c>
      <c r="H985" s="12" t="s">
        <v>6051</v>
      </c>
      <c r="I985" s="12" t="s">
        <v>9376</v>
      </c>
      <c r="J985" s="12">
        <v>21138</v>
      </c>
      <c r="K985" s="12" t="s">
        <v>6112</v>
      </c>
      <c r="L985" s="12" t="s">
        <v>6113</v>
      </c>
      <c r="M985" s="13">
        <v>38573</v>
      </c>
      <c r="N985" s="12" t="s">
        <v>6114</v>
      </c>
      <c r="O985" s="12" t="s">
        <v>6115</v>
      </c>
      <c r="P985" s="12"/>
      <c r="Q985" s="12">
        <v>1</v>
      </c>
    </row>
    <row r="986" spans="1:17" ht="15.75" customHeight="1">
      <c r="A986" s="12">
        <v>222</v>
      </c>
      <c r="B986" s="12">
        <v>819</v>
      </c>
      <c r="C986" s="12">
        <v>10373</v>
      </c>
      <c r="D986" s="12" t="s">
        <v>6047</v>
      </c>
      <c r="E986" s="12" t="s">
        <v>2812</v>
      </c>
      <c r="F986" s="12" t="s">
        <v>10248</v>
      </c>
      <c r="G986" s="12" t="s">
        <v>10249</v>
      </c>
      <c r="H986" s="12" t="s">
        <v>6265</v>
      </c>
      <c r="I986" s="12" t="s">
        <v>10250</v>
      </c>
      <c r="J986" s="12">
        <v>10373</v>
      </c>
      <c r="K986" s="12" t="s">
        <v>6524</v>
      </c>
      <c r="L986" s="12" t="s">
        <v>6518</v>
      </c>
      <c r="M986" s="13">
        <v>45609</v>
      </c>
      <c r="N986" s="12" t="s">
        <v>6525</v>
      </c>
      <c r="O986" s="12" t="s">
        <v>6526</v>
      </c>
      <c r="P986" s="12"/>
      <c r="Q986" s="12">
        <v>1</v>
      </c>
    </row>
    <row r="987" spans="1:17" ht="15.75" customHeight="1">
      <c r="A987" s="12">
        <v>344</v>
      </c>
      <c r="B987" s="12">
        <v>1089</v>
      </c>
      <c r="C987" s="12">
        <v>15700</v>
      </c>
      <c r="D987" s="12" t="s">
        <v>6047</v>
      </c>
      <c r="E987" s="12" t="s">
        <v>10251</v>
      </c>
      <c r="F987" s="12" t="s">
        <v>10252</v>
      </c>
      <c r="G987" s="12" t="s">
        <v>10253</v>
      </c>
      <c r="H987" s="12" t="s">
        <v>6051</v>
      </c>
      <c r="I987" s="12" t="s">
        <v>7511</v>
      </c>
      <c r="J987" s="12">
        <v>15700</v>
      </c>
      <c r="K987" s="12" t="s">
        <v>8817</v>
      </c>
      <c r="L987" s="12" t="s">
        <v>6732</v>
      </c>
      <c r="M987" s="13">
        <v>44725</v>
      </c>
      <c r="N987" s="12" t="s">
        <v>8818</v>
      </c>
      <c r="O987" s="12" t="s">
        <v>10254</v>
      </c>
      <c r="P987" s="12"/>
      <c r="Q987" s="12">
        <v>1</v>
      </c>
    </row>
    <row r="988" spans="1:17" ht="15.75" customHeight="1">
      <c r="A988" s="12">
        <v>415</v>
      </c>
      <c r="B988" s="12">
        <v>1651</v>
      </c>
      <c r="C988" s="12">
        <v>29908</v>
      </c>
      <c r="D988" s="12" t="s">
        <v>6047</v>
      </c>
      <c r="E988" s="12" t="s">
        <v>10255</v>
      </c>
      <c r="F988" s="12" t="s">
        <v>10256</v>
      </c>
      <c r="G988" s="12" t="s">
        <v>10257</v>
      </c>
      <c r="H988" s="12" t="s">
        <v>6051</v>
      </c>
      <c r="I988" s="12" t="s">
        <v>7018</v>
      </c>
      <c r="J988" s="12">
        <v>29908</v>
      </c>
      <c r="K988" s="12" t="s">
        <v>7019</v>
      </c>
      <c r="L988" s="12" t="s">
        <v>7020</v>
      </c>
      <c r="M988" s="13">
        <v>44715</v>
      </c>
      <c r="N988" s="12" t="s">
        <v>7021</v>
      </c>
      <c r="O988" s="12" t="s">
        <v>7022</v>
      </c>
      <c r="P988" s="12"/>
      <c r="Q988" s="12">
        <v>1</v>
      </c>
    </row>
    <row r="989" spans="1:17" ht="15.75" customHeight="1">
      <c r="A989" s="12">
        <v>1245</v>
      </c>
      <c r="B989" s="12">
        <v>257</v>
      </c>
      <c r="C989" s="12">
        <v>4471</v>
      </c>
      <c r="D989" s="12" t="s">
        <v>6047</v>
      </c>
      <c r="E989" s="12" t="s">
        <v>10258</v>
      </c>
      <c r="F989" s="12" t="s">
        <v>10259</v>
      </c>
      <c r="G989" s="12" t="s">
        <v>10260</v>
      </c>
      <c r="H989" s="12" t="s">
        <v>6163</v>
      </c>
      <c r="I989" s="12" t="s">
        <v>6253</v>
      </c>
      <c r="J989" s="12">
        <v>4471</v>
      </c>
      <c r="K989" s="12" t="s">
        <v>6429</v>
      </c>
      <c r="L989" s="12" t="s">
        <v>6423</v>
      </c>
      <c r="M989" s="13">
        <v>41991</v>
      </c>
      <c r="N989" s="12" t="s">
        <v>6430</v>
      </c>
      <c r="O989" s="12" t="s">
        <v>6431</v>
      </c>
      <c r="P989" s="12"/>
      <c r="Q989" s="12">
        <v>1</v>
      </c>
    </row>
    <row r="990" spans="1:17" ht="15.75" customHeight="1">
      <c r="A990" s="12">
        <v>932</v>
      </c>
      <c r="B990" s="12">
        <v>1209</v>
      </c>
      <c r="C990" s="12">
        <v>17220</v>
      </c>
      <c r="D990" s="12" t="s">
        <v>6047</v>
      </c>
      <c r="E990" s="12" t="s">
        <v>10261</v>
      </c>
      <c r="F990" s="12" t="s">
        <v>10262</v>
      </c>
      <c r="G990" s="12" t="s">
        <v>10263</v>
      </c>
      <c r="H990" s="12" t="s">
        <v>6051</v>
      </c>
      <c r="I990" s="12" t="s">
        <v>6052</v>
      </c>
      <c r="J990" s="12">
        <v>17220</v>
      </c>
      <c r="K990" s="12" t="s">
        <v>6752</v>
      </c>
      <c r="L990" s="12" t="s">
        <v>6753</v>
      </c>
      <c r="M990" s="13">
        <v>42828</v>
      </c>
      <c r="N990" s="12" t="s">
        <v>6754</v>
      </c>
      <c r="O990" s="12" t="s">
        <v>6891</v>
      </c>
      <c r="P990" s="12"/>
      <c r="Q990" s="12">
        <v>1</v>
      </c>
    </row>
    <row r="991" spans="1:17" ht="15.75" customHeight="1">
      <c r="A991" s="12">
        <v>1342</v>
      </c>
      <c r="B991" s="12">
        <v>405</v>
      </c>
      <c r="C991" s="12">
        <v>5857</v>
      </c>
      <c r="D991" s="12" t="s">
        <v>6047</v>
      </c>
      <c r="E991" s="12" t="s">
        <v>10264</v>
      </c>
      <c r="F991" s="12" t="s">
        <v>10265</v>
      </c>
      <c r="G991" s="12" t="s">
        <v>10266</v>
      </c>
      <c r="H991" s="12" t="s">
        <v>6137</v>
      </c>
      <c r="I991" s="12" t="s">
        <v>6323</v>
      </c>
      <c r="J991" s="12">
        <v>5857</v>
      </c>
      <c r="K991" s="12" t="s">
        <v>7750</v>
      </c>
      <c r="L991" s="12" t="s">
        <v>6106</v>
      </c>
      <c r="M991" s="13">
        <v>41920</v>
      </c>
      <c r="N991" s="12" t="s">
        <v>7751</v>
      </c>
      <c r="O991" s="12" t="s">
        <v>7752</v>
      </c>
      <c r="P991" s="12"/>
      <c r="Q991" s="12">
        <v>1</v>
      </c>
    </row>
    <row r="992" spans="1:17" ht="15.75" customHeight="1">
      <c r="A992" s="12">
        <v>712</v>
      </c>
      <c r="B992" s="12">
        <v>686</v>
      </c>
      <c r="C992" s="12">
        <v>8318</v>
      </c>
      <c r="D992" s="12" t="s">
        <v>6047</v>
      </c>
      <c r="E992" s="12" t="s">
        <v>10267</v>
      </c>
      <c r="F992" s="12" t="s">
        <v>10268</v>
      </c>
      <c r="G992" s="12" t="s">
        <v>10269</v>
      </c>
      <c r="H992" s="12" t="s">
        <v>6075</v>
      </c>
      <c r="I992" s="12" t="s">
        <v>6076</v>
      </c>
      <c r="J992" s="12">
        <v>8318</v>
      </c>
      <c r="K992" s="12" t="s">
        <v>9663</v>
      </c>
      <c r="L992" s="12" t="s">
        <v>9664</v>
      </c>
      <c r="M992" s="13">
        <v>43201</v>
      </c>
      <c r="N992" s="12" t="s">
        <v>9665</v>
      </c>
      <c r="O992" s="12" t="s">
        <v>9666</v>
      </c>
      <c r="P992" s="12"/>
      <c r="Q992" s="12">
        <v>1</v>
      </c>
    </row>
    <row r="993" spans="1:17" ht="15.75" customHeight="1">
      <c r="A993" s="12">
        <v>477</v>
      </c>
      <c r="B993" s="12">
        <v>250</v>
      </c>
      <c r="C993" s="12">
        <v>4404</v>
      </c>
      <c r="D993" s="12" t="s">
        <v>6047</v>
      </c>
      <c r="E993" s="12" t="s">
        <v>10270</v>
      </c>
      <c r="F993" s="12" t="s">
        <v>10271</v>
      </c>
      <c r="G993" s="12" t="s">
        <v>10272</v>
      </c>
      <c r="H993" s="12" t="s">
        <v>6163</v>
      </c>
      <c r="I993" s="12" t="s">
        <v>6253</v>
      </c>
      <c r="J993" s="12">
        <v>4404</v>
      </c>
      <c r="K993" s="12" t="s">
        <v>6454</v>
      </c>
      <c r="L993" s="12" t="s">
        <v>6455</v>
      </c>
      <c r="M993" s="13">
        <v>43786</v>
      </c>
      <c r="N993" s="12" t="s">
        <v>6456</v>
      </c>
      <c r="O993" s="12" t="s">
        <v>6457</v>
      </c>
      <c r="P993" s="12"/>
      <c r="Q993" s="12">
        <v>1</v>
      </c>
    </row>
    <row r="994" spans="1:17" ht="15.75" customHeight="1">
      <c r="A994" s="12">
        <v>1776</v>
      </c>
      <c r="B994" s="12">
        <v>1852</v>
      </c>
      <c r="C994" s="12">
        <v>33952</v>
      </c>
      <c r="D994" s="12" t="s">
        <v>6047</v>
      </c>
      <c r="E994" s="12" t="s">
        <v>10273</v>
      </c>
      <c r="F994" s="12" t="s">
        <v>10274</v>
      </c>
      <c r="G994" s="12" t="s">
        <v>10275</v>
      </c>
      <c r="H994" s="12" t="s">
        <v>6051</v>
      </c>
      <c r="I994" s="12" t="s">
        <v>6362</v>
      </c>
      <c r="J994" s="12">
        <v>33952</v>
      </c>
      <c r="K994" s="12" t="s">
        <v>6062</v>
      </c>
      <c r="L994" s="12" t="s">
        <v>6063</v>
      </c>
      <c r="M994" s="13">
        <v>40873</v>
      </c>
      <c r="N994" s="12" t="s">
        <v>6064</v>
      </c>
      <c r="O994" s="12" t="s">
        <v>6065</v>
      </c>
      <c r="P994" s="12"/>
      <c r="Q994" s="12">
        <v>1</v>
      </c>
    </row>
    <row r="995" spans="1:17" ht="15.75" customHeight="1">
      <c r="A995" s="12">
        <v>1334</v>
      </c>
      <c r="B995" s="12">
        <v>1470</v>
      </c>
      <c r="C995" s="12">
        <v>23458</v>
      </c>
      <c r="D995" s="12" t="s">
        <v>6047</v>
      </c>
      <c r="E995" s="12" t="s">
        <v>10276</v>
      </c>
      <c r="F995" s="12" t="s">
        <v>10277</v>
      </c>
      <c r="G995" s="12" t="s">
        <v>10278</v>
      </c>
      <c r="H995" s="12" t="s">
        <v>6051</v>
      </c>
      <c r="I995" s="12" t="s">
        <v>6748</v>
      </c>
      <c r="J995" s="12">
        <v>23458</v>
      </c>
      <c r="K995" s="12" t="s">
        <v>7750</v>
      </c>
      <c r="L995" s="12" t="s">
        <v>6106</v>
      </c>
      <c r="M995" s="13">
        <v>41920</v>
      </c>
      <c r="N995" s="12" t="s">
        <v>7751</v>
      </c>
      <c r="O995" s="12" t="s">
        <v>7752</v>
      </c>
      <c r="P995" s="12"/>
      <c r="Q995" s="12">
        <v>1</v>
      </c>
    </row>
    <row r="996" spans="1:17" ht="15.75" customHeight="1">
      <c r="A996" s="12">
        <v>257</v>
      </c>
      <c r="B996" s="12">
        <v>1374</v>
      </c>
      <c r="C996" s="12">
        <v>19990</v>
      </c>
      <c r="D996" s="12" t="s">
        <v>6047</v>
      </c>
      <c r="E996" s="12" t="s">
        <v>2841</v>
      </c>
      <c r="F996" s="12" t="s">
        <v>10279</v>
      </c>
      <c r="G996" s="12" t="s">
        <v>10280</v>
      </c>
      <c r="H996" s="12" t="s">
        <v>6051</v>
      </c>
      <c r="I996" s="12" t="s">
        <v>6523</v>
      </c>
      <c r="J996" s="12">
        <v>19990</v>
      </c>
      <c r="K996" s="12" t="s">
        <v>10281</v>
      </c>
      <c r="L996" s="12" t="s">
        <v>7469</v>
      </c>
      <c r="M996" s="13">
        <v>45603</v>
      </c>
      <c r="N996" s="12" t="s">
        <v>10282</v>
      </c>
      <c r="O996" s="12" t="s">
        <v>10283</v>
      </c>
      <c r="P996" s="12"/>
      <c r="Q996" s="12">
        <v>1</v>
      </c>
    </row>
    <row r="997" spans="1:17" ht="15.75" customHeight="1">
      <c r="A997" s="12">
        <v>280</v>
      </c>
      <c r="B997" s="12">
        <v>162</v>
      </c>
      <c r="C997" s="12">
        <v>2620</v>
      </c>
      <c r="D997" s="12" t="s">
        <v>6047</v>
      </c>
      <c r="E997" s="12" t="s">
        <v>10284</v>
      </c>
      <c r="F997" s="12" t="s">
        <v>10285</v>
      </c>
      <c r="G997" s="12" t="s">
        <v>10286</v>
      </c>
      <c r="H997" s="12" t="s">
        <v>6127</v>
      </c>
      <c r="I997" s="12" t="s">
        <v>6128</v>
      </c>
      <c r="J997" s="12">
        <v>2620</v>
      </c>
      <c r="K997" s="12" t="s">
        <v>8408</v>
      </c>
      <c r="L997" s="12" t="s">
        <v>7469</v>
      </c>
      <c r="M997" s="13">
        <v>45603</v>
      </c>
      <c r="N997" s="12" t="s">
        <v>8409</v>
      </c>
      <c r="O997" s="12" t="s">
        <v>8410</v>
      </c>
      <c r="P997" s="12"/>
      <c r="Q997" s="12">
        <v>1</v>
      </c>
    </row>
    <row r="998" spans="1:17" ht="15.75" customHeight="1">
      <c r="A998" s="12">
        <v>223</v>
      </c>
      <c r="B998" s="12">
        <v>466</v>
      </c>
      <c r="C998" s="12">
        <v>6302</v>
      </c>
      <c r="D998" s="12" t="s">
        <v>6047</v>
      </c>
      <c r="E998" s="12" t="s">
        <v>10287</v>
      </c>
      <c r="F998" s="12" t="s">
        <v>10288</v>
      </c>
      <c r="G998" s="12" t="s">
        <v>10289</v>
      </c>
      <c r="H998" s="12" t="s">
        <v>6137</v>
      </c>
      <c r="I998" s="12" t="s">
        <v>10290</v>
      </c>
      <c r="J998" s="12">
        <v>6302</v>
      </c>
      <c r="K998" s="12" t="s">
        <v>6524</v>
      </c>
      <c r="L998" s="12" t="s">
        <v>6518</v>
      </c>
      <c r="M998" s="13">
        <v>45609</v>
      </c>
      <c r="N998" s="12" t="s">
        <v>6525</v>
      </c>
      <c r="O998" s="12" t="s">
        <v>6526</v>
      </c>
      <c r="P998" s="12"/>
      <c r="Q998" s="12">
        <v>1</v>
      </c>
    </row>
    <row r="999" spans="1:17" ht="15.75" customHeight="1">
      <c r="A999" s="12">
        <v>288</v>
      </c>
      <c r="B999" s="12">
        <v>723</v>
      </c>
      <c r="C999" s="12">
        <v>8554</v>
      </c>
      <c r="D999" s="12" t="s">
        <v>6047</v>
      </c>
      <c r="E999" s="12" t="s">
        <v>10291</v>
      </c>
      <c r="F999" s="12" t="s">
        <v>10292</v>
      </c>
      <c r="G999" s="12" t="s">
        <v>10293</v>
      </c>
      <c r="H999" s="12" t="s">
        <v>6075</v>
      </c>
      <c r="I999" s="12" t="s">
        <v>6076</v>
      </c>
      <c r="J999" s="12">
        <v>8554</v>
      </c>
      <c r="K999" s="12" t="s">
        <v>7468</v>
      </c>
      <c r="L999" s="12" t="s">
        <v>7469</v>
      </c>
      <c r="M999" s="13">
        <v>45602</v>
      </c>
      <c r="N999" s="12" t="s">
        <v>7470</v>
      </c>
      <c r="O999" s="12" t="s">
        <v>10294</v>
      </c>
      <c r="P999" s="12"/>
      <c r="Q999" s="12">
        <v>1</v>
      </c>
    </row>
    <row r="1000" spans="1:17" ht="15.75" customHeight="1">
      <c r="A1000" s="12">
        <v>282</v>
      </c>
      <c r="B1000" s="12">
        <v>1471</v>
      </c>
      <c r="C1000" s="12">
        <v>23550</v>
      </c>
      <c r="D1000" s="12" t="s">
        <v>6047</v>
      </c>
      <c r="E1000" s="12" t="s">
        <v>10295</v>
      </c>
      <c r="F1000" s="12" t="s">
        <v>10296</v>
      </c>
      <c r="G1000" s="12" t="s">
        <v>10297</v>
      </c>
      <c r="H1000" s="12" t="s">
        <v>6051</v>
      </c>
      <c r="I1000" s="12" t="s">
        <v>6748</v>
      </c>
      <c r="J1000" s="12">
        <v>23550</v>
      </c>
      <c r="K1000" s="12" t="s">
        <v>8119</v>
      </c>
      <c r="L1000" s="12" t="s">
        <v>7469</v>
      </c>
      <c r="M1000" s="13">
        <v>45603</v>
      </c>
      <c r="N1000" s="12" t="s">
        <v>8120</v>
      </c>
      <c r="O1000" s="12" t="s">
        <v>10298</v>
      </c>
      <c r="P1000" s="12"/>
      <c r="Q1000" s="12">
        <v>1</v>
      </c>
    </row>
    <row r="1001" spans="1:17" ht="15.75" customHeight="1">
      <c r="A1001" s="12">
        <v>278</v>
      </c>
      <c r="B1001" s="12">
        <v>204</v>
      </c>
      <c r="C1001" s="12">
        <v>3439</v>
      </c>
      <c r="D1001" s="12" t="s">
        <v>6047</v>
      </c>
      <c r="E1001" s="12" t="s">
        <v>10299</v>
      </c>
      <c r="F1001" s="12" t="s">
        <v>10300</v>
      </c>
      <c r="G1001" s="12" t="s">
        <v>10301</v>
      </c>
      <c r="H1001" s="12" t="s">
        <v>7069</v>
      </c>
      <c r="I1001" s="12" t="s">
        <v>7070</v>
      </c>
      <c r="J1001" s="12">
        <v>3439</v>
      </c>
      <c r="K1001" s="12" t="s">
        <v>8408</v>
      </c>
      <c r="L1001" s="12" t="s">
        <v>7469</v>
      </c>
      <c r="M1001" s="13">
        <v>45603</v>
      </c>
      <c r="N1001" s="12" t="s">
        <v>8409</v>
      </c>
      <c r="O1001" s="12" t="s">
        <v>8410</v>
      </c>
      <c r="P1001" s="12"/>
      <c r="Q1001" s="12">
        <v>1</v>
      </c>
    </row>
    <row r="1002" spans="1:17" ht="15.75" customHeight="1">
      <c r="A1002" s="12">
        <v>216</v>
      </c>
      <c r="B1002" s="12">
        <v>650</v>
      </c>
      <c r="C1002" s="12">
        <v>7879</v>
      </c>
      <c r="D1002" s="12" t="s">
        <v>6047</v>
      </c>
      <c r="E1002" s="12" t="s">
        <v>10302</v>
      </c>
      <c r="F1002" s="12" t="s">
        <v>10303</v>
      </c>
      <c r="G1002" s="12" t="s">
        <v>10304</v>
      </c>
      <c r="H1002" s="12" t="s">
        <v>6075</v>
      </c>
      <c r="I1002" s="12" t="s">
        <v>6076</v>
      </c>
      <c r="J1002" s="12">
        <v>7879</v>
      </c>
      <c r="K1002" s="12" t="s">
        <v>6524</v>
      </c>
      <c r="L1002" s="12" t="s">
        <v>6518</v>
      </c>
      <c r="M1002" s="13">
        <v>45609</v>
      </c>
      <c r="N1002" s="12" t="s">
        <v>6525</v>
      </c>
      <c r="O1002" s="12" t="s">
        <v>10305</v>
      </c>
      <c r="P1002" s="12"/>
      <c r="Q1002" s="12">
        <v>1</v>
      </c>
    </row>
    <row r="1003" spans="1:17" ht="15.75" customHeight="1">
      <c r="A1003" s="12">
        <v>271</v>
      </c>
      <c r="B1003" s="12">
        <v>1315</v>
      </c>
      <c r="C1003" s="12">
        <v>18650</v>
      </c>
      <c r="D1003" s="12" t="s">
        <v>6047</v>
      </c>
      <c r="E1003" s="12" t="s">
        <v>10306</v>
      </c>
      <c r="F1003" s="12" t="s">
        <v>10307</v>
      </c>
      <c r="G1003" s="12" t="s">
        <v>10308</v>
      </c>
      <c r="H1003" s="12" t="s">
        <v>6051</v>
      </c>
      <c r="I1003" s="12" t="s">
        <v>7246</v>
      </c>
      <c r="J1003" s="12">
        <v>18650</v>
      </c>
      <c r="K1003" s="12" t="s">
        <v>8408</v>
      </c>
      <c r="L1003" s="12" t="s">
        <v>7469</v>
      </c>
      <c r="M1003" s="13">
        <v>45603</v>
      </c>
      <c r="N1003" s="12" t="s">
        <v>8409</v>
      </c>
      <c r="O1003" s="12" t="s">
        <v>8410</v>
      </c>
      <c r="P1003" s="12"/>
      <c r="Q1003" s="12">
        <v>1</v>
      </c>
    </row>
    <row r="1004" spans="1:17" ht="15.75" customHeight="1">
      <c r="A1004" s="12">
        <v>260</v>
      </c>
      <c r="B1004" s="12">
        <v>345</v>
      </c>
      <c r="C1004" s="12">
        <v>5216</v>
      </c>
      <c r="D1004" s="12" t="s">
        <v>6047</v>
      </c>
      <c r="E1004" s="12" t="s">
        <v>10309</v>
      </c>
      <c r="F1004" s="12" t="s">
        <v>10310</v>
      </c>
      <c r="G1004" s="12" t="s">
        <v>10311</v>
      </c>
      <c r="H1004" s="12" t="s">
        <v>6213</v>
      </c>
      <c r="I1004" s="12" t="s">
        <v>10312</v>
      </c>
      <c r="J1004" s="12">
        <v>5216</v>
      </c>
      <c r="K1004" s="12" t="s">
        <v>10281</v>
      </c>
      <c r="L1004" s="12" t="s">
        <v>7469</v>
      </c>
      <c r="M1004" s="13">
        <v>45603</v>
      </c>
      <c r="N1004" s="12" t="s">
        <v>10282</v>
      </c>
      <c r="O1004" s="12" t="s">
        <v>10283</v>
      </c>
      <c r="P1004" s="12"/>
      <c r="Q1004" s="12">
        <v>1</v>
      </c>
    </row>
    <row r="1005" spans="1:17" ht="15.75" customHeight="1">
      <c r="A1005" s="12">
        <v>253</v>
      </c>
      <c r="B1005" s="12">
        <v>160</v>
      </c>
      <c r="C1005" s="12">
        <v>2536</v>
      </c>
      <c r="D1005" s="12" t="s">
        <v>6047</v>
      </c>
      <c r="E1005" s="12" t="s">
        <v>10313</v>
      </c>
      <c r="F1005" s="12" t="s">
        <v>10314</v>
      </c>
      <c r="G1005" s="12" t="s">
        <v>10315</v>
      </c>
      <c r="H1005" s="12" t="s">
        <v>6127</v>
      </c>
      <c r="I1005" s="12" t="s">
        <v>6128</v>
      </c>
      <c r="J1005" s="12">
        <v>2536</v>
      </c>
      <c r="K1005" s="12" t="s">
        <v>10316</v>
      </c>
      <c r="L1005" s="12" t="s">
        <v>7469</v>
      </c>
      <c r="M1005" s="13">
        <v>45604</v>
      </c>
      <c r="N1005" s="12" t="s">
        <v>10317</v>
      </c>
      <c r="O1005" s="12" t="s">
        <v>10318</v>
      </c>
      <c r="P1005" s="12"/>
      <c r="Q1005" s="12">
        <v>1</v>
      </c>
    </row>
    <row r="1006" spans="1:17" ht="15.75" customHeight="1">
      <c r="A1006" s="12">
        <v>276</v>
      </c>
      <c r="B1006" s="12">
        <v>645</v>
      </c>
      <c r="C1006" s="12">
        <v>7857</v>
      </c>
      <c r="D1006" s="12" t="s">
        <v>6047</v>
      </c>
      <c r="E1006" s="12" t="s">
        <v>10319</v>
      </c>
      <c r="F1006" s="12" t="s">
        <v>10320</v>
      </c>
      <c r="G1006" s="12" t="s">
        <v>10321</v>
      </c>
      <c r="H1006" s="12" t="s">
        <v>6075</v>
      </c>
      <c r="I1006" s="12" t="s">
        <v>6076</v>
      </c>
      <c r="J1006" s="12">
        <v>7857</v>
      </c>
      <c r="K1006" s="12" t="s">
        <v>8408</v>
      </c>
      <c r="L1006" s="12" t="s">
        <v>7469</v>
      </c>
      <c r="M1006" s="13">
        <v>45603</v>
      </c>
      <c r="N1006" s="12" t="s">
        <v>8409</v>
      </c>
      <c r="O1006" s="12" t="s">
        <v>8410</v>
      </c>
      <c r="P1006" s="12"/>
      <c r="Q1006" s="12">
        <v>1</v>
      </c>
    </row>
    <row r="1007" spans="1:17" ht="15.75" customHeight="1">
      <c r="A1007" s="12">
        <v>236</v>
      </c>
      <c r="B1007" s="12">
        <v>769</v>
      </c>
      <c r="C1007" s="12">
        <v>9615</v>
      </c>
      <c r="D1007" s="12" t="s">
        <v>6047</v>
      </c>
      <c r="E1007" s="12" t="s">
        <v>10322</v>
      </c>
      <c r="F1007" s="12" t="s">
        <v>10323</v>
      </c>
      <c r="G1007" s="12" t="s">
        <v>10324</v>
      </c>
      <c r="H1007" s="12" t="s">
        <v>6118</v>
      </c>
      <c r="I1007" s="12" t="s">
        <v>8404</v>
      </c>
      <c r="J1007" s="12">
        <v>9615</v>
      </c>
      <c r="K1007" s="12" t="s">
        <v>9443</v>
      </c>
      <c r="L1007" s="12" t="s">
        <v>7739</v>
      </c>
      <c r="M1007" s="13">
        <v>45608</v>
      </c>
      <c r="N1007" s="12" t="s">
        <v>9444</v>
      </c>
      <c r="O1007" s="12" t="s">
        <v>10325</v>
      </c>
      <c r="P1007" s="12"/>
      <c r="Q1007" s="12">
        <v>1</v>
      </c>
    </row>
    <row r="1008" spans="1:17" ht="15.75" customHeight="1">
      <c r="A1008" s="12">
        <v>259</v>
      </c>
      <c r="B1008" s="12">
        <v>577</v>
      </c>
      <c r="C1008" s="12">
        <v>7473</v>
      </c>
      <c r="D1008" s="12" t="s">
        <v>6047</v>
      </c>
      <c r="E1008" s="12" t="s">
        <v>10326</v>
      </c>
      <c r="F1008" s="12" t="s">
        <v>10327</v>
      </c>
      <c r="G1008" s="12" t="s">
        <v>10328</v>
      </c>
      <c r="H1008" s="12" t="s">
        <v>6187</v>
      </c>
      <c r="I1008" s="12" t="s">
        <v>6188</v>
      </c>
      <c r="J1008" s="12">
        <v>7473</v>
      </c>
      <c r="K1008" s="12" t="s">
        <v>10281</v>
      </c>
      <c r="L1008" s="12" t="s">
        <v>7469</v>
      </c>
      <c r="M1008" s="13">
        <v>45603</v>
      </c>
      <c r="N1008" s="12" t="s">
        <v>10282</v>
      </c>
      <c r="O1008" s="12" t="s">
        <v>10283</v>
      </c>
      <c r="P1008" s="12"/>
      <c r="Q1008" s="12">
        <v>1</v>
      </c>
    </row>
    <row r="1009" spans="1:17" ht="15.75" customHeight="1">
      <c r="A1009" s="12">
        <v>238</v>
      </c>
      <c r="B1009" s="12">
        <v>1455</v>
      </c>
      <c r="C1009" s="12">
        <v>22407</v>
      </c>
      <c r="D1009" s="12" t="s">
        <v>6047</v>
      </c>
      <c r="E1009" s="12" t="s">
        <v>10329</v>
      </c>
      <c r="F1009" s="12" t="s">
        <v>10330</v>
      </c>
      <c r="G1009" s="12" t="s">
        <v>10331</v>
      </c>
      <c r="H1009" s="12" t="s">
        <v>6051</v>
      </c>
      <c r="I1009" s="12" t="s">
        <v>8716</v>
      </c>
      <c r="J1009" s="12">
        <v>22407</v>
      </c>
      <c r="K1009" s="12" t="s">
        <v>10332</v>
      </c>
      <c r="L1009" s="12" t="s">
        <v>7739</v>
      </c>
      <c r="M1009" s="13">
        <v>45607</v>
      </c>
      <c r="N1009" s="12" t="s">
        <v>10333</v>
      </c>
      <c r="O1009" s="12" t="s">
        <v>10334</v>
      </c>
      <c r="P1009" s="12"/>
      <c r="Q1009" s="12">
        <v>1</v>
      </c>
    </row>
    <row r="1010" spans="1:17" ht="15.75" customHeight="1">
      <c r="A1010" s="12">
        <v>290</v>
      </c>
      <c r="B1010" s="12">
        <v>1636</v>
      </c>
      <c r="C1010" s="12">
        <v>29008</v>
      </c>
      <c r="D1010" s="12" t="s">
        <v>6047</v>
      </c>
      <c r="E1010" s="12" t="s">
        <v>2837</v>
      </c>
      <c r="F1010" s="12" t="s">
        <v>10335</v>
      </c>
      <c r="G1010" s="12" t="s">
        <v>10336</v>
      </c>
      <c r="H1010" s="12" t="s">
        <v>6051</v>
      </c>
      <c r="I1010" s="12" t="s">
        <v>6111</v>
      </c>
      <c r="J1010" s="12">
        <v>29008</v>
      </c>
      <c r="K1010" s="12" t="s">
        <v>7468</v>
      </c>
      <c r="L1010" s="12" t="s">
        <v>7469</v>
      </c>
      <c r="M1010" s="13">
        <v>45602</v>
      </c>
      <c r="N1010" s="12" t="s">
        <v>7470</v>
      </c>
      <c r="O1010" s="12" t="s">
        <v>7471</v>
      </c>
      <c r="P1010" s="12"/>
      <c r="Q1010" s="12">
        <v>1</v>
      </c>
    </row>
    <row r="1011" spans="1:17" ht="15.75" customHeight="1">
      <c r="A1011" s="12">
        <v>304</v>
      </c>
      <c r="B1011" s="12">
        <v>1485</v>
      </c>
      <c r="C1011" s="12">
        <v>24045</v>
      </c>
      <c r="D1011" s="12" t="s">
        <v>6047</v>
      </c>
      <c r="E1011" s="12" t="s">
        <v>10337</v>
      </c>
      <c r="F1011" s="12" t="s">
        <v>10338</v>
      </c>
      <c r="G1011" s="12" t="s">
        <v>10339</v>
      </c>
      <c r="H1011" s="12" t="s">
        <v>6051</v>
      </c>
      <c r="I1011" s="12" t="s">
        <v>6738</v>
      </c>
      <c r="J1011" s="12">
        <v>24045</v>
      </c>
      <c r="K1011" s="12" t="s">
        <v>10340</v>
      </c>
      <c r="L1011" s="12" t="s">
        <v>6939</v>
      </c>
      <c r="M1011" s="13">
        <v>45602</v>
      </c>
      <c r="N1011" s="12" t="s">
        <v>10341</v>
      </c>
      <c r="O1011" s="12" t="s">
        <v>10342</v>
      </c>
      <c r="P1011" s="12"/>
      <c r="Q1011" s="12">
        <v>1</v>
      </c>
    </row>
    <row r="1012" spans="1:17" ht="15.75" customHeight="1">
      <c r="A1012" s="12">
        <v>262</v>
      </c>
      <c r="B1012" s="12">
        <v>1687</v>
      </c>
      <c r="C1012" s="12">
        <v>31061</v>
      </c>
      <c r="D1012" s="12" t="s">
        <v>6047</v>
      </c>
      <c r="E1012" s="12" t="s">
        <v>10343</v>
      </c>
      <c r="F1012" s="12" t="s">
        <v>10344</v>
      </c>
      <c r="G1012" s="12" t="s">
        <v>10345</v>
      </c>
      <c r="H1012" s="12" t="s">
        <v>6051</v>
      </c>
      <c r="I1012" s="12" t="s">
        <v>6093</v>
      </c>
      <c r="J1012" s="12">
        <v>31061</v>
      </c>
      <c r="K1012" s="12" t="s">
        <v>10316</v>
      </c>
      <c r="L1012" s="12" t="s">
        <v>7469</v>
      </c>
      <c r="M1012" s="13">
        <v>45603</v>
      </c>
      <c r="N1012" s="12" t="s">
        <v>10317</v>
      </c>
      <c r="O1012" s="12" t="s">
        <v>10346</v>
      </c>
      <c r="P1012" s="12"/>
      <c r="Q1012" s="12">
        <v>1</v>
      </c>
    </row>
    <row r="1013" spans="1:17" ht="15.75" customHeight="1">
      <c r="A1013" s="12">
        <v>306</v>
      </c>
      <c r="B1013" s="12">
        <v>212</v>
      </c>
      <c r="C1013" s="12">
        <v>3698</v>
      </c>
      <c r="D1013" s="12" t="s">
        <v>6047</v>
      </c>
      <c r="E1013" s="12" t="s">
        <v>10347</v>
      </c>
      <c r="F1013" s="12" t="s">
        <v>10348</v>
      </c>
      <c r="G1013" s="12" t="s">
        <v>10349</v>
      </c>
      <c r="H1013" s="12" t="s">
        <v>6718</v>
      </c>
      <c r="I1013" s="12" t="s">
        <v>6719</v>
      </c>
      <c r="J1013" s="12">
        <v>3698</v>
      </c>
      <c r="K1013" s="12" t="s">
        <v>10350</v>
      </c>
      <c r="L1013" s="12" t="s">
        <v>6939</v>
      </c>
      <c r="M1013" s="13">
        <v>45602</v>
      </c>
      <c r="N1013" s="12" t="s">
        <v>10351</v>
      </c>
      <c r="O1013" s="12" t="s">
        <v>10352</v>
      </c>
      <c r="P1013" s="12"/>
      <c r="Q1013" s="12">
        <v>1</v>
      </c>
    </row>
    <row r="1014" spans="1:17" ht="15.75" customHeight="1">
      <c r="A1014" s="12">
        <v>295</v>
      </c>
      <c r="B1014" s="12">
        <v>747</v>
      </c>
      <c r="C1014" s="12">
        <v>9263</v>
      </c>
      <c r="D1014" s="12" t="s">
        <v>6047</v>
      </c>
      <c r="E1014" s="12" t="s">
        <v>10353</v>
      </c>
      <c r="F1014" s="12" t="s">
        <v>10354</v>
      </c>
      <c r="G1014" s="12" t="s">
        <v>10355</v>
      </c>
      <c r="H1014" s="12" t="s">
        <v>6275</v>
      </c>
      <c r="I1014" s="12" t="s">
        <v>6453</v>
      </c>
      <c r="J1014" s="12">
        <v>9263</v>
      </c>
      <c r="K1014" s="12" t="s">
        <v>7468</v>
      </c>
      <c r="L1014" s="12" t="s">
        <v>7469</v>
      </c>
      <c r="M1014" s="13">
        <v>45602</v>
      </c>
      <c r="N1014" s="12" t="s">
        <v>7470</v>
      </c>
      <c r="O1014" s="12" t="s">
        <v>7471</v>
      </c>
      <c r="P1014" s="12"/>
      <c r="Q1014" s="12">
        <v>1</v>
      </c>
    </row>
    <row r="1015" spans="1:17" ht="15.75" customHeight="1">
      <c r="A1015" s="12">
        <v>254</v>
      </c>
      <c r="B1015" s="12">
        <v>107</v>
      </c>
      <c r="C1015" s="12">
        <v>1737</v>
      </c>
      <c r="D1015" s="12" t="s">
        <v>6047</v>
      </c>
      <c r="E1015" s="12" t="s">
        <v>10356</v>
      </c>
      <c r="F1015" s="12" t="s">
        <v>10357</v>
      </c>
      <c r="G1015" s="12" t="s">
        <v>10358</v>
      </c>
      <c r="H1015" s="12" t="s">
        <v>6435</v>
      </c>
      <c r="I1015" s="12" t="s">
        <v>6920</v>
      </c>
      <c r="J1015" s="12">
        <v>1737</v>
      </c>
      <c r="K1015" s="12" t="s">
        <v>10316</v>
      </c>
      <c r="L1015" s="12" t="s">
        <v>7469</v>
      </c>
      <c r="M1015" s="13">
        <v>45604</v>
      </c>
      <c r="N1015" s="12" t="s">
        <v>10317</v>
      </c>
      <c r="O1015" s="12" t="s">
        <v>10359</v>
      </c>
      <c r="P1015" s="12"/>
      <c r="Q1015" s="12">
        <v>1</v>
      </c>
    </row>
    <row r="1016" spans="1:17" ht="15.75" customHeight="1">
      <c r="A1016" s="12">
        <v>251</v>
      </c>
      <c r="B1016" s="12">
        <v>471</v>
      </c>
      <c r="C1016" s="12">
        <v>6346</v>
      </c>
      <c r="D1016" s="12" t="s">
        <v>6047</v>
      </c>
      <c r="E1016" s="12" t="s">
        <v>10360</v>
      </c>
      <c r="F1016" s="12" t="s">
        <v>10361</v>
      </c>
      <c r="G1016" s="12" t="s">
        <v>10362</v>
      </c>
      <c r="H1016" s="12" t="s">
        <v>6137</v>
      </c>
      <c r="I1016" s="12" t="s">
        <v>6654</v>
      </c>
      <c r="J1016" s="12">
        <v>6346</v>
      </c>
      <c r="K1016" s="12" t="s">
        <v>10363</v>
      </c>
      <c r="L1016" s="12" t="s">
        <v>7469</v>
      </c>
      <c r="M1016" s="13">
        <v>45604</v>
      </c>
      <c r="N1016" s="12" t="s">
        <v>10364</v>
      </c>
      <c r="O1016" s="12" t="s">
        <v>10365</v>
      </c>
      <c r="P1016" s="12"/>
      <c r="Q1016" s="12">
        <v>1</v>
      </c>
    </row>
    <row r="1017" spans="1:17" ht="15.75" customHeight="1">
      <c r="A1017" s="12">
        <v>294</v>
      </c>
      <c r="B1017" s="12">
        <v>800</v>
      </c>
      <c r="C1017" s="12">
        <v>10011</v>
      </c>
      <c r="D1017" s="12" t="s">
        <v>6047</v>
      </c>
      <c r="E1017" s="12" t="s">
        <v>2839</v>
      </c>
      <c r="F1017" s="12" t="s">
        <v>10366</v>
      </c>
      <c r="G1017" s="12" t="s">
        <v>10367</v>
      </c>
      <c r="H1017" s="12" t="s">
        <v>6265</v>
      </c>
      <c r="I1017" s="12" t="s">
        <v>6266</v>
      </c>
      <c r="J1017" s="12">
        <v>10011</v>
      </c>
      <c r="K1017" s="12" t="s">
        <v>7468</v>
      </c>
      <c r="L1017" s="12" t="s">
        <v>7469</v>
      </c>
      <c r="M1017" s="13">
        <v>45602</v>
      </c>
      <c r="N1017" s="12" t="s">
        <v>7470</v>
      </c>
      <c r="O1017" s="12" t="s">
        <v>7471</v>
      </c>
      <c r="P1017" s="12"/>
      <c r="Q1017" s="12">
        <v>1</v>
      </c>
    </row>
    <row r="1018" spans="1:17" ht="15.75" customHeight="1">
      <c r="A1018" s="12">
        <v>296</v>
      </c>
      <c r="B1018" s="12">
        <v>725</v>
      </c>
      <c r="C1018" s="12">
        <v>8791</v>
      </c>
      <c r="D1018" s="12" t="s">
        <v>6047</v>
      </c>
      <c r="E1018" s="12" t="s">
        <v>10368</v>
      </c>
      <c r="F1018" s="12" t="s">
        <v>10369</v>
      </c>
      <c r="G1018" s="12" t="s">
        <v>10370</v>
      </c>
      <c r="H1018" s="12" t="s">
        <v>6275</v>
      </c>
      <c r="I1018" s="12" t="s">
        <v>6453</v>
      </c>
      <c r="J1018" s="12">
        <v>8791</v>
      </c>
      <c r="K1018" s="12" t="s">
        <v>7468</v>
      </c>
      <c r="L1018" s="12" t="s">
        <v>7469</v>
      </c>
      <c r="M1018" s="13">
        <v>45602</v>
      </c>
      <c r="N1018" s="12" t="s">
        <v>7470</v>
      </c>
      <c r="O1018" s="12" t="s">
        <v>7471</v>
      </c>
      <c r="P1018" s="12"/>
      <c r="Q1018" s="12">
        <v>1</v>
      </c>
    </row>
    <row r="1019" spans="1:17" ht="15.75" customHeight="1">
      <c r="A1019" s="12">
        <v>275</v>
      </c>
      <c r="B1019" s="12">
        <v>681</v>
      </c>
      <c r="C1019" s="12">
        <v>8244</v>
      </c>
      <c r="D1019" s="12" t="s">
        <v>6047</v>
      </c>
      <c r="E1019" s="12" t="s">
        <v>10371</v>
      </c>
      <c r="F1019" s="12" t="s">
        <v>10372</v>
      </c>
      <c r="G1019" s="12" t="s">
        <v>10373</v>
      </c>
      <c r="H1019" s="12" t="s">
        <v>6075</v>
      </c>
      <c r="I1019" s="12" t="s">
        <v>6076</v>
      </c>
      <c r="J1019" s="12">
        <v>8244</v>
      </c>
      <c r="K1019" s="12" t="s">
        <v>8408</v>
      </c>
      <c r="L1019" s="12" t="s">
        <v>7469</v>
      </c>
      <c r="M1019" s="13">
        <v>45603</v>
      </c>
      <c r="N1019" s="12" t="s">
        <v>8409</v>
      </c>
      <c r="O1019" s="12" t="s">
        <v>8410</v>
      </c>
      <c r="P1019" s="12"/>
      <c r="Q1019" s="12">
        <v>1</v>
      </c>
    </row>
    <row r="1020" spans="1:17" ht="15.75" customHeight="1">
      <c r="A1020" s="12">
        <v>300</v>
      </c>
      <c r="B1020" s="12">
        <v>219</v>
      </c>
      <c r="C1020" s="12">
        <v>3862</v>
      </c>
      <c r="D1020" s="12" t="s">
        <v>6047</v>
      </c>
      <c r="E1020" s="12" t="s">
        <v>10374</v>
      </c>
      <c r="F1020" s="12" t="s">
        <v>10375</v>
      </c>
      <c r="G1020" s="12" t="s">
        <v>10376</v>
      </c>
      <c r="H1020" s="12" t="s">
        <v>6163</v>
      </c>
      <c r="I1020" s="12" t="s">
        <v>6164</v>
      </c>
      <c r="J1020" s="12">
        <v>3862</v>
      </c>
      <c r="K1020" s="12" t="s">
        <v>10377</v>
      </c>
      <c r="L1020" s="12" t="s">
        <v>7469</v>
      </c>
      <c r="M1020" s="13">
        <v>45602</v>
      </c>
      <c r="N1020" s="12" t="s">
        <v>10378</v>
      </c>
      <c r="O1020" s="12" t="s">
        <v>10379</v>
      </c>
      <c r="P1020" s="12"/>
      <c r="Q1020" s="12">
        <v>1</v>
      </c>
    </row>
    <row r="1021" spans="1:17" ht="15.75" customHeight="1">
      <c r="A1021" s="12">
        <v>264</v>
      </c>
      <c r="B1021" s="12">
        <v>1580</v>
      </c>
      <c r="C1021" s="12">
        <v>27899</v>
      </c>
      <c r="D1021" s="12" t="s">
        <v>6047</v>
      </c>
      <c r="E1021" s="12" t="s">
        <v>10380</v>
      </c>
      <c r="F1021" s="12" t="s">
        <v>10381</v>
      </c>
      <c r="G1021" s="12" t="s">
        <v>10382</v>
      </c>
      <c r="H1021" s="12" t="s">
        <v>6051</v>
      </c>
      <c r="I1021" s="12" t="s">
        <v>6547</v>
      </c>
      <c r="J1021" s="12">
        <v>27899</v>
      </c>
      <c r="K1021" s="12" t="s">
        <v>8408</v>
      </c>
      <c r="L1021" s="12" t="s">
        <v>7469</v>
      </c>
      <c r="M1021" s="13">
        <v>45603</v>
      </c>
      <c r="N1021" s="12" t="s">
        <v>8409</v>
      </c>
      <c r="O1021" s="12" t="s">
        <v>8410</v>
      </c>
      <c r="P1021" s="12"/>
      <c r="Q1021" s="12">
        <v>1</v>
      </c>
    </row>
    <row r="1022" spans="1:17" ht="15.75" customHeight="1">
      <c r="A1022" s="12">
        <v>281</v>
      </c>
      <c r="B1022" s="12">
        <v>1474</v>
      </c>
      <c r="C1022" s="12">
        <v>23705</v>
      </c>
      <c r="D1022" s="12" t="s">
        <v>6047</v>
      </c>
      <c r="E1022" s="12" t="s">
        <v>2901</v>
      </c>
      <c r="F1022" s="12" t="s">
        <v>10383</v>
      </c>
      <c r="G1022" s="12" t="s">
        <v>10384</v>
      </c>
      <c r="H1022" s="12" t="s">
        <v>6051</v>
      </c>
      <c r="I1022" s="12" t="s">
        <v>6665</v>
      </c>
      <c r="J1022" s="12">
        <v>23705</v>
      </c>
      <c r="K1022" s="12" t="s">
        <v>8119</v>
      </c>
      <c r="L1022" s="12" t="s">
        <v>7469</v>
      </c>
      <c r="M1022" s="13">
        <v>45603</v>
      </c>
      <c r="N1022" s="12" t="s">
        <v>8120</v>
      </c>
      <c r="O1022" s="12" t="s">
        <v>10298</v>
      </c>
      <c r="P1022" s="12"/>
      <c r="Q1022" s="12">
        <v>1</v>
      </c>
    </row>
    <row r="1023" spans="1:17" ht="15.75" customHeight="1">
      <c r="A1023" s="12">
        <v>302</v>
      </c>
      <c r="B1023" s="12">
        <v>1708</v>
      </c>
      <c r="C1023" s="12">
        <v>31677</v>
      </c>
      <c r="D1023" s="12" t="s">
        <v>6047</v>
      </c>
      <c r="E1023" s="12" t="s">
        <v>10385</v>
      </c>
      <c r="F1023" s="12" t="s">
        <v>10386</v>
      </c>
      <c r="G1023" s="12" t="s">
        <v>10387</v>
      </c>
      <c r="H1023" s="12" t="s">
        <v>6051</v>
      </c>
      <c r="I1023" s="12" t="s">
        <v>6178</v>
      </c>
      <c r="J1023" s="12">
        <v>31677</v>
      </c>
      <c r="K1023" s="12" t="s">
        <v>10388</v>
      </c>
      <c r="L1023" s="12" t="s">
        <v>6939</v>
      </c>
      <c r="M1023" s="13">
        <v>45602</v>
      </c>
      <c r="N1023" s="12" t="s">
        <v>10389</v>
      </c>
      <c r="O1023" s="12" t="s">
        <v>10390</v>
      </c>
      <c r="P1023" s="12"/>
      <c r="Q1023" s="12">
        <v>1</v>
      </c>
    </row>
    <row r="1024" spans="1:17" ht="15.75" customHeight="1">
      <c r="A1024" s="12">
        <v>311</v>
      </c>
      <c r="B1024" s="12">
        <v>298</v>
      </c>
      <c r="C1024" s="12">
        <v>4794</v>
      </c>
      <c r="D1024" s="12" t="s">
        <v>6047</v>
      </c>
      <c r="E1024" s="12" t="s">
        <v>10391</v>
      </c>
      <c r="F1024" s="12" t="s">
        <v>10392</v>
      </c>
      <c r="G1024" s="12" t="s">
        <v>10393</v>
      </c>
      <c r="H1024" s="12" t="s">
        <v>6163</v>
      </c>
      <c r="I1024" s="12" t="s">
        <v>6253</v>
      </c>
      <c r="J1024" s="12">
        <v>4794</v>
      </c>
      <c r="K1024" s="12" t="s">
        <v>8817</v>
      </c>
      <c r="L1024" s="12" t="s">
        <v>6732</v>
      </c>
      <c r="M1024" s="13">
        <v>45270</v>
      </c>
      <c r="N1024" s="12" t="s">
        <v>8818</v>
      </c>
      <c r="O1024" s="12" t="s">
        <v>8819</v>
      </c>
      <c r="P1024" s="12"/>
      <c r="Q1024" s="12">
        <v>1</v>
      </c>
    </row>
    <row r="1025" spans="1:17" ht="15.75" customHeight="1">
      <c r="A1025" s="12">
        <v>2030</v>
      </c>
      <c r="B1025" s="12">
        <v>551</v>
      </c>
      <c r="C1025" s="12">
        <v>7315</v>
      </c>
      <c r="D1025" s="12" t="s">
        <v>6047</v>
      </c>
      <c r="E1025" s="12" t="s">
        <v>10394</v>
      </c>
      <c r="F1025" s="12" t="s">
        <v>10395</v>
      </c>
      <c r="G1025" s="12" t="s">
        <v>10396</v>
      </c>
      <c r="H1025" s="12" t="s">
        <v>6084</v>
      </c>
      <c r="I1025" s="12" t="s">
        <v>10397</v>
      </c>
      <c r="J1025" s="12">
        <v>7315</v>
      </c>
      <c r="K1025" s="12" t="s">
        <v>7745</v>
      </c>
      <c r="L1025" s="12" t="s">
        <v>6278</v>
      </c>
      <c r="M1025" s="13">
        <v>38175</v>
      </c>
      <c r="N1025" s="12" t="s">
        <v>7746</v>
      </c>
      <c r="O1025" s="12" t="s">
        <v>7747</v>
      </c>
      <c r="P1025" s="12"/>
      <c r="Q1025" s="12">
        <v>1</v>
      </c>
    </row>
    <row r="1026" spans="1:17" ht="15.75" customHeight="1">
      <c r="A1026" s="12">
        <v>1766</v>
      </c>
      <c r="B1026" s="12">
        <v>1875</v>
      </c>
      <c r="C1026" s="12">
        <v>34079</v>
      </c>
      <c r="D1026" s="12" t="s">
        <v>6047</v>
      </c>
      <c r="E1026" s="12" t="s">
        <v>2920</v>
      </c>
      <c r="F1026" s="12" t="s">
        <v>10398</v>
      </c>
      <c r="G1026" s="12" t="s">
        <v>10399</v>
      </c>
      <c r="H1026" s="12" t="s">
        <v>6051</v>
      </c>
      <c r="I1026" s="12" t="s">
        <v>6362</v>
      </c>
      <c r="J1026" s="12">
        <v>34079</v>
      </c>
      <c r="K1026" s="12" t="s">
        <v>6062</v>
      </c>
      <c r="L1026" s="12" t="s">
        <v>6063</v>
      </c>
      <c r="M1026" s="13">
        <v>40873</v>
      </c>
      <c r="N1026" s="12" t="s">
        <v>6064</v>
      </c>
      <c r="O1026" s="12" t="s">
        <v>6065</v>
      </c>
      <c r="P1026" s="12"/>
      <c r="Q1026" s="12">
        <v>1</v>
      </c>
    </row>
    <row r="1027" spans="1:17" ht="15.75" customHeight="1">
      <c r="A1027" s="12">
        <v>42</v>
      </c>
      <c r="B1027" s="12">
        <v>6</v>
      </c>
      <c r="C1027" s="12">
        <v>236</v>
      </c>
      <c r="D1027" s="12" t="s">
        <v>6047</v>
      </c>
      <c r="E1027" s="12" t="s">
        <v>2944</v>
      </c>
      <c r="F1027" s="12" t="s">
        <v>10400</v>
      </c>
      <c r="G1027" s="12" t="s">
        <v>10401</v>
      </c>
      <c r="H1027" s="12" t="s">
        <v>6289</v>
      </c>
      <c r="I1027" s="12" t="s">
        <v>10402</v>
      </c>
      <c r="J1027" s="12">
        <v>236</v>
      </c>
      <c r="K1027" s="12" t="s">
        <v>7996</v>
      </c>
      <c r="L1027" s="12" t="s">
        <v>6590</v>
      </c>
      <c r="M1027" s="13">
        <v>45975</v>
      </c>
      <c r="N1027" s="12" t="s">
        <v>7997</v>
      </c>
      <c r="O1027" s="12" t="s">
        <v>7998</v>
      </c>
      <c r="P1027" s="12"/>
      <c r="Q1027" s="12">
        <v>1</v>
      </c>
    </row>
    <row r="1028" spans="1:17" ht="15.75" customHeight="1">
      <c r="A1028" s="12">
        <v>1982</v>
      </c>
      <c r="B1028" s="12">
        <v>1402</v>
      </c>
      <c r="C1028" s="12">
        <v>21037</v>
      </c>
      <c r="D1028" s="12" t="s">
        <v>6047</v>
      </c>
      <c r="E1028" s="12" t="s">
        <v>10403</v>
      </c>
      <c r="F1028" s="12" t="s">
        <v>10404</v>
      </c>
      <c r="G1028" s="12" t="s">
        <v>10405</v>
      </c>
      <c r="H1028" s="12" t="s">
        <v>6051</v>
      </c>
      <c r="I1028" s="12" t="s">
        <v>9376</v>
      </c>
      <c r="J1028" s="12">
        <v>21037</v>
      </c>
      <c r="K1028" s="12" t="s">
        <v>8445</v>
      </c>
      <c r="L1028" s="12" t="s">
        <v>8446</v>
      </c>
      <c r="M1028" s="13">
        <v>38576</v>
      </c>
      <c r="N1028" s="12" t="s">
        <v>8447</v>
      </c>
      <c r="O1028" s="12" t="s">
        <v>8448</v>
      </c>
      <c r="P1028" s="12"/>
      <c r="Q1028" s="12">
        <v>1</v>
      </c>
    </row>
    <row r="1029" spans="1:17" ht="15.75" customHeight="1">
      <c r="A1029" s="12">
        <v>879</v>
      </c>
      <c r="B1029" s="12">
        <v>1397</v>
      </c>
      <c r="C1029" s="12">
        <v>20947</v>
      </c>
      <c r="D1029" s="12" t="s">
        <v>6047</v>
      </c>
      <c r="E1029" s="12" t="s">
        <v>10406</v>
      </c>
      <c r="F1029" s="12" t="s">
        <v>10407</v>
      </c>
      <c r="G1029" s="12" t="s">
        <v>10408</v>
      </c>
      <c r="H1029" s="12" t="s">
        <v>6051</v>
      </c>
      <c r="I1029" s="12" t="s">
        <v>6172</v>
      </c>
      <c r="J1029" s="12">
        <v>20947</v>
      </c>
      <c r="K1029" s="12" t="s">
        <v>6569</v>
      </c>
      <c r="L1029" s="12" t="s">
        <v>6564</v>
      </c>
      <c r="M1029" s="13">
        <v>43015</v>
      </c>
      <c r="N1029" s="12" t="s">
        <v>6570</v>
      </c>
      <c r="O1029" s="12" t="s">
        <v>6623</v>
      </c>
      <c r="P1029" s="12"/>
      <c r="Q1029" s="12">
        <v>1</v>
      </c>
    </row>
    <row r="1030" spans="1:17" ht="15.75" customHeight="1">
      <c r="A1030" s="12">
        <v>1335</v>
      </c>
      <c r="B1030" s="12">
        <v>798</v>
      </c>
      <c r="C1030" s="12">
        <v>9997</v>
      </c>
      <c r="D1030" s="12" t="s">
        <v>6047</v>
      </c>
      <c r="E1030" s="12" t="s">
        <v>10409</v>
      </c>
      <c r="F1030" s="12" t="s">
        <v>10410</v>
      </c>
      <c r="G1030" s="12" t="s">
        <v>10411</v>
      </c>
      <c r="H1030" s="12" t="s">
        <v>6265</v>
      </c>
      <c r="I1030" s="12" t="s">
        <v>6266</v>
      </c>
      <c r="J1030" s="12">
        <v>9997</v>
      </c>
      <c r="K1030" s="12" t="s">
        <v>7750</v>
      </c>
      <c r="L1030" s="12" t="s">
        <v>6106</v>
      </c>
      <c r="M1030" s="13">
        <v>41920</v>
      </c>
      <c r="N1030" s="12" t="s">
        <v>7751</v>
      </c>
      <c r="O1030" s="12" t="s">
        <v>7752</v>
      </c>
      <c r="P1030" s="12"/>
      <c r="Q1030" s="12">
        <v>1</v>
      </c>
    </row>
    <row r="1031" spans="1:17" ht="15.75" customHeight="1">
      <c r="A1031" s="12">
        <v>285</v>
      </c>
      <c r="B1031" s="12">
        <v>1472</v>
      </c>
      <c r="C1031" s="12">
        <v>23616</v>
      </c>
      <c r="D1031" s="12" t="s">
        <v>6047</v>
      </c>
      <c r="E1031" s="12" t="s">
        <v>10412</v>
      </c>
      <c r="F1031" s="12" t="s">
        <v>10413</v>
      </c>
      <c r="G1031" s="12" t="s">
        <v>10414</v>
      </c>
      <c r="H1031" s="12" t="s">
        <v>6051</v>
      </c>
      <c r="I1031" s="12" t="s">
        <v>6665</v>
      </c>
      <c r="J1031" s="12">
        <v>23616</v>
      </c>
      <c r="K1031" s="12" t="s">
        <v>7468</v>
      </c>
      <c r="L1031" s="12" t="s">
        <v>7469</v>
      </c>
      <c r="M1031" s="13">
        <v>45602</v>
      </c>
      <c r="N1031" s="12" t="s">
        <v>7470</v>
      </c>
      <c r="O1031" s="12" t="s">
        <v>10294</v>
      </c>
      <c r="P1031" s="12"/>
      <c r="Q1031" s="12">
        <v>1</v>
      </c>
    </row>
    <row r="1032" spans="1:17" ht="15.75" customHeight="1">
      <c r="A1032" s="12">
        <v>291</v>
      </c>
      <c r="B1032" s="12">
        <v>1509</v>
      </c>
      <c r="C1032" s="12">
        <v>24585</v>
      </c>
      <c r="D1032" s="12" t="s">
        <v>6047</v>
      </c>
      <c r="E1032" s="12" t="s">
        <v>10415</v>
      </c>
      <c r="F1032" s="12" t="s">
        <v>10416</v>
      </c>
      <c r="G1032" s="12" t="s">
        <v>10417</v>
      </c>
      <c r="H1032" s="12" t="s">
        <v>6051</v>
      </c>
      <c r="I1032" s="12" t="s">
        <v>7275</v>
      </c>
      <c r="J1032" s="12">
        <v>24585</v>
      </c>
      <c r="K1032" s="12" t="s">
        <v>7468</v>
      </c>
      <c r="L1032" s="12" t="s">
        <v>7469</v>
      </c>
      <c r="M1032" s="13">
        <v>45602</v>
      </c>
      <c r="N1032" s="12" t="s">
        <v>7470</v>
      </c>
      <c r="O1032" s="12" t="s">
        <v>7471</v>
      </c>
      <c r="P1032" s="12"/>
      <c r="Q1032" s="12">
        <v>1</v>
      </c>
    </row>
    <row r="1033" spans="1:17" ht="15.75" customHeight="1">
      <c r="A1033" s="12">
        <v>279</v>
      </c>
      <c r="B1033" s="12">
        <v>194</v>
      </c>
      <c r="C1033" s="12">
        <v>3130</v>
      </c>
      <c r="D1033" s="12" t="s">
        <v>6047</v>
      </c>
      <c r="E1033" s="12" t="s">
        <v>10418</v>
      </c>
      <c r="F1033" s="12" t="s">
        <v>10419</v>
      </c>
      <c r="G1033" s="12" t="s">
        <v>10420</v>
      </c>
      <c r="H1033" s="12" t="s">
        <v>7069</v>
      </c>
      <c r="I1033" s="12" t="s">
        <v>7070</v>
      </c>
      <c r="J1033" s="12">
        <v>3130</v>
      </c>
      <c r="K1033" s="12" t="s">
        <v>8408</v>
      </c>
      <c r="L1033" s="12" t="s">
        <v>7469</v>
      </c>
      <c r="M1033" s="13">
        <v>45603</v>
      </c>
      <c r="N1033" s="12" t="s">
        <v>8409</v>
      </c>
      <c r="O1033" s="12" t="s">
        <v>8410</v>
      </c>
      <c r="P1033" s="12"/>
      <c r="Q1033" s="12">
        <v>1</v>
      </c>
    </row>
    <row r="1034" spans="1:17" ht="15.75" customHeight="1">
      <c r="A1034" s="12">
        <v>258</v>
      </c>
      <c r="B1034" s="12">
        <v>904</v>
      </c>
      <c r="C1034" s="12">
        <v>12012</v>
      </c>
      <c r="D1034" s="12" t="s">
        <v>6047</v>
      </c>
      <c r="E1034" s="12" t="s">
        <v>10421</v>
      </c>
      <c r="F1034" s="12" t="s">
        <v>10422</v>
      </c>
      <c r="G1034" s="12" t="s">
        <v>10423</v>
      </c>
      <c r="H1034" s="12" t="s">
        <v>6340</v>
      </c>
      <c r="I1034" s="12" t="s">
        <v>6341</v>
      </c>
      <c r="J1034" s="12">
        <v>12012</v>
      </c>
      <c r="K1034" s="12" t="s">
        <v>10281</v>
      </c>
      <c r="L1034" s="12" t="s">
        <v>7469</v>
      </c>
      <c r="M1034" s="13">
        <v>45603</v>
      </c>
      <c r="N1034" s="12" t="s">
        <v>10282</v>
      </c>
      <c r="O1034" s="12" t="s">
        <v>10283</v>
      </c>
      <c r="P1034" s="12"/>
      <c r="Q1034" s="12">
        <v>1</v>
      </c>
    </row>
    <row r="1035" spans="1:17" ht="15.75" customHeight="1">
      <c r="A1035" s="12">
        <v>303</v>
      </c>
      <c r="B1035" s="12">
        <v>799</v>
      </c>
      <c r="C1035" s="12">
        <v>10004</v>
      </c>
      <c r="D1035" s="12" t="s">
        <v>6047</v>
      </c>
      <c r="E1035" s="12" t="s">
        <v>10424</v>
      </c>
      <c r="F1035" s="12" t="s">
        <v>10425</v>
      </c>
      <c r="G1035" s="12" t="s">
        <v>10426</v>
      </c>
      <c r="H1035" s="12" t="s">
        <v>6265</v>
      </c>
      <c r="I1035" s="12" t="s">
        <v>6266</v>
      </c>
      <c r="J1035" s="12">
        <v>10004</v>
      </c>
      <c r="K1035" s="12" t="s">
        <v>10388</v>
      </c>
      <c r="L1035" s="12" t="s">
        <v>6939</v>
      </c>
      <c r="M1035" s="13">
        <v>45602</v>
      </c>
      <c r="N1035" s="12" t="s">
        <v>10389</v>
      </c>
      <c r="O1035" s="12" t="s">
        <v>10390</v>
      </c>
      <c r="P1035" s="12"/>
      <c r="Q1035" s="12">
        <v>1</v>
      </c>
    </row>
    <row r="1036" spans="1:17" ht="15.75" customHeight="1">
      <c r="A1036" s="12">
        <v>250</v>
      </c>
      <c r="B1036" s="12">
        <v>228</v>
      </c>
      <c r="C1036" s="12">
        <v>4185</v>
      </c>
      <c r="D1036" s="12" t="s">
        <v>6047</v>
      </c>
      <c r="E1036" s="12" t="s">
        <v>10427</v>
      </c>
      <c r="F1036" s="12" t="s">
        <v>10428</v>
      </c>
      <c r="G1036" s="12" t="s">
        <v>10429</v>
      </c>
      <c r="H1036" s="12" t="s">
        <v>6163</v>
      </c>
      <c r="I1036" s="12" t="s">
        <v>6164</v>
      </c>
      <c r="J1036" s="12">
        <v>4185</v>
      </c>
      <c r="K1036" s="12" t="s">
        <v>9039</v>
      </c>
      <c r="L1036" s="12" t="s">
        <v>7739</v>
      </c>
      <c r="M1036" s="13">
        <v>45605</v>
      </c>
      <c r="N1036" s="12" t="s">
        <v>9040</v>
      </c>
      <c r="O1036" s="12" t="s">
        <v>9041</v>
      </c>
      <c r="P1036" s="12"/>
      <c r="Q1036" s="12">
        <v>1</v>
      </c>
    </row>
    <row r="1037" spans="1:17" ht="15.75" customHeight="1">
      <c r="A1037" s="12">
        <v>301</v>
      </c>
      <c r="B1037" s="12">
        <v>1394</v>
      </c>
      <c r="C1037" s="12">
        <v>20753</v>
      </c>
      <c r="D1037" s="12" t="s">
        <v>6047</v>
      </c>
      <c r="E1037" s="12" t="s">
        <v>2965</v>
      </c>
      <c r="F1037" s="12" t="s">
        <v>10430</v>
      </c>
      <c r="G1037" s="12" t="s">
        <v>10431</v>
      </c>
      <c r="H1037" s="12" t="s">
        <v>6051</v>
      </c>
      <c r="I1037" s="12" t="s">
        <v>6172</v>
      </c>
      <c r="J1037" s="12">
        <v>20753</v>
      </c>
      <c r="K1037" s="12" t="s">
        <v>10432</v>
      </c>
      <c r="L1037" s="12" t="s">
        <v>6939</v>
      </c>
      <c r="M1037" s="13">
        <v>45602</v>
      </c>
      <c r="N1037" s="12" t="s">
        <v>10433</v>
      </c>
      <c r="O1037" s="12" t="s">
        <v>10434</v>
      </c>
      <c r="P1037" s="12"/>
      <c r="Q1037" s="12">
        <v>1</v>
      </c>
    </row>
    <row r="1038" spans="1:17" ht="15.75" customHeight="1">
      <c r="A1038" s="12">
        <v>203</v>
      </c>
      <c r="B1038" s="12">
        <v>615</v>
      </c>
      <c r="C1038" s="12">
        <v>7715</v>
      </c>
      <c r="D1038" s="12" t="s">
        <v>6047</v>
      </c>
      <c r="E1038" s="12" t="s">
        <v>2953</v>
      </c>
      <c r="F1038" s="12" t="s">
        <v>10435</v>
      </c>
      <c r="G1038" s="12" t="s">
        <v>10436</v>
      </c>
      <c r="H1038" s="12" t="s">
        <v>6187</v>
      </c>
      <c r="I1038" s="12" t="s">
        <v>6224</v>
      </c>
      <c r="J1038" s="12">
        <v>7715</v>
      </c>
      <c r="K1038" s="12" t="s">
        <v>6938</v>
      </c>
      <c r="L1038" s="12" t="s">
        <v>6939</v>
      </c>
      <c r="M1038" s="13">
        <v>45613</v>
      </c>
      <c r="N1038" s="12" t="s">
        <v>6940</v>
      </c>
      <c r="O1038" s="12" t="s">
        <v>6941</v>
      </c>
      <c r="P1038" s="12"/>
      <c r="Q1038" s="12">
        <v>1</v>
      </c>
    </row>
    <row r="1039" spans="1:17" ht="15.75" customHeight="1">
      <c r="A1039" s="12">
        <v>256</v>
      </c>
      <c r="B1039" s="12">
        <v>1661</v>
      </c>
      <c r="C1039" s="12">
        <v>30491</v>
      </c>
      <c r="D1039" s="12" t="s">
        <v>6047</v>
      </c>
      <c r="E1039" s="12" t="s">
        <v>10437</v>
      </c>
      <c r="F1039" s="12" t="s">
        <v>10438</v>
      </c>
      <c r="G1039" s="12" t="s">
        <v>10439</v>
      </c>
      <c r="H1039" s="12" t="s">
        <v>6051</v>
      </c>
      <c r="I1039" s="12" t="s">
        <v>6399</v>
      </c>
      <c r="J1039" s="12">
        <v>30491</v>
      </c>
      <c r="K1039" s="12" t="s">
        <v>10281</v>
      </c>
      <c r="L1039" s="12" t="s">
        <v>7469</v>
      </c>
      <c r="M1039" s="13">
        <v>45603</v>
      </c>
      <c r="N1039" s="12" t="s">
        <v>10282</v>
      </c>
      <c r="O1039" s="12" t="s">
        <v>10283</v>
      </c>
      <c r="P1039" s="12"/>
      <c r="Q1039" s="12">
        <v>1</v>
      </c>
    </row>
    <row r="1040" spans="1:17" ht="15.75" customHeight="1">
      <c r="A1040" s="12">
        <v>277</v>
      </c>
      <c r="B1040" s="12">
        <v>224</v>
      </c>
      <c r="C1040" s="12">
        <v>4124</v>
      </c>
      <c r="D1040" s="12" t="s">
        <v>6047</v>
      </c>
      <c r="E1040" s="12" t="s">
        <v>10440</v>
      </c>
      <c r="F1040" s="12" t="s">
        <v>10441</v>
      </c>
      <c r="G1040" s="12" t="s">
        <v>10442</v>
      </c>
      <c r="H1040" s="12" t="s">
        <v>6163</v>
      </c>
      <c r="I1040" s="12" t="s">
        <v>6164</v>
      </c>
      <c r="J1040" s="12">
        <v>4124</v>
      </c>
      <c r="K1040" s="12" t="s">
        <v>8408</v>
      </c>
      <c r="L1040" s="12" t="s">
        <v>7469</v>
      </c>
      <c r="M1040" s="13">
        <v>45603</v>
      </c>
      <c r="N1040" s="12" t="s">
        <v>8409</v>
      </c>
      <c r="O1040" s="12" t="s">
        <v>8410</v>
      </c>
      <c r="P1040" s="12"/>
      <c r="Q1040" s="12">
        <v>1</v>
      </c>
    </row>
    <row r="1041" spans="1:17" ht="15.75" customHeight="1">
      <c r="A1041" s="12">
        <v>237</v>
      </c>
      <c r="B1041" s="12">
        <v>128</v>
      </c>
      <c r="C1041" s="12">
        <v>2004</v>
      </c>
      <c r="D1041" s="12" t="s">
        <v>6047</v>
      </c>
      <c r="E1041" s="12" t="s">
        <v>10443</v>
      </c>
      <c r="F1041" s="12" t="s">
        <v>10444</v>
      </c>
      <c r="G1041" s="12" t="s">
        <v>10445</v>
      </c>
      <c r="H1041" s="12" t="s">
        <v>6127</v>
      </c>
      <c r="I1041" s="12" t="s">
        <v>6128</v>
      </c>
      <c r="J1041" s="12">
        <v>2004</v>
      </c>
      <c r="K1041" s="12" t="s">
        <v>9443</v>
      </c>
      <c r="L1041" s="12" t="s">
        <v>7739</v>
      </c>
      <c r="M1041" s="13">
        <v>45608</v>
      </c>
      <c r="N1041" s="12" t="s">
        <v>9444</v>
      </c>
      <c r="O1041" s="12" t="s">
        <v>10325</v>
      </c>
      <c r="P1041" s="12"/>
      <c r="Q1041" s="12">
        <v>1</v>
      </c>
    </row>
    <row r="1042" spans="1:17" ht="15.75" customHeight="1">
      <c r="A1042" s="12">
        <v>284</v>
      </c>
      <c r="B1042" s="12">
        <v>1516</v>
      </c>
      <c r="C1042" s="12">
        <v>25717</v>
      </c>
      <c r="D1042" s="12" t="s">
        <v>6047</v>
      </c>
      <c r="E1042" s="12" t="s">
        <v>10446</v>
      </c>
      <c r="F1042" s="12" t="s">
        <v>10447</v>
      </c>
      <c r="G1042" s="12" t="s">
        <v>10448</v>
      </c>
      <c r="H1042" s="12" t="s">
        <v>6051</v>
      </c>
      <c r="I1042" s="12" t="s">
        <v>8043</v>
      </c>
      <c r="J1042" s="12">
        <v>25717</v>
      </c>
      <c r="K1042" s="12" t="s">
        <v>7468</v>
      </c>
      <c r="L1042" s="12" t="s">
        <v>7469</v>
      </c>
      <c r="M1042" s="13">
        <v>45602</v>
      </c>
      <c r="N1042" s="12" t="s">
        <v>7470</v>
      </c>
      <c r="O1042" s="12" t="s">
        <v>10294</v>
      </c>
      <c r="P1042" s="12"/>
      <c r="Q1042" s="12">
        <v>1</v>
      </c>
    </row>
    <row r="1043" spans="1:17" ht="15.75" customHeight="1">
      <c r="A1043" s="12">
        <v>1657</v>
      </c>
      <c r="B1043" s="12">
        <v>41</v>
      </c>
      <c r="C1043" s="12">
        <v>545</v>
      </c>
      <c r="D1043" s="12" t="s">
        <v>6047</v>
      </c>
      <c r="E1043" s="12" t="s">
        <v>10449</v>
      </c>
      <c r="F1043" s="12" t="s">
        <v>10450</v>
      </c>
      <c r="G1043" s="12" t="s">
        <v>10451</v>
      </c>
      <c r="H1043" s="12" t="s">
        <v>6289</v>
      </c>
      <c r="I1043" s="12" t="s">
        <v>6290</v>
      </c>
      <c r="J1043" s="12">
        <v>545</v>
      </c>
      <c r="K1043" s="12" t="s">
        <v>6375</v>
      </c>
      <c r="L1043" s="12" t="s">
        <v>6240</v>
      </c>
      <c r="M1043" s="13">
        <v>41161</v>
      </c>
      <c r="N1043" s="12" t="s">
        <v>6376</v>
      </c>
      <c r="O1043" s="12" t="s">
        <v>10452</v>
      </c>
      <c r="P1043" s="12"/>
      <c r="Q1043" s="12">
        <v>1</v>
      </c>
    </row>
    <row r="1044" spans="1:17" ht="15.75" customHeight="1">
      <c r="A1044" s="12">
        <v>95</v>
      </c>
      <c r="B1044" s="12">
        <v>78</v>
      </c>
      <c r="C1044" s="12">
        <v>814</v>
      </c>
      <c r="D1044" s="12" t="s">
        <v>6047</v>
      </c>
      <c r="E1044" s="12" t="s">
        <v>2987</v>
      </c>
      <c r="F1044" s="12" t="s">
        <v>10453</v>
      </c>
      <c r="G1044" s="12" t="s">
        <v>10454</v>
      </c>
      <c r="H1044" s="12" t="s">
        <v>6435</v>
      </c>
      <c r="I1044" s="12" t="s">
        <v>6605</v>
      </c>
      <c r="J1044" s="12">
        <v>814</v>
      </c>
      <c r="K1044" s="12" t="s">
        <v>9191</v>
      </c>
      <c r="L1044" s="12" t="s">
        <v>6590</v>
      </c>
      <c r="M1044" s="13">
        <v>45968</v>
      </c>
      <c r="N1044" s="12" t="s">
        <v>9192</v>
      </c>
      <c r="O1044" s="12" t="s">
        <v>9193</v>
      </c>
      <c r="P1044" s="12"/>
      <c r="Q1044" s="12">
        <v>1</v>
      </c>
    </row>
    <row r="1045" spans="1:17" ht="15.75" customHeight="1">
      <c r="A1045" s="12">
        <v>873</v>
      </c>
      <c r="B1045" s="12">
        <v>29</v>
      </c>
      <c r="C1045" s="12">
        <v>459</v>
      </c>
      <c r="D1045" s="12" t="s">
        <v>6047</v>
      </c>
      <c r="E1045" s="12" t="s">
        <v>10455</v>
      </c>
      <c r="F1045" s="12" t="s">
        <v>10456</v>
      </c>
      <c r="G1045" s="12" t="s">
        <v>10457</v>
      </c>
      <c r="H1045" s="12" t="s">
        <v>6289</v>
      </c>
      <c r="I1045" s="12" t="s">
        <v>6290</v>
      </c>
      <c r="J1045" s="12">
        <v>459</v>
      </c>
      <c r="K1045" s="12" t="s">
        <v>6569</v>
      </c>
      <c r="L1045" s="12" t="s">
        <v>6564</v>
      </c>
      <c r="M1045" s="13">
        <v>43016</v>
      </c>
      <c r="N1045" s="12" t="s">
        <v>6570</v>
      </c>
      <c r="O1045" s="12" t="s">
        <v>10458</v>
      </c>
      <c r="P1045" s="12"/>
      <c r="Q1045" s="12">
        <v>1</v>
      </c>
    </row>
    <row r="1046" spans="1:17" ht="15.75" customHeight="1">
      <c r="A1046" s="12">
        <v>1857</v>
      </c>
      <c r="B1046" s="12">
        <v>197</v>
      </c>
      <c r="C1046" s="12">
        <v>3241</v>
      </c>
      <c r="D1046" s="12" t="s">
        <v>6047</v>
      </c>
      <c r="E1046" s="12" t="s">
        <v>10459</v>
      </c>
      <c r="F1046" s="12" t="s">
        <v>10460</v>
      </c>
      <c r="G1046" s="12" t="s">
        <v>10461</v>
      </c>
      <c r="H1046" s="12" t="s">
        <v>7069</v>
      </c>
      <c r="I1046" s="12" t="s">
        <v>7070</v>
      </c>
      <c r="J1046" s="12">
        <v>3241</v>
      </c>
      <c r="K1046" s="12" t="s">
        <v>6062</v>
      </c>
      <c r="L1046" s="12" t="s">
        <v>6063</v>
      </c>
      <c r="M1046" s="13">
        <v>40873</v>
      </c>
      <c r="N1046" s="12" t="s">
        <v>6064</v>
      </c>
      <c r="O1046" s="12" t="s">
        <v>6065</v>
      </c>
      <c r="P1046" s="12"/>
      <c r="Q1046" s="12">
        <v>1</v>
      </c>
    </row>
    <row r="1047" spans="1:17" ht="15.75" customHeight="1">
      <c r="A1047" s="12">
        <v>1724</v>
      </c>
      <c r="B1047" s="12">
        <v>1489</v>
      </c>
      <c r="C1047" s="12">
        <v>24070</v>
      </c>
      <c r="D1047" s="12" t="s">
        <v>6047</v>
      </c>
      <c r="E1047" s="12" t="s">
        <v>10462</v>
      </c>
      <c r="F1047" s="12" t="s">
        <v>10463</v>
      </c>
      <c r="G1047" s="12" t="s">
        <v>10464</v>
      </c>
      <c r="H1047" s="12" t="s">
        <v>6051</v>
      </c>
      <c r="I1047" s="12" t="s">
        <v>6738</v>
      </c>
      <c r="J1047" s="12">
        <v>24070</v>
      </c>
      <c r="K1047" s="12" t="s">
        <v>7000</v>
      </c>
      <c r="L1047" s="12" t="s">
        <v>7001</v>
      </c>
      <c r="M1047" s="13">
        <v>40875</v>
      </c>
      <c r="N1047" s="12" t="s">
        <v>7002</v>
      </c>
      <c r="O1047" s="12" t="s">
        <v>7003</v>
      </c>
      <c r="P1047" s="12"/>
      <c r="Q1047" s="12">
        <v>1</v>
      </c>
    </row>
    <row r="1048" spans="1:17" ht="15.75" customHeight="1">
      <c r="A1048" s="12">
        <v>331</v>
      </c>
      <c r="B1048" s="12">
        <v>1331</v>
      </c>
      <c r="C1048" s="12">
        <v>19180</v>
      </c>
      <c r="D1048" s="12" t="s">
        <v>6047</v>
      </c>
      <c r="E1048" s="12" t="s">
        <v>10465</v>
      </c>
      <c r="F1048" s="12" t="s">
        <v>10466</v>
      </c>
      <c r="G1048" s="12" t="s">
        <v>10467</v>
      </c>
      <c r="H1048" s="12" t="s">
        <v>6051</v>
      </c>
      <c r="I1048" s="12" t="s">
        <v>7090</v>
      </c>
      <c r="J1048" s="12">
        <v>19180</v>
      </c>
      <c r="K1048" s="12" t="s">
        <v>8338</v>
      </c>
      <c r="L1048" s="12" t="s">
        <v>6732</v>
      </c>
      <c r="M1048" s="13">
        <v>44726</v>
      </c>
      <c r="N1048" s="12" t="s">
        <v>8339</v>
      </c>
      <c r="O1048" s="12" t="s">
        <v>8340</v>
      </c>
      <c r="P1048" s="12"/>
      <c r="Q1048" s="12">
        <v>1</v>
      </c>
    </row>
    <row r="1049" spans="1:17" ht="15.75" customHeight="1">
      <c r="A1049" s="12">
        <v>760</v>
      </c>
      <c r="B1049" s="12">
        <v>1879</v>
      </c>
      <c r="C1049" s="12">
        <v>34097</v>
      </c>
      <c r="D1049" s="12" t="s">
        <v>6047</v>
      </c>
      <c r="E1049" s="12" t="s">
        <v>2996</v>
      </c>
      <c r="F1049" s="12" t="s">
        <v>10468</v>
      </c>
      <c r="G1049" s="12" t="s">
        <v>10469</v>
      </c>
      <c r="H1049" s="12" t="s">
        <v>6051</v>
      </c>
      <c r="I1049" s="12" t="s">
        <v>6362</v>
      </c>
      <c r="J1049" s="12">
        <v>34097</v>
      </c>
      <c r="K1049" s="12" t="s">
        <v>6895</v>
      </c>
      <c r="L1049" s="12" t="s">
        <v>6317</v>
      </c>
      <c r="M1049" s="13">
        <v>43087</v>
      </c>
      <c r="N1049" s="12" t="s">
        <v>6896</v>
      </c>
      <c r="O1049" s="12" t="s">
        <v>6897</v>
      </c>
      <c r="P1049" s="12"/>
      <c r="Q1049" s="12">
        <v>1</v>
      </c>
    </row>
    <row r="1050" spans="1:17" ht="15.75" customHeight="1">
      <c r="A1050" s="12">
        <v>2012</v>
      </c>
      <c r="B1050" s="12">
        <v>548</v>
      </c>
      <c r="C1050" s="12">
        <v>7303</v>
      </c>
      <c r="D1050" s="12" t="s">
        <v>6047</v>
      </c>
      <c r="E1050" s="12" t="s">
        <v>10470</v>
      </c>
      <c r="F1050" s="12" t="s">
        <v>10471</v>
      </c>
      <c r="G1050" s="12" t="s">
        <v>10472</v>
      </c>
      <c r="H1050" s="12" t="s">
        <v>6150</v>
      </c>
      <c r="I1050" s="12" t="s">
        <v>6151</v>
      </c>
      <c r="J1050" s="12">
        <v>7303</v>
      </c>
      <c r="K1050" s="12" t="s">
        <v>6112</v>
      </c>
      <c r="L1050" s="12" t="s">
        <v>6113</v>
      </c>
      <c r="M1050" s="13">
        <v>38573</v>
      </c>
      <c r="N1050" s="12" t="s">
        <v>6114</v>
      </c>
      <c r="O1050" s="12" t="s">
        <v>6115</v>
      </c>
      <c r="P1050" s="12"/>
      <c r="Q1050" s="12">
        <v>1</v>
      </c>
    </row>
    <row r="1051" spans="1:17" ht="15.75" customHeight="1">
      <c r="A1051" s="12">
        <v>530</v>
      </c>
      <c r="B1051" s="12">
        <v>1132</v>
      </c>
      <c r="C1051" s="12">
        <v>16248</v>
      </c>
      <c r="D1051" s="12" t="s">
        <v>6047</v>
      </c>
      <c r="E1051" s="12" t="s">
        <v>10473</v>
      </c>
      <c r="F1051" s="12" t="s">
        <v>10474</v>
      </c>
      <c r="G1051" s="12" t="s">
        <v>10475</v>
      </c>
      <c r="H1051" s="12" t="s">
        <v>6051</v>
      </c>
      <c r="I1051" s="12" t="s">
        <v>6052</v>
      </c>
      <c r="J1051" s="12">
        <v>16248</v>
      </c>
      <c r="K1051" s="12" t="s">
        <v>7441</v>
      </c>
      <c r="L1051" s="12" t="s">
        <v>6408</v>
      </c>
      <c r="M1051" s="13">
        <v>43565</v>
      </c>
      <c r="N1051" s="12" t="s">
        <v>7442</v>
      </c>
      <c r="O1051" s="12" t="s">
        <v>10476</v>
      </c>
      <c r="P1051" s="12"/>
      <c r="Q1051" s="12">
        <v>1</v>
      </c>
    </row>
    <row r="1052" spans="1:17" ht="15.75" customHeight="1">
      <c r="A1052" s="12">
        <v>1569</v>
      </c>
      <c r="B1052" s="12">
        <v>433</v>
      </c>
      <c r="C1052" s="12">
        <v>6051</v>
      </c>
      <c r="D1052" s="12" t="s">
        <v>6047</v>
      </c>
      <c r="E1052" s="12" t="s">
        <v>10477</v>
      </c>
      <c r="F1052" s="12" t="s">
        <v>10478</v>
      </c>
      <c r="G1052" s="12" t="s">
        <v>10479</v>
      </c>
      <c r="H1052" s="12" t="s">
        <v>6137</v>
      </c>
      <c r="I1052" s="12" t="s">
        <v>6391</v>
      </c>
      <c r="J1052" s="12">
        <v>6051</v>
      </c>
      <c r="K1052" s="12" t="s">
        <v>10480</v>
      </c>
      <c r="L1052" s="12" t="s">
        <v>6255</v>
      </c>
      <c r="M1052" s="13">
        <v>41560</v>
      </c>
      <c r="N1052" s="12" t="s">
        <v>10481</v>
      </c>
      <c r="O1052" s="12" t="s">
        <v>10482</v>
      </c>
      <c r="P1052" s="12"/>
      <c r="Q1052" s="12">
        <v>1</v>
      </c>
    </row>
    <row r="1053" spans="1:17" ht="15.75" customHeight="1">
      <c r="A1053" s="12">
        <v>1920</v>
      </c>
      <c r="B1053" s="12">
        <v>1657</v>
      </c>
      <c r="C1053" s="12">
        <v>30393</v>
      </c>
      <c r="D1053" s="12" t="s">
        <v>6047</v>
      </c>
      <c r="E1053" s="12" t="s">
        <v>3007</v>
      </c>
      <c r="F1053" s="12" t="s">
        <v>10483</v>
      </c>
      <c r="G1053" s="12" t="s">
        <v>10484</v>
      </c>
      <c r="H1053" s="12" t="s">
        <v>6051</v>
      </c>
      <c r="I1053" s="12" t="s">
        <v>6399</v>
      </c>
      <c r="J1053" s="12">
        <v>30393</v>
      </c>
      <c r="K1053" s="12" t="s">
        <v>7476</v>
      </c>
      <c r="L1053" s="12" t="s">
        <v>7477</v>
      </c>
      <c r="M1053" s="13">
        <v>39237</v>
      </c>
      <c r="N1053" s="12" t="s">
        <v>7478</v>
      </c>
      <c r="O1053" s="12" t="s">
        <v>7479</v>
      </c>
      <c r="P1053" s="12"/>
      <c r="Q1053" s="12">
        <v>1</v>
      </c>
    </row>
    <row r="1054" spans="1:17" ht="15.75" customHeight="1">
      <c r="A1054" s="12">
        <v>549</v>
      </c>
      <c r="B1054" s="12">
        <v>966</v>
      </c>
      <c r="C1054" s="12">
        <v>13055</v>
      </c>
      <c r="D1054" s="12" t="s">
        <v>6047</v>
      </c>
      <c r="E1054" s="12" t="s">
        <v>10485</v>
      </c>
      <c r="F1054" s="12" t="s">
        <v>10486</v>
      </c>
      <c r="G1054" s="12" t="s">
        <v>10487</v>
      </c>
      <c r="H1054" s="12" t="s">
        <v>6627</v>
      </c>
      <c r="I1054" s="12" t="s">
        <v>7504</v>
      </c>
      <c r="J1054" s="12">
        <v>13055</v>
      </c>
      <c r="K1054" s="12" t="s">
        <v>8239</v>
      </c>
      <c r="L1054" s="12" t="s">
        <v>6408</v>
      </c>
      <c r="M1054" s="13">
        <v>43563</v>
      </c>
      <c r="N1054" s="12" t="s">
        <v>8240</v>
      </c>
      <c r="O1054" s="12" t="s">
        <v>8241</v>
      </c>
      <c r="P1054" s="12"/>
      <c r="Q1054" s="12">
        <v>1</v>
      </c>
    </row>
    <row r="1055" spans="1:17" ht="15.75" customHeight="1">
      <c r="A1055" s="12">
        <v>1445</v>
      </c>
      <c r="B1055" s="12">
        <v>445</v>
      </c>
      <c r="C1055" s="12">
        <v>6136</v>
      </c>
      <c r="D1055" s="12" t="s">
        <v>6047</v>
      </c>
      <c r="E1055" s="12" t="s">
        <v>10488</v>
      </c>
      <c r="F1055" s="12" t="s">
        <v>10489</v>
      </c>
      <c r="G1055" s="12" t="s">
        <v>10490</v>
      </c>
      <c r="H1055" s="12" t="s">
        <v>6137</v>
      </c>
      <c r="I1055" s="12" t="s">
        <v>6391</v>
      </c>
      <c r="J1055" s="12">
        <v>6136</v>
      </c>
      <c r="K1055" s="12" t="s">
        <v>6069</v>
      </c>
      <c r="L1055" s="12" t="s">
        <v>6070</v>
      </c>
      <c r="M1055" s="13">
        <v>41908</v>
      </c>
      <c r="N1055" s="12" t="s">
        <v>6071</v>
      </c>
      <c r="O1055" s="12" t="s">
        <v>6901</v>
      </c>
      <c r="P1055" s="12"/>
      <c r="Q1055" s="12">
        <v>1</v>
      </c>
    </row>
    <row r="1056" spans="1:17" ht="15.75" customHeight="1">
      <c r="A1056" s="12">
        <v>1515</v>
      </c>
      <c r="B1056" s="12">
        <v>1543</v>
      </c>
      <c r="C1056" s="12">
        <v>27329</v>
      </c>
      <c r="D1056" s="12" t="s">
        <v>6047</v>
      </c>
      <c r="E1056" s="12" t="s">
        <v>10491</v>
      </c>
      <c r="F1056" s="12" t="s">
        <v>10492</v>
      </c>
      <c r="G1056" s="12" t="s">
        <v>10493</v>
      </c>
      <c r="H1056" s="12" t="s">
        <v>6051</v>
      </c>
      <c r="I1056" s="12" t="s">
        <v>6704</v>
      </c>
      <c r="J1056" s="12">
        <v>27329</v>
      </c>
      <c r="K1056" s="12" t="s">
        <v>6324</v>
      </c>
      <c r="L1056" s="12" t="s">
        <v>6240</v>
      </c>
      <c r="M1056" s="13">
        <v>41760</v>
      </c>
      <c r="N1056" s="12" t="s">
        <v>6325</v>
      </c>
      <c r="O1056" s="12" t="s">
        <v>9053</v>
      </c>
      <c r="P1056" s="12"/>
      <c r="Q1056" s="12">
        <v>1</v>
      </c>
    </row>
    <row r="1057" spans="1:17" ht="15.75" customHeight="1">
      <c r="A1057" s="12">
        <v>1895</v>
      </c>
      <c r="B1057" s="12">
        <v>665</v>
      </c>
      <c r="C1057" s="12">
        <v>8033</v>
      </c>
      <c r="D1057" s="12" t="s">
        <v>6047</v>
      </c>
      <c r="E1057" s="12" t="s">
        <v>10494</v>
      </c>
      <c r="F1057" s="12" t="s">
        <v>10495</v>
      </c>
      <c r="G1057" s="12" t="s">
        <v>10496</v>
      </c>
      <c r="H1057" s="12" t="s">
        <v>6075</v>
      </c>
      <c r="I1057" s="12" t="s">
        <v>6076</v>
      </c>
      <c r="J1057" s="12">
        <v>8033</v>
      </c>
      <c r="K1057" s="12" t="s">
        <v>6156</v>
      </c>
      <c r="L1057" s="12" t="s">
        <v>6157</v>
      </c>
      <c r="M1057" s="13">
        <v>39253</v>
      </c>
      <c r="N1057" s="12" t="s">
        <v>6158</v>
      </c>
      <c r="O1057" s="12" t="s">
        <v>6159</v>
      </c>
      <c r="P1057" s="12"/>
      <c r="Q1057" s="12">
        <v>1</v>
      </c>
    </row>
    <row r="1058" spans="1:17" ht="15.75" customHeight="1">
      <c r="A1058" s="12">
        <v>283</v>
      </c>
      <c r="B1058" s="12">
        <v>1484</v>
      </c>
      <c r="C1058" s="12">
        <v>24027</v>
      </c>
      <c r="D1058" s="12" t="s">
        <v>6047</v>
      </c>
      <c r="E1058" s="12" t="s">
        <v>10497</v>
      </c>
      <c r="F1058" s="12" t="s">
        <v>10498</v>
      </c>
      <c r="G1058" s="12" t="s">
        <v>10499</v>
      </c>
      <c r="H1058" s="12" t="s">
        <v>6051</v>
      </c>
      <c r="I1058" s="12" t="s">
        <v>6738</v>
      </c>
      <c r="J1058" s="12">
        <v>24027</v>
      </c>
      <c r="K1058" s="12" t="s">
        <v>8119</v>
      </c>
      <c r="L1058" s="12" t="s">
        <v>7469</v>
      </c>
      <c r="M1058" s="13">
        <v>45603</v>
      </c>
      <c r="N1058" s="12" t="s">
        <v>8120</v>
      </c>
      <c r="O1058" s="12" t="s">
        <v>10500</v>
      </c>
      <c r="P1058" s="12"/>
      <c r="Q1058" s="12">
        <v>1</v>
      </c>
    </row>
    <row r="1059" spans="1:17" ht="15.75" customHeight="1">
      <c r="A1059" s="12">
        <v>711</v>
      </c>
      <c r="B1059" s="12">
        <v>1931</v>
      </c>
      <c r="C1059" s="12">
        <v>34632</v>
      </c>
      <c r="D1059" s="12" t="s">
        <v>6047</v>
      </c>
      <c r="E1059" s="12" t="s">
        <v>10501</v>
      </c>
      <c r="F1059" s="12" t="s">
        <v>10502</v>
      </c>
      <c r="G1059" s="12" t="s">
        <v>10503</v>
      </c>
      <c r="H1059" s="12" t="s">
        <v>6051</v>
      </c>
      <c r="I1059" s="12" t="s">
        <v>6700</v>
      </c>
      <c r="J1059" s="12">
        <v>34632</v>
      </c>
      <c r="K1059" s="12" t="s">
        <v>9663</v>
      </c>
      <c r="L1059" s="12" t="s">
        <v>9664</v>
      </c>
      <c r="M1059" s="13">
        <v>43201</v>
      </c>
      <c r="N1059" s="12" t="s">
        <v>9665</v>
      </c>
      <c r="O1059" s="12" t="s">
        <v>9666</v>
      </c>
      <c r="P1059" s="12"/>
      <c r="Q1059" s="12">
        <v>1</v>
      </c>
    </row>
    <row r="1060" spans="1:17" ht="15.75" customHeight="1">
      <c r="A1060" s="12">
        <v>1195</v>
      </c>
      <c r="B1060" s="12">
        <v>2007</v>
      </c>
      <c r="C1060" s="12">
        <v>35330</v>
      </c>
      <c r="D1060" s="12" t="s">
        <v>6047</v>
      </c>
      <c r="E1060" s="12" t="s">
        <v>10504</v>
      </c>
      <c r="F1060" s="12" t="s">
        <v>10505</v>
      </c>
      <c r="G1060" s="12" t="s">
        <v>10506</v>
      </c>
      <c r="H1060" s="12" t="s">
        <v>6051</v>
      </c>
      <c r="I1060" s="12" t="s">
        <v>6700</v>
      </c>
      <c r="J1060" s="12">
        <v>35330</v>
      </c>
      <c r="K1060" s="12" t="s">
        <v>6429</v>
      </c>
      <c r="L1060" s="12" t="s">
        <v>6423</v>
      </c>
      <c r="M1060" s="13">
        <v>41991</v>
      </c>
      <c r="N1060" s="12" t="s">
        <v>6430</v>
      </c>
      <c r="O1060" s="12" t="s">
        <v>6431</v>
      </c>
      <c r="P1060" s="12"/>
      <c r="Q1060" s="12">
        <v>1</v>
      </c>
    </row>
    <row r="1061" spans="1:17" ht="15.75" customHeight="1">
      <c r="A1061" s="12">
        <v>890</v>
      </c>
      <c r="B1061" s="12">
        <v>412</v>
      </c>
      <c r="C1061" s="12">
        <v>5891</v>
      </c>
      <c r="D1061" s="12" t="s">
        <v>6047</v>
      </c>
      <c r="E1061" s="12" t="s">
        <v>10507</v>
      </c>
      <c r="F1061" s="12" t="s">
        <v>10508</v>
      </c>
      <c r="G1061" s="12" t="s">
        <v>10509</v>
      </c>
      <c r="H1061" s="12" t="s">
        <v>6137</v>
      </c>
      <c r="I1061" s="12" t="s">
        <v>6323</v>
      </c>
      <c r="J1061" s="12">
        <v>5891</v>
      </c>
      <c r="K1061" s="12" t="s">
        <v>6569</v>
      </c>
      <c r="L1061" s="12" t="s">
        <v>6564</v>
      </c>
      <c r="M1061" s="13">
        <v>43015</v>
      </c>
      <c r="N1061" s="12" t="s">
        <v>6570</v>
      </c>
      <c r="O1061" s="12" t="s">
        <v>6623</v>
      </c>
      <c r="P1061" s="12"/>
      <c r="Q1061" s="12">
        <v>1</v>
      </c>
    </row>
    <row r="1062" spans="1:17" ht="15.75" customHeight="1">
      <c r="A1062" s="12">
        <v>1816</v>
      </c>
      <c r="B1062" s="12">
        <v>1111</v>
      </c>
      <c r="C1062" s="12">
        <v>15969</v>
      </c>
      <c r="D1062" s="12" t="s">
        <v>6047</v>
      </c>
      <c r="E1062" s="12" t="s">
        <v>10510</v>
      </c>
      <c r="F1062" s="12" t="s">
        <v>10511</v>
      </c>
      <c r="G1062" s="12" t="s">
        <v>10512</v>
      </c>
      <c r="H1062" s="12" t="s">
        <v>6051</v>
      </c>
      <c r="I1062" s="12" t="s">
        <v>6781</v>
      </c>
      <c r="J1062" s="12">
        <v>15969</v>
      </c>
      <c r="K1062" s="12" t="s">
        <v>6062</v>
      </c>
      <c r="L1062" s="12" t="s">
        <v>6063</v>
      </c>
      <c r="M1062" s="13">
        <v>40873</v>
      </c>
      <c r="N1062" s="12" t="s">
        <v>6064</v>
      </c>
      <c r="O1062" s="12" t="s">
        <v>6065</v>
      </c>
      <c r="P1062" s="12"/>
      <c r="Q1062" s="12">
        <v>1</v>
      </c>
    </row>
    <row r="1063" spans="1:17" ht="15.75" customHeight="1">
      <c r="A1063" s="12">
        <v>2044</v>
      </c>
      <c r="B1063" s="12">
        <v>767</v>
      </c>
      <c r="C1063" s="12">
        <v>9592</v>
      </c>
      <c r="D1063" s="12" t="s">
        <v>6047</v>
      </c>
      <c r="E1063" s="12" t="s">
        <v>10513</v>
      </c>
      <c r="F1063" s="12" t="s">
        <v>10514</v>
      </c>
      <c r="G1063" s="12" t="s">
        <v>10515</v>
      </c>
      <c r="H1063" s="12" t="s">
        <v>7330</v>
      </c>
      <c r="I1063" s="12" t="s">
        <v>7331</v>
      </c>
      <c r="J1063" s="12">
        <v>9592</v>
      </c>
      <c r="K1063" s="12" t="s">
        <v>7867</v>
      </c>
      <c r="L1063" s="12" t="s">
        <v>6408</v>
      </c>
      <c r="M1063" s="13">
        <v>38170</v>
      </c>
      <c r="N1063" s="12" t="s">
        <v>7868</v>
      </c>
      <c r="O1063" s="12" t="s">
        <v>7869</v>
      </c>
      <c r="P1063" s="12"/>
      <c r="Q1063" s="12">
        <v>1</v>
      </c>
    </row>
    <row r="1064" spans="1:17" ht="15.75" customHeight="1">
      <c r="A1064" s="12">
        <v>546</v>
      </c>
      <c r="B1064" s="12">
        <v>1204</v>
      </c>
      <c r="C1064" s="12">
        <v>17162</v>
      </c>
      <c r="D1064" s="12" t="s">
        <v>6047</v>
      </c>
      <c r="E1064" s="12" t="s">
        <v>10516</v>
      </c>
      <c r="F1064" s="12" t="s">
        <v>10517</v>
      </c>
      <c r="G1064" s="12" t="s">
        <v>10518</v>
      </c>
      <c r="H1064" s="12" t="s">
        <v>6051</v>
      </c>
      <c r="I1064" s="12" t="s">
        <v>6052</v>
      </c>
      <c r="J1064" s="12">
        <v>17162</v>
      </c>
      <c r="K1064" s="12" t="s">
        <v>8239</v>
      </c>
      <c r="L1064" s="12" t="s">
        <v>6408</v>
      </c>
      <c r="M1064" s="13">
        <v>43563</v>
      </c>
      <c r="N1064" s="12" t="s">
        <v>8240</v>
      </c>
      <c r="O1064" s="12" t="s">
        <v>8241</v>
      </c>
      <c r="P1064" s="12"/>
      <c r="Q1064" s="12">
        <v>1</v>
      </c>
    </row>
    <row r="1065" spans="1:17" ht="15.75" customHeight="1">
      <c r="A1065" s="12">
        <v>86</v>
      </c>
      <c r="B1065" s="12">
        <v>1351</v>
      </c>
      <c r="C1065" s="12">
        <v>19749</v>
      </c>
      <c r="D1065" s="12" t="s">
        <v>6047</v>
      </c>
      <c r="E1065" s="12" t="s">
        <v>3031</v>
      </c>
      <c r="F1065" s="12" t="s">
        <v>10519</v>
      </c>
      <c r="G1065" s="12" t="s">
        <v>10520</v>
      </c>
      <c r="H1065" s="12" t="s">
        <v>6051</v>
      </c>
      <c r="I1065" s="12" t="s">
        <v>6635</v>
      </c>
      <c r="J1065" s="12">
        <v>19749</v>
      </c>
      <c r="K1065" s="12" t="s">
        <v>8177</v>
      </c>
      <c r="L1065" s="12" t="s">
        <v>6590</v>
      </c>
      <c r="M1065" s="13">
        <v>45969</v>
      </c>
      <c r="N1065" s="12" t="s">
        <v>8178</v>
      </c>
      <c r="O1065" s="12" t="s">
        <v>8179</v>
      </c>
      <c r="P1065" s="12"/>
      <c r="Q1065" s="12">
        <v>1</v>
      </c>
    </row>
    <row r="1066" spans="1:17" ht="15.75" customHeight="1">
      <c r="A1066" s="12">
        <v>718</v>
      </c>
      <c r="B1066" s="12">
        <v>1863</v>
      </c>
      <c r="C1066" s="12">
        <v>33999</v>
      </c>
      <c r="D1066" s="12" t="s">
        <v>6047</v>
      </c>
      <c r="E1066" s="12" t="s">
        <v>10521</v>
      </c>
      <c r="F1066" s="12" t="s">
        <v>10522</v>
      </c>
      <c r="G1066" s="12" t="s">
        <v>10523</v>
      </c>
      <c r="H1066" s="12" t="s">
        <v>6051</v>
      </c>
      <c r="I1066" s="12" t="s">
        <v>6362</v>
      </c>
      <c r="J1066" s="12">
        <v>33999</v>
      </c>
      <c r="K1066" s="12" t="s">
        <v>8856</v>
      </c>
      <c r="L1066" s="12" t="s">
        <v>8857</v>
      </c>
      <c r="M1066" s="13">
        <v>43200</v>
      </c>
      <c r="N1066" s="12" t="s">
        <v>8858</v>
      </c>
      <c r="O1066" s="12" t="s">
        <v>8859</v>
      </c>
      <c r="P1066" s="12"/>
      <c r="Q1066" s="12">
        <v>1</v>
      </c>
    </row>
    <row r="1067" spans="1:17" ht="15.75" customHeight="1">
      <c r="A1067" s="12">
        <v>2055</v>
      </c>
      <c r="B1067" s="12">
        <v>959</v>
      </c>
      <c r="C1067" s="12">
        <v>12960</v>
      </c>
      <c r="D1067" s="12" t="s">
        <v>6047</v>
      </c>
      <c r="E1067" s="12" t="s">
        <v>10524</v>
      </c>
      <c r="F1067" s="12" t="s">
        <v>10525</v>
      </c>
      <c r="G1067" s="12" t="s">
        <v>10526</v>
      </c>
      <c r="H1067" s="12" t="s">
        <v>6627</v>
      </c>
      <c r="I1067" s="12" t="s">
        <v>7504</v>
      </c>
      <c r="J1067" s="12">
        <v>12960</v>
      </c>
      <c r="K1067" s="12" t="s">
        <v>7120</v>
      </c>
      <c r="L1067" s="12" t="s">
        <v>7121</v>
      </c>
      <c r="M1067" s="13">
        <v>38167</v>
      </c>
      <c r="N1067" s="12" t="s">
        <v>7122</v>
      </c>
      <c r="O1067" s="12" t="s">
        <v>7123</v>
      </c>
      <c r="P1067" s="12"/>
      <c r="Q1067" s="12">
        <v>1</v>
      </c>
    </row>
    <row r="1068" spans="1:17" ht="15.75" customHeight="1">
      <c r="A1068" s="12">
        <v>2038</v>
      </c>
      <c r="B1068" s="12">
        <v>2027</v>
      </c>
      <c r="C1068" s="12">
        <v>35775</v>
      </c>
      <c r="D1068" s="12" t="s">
        <v>6047</v>
      </c>
      <c r="E1068" s="12" t="s">
        <v>10527</v>
      </c>
      <c r="F1068" s="12" t="s">
        <v>10528</v>
      </c>
      <c r="G1068" s="12" t="s">
        <v>10529</v>
      </c>
      <c r="H1068" s="12" t="s">
        <v>6051</v>
      </c>
      <c r="I1068" s="12" t="s">
        <v>6700</v>
      </c>
      <c r="J1068" s="12">
        <v>35775</v>
      </c>
      <c r="K1068" s="12" t="s">
        <v>9120</v>
      </c>
      <c r="L1068" s="12" t="s">
        <v>6278</v>
      </c>
      <c r="M1068" s="13">
        <v>38172</v>
      </c>
      <c r="N1068" s="12" t="s">
        <v>9121</v>
      </c>
      <c r="O1068" s="12" t="s">
        <v>9122</v>
      </c>
      <c r="P1068" s="12"/>
      <c r="Q1068" s="12">
        <v>1</v>
      </c>
    </row>
    <row r="1069" spans="1:17" ht="15.75" customHeight="1">
      <c r="A1069" s="12">
        <v>206</v>
      </c>
      <c r="B1069" s="12">
        <v>39</v>
      </c>
      <c r="C1069" s="12">
        <v>533</v>
      </c>
      <c r="D1069" s="12" t="s">
        <v>6047</v>
      </c>
      <c r="E1069" s="12" t="s">
        <v>3041</v>
      </c>
      <c r="F1069" s="12" t="s">
        <v>10530</v>
      </c>
      <c r="G1069" s="12" t="s">
        <v>10531</v>
      </c>
      <c r="H1069" s="12" t="s">
        <v>6289</v>
      </c>
      <c r="I1069" s="12" t="s">
        <v>6290</v>
      </c>
      <c r="J1069" s="12">
        <v>533</v>
      </c>
      <c r="K1069" s="12" t="s">
        <v>6938</v>
      </c>
      <c r="L1069" s="12" t="s">
        <v>6939</v>
      </c>
      <c r="M1069" s="13">
        <v>45613</v>
      </c>
      <c r="N1069" s="12" t="s">
        <v>6940</v>
      </c>
      <c r="O1069" s="12" t="s">
        <v>6941</v>
      </c>
      <c r="P1069" s="12"/>
      <c r="Q1069" s="12">
        <v>1</v>
      </c>
    </row>
    <row r="1070" spans="1:17" ht="15.75" customHeight="1">
      <c r="A1070" s="12">
        <v>1778</v>
      </c>
      <c r="B1070" s="12">
        <v>1839</v>
      </c>
      <c r="C1070" s="12">
        <v>33843</v>
      </c>
      <c r="D1070" s="12" t="s">
        <v>6047</v>
      </c>
      <c r="E1070" s="12" t="s">
        <v>10532</v>
      </c>
      <c r="F1070" s="12" t="s">
        <v>10533</v>
      </c>
      <c r="G1070" s="12" t="s">
        <v>10534</v>
      </c>
      <c r="H1070" s="12" t="s">
        <v>6051</v>
      </c>
      <c r="I1070" s="12" t="s">
        <v>6261</v>
      </c>
      <c r="J1070" s="12">
        <v>33843</v>
      </c>
      <c r="K1070" s="12" t="s">
        <v>6062</v>
      </c>
      <c r="L1070" s="12" t="s">
        <v>6063</v>
      </c>
      <c r="M1070" s="13">
        <v>40873</v>
      </c>
      <c r="N1070" s="12" t="s">
        <v>6064</v>
      </c>
      <c r="O1070" s="12" t="s">
        <v>6065</v>
      </c>
      <c r="P1070" s="12"/>
      <c r="Q1070" s="12">
        <v>1</v>
      </c>
    </row>
    <row r="1071" spans="1:17" ht="15.75" customHeight="1">
      <c r="A1071" s="12">
        <v>1655</v>
      </c>
      <c r="B1071" s="12">
        <v>909</v>
      </c>
      <c r="C1071" s="12">
        <v>12062</v>
      </c>
      <c r="D1071" s="12" t="s">
        <v>6047</v>
      </c>
      <c r="E1071" s="12" t="s">
        <v>10535</v>
      </c>
      <c r="F1071" s="12" t="s">
        <v>10536</v>
      </c>
      <c r="G1071" s="12" t="s">
        <v>10537</v>
      </c>
      <c r="H1071" s="12" t="s">
        <v>6340</v>
      </c>
      <c r="I1071" s="12" t="s">
        <v>6341</v>
      </c>
      <c r="J1071" s="12">
        <v>12062</v>
      </c>
      <c r="K1071" s="12" t="s">
        <v>10538</v>
      </c>
      <c r="L1071" s="12" t="s">
        <v>6240</v>
      </c>
      <c r="M1071" s="13">
        <v>41232</v>
      </c>
      <c r="N1071" s="12" t="s">
        <v>10539</v>
      </c>
      <c r="O1071" s="12" t="s">
        <v>10540</v>
      </c>
      <c r="P1071" s="12"/>
      <c r="Q1071" s="12">
        <v>1</v>
      </c>
    </row>
    <row r="1072" spans="1:17" ht="15.75" customHeight="1">
      <c r="A1072" s="12">
        <v>587</v>
      </c>
      <c r="B1072" s="12">
        <v>1978</v>
      </c>
      <c r="C1072" s="12">
        <v>35048</v>
      </c>
      <c r="D1072" s="12" t="s">
        <v>6047</v>
      </c>
      <c r="E1072" s="12" t="s">
        <v>10541</v>
      </c>
      <c r="F1072" s="12" t="s">
        <v>10542</v>
      </c>
      <c r="G1072" s="12" t="s">
        <v>10543</v>
      </c>
      <c r="H1072" s="12" t="s">
        <v>6051</v>
      </c>
      <c r="I1072" s="12" t="s">
        <v>6700</v>
      </c>
      <c r="J1072" s="12">
        <v>35048</v>
      </c>
      <c r="K1072" s="12" t="s">
        <v>6407</v>
      </c>
      <c r="L1072" s="12" t="s">
        <v>6408</v>
      </c>
      <c r="M1072" s="13">
        <v>43560</v>
      </c>
      <c r="N1072" s="12" t="s">
        <v>6409</v>
      </c>
      <c r="O1072" s="12" t="s">
        <v>7139</v>
      </c>
      <c r="P1072" s="12"/>
      <c r="Q1072" s="12">
        <v>1</v>
      </c>
    </row>
    <row r="1073" spans="1:17" ht="15.75" customHeight="1">
      <c r="A1073" s="12">
        <v>1421</v>
      </c>
      <c r="B1073" s="12">
        <v>1586</v>
      </c>
      <c r="C1073" s="12">
        <v>27953</v>
      </c>
      <c r="D1073" s="12" t="s">
        <v>6047</v>
      </c>
      <c r="E1073" s="12" t="s">
        <v>3063</v>
      </c>
      <c r="F1073" s="12" t="s">
        <v>10544</v>
      </c>
      <c r="G1073" s="12" t="s">
        <v>10545</v>
      </c>
      <c r="H1073" s="12" t="s">
        <v>6051</v>
      </c>
      <c r="I1073" s="12" t="s">
        <v>6547</v>
      </c>
      <c r="J1073" s="12">
        <v>27953</v>
      </c>
      <c r="K1073" s="12" t="s">
        <v>6139</v>
      </c>
      <c r="L1073" s="12" t="s">
        <v>6087</v>
      </c>
      <c r="M1073" s="13">
        <v>41909</v>
      </c>
      <c r="N1073" s="12" t="s">
        <v>6140</v>
      </c>
      <c r="O1073" s="12" t="s">
        <v>6141</v>
      </c>
      <c r="P1073" s="12"/>
      <c r="Q1073" s="12">
        <v>1</v>
      </c>
    </row>
    <row r="1074" spans="1:17" ht="15.75" customHeight="1">
      <c r="A1074" s="12">
        <v>754</v>
      </c>
      <c r="B1074" s="12">
        <v>300</v>
      </c>
      <c r="C1074" s="12">
        <v>4798</v>
      </c>
      <c r="D1074" s="12" t="s">
        <v>6047</v>
      </c>
      <c r="E1074" s="12" t="s">
        <v>10546</v>
      </c>
      <c r="F1074" s="12" t="s">
        <v>10547</v>
      </c>
      <c r="G1074" s="12" t="s">
        <v>10548</v>
      </c>
      <c r="H1074" s="12" t="s">
        <v>6163</v>
      </c>
      <c r="I1074" s="12" t="s">
        <v>6253</v>
      </c>
      <c r="J1074" s="12">
        <v>4798</v>
      </c>
      <c r="K1074" s="12" t="s">
        <v>10549</v>
      </c>
      <c r="L1074" s="12" t="s">
        <v>7405</v>
      </c>
      <c r="M1074" s="13">
        <v>43090</v>
      </c>
      <c r="N1074" s="12" t="s">
        <v>10550</v>
      </c>
      <c r="O1074" s="12" t="s">
        <v>10551</v>
      </c>
      <c r="P1074" s="12"/>
      <c r="Q1074" s="12">
        <v>1</v>
      </c>
    </row>
    <row r="1075" spans="1:17" ht="15.75" customHeight="1">
      <c r="A1075" s="12">
        <v>1313</v>
      </c>
      <c r="B1075" s="12">
        <v>944</v>
      </c>
      <c r="C1075" s="12">
        <v>12773</v>
      </c>
      <c r="D1075" s="12" t="s">
        <v>6047</v>
      </c>
      <c r="E1075" s="12" t="s">
        <v>10552</v>
      </c>
      <c r="F1075" s="12" t="s">
        <v>10553</v>
      </c>
      <c r="G1075" s="12" t="s">
        <v>10554</v>
      </c>
      <c r="H1075" s="12" t="s">
        <v>6627</v>
      </c>
      <c r="I1075" s="12" t="s">
        <v>7504</v>
      </c>
      <c r="J1075" s="12">
        <v>12773</v>
      </c>
      <c r="K1075" s="12" t="s">
        <v>6851</v>
      </c>
      <c r="L1075" s="12" t="s">
        <v>6106</v>
      </c>
      <c r="M1075" s="13">
        <v>41926</v>
      </c>
      <c r="N1075" s="12" t="s">
        <v>6852</v>
      </c>
      <c r="O1075" s="12" t="s">
        <v>6853</v>
      </c>
      <c r="P1075" s="12"/>
      <c r="Q1075" s="12">
        <v>1</v>
      </c>
    </row>
    <row r="1076" spans="1:17" ht="15.75" customHeight="1">
      <c r="A1076" s="12">
        <v>944</v>
      </c>
      <c r="B1076" s="12">
        <v>694</v>
      </c>
      <c r="C1076" s="12">
        <v>8388</v>
      </c>
      <c r="D1076" s="12" t="s">
        <v>6047</v>
      </c>
      <c r="E1076" s="12" t="s">
        <v>10555</v>
      </c>
      <c r="F1076" s="12" t="s">
        <v>10556</v>
      </c>
      <c r="G1076" s="12" t="s">
        <v>10557</v>
      </c>
      <c r="H1076" s="12" t="s">
        <v>6075</v>
      </c>
      <c r="I1076" s="12" t="s">
        <v>6076</v>
      </c>
      <c r="J1076" s="12">
        <v>8388</v>
      </c>
      <c r="K1076" s="12" t="s">
        <v>8672</v>
      </c>
      <c r="L1076" s="12" t="s">
        <v>6955</v>
      </c>
      <c r="M1076" s="13">
        <v>42827</v>
      </c>
      <c r="N1076" s="12" t="s">
        <v>8673</v>
      </c>
      <c r="O1076" s="12" t="s">
        <v>8674</v>
      </c>
      <c r="P1076" s="12"/>
      <c r="Q1076" s="12">
        <v>1</v>
      </c>
    </row>
    <row r="1077" spans="1:17" ht="15.75" customHeight="1">
      <c r="A1077" s="12">
        <v>502</v>
      </c>
      <c r="B1077" s="12">
        <v>1169</v>
      </c>
      <c r="C1077" s="12">
        <v>16800</v>
      </c>
      <c r="D1077" s="12" t="s">
        <v>6047</v>
      </c>
      <c r="E1077" s="12" t="s">
        <v>10558</v>
      </c>
      <c r="F1077" s="12" t="s">
        <v>10559</v>
      </c>
      <c r="G1077" s="12" t="s">
        <v>10560</v>
      </c>
      <c r="H1077" s="12" t="s">
        <v>6051</v>
      </c>
      <c r="I1077" s="12" t="s">
        <v>6052</v>
      </c>
      <c r="J1077" s="12">
        <v>16800</v>
      </c>
      <c r="K1077" s="12" t="s">
        <v>6927</v>
      </c>
      <c r="L1077" s="12" t="s">
        <v>6504</v>
      </c>
      <c r="M1077" s="13">
        <v>43778</v>
      </c>
      <c r="N1077" s="12" t="s">
        <v>6928</v>
      </c>
      <c r="O1077" s="12" t="s">
        <v>10561</v>
      </c>
      <c r="P1077" s="12"/>
      <c r="Q1077" s="12">
        <v>1</v>
      </c>
    </row>
    <row r="1078" spans="1:17" ht="15.75" customHeight="1">
      <c r="A1078" s="12">
        <v>770</v>
      </c>
      <c r="B1078" s="12">
        <v>1652</v>
      </c>
      <c r="C1078" s="12">
        <v>30117</v>
      </c>
      <c r="D1078" s="12" t="s">
        <v>6047</v>
      </c>
      <c r="E1078" s="12" t="s">
        <v>3069</v>
      </c>
      <c r="F1078" s="12" t="s">
        <v>10562</v>
      </c>
      <c r="G1078" s="12" t="s">
        <v>10563</v>
      </c>
      <c r="H1078" s="12" t="s">
        <v>6051</v>
      </c>
      <c r="I1078" s="12" t="s">
        <v>10564</v>
      </c>
      <c r="J1078" s="12">
        <v>30117</v>
      </c>
      <c r="K1078" s="12" t="s">
        <v>10565</v>
      </c>
      <c r="L1078" s="12" t="s">
        <v>6590</v>
      </c>
      <c r="M1078" s="13">
        <v>43035</v>
      </c>
      <c r="N1078" s="12" t="s">
        <v>10566</v>
      </c>
      <c r="O1078" s="12" t="s">
        <v>10567</v>
      </c>
      <c r="P1078" s="12"/>
      <c r="Q1078" s="12">
        <v>1</v>
      </c>
    </row>
    <row r="1079" spans="1:17" ht="15.75" customHeight="1">
      <c r="A1079" s="12">
        <v>318</v>
      </c>
      <c r="B1079" s="12">
        <v>981</v>
      </c>
      <c r="C1079" s="12">
        <v>13196</v>
      </c>
      <c r="D1079" s="12" t="s">
        <v>6047</v>
      </c>
      <c r="E1079" s="12" t="s">
        <v>10568</v>
      </c>
      <c r="F1079" s="12" t="s">
        <v>10569</v>
      </c>
      <c r="G1079" s="12" t="s">
        <v>10570</v>
      </c>
      <c r="H1079" s="12" t="s">
        <v>6627</v>
      </c>
      <c r="I1079" s="12" t="s">
        <v>7504</v>
      </c>
      <c r="J1079" s="12">
        <v>13196</v>
      </c>
      <c r="K1079" s="12" t="s">
        <v>10571</v>
      </c>
      <c r="L1079" s="12" t="s">
        <v>6345</v>
      </c>
      <c r="M1079" s="13">
        <v>44893</v>
      </c>
      <c r="N1079" s="12" t="s">
        <v>10572</v>
      </c>
      <c r="O1079" s="12" t="s">
        <v>10573</v>
      </c>
      <c r="P1079" s="12" t="s">
        <v>6196</v>
      </c>
      <c r="Q1079" s="12">
        <v>1</v>
      </c>
    </row>
    <row r="1080" spans="1:17" ht="15.75" customHeight="1">
      <c r="A1080" s="12">
        <v>1994</v>
      </c>
      <c r="B1080" s="12">
        <v>1645</v>
      </c>
      <c r="C1080" s="12">
        <v>29757</v>
      </c>
      <c r="D1080" s="12" t="s">
        <v>6047</v>
      </c>
      <c r="E1080" s="12" t="s">
        <v>10574</v>
      </c>
      <c r="F1080" s="12" t="s">
        <v>10575</v>
      </c>
      <c r="G1080" s="12" t="s">
        <v>10576</v>
      </c>
      <c r="H1080" s="12" t="s">
        <v>6051</v>
      </c>
      <c r="I1080" s="12" t="s">
        <v>6111</v>
      </c>
      <c r="J1080" s="12">
        <v>29757</v>
      </c>
      <c r="K1080" s="12" t="s">
        <v>6112</v>
      </c>
      <c r="L1080" s="12" t="s">
        <v>6113</v>
      </c>
      <c r="M1080" s="13">
        <v>38573</v>
      </c>
      <c r="N1080" s="12" t="s">
        <v>6114</v>
      </c>
      <c r="O1080" s="12" t="s">
        <v>6115</v>
      </c>
      <c r="P1080" s="12"/>
      <c r="Q1080" s="12">
        <v>1</v>
      </c>
    </row>
    <row r="1081" spans="1:17" ht="15.75" customHeight="1">
      <c r="A1081" s="12">
        <v>433</v>
      </c>
      <c r="B1081" s="12">
        <v>947</v>
      </c>
      <c r="C1081" s="12">
        <v>12819</v>
      </c>
      <c r="D1081" s="12" t="s">
        <v>6047</v>
      </c>
      <c r="E1081" s="12" t="s">
        <v>10577</v>
      </c>
      <c r="F1081" s="12" t="s">
        <v>10578</v>
      </c>
      <c r="G1081" s="12" t="s">
        <v>10579</v>
      </c>
      <c r="H1081" s="12" t="s">
        <v>6627</v>
      </c>
      <c r="I1081" s="12" t="s">
        <v>7504</v>
      </c>
      <c r="J1081" s="12">
        <v>12819</v>
      </c>
      <c r="K1081" s="12" t="s">
        <v>10580</v>
      </c>
      <c r="L1081" s="12" t="s">
        <v>6345</v>
      </c>
      <c r="M1081" s="13">
        <v>44656</v>
      </c>
      <c r="N1081" s="12" t="s">
        <v>10581</v>
      </c>
      <c r="O1081" s="12" t="s">
        <v>10582</v>
      </c>
      <c r="P1081" s="12" t="s">
        <v>6196</v>
      </c>
      <c r="Q1081" s="12">
        <v>1</v>
      </c>
    </row>
    <row r="1082" spans="1:17" ht="15.75" customHeight="1">
      <c r="A1082" s="12">
        <v>493</v>
      </c>
      <c r="B1082" s="12">
        <v>1061</v>
      </c>
      <c r="C1082" s="12">
        <v>15150</v>
      </c>
      <c r="D1082" s="12" t="s">
        <v>6047</v>
      </c>
      <c r="E1082" s="12" t="s">
        <v>10583</v>
      </c>
      <c r="F1082" s="12" t="s">
        <v>10584</v>
      </c>
      <c r="G1082" s="12" t="s">
        <v>10585</v>
      </c>
      <c r="H1082" s="12" t="s">
        <v>6051</v>
      </c>
      <c r="I1082" s="12" t="s">
        <v>6476</v>
      </c>
      <c r="J1082" s="12">
        <v>15150</v>
      </c>
      <c r="K1082" s="12" t="s">
        <v>6541</v>
      </c>
      <c r="L1082" s="12" t="s">
        <v>6455</v>
      </c>
      <c r="M1082" s="13">
        <v>43784</v>
      </c>
      <c r="N1082" s="12" t="s">
        <v>6542</v>
      </c>
      <c r="O1082" s="12" t="s">
        <v>6543</v>
      </c>
      <c r="P1082" s="12"/>
      <c r="Q1082" s="12">
        <v>1</v>
      </c>
    </row>
    <row r="1083" spans="1:17" ht="15.75" customHeight="1">
      <c r="A1083" s="12">
        <v>1226</v>
      </c>
      <c r="B1083" s="12">
        <v>1051</v>
      </c>
      <c r="C1083" s="12">
        <v>14946</v>
      </c>
      <c r="D1083" s="12" t="s">
        <v>6047</v>
      </c>
      <c r="E1083" s="12" t="s">
        <v>10586</v>
      </c>
      <c r="F1083" s="12" t="s">
        <v>10587</v>
      </c>
      <c r="G1083" s="12" t="s">
        <v>10588</v>
      </c>
      <c r="H1083" s="12" t="s">
        <v>6051</v>
      </c>
      <c r="I1083" s="12" t="s">
        <v>6476</v>
      </c>
      <c r="J1083" s="12">
        <v>14946</v>
      </c>
      <c r="K1083" s="12" t="s">
        <v>6429</v>
      </c>
      <c r="L1083" s="12" t="s">
        <v>6423</v>
      </c>
      <c r="M1083" s="13">
        <v>41991</v>
      </c>
      <c r="N1083" s="12" t="s">
        <v>6430</v>
      </c>
      <c r="O1083" s="12" t="s">
        <v>6431</v>
      </c>
      <c r="P1083" s="12"/>
      <c r="Q1083" s="12">
        <v>1</v>
      </c>
    </row>
    <row r="1084" spans="1:17" ht="15.75" customHeight="1">
      <c r="A1084" s="12">
        <v>1785</v>
      </c>
      <c r="B1084" s="12">
        <v>1818</v>
      </c>
      <c r="C1084" s="12">
        <v>33632</v>
      </c>
      <c r="D1084" s="12" t="s">
        <v>6047</v>
      </c>
      <c r="E1084" s="12" t="s">
        <v>10589</v>
      </c>
      <c r="F1084" s="12" t="s">
        <v>10590</v>
      </c>
      <c r="G1084" s="12" t="s">
        <v>10591</v>
      </c>
      <c r="H1084" s="12" t="s">
        <v>6051</v>
      </c>
      <c r="I1084" s="12" t="s">
        <v>6261</v>
      </c>
      <c r="J1084" s="12">
        <v>33632</v>
      </c>
      <c r="K1084" s="12" t="s">
        <v>6062</v>
      </c>
      <c r="L1084" s="12" t="s">
        <v>6063</v>
      </c>
      <c r="M1084" s="13">
        <v>40873</v>
      </c>
      <c r="N1084" s="12" t="s">
        <v>6064</v>
      </c>
      <c r="O1084" s="12" t="s">
        <v>6065</v>
      </c>
      <c r="P1084" s="12"/>
      <c r="Q1084" s="12">
        <v>1</v>
      </c>
    </row>
    <row r="1085" spans="1:17" ht="15.75" customHeight="1">
      <c r="A1085" s="12">
        <v>1672</v>
      </c>
      <c r="B1085" s="12">
        <v>2017</v>
      </c>
      <c r="C1085" s="12">
        <v>35574</v>
      </c>
      <c r="D1085" s="12" t="s">
        <v>6047</v>
      </c>
      <c r="E1085" s="12" t="s">
        <v>3093</v>
      </c>
      <c r="F1085" s="12" t="s">
        <v>10592</v>
      </c>
      <c r="G1085" s="12" t="s">
        <v>10593</v>
      </c>
      <c r="H1085" s="12" t="s">
        <v>6051</v>
      </c>
      <c r="I1085" s="12" t="s">
        <v>6700</v>
      </c>
      <c r="J1085" s="12">
        <v>35574</v>
      </c>
      <c r="K1085" s="12" t="s">
        <v>7260</v>
      </c>
      <c r="L1085" s="12" t="s">
        <v>7261</v>
      </c>
      <c r="M1085" s="13">
        <v>40879</v>
      </c>
      <c r="N1085" s="12" t="s">
        <v>7262</v>
      </c>
      <c r="O1085" s="12" t="s">
        <v>7263</v>
      </c>
      <c r="P1085" s="12"/>
      <c r="Q1085" s="12">
        <v>1</v>
      </c>
    </row>
    <row r="1086" spans="1:17" ht="15.75" customHeight="1">
      <c r="A1086" s="12">
        <v>559</v>
      </c>
      <c r="B1086" s="12">
        <v>1949</v>
      </c>
      <c r="C1086" s="12">
        <v>34835</v>
      </c>
      <c r="D1086" s="12" t="s">
        <v>6047</v>
      </c>
      <c r="E1086" s="12" t="s">
        <v>10594</v>
      </c>
      <c r="F1086" s="12" t="s">
        <v>10595</v>
      </c>
      <c r="G1086" s="12" t="s">
        <v>10596</v>
      </c>
      <c r="H1086" s="12" t="s">
        <v>6051</v>
      </c>
      <c r="I1086" s="12" t="s">
        <v>6700</v>
      </c>
      <c r="J1086" s="12">
        <v>34835</v>
      </c>
      <c r="K1086" s="12" t="s">
        <v>6464</v>
      </c>
      <c r="L1086" s="12" t="s">
        <v>6408</v>
      </c>
      <c r="M1086" s="13">
        <v>43562</v>
      </c>
      <c r="N1086" s="12" t="s">
        <v>6465</v>
      </c>
      <c r="O1086" s="12" t="s">
        <v>6466</v>
      </c>
      <c r="P1086" s="12"/>
      <c r="Q1086" s="12">
        <v>1</v>
      </c>
    </row>
    <row r="1087" spans="1:17" ht="15.75" customHeight="1">
      <c r="A1087" s="12">
        <v>1123</v>
      </c>
      <c r="B1087" s="12">
        <v>43</v>
      </c>
      <c r="C1087" s="12">
        <v>575</v>
      </c>
      <c r="D1087" s="12" t="s">
        <v>6047</v>
      </c>
      <c r="E1087" s="12" t="s">
        <v>10597</v>
      </c>
      <c r="F1087" s="12" t="s">
        <v>10598</v>
      </c>
      <c r="G1087" s="12" t="s">
        <v>10599</v>
      </c>
      <c r="H1087" s="12" t="s">
        <v>6289</v>
      </c>
      <c r="I1087" s="12" t="s">
        <v>6290</v>
      </c>
      <c r="J1087" s="12">
        <v>575</v>
      </c>
      <c r="K1087" s="12" t="s">
        <v>10600</v>
      </c>
      <c r="L1087" s="12" t="s">
        <v>6345</v>
      </c>
      <c r="M1087" s="13">
        <v>42326</v>
      </c>
      <c r="N1087" s="12" t="s">
        <v>10601</v>
      </c>
      <c r="O1087" s="12" t="s">
        <v>10602</v>
      </c>
      <c r="P1087" s="12"/>
      <c r="Q1087" s="12">
        <v>1</v>
      </c>
    </row>
    <row r="1088" spans="1:17" ht="15.75" customHeight="1">
      <c r="A1088" s="12">
        <v>1747</v>
      </c>
      <c r="B1088" s="12">
        <v>742</v>
      </c>
      <c r="C1088" s="12">
        <v>9157</v>
      </c>
      <c r="D1088" s="12" t="s">
        <v>6047</v>
      </c>
      <c r="E1088" s="12" t="s">
        <v>10603</v>
      </c>
      <c r="F1088" s="12" t="s">
        <v>10604</v>
      </c>
      <c r="G1088" s="12" t="s">
        <v>10605</v>
      </c>
      <c r="H1088" s="12" t="s">
        <v>6275</v>
      </c>
      <c r="I1088" s="12" t="s">
        <v>6453</v>
      </c>
      <c r="J1088" s="12">
        <v>9157</v>
      </c>
      <c r="K1088" s="12" t="s">
        <v>6480</v>
      </c>
      <c r="L1088" s="12" t="s">
        <v>6063</v>
      </c>
      <c r="M1088" s="13">
        <v>40874</v>
      </c>
      <c r="N1088" s="12" t="s">
        <v>6481</v>
      </c>
      <c r="O1088" s="12" t="s">
        <v>6482</v>
      </c>
      <c r="P1088" s="12"/>
      <c r="Q1088" s="12">
        <v>1</v>
      </c>
    </row>
    <row r="1089" spans="1:17" ht="15.75" customHeight="1">
      <c r="A1089" s="12">
        <v>1180</v>
      </c>
      <c r="B1089" s="12">
        <v>1822</v>
      </c>
      <c r="C1089" s="12">
        <v>33654</v>
      </c>
      <c r="D1089" s="12" t="s">
        <v>6047</v>
      </c>
      <c r="E1089" s="12" t="s">
        <v>10606</v>
      </c>
      <c r="F1089" s="12" t="s">
        <v>10607</v>
      </c>
      <c r="G1089" s="12" t="s">
        <v>10608</v>
      </c>
      <c r="H1089" s="12" t="s">
        <v>6051</v>
      </c>
      <c r="I1089" s="12" t="s">
        <v>6261</v>
      </c>
      <c r="J1089" s="12">
        <v>33654</v>
      </c>
      <c r="K1089" s="12" t="s">
        <v>6429</v>
      </c>
      <c r="L1089" s="12" t="s">
        <v>6423</v>
      </c>
      <c r="M1089" s="13">
        <v>41992</v>
      </c>
      <c r="N1089" s="12" t="s">
        <v>6430</v>
      </c>
      <c r="O1089" s="12" t="s">
        <v>7083</v>
      </c>
      <c r="P1089" s="12"/>
      <c r="Q1089" s="12">
        <v>1</v>
      </c>
    </row>
    <row r="1090" spans="1:17" ht="15.75" customHeight="1">
      <c r="A1090" s="12">
        <v>1910</v>
      </c>
      <c r="B1090" s="12">
        <v>1646</v>
      </c>
      <c r="C1090" s="12">
        <v>29773</v>
      </c>
      <c r="D1090" s="12" t="s">
        <v>6047</v>
      </c>
      <c r="E1090" s="12" t="s">
        <v>10609</v>
      </c>
      <c r="F1090" s="12" t="s">
        <v>10610</v>
      </c>
      <c r="G1090" s="12" t="s">
        <v>10611</v>
      </c>
      <c r="H1090" s="12" t="s">
        <v>6051</v>
      </c>
      <c r="I1090" s="12" t="s">
        <v>6111</v>
      </c>
      <c r="J1090" s="12">
        <v>29773</v>
      </c>
      <c r="K1090" s="12" t="s">
        <v>10612</v>
      </c>
      <c r="L1090" s="12" t="s">
        <v>10613</v>
      </c>
      <c r="M1090" s="13">
        <v>39242</v>
      </c>
      <c r="N1090" s="12" t="s">
        <v>10614</v>
      </c>
      <c r="O1090" s="12" t="s">
        <v>10615</v>
      </c>
      <c r="P1090" s="12"/>
      <c r="Q1090" s="12">
        <v>1</v>
      </c>
    </row>
    <row r="1091" spans="1:17" ht="15.75" customHeight="1">
      <c r="A1091" s="12">
        <v>1156</v>
      </c>
      <c r="B1091" s="12">
        <v>1447</v>
      </c>
      <c r="C1091" s="12">
        <v>22077</v>
      </c>
      <c r="D1091" s="12" t="s">
        <v>6047</v>
      </c>
      <c r="E1091" s="12" t="s">
        <v>10616</v>
      </c>
      <c r="F1091" s="12" t="s">
        <v>10617</v>
      </c>
      <c r="G1091" s="12" t="s">
        <v>10618</v>
      </c>
      <c r="H1091" s="12" t="s">
        <v>6051</v>
      </c>
      <c r="I1091" s="12" t="s">
        <v>7114</v>
      </c>
      <c r="J1091" s="12">
        <v>22077</v>
      </c>
      <c r="K1091" s="12" t="s">
        <v>8872</v>
      </c>
      <c r="L1091" s="12" t="s">
        <v>6308</v>
      </c>
      <c r="M1091" s="13">
        <v>42082</v>
      </c>
      <c r="N1091" s="12" t="s">
        <v>8873</v>
      </c>
      <c r="O1091" s="12" t="s">
        <v>8874</v>
      </c>
      <c r="P1091" s="12"/>
      <c r="Q1091" s="12">
        <v>1</v>
      </c>
    </row>
    <row r="1092" spans="1:17" ht="15.75" customHeight="1">
      <c r="A1092" s="12">
        <v>1217</v>
      </c>
      <c r="B1092" s="12">
        <v>1165</v>
      </c>
      <c r="C1092" s="12">
        <v>16725</v>
      </c>
      <c r="D1092" s="12" t="s">
        <v>6047</v>
      </c>
      <c r="E1092" s="12" t="s">
        <v>10619</v>
      </c>
      <c r="F1092" s="12" t="s">
        <v>10620</v>
      </c>
      <c r="G1092" s="12" t="s">
        <v>10621</v>
      </c>
      <c r="H1092" s="12" t="s">
        <v>6051</v>
      </c>
      <c r="I1092" s="12" t="s">
        <v>6052</v>
      </c>
      <c r="J1092" s="12">
        <v>16725</v>
      </c>
      <c r="K1092" s="12" t="s">
        <v>6429</v>
      </c>
      <c r="L1092" s="12" t="s">
        <v>6423</v>
      </c>
      <c r="M1092" s="13">
        <v>41991</v>
      </c>
      <c r="N1092" s="12" t="s">
        <v>6430</v>
      </c>
      <c r="O1092" s="12" t="s">
        <v>6431</v>
      </c>
      <c r="P1092" s="12"/>
      <c r="Q1092" s="12">
        <v>1</v>
      </c>
    </row>
    <row r="1093" spans="1:17" ht="15.75" customHeight="1">
      <c r="A1093" s="12">
        <v>455</v>
      </c>
      <c r="B1093" s="12">
        <v>1848</v>
      </c>
      <c r="C1093" s="12">
        <v>33908</v>
      </c>
      <c r="D1093" s="12" t="s">
        <v>6047</v>
      </c>
      <c r="E1093" s="12" t="s">
        <v>3105</v>
      </c>
      <c r="F1093" s="12" t="s">
        <v>10622</v>
      </c>
      <c r="G1093" s="12" t="s">
        <v>10623</v>
      </c>
      <c r="H1093" s="12" t="s">
        <v>6051</v>
      </c>
      <c r="I1093" s="12" t="s">
        <v>6261</v>
      </c>
      <c r="J1093" s="12">
        <v>33908</v>
      </c>
      <c r="K1093" s="12" t="s">
        <v>6497</v>
      </c>
      <c r="L1093" s="12" t="s">
        <v>6498</v>
      </c>
      <c r="M1093" s="13">
        <v>43791</v>
      </c>
      <c r="N1093" s="12" t="s">
        <v>6499</v>
      </c>
      <c r="O1093" s="12" t="s">
        <v>10624</v>
      </c>
      <c r="P1093" s="12"/>
      <c r="Q1093" s="12">
        <v>1</v>
      </c>
    </row>
    <row r="1094" spans="1:17" ht="15.75" customHeight="1">
      <c r="A1094" s="12">
        <v>399</v>
      </c>
      <c r="B1094" s="12">
        <v>1619</v>
      </c>
      <c r="C1094" s="12">
        <v>28646</v>
      </c>
      <c r="D1094" s="12" t="s">
        <v>6047</v>
      </c>
      <c r="E1094" s="12" t="s">
        <v>10625</v>
      </c>
      <c r="F1094" s="12" t="s">
        <v>10626</v>
      </c>
      <c r="G1094" s="12" t="s">
        <v>10627</v>
      </c>
      <c r="H1094" s="12" t="s">
        <v>6051</v>
      </c>
      <c r="I1094" s="12" t="s">
        <v>6366</v>
      </c>
      <c r="J1094" s="12">
        <v>28646</v>
      </c>
      <c r="K1094" s="12" t="s">
        <v>7846</v>
      </c>
      <c r="L1094" s="12" t="s">
        <v>7020</v>
      </c>
      <c r="M1094" s="13">
        <v>44716</v>
      </c>
      <c r="N1094" s="12" t="s">
        <v>7847</v>
      </c>
      <c r="O1094" s="12" t="s">
        <v>7848</v>
      </c>
      <c r="P1094" s="12"/>
      <c r="Q1094" s="12">
        <v>1</v>
      </c>
    </row>
    <row r="1095" spans="1:17" ht="15.75" customHeight="1">
      <c r="A1095" s="12">
        <v>1267</v>
      </c>
      <c r="B1095" s="12">
        <v>279</v>
      </c>
      <c r="C1095" s="12">
        <v>4659</v>
      </c>
      <c r="D1095" s="12" t="s">
        <v>6047</v>
      </c>
      <c r="E1095" s="12" t="s">
        <v>3107</v>
      </c>
      <c r="F1095" s="12" t="s">
        <v>10628</v>
      </c>
      <c r="G1095" s="12" t="s">
        <v>10629</v>
      </c>
      <c r="H1095" s="12" t="s">
        <v>6163</v>
      </c>
      <c r="I1095" s="12" t="s">
        <v>6253</v>
      </c>
      <c r="J1095" s="12">
        <v>4659</v>
      </c>
      <c r="K1095" s="12" t="s">
        <v>6470</v>
      </c>
      <c r="L1095" s="12" t="s">
        <v>6423</v>
      </c>
      <c r="M1095" s="13">
        <v>41990</v>
      </c>
      <c r="N1095" s="12" t="s">
        <v>6471</v>
      </c>
      <c r="O1095" s="12" t="s">
        <v>6472</v>
      </c>
      <c r="P1095" s="12"/>
      <c r="Q1095" s="12">
        <v>1</v>
      </c>
    </row>
    <row r="1096" spans="1:17" ht="15.75" customHeight="1">
      <c r="A1096" s="12">
        <v>1213</v>
      </c>
      <c r="B1096" s="12">
        <v>1537</v>
      </c>
      <c r="C1096" s="12">
        <v>27245</v>
      </c>
      <c r="D1096" s="12" t="s">
        <v>6047</v>
      </c>
      <c r="E1096" s="12" t="s">
        <v>10630</v>
      </c>
      <c r="F1096" s="12" t="s">
        <v>10631</v>
      </c>
      <c r="G1096" s="12" t="s">
        <v>10632</v>
      </c>
      <c r="H1096" s="12" t="s">
        <v>6051</v>
      </c>
      <c r="I1096" s="12" t="s">
        <v>6704</v>
      </c>
      <c r="J1096" s="12">
        <v>27245</v>
      </c>
      <c r="K1096" s="12" t="s">
        <v>6429</v>
      </c>
      <c r="L1096" s="12" t="s">
        <v>6423</v>
      </c>
      <c r="M1096" s="13">
        <v>41991</v>
      </c>
      <c r="N1096" s="12" t="s">
        <v>6430</v>
      </c>
      <c r="O1096" s="12" t="s">
        <v>6431</v>
      </c>
      <c r="P1096" s="12"/>
      <c r="Q1096" s="12">
        <v>1</v>
      </c>
    </row>
    <row r="1097" spans="1:17" ht="15.75" customHeight="1">
      <c r="A1097" s="12">
        <v>1431</v>
      </c>
      <c r="B1097" s="12">
        <v>130</v>
      </c>
      <c r="C1097" s="12">
        <v>2043</v>
      </c>
      <c r="D1097" s="12" t="s">
        <v>6047</v>
      </c>
      <c r="E1097" s="12" t="s">
        <v>3121</v>
      </c>
      <c r="F1097" s="12" t="s">
        <v>10633</v>
      </c>
      <c r="G1097" s="12" t="s">
        <v>10634</v>
      </c>
      <c r="H1097" s="12" t="s">
        <v>6127</v>
      </c>
      <c r="I1097" s="12" t="s">
        <v>6128</v>
      </c>
      <c r="J1097" s="12">
        <v>2043</v>
      </c>
      <c r="K1097" s="12" t="s">
        <v>6139</v>
      </c>
      <c r="L1097" s="12" t="s">
        <v>6087</v>
      </c>
      <c r="M1097" s="13">
        <v>41909</v>
      </c>
      <c r="N1097" s="12" t="s">
        <v>6140</v>
      </c>
      <c r="O1097" s="12" t="s">
        <v>6141</v>
      </c>
      <c r="P1097" s="12"/>
      <c r="Q1097" s="12">
        <v>1</v>
      </c>
    </row>
    <row r="1098" spans="1:17" ht="15.75" customHeight="1">
      <c r="A1098" s="12">
        <v>1621</v>
      </c>
      <c r="B1098" s="12">
        <v>159</v>
      </c>
      <c r="C1098" s="12">
        <v>2412</v>
      </c>
      <c r="D1098" s="12" t="s">
        <v>6047</v>
      </c>
      <c r="E1098" s="12" t="s">
        <v>10635</v>
      </c>
      <c r="F1098" s="12" t="s">
        <v>10636</v>
      </c>
      <c r="G1098" s="12" t="s">
        <v>10637</v>
      </c>
      <c r="H1098" s="12" t="s">
        <v>6127</v>
      </c>
      <c r="I1098" s="12" t="s">
        <v>6128</v>
      </c>
      <c r="J1098" s="12">
        <v>2412</v>
      </c>
      <c r="K1098" s="12" t="s">
        <v>6300</v>
      </c>
      <c r="L1098" s="12" t="s">
        <v>6240</v>
      </c>
      <c r="M1098" s="13">
        <v>41396</v>
      </c>
      <c r="N1098" s="12" t="s">
        <v>6301</v>
      </c>
      <c r="O1098" s="12" t="s">
        <v>6302</v>
      </c>
      <c r="P1098" s="12"/>
      <c r="Q1098" s="12">
        <v>1</v>
      </c>
    </row>
    <row r="1099" spans="1:17" ht="15.75" customHeight="1">
      <c r="A1099" s="12">
        <v>1055</v>
      </c>
      <c r="B1099" s="12">
        <v>1864</v>
      </c>
      <c r="C1099" s="12">
        <v>34006</v>
      </c>
      <c r="D1099" s="12" t="s">
        <v>6047</v>
      </c>
      <c r="E1099" s="12" t="s">
        <v>10638</v>
      </c>
      <c r="F1099" s="12" t="s">
        <v>10639</v>
      </c>
      <c r="G1099" s="12" t="s">
        <v>10640</v>
      </c>
      <c r="H1099" s="12" t="s">
        <v>6051</v>
      </c>
      <c r="I1099" s="12" t="s">
        <v>6362</v>
      </c>
      <c r="J1099" s="12">
        <v>34006</v>
      </c>
      <c r="K1099" s="12" t="s">
        <v>6053</v>
      </c>
      <c r="L1099" s="12" t="s">
        <v>6054</v>
      </c>
      <c r="M1099" s="13">
        <v>42687</v>
      </c>
      <c r="N1099" s="12" t="s">
        <v>6055</v>
      </c>
      <c r="O1099" s="12" t="s">
        <v>6056</v>
      </c>
      <c r="P1099" s="12"/>
      <c r="Q1099" s="12">
        <v>1</v>
      </c>
    </row>
    <row r="1100" spans="1:17" ht="15.75" customHeight="1">
      <c r="A1100" s="12">
        <v>1289</v>
      </c>
      <c r="B1100" s="12">
        <v>1158</v>
      </c>
      <c r="C1100" s="12">
        <v>16626</v>
      </c>
      <c r="D1100" s="12" t="s">
        <v>6047</v>
      </c>
      <c r="E1100" s="12" t="s">
        <v>10641</v>
      </c>
      <c r="F1100" s="12" t="s">
        <v>10642</v>
      </c>
      <c r="G1100" s="12" t="s">
        <v>10643</v>
      </c>
      <c r="H1100" s="12" t="s">
        <v>6051</v>
      </c>
      <c r="I1100" s="12" t="s">
        <v>6052</v>
      </c>
      <c r="J1100" s="12">
        <v>16626</v>
      </c>
      <c r="K1100" s="12" t="s">
        <v>6422</v>
      </c>
      <c r="L1100" s="12" t="s">
        <v>6423</v>
      </c>
      <c r="M1100" s="13">
        <v>41989</v>
      </c>
      <c r="N1100" s="12" t="s">
        <v>6424</v>
      </c>
      <c r="O1100" s="12" t="s">
        <v>6425</v>
      </c>
      <c r="P1100" s="12"/>
      <c r="Q1100" s="12">
        <v>1</v>
      </c>
    </row>
    <row r="1101" spans="1:17" ht="15.75" customHeight="1">
      <c r="A1101" s="12">
        <v>909</v>
      </c>
      <c r="B1101" s="12">
        <v>996</v>
      </c>
      <c r="C1101" s="12">
        <v>13716</v>
      </c>
      <c r="D1101" s="12" t="s">
        <v>6047</v>
      </c>
      <c r="E1101" s="12" t="s">
        <v>10644</v>
      </c>
      <c r="F1101" s="12" t="s">
        <v>10645</v>
      </c>
      <c r="G1101" s="12" t="s">
        <v>10646</v>
      </c>
      <c r="H1101" s="12" t="s">
        <v>6051</v>
      </c>
      <c r="I1101" s="12" t="s">
        <v>6741</v>
      </c>
      <c r="J1101" s="12">
        <v>13716</v>
      </c>
      <c r="K1101" s="12" t="s">
        <v>6752</v>
      </c>
      <c r="L1101" s="12" t="s">
        <v>6753</v>
      </c>
      <c r="M1101" s="13">
        <v>42831</v>
      </c>
      <c r="N1101" s="12" t="s">
        <v>6754</v>
      </c>
      <c r="O1101" s="12" t="s">
        <v>6755</v>
      </c>
      <c r="P1101" s="12"/>
      <c r="Q1101" s="12">
        <v>1</v>
      </c>
    </row>
    <row r="1102" spans="1:17" ht="15.75" customHeight="1">
      <c r="A1102" s="12">
        <v>463</v>
      </c>
      <c r="B1102" s="12">
        <v>1801</v>
      </c>
      <c r="C1102" s="12">
        <v>33448</v>
      </c>
      <c r="D1102" s="12" t="s">
        <v>6047</v>
      </c>
      <c r="E1102" s="12" t="s">
        <v>10647</v>
      </c>
      <c r="F1102" s="12" t="s">
        <v>10648</v>
      </c>
      <c r="G1102" s="12" t="s">
        <v>10649</v>
      </c>
      <c r="H1102" s="12" t="s">
        <v>6051</v>
      </c>
      <c r="I1102" s="12" t="s">
        <v>6374</v>
      </c>
      <c r="J1102" s="12">
        <v>33448</v>
      </c>
      <c r="K1102" s="12" t="s">
        <v>6945</v>
      </c>
      <c r="L1102" s="12" t="s">
        <v>6498</v>
      </c>
      <c r="M1102" s="13">
        <v>43789</v>
      </c>
      <c r="N1102" s="12" t="s">
        <v>6946</v>
      </c>
      <c r="O1102" s="12" t="s">
        <v>10650</v>
      </c>
      <c r="P1102" s="12"/>
      <c r="Q1102" s="12">
        <v>1</v>
      </c>
    </row>
    <row r="1103" spans="1:17" ht="15.75" customHeight="1">
      <c r="A1103" s="12">
        <v>474</v>
      </c>
      <c r="B1103" s="12">
        <v>1020</v>
      </c>
      <c r="C1103" s="12">
        <v>14268</v>
      </c>
      <c r="D1103" s="12" t="s">
        <v>6047</v>
      </c>
      <c r="E1103" s="12" t="s">
        <v>10651</v>
      </c>
      <c r="F1103" s="12" t="s">
        <v>10652</v>
      </c>
      <c r="G1103" s="12" t="s">
        <v>10653</v>
      </c>
      <c r="H1103" s="12" t="s">
        <v>6051</v>
      </c>
      <c r="I1103" s="12" t="s">
        <v>6881</v>
      </c>
      <c r="J1103" s="12">
        <v>14268</v>
      </c>
      <c r="K1103" s="12" t="s">
        <v>6454</v>
      </c>
      <c r="L1103" s="12" t="s">
        <v>6455</v>
      </c>
      <c r="M1103" s="13">
        <v>43786</v>
      </c>
      <c r="N1103" s="12" t="s">
        <v>6456</v>
      </c>
      <c r="O1103" s="12" t="s">
        <v>6457</v>
      </c>
      <c r="P1103" s="12"/>
      <c r="Q1103" s="12">
        <v>1</v>
      </c>
    </row>
    <row r="1104" spans="1:17" ht="15.75" customHeight="1">
      <c r="A1104" s="12">
        <v>136</v>
      </c>
      <c r="B1104" s="12">
        <v>938</v>
      </c>
      <c r="C1104" s="12">
        <v>12517</v>
      </c>
      <c r="D1104" s="12" t="s">
        <v>6047</v>
      </c>
      <c r="E1104" s="12" t="s">
        <v>3140</v>
      </c>
      <c r="F1104" s="12" t="s">
        <v>10654</v>
      </c>
      <c r="G1104" s="12" t="s">
        <v>10655</v>
      </c>
      <c r="H1104" s="12" t="s">
        <v>6627</v>
      </c>
      <c r="I1104" s="12" t="s">
        <v>6628</v>
      </c>
      <c r="J1104" s="12">
        <v>12517</v>
      </c>
      <c r="K1104" s="12" t="s">
        <v>8220</v>
      </c>
      <c r="L1104" s="12" t="s">
        <v>6511</v>
      </c>
      <c r="M1104" s="13">
        <v>45965</v>
      </c>
      <c r="N1104" s="12" t="s">
        <v>8221</v>
      </c>
      <c r="O1104" s="12" t="s">
        <v>8222</v>
      </c>
      <c r="P1104" s="12"/>
      <c r="Q1104" s="12">
        <v>1</v>
      </c>
    </row>
    <row r="1105" spans="1:17" ht="15.75" customHeight="1">
      <c r="A1105" s="12">
        <v>336</v>
      </c>
      <c r="B1105" s="12">
        <v>27</v>
      </c>
      <c r="C1105" s="12">
        <v>445</v>
      </c>
      <c r="D1105" s="12" t="s">
        <v>6047</v>
      </c>
      <c r="E1105" s="12" t="s">
        <v>10656</v>
      </c>
      <c r="F1105" s="12" t="s">
        <v>10657</v>
      </c>
      <c r="G1105" s="12" t="s">
        <v>10658</v>
      </c>
      <c r="H1105" s="12" t="s">
        <v>6289</v>
      </c>
      <c r="I1105" s="12" t="s">
        <v>6290</v>
      </c>
      <c r="J1105" s="12">
        <v>445</v>
      </c>
      <c r="K1105" s="12" t="s">
        <v>8338</v>
      </c>
      <c r="L1105" s="12" t="s">
        <v>6732</v>
      </c>
      <c r="M1105" s="13">
        <v>44726</v>
      </c>
      <c r="N1105" s="12" t="s">
        <v>8339</v>
      </c>
      <c r="O1105" s="12" t="s">
        <v>8340</v>
      </c>
      <c r="P1105" s="12"/>
      <c r="Q1105" s="12">
        <v>1</v>
      </c>
    </row>
    <row r="1106" spans="1:17" ht="15.75" customHeight="1">
      <c r="A1106" s="12">
        <v>787</v>
      </c>
      <c r="B1106" s="12">
        <v>76</v>
      </c>
      <c r="C1106" s="12">
        <v>789</v>
      </c>
      <c r="D1106" s="12" t="s">
        <v>6047</v>
      </c>
      <c r="E1106" s="12" t="s">
        <v>3142</v>
      </c>
      <c r="F1106" s="12" t="s">
        <v>10659</v>
      </c>
      <c r="G1106" s="12" t="s">
        <v>10660</v>
      </c>
      <c r="H1106" s="12" t="s">
        <v>6289</v>
      </c>
      <c r="I1106" s="12" t="s">
        <v>6290</v>
      </c>
      <c r="J1106" s="12">
        <v>789</v>
      </c>
      <c r="K1106" s="12" t="s">
        <v>7283</v>
      </c>
      <c r="L1106" s="12" t="s">
        <v>6590</v>
      </c>
      <c r="M1106" s="13">
        <v>43034</v>
      </c>
      <c r="N1106" s="12" t="s">
        <v>7284</v>
      </c>
      <c r="O1106" s="12" t="s">
        <v>7285</v>
      </c>
      <c r="P1106" s="12"/>
      <c r="Q1106" s="12">
        <v>1</v>
      </c>
    </row>
    <row r="1107" spans="1:17" ht="15.75" customHeight="1">
      <c r="A1107" s="12">
        <v>79</v>
      </c>
      <c r="B1107" s="12">
        <v>939</v>
      </c>
      <c r="C1107" s="12">
        <v>12645</v>
      </c>
      <c r="D1107" s="12" t="s">
        <v>6047</v>
      </c>
      <c r="E1107" s="12" t="s">
        <v>10661</v>
      </c>
      <c r="F1107" s="12" t="s">
        <v>10662</v>
      </c>
      <c r="G1107" s="12" t="s">
        <v>10663</v>
      </c>
      <c r="H1107" s="12" t="s">
        <v>6627</v>
      </c>
      <c r="I1107" s="12" t="s">
        <v>6628</v>
      </c>
      <c r="J1107" s="12">
        <v>12645</v>
      </c>
      <c r="K1107" s="12" t="s">
        <v>10664</v>
      </c>
      <c r="L1107" s="12" t="s">
        <v>6590</v>
      </c>
      <c r="M1107" s="13">
        <v>45970</v>
      </c>
      <c r="N1107" s="12" t="s">
        <v>10665</v>
      </c>
      <c r="O1107" s="12" t="s">
        <v>10666</v>
      </c>
      <c r="P1107" s="12"/>
      <c r="Q1107" s="12">
        <v>1</v>
      </c>
    </row>
    <row r="1108" spans="1:17" ht="15.75" customHeight="1">
      <c r="A1108" s="12">
        <v>625</v>
      </c>
      <c r="B1108" s="12">
        <v>18</v>
      </c>
      <c r="C1108" s="12">
        <v>377</v>
      </c>
      <c r="D1108" s="12" t="s">
        <v>6047</v>
      </c>
      <c r="E1108" s="12" t="s">
        <v>10667</v>
      </c>
      <c r="F1108" s="12" t="s">
        <v>10668</v>
      </c>
      <c r="G1108" s="12" t="s">
        <v>10669</v>
      </c>
      <c r="H1108" s="12" t="s">
        <v>6289</v>
      </c>
      <c r="I1108" s="12" t="s">
        <v>6290</v>
      </c>
      <c r="J1108" s="12">
        <v>377</v>
      </c>
      <c r="K1108" s="12" t="s">
        <v>7292</v>
      </c>
      <c r="L1108" s="12" t="s">
        <v>6248</v>
      </c>
      <c r="M1108" s="13">
        <v>43498</v>
      </c>
      <c r="N1108" s="12" t="s">
        <v>7293</v>
      </c>
      <c r="O1108" s="12" t="s">
        <v>7294</v>
      </c>
      <c r="P1108" s="12"/>
      <c r="Q1108" s="12">
        <v>1</v>
      </c>
    </row>
    <row r="1109" spans="1:17" ht="15.75" customHeight="1">
      <c r="A1109" s="12">
        <v>1957</v>
      </c>
      <c r="B1109" s="12">
        <v>137</v>
      </c>
      <c r="C1109" s="12">
        <v>2159</v>
      </c>
      <c r="D1109" s="12" t="s">
        <v>6047</v>
      </c>
      <c r="E1109" s="12" t="s">
        <v>10670</v>
      </c>
      <c r="F1109" s="12" t="s">
        <v>10671</v>
      </c>
      <c r="G1109" s="12" t="s">
        <v>10672</v>
      </c>
      <c r="H1109" s="12" t="s">
        <v>6127</v>
      </c>
      <c r="I1109" s="12" t="s">
        <v>6128</v>
      </c>
      <c r="J1109" s="12">
        <v>2159</v>
      </c>
      <c r="K1109" s="12" t="s">
        <v>6548</v>
      </c>
      <c r="L1109" s="12" t="s">
        <v>6549</v>
      </c>
      <c r="M1109" s="13">
        <v>38580</v>
      </c>
      <c r="N1109" s="12" t="s">
        <v>6550</v>
      </c>
      <c r="O1109" s="12" t="s">
        <v>6551</v>
      </c>
      <c r="P1109" s="12"/>
      <c r="Q1109" s="12">
        <v>1</v>
      </c>
    </row>
    <row r="1110" spans="1:17" ht="15.75" customHeight="1">
      <c r="A1110" s="12">
        <v>1930</v>
      </c>
      <c r="B1110" s="12">
        <v>166</v>
      </c>
      <c r="C1110" s="12">
        <v>2867</v>
      </c>
      <c r="D1110" s="12" t="s">
        <v>6047</v>
      </c>
      <c r="E1110" s="12" t="s">
        <v>10673</v>
      </c>
      <c r="F1110" s="12" t="s">
        <v>10674</v>
      </c>
      <c r="G1110" s="12" t="s">
        <v>10675</v>
      </c>
      <c r="H1110" s="12" t="s">
        <v>7901</v>
      </c>
      <c r="I1110" s="12" t="s">
        <v>7902</v>
      </c>
      <c r="J1110" s="12">
        <v>2867</v>
      </c>
      <c r="K1110" s="12" t="s">
        <v>7476</v>
      </c>
      <c r="L1110" s="12" t="s">
        <v>7477</v>
      </c>
      <c r="M1110" s="13">
        <v>39237</v>
      </c>
      <c r="N1110" s="12" t="s">
        <v>7478</v>
      </c>
      <c r="O1110" s="12" t="s">
        <v>7479</v>
      </c>
      <c r="P1110" s="12"/>
      <c r="Q1110" s="12">
        <v>1</v>
      </c>
    </row>
    <row r="1111" spans="1:17" ht="15.75" customHeight="1">
      <c r="A1111" s="12">
        <v>429</v>
      </c>
      <c r="B1111" s="12">
        <v>972</v>
      </c>
      <c r="C1111" s="12">
        <v>13128</v>
      </c>
      <c r="D1111" s="12" t="s">
        <v>6047</v>
      </c>
      <c r="E1111" s="12" t="s">
        <v>10676</v>
      </c>
      <c r="F1111" s="12" t="s">
        <v>10677</v>
      </c>
      <c r="G1111" s="12" t="s">
        <v>10678</v>
      </c>
      <c r="H1111" s="12" t="s">
        <v>6627</v>
      </c>
      <c r="I1111" s="12" t="s">
        <v>7504</v>
      </c>
      <c r="J1111" s="12">
        <v>13128</v>
      </c>
      <c r="K1111" s="12" t="s">
        <v>10679</v>
      </c>
      <c r="L1111" s="12" t="s">
        <v>6345</v>
      </c>
      <c r="M1111" s="13">
        <v>44664</v>
      </c>
      <c r="N1111" s="12" t="s">
        <v>10680</v>
      </c>
      <c r="O1111" s="12" t="s">
        <v>10681</v>
      </c>
      <c r="P1111" s="12" t="s">
        <v>6196</v>
      </c>
      <c r="Q1111" s="12">
        <v>1</v>
      </c>
    </row>
    <row r="1112" spans="1:17" ht="15.75" customHeight="1">
      <c r="A1112" s="12">
        <v>804</v>
      </c>
      <c r="B1112" s="12">
        <v>905</v>
      </c>
      <c r="C1112" s="12">
        <v>12021</v>
      </c>
      <c r="D1112" s="12" t="s">
        <v>6047</v>
      </c>
      <c r="E1112" s="12" t="s">
        <v>10682</v>
      </c>
      <c r="F1112" s="12" t="s">
        <v>10683</v>
      </c>
      <c r="G1112" s="12" t="s">
        <v>10684</v>
      </c>
      <c r="H1112" s="12" t="s">
        <v>6340</v>
      </c>
      <c r="I1112" s="12" t="s">
        <v>6341</v>
      </c>
      <c r="J1112" s="12">
        <v>12021</v>
      </c>
      <c r="K1112" s="12" t="s">
        <v>10207</v>
      </c>
      <c r="L1112" s="12" t="s">
        <v>6590</v>
      </c>
      <c r="M1112" s="13">
        <v>43030</v>
      </c>
      <c r="N1112" s="12" t="s">
        <v>10208</v>
      </c>
      <c r="O1112" s="12" t="s">
        <v>10209</v>
      </c>
      <c r="P1112" s="12"/>
      <c r="Q1112" s="12">
        <v>1</v>
      </c>
    </row>
    <row r="1113" spans="1:17" ht="15.75" customHeight="1">
      <c r="A1113" s="12">
        <v>50</v>
      </c>
      <c r="B1113" s="12">
        <v>599</v>
      </c>
      <c r="C1113" s="12">
        <v>7610</v>
      </c>
      <c r="D1113" s="12" t="s">
        <v>6047</v>
      </c>
      <c r="E1113" s="12" t="s">
        <v>3165</v>
      </c>
      <c r="F1113" s="12" t="s">
        <v>10685</v>
      </c>
      <c r="G1113" s="12" t="s">
        <v>10686</v>
      </c>
      <c r="H1113" s="12" t="s">
        <v>6187</v>
      </c>
      <c r="I1113" s="12" t="s">
        <v>6224</v>
      </c>
      <c r="J1113" s="12">
        <v>7610</v>
      </c>
      <c r="K1113" s="12" t="s">
        <v>10687</v>
      </c>
      <c r="L1113" s="12" t="s">
        <v>6590</v>
      </c>
      <c r="M1113" s="13">
        <v>45973</v>
      </c>
      <c r="N1113" s="12" t="s">
        <v>10688</v>
      </c>
      <c r="O1113" s="12" t="s">
        <v>10689</v>
      </c>
      <c r="P1113" s="12"/>
      <c r="Q1113" s="12">
        <v>1</v>
      </c>
    </row>
    <row r="1114" spans="1:17" ht="15.75" customHeight="1">
      <c r="A1114" s="12">
        <v>1772</v>
      </c>
      <c r="B1114" s="12">
        <v>1861</v>
      </c>
      <c r="C1114" s="12">
        <v>33981</v>
      </c>
      <c r="D1114" s="12" t="s">
        <v>6047</v>
      </c>
      <c r="E1114" s="12" t="s">
        <v>3167</v>
      </c>
      <c r="F1114" s="12" t="s">
        <v>10690</v>
      </c>
      <c r="G1114" s="12" t="s">
        <v>10691</v>
      </c>
      <c r="H1114" s="12" t="s">
        <v>6051</v>
      </c>
      <c r="I1114" s="12" t="s">
        <v>6362</v>
      </c>
      <c r="J1114" s="12">
        <v>33981</v>
      </c>
      <c r="K1114" s="12" t="s">
        <v>6062</v>
      </c>
      <c r="L1114" s="12" t="s">
        <v>6063</v>
      </c>
      <c r="M1114" s="13">
        <v>40873</v>
      </c>
      <c r="N1114" s="12" t="s">
        <v>6064</v>
      </c>
      <c r="O1114" s="12" t="s">
        <v>6065</v>
      </c>
      <c r="P1114" s="12"/>
      <c r="Q1114" s="12">
        <v>1</v>
      </c>
    </row>
    <row r="1115" spans="1:17" ht="15.75" customHeight="1">
      <c r="A1115" s="12">
        <v>1432</v>
      </c>
      <c r="B1115" s="12">
        <v>111</v>
      </c>
      <c r="C1115" s="12">
        <v>1824</v>
      </c>
      <c r="D1115" s="12" t="s">
        <v>6047</v>
      </c>
      <c r="E1115" s="12" t="s">
        <v>3185</v>
      </c>
      <c r="F1115" s="12" t="s">
        <v>10692</v>
      </c>
      <c r="G1115" s="12" t="s">
        <v>10693</v>
      </c>
      <c r="H1115" s="12" t="s">
        <v>6435</v>
      </c>
      <c r="I1115" s="12" t="s">
        <v>6920</v>
      </c>
      <c r="J1115" s="12">
        <v>1824</v>
      </c>
      <c r="K1115" s="12" t="s">
        <v>6139</v>
      </c>
      <c r="L1115" s="12" t="s">
        <v>6087</v>
      </c>
      <c r="M1115" s="13">
        <v>41909</v>
      </c>
      <c r="N1115" s="12" t="s">
        <v>6140</v>
      </c>
      <c r="O1115" s="12" t="s">
        <v>6141</v>
      </c>
      <c r="P1115" s="12"/>
      <c r="Q1115" s="12">
        <v>1</v>
      </c>
    </row>
    <row r="1116" spans="1:17" ht="15.75" customHeight="1">
      <c r="A1116" s="12">
        <v>2034</v>
      </c>
      <c r="B1116" s="12">
        <v>557</v>
      </c>
      <c r="C1116" s="12">
        <v>7355</v>
      </c>
      <c r="D1116" s="12" t="s">
        <v>6047</v>
      </c>
      <c r="E1116" s="12" t="s">
        <v>10694</v>
      </c>
      <c r="F1116" s="12" t="s">
        <v>10695</v>
      </c>
      <c r="G1116" s="12" t="s">
        <v>10696</v>
      </c>
      <c r="H1116" s="12" t="s">
        <v>6084</v>
      </c>
      <c r="I1116" s="12" t="s">
        <v>6575</v>
      </c>
      <c r="J1116" s="12">
        <v>7355</v>
      </c>
      <c r="K1116" s="12" t="s">
        <v>7553</v>
      </c>
      <c r="L1116" s="12" t="s">
        <v>6278</v>
      </c>
      <c r="M1116" s="13">
        <v>38174</v>
      </c>
      <c r="N1116" s="12" t="s">
        <v>7554</v>
      </c>
      <c r="O1116" s="12" t="s">
        <v>7555</v>
      </c>
      <c r="P1116" s="12"/>
      <c r="Q1116" s="12">
        <v>1</v>
      </c>
    </row>
    <row r="1117" spans="1:17" ht="15.75" customHeight="1">
      <c r="A1117" s="12">
        <v>245</v>
      </c>
      <c r="B1117" s="12">
        <v>1676</v>
      </c>
      <c r="C1117" s="12">
        <v>30895</v>
      </c>
      <c r="D1117" s="12" t="s">
        <v>6047</v>
      </c>
      <c r="E1117" s="12" t="s">
        <v>10697</v>
      </c>
      <c r="F1117" s="12" t="s">
        <v>10698</v>
      </c>
      <c r="G1117" s="12" t="s">
        <v>10699</v>
      </c>
      <c r="H1117" s="12" t="s">
        <v>6051</v>
      </c>
      <c r="I1117" s="12" t="s">
        <v>6100</v>
      </c>
      <c r="J1117" s="12">
        <v>30895</v>
      </c>
      <c r="K1117" s="12" t="s">
        <v>9834</v>
      </c>
      <c r="L1117" s="12" t="s">
        <v>7739</v>
      </c>
      <c r="M1117" s="13">
        <v>45606</v>
      </c>
      <c r="N1117" s="12" t="s">
        <v>9835</v>
      </c>
      <c r="O1117" s="12" t="s">
        <v>10700</v>
      </c>
      <c r="P1117" s="12"/>
      <c r="Q1117" s="12">
        <v>1</v>
      </c>
    </row>
    <row r="1118" spans="1:17" ht="15.75" customHeight="1">
      <c r="A1118" s="12">
        <v>1876</v>
      </c>
      <c r="B1118" s="12">
        <v>572</v>
      </c>
      <c r="C1118" s="12">
        <v>7431</v>
      </c>
      <c r="D1118" s="12" t="s">
        <v>6047</v>
      </c>
      <c r="E1118" s="12" t="s">
        <v>10701</v>
      </c>
      <c r="F1118" s="12" t="s">
        <v>10702</v>
      </c>
      <c r="G1118" s="12" t="s">
        <v>10703</v>
      </c>
      <c r="H1118" s="12" t="s">
        <v>6084</v>
      </c>
      <c r="I1118" s="12" t="s">
        <v>7239</v>
      </c>
      <c r="J1118" s="12">
        <v>7431</v>
      </c>
      <c r="K1118" s="12" t="s">
        <v>6769</v>
      </c>
      <c r="L1118" s="12" t="s">
        <v>6709</v>
      </c>
      <c r="M1118" s="13">
        <v>40176</v>
      </c>
      <c r="N1118" s="12" t="s">
        <v>6770</v>
      </c>
      <c r="O1118" s="12" t="s">
        <v>6771</v>
      </c>
      <c r="P1118" s="12"/>
      <c r="Q1118" s="12">
        <v>1</v>
      </c>
    </row>
    <row r="1119" spans="1:17" ht="15.75" customHeight="1">
      <c r="A1119" s="12">
        <v>874</v>
      </c>
      <c r="B1119" s="12">
        <v>1271</v>
      </c>
      <c r="C1119" s="12">
        <v>18102</v>
      </c>
      <c r="D1119" s="12" t="s">
        <v>6047</v>
      </c>
      <c r="E1119" s="12" t="s">
        <v>3193</v>
      </c>
      <c r="F1119" s="12" t="s">
        <v>10704</v>
      </c>
      <c r="G1119" s="12" t="s">
        <v>10705</v>
      </c>
      <c r="H1119" s="12" t="s">
        <v>6051</v>
      </c>
      <c r="I1119" s="12" t="s">
        <v>6857</v>
      </c>
      <c r="J1119" s="12">
        <v>18102</v>
      </c>
      <c r="K1119" s="12" t="s">
        <v>10706</v>
      </c>
      <c r="L1119" s="12" t="s">
        <v>6564</v>
      </c>
      <c r="M1119" s="13">
        <v>43016</v>
      </c>
      <c r="N1119" s="12" t="s">
        <v>10707</v>
      </c>
      <c r="O1119" s="12" t="s">
        <v>10708</v>
      </c>
      <c r="P1119" s="12"/>
      <c r="Q1119" s="12">
        <v>1</v>
      </c>
    </row>
    <row r="1120" spans="1:17" ht="15.75" customHeight="1">
      <c r="A1120" s="12">
        <v>352</v>
      </c>
      <c r="B1120" s="12">
        <v>1846</v>
      </c>
      <c r="C1120" s="12">
        <v>33880</v>
      </c>
      <c r="D1120" s="12" t="s">
        <v>6047</v>
      </c>
      <c r="E1120" s="12" t="s">
        <v>10709</v>
      </c>
      <c r="F1120" s="12" t="s">
        <v>10710</v>
      </c>
      <c r="G1120" s="12" t="s">
        <v>10711</v>
      </c>
      <c r="H1120" s="12" t="s">
        <v>6051</v>
      </c>
      <c r="I1120" s="12" t="s">
        <v>6261</v>
      </c>
      <c r="J1120" s="12">
        <v>33880</v>
      </c>
      <c r="K1120" s="12" t="s">
        <v>6225</v>
      </c>
      <c r="L1120" s="12" t="s">
        <v>6226</v>
      </c>
      <c r="M1120" s="13">
        <v>44723</v>
      </c>
      <c r="N1120" s="12" t="s">
        <v>6227</v>
      </c>
      <c r="O1120" s="12" t="s">
        <v>6228</v>
      </c>
      <c r="P1120" s="12"/>
      <c r="Q1120" s="12">
        <v>1</v>
      </c>
    </row>
    <row r="1121" spans="1:17" ht="15.75" customHeight="1">
      <c r="A1121" s="12">
        <v>351</v>
      </c>
      <c r="B1121" s="12">
        <v>2015</v>
      </c>
      <c r="C1121" s="12">
        <v>35550</v>
      </c>
      <c r="D1121" s="12" t="s">
        <v>6047</v>
      </c>
      <c r="E1121" s="12" t="s">
        <v>10712</v>
      </c>
      <c r="F1121" s="12" t="s">
        <v>10713</v>
      </c>
      <c r="G1121" s="12" t="s">
        <v>10714</v>
      </c>
      <c r="H1121" s="12" t="s">
        <v>6051</v>
      </c>
      <c r="I1121" s="12" t="s">
        <v>6700</v>
      </c>
      <c r="J1121" s="12">
        <v>35550</v>
      </c>
      <c r="K1121" s="12" t="s">
        <v>10715</v>
      </c>
      <c r="L1121" s="12" t="s">
        <v>6226</v>
      </c>
      <c r="M1121" s="13">
        <v>44723</v>
      </c>
      <c r="N1121" s="12" t="s">
        <v>10716</v>
      </c>
      <c r="O1121" s="12" t="s">
        <v>10717</v>
      </c>
      <c r="P1121" s="12"/>
      <c r="Q1121" s="12">
        <v>1</v>
      </c>
    </row>
    <row r="1122" spans="1:17" ht="15.75" customHeight="1">
      <c r="A1122" s="12">
        <v>458</v>
      </c>
      <c r="B1122" s="12">
        <v>1559</v>
      </c>
      <c r="C1122" s="12">
        <v>27530</v>
      </c>
      <c r="D1122" s="12" t="s">
        <v>6047</v>
      </c>
      <c r="E1122" s="12" t="s">
        <v>3202</v>
      </c>
      <c r="F1122" s="12" t="s">
        <v>10718</v>
      </c>
      <c r="G1122" s="12" t="s">
        <v>10719</v>
      </c>
      <c r="H1122" s="12" t="s">
        <v>6051</v>
      </c>
      <c r="I1122" s="12" t="s">
        <v>6704</v>
      </c>
      <c r="J1122" s="12">
        <v>27530</v>
      </c>
      <c r="K1122" s="12" t="s">
        <v>6497</v>
      </c>
      <c r="L1122" s="12" t="s">
        <v>6498</v>
      </c>
      <c r="M1122" s="13">
        <v>43790</v>
      </c>
      <c r="N1122" s="12" t="s">
        <v>6499</v>
      </c>
      <c r="O1122" s="12" t="s">
        <v>6500</v>
      </c>
      <c r="P1122" s="12"/>
      <c r="Q1122" s="12">
        <v>1</v>
      </c>
    </row>
    <row r="1123" spans="1:17" ht="15.75" customHeight="1">
      <c r="A1123" s="12">
        <v>1698</v>
      </c>
      <c r="B1123" s="12">
        <v>1532</v>
      </c>
      <c r="C1123" s="12">
        <v>27161</v>
      </c>
      <c r="D1123" s="12" t="s">
        <v>6047</v>
      </c>
      <c r="E1123" s="12" t="s">
        <v>10720</v>
      </c>
      <c r="F1123" s="12" t="s">
        <v>10721</v>
      </c>
      <c r="G1123" s="12" t="s">
        <v>10722</v>
      </c>
      <c r="H1123" s="12" t="s">
        <v>6051</v>
      </c>
      <c r="I1123" s="12" t="s">
        <v>6704</v>
      </c>
      <c r="J1123" s="12">
        <v>27161</v>
      </c>
      <c r="K1123" s="12" t="s">
        <v>8598</v>
      </c>
      <c r="L1123" s="12" t="s">
        <v>7333</v>
      </c>
      <c r="M1123" s="13">
        <v>40878</v>
      </c>
      <c r="N1123" s="12" t="s">
        <v>8599</v>
      </c>
      <c r="O1123" s="12" t="s">
        <v>8600</v>
      </c>
      <c r="P1123" s="12"/>
      <c r="Q1123" s="12">
        <v>1</v>
      </c>
    </row>
    <row r="1124" spans="1:17" ht="15.75" customHeight="1">
      <c r="A1124" s="12">
        <v>864</v>
      </c>
      <c r="B1124" s="12">
        <v>1284</v>
      </c>
      <c r="C1124" s="12">
        <v>18210</v>
      </c>
      <c r="D1124" s="12" t="s">
        <v>6047</v>
      </c>
      <c r="E1124" s="12" t="s">
        <v>10723</v>
      </c>
      <c r="F1124" s="12" t="s">
        <v>10724</v>
      </c>
      <c r="G1124" s="12" t="s">
        <v>10725</v>
      </c>
      <c r="H1124" s="12" t="s">
        <v>6051</v>
      </c>
      <c r="I1124" s="12" t="s">
        <v>6857</v>
      </c>
      <c r="J1124" s="12">
        <v>18210</v>
      </c>
      <c r="K1124" s="12" t="s">
        <v>10726</v>
      </c>
      <c r="L1124" s="12" t="s">
        <v>6564</v>
      </c>
      <c r="M1124" s="13">
        <v>43018</v>
      </c>
      <c r="N1124" s="12" t="s">
        <v>10727</v>
      </c>
      <c r="O1124" s="12" t="s">
        <v>10728</v>
      </c>
      <c r="P1124" s="12"/>
      <c r="Q1124" s="12">
        <v>1</v>
      </c>
    </row>
    <row r="1125" spans="1:17" ht="15.75" customHeight="1">
      <c r="A1125" s="12">
        <v>882</v>
      </c>
      <c r="B1125" s="12">
        <v>1258</v>
      </c>
      <c r="C1125" s="12">
        <v>17808</v>
      </c>
      <c r="D1125" s="12" t="s">
        <v>6047</v>
      </c>
      <c r="E1125" s="12" t="s">
        <v>10729</v>
      </c>
      <c r="F1125" s="12" t="s">
        <v>10730</v>
      </c>
      <c r="G1125" s="12" t="s">
        <v>10731</v>
      </c>
      <c r="H1125" s="12" t="s">
        <v>6051</v>
      </c>
      <c r="I1125" s="12" t="s">
        <v>6857</v>
      </c>
      <c r="J1125" s="12">
        <v>17808</v>
      </c>
      <c r="K1125" s="12" t="s">
        <v>6569</v>
      </c>
      <c r="L1125" s="12" t="s">
        <v>6564</v>
      </c>
      <c r="M1125" s="13">
        <v>43015</v>
      </c>
      <c r="N1125" s="12" t="s">
        <v>6570</v>
      </c>
      <c r="O1125" s="12" t="s">
        <v>6623</v>
      </c>
      <c r="P1125" s="12"/>
      <c r="Q1125" s="12">
        <v>1</v>
      </c>
    </row>
    <row r="1126" spans="1:17" ht="15.75" customHeight="1">
      <c r="A1126" s="12">
        <v>987</v>
      </c>
      <c r="B1126" s="12">
        <v>1040</v>
      </c>
      <c r="C1126" s="12">
        <v>14707</v>
      </c>
      <c r="D1126" s="12" t="s">
        <v>6047</v>
      </c>
      <c r="E1126" s="12" t="s">
        <v>10732</v>
      </c>
      <c r="F1126" s="12" t="s">
        <v>10733</v>
      </c>
      <c r="G1126" s="12" t="s">
        <v>10734</v>
      </c>
      <c r="H1126" s="12" t="s">
        <v>6051</v>
      </c>
      <c r="I1126" s="12" t="s">
        <v>6476</v>
      </c>
      <c r="J1126" s="12">
        <v>14707</v>
      </c>
      <c r="K1126" s="12" t="s">
        <v>7215</v>
      </c>
      <c r="L1126" s="12" t="s">
        <v>6054</v>
      </c>
      <c r="M1126" s="13">
        <v>42694</v>
      </c>
      <c r="N1126" s="12" t="s">
        <v>7216</v>
      </c>
      <c r="O1126" s="12" t="s">
        <v>7217</v>
      </c>
      <c r="P1126" s="12"/>
      <c r="Q1126" s="12">
        <v>1</v>
      </c>
    </row>
    <row r="1127" spans="1:17" ht="15.75" customHeight="1">
      <c r="A1127" s="12">
        <v>325</v>
      </c>
      <c r="B1127" s="12">
        <v>1138</v>
      </c>
      <c r="C1127" s="12">
        <v>16324</v>
      </c>
      <c r="D1127" s="12" t="s">
        <v>6047</v>
      </c>
      <c r="E1127" s="12" t="s">
        <v>10735</v>
      </c>
      <c r="F1127" s="12" t="s">
        <v>10736</v>
      </c>
      <c r="G1127" s="12" t="s">
        <v>10737</v>
      </c>
      <c r="H1127" s="12" t="s">
        <v>6051</v>
      </c>
      <c r="I1127" s="12" t="s">
        <v>6052</v>
      </c>
      <c r="J1127" s="12">
        <v>16324</v>
      </c>
      <c r="K1127" s="12" t="s">
        <v>7339</v>
      </c>
      <c r="L1127" s="12" t="s">
        <v>6732</v>
      </c>
      <c r="M1127" s="13">
        <v>44727</v>
      </c>
      <c r="N1127" s="12" t="s">
        <v>7340</v>
      </c>
      <c r="O1127" s="12" t="s">
        <v>7341</v>
      </c>
      <c r="P1127" s="12"/>
      <c r="Q1127" s="12">
        <v>1</v>
      </c>
    </row>
    <row r="1128" spans="1:17" ht="15.75" customHeight="1">
      <c r="A1128" s="12">
        <v>1863</v>
      </c>
      <c r="B1128" s="12">
        <v>1921</v>
      </c>
      <c r="C1128" s="12">
        <v>34515</v>
      </c>
      <c r="D1128" s="12" t="s">
        <v>6047</v>
      </c>
      <c r="E1128" s="12" t="s">
        <v>3210</v>
      </c>
      <c r="F1128" s="12" t="s">
        <v>10738</v>
      </c>
      <c r="G1128" s="12" t="s">
        <v>10739</v>
      </c>
      <c r="H1128" s="12" t="s">
        <v>6051</v>
      </c>
      <c r="I1128" s="12" t="s">
        <v>7034</v>
      </c>
      <c r="J1128" s="12">
        <v>34515</v>
      </c>
      <c r="K1128" s="12" t="s">
        <v>6375</v>
      </c>
      <c r="L1128" s="12" t="s">
        <v>6240</v>
      </c>
      <c r="M1128" s="13">
        <v>40774</v>
      </c>
      <c r="N1128" s="12" t="s">
        <v>6376</v>
      </c>
      <c r="O1128" s="12" t="s">
        <v>7115</v>
      </c>
      <c r="P1128" s="12"/>
      <c r="Q1128" s="12">
        <v>1</v>
      </c>
    </row>
    <row r="1129" spans="1:17" ht="15.75" customHeight="1">
      <c r="A1129" s="12">
        <v>1077</v>
      </c>
      <c r="B1129" s="12">
        <v>845</v>
      </c>
      <c r="C1129" s="12">
        <v>10836</v>
      </c>
      <c r="D1129" s="12" t="s">
        <v>6047</v>
      </c>
      <c r="E1129" s="12" t="s">
        <v>10740</v>
      </c>
      <c r="F1129" s="12" t="s">
        <v>10741</v>
      </c>
      <c r="G1129" s="12" t="s">
        <v>10742</v>
      </c>
      <c r="H1129" s="12" t="s">
        <v>6060</v>
      </c>
      <c r="I1129" s="12" t="s">
        <v>7082</v>
      </c>
      <c r="J1129" s="12">
        <v>10836</v>
      </c>
      <c r="K1129" s="12" t="s">
        <v>6927</v>
      </c>
      <c r="L1129" s="12" t="s">
        <v>6504</v>
      </c>
      <c r="M1129" s="13">
        <v>42686</v>
      </c>
      <c r="N1129" s="12" t="s">
        <v>6928</v>
      </c>
      <c r="O1129" s="12" t="s">
        <v>6929</v>
      </c>
      <c r="P1129" s="12"/>
      <c r="Q1129" s="12">
        <v>1</v>
      </c>
    </row>
    <row r="1130" spans="1:17" ht="15.75" customHeight="1">
      <c r="A1130" s="12">
        <v>1624</v>
      </c>
      <c r="B1130" s="12">
        <v>895</v>
      </c>
      <c r="C1130" s="12">
        <v>11900</v>
      </c>
      <c r="D1130" s="12" t="s">
        <v>6047</v>
      </c>
      <c r="E1130" s="12" t="s">
        <v>3212</v>
      </c>
      <c r="F1130" s="12" t="s">
        <v>10743</v>
      </c>
      <c r="G1130" s="12" t="s">
        <v>10744</v>
      </c>
      <c r="H1130" s="12" t="s">
        <v>6060</v>
      </c>
      <c r="I1130" s="12" t="s">
        <v>6061</v>
      </c>
      <c r="J1130" s="12">
        <v>11900</v>
      </c>
      <c r="K1130" s="12" t="s">
        <v>7966</v>
      </c>
      <c r="L1130" s="12" t="s">
        <v>6240</v>
      </c>
      <c r="M1130" s="13">
        <v>41387</v>
      </c>
      <c r="N1130" s="12" t="s">
        <v>7967</v>
      </c>
      <c r="O1130" s="12" t="s">
        <v>7968</v>
      </c>
      <c r="P1130" s="12"/>
      <c r="Q1130" s="12">
        <v>1</v>
      </c>
    </row>
    <row r="1131" spans="1:17" ht="15.75" customHeight="1">
      <c r="A1131" s="12">
        <v>1121</v>
      </c>
      <c r="B1131" s="12">
        <v>552</v>
      </c>
      <c r="C1131" s="12">
        <v>7333</v>
      </c>
      <c r="D1131" s="12" t="s">
        <v>6047</v>
      </c>
      <c r="E1131" s="12" t="s">
        <v>10745</v>
      </c>
      <c r="F1131" s="12" t="s">
        <v>10746</v>
      </c>
      <c r="G1131" s="12" t="s">
        <v>10747</v>
      </c>
      <c r="H1131" s="12" t="s">
        <v>6084</v>
      </c>
      <c r="I1131" s="12" t="s">
        <v>6575</v>
      </c>
      <c r="J1131" s="12">
        <v>7333</v>
      </c>
      <c r="K1131" s="12" t="s">
        <v>9018</v>
      </c>
      <c r="L1131" s="12" t="s">
        <v>6345</v>
      </c>
      <c r="M1131" s="13">
        <v>42333</v>
      </c>
      <c r="N1131" s="12" t="s">
        <v>9019</v>
      </c>
      <c r="O1131" s="12" t="s">
        <v>9020</v>
      </c>
      <c r="P1131" s="12"/>
      <c r="Q1131" s="12">
        <v>1</v>
      </c>
    </row>
    <row r="1132" spans="1:17" ht="15.75" customHeight="1">
      <c r="A1132" s="12">
        <v>1559</v>
      </c>
      <c r="B1132" s="12">
        <v>687</v>
      </c>
      <c r="C1132" s="12">
        <v>8324</v>
      </c>
      <c r="D1132" s="12" t="s">
        <v>6047</v>
      </c>
      <c r="E1132" s="12" t="s">
        <v>10748</v>
      </c>
      <c r="F1132" s="12" t="s">
        <v>10749</v>
      </c>
      <c r="G1132" s="12" t="s">
        <v>10750</v>
      </c>
      <c r="H1132" s="12" t="s">
        <v>6075</v>
      </c>
      <c r="I1132" s="12" t="s">
        <v>6076</v>
      </c>
      <c r="J1132" s="12">
        <v>8324</v>
      </c>
      <c r="K1132" s="12" t="s">
        <v>7055</v>
      </c>
      <c r="L1132" s="12" t="s">
        <v>6255</v>
      </c>
      <c r="M1132" s="13">
        <v>41562</v>
      </c>
      <c r="N1132" s="12" t="s">
        <v>7056</v>
      </c>
      <c r="O1132" s="12" t="s">
        <v>7057</v>
      </c>
      <c r="P1132" s="12"/>
      <c r="Q1132" s="12">
        <v>1</v>
      </c>
    </row>
    <row r="1133" spans="1:17" ht="15.75" customHeight="1">
      <c r="A1133" s="12">
        <v>2</v>
      </c>
      <c r="B1133" s="12">
        <v>736</v>
      </c>
      <c r="C1133" s="12">
        <v>8999</v>
      </c>
      <c r="D1133" s="12" t="s">
        <v>6047</v>
      </c>
      <c r="E1133" s="12" t="s">
        <v>3251</v>
      </c>
      <c r="F1133" s="12" t="s">
        <v>10751</v>
      </c>
      <c r="G1133" s="12" t="s">
        <v>10752</v>
      </c>
      <c r="H1133" s="12" t="s">
        <v>6275</v>
      </c>
      <c r="I1133" s="12" t="s">
        <v>6453</v>
      </c>
      <c r="J1133" s="12">
        <v>8999</v>
      </c>
      <c r="K1133" s="12" t="s">
        <v>10753</v>
      </c>
      <c r="L1133" s="12" t="s">
        <v>6284</v>
      </c>
      <c r="M1133" s="13">
        <v>46086</v>
      </c>
      <c r="N1133" s="12" t="s">
        <v>10754</v>
      </c>
      <c r="O1133" s="12" t="s">
        <v>10755</v>
      </c>
      <c r="P1133" s="12"/>
      <c r="Q1133" s="12">
        <v>1</v>
      </c>
    </row>
    <row r="1134" spans="1:17" ht="15.75" customHeight="1">
      <c r="A1134" s="12">
        <v>1667</v>
      </c>
      <c r="B1134" s="12">
        <v>1534</v>
      </c>
      <c r="C1134" s="12">
        <v>27191</v>
      </c>
      <c r="D1134" s="12" t="s">
        <v>6047</v>
      </c>
      <c r="E1134" s="12" t="s">
        <v>3253</v>
      </c>
      <c r="F1134" s="12" t="s">
        <v>10756</v>
      </c>
      <c r="G1134" s="12" t="s">
        <v>10757</v>
      </c>
      <c r="H1134" s="12" t="s">
        <v>6051</v>
      </c>
      <c r="I1134" s="12" t="s">
        <v>6704</v>
      </c>
      <c r="J1134" s="12">
        <v>27191</v>
      </c>
      <c r="K1134" s="12" t="s">
        <v>6329</v>
      </c>
      <c r="L1134" s="12" t="s">
        <v>6240</v>
      </c>
      <c r="M1134" s="13">
        <v>41053</v>
      </c>
      <c r="N1134" s="12" t="s">
        <v>6330</v>
      </c>
      <c r="O1134" s="12" t="s">
        <v>10758</v>
      </c>
      <c r="P1134" s="12"/>
      <c r="Q1134" s="12">
        <v>1</v>
      </c>
    </row>
    <row r="1135" spans="1:17" ht="15.75" customHeight="1">
      <c r="A1135" s="12">
        <v>1739</v>
      </c>
      <c r="B1135" s="12">
        <v>422</v>
      </c>
      <c r="C1135" s="12">
        <v>5988</v>
      </c>
      <c r="D1135" s="12" t="s">
        <v>6047</v>
      </c>
      <c r="E1135" s="12" t="s">
        <v>10759</v>
      </c>
      <c r="F1135" s="12" t="s">
        <v>10760</v>
      </c>
      <c r="G1135" s="12" t="s">
        <v>10761</v>
      </c>
      <c r="H1135" s="12" t="s">
        <v>6137</v>
      </c>
      <c r="I1135" s="12" t="s">
        <v>6138</v>
      </c>
      <c r="J1135" s="12">
        <v>5988</v>
      </c>
      <c r="K1135" s="12" t="s">
        <v>7000</v>
      </c>
      <c r="L1135" s="12" t="s">
        <v>7001</v>
      </c>
      <c r="M1135" s="13">
        <v>40875</v>
      </c>
      <c r="N1135" s="12" t="s">
        <v>7002</v>
      </c>
      <c r="O1135" s="12" t="s">
        <v>7003</v>
      </c>
      <c r="P1135" s="12"/>
      <c r="Q1135" s="12">
        <v>1</v>
      </c>
    </row>
    <row r="1136" spans="1:17" ht="15.75" customHeight="1">
      <c r="A1136" s="12">
        <v>1578</v>
      </c>
      <c r="B1136" s="12">
        <v>1596</v>
      </c>
      <c r="C1136" s="12">
        <v>28114</v>
      </c>
      <c r="D1136" s="12" t="s">
        <v>6047</v>
      </c>
      <c r="E1136" s="12" t="s">
        <v>3214</v>
      </c>
      <c r="F1136" s="12" t="s">
        <v>10762</v>
      </c>
      <c r="G1136" s="12" t="s">
        <v>10763</v>
      </c>
      <c r="H1136" s="12" t="s">
        <v>6051</v>
      </c>
      <c r="I1136" s="12" t="s">
        <v>6894</v>
      </c>
      <c r="J1136" s="12">
        <v>28114</v>
      </c>
      <c r="K1136" s="12" t="s">
        <v>6485</v>
      </c>
      <c r="L1136" s="12" t="s">
        <v>6255</v>
      </c>
      <c r="M1136" s="13">
        <v>41560</v>
      </c>
      <c r="N1136" s="12" t="s">
        <v>6486</v>
      </c>
      <c r="O1136" s="12" t="s">
        <v>6487</v>
      </c>
      <c r="P1136" s="12"/>
      <c r="Q1136" s="12">
        <v>1</v>
      </c>
    </row>
    <row r="1137" spans="1:17" ht="15.75" customHeight="1">
      <c r="A1137" s="12">
        <v>1767</v>
      </c>
      <c r="B1137" s="12">
        <v>1873</v>
      </c>
      <c r="C1137" s="12">
        <v>34063</v>
      </c>
      <c r="D1137" s="12" t="s">
        <v>6047</v>
      </c>
      <c r="E1137" s="12" t="s">
        <v>10764</v>
      </c>
      <c r="F1137" s="12" t="s">
        <v>10765</v>
      </c>
      <c r="G1137" s="12" t="s">
        <v>10766</v>
      </c>
      <c r="H1137" s="12" t="s">
        <v>6051</v>
      </c>
      <c r="I1137" s="12" t="s">
        <v>6362</v>
      </c>
      <c r="J1137" s="12">
        <v>34063</v>
      </c>
      <c r="K1137" s="12" t="s">
        <v>6062</v>
      </c>
      <c r="L1137" s="12" t="s">
        <v>6063</v>
      </c>
      <c r="M1137" s="13">
        <v>40873</v>
      </c>
      <c r="N1137" s="12" t="s">
        <v>6064</v>
      </c>
      <c r="O1137" s="12" t="s">
        <v>6065</v>
      </c>
      <c r="P1137" s="12"/>
      <c r="Q1137" s="12">
        <v>1</v>
      </c>
    </row>
    <row r="1138" spans="1:17" ht="15.75" customHeight="1">
      <c r="A1138" s="12">
        <v>1636</v>
      </c>
      <c r="B1138" s="12">
        <v>47</v>
      </c>
      <c r="C1138" s="12">
        <v>594</v>
      </c>
      <c r="D1138" s="12" t="s">
        <v>6047</v>
      </c>
      <c r="E1138" s="12" t="s">
        <v>10767</v>
      </c>
      <c r="F1138" s="12" t="s">
        <v>10768</v>
      </c>
      <c r="G1138" s="12" t="s">
        <v>10769</v>
      </c>
      <c r="H1138" s="12" t="s">
        <v>6289</v>
      </c>
      <c r="I1138" s="12" t="s">
        <v>6290</v>
      </c>
      <c r="J1138" s="12">
        <v>594</v>
      </c>
      <c r="K1138" s="12" t="s">
        <v>6386</v>
      </c>
      <c r="L1138" s="12" t="s">
        <v>6345</v>
      </c>
      <c r="M1138" s="13">
        <v>41275</v>
      </c>
      <c r="N1138" s="12" t="s">
        <v>6387</v>
      </c>
      <c r="O1138" s="12" t="s">
        <v>6388</v>
      </c>
      <c r="P1138" s="12"/>
      <c r="Q1138" s="12">
        <v>1</v>
      </c>
    </row>
    <row r="1139" spans="1:17" ht="15.75" customHeight="1">
      <c r="A1139" s="12">
        <v>1087</v>
      </c>
      <c r="B1139" s="12">
        <v>1052</v>
      </c>
      <c r="C1139" s="12">
        <v>14973</v>
      </c>
      <c r="D1139" s="12" t="s">
        <v>6047</v>
      </c>
      <c r="E1139" s="12" t="s">
        <v>10770</v>
      </c>
      <c r="F1139" s="12" t="s">
        <v>10771</v>
      </c>
      <c r="G1139" s="12" t="s">
        <v>10772</v>
      </c>
      <c r="H1139" s="12" t="s">
        <v>6051</v>
      </c>
      <c r="I1139" s="12" t="s">
        <v>6476</v>
      </c>
      <c r="J1139" s="12">
        <v>14973</v>
      </c>
      <c r="K1139" s="12" t="s">
        <v>7166</v>
      </c>
      <c r="L1139" s="12" t="s">
        <v>6504</v>
      </c>
      <c r="M1139" s="13">
        <v>42685</v>
      </c>
      <c r="N1139" s="12" t="s">
        <v>7167</v>
      </c>
      <c r="O1139" s="12" t="s">
        <v>7168</v>
      </c>
      <c r="P1139" s="12"/>
      <c r="Q1139" s="12">
        <v>1</v>
      </c>
    </row>
    <row r="1140" spans="1:17" ht="15.75" customHeight="1">
      <c r="A1140" s="12">
        <v>1797</v>
      </c>
      <c r="B1140" s="12">
        <v>1493</v>
      </c>
      <c r="C1140" s="12">
        <v>24106</v>
      </c>
      <c r="D1140" s="12" t="s">
        <v>6047</v>
      </c>
      <c r="E1140" s="12" t="s">
        <v>3301</v>
      </c>
      <c r="F1140" s="12" t="s">
        <v>10773</v>
      </c>
      <c r="G1140" s="12" t="s">
        <v>10774</v>
      </c>
      <c r="H1140" s="12" t="s">
        <v>6051</v>
      </c>
      <c r="I1140" s="12" t="s">
        <v>6738</v>
      </c>
      <c r="J1140" s="12">
        <v>24106</v>
      </c>
      <c r="K1140" s="12" t="s">
        <v>6062</v>
      </c>
      <c r="L1140" s="12" t="s">
        <v>6063</v>
      </c>
      <c r="M1140" s="13">
        <v>40873</v>
      </c>
      <c r="N1140" s="12" t="s">
        <v>6064</v>
      </c>
      <c r="O1140" s="12" t="s">
        <v>6065</v>
      </c>
      <c r="P1140" s="12"/>
      <c r="Q1140" s="12">
        <v>1</v>
      </c>
    </row>
    <row r="1141" spans="1:17" ht="15.75" customHeight="1">
      <c r="A1141" s="12">
        <v>521</v>
      </c>
      <c r="B1141" s="12">
        <v>1112</v>
      </c>
      <c r="C1141" s="12">
        <v>15984</v>
      </c>
      <c r="D1141" s="12" t="s">
        <v>6047</v>
      </c>
      <c r="E1141" s="12" t="s">
        <v>10775</v>
      </c>
      <c r="F1141" s="12" t="s">
        <v>10776</v>
      </c>
      <c r="G1141" s="12" t="s">
        <v>10777</v>
      </c>
      <c r="H1141" s="12" t="s">
        <v>6051</v>
      </c>
      <c r="I1141" s="12" t="s">
        <v>6781</v>
      </c>
      <c r="J1141" s="12">
        <v>15984</v>
      </c>
      <c r="K1141" s="12" t="s">
        <v>7441</v>
      </c>
      <c r="L1141" s="12" t="s">
        <v>6408</v>
      </c>
      <c r="M1141" s="13">
        <v>43565</v>
      </c>
      <c r="N1141" s="12" t="s">
        <v>7442</v>
      </c>
      <c r="O1141" s="12" t="s">
        <v>10778</v>
      </c>
      <c r="P1141" s="12"/>
      <c r="Q1141" s="12">
        <v>1</v>
      </c>
    </row>
    <row r="1142" spans="1:17" ht="15.75" customHeight="1">
      <c r="A1142" s="12">
        <v>196</v>
      </c>
      <c r="B1142" s="12">
        <v>5</v>
      </c>
      <c r="C1142" s="12">
        <v>234</v>
      </c>
      <c r="D1142" s="12" t="s">
        <v>6047</v>
      </c>
      <c r="E1142" s="12" t="s">
        <v>10779</v>
      </c>
      <c r="F1142" s="12" t="s">
        <v>10780</v>
      </c>
      <c r="G1142" s="12" t="s">
        <v>10781</v>
      </c>
      <c r="H1142" s="12" t="s">
        <v>6289</v>
      </c>
      <c r="I1142" s="12" t="s">
        <v>10782</v>
      </c>
      <c r="J1142" s="12">
        <v>234</v>
      </c>
      <c r="K1142" s="12" t="s">
        <v>8199</v>
      </c>
      <c r="L1142" s="12" t="s">
        <v>8066</v>
      </c>
      <c r="M1142" s="13">
        <v>45749</v>
      </c>
      <c r="N1142" s="12" t="s">
        <v>8200</v>
      </c>
      <c r="O1142" s="12" t="s">
        <v>8201</v>
      </c>
      <c r="P1142" s="12"/>
      <c r="Q1142" s="12">
        <v>1</v>
      </c>
    </row>
    <row r="1143" spans="1:17" ht="15.75" customHeight="1">
      <c r="A1143" s="12">
        <v>723</v>
      </c>
      <c r="B1143" s="12">
        <v>1195</v>
      </c>
      <c r="C1143" s="12">
        <v>17017</v>
      </c>
      <c r="D1143" s="12" t="s">
        <v>6047</v>
      </c>
      <c r="E1143" s="12" t="s">
        <v>10783</v>
      </c>
      <c r="F1143" s="12" t="s">
        <v>10784</v>
      </c>
      <c r="G1143" s="12" t="s">
        <v>10785</v>
      </c>
      <c r="H1143" s="12" t="s">
        <v>6051</v>
      </c>
      <c r="I1143" s="12" t="s">
        <v>6052</v>
      </c>
      <c r="J1143" s="12">
        <v>17017</v>
      </c>
      <c r="K1143" s="12" t="s">
        <v>7193</v>
      </c>
      <c r="L1143" s="12" t="s">
        <v>7194</v>
      </c>
      <c r="M1143" s="13">
        <v>43199</v>
      </c>
      <c r="N1143" s="12" t="s">
        <v>7195</v>
      </c>
      <c r="O1143" s="12" t="s">
        <v>7196</v>
      </c>
      <c r="P1143" s="12"/>
      <c r="Q1143" s="12">
        <v>1</v>
      </c>
    </row>
    <row r="1144" spans="1:17" ht="15.75" customHeight="1">
      <c r="A1144" s="12">
        <v>1638</v>
      </c>
      <c r="B1144" s="12">
        <v>34</v>
      </c>
      <c r="C1144" s="12">
        <v>501</v>
      </c>
      <c r="D1144" s="12" t="s">
        <v>6047</v>
      </c>
      <c r="E1144" s="12" t="s">
        <v>10786</v>
      </c>
      <c r="F1144" s="12" t="s">
        <v>10787</v>
      </c>
      <c r="G1144" s="12" t="s">
        <v>10788</v>
      </c>
      <c r="H1144" s="12" t="s">
        <v>6289</v>
      </c>
      <c r="I1144" s="12" t="s">
        <v>6290</v>
      </c>
      <c r="J1144" s="12">
        <v>501</v>
      </c>
      <c r="K1144" s="12" t="s">
        <v>6386</v>
      </c>
      <c r="L1144" s="12" t="s">
        <v>6345</v>
      </c>
      <c r="M1144" s="13">
        <v>41275</v>
      </c>
      <c r="N1144" s="12" t="s">
        <v>6387</v>
      </c>
      <c r="O1144" s="12" t="s">
        <v>6388</v>
      </c>
      <c r="P1144" s="12"/>
      <c r="Q1144" s="12">
        <v>1</v>
      </c>
    </row>
    <row r="1145" spans="1:17" ht="15.75" customHeight="1">
      <c r="A1145" s="12">
        <v>1134</v>
      </c>
      <c r="B1145" s="12">
        <v>1404</v>
      </c>
      <c r="C1145" s="12">
        <v>21103</v>
      </c>
      <c r="D1145" s="12" t="s">
        <v>6047</v>
      </c>
      <c r="E1145" s="12" t="s">
        <v>10789</v>
      </c>
      <c r="F1145" s="12" t="s">
        <v>10790</v>
      </c>
      <c r="G1145" s="12" t="s">
        <v>10791</v>
      </c>
      <c r="H1145" s="12" t="s">
        <v>6051</v>
      </c>
      <c r="I1145" s="12" t="s">
        <v>9376</v>
      </c>
      <c r="J1145" s="12">
        <v>21103</v>
      </c>
      <c r="K1145" s="12" t="s">
        <v>10792</v>
      </c>
      <c r="L1145" s="12" t="s">
        <v>7933</v>
      </c>
      <c r="M1145" s="13">
        <v>42286</v>
      </c>
      <c r="N1145" s="12" t="s">
        <v>10793</v>
      </c>
      <c r="O1145" s="12" t="s">
        <v>10794</v>
      </c>
      <c r="P1145" s="12"/>
      <c r="Q1145" s="12">
        <v>1</v>
      </c>
    </row>
    <row r="1146" spans="1:17" ht="15.75" customHeight="1">
      <c r="A1146" s="12">
        <v>1208</v>
      </c>
      <c r="B1146" s="12">
        <v>1804</v>
      </c>
      <c r="C1146" s="12">
        <v>33474</v>
      </c>
      <c r="D1146" s="12" t="s">
        <v>6047</v>
      </c>
      <c r="E1146" s="12" t="s">
        <v>10795</v>
      </c>
      <c r="F1146" s="12" t="s">
        <v>10796</v>
      </c>
      <c r="G1146" s="12" t="s">
        <v>10797</v>
      </c>
      <c r="H1146" s="12" t="s">
        <v>6051</v>
      </c>
      <c r="I1146" s="12" t="s">
        <v>6374</v>
      </c>
      <c r="J1146" s="12">
        <v>33474</v>
      </c>
      <c r="K1146" s="12" t="s">
        <v>6429</v>
      </c>
      <c r="L1146" s="12" t="s">
        <v>6423</v>
      </c>
      <c r="M1146" s="13">
        <v>41991</v>
      </c>
      <c r="N1146" s="12" t="s">
        <v>6430</v>
      </c>
      <c r="O1146" s="12" t="s">
        <v>6431</v>
      </c>
      <c r="P1146" s="12"/>
      <c r="Q1146" s="12">
        <v>1</v>
      </c>
    </row>
    <row r="1147" spans="1:17" ht="15.75" customHeight="1">
      <c r="A1147" s="12">
        <v>1812</v>
      </c>
      <c r="B1147" s="12">
        <v>1182</v>
      </c>
      <c r="C1147" s="12">
        <v>16917</v>
      </c>
      <c r="D1147" s="12" t="s">
        <v>6047</v>
      </c>
      <c r="E1147" s="12" t="s">
        <v>3326</v>
      </c>
      <c r="F1147" s="12" t="s">
        <v>10798</v>
      </c>
      <c r="G1147" s="12" t="s">
        <v>10799</v>
      </c>
      <c r="H1147" s="12" t="s">
        <v>6051</v>
      </c>
      <c r="I1147" s="12" t="s">
        <v>6052</v>
      </c>
      <c r="J1147" s="12">
        <v>16917</v>
      </c>
      <c r="K1147" s="12" t="s">
        <v>6062</v>
      </c>
      <c r="L1147" s="12" t="s">
        <v>6063</v>
      </c>
      <c r="M1147" s="13">
        <v>40873</v>
      </c>
      <c r="N1147" s="12" t="s">
        <v>6064</v>
      </c>
      <c r="O1147" s="12" t="s">
        <v>6065</v>
      </c>
      <c r="P1147" s="12"/>
      <c r="Q1147" s="12">
        <v>1</v>
      </c>
    </row>
    <row r="1148" spans="1:17" ht="15.75" customHeight="1">
      <c r="A1148" s="12">
        <v>1775</v>
      </c>
      <c r="B1148" s="12">
        <v>1853</v>
      </c>
      <c r="C1148" s="12">
        <v>33953</v>
      </c>
      <c r="D1148" s="12" t="s">
        <v>6047</v>
      </c>
      <c r="E1148" s="12" t="s">
        <v>10800</v>
      </c>
      <c r="F1148" s="12" t="s">
        <v>10801</v>
      </c>
      <c r="G1148" s="12" t="s">
        <v>10802</v>
      </c>
      <c r="H1148" s="12" t="s">
        <v>6051</v>
      </c>
      <c r="I1148" s="12" t="s">
        <v>6362</v>
      </c>
      <c r="J1148" s="12">
        <v>33953</v>
      </c>
      <c r="K1148" s="12" t="s">
        <v>6062</v>
      </c>
      <c r="L1148" s="12" t="s">
        <v>6063</v>
      </c>
      <c r="M1148" s="13">
        <v>40873</v>
      </c>
      <c r="N1148" s="12" t="s">
        <v>6064</v>
      </c>
      <c r="O1148" s="12" t="s">
        <v>6065</v>
      </c>
      <c r="P1148" s="12"/>
      <c r="Q1148" s="12">
        <v>1</v>
      </c>
    </row>
    <row r="1149" spans="1:17" ht="15.75" customHeight="1">
      <c r="A1149" s="12">
        <v>700</v>
      </c>
      <c r="B1149" s="12">
        <v>1002</v>
      </c>
      <c r="C1149" s="12">
        <v>13832</v>
      </c>
      <c r="D1149" s="12" t="s">
        <v>6047</v>
      </c>
      <c r="E1149" s="12" t="s">
        <v>10803</v>
      </c>
      <c r="F1149" s="12" t="s">
        <v>10804</v>
      </c>
      <c r="G1149" s="12" t="s">
        <v>10805</v>
      </c>
      <c r="H1149" s="12" t="s">
        <v>6051</v>
      </c>
      <c r="I1149" s="12" t="s">
        <v>6741</v>
      </c>
      <c r="J1149" s="12">
        <v>13832</v>
      </c>
      <c r="K1149" s="12" t="s">
        <v>8226</v>
      </c>
      <c r="L1149" s="12" t="s">
        <v>7254</v>
      </c>
      <c r="M1149" s="13">
        <v>43203</v>
      </c>
      <c r="N1149" s="12" t="s">
        <v>8227</v>
      </c>
      <c r="O1149" s="12" t="s">
        <v>8228</v>
      </c>
      <c r="P1149" s="12"/>
      <c r="Q1149" s="12">
        <v>1</v>
      </c>
    </row>
    <row r="1150" spans="1:17" ht="15.75" customHeight="1">
      <c r="A1150" s="12">
        <v>1765</v>
      </c>
      <c r="B1150" s="12">
        <v>1878</v>
      </c>
      <c r="C1150" s="12">
        <v>34087</v>
      </c>
      <c r="D1150" s="12" t="s">
        <v>6047</v>
      </c>
      <c r="E1150" s="12" t="s">
        <v>3216</v>
      </c>
      <c r="F1150" s="12" t="s">
        <v>10806</v>
      </c>
      <c r="G1150" s="12" t="s">
        <v>10807</v>
      </c>
      <c r="H1150" s="12" t="s">
        <v>6051</v>
      </c>
      <c r="I1150" s="12" t="s">
        <v>6362</v>
      </c>
      <c r="J1150" s="12">
        <v>34087</v>
      </c>
      <c r="K1150" s="12" t="s">
        <v>6062</v>
      </c>
      <c r="L1150" s="12" t="s">
        <v>6063</v>
      </c>
      <c r="M1150" s="13">
        <v>40873</v>
      </c>
      <c r="N1150" s="12" t="s">
        <v>6064</v>
      </c>
      <c r="O1150" s="12" t="s">
        <v>6065</v>
      </c>
      <c r="P1150" s="12"/>
      <c r="Q1150" s="12">
        <v>1</v>
      </c>
    </row>
    <row r="1151" spans="1:17" ht="15.75" customHeight="1">
      <c r="A1151" s="12">
        <v>287</v>
      </c>
      <c r="B1151" s="12">
        <v>1371</v>
      </c>
      <c r="C1151" s="12">
        <v>19982</v>
      </c>
      <c r="D1151" s="12" t="s">
        <v>6047</v>
      </c>
      <c r="E1151" s="12" t="s">
        <v>10808</v>
      </c>
      <c r="F1151" s="12" t="s">
        <v>10809</v>
      </c>
      <c r="G1151" s="12" t="s">
        <v>10810</v>
      </c>
      <c r="H1151" s="12" t="s">
        <v>6051</v>
      </c>
      <c r="I1151" s="12" t="s">
        <v>6523</v>
      </c>
      <c r="J1151" s="12">
        <v>19982</v>
      </c>
      <c r="K1151" s="12" t="s">
        <v>7468</v>
      </c>
      <c r="L1151" s="12" t="s">
        <v>7469</v>
      </c>
      <c r="M1151" s="13">
        <v>45602</v>
      </c>
      <c r="N1151" s="12" t="s">
        <v>7470</v>
      </c>
      <c r="O1151" s="12" t="s">
        <v>10294</v>
      </c>
      <c r="P1151" s="12"/>
      <c r="Q1151" s="12">
        <v>1</v>
      </c>
    </row>
    <row r="1152" spans="1:17" ht="15.75" customHeight="1">
      <c r="A1152" s="12">
        <v>630</v>
      </c>
      <c r="B1152" s="12">
        <v>877</v>
      </c>
      <c r="C1152" s="12">
        <v>11410</v>
      </c>
      <c r="D1152" s="12" t="s">
        <v>6047</v>
      </c>
      <c r="E1152" s="12" t="s">
        <v>3367</v>
      </c>
      <c r="F1152" s="12" t="s">
        <v>10811</v>
      </c>
      <c r="G1152" s="12" t="s">
        <v>10812</v>
      </c>
      <c r="H1152" s="12" t="s">
        <v>6060</v>
      </c>
      <c r="I1152" s="12" t="s">
        <v>6061</v>
      </c>
      <c r="J1152" s="12">
        <v>11410</v>
      </c>
      <c r="K1152" s="12" t="s">
        <v>9993</v>
      </c>
      <c r="L1152" s="12" t="s">
        <v>6255</v>
      </c>
      <c r="M1152" s="13">
        <v>43419</v>
      </c>
      <c r="N1152" s="12" t="s">
        <v>9994</v>
      </c>
      <c r="O1152" s="12" t="s">
        <v>9995</v>
      </c>
      <c r="P1152" s="12"/>
      <c r="Q1152" s="12">
        <v>1</v>
      </c>
    </row>
    <row r="1153" spans="1:17" ht="15.75" customHeight="1">
      <c r="A1153" s="12">
        <v>631</v>
      </c>
      <c r="B1153" s="12">
        <v>1450</v>
      </c>
      <c r="C1153" s="12">
        <v>22150</v>
      </c>
      <c r="D1153" s="12" t="s">
        <v>6047</v>
      </c>
      <c r="E1153" s="12" t="s">
        <v>10813</v>
      </c>
      <c r="F1153" s="12" t="s">
        <v>10814</v>
      </c>
      <c r="G1153" s="12" t="s">
        <v>10815</v>
      </c>
      <c r="H1153" s="12" t="s">
        <v>6051</v>
      </c>
      <c r="I1153" s="12" t="s">
        <v>7114</v>
      </c>
      <c r="J1153" s="12">
        <v>22150</v>
      </c>
      <c r="K1153" s="12" t="s">
        <v>7950</v>
      </c>
      <c r="L1153" s="12" t="s">
        <v>6255</v>
      </c>
      <c r="M1153" s="13">
        <v>43419</v>
      </c>
      <c r="N1153" s="12" t="s">
        <v>7951</v>
      </c>
      <c r="O1153" s="12" t="s">
        <v>7952</v>
      </c>
      <c r="P1153" s="12"/>
      <c r="Q1153" s="12">
        <v>1</v>
      </c>
    </row>
    <row r="1154" spans="1:17" ht="15.75" customHeight="1">
      <c r="A1154" s="12">
        <v>962</v>
      </c>
      <c r="B1154" s="12">
        <v>1014</v>
      </c>
      <c r="C1154" s="12">
        <v>14135</v>
      </c>
      <c r="D1154" s="12" t="s">
        <v>6047</v>
      </c>
      <c r="E1154" s="12" t="s">
        <v>10816</v>
      </c>
      <c r="F1154" s="12" t="s">
        <v>10817</v>
      </c>
      <c r="G1154" s="12" t="s">
        <v>10818</v>
      </c>
      <c r="H1154" s="12" t="s">
        <v>6051</v>
      </c>
      <c r="I1154" s="12" t="s">
        <v>6741</v>
      </c>
      <c r="J1154" s="12">
        <v>14135</v>
      </c>
      <c r="K1154" s="12" t="s">
        <v>9526</v>
      </c>
      <c r="L1154" s="12" t="s">
        <v>6357</v>
      </c>
      <c r="M1154" s="13">
        <v>42826</v>
      </c>
      <c r="N1154" s="12" t="s">
        <v>9527</v>
      </c>
      <c r="O1154" s="12" t="s">
        <v>9528</v>
      </c>
      <c r="P1154" s="12"/>
      <c r="Q1154" s="12">
        <v>1</v>
      </c>
    </row>
    <row r="1155" spans="1:17" ht="15.75" customHeight="1">
      <c r="A1155" s="12">
        <v>519</v>
      </c>
      <c r="B1155" s="12">
        <v>1027</v>
      </c>
      <c r="C1155" s="12">
        <v>14380</v>
      </c>
      <c r="D1155" s="12" t="s">
        <v>6047</v>
      </c>
      <c r="E1155" s="12" t="s">
        <v>10819</v>
      </c>
      <c r="F1155" s="12" t="s">
        <v>10820</v>
      </c>
      <c r="G1155" s="12" t="s">
        <v>10821</v>
      </c>
      <c r="H1155" s="12" t="s">
        <v>6051</v>
      </c>
      <c r="I1155" s="12" t="s">
        <v>10822</v>
      </c>
      <c r="J1155" s="12">
        <v>14380</v>
      </c>
      <c r="K1155" s="12" t="s">
        <v>9264</v>
      </c>
      <c r="L1155" s="12" t="s">
        <v>6408</v>
      </c>
      <c r="M1155" s="13">
        <v>43566</v>
      </c>
      <c r="N1155" s="12" t="s">
        <v>9265</v>
      </c>
      <c r="O1155" s="12" t="s">
        <v>10823</v>
      </c>
      <c r="P1155" s="12"/>
      <c r="Q1155" s="12">
        <v>1</v>
      </c>
    </row>
    <row r="1156" spans="1:17" ht="15.75" customHeight="1">
      <c r="A1156" s="12">
        <v>1068</v>
      </c>
      <c r="B1156" s="12">
        <v>1536</v>
      </c>
      <c r="C1156" s="12">
        <v>27241</v>
      </c>
      <c r="D1156" s="12" t="s">
        <v>6047</v>
      </c>
      <c r="E1156" s="12" t="s">
        <v>10824</v>
      </c>
      <c r="F1156" s="12" t="s">
        <v>10825</v>
      </c>
      <c r="G1156" s="12" t="s">
        <v>10826</v>
      </c>
      <c r="H1156" s="12" t="s">
        <v>6051</v>
      </c>
      <c r="I1156" s="12" t="s">
        <v>6704</v>
      </c>
      <c r="J1156" s="12">
        <v>27241</v>
      </c>
      <c r="K1156" s="12" t="s">
        <v>6927</v>
      </c>
      <c r="L1156" s="12" t="s">
        <v>6504</v>
      </c>
      <c r="M1156" s="13">
        <v>42686</v>
      </c>
      <c r="N1156" s="12" t="s">
        <v>6928</v>
      </c>
      <c r="O1156" s="12" t="s">
        <v>6929</v>
      </c>
      <c r="P1156" s="12"/>
      <c r="Q1156" s="12">
        <v>1</v>
      </c>
    </row>
    <row r="1157" spans="1:17" ht="15.75" customHeight="1">
      <c r="A1157" s="12">
        <v>1814</v>
      </c>
      <c r="B1157" s="12">
        <v>1128</v>
      </c>
      <c r="C1157" s="12">
        <v>16214</v>
      </c>
      <c r="D1157" s="12" t="s">
        <v>6047</v>
      </c>
      <c r="E1157" s="12" t="s">
        <v>10827</v>
      </c>
      <c r="F1157" s="12" t="s">
        <v>10828</v>
      </c>
      <c r="G1157" s="12" t="s">
        <v>10829</v>
      </c>
      <c r="H1157" s="12" t="s">
        <v>6051</v>
      </c>
      <c r="I1157" s="12" t="s">
        <v>6052</v>
      </c>
      <c r="J1157" s="12">
        <v>16214</v>
      </c>
      <c r="K1157" s="12" t="s">
        <v>6062</v>
      </c>
      <c r="L1157" s="12" t="s">
        <v>6063</v>
      </c>
      <c r="M1157" s="13">
        <v>40873</v>
      </c>
      <c r="N1157" s="12" t="s">
        <v>6064</v>
      </c>
      <c r="O1157" s="12" t="s">
        <v>6065</v>
      </c>
      <c r="P1157" s="12"/>
      <c r="Q1157" s="12">
        <v>1</v>
      </c>
    </row>
    <row r="1158" spans="1:17" ht="15.75" customHeight="1">
      <c r="A1158" s="12">
        <v>528</v>
      </c>
      <c r="B1158" s="12">
        <v>1918</v>
      </c>
      <c r="C1158" s="12">
        <v>34499</v>
      </c>
      <c r="D1158" s="12" t="s">
        <v>6047</v>
      </c>
      <c r="E1158" s="12" t="s">
        <v>10830</v>
      </c>
      <c r="F1158" s="12" t="s">
        <v>10831</v>
      </c>
      <c r="G1158" s="12" t="s">
        <v>10832</v>
      </c>
      <c r="H1158" s="12" t="s">
        <v>6051</v>
      </c>
      <c r="I1158" s="12" t="s">
        <v>7034</v>
      </c>
      <c r="J1158" s="12">
        <v>34499</v>
      </c>
      <c r="K1158" s="12" t="s">
        <v>7441</v>
      </c>
      <c r="L1158" s="12" t="s">
        <v>6408</v>
      </c>
      <c r="M1158" s="13">
        <v>43565</v>
      </c>
      <c r="N1158" s="12" t="s">
        <v>7442</v>
      </c>
      <c r="O1158" s="12" t="s">
        <v>10476</v>
      </c>
      <c r="P1158" s="12"/>
      <c r="Q1158" s="12">
        <v>1</v>
      </c>
    </row>
    <row r="1159" spans="1:17" ht="15.75" customHeight="1">
      <c r="A1159" s="12">
        <v>324</v>
      </c>
      <c r="B1159" s="12">
        <v>1327</v>
      </c>
      <c r="C1159" s="12">
        <v>19122</v>
      </c>
      <c r="D1159" s="12" t="s">
        <v>6047</v>
      </c>
      <c r="E1159" s="12" t="s">
        <v>10833</v>
      </c>
      <c r="F1159" s="12" t="s">
        <v>10834</v>
      </c>
      <c r="G1159" s="12" t="s">
        <v>10835</v>
      </c>
      <c r="H1159" s="12" t="s">
        <v>6051</v>
      </c>
      <c r="I1159" s="12" t="s">
        <v>7090</v>
      </c>
      <c r="J1159" s="12">
        <v>19122</v>
      </c>
      <c r="K1159" s="12" t="s">
        <v>7339</v>
      </c>
      <c r="L1159" s="12" t="s">
        <v>6732</v>
      </c>
      <c r="M1159" s="13">
        <v>44727</v>
      </c>
      <c r="N1159" s="12" t="s">
        <v>7340</v>
      </c>
      <c r="O1159" s="12" t="s">
        <v>7341</v>
      </c>
      <c r="P1159" s="12"/>
      <c r="Q1159" s="12">
        <v>1</v>
      </c>
    </row>
    <row r="1160" spans="1:17" ht="15.75" customHeight="1">
      <c r="A1160" s="12">
        <v>940</v>
      </c>
      <c r="B1160" s="12">
        <v>1149</v>
      </c>
      <c r="C1160" s="12">
        <v>16513</v>
      </c>
      <c r="D1160" s="12" t="s">
        <v>6047</v>
      </c>
      <c r="E1160" s="12" t="s">
        <v>10836</v>
      </c>
      <c r="F1160" s="12" t="s">
        <v>10837</v>
      </c>
      <c r="G1160" s="12" t="s">
        <v>10838</v>
      </c>
      <c r="H1160" s="12" t="s">
        <v>6051</v>
      </c>
      <c r="I1160" s="12" t="s">
        <v>6052</v>
      </c>
      <c r="J1160" s="12">
        <v>16513</v>
      </c>
      <c r="K1160" s="12" t="s">
        <v>8672</v>
      </c>
      <c r="L1160" s="12" t="s">
        <v>6955</v>
      </c>
      <c r="M1160" s="13">
        <v>42827</v>
      </c>
      <c r="N1160" s="12" t="s">
        <v>8673</v>
      </c>
      <c r="O1160" s="12" t="s">
        <v>8674</v>
      </c>
      <c r="P1160" s="12"/>
      <c r="Q1160" s="12">
        <v>1</v>
      </c>
    </row>
    <row r="1161" spans="1:17" ht="15.75" customHeight="1">
      <c r="A1161" s="12">
        <v>900</v>
      </c>
      <c r="B1161" s="12">
        <v>1067</v>
      </c>
      <c r="C1161" s="12">
        <v>15259</v>
      </c>
      <c r="D1161" s="12" t="s">
        <v>6047</v>
      </c>
      <c r="E1161" s="12" t="s">
        <v>10839</v>
      </c>
      <c r="F1161" s="12" t="s">
        <v>10840</v>
      </c>
      <c r="G1161" s="12" t="s">
        <v>10841</v>
      </c>
      <c r="H1161" s="12" t="s">
        <v>6051</v>
      </c>
      <c r="I1161" s="12" t="s">
        <v>6476</v>
      </c>
      <c r="J1161" s="12">
        <v>15259</v>
      </c>
      <c r="K1161" s="12" t="s">
        <v>9514</v>
      </c>
      <c r="L1161" s="12" t="s">
        <v>6054</v>
      </c>
      <c r="M1161" s="13">
        <v>42833</v>
      </c>
      <c r="N1161" s="12" t="s">
        <v>9515</v>
      </c>
      <c r="O1161" s="12" t="s">
        <v>9516</v>
      </c>
      <c r="P1161" s="12"/>
      <c r="Q1161" s="12">
        <v>1</v>
      </c>
    </row>
    <row r="1162" spans="1:17" ht="15.75" customHeight="1">
      <c r="A1162" s="12">
        <v>716</v>
      </c>
      <c r="B1162" s="12">
        <v>215</v>
      </c>
      <c r="C1162" s="12">
        <v>3766</v>
      </c>
      <c r="D1162" s="12" t="s">
        <v>6047</v>
      </c>
      <c r="E1162" s="12" t="s">
        <v>10842</v>
      </c>
      <c r="F1162" s="12" t="s">
        <v>10843</v>
      </c>
      <c r="G1162" s="12" t="s">
        <v>10844</v>
      </c>
      <c r="H1162" s="12" t="s">
        <v>10845</v>
      </c>
      <c r="I1162" s="12" t="s">
        <v>10846</v>
      </c>
      <c r="J1162" s="12">
        <v>3766</v>
      </c>
      <c r="K1162" s="12" t="s">
        <v>10847</v>
      </c>
      <c r="L1162" s="12" t="s">
        <v>6839</v>
      </c>
      <c r="M1162" s="13">
        <v>43201</v>
      </c>
      <c r="N1162" s="12" t="s">
        <v>10848</v>
      </c>
      <c r="O1162" s="12" t="s">
        <v>10849</v>
      </c>
      <c r="P1162" s="12"/>
      <c r="Q1162" s="12">
        <v>1</v>
      </c>
    </row>
    <row r="1163" spans="1:17" ht="15.75" customHeight="1">
      <c r="A1163" s="12">
        <v>942</v>
      </c>
      <c r="B1163" s="12">
        <v>859</v>
      </c>
      <c r="C1163" s="12">
        <v>11090</v>
      </c>
      <c r="D1163" s="12" t="s">
        <v>6047</v>
      </c>
      <c r="E1163" s="12" t="s">
        <v>10850</v>
      </c>
      <c r="F1163" s="12" t="s">
        <v>10851</v>
      </c>
      <c r="G1163" s="12" t="s">
        <v>10852</v>
      </c>
      <c r="H1163" s="12" t="s">
        <v>6060</v>
      </c>
      <c r="I1163" s="12" t="s">
        <v>6061</v>
      </c>
      <c r="J1163" s="12">
        <v>11090</v>
      </c>
      <c r="K1163" s="12" t="s">
        <v>8672</v>
      </c>
      <c r="L1163" s="12" t="s">
        <v>6955</v>
      </c>
      <c r="M1163" s="13">
        <v>42827</v>
      </c>
      <c r="N1163" s="12" t="s">
        <v>8673</v>
      </c>
      <c r="O1163" s="12" t="s">
        <v>8674</v>
      </c>
      <c r="P1163" s="12"/>
      <c r="Q1163" s="12">
        <v>1</v>
      </c>
    </row>
    <row r="1164" spans="1:17" ht="15.75" customHeight="1">
      <c r="A1164" s="12">
        <v>1704</v>
      </c>
      <c r="B1164" s="12">
        <v>1034</v>
      </c>
      <c r="C1164" s="12">
        <v>14613</v>
      </c>
      <c r="D1164" s="12" t="s">
        <v>6047</v>
      </c>
      <c r="E1164" s="12" t="s">
        <v>10853</v>
      </c>
      <c r="F1164" s="12" t="s">
        <v>10854</v>
      </c>
      <c r="G1164" s="12" t="s">
        <v>10855</v>
      </c>
      <c r="H1164" s="12" t="s">
        <v>6051</v>
      </c>
      <c r="I1164" s="12" t="s">
        <v>6476</v>
      </c>
      <c r="J1164" s="12">
        <v>14613</v>
      </c>
      <c r="K1164" s="12" t="s">
        <v>8598</v>
      </c>
      <c r="L1164" s="12" t="s">
        <v>7333</v>
      </c>
      <c r="M1164" s="13">
        <v>40878</v>
      </c>
      <c r="N1164" s="12" t="s">
        <v>8599</v>
      </c>
      <c r="O1164" s="12" t="s">
        <v>8600</v>
      </c>
      <c r="P1164" s="12"/>
      <c r="Q1164" s="12">
        <v>1</v>
      </c>
    </row>
    <row r="1165" spans="1:17" ht="15.75" customHeight="1">
      <c r="A1165" s="12">
        <v>274</v>
      </c>
      <c r="B1165" s="12">
        <v>783</v>
      </c>
      <c r="C1165" s="12">
        <v>9823</v>
      </c>
      <c r="D1165" s="12" t="s">
        <v>6047</v>
      </c>
      <c r="E1165" s="12" t="s">
        <v>10856</v>
      </c>
      <c r="F1165" s="12" t="s">
        <v>10857</v>
      </c>
      <c r="G1165" s="12" t="s">
        <v>10858</v>
      </c>
      <c r="H1165" s="12" t="s">
        <v>6265</v>
      </c>
      <c r="I1165" s="12" t="s">
        <v>8292</v>
      </c>
      <c r="J1165" s="12">
        <v>9823</v>
      </c>
      <c r="K1165" s="12" t="s">
        <v>8408</v>
      </c>
      <c r="L1165" s="12" t="s">
        <v>7469</v>
      </c>
      <c r="M1165" s="13">
        <v>45603</v>
      </c>
      <c r="N1165" s="12" t="s">
        <v>8409</v>
      </c>
      <c r="O1165" s="12" t="s">
        <v>8410</v>
      </c>
      <c r="P1165" s="12"/>
      <c r="Q1165" s="12">
        <v>1</v>
      </c>
    </row>
    <row r="1166" spans="1:17" ht="15.75" customHeight="1">
      <c r="A1166" s="12">
        <v>319</v>
      </c>
      <c r="B1166" s="12">
        <v>1764</v>
      </c>
      <c r="C1166" s="12">
        <v>32966</v>
      </c>
      <c r="D1166" s="12" t="s">
        <v>6047</v>
      </c>
      <c r="E1166" s="12" t="s">
        <v>10859</v>
      </c>
      <c r="F1166" s="12" t="s">
        <v>10860</v>
      </c>
      <c r="G1166" s="12" t="s">
        <v>10861</v>
      </c>
      <c r="H1166" s="12" t="s">
        <v>6051</v>
      </c>
      <c r="I1166" s="12" t="s">
        <v>6374</v>
      </c>
      <c r="J1166" s="12">
        <v>32966</v>
      </c>
      <c r="K1166" s="12" t="s">
        <v>6731</v>
      </c>
      <c r="L1166" s="12" t="s">
        <v>6732</v>
      </c>
      <c r="M1166" s="13">
        <v>44728</v>
      </c>
      <c r="N1166" s="12" t="s">
        <v>6733</v>
      </c>
      <c r="O1166" s="12" t="s">
        <v>6734</v>
      </c>
      <c r="P1166" s="12"/>
      <c r="Q1166" s="12">
        <v>1</v>
      </c>
    </row>
    <row r="1167" spans="1:17" ht="15.75" customHeight="1">
      <c r="A1167" s="12">
        <v>45</v>
      </c>
      <c r="B1167" s="12">
        <v>1344</v>
      </c>
      <c r="C1167" s="12">
        <v>19374</v>
      </c>
      <c r="D1167" s="12" t="s">
        <v>6047</v>
      </c>
      <c r="E1167" s="12" t="s">
        <v>3384</v>
      </c>
      <c r="F1167" s="12" t="s">
        <v>10862</v>
      </c>
      <c r="G1167" s="12" t="s">
        <v>10863</v>
      </c>
      <c r="H1167" s="12" t="s">
        <v>6051</v>
      </c>
      <c r="I1167" s="12" t="s">
        <v>9190</v>
      </c>
      <c r="J1167" s="12">
        <v>19374</v>
      </c>
      <c r="K1167" s="12" t="s">
        <v>10864</v>
      </c>
      <c r="L1167" s="12" t="s">
        <v>6590</v>
      </c>
      <c r="M1167" s="13">
        <v>45974</v>
      </c>
      <c r="N1167" s="12" t="s">
        <v>10865</v>
      </c>
      <c r="O1167" s="12" t="s">
        <v>10866</v>
      </c>
      <c r="P1167" s="12"/>
      <c r="Q1167" s="12">
        <v>1</v>
      </c>
    </row>
    <row r="1168" spans="1:17" ht="15.75" customHeight="1">
      <c r="A1168" s="12">
        <v>1680</v>
      </c>
      <c r="B1168" s="12">
        <v>1725</v>
      </c>
      <c r="C1168" s="12">
        <v>32042</v>
      </c>
      <c r="D1168" s="12" t="s">
        <v>6047</v>
      </c>
      <c r="E1168" s="12" t="s">
        <v>10867</v>
      </c>
      <c r="F1168" s="12" t="s">
        <v>10868</v>
      </c>
      <c r="G1168" s="12" t="s">
        <v>10869</v>
      </c>
      <c r="H1168" s="12" t="s">
        <v>6051</v>
      </c>
      <c r="I1168" s="12" t="s">
        <v>6232</v>
      </c>
      <c r="J1168" s="12">
        <v>32042</v>
      </c>
      <c r="K1168" s="12" t="s">
        <v>7260</v>
      </c>
      <c r="L1168" s="12" t="s">
        <v>7261</v>
      </c>
      <c r="M1168" s="13">
        <v>40879</v>
      </c>
      <c r="N1168" s="12" t="s">
        <v>7262</v>
      </c>
      <c r="O1168" s="12" t="s">
        <v>7263</v>
      </c>
      <c r="P1168" s="12"/>
      <c r="Q1168" s="12">
        <v>1</v>
      </c>
    </row>
    <row r="1169" spans="1:17" ht="15.75" customHeight="1">
      <c r="A1169" s="12">
        <v>51</v>
      </c>
      <c r="B1169" s="12">
        <v>1347</v>
      </c>
      <c r="C1169" s="12">
        <v>19604</v>
      </c>
      <c r="D1169" s="12" t="s">
        <v>6047</v>
      </c>
      <c r="E1169" s="12" t="s">
        <v>3396</v>
      </c>
      <c r="F1169" s="12" t="s">
        <v>10870</v>
      </c>
      <c r="G1169" s="12" t="s">
        <v>10871</v>
      </c>
      <c r="H1169" s="12" t="s">
        <v>6051</v>
      </c>
      <c r="I1169" s="12" t="s">
        <v>6068</v>
      </c>
      <c r="J1169" s="12">
        <v>19604</v>
      </c>
      <c r="K1169" s="12" t="s">
        <v>10872</v>
      </c>
      <c r="L1169" s="12" t="s">
        <v>6590</v>
      </c>
      <c r="M1169" s="13">
        <v>45973</v>
      </c>
      <c r="N1169" s="12" t="s">
        <v>10873</v>
      </c>
      <c r="O1169" s="12" t="s">
        <v>10874</v>
      </c>
      <c r="P1169" s="12"/>
      <c r="Q1169" s="12">
        <v>1</v>
      </c>
    </row>
    <row r="1170" spans="1:17" ht="15.75" customHeight="1">
      <c r="A1170" s="12">
        <v>225</v>
      </c>
      <c r="B1170" s="12">
        <v>185</v>
      </c>
      <c r="C1170" s="12">
        <v>3068</v>
      </c>
      <c r="D1170" s="12" t="s">
        <v>6047</v>
      </c>
      <c r="E1170" s="12" t="s">
        <v>10875</v>
      </c>
      <c r="F1170" s="12" t="s">
        <v>10876</v>
      </c>
      <c r="G1170" s="12" t="s">
        <v>10877</v>
      </c>
      <c r="H1170" s="12" t="s">
        <v>7069</v>
      </c>
      <c r="I1170" s="12" t="s">
        <v>7070</v>
      </c>
      <c r="J1170" s="12">
        <v>3068</v>
      </c>
      <c r="K1170" s="12" t="s">
        <v>6524</v>
      </c>
      <c r="L1170" s="12" t="s">
        <v>6518</v>
      </c>
      <c r="M1170" s="13">
        <v>45609</v>
      </c>
      <c r="N1170" s="12" t="s">
        <v>6525</v>
      </c>
      <c r="O1170" s="12" t="s">
        <v>6526</v>
      </c>
      <c r="P1170" s="12"/>
      <c r="Q1170" s="12">
        <v>1</v>
      </c>
    </row>
    <row r="1171" spans="1:17" ht="15.75" customHeight="1">
      <c r="A1171" s="12">
        <v>355</v>
      </c>
      <c r="B1171" s="12">
        <v>1866</v>
      </c>
      <c r="C1171" s="12">
        <v>34013</v>
      </c>
      <c r="D1171" s="12" t="s">
        <v>6047</v>
      </c>
      <c r="E1171" s="12" t="s">
        <v>10878</v>
      </c>
      <c r="F1171" s="12" t="s">
        <v>10879</v>
      </c>
      <c r="G1171" s="12" t="s">
        <v>10880</v>
      </c>
      <c r="H1171" s="12" t="s">
        <v>6051</v>
      </c>
      <c r="I1171" s="12" t="s">
        <v>6362</v>
      </c>
      <c r="J1171" s="12">
        <v>34013</v>
      </c>
      <c r="K1171" s="12" t="s">
        <v>10881</v>
      </c>
      <c r="L1171" s="12" t="s">
        <v>6226</v>
      </c>
      <c r="M1171" s="13">
        <v>44722</v>
      </c>
      <c r="N1171" s="12" t="s">
        <v>10882</v>
      </c>
      <c r="O1171" s="12" t="s">
        <v>10883</v>
      </c>
      <c r="P1171" s="12"/>
      <c r="Q1171" s="12">
        <v>1</v>
      </c>
    </row>
    <row r="1172" spans="1:17" ht="15.75" customHeight="1">
      <c r="A1172" s="12">
        <v>734</v>
      </c>
      <c r="B1172" s="12">
        <v>2032</v>
      </c>
      <c r="C1172" s="12">
        <v>35802</v>
      </c>
      <c r="D1172" s="12" t="s">
        <v>6047</v>
      </c>
      <c r="E1172" s="12" t="s">
        <v>10884</v>
      </c>
      <c r="F1172" s="12" t="s">
        <v>10885</v>
      </c>
      <c r="G1172" s="12" t="s">
        <v>10886</v>
      </c>
      <c r="H1172" s="12" t="s">
        <v>6051</v>
      </c>
      <c r="I1172" s="12" t="s">
        <v>6700</v>
      </c>
      <c r="J1172" s="12">
        <v>35802</v>
      </c>
      <c r="K1172" s="12" t="s">
        <v>6838</v>
      </c>
      <c r="L1172" s="12" t="s">
        <v>6839</v>
      </c>
      <c r="M1172" s="13">
        <v>43197</v>
      </c>
      <c r="N1172" s="12" t="s">
        <v>6840</v>
      </c>
      <c r="O1172" s="12" t="s">
        <v>6841</v>
      </c>
      <c r="P1172" s="12"/>
      <c r="Q1172" s="12">
        <v>1</v>
      </c>
    </row>
    <row r="1173" spans="1:17" ht="15.75" customHeight="1">
      <c r="A1173" s="12">
        <v>1184</v>
      </c>
      <c r="B1173" s="12">
        <v>1178</v>
      </c>
      <c r="C1173" s="12">
        <v>16890</v>
      </c>
      <c r="D1173" s="12" t="s">
        <v>6047</v>
      </c>
      <c r="E1173" s="12" t="s">
        <v>10887</v>
      </c>
      <c r="F1173" s="12" t="s">
        <v>10888</v>
      </c>
      <c r="G1173" s="12" t="s">
        <v>10889</v>
      </c>
      <c r="H1173" s="12" t="s">
        <v>6051</v>
      </c>
      <c r="I1173" s="12" t="s">
        <v>6052</v>
      </c>
      <c r="J1173" s="12">
        <v>16890</v>
      </c>
      <c r="K1173" s="12" t="s">
        <v>6429</v>
      </c>
      <c r="L1173" s="12" t="s">
        <v>6423</v>
      </c>
      <c r="M1173" s="13">
        <v>41992</v>
      </c>
      <c r="N1173" s="12" t="s">
        <v>6430</v>
      </c>
      <c r="O1173" s="12" t="s">
        <v>7083</v>
      </c>
      <c r="P1173" s="12"/>
      <c r="Q1173" s="12">
        <v>1</v>
      </c>
    </row>
    <row r="1174" spans="1:17" ht="15.75" customHeight="1">
      <c r="A1174" s="12">
        <v>1071</v>
      </c>
      <c r="B1174" s="12">
        <v>1127</v>
      </c>
      <c r="C1174" s="12">
        <v>16207</v>
      </c>
      <c r="D1174" s="12" t="s">
        <v>6047</v>
      </c>
      <c r="E1174" s="12" t="s">
        <v>10890</v>
      </c>
      <c r="F1174" s="12" t="s">
        <v>10891</v>
      </c>
      <c r="G1174" s="12" t="s">
        <v>10892</v>
      </c>
      <c r="H1174" s="12" t="s">
        <v>6051</v>
      </c>
      <c r="I1174" s="12" t="s">
        <v>6052</v>
      </c>
      <c r="J1174" s="12">
        <v>16207</v>
      </c>
      <c r="K1174" s="12" t="s">
        <v>6927</v>
      </c>
      <c r="L1174" s="12" t="s">
        <v>6504</v>
      </c>
      <c r="M1174" s="13">
        <v>42686</v>
      </c>
      <c r="N1174" s="12" t="s">
        <v>6928</v>
      </c>
      <c r="O1174" s="12" t="s">
        <v>6929</v>
      </c>
      <c r="P1174" s="12"/>
      <c r="Q1174" s="12">
        <v>1</v>
      </c>
    </row>
    <row r="1175" spans="1:17" ht="15.75" customHeight="1">
      <c r="A1175" s="12">
        <v>1727</v>
      </c>
      <c r="B1175" s="12">
        <v>969</v>
      </c>
      <c r="C1175" s="12">
        <v>13092</v>
      </c>
      <c r="D1175" s="12" t="s">
        <v>6047</v>
      </c>
      <c r="E1175" s="12" t="s">
        <v>10893</v>
      </c>
      <c r="F1175" s="12" t="s">
        <v>10894</v>
      </c>
      <c r="G1175" s="12" t="s">
        <v>10895</v>
      </c>
      <c r="H1175" s="12" t="s">
        <v>6627</v>
      </c>
      <c r="I1175" s="12" t="s">
        <v>7504</v>
      </c>
      <c r="J1175" s="12">
        <v>13092</v>
      </c>
      <c r="K1175" s="12" t="s">
        <v>7000</v>
      </c>
      <c r="L1175" s="12" t="s">
        <v>7001</v>
      </c>
      <c r="M1175" s="13">
        <v>40875</v>
      </c>
      <c r="N1175" s="12" t="s">
        <v>7002</v>
      </c>
      <c r="O1175" s="12" t="s">
        <v>7003</v>
      </c>
      <c r="P1175" s="12"/>
      <c r="Q1175" s="12">
        <v>1</v>
      </c>
    </row>
    <row r="1176" spans="1:17" ht="15.75" customHeight="1">
      <c r="A1176" s="12">
        <v>640</v>
      </c>
      <c r="B1176" s="12">
        <v>1601</v>
      </c>
      <c r="C1176" s="12">
        <v>28197</v>
      </c>
      <c r="D1176" s="12" t="s">
        <v>6047</v>
      </c>
      <c r="E1176" s="12" t="s">
        <v>10896</v>
      </c>
      <c r="F1176" s="12" t="s">
        <v>10897</v>
      </c>
      <c r="G1176" s="12" t="s">
        <v>10898</v>
      </c>
      <c r="H1176" s="12" t="s">
        <v>6051</v>
      </c>
      <c r="I1176" s="12" t="s">
        <v>6366</v>
      </c>
      <c r="J1176" s="12">
        <v>28197</v>
      </c>
      <c r="K1176" s="12" t="s">
        <v>6233</v>
      </c>
      <c r="L1176" s="12" t="s">
        <v>6193</v>
      </c>
      <c r="M1176" s="13">
        <v>43405</v>
      </c>
      <c r="N1176" s="12" t="s">
        <v>6234</v>
      </c>
      <c r="O1176" s="12" t="s">
        <v>6235</v>
      </c>
      <c r="P1176" s="12"/>
      <c r="Q1176" s="12">
        <v>1</v>
      </c>
    </row>
    <row r="1177" spans="1:17" ht="15.75" customHeight="1">
      <c r="A1177" s="12">
        <v>917</v>
      </c>
      <c r="B1177" s="12">
        <v>1118</v>
      </c>
      <c r="C1177" s="12">
        <v>16083</v>
      </c>
      <c r="D1177" s="12" t="s">
        <v>6047</v>
      </c>
      <c r="E1177" s="12" t="s">
        <v>10899</v>
      </c>
      <c r="F1177" s="12" t="s">
        <v>10900</v>
      </c>
      <c r="G1177" s="12" t="s">
        <v>10901</v>
      </c>
      <c r="H1177" s="12" t="s">
        <v>6051</v>
      </c>
      <c r="I1177" s="12" t="s">
        <v>6781</v>
      </c>
      <c r="J1177" s="12">
        <v>16083</v>
      </c>
      <c r="K1177" s="12" t="s">
        <v>10902</v>
      </c>
      <c r="L1177" s="12" t="s">
        <v>6955</v>
      </c>
      <c r="M1177" s="13">
        <v>42830</v>
      </c>
      <c r="N1177" s="12" t="s">
        <v>10903</v>
      </c>
      <c r="O1177" s="12" t="s">
        <v>10904</v>
      </c>
      <c r="P1177" s="12"/>
      <c r="Q1177" s="12">
        <v>1</v>
      </c>
    </row>
    <row r="1178" spans="1:17" ht="15.75" customHeight="1">
      <c r="A1178" s="12">
        <v>2023</v>
      </c>
      <c r="B1178" s="12">
        <v>1728</v>
      </c>
      <c r="C1178" s="12">
        <v>32052</v>
      </c>
      <c r="D1178" s="12" t="s">
        <v>6047</v>
      </c>
      <c r="E1178" s="12" t="s">
        <v>3416</v>
      </c>
      <c r="F1178" s="12" t="s">
        <v>10905</v>
      </c>
      <c r="G1178" s="12" t="s">
        <v>10906</v>
      </c>
      <c r="H1178" s="12" t="s">
        <v>6051</v>
      </c>
      <c r="I1178" s="12" t="s">
        <v>6232</v>
      </c>
      <c r="J1178" s="12">
        <v>32052</v>
      </c>
      <c r="K1178" s="12" t="s">
        <v>7483</v>
      </c>
      <c r="L1178" s="12" t="s">
        <v>7484</v>
      </c>
      <c r="M1178" s="13">
        <v>38178</v>
      </c>
      <c r="N1178" s="12" t="s">
        <v>7485</v>
      </c>
      <c r="O1178" s="12" t="s">
        <v>7486</v>
      </c>
      <c r="P1178" s="12"/>
      <c r="Q1178" s="12">
        <v>1</v>
      </c>
    </row>
    <row r="1179" spans="1:17" ht="15.75" customHeight="1">
      <c r="A1179" s="12">
        <v>457</v>
      </c>
      <c r="B1179" s="12">
        <v>1604</v>
      </c>
      <c r="C1179" s="12">
        <v>28256</v>
      </c>
      <c r="D1179" s="12" t="s">
        <v>6047</v>
      </c>
      <c r="E1179" s="12" t="s">
        <v>10907</v>
      </c>
      <c r="F1179" s="12" t="s">
        <v>10908</v>
      </c>
      <c r="G1179" s="12" t="s">
        <v>10909</v>
      </c>
      <c r="H1179" s="12" t="s">
        <v>6051</v>
      </c>
      <c r="I1179" s="12" t="s">
        <v>6366</v>
      </c>
      <c r="J1179" s="12">
        <v>28256</v>
      </c>
      <c r="K1179" s="12" t="s">
        <v>6497</v>
      </c>
      <c r="L1179" s="12" t="s">
        <v>6498</v>
      </c>
      <c r="M1179" s="13">
        <v>43790</v>
      </c>
      <c r="N1179" s="12" t="s">
        <v>6499</v>
      </c>
      <c r="O1179" s="12" t="s">
        <v>6500</v>
      </c>
      <c r="P1179" s="12"/>
      <c r="Q1179" s="12">
        <v>1</v>
      </c>
    </row>
    <row r="1180" spans="1:17" ht="15.75" customHeight="1">
      <c r="A1180" s="12">
        <v>1679</v>
      </c>
      <c r="B1180" s="12">
        <v>1774</v>
      </c>
      <c r="C1180" s="12">
        <v>33051</v>
      </c>
      <c r="D1180" s="12" t="s">
        <v>6047</v>
      </c>
      <c r="E1180" s="12" t="s">
        <v>10910</v>
      </c>
      <c r="F1180" s="12" t="s">
        <v>10911</v>
      </c>
      <c r="G1180" s="12" t="s">
        <v>10912</v>
      </c>
      <c r="H1180" s="12" t="s">
        <v>6051</v>
      </c>
      <c r="I1180" s="12" t="s">
        <v>6374</v>
      </c>
      <c r="J1180" s="12">
        <v>33051</v>
      </c>
      <c r="K1180" s="12" t="s">
        <v>7260</v>
      </c>
      <c r="L1180" s="12" t="s">
        <v>7261</v>
      </c>
      <c r="M1180" s="13">
        <v>40879</v>
      </c>
      <c r="N1180" s="12" t="s">
        <v>7262</v>
      </c>
      <c r="O1180" s="12" t="s">
        <v>7263</v>
      </c>
      <c r="P1180" s="12"/>
      <c r="Q1180" s="12">
        <v>1</v>
      </c>
    </row>
    <row r="1181" spans="1:17" ht="15.75" customHeight="1">
      <c r="A1181" s="12">
        <v>562</v>
      </c>
      <c r="B1181" s="12">
        <v>1100</v>
      </c>
      <c r="C1181" s="12">
        <v>15866</v>
      </c>
      <c r="D1181" s="12" t="s">
        <v>6047</v>
      </c>
      <c r="E1181" s="12" t="s">
        <v>10913</v>
      </c>
      <c r="F1181" s="12" t="s">
        <v>10914</v>
      </c>
      <c r="G1181" s="12" t="s">
        <v>10915</v>
      </c>
      <c r="H1181" s="12" t="s">
        <v>6051</v>
      </c>
      <c r="I1181" s="12" t="s">
        <v>6406</v>
      </c>
      <c r="J1181" s="12">
        <v>15866</v>
      </c>
      <c r="K1181" s="12" t="s">
        <v>6464</v>
      </c>
      <c r="L1181" s="12" t="s">
        <v>6408</v>
      </c>
      <c r="M1181" s="13">
        <v>43562</v>
      </c>
      <c r="N1181" s="12" t="s">
        <v>6465</v>
      </c>
      <c r="O1181" s="12" t="s">
        <v>6466</v>
      </c>
      <c r="P1181" s="12"/>
      <c r="Q1181" s="12">
        <v>1</v>
      </c>
    </row>
    <row r="1182" spans="1:17" ht="15.75" customHeight="1">
      <c r="A1182" s="12">
        <v>1037</v>
      </c>
      <c r="B1182" s="12">
        <v>948</v>
      </c>
      <c r="C1182" s="12">
        <v>12836</v>
      </c>
      <c r="D1182" s="12" t="s">
        <v>6047</v>
      </c>
      <c r="E1182" s="12" t="s">
        <v>10916</v>
      </c>
      <c r="F1182" s="12" t="s">
        <v>10917</v>
      </c>
      <c r="G1182" s="12" t="s">
        <v>10918</v>
      </c>
      <c r="H1182" s="12" t="s">
        <v>6627</v>
      </c>
      <c r="I1182" s="12" t="s">
        <v>7504</v>
      </c>
      <c r="J1182" s="12">
        <v>12836</v>
      </c>
      <c r="K1182" s="12" t="s">
        <v>8971</v>
      </c>
      <c r="L1182" s="12" t="s">
        <v>6504</v>
      </c>
      <c r="M1182" s="13">
        <v>42688</v>
      </c>
      <c r="N1182" s="12" t="s">
        <v>8972</v>
      </c>
      <c r="O1182" s="12" t="s">
        <v>8973</v>
      </c>
      <c r="P1182" s="12"/>
      <c r="Q1182" s="12">
        <v>1</v>
      </c>
    </row>
    <row r="1183" spans="1:17" ht="15.75" customHeight="1">
      <c r="A1183" s="12">
        <v>928</v>
      </c>
      <c r="B1183" s="12">
        <v>1827</v>
      </c>
      <c r="C1183" s="12">
        <v>33698</v>
      </c>
      <c r="D1183" s="12" t="s">
        <v>6047</v>
      </c>
      <c r="E1183" s="12" t="s">
        <v>10919</v>
      </c>
      <c r="F1183" s="12" t="s">
        <v>10920</v>
      </c>
      <c r="G1183" s="12" t="s">
        <v>10921</v>
      </c>
      <c r="H1183" s="12" t="s">
        <v>6051</v>
      </c>
      <c r="I1183" s="12" t="s">
        <v>6261</v>
      </c>
      <c r="J1183" s="12">
        <v>33698</v>
      </c>
      <c r="K1183" s="12" t="s">
        <v>10922</v>
      </c>
      <c r="L1183" s="12" t="s">
        <v>6955</v>
      </c>
      <c r="M1183" s="13">
        <v>42828</v>
      </c>
      <c r="N1183" s="12" t="s">
        <v>10923</v>
      </c>
      <c r="O1183" s="12" t="s">
        <v>10924</v>
      </c>
      <c r="P1183" s="12"/>
      <c r="Q1183" s="12">
        <v>1</v>
      </c>
    </row>
    <row r="1184" spans="1:17" ht="15.75" customHeight="1">
      <c r="A1184" s="12">
        <v>1104</v>
      </c>
      <c r="B1184" s="12">
        <v>1860</v>
      </c>
      <c r="C1184" s="12">
        <v>33973</v>
      </c>
      <c r="D1184" s="12" t="s">
        <v>6047</v>
      </c>
      <c r="E1184" s="12" t="s">
        <v>10925</v>
      </c>
      <c r="F1184" s="12" t="s">
        <v>10926</v>
      </c>
      <c r="G1184" s="12" t="s">
        <v>10927</v>
      </c>
      <c r="H1184" s="12" t="s">
        <v>6051</v>
      </c>
      <c r="I1184" s="12" t="s">
        <v>6362</v>
      </c>
      <c r="J1184" s="12">
        <v>33973</v>
      </c>
      <c r="K1184" s="12" t="s">
        <v>7397</v>
      </c>
      <c r="L1184" s="12" t="s">
        <v>6284</v>
      </c>
      <c r="M1184" s="13">
        <v>42644</v>
      </c>
      <c r="N1184" s="12" t="s">
        <v>7398</v>
      </c>
      <c r="O1184" s="12" t="s">
        <v>10928</v>
      </c>
      <c r="P1184" s="12"/>
      <c r="Q1184" s="12">
        <v>1</v>
      </c>
    </row>
    <row r="1185" spans="1:17" ht="15.75" customHeight="1">
      <c r="A1185" s="12">
        <v>2024</v>
      </c>
      <c r="B1185" s="12">
        <v>841</v>
      </c>
      <c r="C1185" s="12">
        <v>10790</v>
      </c>
      <c r="D1185" s="12" t="s">
        <v>6047</v>
      </c>
      <c r="E1185" s="12" t="s">
        <v>3430</v>
      </c>
      <c r="F1185" s="12" t="s">
        <v>10929</v>
      </c>
      <c r="G1185" s="12" t="s">
        <v>10930</v>
      </c>
      <c r="H1185" s="12" t="s">
        <v>6060</v>
      </c>
      <c r="I1185" s="12" t="s">
        <v>10931</v>
      </c>
      <c r="J1185" s="12">
        <v>10790</v>
      </c>
      <c r="K1185" s="12" t="s">
        <v>7483</v>
      </c>
      <c r="L1185" s="12" t="s">
        <v>7484</v>
      </c>
      <c r="M1185" s="13">
        <v>38178</v>
      </c>
      <c r="N1185" s="12" t="s">
        <v>7485</v>
      </c>
      <c r="O1185" s="12" t="s">
        <v>7486</v>
      </c>
      <c r="P1185" s="12"/>
      <c r="Q1185" s="12">
        <v>1</v>
      </c>
    </row>
    <row r="1186" spans="1:17" ht="15.75" customHeight="1">
      <c r="A1186" s="12">
        <v>322</v>
      </c>
      <c r="B1186" s="12">
        <v>970</v>
      </c>
      <c r="C1186" s="12">
        <v>13097</v>
      </c>
      <c r="D1186" s="12" t="s">
        <v>6047</v>
      </c>
      <c r="E1186" s="12" t="s">
        <v>10932</v>
      </c>
      <c r="F1186" s="12" t="s">
        <v>10933</v>
      </c>
      <c r="G1186" s="12" t="s">
        <v>10934</v>
      </c>
      <c r="H1186" s="12" t="s">
        <v>6627</v>
      </c>
      <c r="I1186" s="12" t="s">
        <v>7504</v>
      </c>
      <c r="J1186" s="12">
        <v>13097</v>
      </c>
      <c r="K1186" s="12" t="s">
        <v>10935</v>
      </c>
      <c r="L1186" s="12" t="s">
        <v>6732</v>
      </c>
      <c r="M1186" s="13">
        <v>44727</v>
      </c>
      <c r="N1186" s="12" t="s">
        <v>10936</v>
      </c>
      <c r="O1186" s="12" t="s">
        <v>10937</v>
      </c>
      <c r="P1186" s="12"/>
      <c r="Q1186" s="12">
        <v>1</v>
      </c>
    </row>
    <row r="1187" spans="1:17" ht="15.75" customHeight="1">
      <c r="A1187" s="12">
        <v>1358</v>
      </c>
      <c r="B1187" s="12">
        <v>1713</v>
      </c>
      <c r="C1187" s="12">
        <v>31931</v>
      </c>
      <c r="D1187" s="12" t="s">
        <v>6047</v>
      </c>
      <c r="E1187" s="12" t="s">
        <v>10938</v>
      </c>
      <c r="F1187" s="12" t="s">
        <v>10939</v>
      </c>
      <c r="G1187" s="12" t="s">
        <v>10940</v>
      </c>
      <c r="H1187" s="12" t="s">
        <v>6051</v>
      </c>
      <c r="I1187" s="12" t="s">
        <v>6178</v>
      </c>
      <c r="J1187" s="12">
        <v>31931</v>
      </c>
      <c r="K1187" s="12" t="s">
        <v>6077</v>
      </c>
      <c r="L1187" s="12" t="s">
        <v>6078</v>
      </c>
      <c r="M1187" s="13">
        <v>41915</v>
      </c>
      <c r="N1187" s="12" t="s">
        <v>6079</v>
      </c>
      <c r="O1187" s="12" t="s">
        <v>7172</v>
      </c>
      <c r="P1187" s="12"/>
      <c r="Q1187" s="12">
        <v>1</v>
      </c>
    </row>
    <row r="1188" spans="1:17" ht="15.75" customHeight="1">
      <c r="A1188" s="12">
        <v>737</v>
      </c>
      <c r="B1188" s="12">
        <v>960</v>
      </c>
      <c r="C1188" s="12">
        <v>12970</v>
      </c>
      <c r="D1188" s="12" t="s">
        <v>6047</v>
      </c>
      <c r="E1188" s="12" t="s">
        <v>10941</v>
      </c>
      <c r="F1188" s="12" t="s">
        <v>10942</v>
      </c>
      <c r="G1188" s="12" t="s">
        <v>10943</v>
      </c>
      <c r="H1188" s="12" t="s">
        <v>6627</v>
      </c>
      <c r="I1188" s="12" t="s">
        <v>7504</v>
      </c>
      <c r="J1188" s="12">
        <v>12970</v>
      </c>
      <c r="K1188" s="12" t="s">
        <v>6838</v>
      </c>
      <c r="L1188" s="12" t="s">
        <v>6839</v>
      </c>
      <c r="M1188" s="13">
        <v>43197</v>
      </c>
      <c r="N1188" s="12" t="s">
        <v>6840</v>
      </c>
      <c r="O1188" s="12" t="s">
        <v>6841</v>
      </c>
      <c r="P1188" s="12"/>
      <c r="Q1188" s="12">
        <v>1</v>
      </c>
    </row>
    <row r="1189" spans="1:17" ht="15.75" customHeight="1">
      <c r="A1189" s="12">
        <v>1670</v>
      </c>
      <c r="B1189" s="12">
        <v>1824</v>
      </c>
      <c r="C1189" s="12">
        <v>33679</v>
      </c>
      <c r="D1189" s="12" t="s">
        <v>6047</v>
      </c>
      <c r="E1189" s="12" t="s">
        <v>10944</v>
      </c>
      <c r="F1189" s="12" t="s">
        <v>10945</v>
      </c>
      <c r="G1189" s="12" t="s">
        <v>10946</v>
      </c>
      <c r="H1189" s="12" t="s">
        <v>6051</v>
      </c>
      <c r="I1189" s="12" t="s">
        <v>6261</v>
      </c>
      <c r="J1189" s="12">
        <v>33679</v>
      </c>
      <c r="K1189" s="12" t="s">
        <v>8480</v>
      </c>
      <c r="L1189" s="12" t="s">
        <v>7261</v>
      </c>
      <c r="M1189" s="13">
        <v>40880</v>
      </c>
      <c r="N1189" s="12" t="s">
        <v>8481</v>
      </c>
      <c r="O1189" s="12" t="s">
        <v>8482</v>
      </c>
      <c r="P1189" s="12"/>
      <c r="Q1189" s="12">
        <v>1</v>
      </c>
    </row>
    <row r="1190" spans="1:17" ht="15.75" customHeight="1">
      <c r="A1190" s="12">
        <v>149</v>
      </c>
      <c r="B1190" s="12">
        <v>2031</v>
      </c>
      <c r="C1190" s="12">
        <v>35799</v>
      </c>
      <c r="D1190" s="12" t="s">
        <v>6047</v>
      </c>
      <c r="E1190" s="12" t="s">
        <v>10947</v>
      </c>
      <c r="F1190" s="12" t="s">
        <v>10948</v>
      </c>
      <c r="G1190" s="12" t="s">
        <v>10949</v>
      </c>
      <c r="H1190" s="12" t="s">
        <v>6051</v>
      </c>
      <c r="I1190" s="12" t="s">
        <v>6700</v>
      </c>
      <c r="J1190" s="12">
        <v>35799</v>
      </c>
      <c r="K1190" s="12" t="s">
        <v>7891</v>
      </c>
      <c r="L1190" s="12" t="s">
        <v>6760</v>
      </c>
      <c r="M1190" s="13">
        <v>45756</v>
      </c>
      <c r="N1190" s="12" t="s">
        <v>7892</v>
      </c>
      <c r="O1190" s="12" t="s">
        <v>7893</v>
      </c>
      <c r="P1190" s="12"/>
      <c r="Q1190" s="12">
        <v>1</v>
      </c>
    </row>
    <row r="1191" spans="1:17" ht="15.75" customHeight="1">
      <c r="A1191" s="12">
        <v>571</v>
      </c>
      <c r="B1191" s="12">
        <v>1151</v>
      </c>
      <c r="C1191" s="12">
        <v>16535</v>
      </c>
      <c r="D1191" s="12" t="s">
        <v>6047</v>
      </c>
      <c r="E1191" s="12" t="s">
        <v>10950</v>
      </c>
      <c r="F1191" s="12" t="s">
        <v>10951</v>
      </c>
      <c r="G1191" s="12" t="s">
        <v>10952</v>
      </c>
      <c r="H1191" s="12" t="s">
        <v>6051</v>
      </c>
      <c r="I1191" s="12" t="s">
        <v>6052</v>
      </c>
      <c r="J1191" s="12">
        <v>16535</v>
      </c>
      <c r="K1191" s="12" t="s">
        <v>6407</v>
      </c>
      <c r="L1191" s="12" t="s">
        <v>6408</v>
      </c>
      <c r="M1191" s="13">
        <v>43561</v>
      </c>
      <c r="N1191" s="12" t="s">
        <v>6409</v>
      </c>
      <c r="O1191" s="12" t="s">
        <v>6785</v>
      </c>
      <c r="P1191" s="12"/>
      <c r="Q1191" s="12">
        <v>1</v>
      </c>
    </row>
    <row r="1192" spans="1:17" ht="15.75" customHeight="1">
      <c r="A1192" s="12">
        <v>1836</v>
      </c>
      <c r="B1192" s="12">
        <v>664</v>
      </c>
      <c r="C1192" s="12">
        <v>8025</v>
      </c>
      <c r="D1192" s="12" t="s">
        <v>6047</v>
      </c>
      <c r="E1192" s="12" t="s">
        <v>10953</v>
      </c>
      <c r="F1192" s="12" t="s">
        <v>10954</v>
      </c>
      <c r="G1192" s="12" t="s">
        <v>10955</v>
      </c>
      <c r="H1192" s="12" t="s">
        <v>6075</v>
      </c>
      <c r="I1192" s="12" t="s">
        <v>6076</v>
      </c>
      <c r="J1192" s="12">
        <v>8025</v>
      </c>
      <c r="K1192" s="12" t="s">
        <v>6062</v>
      </c>
      <c r="L1192" s="12" t="s">
        <v>6063</v>
      </c>
      <c r="M1192" s="13">
        <v>40873</v>
      </c>
      <c r="N1192" s="12" t="s">
        <v>6064</v>
      </c>
      <c r="O1192" s="12" t="s">
        <v>6065</v>
      </c>
      <c r="P1192" s="12"/>
      <c r="Q1192" s="12">
        <v>1</v>
      </c>
    </row>
    <row r="1193" spans="1:17" ht="15.75" customHeight="1">
      <c r="A1193" s="12">
        <v>1732</v>
      </c>
      <c r="B1193" s="12">
        <v>639</v>
      </c>
      <c r="C1193" s="12">
        <v>7832</v>
      </c>
      <c r="D1193" s="12" t="s">
        <v>6047</v>
      </c>
      <c r="E1193" s="12" t="s">
        <v>10956</v>
      </c>
      <c r="F1193" s="12" t="s">
        <v>10957</v>
      </c>
      <c r="G1193" s="12" t="s">
        <v>10958</v>
      </c>
      <c r="H1193" s="12" t="s">
        <v>6075</v>
      </c>
      <c r="I1193" s="12" t="s">
        <v>10959</v>
      </c>
      <c r="J1193" s="12">
        <v>7832</v>
      </c>
      <c r="K1193" s="12" t="s">
        <v>7000</v>
      </c>
      <c r="L1193" s="12" t="s">
        <v>7001</v>
      </c>
      <c r="M1193" s="13">
        <v>40875</v>
      </c>
      <c r="N1193" s="12" t="s">
        <v>7002</v>
      </c>
      <c r="O1193" s="12" t="s">
        <v>7003</v>
      </c>
      <c r="P1193" s="12"/>
      <c r="Q1193" s="12">
        <v>1</v>
      </c>
    </row>
    <row r="1194" spans="1:17" ht="15.75" customHeight="1">
      <c r="A1194" s="12">
        <v>1502</v>
      </c>
      <c r="B1194" s="12">
        <v>1850</v>
      </c>
      <c r="C1194" s="12">
        <v>33946</v>
      </c>
      <c r="D1194" s="12" t="s">
        <v>6047</v>
      </c>
      <c r="E1194" s="12" t="s">
        <v>10960</v>
      </c>
      <c r="F1194" s="12" t="s">
        <v>10961</v>
      </c>
      <c r="G1194" s="12" t="s">
        <v>10962</v>
      </c>
      <c r="H1194" s="12" t="s">
        <v>6051</v>
      </c>
      <c r="I1194" s="12" t="s">
        <v>6362</v>
      </c>
      <c r="J1194" s="12">
        <v>33946</v>
      </c>
      <c r="K1194" s="12" t="s">
        <v>8379</v>
      </c>
      <c r="L1194" s="12" t="s">
        <v>6284</v>
      </c>
      <c r="M1194" s="13">
        <v>41783</v>
      </c>
      <c r="N1194" s="12" t="s">
        <v>8380</v>
      </c>
      <c r="O1194" s="12" t="s">
        <v>8381</v>
      </c>
      <c r="P1194" s="12"/>
      <c r="Q1194" s="12">
        <v>1</v>
      </c>
    </row>
    <row r="1195" spans="1:17" ht="15.75" customHeight="1">
      <c r="A1195" s="12">
        <v>903</v>
      </c>
      <c r="B1195" s="12">
        <v>997</v>
      </c>
      <c r="C1195" s="12">
        <v>13723</v>
      </c>
      <c r="D1195" s="12" t="s">
        <v>6047</v>
      </c>
      <c r="E1195" s="12" t="s">
        <v>10963</v>
      </c>
      <c r="F1195" s="12" t="s">
        <v>10964</v>
      </c>
      <c r="G1195" s="12" t="s">
        <v>10965</v>
      </c>
      <c r="H1195" s="12" t="s">
        <v>6051</v>
      </c>
      <c r="I1195" s="12" t="s">
        <v>6741</v>
      </c>
      <c r="J1195" s="12">
        <v>13723</v>
      </c>
      <c r="K1195" s="12" t="s">
        <v>8672</v>
      </c>
      <c r="L1195" s="12" t="s">
        <v>6955</v>
      </c>
      <c r="M1195" s="13">
        <v>42832</v>
      </c>
      <c r="N1195" s="12" t="s">
        <v>8673</v>
      </c>
      <c r="O1195" s="12" t="s">
        <v>10966</v>
      </c>
      <c r="P1195" s="12"/>
      <c r="Q1195" s="12">
        <v>1</v>
      </c>
    </row>
    <row r="1196" spans="1:17" ht="15.75" customHeight="1">
      <c r="A1196" s="12">
        <v>893</v>
      </c>
      <c r="B1196" s="12">
        <v>40</v>
      </c>
      <c r="C1196" s="12">
        <v>534</v>
      </c>
      <c r="D1196" s="12" t="s">
        <v>6047</v>
      </c>
      <c r="E1196" s="12" t="s">
        <v>3488</v>
      </c>
      <c r="F1196" s="12" t="s">
        <v>10967</v>
      </c>
      <c r="G1196" s="12" t="s">
        <v>10968</v>
      </c>
      <c r="H1196" s="12" t="s">
        <v>6289</v>
      </c>
      <c r="I1196" s="12" t="s">
        <v>6290</v>
      </c>
      <c r="J1196" s="12">
        <v>534</v>
      </c>
      <c r="K1196" s="12" t="s">
        <v>6569</v>
      </c>
      <c r="L1196" s="12" t="s">
        <v>6564</v>
      </c>
      <c r="M1196" s="13">
        <v>43015</v>
      </c>
      <c r="N1196" s="12" t="s">
        <v>6570</v>
      </c>
      <c r="O1196" s="12" t="s">
        <v>6623</v>
      </c>
      <c r="P1196" s="12"/>
      <c r="Q1196" s="12">
        <v>1</v>
      </c>
    </row>
    <row r="1197" spans="1:17" ht="15.75" customHeight="1">
      <c r="A1197" s="12">
        <v>660</v>
      </c>
      <c r="B1197" s="12">
        <v>397</v>
      </c>
      <c r="C1197" s="12">
        <v>5816</v>
      </c>
      <c r="D1197" s="12" t="s">
        <v>6047</v>
      </c>
      <c r="E1197" s="12" t="s">
        <v>10969</v>
      </c>
      <c r="F1197" s="12" t="s">
        <v>10970</v>
      </c>
      <c r="G1197" s="12" t="s">
        <v>10971</v>
      </c>
      <c r="H1197" s="12" t="s">
        <v>6137</v>
      </c>
      <c r="I1197" s="12" t="s">
        <v>6323</v>
      </c>
      <c r="J1197" s="12">
        <v>5816</v>
      </c>
      <c r="K1197" s="12" t="s">
        <v>6192</v>
      </c>
      <c r="L1197" s="12" t="s">
        <v>6193</v>
      </c>
      <c r="M1197" s="13">
        <v>43401</v>
      </c>
      <c r="N1197" s="12" t="s">
        <v>6194</v>
      </c>
      <c r="O1197" s="12" t="s">
        <v>6195</v>
      </c>
      <c r="P1197" s="12"/>
      <c r="Q1197" s="12">
        <v>1</v>
      </c>
    </row>
    <row r="1198" spans="1:17" ht="15.75" customHeight="1">
      <c r="A1198" s="12">
        <v>820</v>
      </c>
      <c r="B1198" s="12">
        <v>489</v>
      </c>
      <c r="C1198" s="12">
        <v>6506</v>
      </c>
      <c r="D1198" s="12" t="s">
        <v>6047</v>
      </c>
      <c r="E1198" s="12" t="s">
        <v>10972</v>
      </c>
      <c r="F1198" s="12" t="s">
        <v>10973</v>
      </c>
      <c r="G1198" s="12" t="s">
        <v>10974</v>
      </c>
      <c r="H1198" s="12" t="s">
        <v>6137</v>
      </c>
      <c r="I1198" s="12" t="s">
        <v>6200</v>
      </c>
      <c r="J1198" s="12">
        <v>6506</v>
      </c>
      <c r="K1198" s="12" t="s">
        <v>10975</v>
      </c>
      <c r="L1198" s="12" t="s">
        <v>6590</v>
      </c>
      <c r="M1198" s="13">
        <v>43026</v>
      </c>
      <c r="N1198" s="12" t="s">
        <v>10976</v>
      </c>
      <c r="O1198" s="12" t="s">
        <v>10977</v>
      </c>
      <c r="P1198" s="12"/>
      <c r="Q1198" s="12">
        <v>1</v>
      </c>
    </row>
    <row r="1199" spans="1:17" ht="15.75" customHeight="1">
      <c r="A1199" s="12">
        <v>799</v>
      </c>
      <c r="B1199" s="12">
        <v>618</v>
      </c>
      <c r="C1199" s="12">
        <v>7728</v>
      </c>
      <c r="D1199" s="12" t="s">
        <v>6047</v>
      </c>
      <c r="E1199" s="12" t="s">
        <v>10978</v>
      </c>
      <c r="F1199" s="12" t="s">
        <v>10979</v>
      </c>
      <c r="G1199" s="12" t="s">
        <v>10980</v>
      </c>
      <c r="H1199" s="12" t="s">
        <v>6187</v>
      </c>
      <c r="I1199" s="12" t="s">
        <v>6224</v>
      </c>
      <c r="J1199" s="12">
        <v>7728</v>
      </c>
      <c r="K1199" s="12" t="s">
        <v>8918</v>
      </c>
      <c r="L1199" s="12" t="s">
        <v>6590</v>
      </c>
      <c r="M1199" s="13">
        <v>43031</v>
      </c>
      <c r="N1199" s="12" t="s">
        <v>8919</v>
      </c>
      <c r="O1199" s="12" t="s">
        <v>8920</v>
      </c>
      <c r="P1199" s="12"/>
      <c r="Q1199" s="12">
        <v>1</v>
      </c>
    </row>
    <row r="1200" spans="1:17" ht="15.75" customHeight="1">
      <c r="A1200" s="12">
        <v>534</v>
      </c>
      <c r="B1200" s="12">
        <v>1056</v>
      </c>
      <c r="C1200" s="12">
        <v>15036</v>
      </c>
      <c r="D1200" s="12" t="s">
        <v>6047</v>
      </c>
      <c r="E1200" s="12" t="s">
        <v>10981</v>
      </c>
      <c r="F1200" s="12" t="s">
        <v>10982</v>
      </c>
      <c r="G1200" s="12" t="s">
        <v>10983</v>
      </c>
      <c r="H1200" s="12" t="s">
        <v>6051</v>
      </c>
      <c r="I1200" s="12" t="s">
        <v>6476</v>
      </c>
      <c r="J1200" s="12">
        <v>15036</v>
      </c>
      <c r="K1200" s="12" t="s">
        <v>7441</v>
      </c>
      <c r="L1200" s="12" t="s">
        <v>6408</v>
      </c>
      <c r="M1200" s="13">
        <v>43564</v>
      </c>
      <c r="N1200" s="12" t="s">
        <v>7442</v>
      </c>
      <c r="O1200" s="12" t="s">
        <v>10984</v>
      </c>
      <c r="P1200" s="12"/>
      <c r="Q1200" s="12">
        <v>1</v>
      </c>
    </row>
    <row r="1201" spans="1:17" ht="15.75" customHeight="1">
      <c r="A1201" s="12">
        <v>678</v>
      </c>
      <c r="B1201" s="12">
        <v>534</v>
      </c>
      <c r="C1201" s="12">
        <v>6931</v>
      </c>
      <c r="D1201" s="12" t="s">
        <v>6047</v>
      </c>
      <c r="E1201" s="12" t="s">
        <v>3478</v>
      </c>
      <c r="F1201" s="12" t="s">
        <v>10985</v>
      </c>
      <c r="G1201" s="12" t="s">
        <v>10986</v>
      </c>
      <c r="H1201" s="12" t="s">
        <v>8414</v>
      </c>
      <c r="I1201" s="12" t="s">
        <v>8415</v>
      </c>
      <c r="J1201" s="12">
        <v>6931</v>
      </c>
      <c r="K1201" s="12" t="s">
        <v>6530</v>
      </c>
      <c r="L1201" s="12" t="s">
        <v>6531</v>
      </c>
      <c r="M1201" s="13">
        <v>43281</v>
      </c>
      <c r="N1201" s="12" t="s">
        <v>6532</v>
      </c>
      <c r="O1201" s="12" t="s">
        <v>6533</v>
      </c>
      <c r="P1201" s="12"/>
      <c r="Q1201" s="12">
        <v>1</v>
      </c>
    </row>
    <row r="1202" spans="1:17" ht="15.75" customHeight="1">
      <c r="A1202" s="12">
        <v>353</v>
      </c>
      <c r="B1202" s="12">
        <v>728</v>
      </c>
      <c r="C1202" s="12">
        <v>8852</v>
      </c>
      <c r="D1202" s="12" t="s">
        <v>6047</v>
      </c>
      <c r="E1202" s="12" t="s">
        <v>10987</v>
      </c>
      <c r="F1202" s="12" t="s">
        <v>10988</v>
      </c>
      <c r="G1202" s="12" t="s">
        <v>10989</v>
      </c>
      <c r="H1202" s="12" t="s">
        <v>6275</v>
      </c>
      <c r="I1202" s="12" t="s">
        <v>6453</v>
      </c>
      <c r="J1202" s="12">
        <v>8852</v>
      </c>
      <c r="K1202" s="12" t="s">
        <v>6225</v>
      </c>
      <c r="L1202" s="12" t="s">
        <v>6226</v>
      </c>
      <c r="M1202" s="13">
        <v>44723</v>
      </c>
      <c r="N1202" s="12" t="s">
        <v>6227</v>
      </c>
      <c r="O1202" s="12" t="s">
        <v>6228</v>
      </c>
      <c r="P1202" s="12"/>
      <c r="Q1202" s="12">
        <v>1</v>
      </c>
    </row>
    <row r="1203" spans="1:17" ht="15.75" customHeight="1">
      <c r="A1203" s="12">
        <v>1533</v>
      </c>
      <c r="B1203" s="12">
        <v>1538</v>
      </c>
      <c r="C1203" s="12">
        <v>27288</v>
      </c>
      <c r="D1203" s="12" t="s">
        <v>6047</v>
      </c>
      <c r="E1203" s="12" t="s">
        <v>10990</v>
      </c>
      <c r="F1203" s="12" t="s">
        <v>10991</v>
      </c>
      <c r="G1203" s="12" t="s">
        <v>10992</v>
      </c>
      <c r="H1203" s="12" t="s">
        <v>6051</v>
      </c>
      <c r="I1203" s="12" t="s">
        <v>6704</v>
      </c>
      <c r="J1203" s="12">
        <v>27288</v>
      </c>
      <c r="K1203" s="12" t="s">
        <v>10993</v>
      </c>
      <c r="L1203" s="12" t="s">
        <v>6255</v>
      </c>
      <c r="M1203" s="13">
        <v>41569</v>
      </c>
      <c r="N1203" s="12" t="s">
        <v>10994</v>
      </c>
      <c r="O1203" s="12" t="s">
        <v>10995</v>
      </c>
      <c r="P1203" s="12"/>
      <c r="Q1203" s="12">
        <v>1</v>
      </c>
    </row>
    <row r="1204" spans="1:17" ht="15.75" customHeight="1">
      <c r="A1204" s="12">
        <v>971</v>
      </c>
      <c r="B1204" s="12">
        <v>1929</v>
      </c>
      <c r="C1204" s="12">
        <v>34621</v>
      </c>
      <c r="D1204" s="12" t="s">
        <v>6047</v>
      </c>
      <c r="E1204" s="12" t="s">
        <v>10996</v>
      </c>
      <c r="F1204" s="12" t="s">
        <v>10997</v>
      </c>
      <c r="G1204" s="12" t="s">
        <v>10998</v>
      </c>
      <c r="H1204" s="12" t="s">
        <v>6051</v>
      </c>
      <c r="I1204" s="12" t="s">
        <v>7034</v>
      </c>
      <c r="J1204" s="12">
        <v>34621</v>
      </c>
      <c r="K1204" s="12" t="s">
        <v>7376</v>
      </c>
      <c r="L1204" s="12" t="s">
        <v>6054</v>
      </c>
      <c r="M1204" s="13">
        <v>42824</v>
      </c>
      <c r="N1204" s="12" t="s">
        <v>7377</v>
      </c>
      <c r="O1204" s="12" t="s">
        <v>10999</v>
      </c>
      <c r="P1204" s="12"/>
      <c r="Q1204" s="12">
        <v>1</v>
      </c>
    </row>
    <row r="1205" spans="1:17" ht="15.75" customHeight="1">
      <c r="A1205" s="12">
        <v>53</v>
      </c>
      <c r="B1205" s="12">
        <v>465</v>
      </c>
      <c r="C1205" s="12">
        <v>6297</v>
      </c>
      <c r="D1205" s="12" t="s">
        <v>6047</v>
      </c>
      <c r="E1205" s="12" t="s">
        <v>11000</v>
      </c>
      <c r="F1205" s="12" t="s">
        <v>11001</v>
      </c>
      <c r="G1205" s="12" t="s">
        <v>11002</v>
      </c>
      <c r="H1205" s="12" t="s">
        <v>6137</v>
      </c>
      <c r="I1205" s="12" t="s">
        <v>10290</v>
      </c>
      <c r="J1205" s="12">
        <v>6297</v>
      </c>
      <c r="K1205" s="12" t="s">
        <v>7175</v>
      </c>
      <c r="L1205" s="12" t="s">
        <v>6590</v>
      </c>
      <c r="M1205" s="13">
        <v>45973</v>
      </c>
      <c r="N1205" s="12" t="s">
        <v>7176</v>
      </c>
      <c r="O1205" s="12" t="s">
        <v>7177</v>
      </c>
      <c r="P1205" s="12"/>
      <c r="Q1205" s="12">
        <v>1</v>
      </c>
    </row>
    <row r="1206" spans="1:17" ht="15.75" customHeight="1">
      <c r="A1206" s="12">
        <v>72</v>
      </c>
      <c r="B1206" s="12">
        <v>1282</v>
      </c>
      <c r="C1206" s="12">
        <v>18179</v>
      </c>
      <c r="D1206" s="12" t="s">
        <v>6047</v>
      </c>
      <c r="E1206" s="12" t="s">
        <v>3515</v>
      </c>
      <c r="F1206" s="12" t="s">
        <v>11003</v>
      </c>
      <c r="G1206" s="12" t="s">
        <v>11004</v>
      </c>
      <c r="H1206" s="12" t="s">
        <v>6051</v>
      </c>
      <c r="I1206" s="12" t="s">
        <v>6857</v>
      </c>
      <c r="J1206" s="12">
        <v>18179</v>
      </c>
      <c r="K1206" s="12" t="s">
        <v>9415</v>
      </c>
      <c r="L1206" s="12" t="s">
        <v>6564</v>
      </c>
      <c r="M1206" s="13">
        <v>45971</v>
      </c>
      <c r="N1206" s="12" t="s">
        <v>9416</v>
      </c>
      <c r="O1206" s="12" t="s">
        <v>9417</v>
      </c>
      <c r="P1206" s="12"/>
      <c r="Q1206" s="12">
        <v>1</v>
      </c>
    </row>
    <row r="1207" spans="1:17" ht="15.75" customHeight="1">
      <c r="A1207" s="12">
        <v>1943</v>
      </c>
      <c r="B1207" s="12">
        <v>674</v>
      </c>
      <c r="C1207" s="12">
        <v>8111</v>
      </c>
      <c r="D1207" s="12" t="s">
        <v>6047</v>
      </c>
      <c r="E1207" s="12" t="s">
        <v>11005</v>
      </c>
      <c r="F1207" s="12" t="s">
        <v>11006</v>
      </c>
      <c r="G1207" s="12" t="s">
        <v>11007</v>
      </c>
      <c r="H1207" s="12" t="s">
        <v>6075</v>
      </c>
      <c r="I1207" s="12" t="s">
        <v>6076</v>
      </c>
      <c r="J1207" s="12">
        <v>8111</v>
      </c>
      <c r="K1207" s="12" t="s">
        <v>7276</v>
      </c>
      <c r="L1207" s="12" t="s">
        <v>7277</v>
      </c>
      <c r="M1207" s="13">
        <v>39234</v>
      </c>
      <c r="N1207" s="12" t="s">
        <v>7278</v>
      </c>
      <c r="O1207" s="12" t="s">
        <v>7279</v>
      </c>
      <c r="P1207" s="12"/>
      <c r="Q1207" s="12">
        <v>1</v>
      </c>
    </row>
    <row r="1208" spans="1:17" ht="15.75" customHeight="1">
      <c r="A1208" s="12">
        <v>1409</v>
      </c>
      <c r="B1208" s="12">
        <v>1633</v>
      </c>
      <c r="C1208" s="12">
        <v>28862</v>
      </c>
      <c r="D1208" s="12" t="s">
        <v>6047</v>
      </c>
      <c r="E1208" s="12" t="s">
        <v>3518</v>
      </c>
      <c r="F1208" s="12" t="s">
        <v>11008</v>
      </c>
      <c r="G1208" s="12" t="s">
        <v>11009</v>
      </c>
      <c r="H1208" s="12" t="s">
        <v>6051</v>
      </c>
      <c r="I1208" s="12" t="s">
        <v>6111</v>
      </c>
      <c r="J1208" s="12">
        <v>28862</v>
      </c>
      <c r="K1208" s="12" t="s">
        <v>6086</v>
      </c>
      <c r="L1208" s="12" t="s">
        <v>6087</v>
      </c>
      <c r="M1208" s="13">
        <v>41910</v>
      </c>
      <c r="N1208" s="12" t="s">
        <v>6088</v>
      </c>
      <c r="O1208" s="12" t="s">
        <v>6089</v>
      </c>
      <c r="P1208" s="12"/>
      <c r="Q1208" s="12">
        <v>1</v>
      </c>
    </row>
    <row r="1209" spans="1:17" ht="15.75" customHeight="1">
      <c r="A1209" s="12">
        <v>927</v>
      </c>
      <c r="B1209" s="12">
        <v>236</v>
      </c>
      <c r="C1209" s="12">
        <v>4295</v>
      </c>
      <c r="D1209" s="12" t="s">
        <v>6047</v>
      </c>
      <c r="E1209" s="12" t="s">
        <v>11010</v>
      </c>
      <c r="F1209" s="12" t="s">
        <v>11011</v>
      </c>
      <c r="G1209" s="12" t="s">
        <v>11012</v>
      </c>
      <c r="H1209" s="12" t="s">
        <v>6163</v>
      </c>
      <c r="I1209" s="12" t="s">
        <v>6253</v>
      </c>
      <c r="J1209" s="12">
        <v>4295</v>
      </c>
      <c r="K1209" s="12" t="s">
        <v>7209</v>
      </c>
      <c r="L1209" s="12" t="s">
        <v>6955</v>
      </c>
      <c r="M1209" s="13">
        <v>42829</v>
      </c>
      <c r="N1209" s="12" t="s">
        <v>7210</v>
      </c>
      <c r="O1209" s="12" t="s">
        <v>7211</v>
      </c>
      <c r="P1209" s="12"/>
      <c r="Q1209" s="12">
        <v>1</v>
      </c>
    </row>
    <row r="1210" spans="1:17" ht="15.75" customHeight="1">
      <c r="A1210" s="12">
        <v>473</v>
      </c>
      <c r="B1210" s="12">
        <v>1030</v>
      </c>
      <c r="C1210" s="12">
        <v>14453</v>
      </c>
      <c r="D1210" s="12" t="s">
        <v>6047</v>
      </c>
      <c r="E1210" s="12" t="s">
        <v>11013</v>
      </c>
      <c r="F1210" s="12" t="s">
        <v>11014</v>
      </c>
      <c r="G1210" s="12" t="s">
        <v>11015</v>
      </c>
      <c r="H1210" s="12" t="s">
        <v>6051</v>
      </c>
      <c r="I1210" s="12" t="s">
        <v>10822</v>
      </c>
      <c r="J1210" s="12">
        <v>14453</v>
      </c>
      <c r="K1210" s="12" t="s">
        <v>6454</v>
      </c>
      <c r="L1210" s="12" t="s">
        <v>6455</v>
      </c>
      <c r="M1210" s="13">
        <v>43786</v>
      </c>
      <c r="N1210" s="12" t="s">
        <v>6456</v>
      </c>
      <c r="O1210" s="12" t="s">
        <v>6457</v>
      </c>
      <c r="P1210" s="12"/>
      <c r="Q1210" s="12">
        <v>1</v>
      </c>
    </row>
    <row r="1211" spans="1:17" ht="15.75" customHeight="1">
      <c r="A1211" s="12">
        <v>1824</v>
      </c>
      <c r="B1211" s="12">
        <v>884</v>
      </c>
      <c r="C1211" s="12">
        <v>11562</v>
      </c>
      <c r="D1211" s="12" t="s">
        <v>6047</v>
      </c>
      <c r="E1211" s="12" t="s">
        <v>11016</v>
      </c>
      <c r="F1211" s="12" t="s">
        <v>11017</v>
      </c>
      <c r="G1211" s="12" t="s">
        <v>11018</v>
      </c>
      <c r="H1211" s="12" t="s">
        <v>6060</v>
      </c>
      <c r="I1211" s="12" t="s">
        <v>6061</v>
      </c>
      <c r="J1211" s="12">
        <v>11562</v>
      </c>
      <c r="K1211" s="12" t="s">
        <v>6062</v>
      </c>
      <c r="L1211" s="12" t="s">
        <v>6063</v>
      </c>
      <c r="M1211" s="13">
        <v>40873</v>
      </c>
      <c r="N1211" s="12" t="s">
        <v>6064</v>
      </c>
      <c r="O1211" s="12" t="s">
        <v>6065</v>
      </c>
      <c r="P1211" s="12"/>
      <c r="Q1211" s="12">
        <v>1</v>
      </c>
    </row>
    <row r="1212" spans="1:17" ht="15.75" customHeight="1">
      <c r="A1212" s="12">
        <v>1290</v>
      </c>
      <c r="B1212" s="12">
        <v>1083</v>
      </c>
      <c r="C1212" s="12">
        <v>15617</v>
      </c>
      <c r="D1212" s="12" t="s">
        <v>6047</v>
      </c>
      <c r="E1212" s="12" t="s">
        <v>11019</v>
      </c>
      <c r="F1212" s="12" t="s">
        <v>11020</v>
      </c>
      <c r="G1212" s="12" t="s">
        <v>11021</v>
      </c>
      <c r="H1212" s="12" t="s">
        <v>6051</v>
      </c>
      <c r="I1212" s="12" t="s">
        <v>6476</v>
      </c>
      <c r="J1212" s="12">
        <v>15617</v>
      </c>
      <c r="K1212" s="12" t="s">
        <v>6422</v>
      </c>
      <c r="L1212" s="12" t="s">
        <v>6423</v>
      </c>
      <c r="M1212" s="13">
        <v>41989</v>
      </c>
      <c r="N1212" s="12" t="s">
        <v>6424</v>
      </c>
      <c r="O1212" s="12" t="s">
        <v>6425</v>
      </c>
      <c r="P1212" s="12"/>
      <c r="Q1212" s="12">
        <v>1</v>
      </c>
    </row>
    <row r="1213" spans="1:17" ht="15.75" customHeight="1">
      <c r="A1213" s="12">
        <v>451</v>
      </c>
      <c r="B1213" s="12">
        <v>1627</v>
      </c>
      <c r="C1213" s="12">
        <v>28745</v>
      </c>
      <c r="D1213" s="12" t="s">
        <v>6047</v>
      </c>
      <c r="E1213" s="12" t="s">
        <v>11022</v>
      </c>
      <c r="F1213" s="12" t="s">
        <v>11023</v>
      </c>
      <c r="G1213" s="12" t="s">
        <v>11024</v>
      </c>
      <c r="H1213" s="12" t="s">
        <v>6051</v>
      </c>
      <c r="I1213" s="12" t="s">
        <v>6366</v>
      </c>
      <c r="J1213" s="12">
        <v>28745</v>
      </c>
      <c r="K1213" s="12" t="s">
        <v>8263</v>
      </c>
      <c r="L1213" s="12" t="s">
        <v>6455</v>
      </c>
      <c r="M1213" s="13">
        <v>43793</v>
      </c>
      <c r="N1213" s="12" t="s">
        <v>8264</v>
      </c>
      <c r="O1213" s="12" t="s">
        <v>8265</v>
      </c>
      <c r="P1213" s="12"/>
      <c r="Q1213" s="12">
        <v>1</v>
      </c>
    </row>
    <row r="1214" spans="1:17" ht="15.75" customHeight="1">
      <c r="A1214" s="12">
        <v>1215</v>
      </c>
      <c r="B1214" s="12">
        <v>1217</v>
      </c>
      <c r="C1214" s="12">
        <v>17320</v>
      </c>
      <c r="D1214" s="12" t="s">
        <v>6047</v>
      </c>
      <c r="E1214" s="12" t="s">
        <v>11025</v>
      </c>
      <c r="F1214" s="12" t="s">
        <v>11026</v>
      </c>
      <c r="G1214" s="12" t="s">
        <v>11027</v>
      </c>
      <c r="H1214" s="12" t="s">
        <v>6051</v>
      </c>
      <c r="I1214" s="12" t="s">
        <v>6052</v>
      </c>
      <c r="J1214" s="12">
        <v>17320</v>
      </c>
      <c r="K1214" s="12" t="s">
        <v>6429</v>
      </c>
      <c r="L1214" s="12" t="s">
        <v>6423</v>
      </c>
      <c r="M1214" s="13">
        <v>41991</v>
      </c>
      <c r="N1214" s="12" t="s">
        <v>6430</v>
      </c>
      <c r="O1214" s="12" t="s">
        <v>6431</v>
      </c>
      <c r="P1214" s="12"/>
      <c r="Q1214" s="12">
        <v>1</v>
      </c>
    </row>
    <row r="1215" spans="1:17" ht="15.75" customHeight="1">
      <c r="A1215" s="12">
        <v>187</v>
      </c>
      <c r="B1215" s="12">
        <v>1137</v>
      </c>
      <c r="C1215" s="12">
        <v>16319</v>
      </c>
      <c r="D1215" s="12" t="s">
        <v>6047</v>
      </c>
      <c r="E1215" s="12" t="s">
        <v>11028</v>
      </c>
      <c r="F1215" s="12" t="s">
        <v>11029</v>
      </c>
      <c r="G1215" s="12" t="s">
        <v>11030</v>
      </c>
      <c r="H1215" s="12" t="s">
        <v>6051</v>
      </c>
      <c r="I1215" s="12" t="s">
        <v>6052</v>
      </c>
      <c r="J1215" s="12">
        <v>16319</v>
      </c>
      <c r="K1215" s="12" t="s">
        <v>11031</v>
      </c>
      <c r="L1215" s="12" t="s">
        <v>6709</v>
      </c>
      <c r="M1215" s="13">
        <v>45752</v>
      </c>
      <c r="N1215" s="12" t="s">
        <v>11032</v>
      </c>
      <c r="O1215" s="12" t="s">
        <v>11033</v>
      </c>
      <c r="P1215" s="12"/>
      <c r="Q1215" s="12">
        <v>1</v>
      </c>
    </row>
    <row r="1216" spans="1:17" ht="15.75" customHeight="1">
      <c r="A1216" s="12">
        <v>591</v>
      </c>
      <c r="B1216" s="12">
        <v>852</v>
      </c>
      <c r="C1216" s="12">
        <v>10889</v>
      </c>
      <c r="D1216" s="12" t="s">
        <v>6047</v>
      </c>
      <c r="E1216" s="12" t="s">
        <v>3536</v>
      </c>
      <c r="F1216" s="12" t="s">
        <v>11034</v>
      </c>
      <c r="G1216" s="12" t="s">
        <v>11035</v>
      </c>
      <c r="H1216" s="12" t="s">
        <v>6060</v>
      </c>
      <c r="I1216" s="12" t="s">
        <v>7082</v>
      </c>
      <c r="J1216" s="12">
        <v>10889</v>
      </c>
      <c r="K1216" s="12" t="s">
        <v>6407</v>
      </c>
      <c r="L1216" s="12" t="s">
        <v>6408</v>
      </c>
      <c r="M1216" s="13">
        <v>43560</v>
      </c>
      <c r="N1216" s="12" t="s">
        <v>6409</v>
      </c>
      <c r="O1216" s="12" t="s">
        <v>7139</v>
      </c>
      <c r="P1216" s="12"/>
      <c r="Q1216" s="12">
        <v>1</v>
      </c>
    </row>
    <row r="1217" spans="1:17" ht="15.75" customHeight="1">
      <c r="A1217" s="12">
        <v>485</v>
      </c>
      <c r="B1217" s="12">
        <v>1805</v>
      </c>
      <c r="C1217" s="12">
        <v>33480</v>
      </c>
      <c r="D1217" s="12" t="s">
        <v>6047</v>
      </c>
      <c r="E1217" s="12" t="s">
        <v>11036</v>
      </c>
      <c r="F1217" s="12" t="s">
        <v>11037</v>
      </c>
      <c r="G1217" s="12" t="s">
        <v>11038</v>
      </c>
      <c r="H1217" s="12" t="s">
        <v>6051</v>
      </c>
      <c r="I1217" s="12" t="s">
        <v>6374</v>
      </c>
      <c r="J1217" s="12">
        <v>33480</v>
      </c>
      <c r="K1217" s="12" t="s">
        <v>7035</v>
      </c>
      <c r="L1217" s="12" t="s">
        <v>6455</v>
      </c>
      <c r="M1217" s="13">
        <v>43785</v>
      </c>
      <c r="N1217" s="12" t="s">
        <v>7036</v>
      </c>
      <c r="O1217" s="12" t="s">
        <v>7037</v>
      </c>
      <c r="P1217" s="12"/>
      <c r="Q1217" s="12">
        <v>1</v>
      </c>
    </row>
    <row r="1218" spans="1:17" ht="15.75" customHeight="1">
      <c r="A1218" s="12">
        <v>1710</v>
      </c>
      <c r="B1218" s="12">
        <v>119</v>
      </c>
      <c r="C1218" s="12">
        <v>1940</v>
      </c>
      <c r="D1218" s="12" t="s">
        <v>6047</v>
      </c>
      <c r="E1218" s="12" t="s">
        <v>11039</v>
      </c>
      <c r="F1218" s="12" t="s">
        <v>11040</v>
      </c>
      <c r="G1218" s="12" t="s">
        <v>11041</v>
      </c>
      <c r="H1218" s="12" t="s">
        <v>6127</v>
      </c>
      <c r="I1218" s="12" t="s">
        <v>6128</v>
      </c>
      <c r="J1218" s="12">
        <v>1940</v>
      </c>
      <c r="K1218" s="12" t="s">
        <v>8598</v>
      </c>
      <c r="L1218" s="12" t="s">
        <v>7333</v>
      </c>
      <c r="M1218" s="13">
        <v>40878</v>
      </c>
      <c r="N1218" s="12" t="s">
        <v>8599</v>
      </c>
      <c r="O1218" s="12" t="s">
        <v>8600</v>
      </c>
      <c r="P1218" s="12"/>
      <c r="Q1218" s="12">
        <v>1</v>
      </c>
    </row>
    <row r="1219" spans="1:17" ht="15.75" customHeight="1">
      <c r="A1219" s="12">
        <v>1911</v>
      </c>
      <c r="B1219" s="12">
        <v>1581</v>
      </c>
      <c r="C1219" s="12">
        <v>27907</v>
      </c>
      <c r="D1219" s="12" t="s">
        <v>6047</v>
      </c>
      <c r="E1219" s="12" t="s">
        <v>11042</v>
      </c>
      <c r="F1219" s="12" t="s">
        <v>11043</v>
      </c>
      <c r="G1219" s="12" t="s">
        <v>11044</v>
      </c>
      <c r="H1219" s="12" t="s">
        <v>6051</v>
      </c>
      <c r="I1219" s="12" t="s">
        <v>6547</v>
      </c>
      <c r="J1219" s="12">
        <v>27907</v>
      </c>
      <c r="K1219" s="12" t="s">
        <v>10612</v>
      </c>
      <c r="L1219" s="12" t="s">
        <v>10613</v>
      </c>
      <c r="M1219" s="13">
        <v>39242</v>
      </c>
      <c r="N1219" s="12" t="s">
        <v>10614</v>
      </c>
      <c r="O1219" s="12" t="s">
        <v>10615</v>
      </c>
      <c r="P1219" s="12"/>
      <c r="Q1219" s="12">
        <v>1</v>
      </c>
    </row>
    <row r="1220" spans="1:17" ht="15.75" customHeight="1">
      <c r="A1220" s="12">
        <v>641</v>
      </c>
      <c r="B1220" s="12">
        <v>1730</v>
      </c>
      <c r="C1220" s="12">
        <v>32108</v>
      </c>
      <c r="D1220" s="12" t="s">
        <v>6047</v>
      </c>
      <c r="E1220" s="12" t="s">
        <v>11045</v>
      </c>
      <c r="F1220" s="12" t="s">
        <v>11046</v>
      </c>
      <c r="G1220" s="12" t="s">
        <v>11047</v>
      </c>
      <c r="H1220" s="12" t="s">
        <v>6051</v>
      </c>
      <c r="I1220" s="12" t="s">
        <v>6232</v>
      </c>
      <c r="J1220" s="12">
        <v>32108</v>
      </c>
      <c r="K1220" s="12" t="s">
        <v>9739</v>
      </c>
      <c r="L1220" s="12" t="s">
        <v>6193</v>
      </c>
      <c r="M1220" s="13">
        <v>43405</v>
      </c>
      <c r="N1220" s="12" t="s">
        <v>9740</v>
      </c>
      <c r="O1220" s="12" t="s">
        <v>9741</v>
      </c>
      <c r="P1220" s="12"/>
      <c r="Q1220" s="12">
        <v>1</v>
      </c>
    </row>
    <row r="1221" spans="1:17" ht="15.75" customHeight="1">
      <c r="A1221" s="12">
        <v>817</v>
      </c>
      <c r="B1221" s="12">
        <v>202</v>
      </c>
      <c r="C1221" s="12">
        <v>3345</v>
      </c>
      <c r="D1221" s="12" t="s">
        <v>6047</v>
      </c>
      <c r="E1221" s="12" t="s">
        <v>11048</v>
      </c>
      <c r="F1221" s="12" t="s">
        <v>11049</v>
      </c>
      <c r="G1221" s="12" t="s">
        <v>11050</v>
      </c>
      <c r="H1221" s="12" t="s">
        <v>7069</v>
      </c>
      <c r="I1221" s="12" t="s">
        <v>7070</v>
      </c>
      <c r="J1221" s="12">
        <v>3345</v>
      </c>
      <c r="K1221" s="12" t="s">
        <v>11051</v>
      </c>
      <c r="L1221" s="12" t="s">
        <v>6590</v>
      </c>
      <c r="M1221" s="13">
        <v>43027</v>
      </c>
      <c r="N1221" s="12" t="s">
        <v>11052</v>
      </c>
      <c r="O1221" s="12" t="s">
        <v>11053</v>
      </c>
      <c r="P1221" s="12"/>
      <c r="Q1221" s="12">
        <v>1</v>
      </c>
    </row>
    <row r="1222" spans="1:17" ht="15.75" customHeight="1">
      <c r="A1222" s="12">
        <v>518</v>
      </c>
      <c r="B1222" s="12">
        <v>152</v>
      </c>
      <c r="C1222" s="12">
        <v>2368</v>
      </c>
      <c r="D1222" s="12" t="s">
        <v>6047</v>
      </c>
      <c r="E1222" s="12" t="s">
        <v>11054</v>
      </c>
      <c r="F1222" s="12" t="s">
        <v>11055</v>
      </c>
      <c r="G1222" s="12" t="s">
        <v>11056</v>
      </c>
      <c r="H1222" s="12" t="s">
        <v>6127</v>
      </c>
      <c r="I1222" s="12" t="s">
        <v>6128</v>
      </c>
      <c r="J1222" s="12">
        <v>2368</v>
      </c>
      <c r="K1222" s="12" t="s">
        <v>7441</v>
      </c>
      <c r="L1222" s="12" t="s">
        <v>6408</v>
      </c>
      <c r="M1222" s="13">
        <v>43566</v>
      </c>
      <c r="N1222" s="12" t="s">
        <v>7442</v>
      </c>
      <c r="O1222" s="12" t="s">
        <v>11057</v>
      </c>
      <c r="P1222" s="12"/>
      <c r="Q1222" s="12">
        <v>1</v>
      </c>
    </row>
    <row r="1223" spans="1:17" ht="15.75" customHeight="1">
      <c r="A1223" s="12">
        <v>1280</v>
      </c>
      <c r="B1223" s="12">
        <v>1966</v>
      </c>
      <c r="C1223" s="12">
        <v>34957</v>
      </c>
      <c r="D1223" s="12" t="s">
        <v>6047</v>
      </c>
      <c r="E1223" s="12" t="s">
        <v>11058</v>
      </c>
      <c r="F1223" s="12" t="s">
        <v>11059</v>
      </c>
      <c r="G1223" s="12" t="s">
        <v>11060</v>
      </c>
      <c r="H1223" s="12" t="s">
        <v>6051</v>
      </c>
      <c r="I1223" s="12" t="s">
        <v>6700</v>
      </c>
      <c r="J1223" s="12">
        <v>34957</v>
      </c>
      <c r="K1223" s="12" t="s">
        <v>6422</v>
      </c>
      <c r="L1223" s="12" t="s">
        <v>6423</v>
      </c>
      <c r="M1223" s="13">
        <v>41989</v>
      </c>
      <c r="N1223" s="12" t="s">
        <v>6424</v>
      </c>
      <c r="O1223" s="12" t="s">
        <v>6425</v>
      </c>
      <c r="P1223" s="12"/>
      <c r="Q1223" s="12">
        <v>1</v>
      </c>
    </row>
    <row r="1224" spans="1:17" ht="15.75" customHeight="1">
      <c r="A1224" s="12">
        <v>1596</v>
      </c>
      <c r="B1224" s="12">
        <v>1883</v>
      </c>
      <c r="C1224" s="12">
        <v>34148</v>
      </c>
      <c r="D1224" s="12" t="s">
        <v>6047</v>
      </c>
      <c r="E1224" s="12" t="s">
        <v>3548</v>
      </c>
      <c r="F1224" s="12" t="s">
        <v>11061</v>
      </c>
      <c r="G1224" s="12" t="s">
        <v>11062</v>
      </c>
      <c r="H1224" s="12" t="s">
        <v>6051</v>
      </c>
      <c r="I1224" s="12" t="s">
        <v>6362</v>
      </c>
      <c r="J1224" s="12">
        <v>34148</v>
      </c>
      <c r="K1224" s="12" t="s">
        <v>6300</v>
      </c>
      <c r="L1224" s="12" t="s">
        <v>6240</v>
      </c>
      <c r="M1224" s="13">
        <v>41396</v>
      </c>
      <c r="N1224" s="12" t="s">
        <v>6301</v>
      </c>
      <c r="O1224" s="12" t="s">
        <v>6302</v>
      </c>
      <c r="P1224" s="12"/>
      <c r="Q1224" s="12">
        <v>1</v>
      </c>
    </row>
    <row r="1225" spans="1:17" ht="15.75" customHeight="1">
      <c r="A1225" s="12">
        <v>972</v>
      </c>
      <c r="B1225" s="12">
        <v>1215</v>
      </c>
      <c r="C1225" s="12">
        <v>17308</v>
      </c>
      <c r="D1225" s="12" t="s">
        <v>6047</v>
      </c>
      <c r="E1225" s="12" t="s">
        <v>11063</v>
      </c>
      <c r="F1225" s="12" t="s">
        <v>11064</v>
      </c>
      <c r="G1225" s="12" t="s">
        <v>11065</v>
      </c>
      <c r="H1225" s="12" t="s">
        <v>6051</v>
      </c>
      <c r="I1225" s="12" t="s">
        <v>6052</v>
      </c>
      <c r="J1225" s="12">
        <v>17308</v>
      </c>
      <c r="K1225" s="12" t="s">
        <v>7376</v>
      </c>
      <c r="L1225" s="12" t="s">
        <v>6054</v>
      </c>
      <c r="M1225" s="13">
        <v>42824</v>
      </c>
      <c r="N1225" s="12" t="s">
        <v>7377</v>
      </c>
      <c r="O1225" s="12" t="s">
        <v>10999</v>
      </c>
      <c r="P1225" s="12"/>
      <c r="Q1225" s="12">
        <v>1</v>
      </c>
    </row>
    <row r="1226" spans="1:17" ht="15.75" customHeight="1">
      <c r="A1226" s="12">
        <v>1250</v>
      </c>
      <c r="B1226" s="12">
        <v>2021</v>
      </c>
      <c r="C1226" s="12">
        <v>35624</v>
      </c>
      <c r="D1226" s="12" t="s">
        <v>6047</v>
      </c>
      <c r="E1226" s="12" t="s">
        <v>11066</v>
      </c>
      <c r="F1226" s="12" t="s">
        <v>11067</v>
      </c>
      <c r="G1226" s="12" t="s">
        <v>11068</v>
      </c>
      <c r="H1226" s="12" t="s">
        <v>6051</v>
      </c>
      <c r="I1226" s="12" t="s">
        <v>6700</v>
      </c>
      <c r="J1226" s="12">
        <v>35624</v>
      </c>
      <c r="K1226" s="12" t="s">
        <v>6470</v>
      </c>
      <c r="L1226" s="12" t="s">
        <v>6423</v>
      </c>
      <c r="M1226" s="13">
        <v>41990</v>
      </c>
      <c r="N1226" s="12" t="s">
        <v>6471</v>
      </c>
      <c r="O1226" s="12" t="s">
        <v>6472</v>
      </c>
      <c r="P1226" s="12"/>
      <c r="Q1226" s="12">
        <v>1</v>
      </c>
    </row>
    <row r="1227" spans="1:17" ht="15.75" customHeight="1">
      <c r="A1227" s="12">
        <v>1265</v>
      </c>
      <c r="B1227" s="12">
        <v>1028</v>
      </c>
      <c r="C1227" s="12">
        <v>14406</v>
      </c>
      <c r="D1227" s="12" t="s">
        <v>6047</v>
      </c>
      <c r="E1227" s="12" t="s">
        <v>11069</v>
      </c>
      <c r="F1227" s="12" t="s">
        <v>11070</v>
      </c>
      <c r="G1227" s="12" t="s">
        <v>11071</v>
      </c>
      <c r="H1227" s="12" t="s">
        <v>6051</v>
      </c>
      <c r="I1227" s="12" t="s">
        <v>10822</v>
      </c>
      <c r="J1227" s="12">
        <v>14406</v>
      </c>
      <c r="K1227" s="12" t="s">
        <v>6470</v>
      </c>
      <c r="L1227" s="12" t="s">
        <v>6423</v>
      </c>
      <c r="M1227" s="13">
        <v>41990</v>
      </c>
      <c r="N1227" s="12" t="s">
        <v>6471</v>
      </c>
      <c r="O1227" s="12" t="s">
        <v>6472</v>
      </c>
      <c r="P1227" s="12"/>
      <c r="Q1227" s="12">
        <v>1</v>
      </c>
    </row>
    <row r="1228" spans="1:17" ht="15.75" customHeight="1">
      <c r="A1228" s="12">
        <v>1538</v>
      </c>
      <c r="B1228" s="12">
        <v>473</v>
      </c>
      <c r="C1228" s="12">
        <v>6361</v>
      </c>
      <c r="D1228" s="12" t="s">
        <v>6047</v>
      </c>
      <c r="E1228" s="12" t="s">
        <v>3580</v>
      </c>
      <c r="F1228" s="12" t="s">
        <v>11072</v>
      </c>
      <c r="G1228" s="12" t="s">
        <v>11073</v>
      </c>
      <c r="H1228" s="12" t="s">
        <v>6137</v>
      </c>
      <c r="I1228" s="12" t="s">
        <v>11074</v>
      </c>
      <c r="J1228" s="12">
        <v>6361</v>
      </c>
      <c r="K1228" s="12" t="s">
        <v>7429</v>
      </c>
      <c r="L1228" s="12" t="s">
        <v>6255</v>
      </c>
      <c r="M1228" s="13">
        <v>41568</v>
      </c>
      <c r="N1228" s="12" t="s">
        <v>7430</v>
      </c>
      <c r="O1228" s="12" t="s">
        <v>7431</v>
      </c>
      <c r="P1228" s="12"/>
      <c r="Q1228" s="12">
        <v>1</v>
      </c>
    </row>
    <row r="1229" spans="1:17" ht="15.75" customHeight="1">
      <c r="A1229" s="12">
        <v>118</v>
      </c>
      <c r="B1229" s="12">
        <v>141</v>
      </c>
      <c r="C1229" s="12">
        <v>2233</v>
      </c>
      <c r="D1229" s="12" t="s">
        <v>6047</v>
      </c>
      <c r="E1229" s="12" t="s">
        <v>3582</v>
      </c>
      <c r="F1229" s="12" t="s">
        <v>11075</v>
      </c>
      <c r="G1229" s="12" t="s">
        <v>11076</v>
      </c>
      <c r="H1229" s="12" t="s">
        <v>6127</v>
      </c>
      <c r="I1229" s="12" t="s">
        <v>6128</v>
      </c>
      <c r="J1229" s="12">
        <v>2233</v>
      </c>
      <c r="K1229" s="12" t="s">
        <v>6671</v>
      </c>
      <c r="L1229" s="12" t="s">
        <v>6511</v>
      </c>
      <c r="M1229" s="13">
        <v>45966</v>
      </c>
      <c r="N1229" s="12" t="s">
        <v>6672</v>
      </c>
      <c r="O1229" s="12" t="s">
        <v>6673</v>
      </c>
      <c r="P1229" s="12"/>
      <c r="Q1229" s="12">
        <v>1</v>
      </c>
    </row>
    <row r="1230" spans="1:17" ht="15.75" customHeight="1">
      <c r="A1230" s="12">
        <v>913</v>
      </c>
      <c r="B1230" s="12">
        <v>640</v>
      </c>
      <c r="C1230" s="12">
        <v>7838</v>
      </c>
      <c r="D1230" s="12" t="s">
        <v>6047</v>
      </c>
      <c r="E1230" s="12" t="s">
        <v>11077</v>
      </c>
      <c r="F1230" s="12" t="s">
        <v>11078</v>
      </c>
      <c r="G1230" s="12" t="s">
        <v>11079</v>
      </c>
      <c r="H1230" s="12" t="s">
        <v>6075</v>
      </c>
      <c r="I1230" s="12" t="s">
        <v>6076</v>
      </c>
      <c r="J1230" s="12">
        <v>7838</v>
      </c>
      <c r="K1230" s="12" t="s">
        <v>9636</v>
      </c>
      <c r="L1230" s="12" t="s">
        <v>6753</v>
      </c>
      <c r="M1230" s="13">
        <v>42830</v>
      </c>
      <c r="N1230" s="12" t="s">
        <v>9637</v>
      </c>
      <c r="O1230" s="12" t="s">
        <v>11080</v>
      </c>
      <c r="P1230" s="12"/>
      <c r="Q1230" s="12">
        <v>1</v>
      </c>
    </row>
    <row r="1231" spans="1:17" ht="15.75" customHeight="1">
      <c r="A1231" s="12">
        <v>1309</v>
      </c>
      <c r="B1231" s="12">
        <v>737</v>
      </c>
      <c r="C1231" s="12">
        <v>9007</v>
      </c>
      <c r="D1231" s="12" t="s">
        <v>6047</v>
      </c>
      <c r="E1231" s="12" t="s">
        <v>3586</v>
      </c>
      <c r="F1231" s="12" t="s">
        <v>11081</v>
      </c>
      <c r="G1231" s="12" t="s">
        <v>11082</v>
      </c>
      <c r="H1231" s="12" t="s">
        <v>6275</v>
      </c>
      <c r="I1231" s="12" t="s">
        <v>6453</v>
      </c>
      <c r="J1231" s="12">
        <v>9007</v>
      </c>
      <c r="K1231" s="12" t="s">
        <v>6851</v>
      </c>
      <c r="L1231" s="12" t="s">
        <v>6106</v>
      </c>
      <c r="M1231" s="13">
        <v>41928</v>
      </c>
      <c r="N1231" s="12" t="s">
        <v>6852</v>
      </c>
      <c r="O1231" s="12" t="s">
        <v>11083</v>
      </c>
      <c r="P1231" s="12"/>
      <c r="Q1231" s="12">
        <v>1</v>
      </c>
    </row>
    <row r="1232" spans="1:17" ht="15.75" customHeight="1">
      <c r="A1232" s="12">
        <v>1225</v>
      </c>
      <c r="B1232" s="12">
        <v>1071</v>
      </c>
      <c r="C1232" s="12">
        <v>15304</v>
      </c>
      <c r="D1232" s="12" t="s">
        <v>6047</v>
      </c>
      <c r="E1232" s="12" t="s">
        <v>11084</v>
      </c>
      <c r="F1232" s="12" t="s">
        <v>11085</v>
      </c>
      <c r="G1232" s="12" t="s">
        <v>11086</v>
      </c>
      <c r="H1232" s="12" t="s">
        <v>6051</v>
      </c>
      <c r="I1232" s="12" t="s">
        <v>6476</v>
      </c>
      <c r="J1232" s="12">
        <v>15304</v>
      </c>
      <c r="K1232" s="12" t="s">
        <v>6429</v>
      </c>
      <c r="L1232" s="12" t="s">
        <v>6423</v>
      </c>
      <c r="M1232" s="13">
        <v>41991</v>
      </c>
      <c r="N1232" s="12" t="s">
        <v>6430</v>
      </c>
      <c r="O1232" s="12" t="s">
        <v>6431</v>
      </c>
      <c r="P1232" s="12"/>
      <c r="Q1232" s="12">
        <v>1</v>
      </c>
    </row>
    <row r="1233" spans="1:17" ht="15.75" customHeight="1">
      <c r="A1233" s="12">
        <v>147</v>
      </c>
      <c r="B1233" s="12">
        <v>1140</v>
      </c>
      <c r="C1233" s="12">
        <v>16358</v>
      </c>
      <c r="D1233" s="12" t="s">
        <v>6047</v>
      </c>
      <c r="E1233" s="12" t="s">
        <v>11087</v>
      </c>
      <c r="F1233" s="12" t="s">
        <v>11088</v>
      </c>
      <c r="G1233" s="12" t="s">
        <v>11089</v>
      </c>
      <c r="H1233" s="12" t="s">
        <v>6051</v>
      </c>
      <c r="I1233" s="12" t="s">
        <v>6052</v>
      </c>
      <c r="J1233" s="12">
        <v>16358</v>
      </c>
      <c r="K1233" s="12" t="s">
        <v>7891</v>
      </c>
      <c r="L1233" s="12" t="s">
        <v>6760</v>
      </c>
      <c r="M1233" s="13">
        <v>45756</v>
      </c>
      <c r="N1233" s="12" t="s">
        <v>7892</v>
      </c>
      <c r="O1233" s="12" t="s">
        <v>11090</v>
      </c>
      <c r="P1233" s="12"/>
      <c r="Q1233" s="12">
        <v>1</v>
      </c>
    </row>
    <row r="1234" spans="1:17" ht="15.75" customHeight="1">
      <c r="A1234" s="12">
        <v>1138</v>
      </c>
      <c r="B1234" s="12">
        <v>462</v>
      </c>
      <c r="C1234" s="12">
        <v>6227</v>
      </c>
      <c r="D1234" s="12" t="s">
        <v>6047</v>
      </c>
      <c r="E1234" s="12" t="s">
        <v>11091</v>
      </c>
      <c r="F1234" s="12" t="s">
        <v>11092</v>
      </c>
      <c r="G1234" s="12" t="s">
        <v>11093</v>
      </c>
      <c r="H1234" s="12" t="s">
        <v>6137</v>
      </c>
      <c r="I1234" s="12" t="s">
        <v>6391</v>
      </c>
      <c r="J1234" s="12">
        <v>6227</v>
      </c>
      <c r="K1234" s="12" t="s">
        <v>7882</v>
      </c>
      <c r="L1234" s="12" t="s">
        <v>6240</v>
      </c>
      <c r="M1234" s="13">
        <v>42269</v>
      </c>
      <c r="N1234" s="12" t="s">
        <v>7883</v>
      </c>
      <c r="O1234" s="12" t="s">
        <v>11094</v>
      </c>
      <c r="P1234" s="12"/>
      <c r="Q1234" s="12">
        <v>1</v>
      </c>
    </row>
    <row r="1235" spans="1:17" ht="15.75" customHeight="1">
      <c r="A1235" s="12">
        <v>1572</v>
      </c>
      <c r="B1235" s="12">
        <v>565</v>
      </c>
      <c r="C1235" s="12">
        <v>7391</v>
      </c>
      <c r="D1235" s="12" t="s">
        <v>6047</v>
      </c>
      <c r="E1235" s="12" t="s">
        <v>11095</v>
      </c>
      <c r="F1235" s="12" t="s">
        <v>11096</v>
      </c>
      <c r="G1235" s="12" t="s">
        <v>11097</v>
      </c>
      <c r="H1235" s="12" t="s">
        <v>6084</v>
      </c>
      <c r="I1235" s="12" t="s">
        <v>7239</v>
      </c>
      <c r="J1235" s="12">
        <v>7391</v>
      </c>
      <c r="K1235" s="12" t="s">
        <v>6967</v>
      </c>
      <c r="L1235" s="12" t="s">
        <v>6255</v>
      </c>
      <c r="M1235" s="13">
        <v>41560</v>
      </c>
      <c r="N1235" s="12" t="s">
        <v>6968</v>
      </c>
      <c r="O1235" s="12" t="s">
        <v>6969</v>
      </c>
      <c r="P1235" s="12"/>
      <c r="Q1235" s="12">
        <v>1</v>
      </c>
    </row>
    <row r="1236" spans="1:17" ht="15.75" customHeight="1">
      <c r="A1236" s="12">
        <v>1116</v>
      </c>
      <c r="B1236" s="12">
        <v>915</v>
      </c>
      <c r="C1236" s="12">
        <v>12114</v>
      </c>
      <c r="D1236" s="12" t="s">
        <v>6047</v>
      </c>
      <c r="E1236" s="12" t="s">
        <v>11098</v>
      </c>
      <c r="F1236" s="12" t="s">
        <v>11099</v>
      </c>
      <c r="G1236" s="12" t="s">
        <v>11100</v>
      </c>
      <c r="H1236" s="12" t="s">
        <v>6340</v>
      </c>
      <c r="I1236" s="12" t="s">
        <v>6341</v>
      </c>
      <c r="J1236" s="12">
        <v>12114</v>
      </c>
      <c r="K1236" s="12" t="s">
        <v>11101</v>
      </c>
      <c r="L1236" s="12" t="s">
        <v>6284</v>
      </c>
      <c r="M1236" s="13">
        <v>42475</v>
      </c>
      <c r="N1236" s="12" t="s">
        <v>11102</v>
      </c>
      <c r="O1236" s="12" t="s">
        <v>11103</v>
      </c>
      <c r="P1236" s="12"/>
      <c r="Q1236" s="12">
        <v>1</v>
      </c>
    </row>
    <row r="1237" spans="1:17" ht="15.75" customHeight="1">
      <c r="A1237" s="12">
        <v>965</v>
      </c>
      <c r="B1237" s="12">
        <v>179</v>
      </c>
      <c r="C1237" s="12">
        <v>3032</v>
      </c>
      <c r="D1237" s="12" t="s">
        <v>6047</v>
      </c>
      <c r="E1237" s="12" t="s">
        <v>11104</v>
      </c>
      <c r="F1237" s="12" t="s">
        <v>11105</v>
      </c>
      <c r="G1237" s="12" t="s">
        <v>11106</v>
      </c>
      <c r="H1237" s="12" t="s">
        <v>7069</v>
      </c>
      <c r="I1237" s="12" t="s">
        <v>7070</v>
      </c>
      <c r="J1237" s="12">
        <v>3032</v>
      </c>
      <c r="K1237" s="12" t="s">
        <v>9526</v>
      </c>
      <c r="L1237" s="12" t="s">
        <v>6357</v>
      </c>
      <c r="M1237" s="13">
        <v>42826</v>
      </c>
      <c r="N1237" s="12" t="s">
        <v>9527</v>
      </c>
      <c r="O1237" s="12" t="s">
        <v>9528</v>
      </c>
      <c r="P1237" s="12"/>
      <c r="Q1237" s="12">
        <v>1</v>
      </c>
    </row>
    <row r="1238" spans="1:17" ht="15.75" customHeight="1">
      <c r="A1238" s="12">
        <v>1491</v>
      </c>
      <c r="B1238" s="12">
        <v>1337</v>
      </c>
      <c r="C1238" s="12">
        <v>19244</v>
      </c>
      <c r="D1238" s="12" t="s">
        <v>6047</v>
      </c>
      <c r="E1238" s="12" t="s">
        <v>11107</v>
      </c>
      <c r="F1238" s="12" t="s">
        <v>11108</v>
      </c>
      <c r="G1238" s="12" t="s">
        <v>11109</v>
      </c>
      <c r="H1238" s="12" t="s">
        <v>6051</v>
      </c>
      <c r="I1238" s="12" t="s">
        <v>7090</v>
      </c>
      <c r="J1238" s="12">
        <v>19244</v>
      </c>
      <c r="K1238" s="12" t="s">
        <v>8388</v>
      </c>
      <c r="L1238" s="12" t="s">
        <v>6240</v>
      </c>
      <c r="M1238" s="13">
        <v>41883</v>
      </c>
      <c r="N1238" s="12" t="s">
        <v>8389</v>
      </c>
      <c r="O1238" s="12" t="s">
        <v>8802</v>
      </c>
      <c r="P1238" s="12"/>
      <c r="Q1238" s="12">
        <v>1</v>
      </c>
    </row>
    <row r="1239" spans="1:17" ht="15.75" customHeight="1">
      <c r="A1239" s="12">
        <v>1964</v>
      </c>
      <c r="B1239" s="12">
        <v>387</v>
      </c>
      <c r="C1239" s="12">
        <v>5777</v>
      </c>
      <c r="D1239" s="12" t="s">
        <v>6047</v>
      </c>
      <c r="E1239" s="12" t="s">
        <v>11110</v>
      </c>
      <c r="F1239" s="12" t="s">
        <v>11111</v>
      </c>
      <c r="G1239" s="12" t="s">
        <v>11112</v>
      </c>
      <c r="H1239" s="12" t="s">
        <v>6137</v>
      </c>
      <c r="I1239" s="12" t="s">
        <v>6269</v>
      </c>
      <c r="J1239" s="12">
        <v>5777</v>
      </c>
      <c r="K1239" s="12" t="s">
        <v>7298</v>
      </c>
      <c r="L1239" s="12" t="s">
        <v>6113</v>
      </c>
      <c r="M1239" s="13">
        <v>38579</v>
      </c>
      <c r="N1239" s="12" t="s">
        <v>7299</v>
      </c>
      <c r="O1239" s="12" t="s">
        <v>7300</v>
      </c>
      <c r="P1239" s="12"/>
      <c r="Q1239" s="12">
        <v>1</v>
      </c>
    </row>
    <row r="1240" spans="1:17" ht="15.75" customHeight="1">
      <c r="A1240" s="12">
        <v>1941</v>
      </c>
      <c r="B1240" s="12">
        <v>838</v>
      </c>
      <c r="C1240" s="12">
        <v>10632</v>
      </c>
      <c r="D1240" s="12" t="s">
        <v>6047</v>
      </c>
      <c r="E1240" s="12" t="s">
        <v>11113</v>
      </c>
      <c r="F1240" s="12" t="s">
        <v>11114</v>
      </c>
      <c r="G1240" s="12" t="s">
        <v>11115</v>
      </c>
      <c r="H1240" s="12" t="s">
        <v>6060</v>
      </c>
      <c r="I1240" s="12" t="s">
        <v>7183</v>
      </c>
      <c r="J1240" s="12">
        <v>10632</v>
      </c>
      <c r="K1240" s="12" t="s">
        <v>7276</v>
      </c>
      <c r="L1240" s="12" t="s">
        <v>7277</v>
      </c>
      <c r="M1240" s="13">
        <v>39234</v>
      </c>
      <c r="N1240" s="12" t="s">
        <v>7278</v>
      </c>
      <c r="O1240" s="12" t="s">
        <v>7279</v>
      </c>
      <c r="P1240" s="12"/>
      <c r="Q1240" s="12">
        <v>1</v>
      </c>
    </row>
    <row r="1241" spans="1:17" ht="15.75" customHeight="1">
      <c r="A1241" s="12">
        <v>81</v>
      </c>
      <c r="B1241" s="12">
        <v>1356</v>
      </c>
      <c r="C1241" s="12">
        <v>19784</v>
      </c>
      <c r="D1241" s="12" t="s">
        <v>6047</v>
      </c>
      <c r="E1241" s="12" t="s">
        <v>11116</v>
      </c>
      <c r="F1241" s="12" t="s">
        <v>11117</v>
      </c>
      <c r="G1241" s="12" t="s">
        <v>11118</v>
      </c>
      <c r="H1241" s="12" t="s">
        <v>6051</v>
      </c>
      <c r="I1241" s="12" t="s">
        <v>6635</v>
      </c>
      <c r="J1241" s="12">
        <v>19784</v>
      </c>
      <c r="K1241" s="12" t="s">
        <v>11119</v>
      </c>
      <c r="L1241" s="12" t="s">
        <v>6590</v>
      </c>
      <c r="M1241" s="13">
        <v>45970</v>
      </c>
      <c r="N1241" s="12" t="s">
        <v>11120</v>
      </c>
      <c r="O1241" s="12" t="s">
        <v>11121</v>
      </c>
      <c r="P1241" s="12"/>
      <c r="Q1241" s="12">
        <v>1</v>
      </c>
    </row>
    <row r="1242" spans="1:17" ht="15.75" customHeight="1">
      <c r="A1242" s="12">
        <v>856</v>
      </c>
      <c r="B1242" s="12">
        <v>569</v>
      </c>
      <c r="C1242" s="12">
        <v>7414</v>
      </c>
      <c r="D1242" s="12" t="s">
        <v>6047</v>
      </c>
      <c r="E1242" s="12" t="s">
        <v>3630</v>
      </c>
      <c r="F1242" s="12" t="s">
        <v>11122</v>
      </c>
      <c r="G1242" s="12" t="s">
        <v>11123</v>
      </c>
      <c r="H1242" s="12" t="s">
        <v>6084</v>
      </c>
      <c r="I1242" s="12" t="s">
        <v>7239</v>
      </c>
      <c r="J1242" s="12">
        <v>7414</v>
      </c>
      <c r="K1242" s="12" t="s">
        <v>6584</v>
      </c>
      <c r="L1242" s="12" t="s">
        <v>6564</v>
      </c>
      <c r="M1242" s="13">
        <v>43019</v>
      </c>
      <c r="N1242" s="12" t="s">
        <v>6585</v>
      </c>
      <c r="O1242" s="12" t="s">
        <v>6586</v>
      </c>
      <c r="P1242" s="12"/>
      <c r="Q1242" s="12">
        <v>1</v>
      </c>
    </row>
    <row r="1243" spans="1:17" ht="15.75" customHeight="1">
      <c r="A1243" s="12">
        <v>1921</v>
      </c>
      <c r="B1243" s="12">
        <v>1434</v>
      </c>
      <c r="C1243" s="12">
        <v>21616</v>
      </c>
      <c r="D1243" s="12" t="s">
        <v>6047</v>
      </c>
      <c r="E1243" s="12" t="s">
        <v>3623</v>
      </c>
      <c r="F1243" s="12" t="s">
        <v>11124</v>
      </c>
      <c r="G1243" s="12" t="s">
        <v>11125</v>
      </c>
      <c r="H1243" s="12" t="s">
        <v>6051</v>
      </c>
      <c r="I1243" s="12" t="s">
        <v>6299</v>
      </c>
      <c r="J1243" s="12">
        <v>21616</v>
      </c>
      <c r="K1243" s="12" t="s">
        <v>7476</v>
      </c>
      <c r="L1243" s="12" t="s">
        <v>7477</v>
      </c>
      <c r="M1243" s="13">
        <v>39237</v>
      </c>
      <c r="N1243" s="12" t="s">
        <v>7478</v>
      </c>
      <c r="O1243" s="12" t="s">
        <v>7479</v>
      </c>
      <c r="P1243" s="12"/>
      <c r="Q1243" s="12">
        <v>1</v>
      </c>
    </row>
    <row r="1244" spans="1:17" ht="15.75" customHeight="1">
      <c r="A1244" s="12">
        <v>880</v>
      </c>
      <c r="B1244" s="12">
        <v>1358</v>
      </c>
      <c r="C1244" s="12">
        <v>19807</v>
      </c>
      <c r="D1244" s="12" t="s">
        <v>6047</v>
      </c>
      <c r="E1244" s="12" t="s">
        <v>11126</v>
      </c>
      <c r="F1244" s="12" t="s">
        <v>11127</v>
      </c>
      <c r="G1244" s="12" t="s">
        <v>11128</v>
      </c>
      <c r="H1244" s="12" t="s">
        <v>6051</v>
      </c>
      <c r="I1244" s="12" t="s">
        <v>6635</v>
      </c>
      <c r="J1244" s="12">
        <v>19807</v>
      </c>
      <c r="K1244" s="12" t="s">
        <v>6569</v>
      </c>
      <c r="L1244" s="12" t="s">
        <v>6564</v>
      </c>
      <c r="M1244" s="13">
        <v>43015</v>
      </c>
      <c r="N1244" s="12" t="s">
        <v>6570</v>
      </c>
      <c r="O1244" s="12" t="s">
        <v>6623</v>
      </c>
      <c r="P1244" s="12"/>
      <c r="Q1244" s="12">
        <v>1</v>
      </c>
    </row>
    <row r="1245" spans="1:17" ht="15.75" customHeight="1">
      <c r="A1245" s="12">
        <v>1459</v>
      </c>
      <c r="B1245" s="12">
        <v>810</v>
      </c>
      <c r="C1245" s="12">
        <v>10307</v>
      </c>
      <c r="D1245" s="12" t="s">
        <v>6047</v>
      </c>
      <c r="E1245" s="12" t="s">
        <v>11129</v>
      </c>
      <c r="F1245" s="12" t="s">
        <v>11130</v>
      </c>
      <c r="G1245" s="12" t="s">
        <v>11131</v>
      </c>
      <c r="H1245" s="12" t="s">
        <v>6265</v>
      </c>
      <c r="I1245" s="12" t="s">
        <v>6266</v>
      </c>
      <c r="J1245" s="12">
        <v>10307</v>
      </c>
      <c r="K1245" s="12" t="s">
        <v>6069</v>
      </c>
      <c r="L1245" s="12" t="s">
        <v>6070</v>
      </c>
      <c r="M1245" s="13">
        <v>41907</v>
      </c>
      <c r="N1245" s="12" t="s">
        <v>6071</v>
      </c>
      <c r="O1245" s="12" t="s">
        <v>6072</v>
      </c>
      <c r="P1245" s="12"/>
      <c r="Q1245" s="12">
        <v>1</v>
      </c>
    </row>
    <row r="1246" spans="1:17" ht="15.75" customHeight="1">
      <c r="A1246" s="12">
        <v>848</v>
      </c>
      <c r="B1246" s="12">
        <v>390</v>
      </c>
      <c r="C1246" s="12">
        <v>5791</v>
      </c>
      <c r="D1246" s="12" t="s">
        <v>6047</v>
      </c>
      <c r="E1246" s="12" t="s">
        <v>11132</v>
      </c>
      <c r="F1246" s="12" t="s">
        <v>11133</v>
      </c>
      <c r="G1246" s="12" t="s">
        <v>11134</v>
      </c>
      <c r="H1246" s="12" t="s">
        <v>6137</v>
      </c>
      <c r="I1246" s="12" t="s">
        <v>6155</v>
      </c>
      <c r="J1246" s="12">
        <v>5791</v>
      </c>
      <c r="K1246" s="12" t="s">
        <v>11135</v>
      </c>
      <c r="L1246" s="12" t="s">
        <v>6564</v>
      </c>
      <c r="M1246" s="13">
        <v>43020</v>
      </c>
      <c r="N1246" s="12" t="s">
        <v>11136</v>
      </c>
      <c r="O1246" s="12" t="s">
        <v>11137</v>
      </c>
      <c r="P1246" s="12"/>
      <c r="Q1246" s="12">
        <v>1</v>
      </c>
    </row>
    <row r="1247" spans="1:17" ht="15.75" customHeight="1">
      <c r="A1247" s="12">
        <v>918</v>
      </c>
      <c r="B1247" s="12">
        <v>824</v>
      </c>
      <c r="C1247" s="12">
        <v>10384</v>
      </c>
      <c r="D1247" s="12" t="s">
        <v>6047</v>
      </c>
      <c r="E1247" s="12" t="s">
        <v>11138</v>
      </c>
      <c r="F1247" s="12" t="s">
        <v>11139</v>
      </c>
      <c r="G1247" s="12" t="s">
        <v>11140</v>
      </c>
      <c r="H1247" s="12" t="s">
        <v>6060</v>
      </c>
      <c r="I1247" s="12" t="s">
        <v>6795</v>
      </c>
      <c r="J1247" s="12">
        <v>10384</v>
      </c>
      <c r="K1247" s="12" t="s">
        <v>10902</v>
      </c>
      <c r="L1247" s="12" t="s">
        <v>6955</v>
      </c>
      <c r="M1247" s="13">
        <v>42830</v>
      </c>
      <c r="N1247" s="12" t="s">
        <v>10903</v>
      </c>
      <c r="O1247" s="12" t="s">
        <v>10904</v>
      </c>
      <c r="P1247" s="12"/>
      <c r="Q1247" s="12">
        <v>1</v>
      </c>
    </row>
    <row r="1248" spans="1:17" ht="15.75" customHeight="1">
      <c r="A1248" s="12">
        <v>792</v>
      </c>
      <c r="B1248" s="12">
        <v>384</v>
      </c>
      <c r="C1248" s="12">
        <v>5764</v>
      </c>
      <c r="D1248" s="12" t="s">
        <v>6047</v>
      </c>
      <c r="E1248" s="12" t="s">
        <v>11141</v>
      </c>
      <c r="F1248" s="12" t="s">
        <v>11142</v>
      </c>
      <c r="G1248" s="12" t="s">
        <v>11143</v>
      </c>
      <c r="H1248" s="12" t="s">
        <v>6137</v>
      </c>
      <c r="I1248" s="12" t="s">
        <v>6269</v>
      </c>
      <c r="J1248" s="12">
        <v>5764</v>
      </c>
      <c r="K1248" s="12" t="s">
        <v>11144</v>
      </c>
      <c r="L1248" s="12" t="s">
        <v>6590</v>
      </c>
      <c r="M1248" s="13">
        <v>43032</v>
      </c>
      <c r="N1248" s="12" t="s">
        <v>11145</v>
      </c>
      <c r="O1248" s="12" t="s">
        <v>11146</v>
      </c>
      <c r="P1248" s="12"/>
      <c r="Q1248" s="12">
        <v>1</v>
      </c>
    </row>
    <row r="1249" spans="1:17" ht="15.75" customHeight="1">
      <c r="A1249" s="12">
        <v>1286</v>
      </c>
      <c r="B1249" s="12">
        <v>1203</v>
      </c>
      <c r="C1249" s="12">
        <v>17160</v>
      </c>
      <c r="D1249" s="12" t="s">
        <v>6047</v>
      </c>
      <c r="E1249" s="12" t="s">
        <v>11147</v>
      </c>
      <c r="F1249" s="12" t="s">
        <v>11148</v>
      </c>
      <c r="G1249" s="12" t="s">
        <v>11149</v>
      </c>
      <c r="H1249" s="12" t="s">
        <v>6051</v>
      </c>
      <c r="I1249" s="12" t="s">
        <v>6052</v>
      </c>
      <c r="J1249" s="12">
        <v>17160</v>
      </c>
      <c r="K1249" s="12" t="s">
        <v>6422</v>
      </c>
      <c r="L1249" s="12" t="s">
        <v>6423</v>
      </c>
      <c r="M1249" s="13">
        <v>41989</v>
      </c>
      <c r="N1249" s="12" t="s">
        <v>6424</v>
      </c>
      <c r="O1249" s="12" t="s">
        <v>6425</v>
      </c>
      <c r="P1249" s="12"/>
      <c r="Q1249" s="12">
        <v>1</v>
      </c>
    </row>
    <row r="1250" spans="1:17" ht="15.75" customHeight="1">
      <c r="A1250" s="12">
        <v>1848</v>
      </c>
      <c r="B1250" s="12">
        <v>521</v>
      </c>
      <c r="C1250" s="12">
        <v>6855</v>
      </c>
      <c r="D1250" s="12" t="s">
        <v>6047</v>
      </c>
      <c r="E1250" s="12" t="s">
        <v>11150</v>
      </c>
      <c r="F1250" s="12" t="s">
        <v>11151</v>
      </c>
      <c r="G1250" s="12" t="s">
        <v>11152</v>
      </c>
      <c r="H1250" s="12" t="s">
        <v>6582</v>
      </c>
      <c r="I1250" s="12" t="s">
        <v>6583</v>
      </c>
      <c r="J1250" s="12">
        <v>6855</v>
      </c>
      <c r="K1250" s="12" t="s">
        <v>6062</v>
      </c>
      <c r="L1250" s="12" t="s">
        <v>6063</v>
      </c>
      <c r="M1250" s="13">
        <v>40873</v>
      </c>
      <c r="N1250" s="12" t="s">
        <v>6064</v>
      </c>
      <c r="O1250" s="12" t="s">
        <v>6065</v>
      </c>
      <c r="P1250" s="12"/>
      <c r="Q1250" s="12">
        <v>1</v>
      </c>
    </row>
    <row r="1251" spans="1:17" ht="15.75" customHeight="1">
      <c r="A1251" s="12">
        <v>667</v>
      </c>
      <c r="B1251" s="12">
        <v>476</v>
      </c>
      <c r="C1251" s="12">
        <v>6404</v>
      </c>
      <c r="D1251" s="12" t="s">
        <v>6047</v>
      </c>
      <c r="E1251" s="12" t="s">
        <v>11153</v>
      </c>
      <c r="F1251" s="12" t="s">
        <v>11154</v>
      </c>
      <c r="G1251" s="12" t="s">
        <v>11155</v>
      </c>
      <c r="H1251" s="12" t="s">
        <v>6137</v>
      </c>
      <c r="I1251" s="12" t="s">
        <v>6555</v>
      </c>
      <c r="J1251" s="12">
        <v>6404</v>
      </c>
      <c r="K1251" s="12" t="s">
        <v>6961</v>
      </c>
      <c r="L1251" s="12" t="s">
        <v>6962</v>
      </c>
      <c r="M1251" s="13">
        <v>43392</v>
      </c>
      <c r="N1251" s="12" t="s">
        <v>6963</v>
      </c>
      <c r="O1251" s="12" t="s">
        <v>6964</v>
      </c>
      <c r="P1251" s="12"/>
      <c r="Q1251" s="12">
        <v>1</v>
      </c>
    </row>
    <row r="1252" spans="1:17" ht="15.75" customHeight="1">
      <c r="A1252" s="12">
        <v>150</v>
      </c>
      <c r="B1252" s="12">
        <v>2022</v>
      </c>
      <c r="C1252" s="12">
        <v>35633</v>
      </c>
      <c r="D1252" s="12" t="s">
        <v>6047</v>
      </c>
      <c r="E1252" s="12" t="s">
        <v>11156</v>
      </c>
      <c r="F1252" s="12" t="s">
        <v>11157</v>
      </c>
      <c r="G1252" s="12" t="s">
        <v>11158</v>
      </c>
      <c r="H1252" s="12" t="s">
        <v>6051</v>
      </c>
      <c r="I1252" s="12" t="s">
        <v>6700</v>
      </c>
      <c r="J1252" s="12">
        <v>35633</v>
      </c>
      <c r="K1252" s="12" t="s">
        <v>7891</v>
      </c>
      <c r="L1252" s="12" t="s">
        <v>6760</v>
      </c>
      <c r="M1252" s="13">
        <v>45756</v>
      </c>
      <c r="N1252" s="12" t="s">
        <v>7892</v>
      </c>
      <c r="O1252" s="12" t="s">
        <v>7893</v>
      </c>
      <c r="P1252" s="12"/>
      <c r="Q1252" s="12">
        <v>1</v>
      </c>
    </row>
    <row r="1253" spans="1:17" ht="15.75" customHeight="1">
      <c r="A1253" s="12">
        <v>1583</v>
      </c>
      <c r="B1253" s="12">
        <v>887</v>
      </c>
      <c r="C1253" s="12">
        <v>11762</v>
      </c>
      <c r="D1253" s="12" t="s">
        <v>6047</v>
      </c>
      <c r="E1253" s="12" t="s">
        <v>11159</v>
      </c>
      <c r="F1253" s="12" t="s">
        <v>11160</v>
      </c>
      <c r="G1253" s="12" t="s">
        <v>11161</v>
      </c>
      <c r="H1253" s="12" t="s">
        <v>6060</v>
      </c>
      <c r="I1253" s="12" t="s">
        <v>6061</v>
      </c>
      <c r="J1253" s="12">
        <v>11762</v>
      </c>
      <c r="K1253" s="12" t="s">
        <v>8388</v>
      </c>
      <c r="L1253" s="12" t="s">
        <v>6240</v>
      </c>
      <c r="M1253" s="13">
        <v>41556</v>
      </c>
      <c r="N1253" s="12" t="s">
        <v>8389</v>
      </c>
      <c r="O1253" s="12" t="s">
        <v>11162</v>
      </c>
      <c r="P1253" s="12"/>
      <c r="Q1253" s="12">
        <v>1</v>
      </c>
    </row>
    <row r="1254" spans="1:17" ht="15.75" customHeight="1">
      <c r="A1254" s="12">
        <v>46</v>
      </c>
      <c r="B1254" s="12">
        <v>1289</v>
      </c>
      <c r="C1254" s="12">
        <v>18252</v>
      </c>
      <c r="D1254" s="12" t="s">
        <v>6047</v>
      </c>
      <c r="E1254" s="12" t="s">
        <v>3675</v>
      </c>
      <c r="F1254" s="12" t="s">
        <v>11163</v>
      </c>
      <c r="G1254" s="12" t="s">
        <v>11164</v>
      </c>
      <c r="H1254" s="12" t="s">
        <v>6051</v>
      </c>
      <c r="I1254" s="12" t="s">
        <v>7763</v>
      </c>
      <c r="J1254" s="12">
        <v>18252</v>
      </c>
      <c r="K1254" s="12" t="s">
        <v>10864</v>
      </c>
      <c r="L1254" s="12" t="s">
        <v>6590</v>
      </c>
      <c r="M1254" s="13">
        <v>45974</v>
      </c>
      <c r="N1254" s="12" t="s">
        <v>10865</v>
      </c>
      <c r="O1254" s="12" t="s">
        <v>10866</v>
      </c>
      <c r="P1254" s="12"/>
      <c r="Q1254" s="12">
        <v>1</v>
      </c>
    </row>
    <row r="1255" spans="1:17" ht="15.75" customHeight="1">
      <c r="A1255" s="12">
        <v>1388</v>
      </c>
      <c r="B1255" s="12">
        <v>1698</v>
      </c>
      <c r="C1255" s="12">
        <v>31443</v>
      </c>
      <c r="D1255" s="12" t="s">
        <v>6047</v>
      </c>
      <c r="E1255" s="12" t="s">
        <v>11165</v>
      </c>
      <c r="F1255" s="12" t="s">
        <v>11166</v>
      </c>
      <c r="G1255" s="12" t="s">
        <v>11167</v>
      </c>
      <c r="H1255" s="12" t="s">
        <v>6051</v>
      </c>
      <c r="I1255" s="12" t="s">
        <v>11168</v>
      </c>
      <c r="J1255" s="12">
        <v>31443</v>
      </c>
      <c r="K1255" s="12" t="s">
        <v>6144</v>
      </c>
      <c r="L1255" s="12" t="s">
        <v>6078</v>
      </c>
      <c r="M1255" s="13">
        <v>41913</v>
      </c>
      <c r="N1255" s="12" t="s">
        <v>6145</v>
      </c>
      <c r="O1255" s="12" t="s">
        <v>6146</v>
      </c>
      <c r="P1255" s="12"/>
      <c r="Q1255" s="12">
        <v>1</v>
      </c>
    </row>
    <row r="1256" spans="1:17" ht="15.75" customHeight="1">
      <c r="A1256" s="12">
        <v>1654</v>
      </c>
      <c r="B1256" s="12">
        <v>1736</v>
      </c>
      <c r="C1256" s="12">
        <v>32221</v>
      </c>
      <c r="D1256" s="12" t="s">
        <v>6047</v>
      </c>
      <c r="E1256" s="12" t="s">
        <v>11169</v>
      </c>
      <c r="F1256" s="12" t="s">
        <v>11170</v>
      </c>
      <c r="G1256" s="12" t="s">
        <v>11171</v>
      </c>
      <c r="H1256" s="12" t="s">
        <v>6051</v>
      </c>
      <c r="I1256" s="12" t="s">
        <v>6232</v>
      </c>
      <c r="J1256" s="12">
        <v>32221</v>
      </c>
      <c r="K1256" s="12" t="s">
        <v>6375</v>
      </c>
      <c r="L1256" s="12" t="s">
        <v>6240</v>
      </c>
      <c r="M1256" s="13">
        <v>41234</v>
      </c>
      <c r="N1256" s="12" t="s">
        <v>6376</v>
      </c>
      <c r="O1256" s="12" t="s">
        <v>11172</v>
      </c>
      <c r="P1256" s="12"/>
      <c r="Q1256" s="12">
        <v>1</v>
      </c>
    </row>
    <row r="1257" spans="1:17" ht="15.75" customHeight="1">
      <c r="A1257" s="12">
        <v>1154</v>
      </c>
      <c r="B1257" s="12">
        <v>1745</v>
      </c>
      <c r="C1257" s="12">
        <v>32595</v>
      </c>
      <c r="D1257" s="12" t="s">
        <v>6047</v>
      </c>
      <c r="E1257" s="12" t="s">
        <v>11173</v>
      </c>
      <c r="F1257" s="12" t="s">
        <v>11174</v>
      </c>
      <c r="G1257" s="12" t="s">
        <v>11175</v>
      </c>
      <c r="H1257" s="12" t="s">
        <v>6051</v>
      </c>
      <c r="I1257" s="12" t="s">
        <v>6232</v>
      </c>
      <c r="J1257" s="12">
        <v>32595</v>
      </c>
      <c r="K1257" s="12" t="s">
        <v>11176</v>
      </c>
      <c r="L1257" s="12" t="s">
        <v>11177</v>
      </c>
      <c r="M1257" s="13">
        <v>42135</v>
      </c>
      <c r="N1257" s="12" t="s">
        <v>11178</v>
      </c>
      <c r="O1257" s="12" t="s">
        <v>11179</v>
      </c>
      <c r="P1257" s="12"/>
      <c r="Q1257" s="12">
        <v>1</v>
      </c>
    </row>
    <row r="1258" spans="1:17" ht="15.75" customHeight="1">
      <c r="A1258" s="12">
        <v>1125</v>
      </c>
      <c r="B1258" s="12">
        <v>1884</v>
      </c>
      <c r="C1258" s="12">
        <v>34153</v>
      </c>
      <c r="D1258" s="12" t="s">
        <v>6047</v>
      </c>
      <c r="E1258" s="12" t="s">
        <v>11180</v>
      </c>
      <c r="F1258" s="12" t="s">
        <v>11181</v>
      </c>
      <c r="G1258" s="12" t="s">
        <v>11182</v>
      </c>
      <c r="H1258" s="12" t="s">
        <v>6051</v>
      </c>
      <c r="I1258" s="12" t="s">
        <v>6362</v>
      </c>
      <c r="J1258" s="12">
        <v>34153</v>
      </c>
      <c r="K1258" s="12" t="s">
        <v>11183</v>
      </c>
      <c r="L1258" s="12" t="s">
        <v>6345</v>
      </c>
      <c r="M1258" s="13">
        <v>42323</v>
      </c>
      <c r="N1258" s="12" t="s">
        <v>11184</v>
      </c>
      <c r="O1258" s="12" t="s">
        <v>11185</v>
      </c>
      <c r="P1258" s="12"/>
      <c r="Q1258" s="12">
        <v>1</v>
      </c>
    </row>
    <row r="1259" spans="1:17" ht="15.75" customHeight="1">
      <c r="A1259" s="12">
        <v>15</v>
      </c>
      <c r="B1259" s="12">
        <v>1437</v>
      </c>
      <c r="C1259" s="12">
        <v>21766</v>
      </c>
      <c r="D1259" s="12" t="s">
        <v>6047</v>
      </c>
      <c r="E1259" s="12" t="s">
        <v>11186</v>
      </c>
      <c r="F1259" s="12" t="s">
        <v>11187</v>
      </c>
      <c r="G1259" s="12" t="s">
        <v>11188</v>
      </c>
      <c r="H1259" s="12" t="s">
        <v>6051</v>
      </c>
      <c r="I1259" s="12" t="s">
        <v>8726</v>
      </c>
      <c r="J1259" s="12">
        <v>21766</v>
      </c>
      <c r="K1259" s="12" t="s">
        <v>8727</v>
      </c>
      <c r="L1259" s="12" t="s">
        <v>6905</v>
      </c>
      <c r="M1259" s="13">
        <v>45980</v>
      </c>
      <c r="N1259" s="12" t="s">
        <v>8728</v>
      </c>
      <c r="O1259" s="12" t="s">
        <v>8729</v>
      </c>
      <c r="P1259" s="12"/>
      <c r="Q1259" s="12">
        <v>1</v>
      </c>
    </row>
    <row r="1260" spans="1:17" ht="15.75" customHeight="1">
      <c r="A1260" s="12">
        <v>1194</v>
      </c>
      <c r="B1260" s="12">
        <v>2009</v>
      </c>
      <c r="C1260" s="12">
        <v>35432</v>
      </c>
      <c r="D1260" s="12" t="s">
        <v>6047</v>
      </c>
      <c r="E1260" s="12" t="s">
        <v>11189</v>
      </c>
      <c r="F1260" s="12" t="s">
        <v>11190</v>
      </c>
      <c r="G1260" s="12" t="s">
        <v>11191</v>
      </c>
      <c r="H1260" s="12" t="s">
        <v>6051</v>
      </c>
      <c r="I1260" s="12" t="s">
        <v>6700</v>
      </c>
      <c r="J1260" s="12">
        <v>35432</v>
      </c>
      <c r="K1260" s="12" t="s">
        <v>6429</v>
      </c>
      <c r="L1260" s="12" t="s">
        <v>6423</v>
      </c>
      <c r="M1260" s="13">
        <v>41991</v>
      </c>
      <c r="N1260" s="12" t="s">
        <v>6430</v>
      </c>
      <c r="O1260" s="12" t="s">
        <v>6431</v>
      </c>
      <c r="P1260" s="12"/>
      <c r="Q1260" s="12">
        <v>1</v>
      </c>
    </row>
    <row r="1261" spans="1:17" ht="15.75" customHeight="1">
      <c r="A1261" s="12">
        <v>769</v>
      </c>
      <c r="B1261" s="12">
        <v>52</v>
      </c>
      <c r="C1261" s="12">
        <v>656</v>
      </c>
      <c r="D1261" s="12" t="s">
        <v>6047</v>
      </c>
      <c r="E1261" s="12" t="s">
        <v>11192</v>
      </c>
      <c r="F1261" s="12" t="s">
        <v>11193</v>
      </c>
      <c r="G1261" s="12" t="s">
        <v>11194</v>
      </c>
      <c r="H1261" s="12" t="s">
        <v>6289</v>
      </c>
      <c r="I1261" s="12" t="s">
        <v>6290</v>
      </c>
      <c r="J1261" s="12">
        <v>656</v>
      </c>
      <c r="K1261" s="12" t="s">
        <v>11195</v>
      </c>
      <c r="L1261" s="12" t="s">
        <v>6590</v>
      </c>
      <c r="M1261" s="13">
        <v>43036</v>
      </c>
      <c r="N1261" s="12" t="s">
        <v>11196</v>
      </c>
      <c r="O1261" s="12" t="s">
        <v>11197</v>
      </c>
      <c r="P1261" s="12"/>
      <c r="Q1261" s="12">
        <v>1</v>
      </c>
    </row>
    <row r="1262" spans="1:17" ht="15.75" customHeight="1">
      <c r="A1262" s="12">
        <v>1537</v>
      </c>
      <c r="B1262" s="12">
        <v>540</v>
      </c>
      <c r="C1262" s="12">
        <v>7205</v>
      </c>
      <c r="D1262" s="12" t="s">
        <v>6047</v>
      </c>
      <c r="E1262" s="12" t="s">
        <v>3700</v>
      </c>
      <c r="F1262" s="12" t="s">
        <v>11198</v>
      </c>
      <c r="G1262" s="12" t="s">
        <v>11199</v>
      </c>
      <c r="H1262" s="12" t="s">
        <v>7427</v>
      </c>
      <c r="I1262" s="12" t="s">
        <v>7428</v>
      </c>
      <c r="J1262" s="12">
        <v>7205</v>
      </c>
      <c r="K1262" s="12" t="s">
        <v>7429</v>
      </c>
      <c r="L1262" s="12" t="s">
        <v>6255</v>
      </c>
      <c r="M1262" s="13">
        <v>41568</v>
      </c>
      <c r="N1262" s="12" t="s">
        <v>7430</v>
      </c>
      <c r="O1262" s="12" t="s">
        <v>7431</v>
      </c>
      <c r="P1262" s="12"/>
      <c r="Q1262" s="12">
        <v>1</v>
      </c>
    </row>
    <row r="1263" spans="1:17" ht="15.75" customHeight="1">
      <c r="A1263" s="12">
        <v>1115</v>
      </c>
      <c r="B1263" s="12">
        <v>401</v>
      </c>
      <c r="C1263" s="12">
        <v>5836</v>
      </c>
      <c r="D1263" s="12" t="s">
        <v>6047</v>
      </c>
      <c r="E1263" s="12" t="s">
        <v>11200</v>
      </c>
      <c r="F1263" s="12" t="s">
        <v>11201</v>
      </c>
      <c r="G1263" s="12" t="s">
        <v>11202</v>
      </c>
      <c r="H1263" s="12" t="s">
        <v>6137</v>
      </c>
      <c r="I1263" s="12" t="s">
        <v>6323</v>
      </c>
      <c r="J1263" s="12">
        <v>5836</v>
      </c>
      <c r="K1263" s="12" t="s">
        <v>9312</v>
      </c>
      <c r="L1263" s="12" t="s">
        <v>6240</v>
      </c>
      <c r="M1263" s="13">
        <v>42492</v>
      </c>
      <c r="N1263" s="12" t="s">
        <v>9313</v>
      </c>
      <c r="O1263" s="12" t="s">
        <v>11203</v>
      </c>
      <c r="P1263" s="12"/>
      <c r="Q1263" s="12">
        <v>1</v>
      </c>
    </row>
    <row r="1264" spans="1:17" ht="15.75" customHeight="1">
      <c r="A1264" s="12">
        <v>929</v>
      </c>
      <c r="B1264" s="12">
        <v>1230</v>
      </c>
      <c r="C1264" s="12">
        <v>17440</v>
      </c>
      <c r="D1264" s="12" t="s">
        <v>6047</v>
      </c>
      <c r="E1264" s="12" t="s">
        <v>11204</v>
      </c>
      <c r="F1264" s="12" t="s">
        <v>11205</v>
      </c>
      <c r="G1264" s="12" t="s">
        <v>11206</v>
      </c>
      <c r="H1264" s="12" t="s">
        <v>6051</v>
      </c>
      <c r="I1264" s="12" t="s">
        <v>6052</v>
      </c>
      <c r="J1264" s="12">
        <v>17440</v>
      </c>
      <c r="K1264" s="12" t="s">
        <v>10922</v>
      </c>
      <c r="L1264" s="12" t="s">
        <v>6955</v>
      </c>
      <c r="M1264" s="13">
        <v>42828</v>
      </c>
      <c r="N1264" s="12" t="s">
        <v>10923</v>
      </c>
      <c r="O1264" s="12" t="s">
        <v>10924</v>
      </c>
      <c r="P1264" s="12"/>
      <c r="Q1264" s="12">
        <v>1</v>
      </c>
    </row>
    <row r="1265" spans="1:17" ht="15.75" customHeight="1">
      <c r="A1265" s="12">
        <v>247</v>
      </c>
      <c r="B1265" s="12">
        <v>820</v>
      </c>
      <c r="C1265" s="12">
        <v>10374</v>
      </c>
      <c r="D1265" s="12" t="s">
        <v>6047</v>
      </c>
      <c r="E1265" s="12" t="s">
        <v>11207</v>
      </c>
      <c r="F1265" s="12" t="s">
        <v>11208</v>
      </c>
      <c r="G1265" s="12" t="s">
        <v>11209</v>
      </c>
      <c r="H1265" s="12" t="s">
        <v>6265</v>
      </c>
      <c r="I1265" s="12" t="s">
        <v>10250</v>
      </c>
      <c r="J1265" s="12">
        <v>10374</v>
      </c>
      <c r="K1265" s="12" t="s">
        <v>9834</v>
      </c>
      <c r="L1265" s="12" t="s">
        <v>7739</v>
      </c>
      <c r="M1265" s="13">
        <v>45606</v>
      </c>
      <c r="N1265" s="12" t="s">
        <v>9835</v>
      </c>
      <c r="O1265" s="12" t="s">
        <v>10700</v>
      </c>
      <c r="P1265" s="12"/>
      <c r="Q1265" s="12">
        <v>1</v>
      </c>
    </row>
    <row r="1266" spans="1:17" ht="15.75" customHeight="1">
      <c r="A1266" s="12">
        <v>1092</v>
      </c>
      <c r="B1266" s="12">
        <v>994</v>
      </c>
      <c r="C1266" s="12">
        <v>13627</v>
      </c>
      <c r="D1266" s="12" t="s">
        <v>6047</v>
      </c>
      <c r="E1266" s="12" t="s">
        <v>11210</v>
      </c>
      <c r="F1266" s="12" t="s">
        <v>11211</v>
      </c>
      <c r="G1266" s="12" t="s">
        <v>11212</v>
      </c>
      <c r="H1266" s="12" t="s">
        <v>6051</v>
      </c>
      <c r="I1266" s="12" t="s">
        <v>6741</v>
      </c>
      <c r="J1266" s="12">
        <v>13627</v>
      </c>
      <c r="K1266" s="12" t="s">
        <v>7166</v>
      </c>
      <c r="L1266" s="12" t="s">
        <v>6504</v>
      </c>
      <c r="M1266" s="13">
        <v>42685</v>
      </c>
      <c r="N1266" s="12" t="s">
        <v>7167</v>
      </c>
      <c r="O1266" s="12" t="s">
        <v>7168</v>
      </c>
      <c r="P1266" s="12"/>
      <c r="Q1266" s="12">
        <v>1</v>
      </c>
    </row>
    <row r="1267" spans="1:17" ht="15.75" customHeight="1">
      <c r="A1267" s="12">
        <v>1723</v>
      </c>
      <c r="B1267" s="12">
        <v>85</v>
      </c>
      <c r="C1267" s="12">
        <v>945</v>
      </c>
      <c r="D1267" s="12" t="s">
        <v>6047</v>
      </c>
      <c r="E1267" s="12" t="s">
        <v>11213</v>
      </c>
      <c r="F1267" s="12" t="s">
        <v>11214</v>
      </c>
      <c r="G1267" s="12" t="s">
        <v>11215</v>
      </c>
      <c r="H1267" s="12" t="s">
        <v>6435</v>
      </c>
      <c r="I1267" s="12" t="s">
        <v>6436</v>
      </c>
      <c r="J1267" s="12">
        <v>945</v>
      </c>
      <c r="K1267" s="12" t="s">
        <v>8471</v>
      </c>
      <c r="L1267" s="12" t="s">
        <v>7333</v>
      </c>
      <c r="M1267" s="13">
        <v>40876</v>
      </c>
      <c r="N1267" s="12" t="s">
        <v>8472</v>
      </c>
      <c r="O1267" s="12" t="s">
        <v>8473</v>
      </c>
      <c r="P1267" s="12"/>
      <c r="Q1267" s="12">
        <v>1</v>
      </c>
    </row>
    <row r="1268" spans="1:17" ht="15.75" customHeight="1">
      <c r="A1268" s="12">
        <v>1859</v>
      </c>
      <c r="B1268" s="12">
        <v>144</v>
      </c>
      <c r="C1268" s="12">
        <v>2263</v>
      </c>
      <c r="D1268" s="12" t="s">
        <v>6047</v>
      </c>
      <c r="E1268" s="12" t="s">
        <v>11216</v>
      </c>
      <c r="F1268" s="12" t="s">
        <v>11217</v>
      </c>
      <c r="G1268" s="12" t="s">
        <v>11218</v>
      </c>
      <c r="H1268" s="12" t="s">
        <v>6127</v>
      </c>
      <c r="I1268" s="12" t="s">
        <v>6128</v>
      </c>
      <c r="J1268" s="12">
        <v>2263</v>
      </c>
      <c r="K1268" s="12" t="s">
        <v>6062</v>
      </c>
      <c r="L1268" s="12" t="s">
        <v>6063</v>
      </c>
      <c r="M1268" s="13">
        <v>40873</v>
      </c>
      <c r="N1268" s="12" t="s">
        <v>6064</v>
      </c>
      <c r="O1268" s="12" t="s">
        <v>6065</v>
      </c>
      <c r="P1268" s="12"/>
      <c r="Q1268" s="12">
        <v>1</v>
      </c>
    </row>
    <row r="1269" spans="1:17" ht="15.75" customHeight="1">
      <c r="A1269" s="12">
        <v>1014</v>
      </c>
      <c r="B1269" s="12">
        <v>1038</v>
      </c>
      <c r="C1269" s="12">
        <v>14664</v>
      </c>
      <c r="D1269" s="12" t="s">
        <v>6047</v>
      </c>
      <c r="E1269" s="12" t="s">
        <v>11219</v>
      </c>
      <c r="F1269" s="12" t="s">
        <v>11220</v>
      </c>
      <c r="G1269" s="12" t="s">
        <v>11221</v>
      </c>
      <c r="H1269" s="12" t="s">
        <v>6051</v>
      </c>
      <c r="I1269" s="12" t="s">
        <v>6476</v>
      </c>
      <c r="J1269" s="12">
        <v>14664</v>
      </c>
      <c r="K1269" s="12" t="s">
        <v>11222</v>
      </c>
      <c r="L1269" s="12" t="s">
        <v>6357</v>
      </c>
      <c r="M1269" s="13">
        <v>42691</v>
      </c>
      <c r="N1269" s="12" t="s">
        <v>11223</v>
      </c>
      <c r="O1269" s="12" t="s">
        <v>11224</v>
      </c>
      <c r="P1269" s="12"/>
      <c r="Q1269" s="12">
        <v>1</v>
      </c>
    </row>
    <row r="1270" spans="1:17" ht="15.75" customHeight="1">
      <c r="A1270" s="12">
        <v>507</v>
      </c>
      <c r="B1270" s="12">
        <v>1197</v>
      </c>
      <c r="C1270" s="12">
        <v>17103</v>
      </c>
      <c r="D1270" s="12" t="s">
        <v>6047</v>
      </c>
      <c r="E1270" s="12" t="s">
        <v>11225</v>
      </c>
      <c r="F1270" s="12" t="s">
        <v>11226</v>
      </c>
      <c r="G1270" s="12" t="s">
        <v>11227</v>
      </c>
      <c r="H1270" s="12" t="s">
        <v>6051</v>
      </c>
      <c r="I1270" s="12" t="s">
        <v>6052</v>
      </c>
      <c r="J1270" s="12">
        <v>17103</v>
      </c>
      <c r="K1270" s="12" t="s">
        <v>6416</v>
      </c>
      <c r="L1270" s="12" t="s">
        <v>6417</v>
      </c>
      <c r="M1270" s="13">
        <v>43567</v>
      </c>
      <c r="N1270" s="12" t="s">
        <v>6418</v>
      </c>
      <c r="O1270" s="12" t="s">
        <v>6419</v>
      </c>
      <c r="P1270" s="12"/>
      <c r="Q1270" s="12">
        <v>1</v>
      </c>
    </row>
    <row r="1271" spans="1:17" ht="15.75" customHeight="1">
      <c r="A1271" s="12">
        <v>1251</v>
      </c>
      <c r="B1271" s="12">
        <v>2020</v>
      </c>
      <c r="C1271" s="12">
        <v>35620</v>
      </c>
      <c r="D1271" s="12" t="s">
        <v>6047</v>
      </c>
      <c r="E1271" s="12" t="s">
        <v>11228</v>
      </c>
      <c r="F1271" s="12" t="s">
        <v>11229</v>
      </c>
      <c r="G1271" s="12" t="s">
        <v>11230</v>
      </c>
      <c r="H1271" s="12" t="s">
        <v>6051</v>
      </c>
      <c r="I1271" s="12" t="s">
        <v>6700</v>
      </c>
      <c r="J1271" s="12">
        <v>35620</v>
      </c>
      <c r="K1271" s="12" t="s">
        <v>6470</v>
      </c>
      <c r="L1271" s="12" t="s">
        <v>6423</v>
      </c>
      <c r="M1271" s="13">
        <v>41990</v>
      </c>
      <c r="N1271" s="12" t="s">
        <v>6471</v>
      </c>
      <c r="O1271" s="12" t="s">
        <v>6472</v>
      </c>
      <c r="P1271" s="12"/>
      <c r="Q1271" s="12">
        <v>1</v>
      </c>
    </row>
    <row r="1272" spans="1:17" ht="15.75" customHeight="1">
      <c r="A1272" s="12">
        <v>1165</v>
      </c>
      <c r="B1272" s="12">
        <v>1979</v>
      </c>
      <c r="C1272" s="12">
        <v>35054</v>
      </c>
      <c r="D1272" s="12" t="s">
        <v>6047</v>
      </c>
      <c r="E1272" s="12" t="s">
        <v>11231</v>
      </c>
      <c r="F1272" s="12" t="s">
        <v>11232</v>
      </c>
      <c r="G1272" s="12" t="s">
        <v>11233</v>
      </c>
      <c r="H1272" s="12" t="s">
        <v>6051</v>
      </c>
      <c r="I1272" s="12" t="s">
        <v>6700</v>
      </c>
      <c r="J1272" s="12">
        <v>35054</v>
      </c>
      <c r="K1272" s="12" t="s">
        <v>7873</v>
      </c>
      <c r="L1272" s="12" t="s">
        <v>6832</v>
      </c>
      <c r="M1272" s="13">
        <v>41998</v>
      </c>
      <c r="N1272" s="12" t="s">
        <v>7874</v>
      </c>
      <c r="O1272" s="12" t="s">
        <v>7875</v>
      </c>
      <c r="P1272" s="12"/>
      <c r="Q1272" s="12">
        <v>1</v>
      </c>
    </row>
    <row r="1273" spans="1:17" ht="15.75" customHeight="1">
      <c r="A1273" s="12">
        <v>595</v>
      </c>
      <c r="B1273" s="12">
        <v>1552</v>
      </c>
      <c r="C1273" s="12">
        <v>27448</v>
      </c>
      <c r="D1273" s="12" t="s">
        <v>6047</v>
      </c>
      <c r="E1273" s="12" t="s">
        <v>11234</v>
      </c>
      <c r="F1273" s="12" t="s">
        <v>11235</v>
      </c>
      <c r="G1273" s="12" t="s">
        <v>11236</v>
      </c>
      <c r="H1273" s="12" t="s">
        <v>6051</v>
      </c>
      <c r="I1273" s="12" t="s">
        <v>6704</v>
      </c>
      <c r="J1273" s="12">
        <v>27448</v>
      </c>
      <c r="K1273" s="12" t="s">
        <v>11237</v>
      </c>
      <c r="L1273" s="12" t="s">
        <v>6408</v>
      </c>
      <c r="M1273" s="13">
        <v>43560</v>
      </c>
      <c r="N1273" s="12" t="s">
        <v>11238</v>
      </c>
      <c r="O1273" s="12" t="s">
        <v>11239</v>
      </c>
      <c r="P1273" s="12"/>
      <c r="Q1273" s="12">
        <v>1</v>
      </c>
    </row>
    <row r="1274" spans="1:17" ht="15.75" customHeight="1">
      <c r="A1274" s="12">
        <v>63</v>
      </c>
      <c r="B1274" s="12">
        <v>420</v>
      </c>
      <c r="C1274" s="12">
        <v>5966</v>
      </c>
      <c r="D1274" s="12" t="s">
        <v>6047</v>
      </c>
      <c r="E1274" s="12" t="s">
        <v>3716</v>
      </c>
      <c r="F1274" s="12" t="s">
        <v>11240</v>
      </c>
      <c r="G1274" s="12" t="s">
        <v>11241</v>
      </c>
      <c r="H1274" s="12" t="s">
        <v>6137</v>
      </c>
      <c r="I1274" s="12" t="s">
        <v>11242</v>
      </c>
      <c r="J1274" s="12">
        <v>5966</v>
      </c>
      <c r="K1274" s="12" t="s">
        <v>6655</v>
      </c>
      <c r="L1274" s="12" t="s">
        <v>6564</v>
      </c>
      <c r="M1274" s="13">
        <v>45971</v>
      </c>
      <c r="N1274" s="12" t="s">
        <v>6656</v>
      </c>
      <c r="O1274" s="12" t="s">
        <v>6657</v>
      </c>
      <c r="P1274" s="12"/>
      <c r="Q1274" s="12">
        <v>1</v>
      </c>
    </row>
    <row r="1275" spans="1:17" ht="15.75" customHeight="1">
      <c r="A1275" s="12">
        <v>2043</v>
      </c>
      <c r="B1275" s="12">
        <v>849</v>
      </c>
      <c r="C1275" s="12">
        <v>10874</v>
      </c>
      <c r="D1275" s="12" t="s">
        <v>6047</v>
      </c>
      <c r="E1275" s="12" t="s">
        <v>11243</v>
      </c>
      <c r="F1275" s="12" t="s">
        <v>11244</v>
      </c>
      <c r="G1275" s="12" t="s">
        <v>11245</v>
      </c>
      <c r="H1275" s="12" t="s">
        <v>6060</v>
      </c>
      <c r="I1275" s="12" t="s">
        <v>7082</v>
      </c>
      <c r="J1275" s="12">
        <v>10874</v>
      </c>
      <c r="K1275" s="12" t="s">
        <v>7867</v>
      </c>
      <c r="L1275" s="12" t="s">
        <v>6408</v>
      </c>
      <c r="M1275" s="13">
        <v>38170</v>
      </c>
      <c r="N1275" s="12" t="s">
        <v>7868</v>
      </c>
      <c r="O1275" s="12" t="s">
        <v>7869</v>
      </c>
      <c r="P1275" s="12"/>
      <c r="Q1275" s="12">
        <v>1</v>
      </c>
    </row>
    <row r="1276" spans="1:17" ht="15.75" customHeight="1">
      <c r="A1276" s="12">
        <v>937</v>
      </c>
      <c r="B1276" s="12">
        <v>695</v>
      </c>
      <c r="C1276" s="12">
        <v>8389</v>
      </c>
      <c r="D1276" s="12" t="s">
        <v>6047</v>
      </c>
      <c r="E1276" s="12" t="s">
        <v>11246</v>
      </c>
      <c r="F1276" s="12" t="s">
        <v>11247</v>
      </c>
      <c r="G1276" s="12" t="s">
        <v>11248</v>
      </c>
      <c r="H1276" s="12" t="s">
        <v>6075</v>
      </c>
      <c r="I1276" s="12" t="s">
        <v>6076</v>
      </c>
      <c r="J1276" s="12">
        <v>8389</v>
      </c>
      <c r="K1276" s="12" t="s">
        <v>6752</v>
      </c>
      <c r="L1276" s="12" t="s">
        <v>6753</v>
      </c>
      <c r="M1276" s="13">
        <v>42828</v>
      </c>
      <c r="N1276" s="12" t="s">
        <v>6754</v>
      </c>
      <c r="O1276" s="12" t="s">
        <v>6891</v>
      </c>
      <c r="P1276" s="12"/>
      <c r="Q1276" s="12">
        <v>1</v>
      </c>
    </row>
    <row r="1277" spans="1:17" ht="15.75" customHeight="1">
      <c r="A1277" s="12">
        <v>2053</v>
      </c>
      <c r="B1277" s="12">
        <v>125</v>
      </c>
      <c r="C1277" s="12">
        <v>1980</v>
      </c>
      <c r="D1277" s="12" t="s">
        <v>6047</v>
      </c>
      <c r="E1277" s="12" t="s">
        <v>11249</v>
      </c>
      <c r="F1277" s="12" t="s">
        <v>11250</v>
      </c>
      <c r="G1277" s="12" t="s">
        <v>11251</v>
      </c>
      <c r="H1277" s="12" t="s">
        <v>6127</v>
      </c>
      <c r="I1277" s="12" t="s">
        <v>6128</v>
      </c>
      <c r="J1277" s="12">
        <v>1980</v>
      </c>
      <c r="K1277" s="12" t="s">
        <v>7867</v>
      </c>
      <c r="L1277" s="12" t="s">
        <v>6408</v>
      </c>
      <c r="M1277" s="13">
        <v>38170</v>
      </c>
      <c r="N1277" s="12" t="s">
        <v>7868</v>
      </c>
      <c r="O1277" s="12" t="s">
        <v>7869</v>
      </c>
      <c r="P1277" s="12"/>
      <c r="Q1277" s="12">
        <v>1</v>
      </c>
    </row>
    <row r="1278" spans="1:17" ht="15.75" customHeight="1">
      <c r="A1278" s="12">
        <v>1252</v>
      </c>
      <c r="B1278" s="12">
        <v>2008</v>
      </c>
      <c r="C1278" s="12">
        <v>35376</v>
      </c>
      <c r="D1278" s="12" t="s">
        <v>6047</v>
      </c>
      <c r="E1278" s="12" t="s">
        <v>3721</v>
      </c>
      <c r="F1278" s="12" t="s">
        <v>11252</v>
      </c>
      <c r="G1278" s="12" t="s">
        <v>11253</v>
      </c>
      <c r="H1278" s="12" t="s">
        <v>6051</v>
      </c>
      <c r="I1278" s="12" t="s">
        <v>6700</v>
      </c>
      <c r="J1278" s="12">
        <v>35376</v>
      </c>
      <c r="K1278" s="12" t="s">
        <v>6470</v>
      </c>
      <c r="L1278" s="12" t="s">
        <v>6423</v>
      </c>
      <c r="M1278" s="13">
        <v>41990</v>
      </c>
      <c r="N1278" s="12" t="s">
        <v>6471</v>
      </c>
      <c r="O1278" s="12" t="s">
        <v>6472</v>
      </c>
      <c r="P1278" s="12"/>
      <c r="Q1278" s="12">
        <v>1</v>
      </c>
    </row>
    <row r="1279" spans="1:17" ht="15.75" customHeight="1">
      <c r="A1279" s="12">
        <v>241</v>
      </c>
      <c r="B1279" s="12">
        <v>1378</v>
      </c>
      <c r="C1279" s="12">
        <v>20004</v>
      </c>
      <c r="D1279" s="12" t="s">
        <v>6047</v>
      </c>
      <c r="E1279" s="12" t="s">
        <v>11254</v>
      </c>
      <c r="F1279" s="12" t="s">
        <v>11255</v>
      </c>
      <c r="G1279" s="12" t="s">
        <v>11256</v>
      </c>
      <c r="H1279" s="12" t="s">
        <v>6051</v>
      </c>
      <c r="I1279" s="12" t="s">
        <v>6523</v>
      </c>
      <c r="J1279" s="12">
        <v>20004</v>
      </c>
      <c r="K1279" s="12" t="s">
        <v>11257</v>
      </c>
      <c r="L1279" s="12" t="s">
        <v>7739</v>
      </c>
      <c r="M1279" s="13">
        <v>45606</v>
      </c>
      <c r="N1279" s="12" t="s">
        <v>11258</v>
      </c>
      <c r="O1279" s="12" t="s">
        <v>11259</v>
      </c>
      <c r="P1279" s="12"/>
      <c r="Q1279" s="12">
        <v>1</v>
      </c>
    </row>
    <row r="1280" spans="1:17" ht="15.75" customHeight="1">
      <c r="A1280" s="12">
        <v>4</v>
      </c>
      <c r="B1280" s="12">
        <v>750</v>
      </c>
      <c r="C1280" s="12">
        <v>9323</v>
      </c>
      <c r="D1280" s="12" t="s">
        <v>6047</v>
      </c>
      <c r="E1280" s="12" t="s">
        <v>3725</v>
      </c>
      <c r="F1280" s="12" t="s">
        <v>11260</v>
      </c>
      <c r="G1280" s="12" t="s">
        <v>11261</v>
      </c>
      <c r="H1280" s="12" t="s">
        <v>6275</v>
      </c>
      <c r="I1280" s="12" t="s">
        <v>6453</v>
      </c>
      <c r="J1280" s="12">
        <v>9323</v>
      </c>
      <c r="K1280" s="12" t="s">
        <v>6569</v>
      </c>
      <c r="L1280" s="12" t="s">
        <v>6564</v>
      </c>
      <c r="M1280" s="13">
        <v>45985</v>
      </c>
      <c r="N1280" s="12" t="s">
        <v>6570</v>
      </c>
      <c r="O1280" s="12" t="s">
        <v>11262</v>
      </c>
      <c r="P1280" s="12"/>
      <c r="Q1280" s="12">
        <v>1</v>
      </c>
    </row>
    <row r="1281" spans="1:17" ht="15.75" customHeight="1">
      <c r="A1281" s="12">
        <v>1238</v>
      </c>
      <c r="B1281" s="12">
        <v>882</v>
      </c>
      <c r="C1281" s="12">
        <v>11547</v>
      </c>
      <c r="D1281" s="12" t="s">
        <v>6047</v>
      </c>
      <c r="E1281" s="12" t="s">
        <v>11263</v>
      </c>
      <c r="F1281" s="12" t="s">
        <v>11264</v>
      </c>
      <c r="G1281" s="12" t="s">
        <v>11265</v>
      </c>
      <c r="H1281" s="12" t="s">
        <v>6060</v>
      </c>
      <c r="I1281" s="12" t="s">
        <v>6061</v>
      </c>
      <c r="J1281" s="12">
        <v>11547</v>
      </c>
      <c r="K1281" s="12" t="s">
        <v>6429</v>
      </c>
      <c r="L1281" s="12" t="s">
        <v>6423</v>
      </c>
      <c r="M1281" s="13">
        <v>41991</v>
      </c>
      <c r="N1281" s="12" t="s">
        <v>6430</v>
      </c>
      <c r="O1281" s="12" t="s">
        <v>6431</v>
      </c>
      <c r="P1281" s="12"/>
      <c r="Q1281" s="12">
        <v>1</v>
      </c>
    </row>
    <row r="1282" spans="1:17" ht="15.75" customHeight="1">
      <c r="A1282" s="12">
        <v>503</v>
      </c>
      <c r="B1282" s="12">
        <v>1887</v>
      </c>
      <c r="C1282" s="12">
        <v>34185</v>
      </c>
      <c r="D1282" s="12" t="s">
        <v>6047</v>
      </c>
      <c r="E1282" s="12" t="s">
        <v>11266</v>
      </c>
      <c r="F1282" s="12" t="s">
        <v>11267</v>
      </c>
      <c r="G1282" s="12" t="s">
        <v>11268</v>
      </c>
      <c r="H1282" s="12" t="s">
        <v>6051</v>
      </c>
      <c r="I1282" s="12" t="s">
        <v>6362</v>
      </c>
      <c r="J1282" s="12">
        <v>34185</v>
      </c>
      <c r="K1282" s="12" t="s">
        <v>11269</v>
      </c>
      <c r="L1282" s="12" t="s">
        <v>6240</v>
      </c>
      <c r="M1282" s="13">
        <v>43592</v>
      </c>
      <c r="N1282" s="12" t="s">
        <v>11270</v>
      </c>
      <c r="O1282" s="12" t="s">
        <v>11271</v>
      </c>
      <c r="P1282" s="12"/>
      <c r="Q1282" s="12">
        <v>1</v>
      </c>
    </row>
    <row r="1283" spans="1:17" ht="15.75" customHeight="1">
      <c r="A1283" s="12">
        <v>367</v>
      </c>
      <c r="B1283" s="12">
        <v>843</v>
      </c>
      <c r="C1283" s="12">
        <v>10831</v>
      </c>
      <c r="D1283" s="12" t="s">
        <v>6047</v>
      </c>
      <c r="E1283" s="12" t="s">
        <v>11272</v>
      </c>
      <c r="F1283" s="12" t="s">
        <v>11273</v>
      </c>
      <c r="G1283" s="12" t="s">
        <v>11274</v>
      </c>
      <c r="H1283" s="12" t="s">
        <v>6060</v>
      </c>
      <c r="I1283" s="12" t="s">
        <v>11275</v>
      </c>
      <c r="J1283" s="12">
        <v>10831</v>
      </c>
      <c r="K1283" s="12" t="s">
        <v>7049</v>
      </c>
      <c r="L1283" s="12" t="s">
        <v>6226</v>
      </c>
      <c r="M1283" s="13">
        <v>44721</v>
      </c>
      <c r="N1283" s="12" t="s">
        <v>7050</v>
      </c>
      <c r="O1283" s="12" t="s">
        <v>7051</v>
      </c>
      <c r="P1283" s="12"/>
      <c r="Q1283" s="12">
        <v>1</v>
      </c>
    </row>
    <row r="1284" spans="1:17" ht="15.75" customHeight="1">
      <c r="A1284" s="12">
        <v>1152</v>
      </c>
      <c r="B1284" s="12">
        <v>1857</v>
      </c>
      <c r="C1284" s="12">
        <v>33963</v>
      </c>
      <c r="D1284" s="12" t="s">
        <v>6047</v>
      </c>
      <c r="E1284" s="12" t="s">
        <v>11276</v>
      </c>
      <c r="F1284" s="12" t="s">
        <v>11277</v>
      </c>
      <c r="G1284" s="12" t="s">
        <v>11278</v>
      </c>
      <c r="H1284" s="12" t="s">
        <v>6051</v>
      </c>
      <c r="I1284" s="12" t="s">
        <v>6362</v>
      </c>
      <c r="J1284" s="12">
        <v>33963</v>
      </c>
      <c r="K1284" s="12" t="s">
        <v>8208</v>
      </c>
      <c r="L1284" s="12" t="s">
        <v>6393</v>
      </c>
      <c r="M1284" s="13">
        <v>42136</v>
      </c>
      <c r="N1284" s="12" t="s">
        <v>8209</v>
      </c>
      <c r="O1284" s="12" t="s">
        <v>8778</v>
      </c>
      <c r="P1284" s="12"/>
      <c r="Q1284" s="12">
        <v>1</v>
      </c>
    </row>
    <row r="1285" spans="1:17" ht="15.75" customHeight="1">
      <c r="A1285" s="12">
        <v>1656</v>
      </c>
      <c r="B1285" s="12">
        <v>1738</v>
      </c>
      <c r="C1285" s="12">
        <v>32324</v>
      </c>
      <c r="D1285" s="12" t="s">
        <v>6047</v>
      </c>
      <c r="E1285" s="12" t="s">
        <v>3757</v>
      </c>
      <c r="F1285" s="12" t="s">
        <v>11279</v>
      </c>
      <c r="G1285" s="12" t="s">
        <v>11280</v>
      </c>
      <c r="H1285" s="12" t="s">
        <v>6051</v>
      </c>
      <c r="I1285" s="12" t="s">
        <v>6232</v>
      </c>
      <c r="J1285" s="12">
        <v>32324</v>
      </c>
      <c r="K1285" s="12" t="s">
        <v>6375</v>
      </c>
      <c r="L1285" s="12" t="s">
        <v>6240</v>
      </c>
      <c r="M1285" s="13">
        <v>41209</v>
      </c>
      <c r="N1285" s="12" t="s">
        <v>6376</v>
      </c>
      <c r="O1285" s="12" t="s">
        <v>11281</v>
      </c>
      <c r="P1285" s="12"/>
      <c r="Q1285" s="12">
        <v>1</v>
      </c>
    </row>
    <row r="1286" spans="1:17" ht="15.75" customHeight="1">
      <c r="A1286" s="12">
        <v>1851</v>
      </c>
      <c r="B1286" s="12">
        <v>367</v>
      </c>
      <c r="C1286" s="12">
        <v>5515</v>
      </c>
      <c r="D1286" s="12" t="s">
        <v>6047</v>
      </c>
      <c r="E1286" s="12" t="s">
        <v>11282</v>
      </c>
      <c r="F1286" s="12" t="s">
        <v>11283</v>
      </c>
      <c r="G1286" s="12" t="s">
        <v>11284</v>
      </c>
      <c r="H1286" s="12" t="s">
        <v>6213</v>
      </c>
      <c r="I1286" s="12" t="s">
        <v>6214</v>
      </c>
      <c r="J1286" s="12">
        <v>5515</v>
      </c>
      <c r="K1286" s="12" t="s">
        <v>6062</v>
      </c>
      <c r="L1286" s="12" t="s">
        <v>6063</v>
      </c>
      <c r="M1286" s="13">
        <v>40873</v>
      </c>
      <c r="N1286" s="12" t="s">
        <v>6064</v>
      </c>
      <c r="O1286" s="12" t="s">
        <v>6065</v>
      </c>
      <c r="P1286" s="12"/>
      <c r="Q1286" s="12">
        <v>1</v>
      </c>
    </row>
    <row r="1287" spans="1:17" ht="15.75" customHeight="1">
      <c r="A1287" s="12">
        <v>1380</v>
      </c>
      <c r="B1287" s="12">
        <v>623</v>
      </c>
      <c r="C1287" s="12">
        <v>7766</v>
      </c>
      <c r="D1287" s="12" t="s">
        <v>6047</v>
      </c>
      <c r="E1287" s="12" t="s">
        <v>11285</v>
      </c>
      <c r="F1287" s="12" t="s">
        <v>11286</v>
      </c>
      <c r="G1287" s="12" t="s">
        <v>11287</v>
      </c>
      <c r="H1287" s="12" t="s">
        <v>6187</v>
      </c>
      <c r="I1287" s="12" t="s">
        <v>6224</v>
      </c>
      <c r="J1287" s="12">
        <v>7766</v>
      </c>
      <c r="K1287" s="12" t="s">
        <v>6077</v>
      </c>
      <c r="L1287" s="12" t="s">
        <v>6078</v>
      </c>
      <c r="M1287" s="13">
        <v>41914</v>
      </c>
      <c r="N1287" s="12" t="s">
        <v>6079</v>
      </c>
      <c r="O1287" s="12" t="s">
        <v>6101</v>
      </c>
      <c r="P1287" s="12"/>
      <c r="Q1287" s="12">
        <v>1</v>
      </c>
    </row>
    <row r="1288" spans="1:17" ht="15.75" customHeight="1">
      <c r="A1288" s="12">
        <v>740</v>
      </c>
      <c r="B1288" s="12">
        <v>1991</v>
      </c>
      <c r="C1288" s="12">
        <v>35168</v>
      </c>
      <c r="D1288" s="12" t="s">
        <v>6047</v>
      </c>
      <c r="E1288" s="12" t="s">
        <v>11288</v>
      </c>
      <c r="F1288" s="12" t="s">
        <v>11289</v>
      </c>
      <c r="G1288" s="12" t="s">
        <v>11290</v>
      </c>
      <c r="H1288" s="12" t="s">
        <v>6051</v>
      </c>
      <c r="I1288" s="12" t="s">
        <v>6700</v>
      </c>
      <c r="J1288" s="12">
        <v>35168</v>
      </c>
      <c r="K1288" s="12" t="s">
        <v>6838</v>
      </c>
      <c r="L1288" s="12" t="s">
        <v>6839</v>
      </c>
      <c r="M1288" s="13">
        <v>43196</v>
      </c>
      <c r="N1288" s="12" t="s">
        <v>6840</v>
      </c>
      <c r="O1288" s="12" t="s">
        <v>7536</v>
      </c>
      <c r="P1288" s="12"/>
      <c r="Q1288" s="12">
        <v>1</v>
      </c>
    </row>
    <row r="1289" spans="1:17" ht="15.75" customHeight="1">
      <c r="A1289" s="12">
        <v>1513</v>
      </c>
      <c r="B1289" s="12">
        <v>1490</v>
      </c>
      <c r="C1289" s="12">
        <v>24081</v>
      </c>
      <c r="D1289" s="12" t="s">
        <v>6047</v>
      </c>
      <c r="E1289" s="12" t="s">
        <v>11291</v>
      </c>
      <c r="F1289" s="12" t="s">
        <v>11292</v>
      </c>
      <c r="G1289" s="12" t="s">
        <v>11293</v>
      </c>
      <c r="H1289" s="12" t="s">
        <v>6051</v>
      </c>
      <c r="I1289" s="12" t="s">
        <v>6738</v>
      </c>
      <c r="J1289" s="12">
        <v>24081</v>
      </c>
      <c r="K1289" s="12" t="s">
        <v>7071</v>
      </c>
      <c r="L1289" s="12" t="s">
        <v>6240</v>
      </c>
      <c r="M1289" s="13">
        <v>41761</v>
      </c>
      <c r="N1289" s="12" t="s">
        <v>7072</v>
      </c>
      <c r="O1289" s="12" t="s">
        <v>11294</v>
      </c>
      <c r="P1289" s="12"/>
      <c r="Q1289" s="12">
        <v>1</v>
      </c>
    </row>
    <row r="1290" spans="1:17" ht="15.75" customHeight="1">
      <c r="A1290" s="12">
        <v>135</v>
      </c>
      <c r="B1290" s="12">
        <v>1248</v>
      </c>
      <c r="C1290" s="12">
        <v>17654</v>
      </c>
      <c r="D1290" s="12" t="s">
        <v>6047</v>
      </c>
      <c r="E1290" s="12" t="s">
        <v>3781</v>
      </c>
      <c r="F1290" s="12" t="s">
        <v>11295</v>
      </c>
      <c r="G1290" s="12" t="s">
        <v>11296</v>
      </c>
      <c r="H1290" s="12" t="s">
        <v>6051</v>
      </c>
      <c r="I1290" s="12" t="s">
        <v>11297</v>
      </c>
      <c r="J1290" s="12">
        <v>17654</v>
      </c>
      <c r="K1290" s="12" t="s">
        <v>8220</v>
      </c>
      <c r="L1290" s="12" t="s">
        <v>6511</v>
      </c>
      <c r="M1290" s="13">
        <v>45965</v>
      </c>
      <c r="N1290" s="12" t="s">
        <v>8221</v>
      </c>
      <c r="O1290" s="12" t="s">
        <v>8222</v>
      </c>
      <c r="P1290" s="12"/>
      <c r="Q1290" s="12">
        <v>1</v>
      </c>
    </row>
    <row r="1291" spans="1:17" ht="15.75" customHeight="1">
      <c r="A1291" s="12">
        <v>1191</v>
      </c>
      <c r="B1291" s="12">
        <v>261</v>
      </c>
      <c r="C1291" s="12">
        <v>4516</v>
      </c>
      <c r="D1291" s="12" t="s">
        <v>6047</v>
      </c>
      <c r="E1291" s="12" t="s">
        <v>11298</v>
      </c>
      <c r="F1291" s="12" t="s">
        <v>11299</v>
      </c>
      <c r="G1291" s="12" t="s">
        <v>11300</v>
      </c>
      <c r="H1291" s="12" t="s">
        <v>6163</v>
      </c>
      <c r="I1291" s="12" t="s">
        <v>6253</v>
      </c>
      <c r="J1291" s="12">
        <v>4516</v>
      </c>
      <c r="K1291" s="12" t="s">
        <v>6429</v>
      </c>
      <c r="L1291" s="12" t="s">
        <v>6423</v>
      </c>
      <c r="M1291" s="13">
        <v>41992</v>
      </c>
      <c r="N1291" s="12" t="s">
        <v>6430</v>
      </c>
      <c r="O1291" s="12" t="s">
        <v>7083</v>
      </c>
      <c r="P1291" s="12"/>
      <c r="Q1291" s="12">
        <v>1</v>
      </c>
    </row>
    <row r="1292" spans="1:17" ht="15.75" customHeight="1">
      <c r="A1292" s="12">
        <v>1352</v>
      </c>
      <c r="B1292" s="12">
        <v>1658</v>
      </c>
      <c r="C1292" s="12">
        <v>30405</v>
      </c>
      <c r="D1292" s="12" t="s">
        <v>6047</v>
      </c>
      <c r="E1292" s="12" t="s">
        <v>3785</v>
      </c>
      <c r="F1292" s="12" t="s">
        <v>11301</v>
      </c>
      <c r="G1292" s="12" t="s">
        <v>11302</v>
      </c>
      <c r="H1292" s="12" t="s">
        <v>6051</v>
      </c>
      <c r="I1292" s="12" t="s">
        <v>6399</v>
      </c>
      <c r="J1292" s="12">
        <v>30405</v>
      </c>
      <c r="K1292" s="12" t="s">
        <v>6077</v>
      </c>
      <c r="L1292" s="12" t="s">
        <v>6078</v>
      </c>
      <c r="M1292" s="13">
        <v>41916</v>
      </c>
      <c r="N1292" s="12" t="s">
        <v>6079</v>
      </c>
      <c r="O1292" s="12" t="s">
        <v>6080</v>
      </c>
      <c r="P1292" s="12"/>
      <c r="Q1292" s="12">
        <v>1</v>
      </c>
    </row>
    <row r="1293" spans="1:17" ht="15.75" customHeight="1">
      <c r="A1293" s="12">
        <v>593</v>
      </c>
      <c r="B1293" s="12">
        <v>285</v>
      </c>
      <c r="C1293" s="12">
        <v>4691</v>
      </c>
      <c r="D1293" s="12" t="s">
        <v>6047</v>
      </c>
      <c r="E1293" s="12" t="s">
        <v>11303</v>
      </c>
      <c r="F1293" s="12" t="s">
        <v>11304</v>
      </c>
      <c r="G1293" s="12" t="s">
        <v>11305</v>
      </c>
      <c r="H1293" s="12" t="s">
        <v>6163</v>
      </c>
      <c r="I1293" s="12" t="s">
        <v>6253</v>
      </c>
      <c r="J1293" s="12">
        <v>4691</v>
      </c>
      <c r="K1293" s="12" t="s">
        <v>6407</v>
      </c>
      <c r="L1293" s="12" t="s">
        <v>6408</v>
      </c>
      <c r="M1293" s="13">
        <v>43560</v>
      </c>
      <c r="N1293" s="12" t="s">
        <v>6409</v>
      </c>
      <c r="O1293" s="12" t="s">
        <v>7139</v>
      </c>
      <c r="P1293" s="12"/>
      <c r="Q1293" s="12">
        <v>1</v>
      </c>
    </row>
    <row r="1294" spans="1:17" ht="15.75" customHeight="1">
      <c r="A1294" s="12">
        <v>537</v>
      </c>
      <c r="B1294" s="12">
        <v>339</v>
      </c>
      <c r="C1294" s="12">
        <v>5189</v>
      </c>
      <c r="D1294" s="12" t="s">
        <v>6047</v>
      </c>
      <c r="E1294" s="12" t="s">
        <v>11306</v>
      </c>
      <c r="F1294" s="12" t="s">
        <v>11307</v>
      </c>
      <c r="G1294" s="12" t="s">
        <v>11308</v>
      </c>
      <c r="H1294" s="12" t="s">
        <v>6163</v>
      </c>
      <c r="I1294" s="12" t="s">
        <v>6253</v>
      </c>
      <c r="J1294" s="12">
        <v>5189</v>
      </c>
      <c r="K1294" s="12" t="s">
        <v>7133</v>
      </c>
      <c r="L1294" s="12" t="s">
        <v>6408</v>
      </c>
      <c r="M1294" s="13">
        <v>43564</v>
      </c>
      <c r="N1294" s="12" t="s">
        <v>7134</v>
      </c>
      <c r="O1294" s="12" t="s">
        <v>7135</v>
      </c>
      <c r="P1294" s="12"/>
      <c r="Q1294" s="12">
        <v>1</v>
      </c>
    </row>
    <row r="1295" spans="1:17" ht="15.75" customHeight="1">
      <c r="A1295" s="12">
        <v>1420</v>
      </c>
      <c r="B1295" s="12">
        <v>174</v>
      </c>
      <c r="C1295" s="12">
        <v>2985</v>
      </c>
      <c r="D1295" s="12" t="s">
        <v>6047</v>
      </c>
      <c r="E1295" s="12" t="s">
        <v>3789</v>
      </c>
      <c r="F1295" s="12" t="s">
        <v>11309</v>
      </c>
      <c r="G1295" s="12" t="s">
        <v>11310</v>
      </c>
      <c r="H1295" s="12" t="s">
        <v>9344</v>
      </c>
      <c r="I1295" s="12" t="s">
        <v>9345</v>
      </c>
      <c r="J1295" s="12">
        <v>2985</v>
      </c>
      <c r="K1295" s="12" t="s">
        <v>6086</v>
      </c>
      <c r="L1295" s="12" t="s">
        <v>6087</v>
      </c>
      <c r="M1295" s="13">
        <v>41910</v>
      </c>
      <c r="N1295" s="12" t="s">
        <v>6088</v>
      </c>
      <c r="O1295" s="12" t="s">
        <v>6089</v>
      </c>
      <c r="P1295" s="12"/>
      <c r="Q1295" s="12">
        <v>1</v>
      </c>
    </row>
    <row r="1296" spans="1:17" ht="15.75" customHeight="1">
      <c r="A1296" s="12">
        <v>1721</v>
      </c>
      <c r="B1296" s="12">
        <v>244</v>
      </c>
      <c r="C1296" s="12">
        <v>4368</v>
      </c>
      <c r="D1296" s="12" t="s">
        <v>6047</v>
      </c>
      <c r="E1296" s="12" t="s">
        <v>11311</v>
      </c>
      <c r="F1296" s="12" t="s">
        <v>11312</v>
      </c>
      <c r="G1296" s="12" t="s">
        <v>11313</v>
      </c>
      <c r="H1296" s="12" t="s">
        <v>6163</v>
      </c>
      <c r="I1296" s="12" t="s">
        <v>6253</v>
      </c>
      <c r="J1296" s="12">
        <v>4368</v>
      </c>
      <c r="K1296" s="12" t="s">
        <v>8471</v>
      </c>
      <c r="L1296" s="12" t="s">
        <v>7333</v>
      </c>
      <c r="M1296" s="13">
        <v>40876</v>
      </c>
      <c r="N1296" s="12" t="s">
        <v>8472</v>
      </c>
      <c r="O1296" s="12" t="s">
        <v>8473</v>
      </c>
      <c r="P1296" s="12"/>
      <c r="Q1296" s="12">
        <v>1</v>
      </c>
    </row>
    <row r="1297" spans="1:17" ht="15.75" customHeight="1">
      <c r="A1297" s="12">
        <v>986</v>
      </c>
      <c r="B1297" s="12">
        <v>1104</v>
      </c>
      <c r="C1297" s="12">
        <v>15910</v>
      </c>
      <c r="D1297" s="12" t="s">
        <v>6047</v>
      </c>
      <c r="E1297" s="12" t="s">
        <v>11314</v>
      </c>
      <c r="F1297" s="12" t="s">
        <v>11315</v>
      </c>
      <c r="G1297" s="12" t="s">
        <v>11316</v>
      </c>
      <c r="H1297" s="12" t="s">
        <v>6051</v>
      </c>
      <c r="I1297" s="12" t="s">
        <v>6406</v>
      </c>
      <c r="J1297" s="12">
        <v>15910</v>
      </c>
      <c r="K1297" s="12" t="s">
        <v>7215</v>
      </c>
      <c r="L1297" s="12" t="s">
        <v>6054</v>
      </c>
      <c r="M1297" s="13">
        <v>42694</v>
      </c>
      <c r="N1297" s="12" t="s">
        <v>7216</v>
      </c>
      <c r="O1297" s="12" t="s">
        <v>7217</v>
      </c>
      <c r="P1297" s="12"/>
      <c r="Q1297" s="12">
        <v>1</v>
      </c>
    </row>
    <row r="1298" spans="1:17" ht="15.75" customHeight="1">
      <c r="A1298" s="12">
        <v>345</v>
      </c>
      <c r="B1298" s="12">
        <v>294</v>
      </c>
      <c r="C1298" s="12">
        <v>4757</v>
      </c>
      <c r="D1298" s="12" t="s">
        <v>6047</v>
      </c>
      <c r="E1298" s="12" t="s">
        <v>11317</v>
      </c>
      <c r="F1298" s="12" t="s">
        <v>11318</v>
      </c>
      <c r="G1298" s="12" t="s">
        <v>11319</v>
      </c>
      <c r="H1298" s="12" t="s">
        <v>6163</v>
      </c>
      <c r="I1298" s="12" t="s">
        <v>6253</v>
      </c>
      <c r="J1298" s="12">
        <v>4757</v>
      </c>
      <c r="K1298" s="12" t="s">
        <v>8817</v>
      </c>
      <c r="L1298" s="12" t="s">
        <v>6732</v>
      </c>
      <c r="M1298" s="13">
        <v>44725</v>
      </c>
      <c r="N1298" s="12" t="s">
        <v>8818</v>
      </c>
      <c r="O1298" s="12" t="s">
        <v>10254</v>
      </c>
      <c r="P1298" s="12"/>
      <c r="Q1298" s="12">
        <v>1</v>
      </c>
    </row>
    <row r="1299" spans="1:17" ht="15.75" customHeight="1">
      <c r="A1299" s="12">
        <v>2045</v>
      </c>
      <c r="B1299" s="12">
        <v>299</v>
      </c>
      <c r="C1299" s="12">
        <v>4795</v>
      </c>
      <c r="D1299" s="12" t="s">
        <v>6047</v>
      </c>
      <c r="E1299" s="12" t="s">
        <v>11320</v>
      </c>
      <c r="F1299" s="12" t="s">
        <v>11321</v>
      </c>
      <c r="G1299" s="12" t="s">
        <v>11322</v>
      </c>
      <c r="H1299" s="12" t="s">
        <v>6163</v>
      </c>
      <c r="I1299" s="12" t="s">
        <v>6253</v>
      </c>
      <c r="J1299" s="12">
        <v>4795</v>
      </c>
      <c r="K1299" s="12" t="s">
        <v>7867</v>
      </c>
      <c r="L1299" s="12" t="s">
        <v>6408</v>
      </c>
      <c r="M1299" s="13">
        <v>38170</v>
      </c>
      <c r="N1299" s="12" t="s">
        <v>7868</v>
      </c>
      <c r="O1299" s="12" t="s">
        <v>7869</v>
      </c>
      <c r="P1299" s="12"/>
      <c r="Q1299" s="12">
        <v>1</v>
      </c>
    </row>
    <row r="1300" spans="1:17" ht="15.75" customHeight="1">
      <c r="A1300" s="12">
        <v>1983</v>
      </c>
      <c r="B1300" s="12">
        <v>901</v>
      </c>
      <c r="C1300" s="12">
        <v>11978</v>
      </c>
      <c r="D1300" s="12" t="s">
        <v>6047</v>
      </c>
      <c r="E1300" s="12" t="s">
        <v>11323</v>
      </c>
      <c r="F1300" s="12" t="s">
        <v>11324</v>
      </c>
      <c r="G1300" s="12" t="s">
        <v>11325</v>
      </c>
      <c r="H1300" s="12" t="s">
        <v>6340</v>
      </c>
      <c r="I1300" s="12" t="s">
        <v>6341</v>
      </c>
      <c r="J1300" s="12">
        <v>11978</v>
      </c>
      <c r="K1300" s="12" t="s">
        <v>8445</v>
      </c>
      <c r="L1300" s="12" t="s">
        <v>8446</v>
      </c>
      <c r="M1300" s="13">
        <v>38576</v>
      </c>
      <c r="N1300" s="12" t="s">
        <v>8447</v>
      </c>
      <c r="O1300" s="12" t="s">
        <v>8448</v>
      </c>
      <c r="P1300" s="12"/>
      <c r="Q1300" s="12">
        <v>1</v>
      </c>
    </row>
    <row r="1301" spans="1:17" ht="15.75" customHeight="1">
      <c r="A1301" s="12">
        <v>117</v>
      </c>
      <c r="B1301" s="12">
        <v>784</v>
      </c>
      <c r="C1301" s="12">
        <v>9828</v>
      </c>
      <c r="D1301" s="12" t="s">
        <v>6047</v>
      </c>
      <c r="E1301" s="12" t="s">
        <v>3807</v>
      </c>
      <c r="F1301" s="12" t="s">
        <v>11326</v>
      </c>
      <c r="G1301" s="12" t="s">
        <v>11327</v>
      </c>
      <c r="H1301" s="12" t="s">
        <v>6265</v>
      </c>
      <c r="I1301" s="12" t="s">
        <v>8292</v>
      </c>
      <c r="J1301" s="12">
        <v>9828</v>
      </c>
      <c r="K1301" s="12" t="s">
        <v>6671</v>
      </c>
      <c r="L1301" s="12" t="s">
        <v>6511</v>
      </c>
      <c r="M1301" s="13">
        <v>45966</v>
      </c>
      <c r="N1301" s="12" t="s">
        <v>6672</v>
      </c>
      <c r="O1301" s="12" t="s">
        <v>6673</v>
      </c>
      <c r="P1301" s="12"/>
      <c r="Q1301" s="12">
        <v>1</v>
      </c>
    </row>
    <row r="1302" spans="1:17" ht="15.75" customHeight="1">
      <c r="A1302" s="12">
        <v>883</v>
      </c>
      <c r="B1302" s="12">
        <v>940</v>
      </c>
      <c r="C1302" s="12">
        <v>12680</v>
      </c>
      <c r="D1302" s="12" t="s">
        <v>6047</v>
      </c>
      <c r="E1302" s="12" t="s">
        <v>11328</v>
      </c>
      <c r="F1302" s="12" t="s">
        <v>11329</v>
      </c>
      <c r="G1302" s="12" t="s">
        <v>11330</v>
      </c>
      <c r="H1302" s="12" t="s">
        <v>6627</v>
      </c>
      <c r="I1302" s="12" t="s">
        <v>6628</v>
      </c>
      <c r="J1302" s="12">
        <v>12680</v>
      </c>
      <c r="K1302" s="12" t="s">
        <v>6569</v>
      </c>
      <c r="L1302" s="12" t="s">
        <v>6564</v>
      </c>
      <c r="M1302" s="13">
        <v>43015</v>
      </c>
      <c r="N1302" s="12" t="s">
        <v>6570</v>
      </c>
      <c r="O1302" s="12" t="s">
        <v>6623</v>
      </c>
      <c r="P1302" s="12"/>
      <c r="Q1302" s="12">
        <v>1</v>
      </c>
    </row>
    <row r="1303" spans="1:17" ht="15.75" customHeight="1">
      <c r="A1303" s="12">
        <v>1354</v>
      </c>
      <c r="B1303" s="12">
        <v>1469</v>
      </c>
      <c r="C1303" s="12">
        <v>23405</v>
      </c>
      <c r="D1303" s="12" t="s">
        <v>6047</v>
      </c>
      <c r="E1303" s="12" t="s">
        <v>3814</v>
      </c>
      <c r="F1303" s="12" t="s">
        <v>11331</v>
      </c>
      <c r="G1303" s="12" t="s">
        <v>11332</v>
      </c>
      <c r="H1303" s="12" t="s">
        <v>6051</v>
      </c>
      <c r="I1303" s="12" t="s">
        <v>6748</v>
      </c>
      <c r="J1303" s="12">
        <v>23405</v>
      </c>
      <c r="K1303" s="12" t="s">
        <v>6077</v>
      </c>
      <c r="L1303" s="12" t="s">
        <v>6078</v>
      </c>
      <c r="M1303" s="13">
        <v>41916</v>
      </c>
      <c r="N1303" s="12" t="s">
        <v>6079</v>
      </c>
      <c r="O1303" s="12" t="s">
        <v>6080</v>
      </c>
      <c r="P1303" s="12"/>
      <c r="Q1303" s="12">
        <v>1</v>
      </c>
    </row>
    <row r="1304" spans="1:17" ht="15.75" customHeight="1">
      <c r="A1304" s="12">
        <v>315</v>
      </c>
      <c r="B1304" s="12">
        <v>477</v>
      </c>
      <c r="C1304" s="12">
        <v>6412</v>
      </c>
      <c r="D1304" s="12" t="s">
        <v>6047</v>
      </c>
      <c r="E1304" s="12" t="s">
        <v>11333</v>
      </c>
      <c r="F1304" s="12" t="s">
        <v>11334</v>
      </c>
      <c r="G1304" s="12" t="s">
        <v>11335</v>
      </c>
      <c r="H1304" s="12" t="s">
        <v>6137</v>
      </c>
      <c r="I1304" s="12" t="s">
        <v>6555</v>
      </c>
      <c r="J1304" s="12">
        <v>6412</v>
      </c>
      <c r="K1304" s="12" t="s">
        <v>8428</v>
      </c>
      <c r="L1304" s="12" t="s">
        <v>6284</v>
      </c>
      <c r="M1304" s="13">
        <v>45111</v>
      </c>
      <c r="N1304" s="12" t="s">
        <v>8429</v>
      </c>
      <c r="O1304" s="12" t="s">
        <v>8430</v>
      </c>
      <c r="P1304" s="12"/>
      <c r="Q1304" s="12">
        <v>1</v>
      </c>
    </row>
    <row r="1305" spans="1:17" ht="15.75" customHeight="1">
      <c r="A1305" s="12">
        <v>305</v>
      </c>
      <c r="B1305" s="12">
        <v>1679</v>
      </c>
      <c r="C1305" s="12">
        <v>30929</v>
      </c>
      <c r="D1305" s="12" t="s">
        <v>6047</v>
      </c>
      <c r="E1305" s="12" t="s">
        <v>11336</v>
      </c>
      <c r="F1305" s="12" t="s">
        <v>11337</v>
      </c>
      <c r="G1305" s="12" t="s">
        <v>11338</v>
      </c>
      <c r="H1305" s="12" t="s">
        <v>6051</v>
      </c>
      <c r="I1305" s="12" t="s">
        <v>6100</v>
      </c>
      <c r="J1305" s="12">
        <v>30929</v>
      </c>
      <c r="K1305" s="12" t="s">
        <v>10350</v>
      </c>
      <c r="L1305" s="12" t="s">
        <v>6939</v>
      </c>
      <c r="M1305" s="13">
        <v>45602</v>
      </c>
      <c r="N1305" s="12" t="s">
        <v>10351</v>
      </c>
      <c r="O1305" s="12" t="s">
        <v>10352</v>
      </c>
      <c r="P1305" s="12"/>
      <c r="Q1305" s="12">
        <v>1</v>
      </c>
    </row>
    <row r="1306" spans="1:17" ht="15.75" customHeight="1">
      <c r="A1306" s="12">
        <v>26</v>
      </c>
      <c r="B1306" s="12">
        <v>452</v>
      </c>
      <c r="C1306" s="12">
        <v>6166</v>
      </c>
      <c r="D1306" s="12" t="s">
        <v>6047</v>
      </c>
      <c r="E1306" s="12" t="s">
        <v>11339</v>
      </c>
      <c r="F1306" s="12" t="s">
        <v>11340</v>
      </c>
      <c r="G1306" s="12" t="s">
        <v>11341</v>
      </c>
      <c r="H1306" s="12" t="s">
        <v>6137</v>
      </c>
      <c r="I1306" s="12" t="s">
        <v>6391</v>
      </c>
      <c r="J1306" s="12">
        <v>6166</v>
      </c>
      <c r="K1306" s="12" t="s">
        <v>6589</v>
      </c>
      <c r="L1306" s="12" t="s">
        <v>6590</v>
      </c>
      <c r="M1306" s="13">
        <v>45977</v>
      </c>
      <c r="N1306" s="12" t="s">
        <v>6591</v>
      </c>
      <c r="O1306" s="12" t="s">
        <v>6592</v>
      </c>
      <c r="P1306" s="12"/>
      <c r="Q1306" s="12">
        <v>1</v>
      </c>
    </row>
    <row r="1307" spans="1:17" ht="15.75" customHeight="1">
      <c r="A1307" s="12">
        <v>875</v>
      </c>
      <c r="B1307" s="12">
        <v>1262</v>
      </c>
      <c r="C1307" s="12">
        <v>17865</v>
      </c>
      <c r="D1307" s="12" t="s">
        <v>6047</v>
      </c>
      <c r="E1307" s="12" t="s">
        <v>11342</v>
      </c>
      <c r="F1307" s="12" t="s">
        <v>11343</v>
      </c>
      <c r="G1307" s="12" t="s">
        <v>11344</v>
      </c>
      <c r="H1307" s="12" t="s">
        <v>6051</v>
      </c>
      <c r="I1307" s="12" t="s">
        <v>6857</v>
      </c>
      <c r="J1307" s="12">
        <v>17865</v>
      </c>
      <c r="K1307" s="12" t="s">
        <v>10706</v>
      </c>
      <c r="L1307" s="12" t="s">
        <v>6564</v>
      </c>
      <c r="M1307" s="13">
        <v>43016</v>
      </c>
      <c r="N1307" s="12" t="s">
        <v>10707</v>
      </c>
      <c r="O1307" s="12" t="s">
        <v>10708</v>
      </c>
      <c r="P1307" s="12"/>
      <c r="Q1307" s="12">
        <v>1</v>
      </c>
    </row>
    <row r="1308" spans="1:17" ht="15.75" customHeight="1">
      <c r="A1308" s="12">
        <v>1998</v>
      </c>
      <c r="B1308" s="12">
        <v>835</v>
      </c>
      <c r="C1308" s="12">
        <v>10538</v>
      </c>
      <c r="D1308" s="12" t="s">
        <v>6047</v>
      </c>
      <c r="E1308" s="12" t="s">
        <v>11345</v>
      </c>
      <c r="F1308" s="12" t="s">
        <v>11346</v>
      </c>
      <c r="G1308" s="12" t="s">
        <v>11347</v>
      </c>
      <c r="H1308" s="12" t="s">
        <v>6060</v>
      </c>
      <c r="I1308" s="12" t="s">
        <v>7183</v>
      </c>
      <c r="J1308" s="12">
        <v>10538</v>
      </c>
      <c r="K1308" s="12" t="s">
        <v>6112</v>
      </c>
      <c r="L1308" s="12" t="s">
        <v>6113</v>
      </c>
      <c r="M1308" s="13">
        <v>38573</v>
      </c>
      <c r="N1308" s="12" t="s">
        <v>6114</v>
      </c>
      <c r="O1308" s="12" t="s">
        <v>6115</v>
      </c>
      <c r="P1308" s="12"/>
      <c r="Q1308" s="12">
        <v>1</v>
      </c>
    </row>
    <row r="1309" spans="1:17" ht="15.75" customHeight="1">
      <c r="A1309" s="12">
        <v>137</v>
      </c>
      <c r="B1309" s="12">
        <v>805</v>
      </c>
      <c r="C1309" s="12">
        <v>10123</v>
      </c>
      <c r="D1309" s="12" t="s">
        <v>6047</v>
      </c>
      <c r="E1309" s="12" t="s">
        <v>3833</v>
      </c>
      <c r="F1309" s="12" t="s">
        <v>11348</v>
      </c>
      <c r="G1309" s="12" t="s">
        <v>11349</v>
      </c>
      <c r="H1309" s="12" t="s">
        <v>6265</v>
      </c>
      <c r="I1309" s="12" t="s">
        <v>6266</v>
      </c>
      <c r="J1309" s="12">
        <v>10123</v>
      </c>
      <c r="K1309" s="12" t="s">
        <v>11350</v>
      </c>
      <c r="L1309" s="12" t="s">
        <v>6511</v>
      </c>
      <c r="M1309" s="13">
        <v>45964</v>
      </c>
      <c r="N1309" s="12" t="s">
        <v>11351</v>
      </c>
      <c r="O1309" s="12" t="s">
        <v>11352</v>
      </c>
      <c r="P1309" s="12"/>
      <c r="Q1309" s="12">
        <v>1</v>
      </c>
    </row>
    <row r="1310" spans="1:17" ht="15.75" customHeight="1">
      <c r="A1310" s="12">
        <v>1643</v>
      </c>
      <c r="B1310" s="12">
        <v>871</v>
      </c>
      <c r="C1310" s="12">
        <v>11199</v>
      </c>
      <c r="D1310" s="12" t="s">
        <v>6047</v>
      </c>
      <c r="E1310" s="12" t="s">
        <v>3835</v>
      </c>
      <c r="F1310" s="12" t="s">
        <v>11353</v>
      </c>
      <c r="G1310" s="12" t="s">
        <v>11354</v>
      </c>
      <c r="H1310" s="12" t="s">
        <v>6060</v>
      </c>
      <c r="I1310" s="12" t="s">
        <v>6061</v>
      </c>
      <c r="J1310" s="12">
        <v>11199</v>
      </c>
      <c r="K1310" s="12" t="s">
        <v>6381</v>
      </c>
      <c r="L1310" s="12" t="s">
        <v>6345</v>
      </c>
      <c r="M1310" s="13">
        <v>41260</v>
      </c>
      <c r="N1310" s="12" t="s">
        <v>6382</v>
      </c>
      <c r="O1310" s="12" t="s">
        <v>6383</v>
      </c>
      <c r="P1310" s="12"/>
      <c r="Q1310" s="12">
        <v>1</v>
      </c>
    </row>
    <row r="1311" spans="1:17" ht="15.75" customHeight="1">
      <c r="A1311" s="12">
        <v>1974</v>
      </c>
      <c r="B1311" s="12">
        <v>1662</v>
      </c>
      <c r="C1311" s="12">
        <v>30706</v>
      </c>
      <c r="D1311" s="12" t="s">
        <v>6047</v>
      </c>
      <c r="E1311" s="12" t="s">
        <v>11355</v>
      </c>
      <c r="F1311" s="12" t="s">
        <v>11356</v>
      </c>
      <c r="G1311" s="12" t="s">
        <v>11357</v>
      </c>
      <c r="H1311" s="12" t="s">
        <v>6051</v>
      </c>
      <c r="I1311" s="12" t="s">
        <v>6100</v>
      </c>
      <c r="J1311" s="12">
        <v>30706</v>
      </c>
      <c r="K1311" s="12" t="s">
        <v>8445</v>
      </c>
      <c r="L1311" s="12" t="s">
        <v>8446</v>
      </c>
      <c r="M1311" s="13">
        <v>38576</v>
      </c>
      <c r="N1311" s="12" t="s">
        <v>8447</v>
      </c>
      <c r="O1311" s="12" t="s">
        <v>8448</v>
      </c>
      <c r="P1311" s="12"/>
      <c r="Q1311" s="12">
        <v>1</v>
      </c>
    </row>
    <row r="1312" spans="1:17" ht="15.75" customHeight="1">
      <c r="A1312" s="12">
        <v>1968</v>
      </c>
      <c r="B1312" s="12">
        <v>46</v>
      </c>
      <c r="C1312" s="12">
        <v>591</v>
      </c>
      <c r="D1312" s="12" t="s">
        <v>6047</v>
      </c>
      <c r="E1312" s="12" t="s">
        <v>11358</v>
      </c>
      <c r="F1312" s="12" t="s">
        <v>11359</v>
      </c>
      <c r="G1312" s="12" t="s">
        <v>11360</v>
      </c>
      <c r="H1312" s="12" t="s">
        <v>6289</v>
      </c>
      <c r="I1312" s="12" t="s">
        <v>6290</v>
      </c>
      <c r="J1312" s="12">
        <v>591</v>
      </c>
      <c r="K1312" s="12" t="s">
        <v>7298</v>
      </c>
      <c r="L1312" s="12" t="s">
        <v>6113</v>
      </c>
      <c r="M1312" s="13">
        <v>38579</v>
      </c>
      <c r="N1312" s="12" t="s">
        <v>7299</v>
      </c>
      <c r="O1312" s="12" t="s">
        <v>7300</v>
      </c>
      <c r="P1312" s="12"/>
      <c r="Q1312" s="12">
        <v>1</v>
      </c>
    </row>
    <row r="1313" spans="1:17" ht="15.75" customHeight="1">
      <c r="A1313" s="12">
        <v>462</v>
      </c>
      <c r="B1313" s="12">
        <v>307</v>
      </c>
      <c r="C1313" s="12">
        <v>4896</v>
      </c>
      <c r="D1313" s="12" t="s">
        <v>6047</v>
      </c>
      <c r="E1313" s="12" t="s">
        <v>11361</v>
      </c>
      <c r="F1313" s="12" t="s">
        <v>11362</v>
      </c>
      <c r="G1313" s="12" t="s">
        <v>11363</v>
      </c>
      <c r="H1313" s="12" t="s">
        <v>6163</v>
      </c>
      <c r="I1313" s="12" t="s">
        <v>6253</v>
      </c>
      <c r="J1313" s="12">
        <v>4896</v>
      </c>
      <c r="K1313" s="12" t="s">
        <v>6497</v>
      </c>
      <c r="L1313" s="12" t="s">
        <v>6498</v>
      </c>
      <c r="M1313" s="13">
        <v>43790</v>
      </c>
      <c r="N1313" s="12" t="s">
        <v>6499</v>
      </c>
      <c r="O1313" s="12" t="s">
        <v>6500</v>
      </c>
      <c r="P1313" s="12"/>
      <c r="Q1313" s="12">
        <v>1</v>
      </c>
    </row>
    <row r="1314" spans="1:17" ht="15.75" customHeight="1">
      <c r="A1314" s="12">
        <v>636</v>
      </c>
      <c r="B1314" s="12">
        <v>1518</v>
      </c>
      <c r="C1314" s="12">
        <v>26565</v>
      </c>
      <c r="D1314" s="12" t="s">
        <v>6047</v>
      </c>
      <c r="E1314" s="12" t="s">
        <v>11364</v>
      </c>
      <c r="F1314" s="12" t="s">
        <v>11365</v>
      </c>
      <c r="G1314" s="12" t="s">
        <v>11366</v>
      </c>
      <c r="H1314" s="12" t="s">
        <v>6051</v>
      </c>
      <c r="I1314" s="12" t="s">
        <v>6537</v>
      </c>
      <c r="J1314" s="12">
        <v>26565</v>
      </c>
      <c r="K1314" s="12" t="s">
        <v>9739</v>
      </c>
      <c r="L1314" s="12" t="s">
        <v>6193</v>
      </c>
      <c r="M1314" s="13">
        <v>43406</v>
      </c>
      <c r="N1314" s="12" t="s">
        <v>9740</v>
      </c>
      <c r="O1314" s="12" t="s">
        <v>11367</v>
      </c>
      <c r="P1314" s="12" t="s">
        <v>6196</v>
      </c>
      <c r="Q1314" s="12">
        <v>1</v>
      </c>
    </row>
    <row r="1315" spans="1:17" ht="15.75" customHeight="1">
      <c r="A1315" s="12">
        <v>1451</v>
      </c>
      <c r="B1315" s="12">
        <v>1575</v>
      </c>
      <c r="C1315" s="12">
        <v>27680</v>
      </c>
      <c r="D1315" s="12" t="s">
        <v>6047</v>
      </c>
      <c r="E1315" s="12" t="s">
        <v>3857</v>
      </c>
      <c r="F1315" s="12" t="s">
        <v>11368</v>
      </c>
      <c r="G1315" s="12" t="s">
        <v>11369</v>
      </c>
      <c r="H1315" s="12" t="s">
        <v>6051</v>
      </c>
      <c r="I1315" s="12" t="s">
        <v>11370</v>
      </c>
      <c r="J1315" s="12">
        <v>27680</v>
      </c>
      <c r="K1315" s="12" t="s">
        <v>6069</v>
      </c>
      <c r="L1315" s="12" t="s">
        <v>6070</v>
      </c>
      <c r="M1315" s="13">
        <v>41907</v>
      </c>
      <c r="N1315" s="12" t="s">
        <v>6071</v>
      </c>
      <c r="O1315" s="12" t="s">
        <v>6072</v>
      </c>
      <c r="P1315" s="12"/>
      <c r="Q1315" s="12">
        <v>1</v>
      </c>
    </row>
    <row r="1316" spans="1:17" ht="15.75" customHeight="1">
      <c r="A1316" s="12">
        <v>2042</v>
      </c>
      <c r="B1316" s="12">
        <v>950</v>
      </c>
      <c r="C1316" s="12">
        <v>12874</v>
      </c>
      <c r="D1316" s="12" t="s">
        <v>6047</v>
      </c>
      <c r="E1316" s="12" t="s">
        <v>11371</v>
      </c>
      <c r="F1316" s="12" t="s">
        <v>11372</v>
      </c>
      <c r="G1316" s="12" t="s">
        <v>11373</v>
      </c>
      <c r="H1316" s="12" t="s">
        <v>6627</v>
      </c>
      <c r="I1316" s="12" t="s">
        <v>7504</v>
      </c>
      <c r="J1316" s="12">
        <v>12874</v>
      </c>
      <c r="K1316" s="12" t="s">
        <v>7867</v>
      </c>
      <c r="L1316" s="12" t="s">
        <v>6408</v>
      </c>
      <c r="M1316" s="13">
        <v>38170</v>
      </c>
      <c r="N1316" s="12" t="s">
        <v>7868</v>
      </c>
      <c r="O1316" s="12" t="s">
        <v>7869</v>
      </c>
      <c r="P1316" s="12"/>
      <c r="Q1316" s="12">
        <v>1</v>
      </c>
    </row>
    <row r="1317" spans="1:17" ht="15.75" customHeight="1">
      <c r="A1317" s="12">
        <v>1860</v>
      </c>
      <c r="B1317" s="12">
        <v>123</v>
      </c>
      <c r="C1317" s="12">
        <v>1957</v>
      </c>
      <c r="D1317" s="12" t="s">
        <v>6047</v>
      </c>
      <c r="E1317" s="12" t="s">
        <v>11374</v>
      </c>
      <c r="F1317" s="12" t="s">
        <v>11375</v>
      </c>
      <c r="G1317" s="12" t="s">
        <v>11376</v>
      </c>
      <c r="H1317" s="12" t="s">
        <v>6127</v>
      </c>
      <c r="I1317" s="12" t="s">
        <v>6128</v>
      </c>
      <c r="J1317" s="12">
        <v>1957</v>
      </c>
      <c r="K1317" s="12" t="s">
        <v>6062</v>
      </c>
      <c r="L1317" s="12" t="s">
        <v>6063</v>
      </c>
      <c r="M1317" s="13">
        <v>40873</v>
      </c>
      <c r="N1317" s="12" t="s">
        <v>6064</v>
      </c>
      <c r="O1317" s="12" t="s">
        <v>6065</v>
      </c>
      <c r="P1317" s="12"/>
      <c r="Q1317" s="12">
        <v>1</v>
      </c>
    </row>
    <row r="1318" spans="1:17" ht="15.75" customHeight="1">
      <c r="A1318" s="12">
        <v>1919</v>
      </c>
      <c r="B1318" s="12">
        <v>1678</v>
      </c>
      <c r="C1318" s="12">
        <v>30923</v>
      </c>
      <c r="D1318" s="12" t="s">
        <v>6047</v>
      </c>
      <c r="E1318" s="12" t="s">
        <v>3846</v>
      </c>
      <c r="F1318" s="12" t="s">
        <v>11377</v>
      </c>
      <c r="G1318" s="12" t="s">
        <v>11378</v>
      </c>
      <c r="H1318" s="12" t="s">
        <v>6051</v>
      </c>
      <c r="I1318" s="12" t="s">
        <v>6100</v>
      </c>
      <c r="J1318" s="12">
        <v>30923</v>
      </c>
      <c r="K1318" s="12" t="s">
        <v>7476</v>
      </c>
      <c r="L1318" s="12" t="s">
        <v>7477</v>
      </c>
      <c r="M1318" s="13">
        <v>39237</v>
      </c>
      <c r="N1318" s="12" t="s">
        <v>7478</v>
      </c>
      <c r="O1318" s="12" t="s">
        <v>7479</v>
      </c>
      <c r="P1318" s="12"/>
      <c r="Q1318" s="12">
        <v>1</v>
      </c>
    </row>
    <row r="1319" spans="1:17" ht="15.75" customHeight="1">
      <c r="A1319" s="12">
        <v>144</v>
      </c>
      <c r="B1319" s="12">
        <v>1047</v>
      </c>
      <c r="C1319" s="12">
        <v>14887</v>
      </c>
      <c r="D1319" s="12" t="s">
        <v>6047</v>
      </c>
      <c r="E1319" s="12" t="s">
        <v>11379</v>
      </c>
      <c r="F1319" s="12" t="s">
        <v>11380</v>
      </c>
      <c r="G1319" s="12" t="s">
        <v>11381</v>
      </c>
      <c r="H1319" s="12" t="s">
        <v>6051</v>
      </c>
      <c r="I1319" s="12" t="s">
        <v>6476</v>
      </c>
      <c r="J1319" s="12">
        <v>14887</v>
      </c>
      <c r="K1319" s="12" t="s">
        <v>7028</v>
      </c>
      <c r="L1319" s="12" t="s">
        <v>6760</v>
      </c>
      <c r="M1319" s="13">
        <v>45756</v>
      </c>
      <c r="N1319" s="12" t="s">
        <v>7029</v>
      </c>
      <c r="O1319" s="12" t="s">
        <v>7030</v>
      </c>
      <c r="P1319" s="12"/>
      <c r="Q1319" s="12">
        <v>1</v>
      </c>
    </row>
    <row r="1320" spans="1:17" ht="15.75" customHeight="1">
      <c r="A1320" s="12">
        <v>1332</v>
      </c>
      <c r="B1320" s="12">
        <v>110</v>
      </c>
      <c r="C1320" s="12">
        <v>1822</v>
      </c>
      <c r="D1320" s="12" t="s">
        <v>6047</v>
      </c>
      <c r="E1320" s="12" t="s">
        <v>11382</v>
      </c>
      <c r="F1320" s="12" t="s">
        <v>11383</v>
      </c>
      <c r="G1320" s="12" t="s">
        <v>11384</v>
      </c>
      <c r="H1320" s="12" t="s">
        <v>6435</v>
      </c>
      <c r="I1320" s="12" t="s">
        <v>6920</v>
      </c>
      <c r="J1320" s="12">
        <v>1822</v>
      </c>
      <c r="K1320" s="12" t="s">
        <v>6201</v>
      </c>
      <c r="L1320" s="12" t="s">
        <v>6106</v>
      </c>
      <c r="M1320" s="13">
        <v>41921</v>
      </c>
      <c r="N1320" s="12" t="s">
        <v>6202</v>
      </c>
      <c r="O1320" s="12" t="s">
        <v>6203</v>
      </c>
      <c r="P1320" s="12"/>
      <c r="Q1320" s="12">
        <v>1</v>
      </c>
    </row>
    <row r="1321" spans="1:17" ht="15.75" customHeight="1">
      <c r="A1321" s="12">
        <v>691</v>
      </c>
      <c r="B1321" s="12">
        <v>531</v>
      </c>
      <c r="C1321" s="12">
        <v>6915</v>
      </c>
      <c r="D1321" s="12" t="s">
        <v>6047</v>
      </c>
      <c r="E1321" s="12" t="s">
        <v>11385</v>
      </c>
      <c r="F1321" s="12" t="s">
        <v>11386</v>
      </c>
      <c r="G1321" s="12" t="s">
        <v>11387</v>
      </c>
      <c r="H1321" s="12" t="s">
        <v>11388</v>
      </c>
      <c r="I1321" s="12" t="s">
        <v>11389</v>
      </c>
      <c r="J1321" s="12">
        <v>6915</v>
      </c>
      <c r="K1321" s="12" t="s">
        <v>7705</v>
      </c>
      <c r="L1321" s="12" t="s">
        <v>7254</v>
      </c>
      <c r="M1321" s="13">
        <v>43204</v>
      </c>
      <c r="N1321" s="12" t="s">
        <v>7706</v>
      </c>
      <c r="O1321" s="12" t="s">
        <v>7707</v>
      </c>
      <c r="P1321" s="12"/>
      <c r="Q1321" s="12">
        <v>1</v>
      </c>
    </row>
    <row r="1322" spans="1:17" ht="15.75" customHeight="1">
      <c r="A1322" s="12">
        <v>261</v>
      </c>
      <c r="B1322" s="12">
        <v>190</v>
      </c>
      <c r="C1322" s="12">
        <v>3074</v>
      </c>
      <c r="D1322" s="12" t="s">
        <v>6047</v>
      </c>
      <c r="E1322" s="12" t="s">
        <v>11390</v>
      </c>
      <c r="F1322" s="12" t="s">
        <v>11391</v>
      </c>
      <c r="G1322" s="12" t="s">
        <v>11392</v>
      </c>
      <c r="H1322" s="12" t="s">
        <v>7069</v>
      </c>
      <c r="I1322" s="12" t="s">
        <v>7070</v>
      </c>
      <c r="J1322" s="12">
        <v>3074</v>
      </c>
      <c r="K1322" s="12" t="s">
        <v>10281</v>
      </c>
      <c r="L1322" s="12" t="s">
        <v>7469</v>
      </c>
      <c r="M1322" s="13">
        <v>45603</v>
      </c>
      <c r="N1322" s="12" t="s">
        <v>10282</v>
      </c>
      <c r="O1322" s="12" t="s">
        <v>10283</v>
      </c>
      <c r="P1322" s="12"/>
      <c r="Q1322" s="12">
        <v>1</v>
      </c>
    </row>
    <row r="1323" spans="1:17" ht="15.75" customHeight="1">
      <c r="A1323" s="12">
        <v>915</v>
      </c>
      <c r="B1323" s="12">
        <v>1814</v>
      </c>
      <c r="C1323" s="12">
        <v>33594</v>
      </c>
      <c r="D1323" s="12" t="s">
        <v>6047</v>
      </c>
      <c r="E1323" s="12" t="s">
        <v>11393</v>
      </c>
      <c r="F1323" s="12" t="s">
        <v>11394</v>
      </c>
      <c r="G1323" s="12" t="s">
        <v>11395</v>
      </c>
      <c r="H1323" s="12" t="s">
        <v>6051</v>
      </c>
      <c r="I1323" s="12" t="s">
        <v>6261</v>
      </c>
      <c r="J1323" s="12">
        <v>33594</v>
      </c>
      <c r="K1323" s="12" t="s">
        <v>10902</v>
      </c>
      <c r="L1323" s="12" t="s">
        <v>6955</v>
      </c>
      <c r="M1323" s="13">
        <v>42830</v>
      </c>
      <c r="N1323" s="12" t="s">
        <v>10903</v>
      </c>
      <c r="O1323" s="12" t="s">
        <v>10904</v>
      </c>
      <c r="P1323" s="12"/>
      <c r="Q1323" s="12">
        <v>1</v>
      </c>
    </row>
    <row r="1324" spans="1:17" ht="15.75" customHeight="1">
      <c r="A1324" s="12">
        <v>1633</v>
      </c>
      <c r="B1324" s="12">
        <v>72</v>
      </c>
      <c r="C1324" s="12">
        <v>770</v>
      </c>
      <c r="D1324" s="12" t="s">
        <v>6047</v>
      </c>
      <c r="E1324" s="12" t="s">
        <v>11396</v>
      </c>
      <c r="F1324" s="12" t="s">
        <v>11397</v>
      </c>
      <c r="G1324" s="12" t="s">
        <v>11398</v>
      </c>
      <c r="H1324" s="12" t="s">
        <v>6289</v>
      </c>
      <c r="I1324" s="12" t="s">
        <v>6290</v>
      </c>
      <c r="J1324" s="12">
        <v>770</v>
      </c>
      <c r="K1324" s="12" t="s">
        <v>6789</v>
      </c>
      <c r="L1324" s="12" t="s">
        <v>6240</v>
      </c>
      <c r="M1324" s="13">
        <v>41321</v>
      </c>
      <c r="N1324" s="12" t="s">
        <v>6790</v>
      </c>
      <c r="O1324" s="12" t="s">
        <v>6791</v>
      </c>
      <c r="P1324" s="12"/>
      <c r="Q1324" s="12">
        <v>1</v>
      </c>
    </row>
    <row r="1325" spans="1:17" ht="15.75" customHeight="1">
      <c r="A1325" s="12">
        <v>1606</v>
      </c>
      <c r="B1325" s="12">
        <v>1525</v>
      </c>
      <c r="C1325" s="12">
        <v>26937</v>
      </c>
      <c r="D1325" s="12" t="s">
        <v>6047</v>
      </c>
      <c r="E1325" s="12" t="s">
        <v>11399</v>
      </c>
      <c r="F1325" s="12" t="s">
        <v>11400</v>
      </c>
      <c r="G1325" s="12" t="s">
        <v>11401</v>
      </c>
      <c r="H1325" s="12" t="s">
        <v>6051</v>
      </c>
      <c r="I1325" s="12" t="s">
        <v>7812</v>
      </c>
      <c r="J1325" s="12">
        <v>26937</v>
      </c>
      <c r="K1325" s="12" t="s">
        <v>6300</v>
      </c>
      <c r="L1325" s="12" t="s">
        <v>6240</v>
      </c>
      <c r="M1325" s="13">
        <v>41396</v>
      </c>
      <c r="N1325" s="12" t="s">
        <v>6301</v>
      </c>
      <c r="O1325" s="12" t="s">
        <v>6302</v>
      </c>
      <c r="P1325" s="12"/>
      <c r="Q1325" s="12">
        <v>1</v>
      </c>
    </row>
    <row r="1326" spans="1:17" ht="15.75" customHeight="1">
      <c r="A1326" s="12">
        <v>632</v>
      </c>
      <c r="B1326" s="12">
        <v>863</v>
      </c>
      <c r="C1326" s="12">
        <v>11130</v>
      </c>
      <c r="D1326" s="12" t="s">
        <v>6047</v>
      </c>
      <c r="E1326" s="12" t="s">
        <v>3886</v>
      </c>
      <c r="F1326" s="12" t="s">
        <v>11402</v>
      </c>
      <c r="G1326" s="12" t="s">
        <v>11403</v>
      </c>
      <c r="H1326" s="12" t="s">
        <v>6060</v>
      </c>
      <c r="I1326" s="12" t="s">
        <v>6061</v>
      </c>
      <c r="J1326" s="12">
        <v>11130</v>
      </c>
      <c r="K1326" s="12" t="s">
        <v>7950</v>
      </c>
      <c r="L1326" s="12" t="s">
        <v>6255</v>
      </c>
      <c r="M1326" s="13">
        <v>43419</v>
      </c>
      <c r="N1326" s="12" t="s">
        <v>7951</v>
      </c>
      <c r="O1326" s="12" t="s">
        <v>7952</v>
      </c>
      <c r="P1326" s="12"/>
      <c r="Q1326" s="12">
        <v>1</v>
      </c>
    </row>
    <row r="1327" spans="1:17" ht="15.75" customHeight="1">
      <c r="A1327" s="12">
        <v>794</v>
      </c>
      <c r="B1327" s="12">
        <v>1685</v>
      </c>
      <c r="C1327" s="12">
        <v>31023</v>
      </c>
      <c r="D1327" s="12" t="s">
        <v>6047</v>
      </c>
      <c r="E1327" s="12" t="s">
        <v>11404</v>
      </c>
      <c r="F1327" s="12" t="s">
        <v>11405</v>
      </c>
      <c r="G1327" s="12" t="s">
        <v>11406</v>
      </c>
      <c r="H1327" s="12" t="s">
        <v>6051</v>
      </c>
      <c r="I1327" s="12" t="s">
        <v>6093</v>
      </c>
      <c r="J1327" s="12">
        <v>31023</v>
      </c>
      <c r="K1327" s="12" t="s">
        <v>6666</v>
      </c>
      <c r="L1327" s="12" t="s">
        <v>6590</v>
      </c>
      <c r="M1327" s="13">
        <v>43031</v>
      </c>
      <c r="N1327" s="12" t="s">
        <v>6667</v>
      </c>
      <c r="O1327" s="12" t="s">
        <v>6668</v>
      </c>
      <c r="P1327" s="12"/>
      <c r="Q1327" s="12">
        <v>1</v>
      </c>
    </row>
    <row r="1328" spans="1:17" ht="15.75" customHeight="1">
      <c r="A1328" s="12">
        <v>1960</v>
      </c>
      <c r="B1328" s="12">
        <v>1460</v>
      </c>
      <c r="C1328" s="12">
        <v>22775</v>
      </c>
      <c r="D1328" s="12" t="s">
        <v>6047</v>
      </c>
      <c r="E1328" s="12" t="s">
        <v>11407</v>
      </c>
      <c r="F1328" s="12" t="s">
        <v>11408</v>
      </c>
      <c r="G1328" s="12" t="s">
        <v>11409</v>
      </c>
      <c r="H1328" s="12" t="s">
        <v>6051</v>
      </c>
      <c r="I1328" s="12" t="s">
        <v>8716</v>
      </c>
      <c r="J1328" s="12">
        <v>22775</v>
      </c>
      <c r="K1328" s="12" t="s">
        <v>7298</v>
      </c>
      <c r="L1328" s="12" t="s">
        <v>6113</v>
      </c>
      <c r="M1328" s="13">
        <v>38579</v>
      </c>
      <c r="N1328" s="12" t="s">
        <v>7299</v>
      </c>
      <c r="O1328" s="12" t="s">
        <v>7300</v>
      </c>
      <c r="P1328" s="12"/>
      <c r="Q1328" s="12">
        <v>1</v>
      </c>
    </row>
    <row r="1329" spans="1:17" ht="15.75" customHeight="1">
      <c r="A1329" s="12">
        <v>1019</v>
      </c>
      <c r="B1329" s="12">
        <v>1097</v>
      </c>
      <c r="C1329" s="12">
        <v>15836</v>
      </c>
      <c r="D1329" s="12" t="s">
        <v>6047</v>
      </c>
      <c r="E1329" s="12" t="s">
        <v>11410</v>
      </c>
      <c r="F1329" s="12" t="s">
        <v>11411</v>
      </c>
      <c r="G1329" s="12" t="s">
        <v>11412</v>
      </c>
      <c r="H1329" s="12" t="s">
        <v>6051</v>
      </c>
      <c r="I1329" s="12" t="s">
        <v>7511</v>
      </c>
      <c r="J1329" s="12">
        <v>15836</v>
      </c>
      <c r="K1329" s="12" t="s">
        <v>6875</v>
      </c>
      <c r="L1329" s="12" t="s">
        <v>6357</v>
      </c>
      <c r="M1329" s="13">
        <v>42691</v>
      </c>
      <c r="N1329" s="12" t="s">
        <v>6876</v>
      </c>
      <c r="O1329" s="12" t="s">
        <v>6877</v>
      </c>
      <c r="P1329" s="12"/>
      <c r="Q1329" s="12">
        <v>1</v>
      </c>
    </row>
    <row r="1330" spans="1:17" ht="15.75" customHeight="1">
      <c r="A1330" s="12">
        <v>39</v>
      </c>
      <c r="B1330" s="12">
        <v>417</v>
      </c>
      <c r="C1330" s="12">
        <v>5940</v>
      </c>
      <c r="D1330" s="12" t="s">
        <v>6047</v>
      </c>
      <c r="E1330" s="12" t="s">
        <v>11413</v>
      </c>
      <c r="F1330" s="12" t="s">
        <v>11414</v>
      </c>
      <c r="G1330" s="12" t="s">
        <v>11415</v>
      </c>
      <c r="H1330" s="12" t="s">
        <v>6137</v>
      </c>
      <c r="I1330" s="12" t="s">
        <v>6323</v>
      </c>
      <c r="J1330" s="12">
        <v>5940</v>
      </c>
      <c r="K1330" s="12" t="s">
        <v>10184</v>
      </c>
      <c r="L1330" s="12" t="s">
        <v>6590</v>
      </c>
      <c r="M1330" s="13">
        <v>45975</v>
      </c>
      <c r="N1330" s="12" t="s">
        <v>10185</v>
      </c>
      <c r="O1330" s="12" t="s">
        <v>10186</v>
      </c>
      <c r="P1330" s="12"/>
      <c r="Q1330" s="12">
        <v>1</v>
      </c>
    </row>
    <row r="1331" spans="1:17" ht="15.75" customHeight="1">
      <c r="A1331" s="12">
        <v>99</v>
      </c>
      <c r="B1331" s="12">
        <v>1436</v>
      </c>
      <c r="C1331" s="12">
        <v>21747</v>
      </c>
      <c r="D1331" s="12" t="s">
        <v>6047</v>
      </c>
      <c r="E1331" s="12" t="s">
        <v>3898</v>
      </c>
      <c r="F1331" s="12" t="s">
        <v>11416</v>
      </c>
      <c r="G1331" s="12" t="s">
        <v>11417</v>
      </c>
      <c r="H1331" s="12" t="s">
        <v>6051</v>
      </c>
      <c r="I1331" s="12" t="s">
        <v>8726</v>
      </c>
      <c r="J1331" s="12">
        <v>21747</v>
      </c>
      <c r="K1331" s="12" t="s">
        <v>8550</v>
      </c>
      <c r="L1331" s="12" t="s">
        <v>6511</v>
      </c>
      <c r="M1331" s="13">
        <v>45967</v>
      </c>
      <c r="N1331" s="12" t="s">
        <v>8551</v>
      </c>
      <c r="O1331" s="12" t="s">
        <v>8552</v>
      </c>
      <c r="P1331" s="12"/>
      <c r="Q1331" s="12">
        <v>1</v>
      </c>
    </row>
    <row r="1332" spans="1:17" ht="15.75" customHeight="1">
      <c r="A1332" s="12">
        <v>1383</v>
      </c>
      <c r="B1332" s="12">
        <v>1639</v>
      </c>
      <c r="C1332" s="12">
        <v>29229</v>
      </c>
      <c r="D1332" s="12" t="s">
        <v>6047</v>
      </c>
      <c r="E1332" s="12" t="s">
        <v>11418</v>
      </c>
      <c r="F1332" s="12" t="s">
        <v>11419</v>
      </c>
      <c r="G1332" s="12" t="s">
        <v>11420</v>
      </c>
      <c r="H1332" s="12" t="s">
        <v>6051</v>
      </c>
      <c r="I1332" s="12" t="s">
        <v>6111</v>
      </c>
      <c r="J1332" s="12">
        <v>29229</v>
      </c>
      <c r="K1332" s="12" t="s">
        <v>6144</v>
      </c>
      <c r="L1332" s="12" t="s">
        <v>6078</v>
      </c>
      <c r="M1332" s="13">
        <v>41914</v>
      </c>
      <c r="N1332" s="12" t="s">
        <v>6145</v>
      </c>
      <c r="O1332" s="12" t="s">
        <v>11421</v>
      </c>
      <c r="P1332" s="12"/>
      <c r="Q1332" s="12">
        <v>1</v>
      </c>
    </row>
    <row r="1333" spans="1:17" ht="15.75" customHeight="1">
      <c r="A1333" s="12">
        <v>1972</v>
      </c>
      <c r="B1333" s="12">
        <v>1695</v>
      </c>
      <c r="C1333" s="12">
        <v>31362</v>
      </c>
      <c r="D1333" s="12" t="s">
        <v>6047</v>
      </c>
      <c r="E1333" s="12" t="s">
        <v>3904</v>
      </c>
      <c r="F1333" s="12" t="s">
        <v>11422</v>
      </c>
      <c r="G1333" s="12" t="s">
        <v>11423</v>
      </c>
      <c r="H1333" s="12" t="s">
        <v>6051</v>
      </c>
      <c r="I1333" s="12" t="s">
        <v>6093</v>
      </c>
      <c r="J1333" s="12">
        <v>31362</v>
      </c>
      <c r="K1333" s="12" t="s">
        <v>8445</v>
      </c>
      <c r="L1333" s="12" t="s">
        <v>8446</v>
      </c>
      <c r="M1333" s="13">
        <v>38576</v>
      </c>
      <c r="N1333" s="12" t="s">
        <v>8447</v>
      </c>
      <c r="O1333" s="12" t="s">
        <v>8448</v>
      </c>
      <c r="P1333" s="12"/>
      <c r="Q1333" s="12">
        <v>1</v>
      </c>
    </row>
    <row r="1334" spans="1:17" ht="15.75" customHeight="1">
      <c r="A1334" s="12">
        <v>1434</v>
      </c>
      <c r="B1334" s="12">
        <v>1682</v>
      </c>
      <c r="C1334" s="12">
        <v>30978</v>
      </c>
      <c r="D1334" s="12" t="s">
        <v>6047</v>
      </c>
      <c r="E1334" s="12" t="s">
        <v>11424</v>
      </c>
      <c r="F1334" s="12" t="s">
        <v>11425</v>
      </c>
      <c r="G1334" s="12" t="s">
        <v>11426</v>
      </c>
      <c r="H1334" s="12" t="s">
        <v>6051</v>
      </c>
      <c r="I1334" s="12" t="s">
        <v>6100</v>
      </c>
      <c r="J1334" s="12">
        <v>30978</v>
      </c>
      <c r="K1334" s="12" t="s">
        <v>6069</v>
      </c>
      <c r="L1334" s="12" t="s">
        <v>6070</v>
      </c>
      <c r="M1334" s="13">
        <v>41908</v>
      </c>
      <c r="N1334" s="12" t="s">
        <v>6071</v>
      </c>
      <c r="O1334" s="12" t="s">
        <v>6901</v>
      </c>
      <c r="P1334" s="12"/>
      <c r="Q1334" s="12">
        <v>1</v>
      </c>
    </row>
    <row r="1335" spans="1:17" ht="15.75" customHeight="1">
      <c r="A1335" s="12">
        <v>1481</v>
      </c>
      <c r="B1335" s="12">
        <v>170</v>
      </c>
      <c r="C1335" s="12">
        <v>2952</v>
      </c>
      <c r="D1335" s="12" t="s">
        <v>6047</v>
      </c>
      <c r="E1335" s="12" t="s">
        <v>11427</v>
      </c>
      <c r="F1335" s="12" t="s">
        <v>11428</v>
      </c>
      <c r="G1335" s="12" t="s">
        <v>11429</v>
      </c>
      <c r="H1335" s="12" t="s">
        <v>9951</v>
      </c>
      <c r="I1335" s="12" t="s">
        <v>9952</v>
      </c>
      <c r="J1335" s="12">
        <v>2952</v>
      </c>
      <c r="K1335" s="12" t="s">
        <v>6069</v>
      </c>
      <c r="L1335" s="12" t="s">
        <v>6070</v>
      </c>
      <c r="M1335" s="13">
        <v>41906</v>
      </c>
      <c r="N1335" s="12" t="s">
        <v>6071</v>
      </c>
      <c r="O1335" s="12" t="s">
        <v>6134</v>
      </c>
      <c r="P1335" s="12"/>
      <c r="Q1335" s="12">
        <v>1</v>
      </c>
    </row>
    <row r="1336" spans="1:17" ht="15.75" customHeight="1">
      <c r="A1336" s="12">
        <v>635</v>
      </c>
      <c r="B1336" s="12">
        <v>1930</v>
      </c>
      <c r="C1336" s="12">
        <v>34630</v>
      </c>
      <c r="D1336" s="12" t="s">
        <v>6047</v>
      </c>
      <c r="E1336" s="12" t="s">
        <v>11430</v>
      </c>
      <c r="F1336" s="12" t="s">
        <v>11431</v>
      </c>
      <c r="G1336" s="12" t="s">
        <v>11432</v>
      </c>
      <c r="H1336" s="12" t="s">
        <v>6051</v>
      </c>
      <c r="I1336" s="12" t="s">
        <v>6700</v>
      </c>
      <c r="J1336" s="12">
        <v>34630</v>
      </c>
      <c r="K1336" s="12" t="s">
        <v>11433</v>
      </c>
      <c r="L1336" s="12" t="s">
        <v>6193</v>
      </c>
      <c r="M1336" s="13">
        <v>43409</v>
      </c>
      <c r="N1336" s="12" t="s">
        <v>11434</v>
      </c>
      <c r="O1336" s="12" t="s">
        <v>11435</v>
      </c>
      <c r="P1336" s="12" t="s">
        <v>6196</v>
      </c>
      <c r="Q1336" s="12">
        <v>1</v>
      </c>
    </row>
    <row r="1337" spans="1:17" ht="15.75" customHeight="1">
      <c r="A1337" s="12">
        <v>1261</v>
      </c>
      <c r="B1337" s="12">
        <v>1102</v>
      </c>
      <c r="C1337" s="12">
        <v>15893</v>
      </c>
      <c r="D1337" s="12" t="s">
        <v>6047</v>
      </c>
      <c r="E1337" s="12" t="s">
        <v>11436</v>
      </c>
      <c r="F1337" s="12" t="s">
        <v>11437</v>
      </c>
      <c r="G1337" s="12" t="s">
        <v>11438</v>
      </c>
      <c r="H1337" s="12" t="s">
        <v>6051</v>
      </c>
      <c r="I1337" s="12" t="s">
        <v>6406</v>
      </c>
      <c r="J1337" s="12">
        <v>15893</v>
      </c>
      <c r="K1337" s="12" t="s">
        <v>6470</v>
      </c>
      <c r="L1337" s="12" t="s">
        <v>6423</v>
      </c>
      <c r="M1337" s="13">
        <v>41990</v>
      </c>
      <c r="N1337" s="12" t="s">
        <v>6471</v>
      </c>
      <c r="O1337" s="12" t="s">
        <v>6472</v>
      </c>
      <c r="P1337" s="12"/>
      <c r="Q1337" s="12">
        <v>1</v>
      </c>
    </row>
    <row r="1338" spans="1:17" ht="15.75" customHeight="1">
      <c r="A1338" s="12">
        <v>1758</v>
      </c>
      <c r="B1338" s="12">
        <v>1915</v>
      </c>
      <c r="C1338" s="12">
        <v>34459</v>
      </c>
      <c r="D1338" s="12" t="s">
        <v>6047</v>
      </c>
      <c r="E1338" s="12" t="s">
        <v>11439</v>
      </c>
      <c r="F1338" s="12" t="s">
        <v>11440</v>
      </c>
      <c r="G1338" s="12" t="s">
        <v>11441</v>
      </c>
      <c r="H1338" s="12" t="s">
        <v>6051</v>
      </c>
      <c r="I1338" s="12" t="s">
        <v>7034</v>
      </c>
      <c r="J1338" s="12">
        <v>34459</v>
      </c>
      <c r="K1338" s="12" t="s">
        <v>6062</v>
      </c>
      <c r="L1338" s="12" t="s">
        <v>6063</v>
      </c>
      <c r="M1338" s="13">
        <v>40873</v>
      </c>
      <c r="N1338" s="12" t="s">
        <v>6064</v>
      </c>
      <c r="O1338" s="12" t="s">
        <v>6065</v>
      </c>
      <c r="P1338" s="12"/>
      <c r="Q1338" s="12">
        <v>1</v>
      </c>
    </row>
    <row r="1339" spans="1:17" ht="15.75" customHeight="1">
      <c r="A1339" s="12">
        <v>1295</v>
      </c>
      <c r="B1339" s="12">
        <v>868</v>
      </c>
      <c r="C1339" s="12">
        <v>11171</v>
      </c>
      <c r="D1339" s="12" t="s">
        <v>6047</v>
      </c>
      <c r="E1339" s="12" t="s">
        <v>11442</v>
      </c>
      <c r="F1339" s="12" t="s">
        <v>11443</v>
      </c>
      <c r="G1339" s="12" t="s">
        <v>11444</v>
      </c>
      <c r="H1339" s="12" t="s">
        <v>6060</v>
      </c>
      <c r="I1339" s="12" t="s">
        <v>6061</v>
      </c>
      <c r="J1339" s="12">
        <v>11171</v>
      </c>
      <c r="K1339" s="12" t="s">
        <v>6422</v>
      </c>
      <c r="L1339" s="12" t="s">
        <v>6423</v>
      </c>
      <c r="M1339" s="13">
        <v>41989</v>
      </c>
      <c r="N1339" s="12" t="s">
        <v>6424</v>
      </c>
      <c r="O1339" s="12" t="s">
        <v>6425</v>
      </c>
      <c r="P1339" s="12"/>
      <c r="Q1339" s="12">
        <v>1</v>
      </c>
    </row>
    <row r="1340" spans="1:17" ht="15.75" customHeight="1">
      <c r="A1340" s="12">
        <v>1344</v>
      </c>
      <c r="B1340" s="12">
        <v>131</v>
      </c>
      <c r="C1340" s="12">
        <v>2050</v>
      </c>
      <c r="D1340" s="12" t="s">
        <v>6047</v>
      </c>
      <c r="E1340" s="12" t="s">
        <v>11445</v>
      </c>
      <c r="F1340" s="12" t="s">
        <v>11446</v>
      </c>
      <c r="G1340" s="12" t="s">
        <v>11447</v>
      </c>
      <c r="H1340" s="12" t="s">
        <v>6127</v>
      </c>
      <c r="I1340" s="12" t="s">
        <v>6128</v>
      </c>
      <c r="J1340" s="12">
        <v>2050</v>
      </c>
      <c r="K1340" s="12" t="s">
        <v>11448</v>
      </c>
      <c r="L1340" s="12" t="s">
        <v>11449</v>
      </c>
      <c r="M1340" s="13">
        <v>41919</v>
      </c>
      <c r="N1340" s="12" t="s">
        <v>11450</v>
      </c>
      <c r="O1340" s="12" t="s">
        <v>11451</v>
      </c>
      <c r="P1340" s="12"/>
      <c r="Q1340" s="12">
        <v>1</v>
      </c>
    </row>
    <row r="1341" spans="1:17" ht="15.75" customHeight="1">
      <c r="A1341" s="12">
        <v>1494</v>
      </c>
      <c r="B1341" s="12">
        <v>1340</v>
      </c>
      <c r="C1341" s="12">
        <v>19267</v>
      </c>
      <c r="D1341" s="12" t="s">
        <v>6047</v>
      </c>
      <c r="E1341" s="12" t="s">
        <v>11452</v>
      </c>
      <c r="F1341" s="12" t="s">
        <v>11453</v>
      </c>
      <c r="G1341" s="12" t="s">
        <v>11454</v>
      </c>
      <c r="H1341" s="12" t="s">
        <v>6051</v>
      </c>
      <c r="I1341" s="12" t="s">
        <v>7090</v>
      </c>
      <c r="J1341" s="12">
        <v>19267</v>
      </c>
      <c r="K1341" s="12" t="s">
        <v>9222</v>
      </c>
      <c r="L1341" s="12" t="s">
        <v>6240</v>
      </c>
      <c r="M1341" s="13">
        <v>41795</v>
      </c>
      <c r="N1341" s="12" t="s">
        <v>9223</v>
      </c>
      <c r="O1341" s="12" t="s">
        <v>9224</v>
      </c>
      <c r="P1341" s="12"/>
      <c r="Q1341" s="12">
        <v>1</v>
      </c>
    </row>
    <row r="1342" spans="1:17" ht="15.75" customHeight="1">
      <c r="A1342" s="12">
        <v>1074</v>
      </c>
      <c r="B1342" s="12">
        <v>1077</v>
      </c>
      <c r="C1342" s="12">
        <v>15514</v>
      </c>
      <c r="D1342" s="12" t="s">
        <v>6047</v>
      </c>
      <c r="E1342" s="12" t="s">
        <v>11455</v>
      </c>
      <c r="F1342" s="12" t="s">
        <v>11456</v>
      </c>
      <c r="G1342" s="12" t="s">
        <v>11457</v>
      </c>
      <c r="H1342" s="12" t="s">
        <v>6051</v>
      </c>
      <c r="I1342" s="12" t="s">
        <v>6476</v>
      </c>
      <c r="J1342" s="12">
        <v>15514</v>
      </c>
      <c r="K1342" s="12" t="s">
        <v>6927</v>
      </c>
      <c r="L1342" s="12" t="s">
        <v>6504</v>
      </c>
      <c r="M1342" s="13">
        <v>42686</v>
      </c>
      <c r="N1342" s="12" t="s">
        <v>6928</v>
      </c>
      <c r="O1342" s="12" t="s">
        <v>6929</v>
      </c>
      <c r="P1342" s="12"/>
      <c r="Q1342" s="12">
        <v>1</v>
      </c>
    </row>
    <row r="1343" spans="1:17" ht="15.75" customHeight="1">
      <c r="A1343" s="12">
        <v>690</v>
      </c>
      <c r="B1343" s="12">
        <v>554</v>
      </c>
      <c r="C1343" s="12">
        <v>7338</v>
      </c>
      <c r="D1343" s="12" t="s">
        <v>6047</v>
      </c>
      <c r="E1343" s="12" t="s">
        <v>11458</v>
      </c>
      <c r="F1343" s="12" t="s">
        <v>11459</v>
      </c>
      <c r="G1343" s="12" t="s">
        <v>11460</v>
      </c>
      <c r="H1343" s="12" t="s">
        <v>6084</v>
      </c>
      <c r="I1343" s="12" t="s">
        <v>6575</v>
      </c>
      <c r="J1343" s="12">
        <v>7338</v>
      </c>
      <c r="K1343" s="12" t="s">
        <v>7705</v>
      </c>
      <c r="L1343" s="12" t="s">
        <v>7254</v>
      </c>
      <c r="M1343" s="13">
        <v>43204</v>
      </c>
      <c r="N1343" s="12" t="s">
        <v>7706</v>
      </c>
      <c r="O1343" s="12" t="s">
        <v>7707</v>
      </c>
      <c r="P1343" s="12"/>
      <c r="Q1343" s="12">
        <v>1</v>
      </c>
    </row>
    <row r="1344" spans="1:17" ht="15.75" customHeight="1">
      <c r="A1344" s="12">
        <v>298</v>
      </c>
      <c r="B1344" s="12">
        <v>186</v>
      </c>
      <c r="C1344" s="12">
        <v>3069</v>
      </c>
      <c r="D1344" s="12" t="s">
        <v>6047</v>
      </c>
      <c r="E1344" s="12" t="s">
        <v>11461</v>
      </c>
      <c r="F1344" s="12" t="s">
        <v>11462</v>
      </c>
      <c r="G1344" s="12" t="s">
        <v>11463</v>
      </c>
      <c r="H1344" s="12" t="s">
        <v>7069</v>
      </c>
      <c r="I1344" s="12" t="s">
        <v>7070</v>
      </c>
      <c r="J1344" s="12">
        <v>3069</v>
      </c>
      <c r="K1344" s="12" t="s">
        <v>7468</v>
      </c>
      <c r="L1344" s="12" t="s">
        <v>7469</v>
      </c>
      <c r="M1344" s="13">
        <v>45602</v>
      </c>
      <c r="N1344" s="12" t="s">
        <v>7470</v>
      </c>
      <c r="O1344" s="12" t="s">
        <v>7471</v>
      </c>
      <c r="P1344" s="12"/>
      <c r="Q1344" s="12">
        <v>1</v>
      </c>
    </row>
    <row r="1345" spans="1:17" ht="15.75" customHeight="1">
      <c r="A1345" s="12">
        <v>1168</v>
      </c>
      <c r="B1345" s="12">
        <v>842</v>
      </c>
      <c r="C1345" s="12">
        <v>10818</v>
      </c>
      <c r="D1345" s="12" t="s">
        <v>6047</v>
      </c>
      <c r="E1345" s="12" t="s">
        <v>11464</v>
      </c>
      <c r="F1345" s="12" t="s">
        <v>11465</v>
      </c>
      <c r="G1345" s="12" t="s">
        <v>11466</v>
      </c>
      <c r="H1345" s="12" t="s">
        <v>6060</v>
      </c>
      <c r="I1345" s="12" t="s">
        <v>10931</v>
      </c>
      <c r="J1345" s="12">
        <v>10818</v>
      </c>
      <c r="K1345" s="12" t="s">
        <v>7873</v>
      </c>
      <c r="L1345" s="12" t="s">
        <v>6832</v>
      </c>
      <c r="M1345" s="13">
        <v>41998</v>
      </c>
      <c r="N1345" s="12" t="s">
        <v>7874</v>
      </c>
      <c r="O1345" s="12" t="s">
        <v>7875</v>
      </c>
      <c r="P1345" s="12"/>
      <c r="Q1345" s="12">
        <v>1</v>
      </c>
    </row>
    <row r="1346" spans="1:17" ht="15.75" customHeight="1">
      <c r="A1346" s="12">
        <v>1918</v>
      </c>
      <c r="B1346" s="12">
        <v>1692</v>
      </c>
      <c r="C1346" s="12">
        <v>31344</v>
      </c>
      <c r="D1346" s="12" t="s">
        <v>6047</v>
      </c>
      <c r="E1346" s="12" t="s">
        <v>3941</v>
      </c>
      <c r="F1346" s="12" t="s">
        <v>11467</v>
      </c>
      <c r="G1346" s="12" t="s">
        <v>11468</v>
      </c>
      <c r="H1346" s="12" t="s">
        <v>6051</v>
      </c>
      <c r="I1346" s="12" t="s">
        <v>6093</v>
      </c>
      <c r="J1346" s="12">
        <v>31344</v>
      </c>
      <c r="K1346" s="12" t="s">
        <v>7476</v>
      </c>
      <c r="L1346" s="12" t="s">
        <v>7477</v>
      </c>
      <c r="M1346" s="13">
        <v>39237</v>
      </c>
      <c r="N1346" s="12" t="s">
        <v>7478</v>
      </c>
      <c r="O1346" s="12" t="s">
        <v>7479</v>
      </c>
      <c r="P1346" s="12"/>
      <c r="Q1346" s="12">
        <v>1</v>
      </c>
    </row>
    <row r="1347" spans="1:17" ht="15.75" customHeight="1">
      <c r="A1347" s="12">
        <v>1450</v>
      </c>
      <c r="B1347" s="12">
        <v>1666</v>
      </c>
      <c r="C1347" s="12">
        <v>30754</v>
      </c>
      <c r="D1347" s="12" t="s">
        <v>6047</v>
      </c>
      <c r="E1347" s="12" t="s">
        <v>3950</v>
      </c>
      <c r="F1347" s="12" t="s">
        <v>11469</v>
      </c>
      <c r="G1347" s="12" t="s">
        <v>11470</v>
      </c>
      <c r="H1347" s="12" t="s">
        <v>6051</v>
      </c>
      <c r="I1347" s="12" t="s">
        <v>6100</v>
      </c>
      <c r="J1347" s="12">
        <v>30754</v>
      </c>
      <c r="K1347" s="12" t="s">
        <v>6069</v>
      </c>
      <c r="L1347" s="12" t="s">
        <v>6070</v>
      </c>
      <c r="M1347" s="13">
        <v>41907</v>
      </c>
      <c r="N1347" s="12" t="s">
        <v>6071</v>
      </c>
      <c r="O1347" s="12" t="s">
        <v>6072</v>
      </c>
      <c r="P1347" s="12"/>
      <c r="Q1347" s="12">
        <v>1</v>
      </c>
    </row>
    <row r="1348" spans="1:17" ht="15.75" customHeight="1">
      <c r="A1348" s="12">
        <v>1616</v>
      </c>
      <c r="B1348" s="12">
        <v>864</v>
      </c>
      <c r="C1348" s="12">
        <v>11145</v>
      </c>
      <c r="D1348" s="12" t="s">
        <v>6047</v>
      </c>
      <c r="E1348" s="12" t="s">
        <v>3943</v>
      </c>
      <c r="F1348" s="12" t="s">
        <v>11471</v>
      </c>
      <c r="G1348" s="12" t="s">
        <v>11472</v>
      </c>
      <c r="H1348" s="12" t="s">
        <v>6060</v>
      </c>
      <c r="I1348" s="12" t="s">
        <v>6061</v>
      </c>
      <c r="J1348" s="12">
        <v>11145</v>
      </c>
      <c r="K1348" s="12" t="s">
        <v>6300</v>
      </c>
      <c r="L1348" s="12" t="s">
        <v>6240</v>
      </c>
      <c r="M1348" s="13">
        <v>41396</v>
      </c>
      <c r="N1348" s="12" t="s">
        <v>6301</v>
      </c>
      <c r="O1348" s="12" t="s">
        <v>6302</v>
      </c>
      <c r="P1348" s="12"/>
      <c r="Q1348" s="12">
        <v>1</v>
      </c>
    </row>
    <row r="1349" spans="1:17" ht="15.75" customHeight="1">
      <c r="A1349" s="12">
        <v>1348</v>
      </c>
      <c r="B1349" s="12">
        <v>363</v>
      </c>
      <c r="C1349" s="12">
        <v>5494</v>
      </c>
      <c r="D1349" s="12" t="s">
        <v>6047</v>
      </c>
      <c r="E1349" s="12" t="s">
        <v>3967</v>
      </c>
      <c r="F1349" s="12" t="s">
        <v>11473</v>
      </c>
      <c r="G1349" s="12" t="s">
        <v>11474</v>
      </c>
      <c r="H1349" s="12" t="s">
        <v>6213</v>
      </c>
      <c r="I1349" s="12" t="s">
        <v>6214</v>
      </c>
      <c r="J1349" s="12">
        <v>5494</v>
      </c>
      <c r="K1349" s="12" t="s">
        <v>6215</v>
      </c>
      <c r="L1349" s="12" t="s">
        <v>6216</v>
      </c>
      <c r="M1349" s="13">
        <v>41918</v>
      </c>
      <c r="N1349" s="12" t="s">
        <v>6217</v>
      </c>
      <c r="O1349" s="12" t="s">
        <v>6218</v>
      </c>
      <c r="P1349" s="12"/>
      <c r="Q1349" s="12">
        <v>1</v>
      </c>
    </row>
    <row r="1350" spans="1:17" ht="15.75" customHeight="1">
      <c r="A1350" s="12">
        <v>1754</v>
      </c>
      <c r="B1350" s="12">
        <v>1992</v>
      </c>
      <c r="C1350" s="12">
        <v>35174</v>
      </c>
      <c r="D1350" s="12" t="s">
        <v>6047</v>
      </c>
      <c r="E1350" s="12" t="s">
        <v>11475</v>
      </c>
      <c r="F1350" s="12" t="s">
        <v>11476</v>
      </c>
      <c r="G1350" s="12" t="s">
        <v>11477</v>
      </c>
      <c r="H1350" s="12" t="s">
        <v>6051</v>
      </c>
      <c r="I1350" s="12" t="s">
        <v>6700</v>
      </c>
      <c r="J1350" s="12">
        <v>35174</v>
      </c>
      <c r="K1350" s="12" t="s">
        <v>6062</v>
      </c>
      <c r="L1350" s="12" t="s">
        <v>6063</v>
      </c>
      <c r="M1350" s="13">
        <v>40873</v>
      </c>
      <c r="N1350" s="12" t="s">
        <v>6064</v>
      </c>
      <c r="O1350" s="12" t="s">
        <v>6065</v>
      </c>
      <c r="P1350" s="12"/>
      <c r="Q1350" s="12">
        <v>1</v>
      </c>
    </row>
    <row r="1351" spans="1:17" ht="15.75" customHeight="1">
      <c r="A1351" s="12">
        <v>1728</v>
      </c>
      <c r="B1351" s="12">
        <v>954</v>
      </c>
      <c r="C1351" s="12">
        <v>12909</v>
      </c>
      <c r="D1351" s="12" t="s">
        <v>6047</v>
      </c>
      <c r="E1351" s="12" t="s">
        <v>11478</v>
      </c>
      <c r="F1351" s="12" t="s">
        <v>11479</v>
      </c>
      <c r="G1351" s="12" t="s">
        <v>11480</v>
      </c>
      <c r="H1351" s="12" t="s">
        <v>6627</v>
      </c>
      <c r="I1351" s="12" t="s">
        <v>7504</v>
      </c>
      <c r="J1351" s="12">
        <v>12909</v>
      </c>
      <c r="K1351" s="12" t="s">
        <v>7000</v>
      </c>
      <c r="L1351" s="12" t="s">
        <v>7001</v>
      </c>
      <c r="M1351" s="13">
        <v>40875</v>
      </c>
      <c r="N1351" s="12" t="s">
        <v>7002</v>
      </c>
      <c r="O1351" s="12" t="s">
        <v>7003</v>
      </c>
      <c r="P1351" s="12"/>
      <c r="Q1351" s="12">
        <v>1</v>
      </c>
    </row>
    <row r="1352" spans="1:17" ht="15.75" customHeight="1">
      <c r="A1352" s="12">
        <v>786</v>
      </c>
      <c r="B1352" s="12">
        <v>388</v>
      </c>
      <c r="C1352" s="12">
        <v>5778</v>
      </c>
      <c r="D1352" s="12" t="s">
        <v>6047</v>
      </c>
      <c r="E1352" s="12" t="s">
        <v>11481</v>
      </c>
      <c r="F1352" s="12" t="s">
        <v>11482</v>
      </c>
      <c r="G1352" s="12" t="s">
        <v>11483</v>
      </c>
      <c r="H1352" s="12" t="s">
        <v>6137</v>
      </c>
      <c r="I1352" s="12" t="s">
        <v>6269</v>
      </c>
      <c r="J1352" s="12">
        <v>5778</v>
      </c>
      <c r="K1352" s="12" t="s">
        <v>7283</v>
      </c>
      <c r="L1352" s="12" t="s">
        <v>6590</v>
      </c>
      <c r="M1352" s="13">
        <v>43034</v>
      </c>
      <c r="N1352" s="12" t="s">
        <v>7284</v>
      </c>
      <c r="O1352" s="12" t="s">
        <v>7285</v>
      </c>
      <c r="P1352" s="12"/>
      <c r="Q1352" s="12">
        <v>1</v>
      </c>
    </row>
    <row r="1353" spans="1:17" ht="15.75" customHeight="1">
      <c r="A1353" s="12">
        <v>1900</v>
      </c>
      <c r="B1353" s="12">
        <v>908</v>
      </c>
      <c r="C1353" s="12">
        <v>12052</v>
      </c>
      <c r="D1353" s="12" t="s">
        <v>6047</v>
      </c>
      <c r="E1353" s="12" t="s">
        <v>11484</v>
      </c>
      <c r="F1353" s="12" t="s">
        <v>11485</v>
      </c>
      <c r="G1353" s="12" t="s">
        <v>11486</v>
      </c>
      <c r="H1353" s="12" t="s">
        <v>6340</v>
      </c>
      <c r="I1353" s="12" t="s">
        <v>6341</v>
      </c>
      <c r="J1353" s="12">
        <v>12052</v>
      </c>
      <c r="K1353" s="12" t="s">
        <v>9380</v>
      </c>
      <c r="L1353" s="12" t="s">
        <v>9381</v>
      </c>
      <c r="M1353" s="13">
        <v>39251</v>
      </c>
      <c r="N1353" s="12" t="s">
        <v>9382</v>
      </c>
      <c r="O1353" s="12" t="s">
        <v>9383</v>
      </c>
      <c r="P1353" s="12"/>
      <c r="Q1353" s="12">
        <v>1</v>
      </c>
    </row>
    <row r="1354" spans="1:17" ht="15.75" customHeight="1">
      <c r="A1354" s="12">
        <v>1518</v>
      </c>
      <c r="B1354" s="12">
        <v>524</v>
      </c>
      <c r="C1354" s="12">
        <v>6869</v>
      </c>
      <c r="D1354" s="12" t="s">
        <v>6047</v>
      </c>
      <c r="E1354" s="12" t="s">
        <v>3980</v>
      </c>
      <c r="F1354" s="12" t="s">
        <v>11487</v>
      </c>
      <c r="G1354" s="12" t="s">
        <v>11488</v>
      </c>
      <c r="H1354" s="12" t="s">
        <v>6582</v>
      </c>
      <c r="I1354" s="12" t="s">
        <v>6583</v>
      </c>
      <c r="J1354" s="12">
        <v>6869</v>
      </c>
      <c r="K1354" s="12" t="s">
        <v>10030</v>
      </c>
      <c r="L1354" s="12" t="s">
        <v>6240</v>
      </c>
      <c r="M1354" s="13">
        <v>41759</v>
      </c>
      <c r="N1354" s="12" t="s">
        <v>10031</v>
      </c>
      <c r="O1354" s="12" t="s">
        <v>11489</v>
      </c>
      <c r="P1354" s="12"/>
      <c r="Q1354" s="12">
        <v>1</v>
      </c>
    </row>
    <row r="1355" spans="1:17" ht="15.75" customHeight="1">
      <c r="A1355" s="12">
        <v>1545</v>
      </c>
      <c r="B1355" s="12">
        <v>440</v>
      </c>
      <c r="C1355" s="12">
        <v>6121</v>
      </c>
      <c r="D1355" s="12" t="s">
        <v>6047</v>
      </c>
      <c r="E1355" s="12" t="s">
        <v>3982</v>
      </c>
      <c r="F1355" s="12" t="s">
        <v>11490</v>
      </c>
      <c r="G1355" s="12" t="s">
        <v>11491</v>
      </c>
      <c r="H1355" s="12" t="s">
        <v>6137</v>
      </c>
      <c r="I1355" s="12" t="s">
        <v>6391</v>
      </c>
      <c r="J1355" s="12">
        <v>6121</v>
      </c>
      <c r="K1355" s="12" t="s">
        <v>7914</v>
      </c>
      <c r="L1355" s="12" t="s">
        <v>6255</v>
      </c>
      <c r="M1355" s="13">
        <v>41564</v>
      </c>
      <c r="N1355" s="12" t="s">
        <v>7915</v>
      </c>
      <c r="O1355" s="12" t="s">
        <v>11492</v>
      </c>
      <c r="P1355" s="12"/>
      <c r="Q1355" s="12">
        <v>1</v>
      </c>
    </row>
    <row r="1356" spans="1:17" ht="15.75" customHeight="1">
      <c r="A1356" s="12">
        <v>1989</v>
      </c>
      <c r="B1356" s="12">
        <v>115</v>
      </c>
      <c r="C1356" s="12">
        <v>1841</v>
      </c>
      <c r="D1356" s="12" t="s">
        <v>6047</v>
      </c>
      <c r="E1356" s="12" t="s">
        <v>11493</v>
      </c>
      <c r="F1356" s="12" t="s">
        <v>11494</v>
      </c>
      <c r="G1356" s="12" t="s">
        <v>11495</v>
      </c>
      <c r="H1356" s="12" t="s">
        <v>6435</v>
      </c>
      <c r="I1356" s="12" t="s">
        <v>6920</v>
      </c>
      <c r="J1356" s="12">
        <v>1841</v>
      </c>
      <c r="K1356" s="12" t="s">
        <v>8445</v>
      </c>
      <c r="L1356" s="12" t="s">
        <v>8446</v>
      </c>
      <c r="M1356" s="13">
        <v>38576</v>
      </c>
      <c r="N1356" s="12" t="s">
        <v>8447</v>
      </c>
      <c r="O1356" s="12" t="s">
        <v>8448</v>
      </c>
      <c r="P1356" s="12"/>
      <c r="Q1356" s="12">
        <v>1</v>
      </c>
    </row>
    <row r="1357" spans="1:17" ht="15.75" customHeight="1">
      <c r="A1357" s="12">
        <v>38</v>
      </c>
      <c r="B1357" s="12">
        <v>456</v>
      </c>
      <c r="C1357" s="12">
        <v>6186</v>
      </c>
      <c r="D1357" s="12" t="s">
        <v>6047</v>
      </c>
      <c r="E1357" s="12" t="s">
        <v>11496</v>
      </c>
      <c r="F1357" s="12" t="s">
        <v>11497</v>
      </c>
      <c r="G1357" s="12" t="s">
        <v>11498</v>
      </c>
      <c r="H1357" s="12" t="s">
        <v>6137</v>
      </c>
      <c r="I1357" s="12" t="s">
        <v>6391</v>
      </c>
      <c r="J1357" s="12">
        <v>6186</v>
      </c>
      <c r="K1357" s="12" t="s">
        <v>10184</v>
      </c>
      <c r="L1357" s="12" t="s">
        <v>6590</v>
      </c>
      <c r="M1357" s="13">
        <v>45975</v>
      </c>
      <c r="N1357" s="12" t="s">
        <v>10185</v>
      </c>
      <c r="O1357" s="12" t="s">
        <v>10186</v>
      </c>
      <c r="P1357" s="12"/>
      <c r="Q1357" s="12">
        <v>1</v>
      </c>
    </row>
    <row r="1358" spans="1:17" ht="15.75" customHeight="1">
      <c r="A1358" s="12">
        <v>784</v>
      </c>
      <c r="B1358" s="12">
        <v>937</v>
      </c>
      <c r="C1358" s="12">
        <v>12514</v>
      </c>
      <c r="D1358" s="12" t="s">
        <v>6047</v>
      </c>
      <c r="E1358" s="12" t="s">
        <v>11499</v>
      </c>
      <c r="F1358" s="12" t="s">
        <v>11500</v>
      </c>
      <c r="G1358" s="12" t="s">
        <v>11501</v>
      </c>
      <c r="H1358" s="12" t="s">
        <v>6627</v>
      </c>
      <c r="I1358" s="12" t="s">
        <v>6628</v>
      </c>
      <c r="J1358" s="12">
        <v>12514</v>
      </c>
      <c r="K1358" s="12" t="s">
        <v>7283</v>
      </c>
      <c r="L1358" s="12" t="s">
        <v>6590</v>
      </c>
      <c r="M1358" s="13">
        <v>43034</v>
      </c>
      <c r="N1358" s="12" t="s">
        <v>7284</v>
      </c>
      <c r="O1358" s="12" t="s">
        <v>7285</v>
      </c>
      <c r="P1358" s="12"/>
      <c r="Q1358" s="12">
        <v>1</v>
      </c>
    </row>
    <row r="1359" spans="1:17" ht="15.75" customHeight="1">
      <c r="A1359" s="12">
        <v>453</v>
      </c>
      <c r="B1359" s="12">
        <v>880</v>
      </c>
      <c r="C1359" s="12">
        <v>11467</v>
      </c>
      <c r="D1359" s="12" t="s">
        <v>6047</v>
      </c>
      <c r="E1359" s="12" t="s">
        <v>11502</v>
      </c>
      <c r="F1359" s="12" t="s">
        <v>11503</v>
      </c>
      <c r="G1359" s="12" t="s">
        <v>11504</v>
      </c>
      <c r="H1359" s="12" t="s">
        <v>6060</v>
      </c>
      <c r="I1359" s="12" t="s">
        <v>6061</v>
      </c>
      <c r="J1359" s="12">
        <v>11467</v>
      </c>
      <c r="K1359" s="12" t="s">
        <v>8263</v>
      </c>
      <c r="L1359" s="12" t="s">
        <v>6455</v>
      </c>
      <c r="M1359" s="13">
        <v>43793</v>
      </c>
      <c r="N1359" s="12" t="s">
        <v>8264</v>
      </c>
      <c r="O1359" s="12" t="s">
        <v>8265</v>
      </c>
      <c r="P1359" s="12"/>
      <c r="Q1359" s="12">
        <v>1</v>
      </c>
    </row>
    <row r="1360" spans="1:17" ht="15.75" customHeight="1">
      <c r="A1360" s="12">
        <v>1644</v>
      </c>
      <c r="B1360" s="12">
        <v>712</v>
      </c>
      <c r="C1360" s="12">
        <v>8487</v>
      </c>
      <c r="D1360" s="12" t="s">
        <v>6047</v>
      </c>
      <c r="E1360" s="12" t="s">
        <v>11505</v>
      </c>
      <c r="F1360" s="12" t="s">
        <v>11506</v>
      </c>
      <c r="G1360" s="12" t="s">
        <v>11507</v>
      </c>
      <c r="H1360" s="12" t="s">
        <v>6075</v>
      </c>
      <c r="I1360" s="12" t="s">
        <v>6076</v>
      </c>
      <c r="J1360" s="12">
        <v>8487</v>
      </c>
      <c r="K1360" s="12" t="s">
        <v>6381</v>
      </c>
      <c r="L1360" s="12" t="s">
        <v>6345</v>
      </c>
      <c r="M1360" s="13">
        <v>41260</v>
      </c>
      <c r="N1360" s="12" t="s">
        <v>6382</v>
      </c>
      <c r="O1360" s="12" t="s">
        <v>6383</v>
      </c>
      <c r="P1360" s="12"/>
      <c r="Q1360" s="12">
        <v>1</v>
      </c>
    </row>
    <row r="1361" spans="1:17" ht="15.75" customHeight="1">
      <c r="A1361" s="12">
        <v>214</v>
      </c>
      <c r="B1361" s="12">
        <v>1370</v>
      </c>
      <c r="C1361" s="12">
        <v>19981</v>
      </c>
      <c r="D1361" s="12" t="s">
        <v>6047</v>
      </c>
      <c r="E1361" s="12" t="s">
        <v>11508</v>
      </c>
      <c r="F1361" s="12" t="s">
        <v>11509</v>
      </c>
      <c r="G1361" s="12" t="s">
        <v>11510</v>
      </c>
      <c r="H1361" s="12" t="s">
        <v>6051</v>
      </c>
      <c r="I1361" s="12" t="s">
        <v>6523</v>
      </c>
      <c r="J1361" s="12">
        <v>19981</v>
      </c>
      <c r="K1361" s="12" t="s">
        <v>11511</v>
      </c>
      <c r="L1361" s="12" t="s">
        <v>6518</v>
      </c>
      <c r="M1361" s="13">
        <v>45610</v>
      </c>
      <c r="N1361" s="12" t="s">
        <v>11512</v>
      </c>
      <c r="O1361" s="12" t="s">
        <v>11513</v>
      </c>
      <c r="P1361" s="12"/>
      <c r="Q1361" s="12">
        <v>1</v>
      </c>
    </row>
    <row r="1362" spans="1:17" ht="15.75" customHeight="1">
      <c r="A1362" s="12">
        <v>1717</v>
      </c>
      <c r="B1362" s="12">
        <v>718</v>
      </c>
      <c r="C1362" s="12">
        <v>8506</v>
      </c>
      <c r="D1362" s="12" t="s">
        <v>6047</v>
      </c>
      <c r="E1362" s="12" t="s">
        <v>11514</v>
      </c>
      <c r="F1362" s="12" t="s">
        <v>11515</v>
      </c>
      <c r="G1362" s="12" t="s">
        <v>11516</v>
      </c>
      <c r="H1362" s="12" t="s">
        <v>6075</v>
      </c>
      <c r="I1362" s="12" t="s">
        <v>6076</v>
      </c>
      <c r="J1362" s="12">
        <v>8506</v>
      </c>
      <c r="K1362" s="12" t="s">
        <v>7332</v>
      </c>
      <c r="L1362" s="12" t="s">
        <v>7333</v>
      </c>
      <c r="M1362" s="13">
        <v>40877</v>
      </c>
      <c r="N1362" s="12" t="s">
        <v>7334</v>
      </c>
      <c r="O1362" s="12" t="s">
        <v>7335</v>
      </c>
      <c r="P1362" s="12"/>
      <c r="Q1362" s="12">
        <v>1</v>
      </c>
    </row>
    <row r="1363" spans="1:17" ht="15.75" customHeight="1">
      <c r="A1363" s="12">
        <v>208</v>
      </c>
      <c r="B1363" s="12">
        <v>532</v>
      </c>
      <c r="C1363" s="12">
        <v>6919</v>
      </c>
      <c r="D1363" s="12" t="s">
        <v>6047</v>
      </c>
      <c r="E1363" s="12" t="s">
        <v>11517</v>
      </c>
      <c r="F1363" s="12" t="s">
        <v>11518</v>
      </c>
      <c r="G1363" s="12" t="s">
        <v>11519</v>
      </c>
      <c r="H1363" s="12" t="s">
        <v>11388</v>
      </c>
      <c r="I1363" s="12" t="s">
        <v>11389</v>
      </c>
      <c r="J1363" s="12">
        <v>6919</v>
      </c>
      <c r="K1363" s="12" t="s">
        <v>7738</v>
      </c>
      <c r="L1363" s="12" t="s">
        <v>7739</v>
      </c>
      <c r="M1363" s="13">
        <v>45611</v>
      </c>
      <c r="N1363" s="12" t="s">
        <v>7740</v>
      </c>
      <c r="O1363" s="12" t="s">
        <v>11520</v>
      </c>
      <c r="P1363" s="12"/>
      <c r="Q1363" s="12">
        <v>1</v>
      </c>
    </row>
    <row r="1364" spans="1:17" ht="15.75" customHeight="1">
      <c r="A1364" s="12">
        <v>293</v>
      </c>
      <c r="B1364" s="12">
        <v>1369</v>
      </c>
      <c r="C1364" s="12">
        <v>19980</v>
      </c>
      <c r="D1364" s="12" t="s">
        <v>6047</v>
      </c>
      <c r="E1364" s="12" t="s">
        <v>11521</v>
      </c>
      <c r="F1364" s="12" t="s">
        <v>11522</v>
      </c>
      <c r="G1364" s="12" t="s">
        <v>11523</v>
      </c>
      <c r="H1364" s="12" t="s">
        <v>6051</v>
      </c>
      <c r="I1364" s="12" t="s">
        <v>6523</v>
      </c>
      <c r="J1364" s="12">
        <v>19980</v>
      </c>
      <c r="K1364" s="12" t="s">
        <v>7468</v>
      </c>
      <c r="L1364" s="12" t="s">
        <v>7469</v>
      </c>
      <c r="M1364" s="13">
        <v>45602</v>
      </c>
      <c r="N1364" s="12" t="s">
        <v>7470</v>
      </c>
      <c r="O1364" s="12" t="s">
        <v>7471</v>
      </c>
      <c r="P1364" s="12"/>
      <c r="Q1364" s="12">
        <v>1</v>
      </c>
    </row>
    <row r="1365" spans="1:17" ht="15.75" customHeight="1">
      <c r="A1365" s="12">
        <v>1695</v>
      </c>
      <c r="B1365" s="12">
        <v>1916</v>
      </c>
      <c r="C1365" s="12">
        <v>34480</v>
      </c>
      <c r="D1365" s="12" t="s">
        <v>6047</v>
      </c>
      <c r="E1365" s="12" t="s">
        <v>11524</v>
      </c>
      <c r="F1365" s="12" t="s">
        <v>11525</v>
      </c>
      <c r="G1365" s="12" t="s">
        <v>11526</v>
      </c>
      <c r="H1365" s="12" t="s">
        <v>6051</v>
      </c>
      <c r="I1365" s="12" t="s">
        <v>7034</v>
      </c>
      <c r="J1365" s="12">
        <v>34480</v>
      </c>
      <c r="K1365" s="12" t="s">
        <v>8598</v>
      </c>
      <c r="L1365" s="12" t="s">
        <v>7333</v>
      </c>
      <c r="M1365" s="13">
        <v>40878</v>
      </c>
      <c r="N1365" s="12" t="s">
        <v>8599</v>
      </c>
      <c r="O1365" s="12" t="s">
        <v>8600</v>
      </c>
      <c r="P1365" s="12"/>
      <c r="Q1365" s="12">
        <v>1</v>
      </c>
    </row>
    <row r="1366" spans="1:17" ht="15.75" customHeight="1">
      <c r="A1366" s="12">
        <v>904</v>
      </c>
      <c r="B1366" s="12">
        <v>898</v>
      </c>
      <c r="C1366" s="12">
        <v>11965</v>
      </c>
      <c r="D1366" s="12" t="s">
        <v>6047</v>
      </c>
      <c r="E1366" s="12" t="s">
        <v>11527</v>
      </c>
      <c r="F1366" s="12" t="s">
        <v>11528</v>
      </c>
      <c r="G1366" s="12" t="s">
        <v>11529</v>
      </c>
      <c r="H1366" s="12" t="s">
        <v>6340</v>
      </c>
      <c r="I1366" s="12" t="s">
        <v>6341</v>
      </c>
      <c r="J1366" s="12">
        <v>11965</v>
      </c>
      <c r="K1366" s="12" t="s">
        <v>8672</v>
      </c>
      <c r="L1366" s="12" t="s">
        <v>6955</v>
      </c>
      <c r="M1366" s="13">
        <v>42832</v>
      </c>
      <c r="N1366" s="12" t="s">
        <v>8673</v>
      </c>
      <c r="O1366" s="12" t="s">
        <v>11530</v>
      </c>
      <c r="P1366" s="12"/>
      <c r="Q1366" s="12">
        <v>1</v>
      </c>
    </row>
    <row r="1367" spans="1:17" ht="15.75" customHeight="1">
      <c r="A1367" s="12">
        <v>1496</v>
      </c>
      <c r="B1367" s="12">
        <v>533</v>
      </c>
      <c r="C1367" s="12">
        <v>6927</v>
      </c>
      <c r="D1367" s="12" t="s">
        <v>6047</v>
      </c>
      <c r="E1367" s="12" t="s">
        <v>11531</v>
      </c>
      <c r="F1367" s="12" t="s">
        <v>11532</v>
      </c>
      <c r="G1367" s="12" t="s">
        <v>11533</v>
      </c>
      <c r="H1367" s="12" t="s">
        <v>8414</v>
      </c>
      <c r="I1367" s="12" t="s">
        <v>8415</v>
      </c>
      <c r="J1367" s="12">
        <v>6927</v>
      </c>
      <c r="K1367" s="12" t="s">
        <v>6334</v>
      </c>
      <c r="L1367" s="12" t="s">
        <v>6284</v>
      </c>
      <c r="M1367" s="13">
        <v>41784</v>
      </c>
      <c r="N1367" s="12" t="s">
        <v>6335</v>
      </c>
      <c r="O1367" s="12" t="s">
        <v>6336</v>
      </c>
      <c r="P1367" s="12"/>
      <c r="Q1367" s="12">
        <v>1</v>
      </c>
    </row>
    <row r="1368" spans="1:17" ht="15.75" customHeight="1">
      <c r="A1368" s="12">
        <v>1384</v>
      </c>
      <c r="B1368" s="12">
        <v>858</v>
      </c>
      <c r="C1368" s="12">
        <v>11010</v>
      </c>
      <c r="D1368" s="12" t="s">
        <v>6047</v>
      </c>
      <c r="E1368" s="12" t="s">
        <v>11534</v>
      </c>
      <c r="F1368" s="12" t="s">
        <v>11535</v>
      </c>
      <c r="G1368" s="12" t="s">
        <v>11536</v>
      </c>
      <c r="H1368" s="12" t="s">
        <v>6060</v>
      </c>
      <c r="I1368" s="12" t="s">
        <v>6061</v>
      </c>
      <c r="J1368" s="12">
        <v>11010</v>
      </c>
      <c r="K1368" s="12" t="s">
        <v>6144</v>
      </c>
      <c r="L1368" s="12" t="s">
        <v>6078</v>
      </c>
      <c r="M1368" s="13">
        <v>41914</v>
      </c>
      <c r="N1368" s="12" t="s">
        <v>6145</v>
      </c>
      <c r="O1368" s="12" t="s">
        <v>11421</v>
      </c>
      <c r="P1368" s="12"/>
      <c r="Q1368" s="12">
        <v>1</v>
      </c>
    </row>
    <row r="1369" spans="1:17" ht="15.75" customHeight="1">
      <c r="A1369" s="12">
        <v>1598</v>
      </c>
      <c r="B1369" s="12">
        <v>1834</v>
      </c>
      <c r="C1369" s="12">
        <v>33779</v>
      </c>
      <c r="D1369" s="12" t="s">
        <v>6047</v>
      </c>
      <c r="E1369" s="12" t="s">
        <v>11537</v>
      </c>
      <c r="F1369" s="12" t="s">
        <v>11538</v>
      </c>
      <c r="G1369" s="12" t="s">
        <v>11539</v>
      </c>
      <c r="H1369" s="12" t="s">
        <v>6051</v>
      </c>
      <c r="I1369" s="12" t="s">
        <v>6261</v>
      </c>
      <c r="J1369" s="12">
        <v>33779</v>
      </c>
      <c r="K1369" s="12" t="s">
        <v>6300</v>
      </c>
      <c r="L1369" s="12" t="s">
        <v>6240</v>
      </c>
      <c r="M1369" s="13">
        <v>41396</v>
      </c>
      <c r="N1369" s="12" t="s">
        <v>6301</v>
      </c>
      <c r="O1369" s="12" t="s">
        <v>6302</v>
      </c>
      <c r="P1369" s="12"/>
      <c r="Q1369" s="12">
        <v>1</v>
      </c>
    </row>
    <row r="1370" spans="1:17" ht="15.75" customHeight="1">
      <c r="A1370" s="12">
        <v>1484</v>
      </c>
      <c r="B1370" s="12">
        <v>1582</v>
      </c>
      <c r="C1370" s="12">
        <v>27911</v>
      </c>
      <c r="D1370" s="12" t="s">
        <v>6047</v>
      </c>
      <c r="E1370" s="12" t="s">
        <v>4055</v>
      </c>
      <c r="F1370" s="12" t="s">
        <v>11540</v>
      </c>
      <c r="G1370" s="12" t="s">
        <v>11541</v>
      </c>
      <c r="H1370" s="12" t="s">
        <v>6051</v>
      </c>
      <c r="I1370" s="12" t="s">
        <v>6547</v>
      </c>
      <c r="J1370" s="12">
        <v>27911</v>
      </c>
      <c r="K1370" s="12" t="s">
        <v>6400</v>
      </c>
      <c r="L1370" s="12" t="s">
        <v>6087</v>
      </c>
      <c r="M1370" s="13">
        <v>41905</v>
      </c>
      <c r="N1370" s="12" t="s">
        <v>6401</v>
      </c>
      <c r="O1370" s="12" t="s">
        <v>6402</v>
      </c>
      <c r="P1370" s="12"/>
      <c r="Q1370" s="12">
        <v>1</v>
      </c>
    </row>
    <row r="1371" spans="1:17" ht="15.75" customHeight="1">
      <c r="A1371" s="12">
        <v>1889</v>
      </c>
      <c r="B1371" s="12">
        <v>604</v>
      </c>
      <c r="C1371" s="12">
        <v>7634</v>
      </c>
      <c r="D1371" s="12" t="s">
        <v>6047</v>
      </c>
      <c r="E1371" s="12" t="s">
        <v>11542</v>
      </c>
      <c r="F1371" s="12" t="s">
        <v>11543</v>
      </c>
      <c r="G1371" s="12" t="s">
        <v>11544</v>
      </c>
      <c r="H1371" s="12" t="s">
        <v>6187</v>
      </c>
      <c r="I1371" s="12" t="s">
        <v>6224</v>
      </c>
      <c r="J1371" s="12">
        <v>7634</v>
      </c>
      <c r="K1371" s="12" t="s">
        <v>7357</v>
      </c>
      <c r="L1371" s="12" t="s">
        <v>6709</v>
      </c>
      <c r="M1371" s="13">
        <v>40174</v>
      </c>
      <c r="N1371" s="12" t="s">
        <v>7358</v>
      </c>
      <c r="O1371" s="12" t="s">
        <v>7359</v>
      </c>
      <c r="P1371" s="12"/>
      <c r="Q1371" s="12">
        <v>1</v>
      </c>
    </row>
    <row r="1372" spans="1:17" ht="15.75" customHeight="1">
      <c r="A1372" s="12">
        <v>1524</v>
      </c>
      <c r="B1372" s="12">
        <v>55</v>
      </c>
      <c r="C1372" s="12">
        <v>667</v>
      </c>
      <c r="D1372" s="12" t="s">
        <v>6047</v>
      </c>
      <c r="E1372" s="12" t="s">
        <v>11545</v>
      </c>
      <c r="F1372" s="12" t="s">
        <v>11546</v>
      </c>
      <c r="G1372" s="12" t="s">
        <v>11547</v>
      </c>
      <c r="H1372" s="12" t="s">
        <v>6289</v>
      </c>
      <c r="I1372" s="12" t="s">
        <v>6290</v>
      </c>
      <c r="J1372" s="12">
        <v>667</v>
      </c>
      <c r="K1372" s="12" t="s">
        <v>8422</v>
      </c>
      <c r="L1372" s="12" t="s">
        <v>6240</v>
      </c>
      <c r="M1372" s="13">
        <v>41735</v>
      </c>
      <c r="N1372" s="12" t="s">
        <v>8423</v>
      </c>
      <c r="O1372" s="12" t="s">
        <v>8424</v>
      </c>
      <c r="P1372" s="12"/>
      <c r="Q1372" s="12">
        <v>1</v>
      </c>
    </row>
    <row r="1373" spans="1:17" ht="15.75" customHeight="1">
      <c r="A1373" s="12">
        <v>1634</v>
      </c>
      <c r="B1373" s="12">
        <v>1742</v>
      </c>
      <c r="C1373" s="12">
        <v>32483</v>
      </c>
      <c r="D1373" s="12" t="s">
        <v>6047</v>
      </c>
      <c r="E1373" s="12" t="s">
        <v>1322</v>
      </c>
      <c r="F1373" s="12" t="s">
        <v>11548</v>
      </c>
      <c r="G1373" s="12" t="s">
        <v>11549</v>
      </c>
      <c r="H1373" s="12" t="s">
        <v>6051</v>
      </c>
      <c r="I1373" s="12" t="s">
        <v>6232</v>
      </c>
      <c r="J1373" s="12">
        <v>32483</v>
      </c>
      <c r="K1373" s="12" t="s">
        <v>6375</v>
      </c>
      <c r="L1373" s="12" t="s">
        <v>6240</v>
      </c>
      <c r="M1373" s="13">
        <v>41307</v>
      </c>
      <c r="N1373" s="12" t="s">
        <v>6376</v>
      </c>
      <c r="O1373" s="12" t="s">
        <v>11550</v>
      </c>
      <c r="P1373" s="12"/>
      <c r="Q1373" s="12">
        <v>1</v>
      </c>
    </row>
    <row r="1374" spans="1:17" ht="15.75" customHeight="1">
      <c r="A1374" s="12">
        <v>113</v>
      </c>
      <c r="B1374" s="12">
        <v>1290</v>
      </c>
      <c r="C1374" s="12">
        <v>18255</v>
      </c>
      <c r="D1374" s="12" t="s">
        <v>6047</v>
      </c>
      <c r="E1374" s="12" t="s">
        <v>4081</v>
      </c>
      <c r="F1374" s="12" t="s">
        <v>11551</v>
      </c>
      <c r="G1374" s="12" t="s">
        <v>11552</v>
      </c>
      <c r="H1374" s="12" t="s">
        <v>6051</v>
      </c>
      <c r="I1374" s="12" t="s">
        <v>7763</v>
      </c>
      <c r="J1374" s="12">
        <v>18255</v>
      </c>
      <c r="K1374" s="12" t="s">
        <v>6671</v>
      </c>
      <c r="L1374" s="12" t="s">
        <v>6511</v>
      </c>
      <c r="M1374" s="13">
        <v>45966</v>
      </c>
      <c r="N1374" s="12" t="s">
        <v>6672</v>
      </c>
      <c r="O1374" s="12" t="s">
        <v>6673</v>
      </c>
      <c r="P1374" s="12"/>
      <c r="Q1374" s="12">
        <v>1</v>
      </c>
    </row>
    <row r="1375" spans="1:17" ht="15.75" customHeight="1">
      <c r="A1375" s="12">
        <v>1487</v>
      </c>
      <c r="B1375" s="12">
        <v>563</v>
      </c>
      <c r="C1375" s="12">
        <v>7381</v>
      </c>
      <c r="D1375" s="12" t="s">
        <v>6047</v>
      </c>
      <c r="E1375" s="12" t="s">
        <v>11553</v>
      </c>
      <c r="F1375" s="12" t="s">
        <v>11554</v>
      </c>
      <c r="G1375" s="12" t="s">
        <v>11555</v>
      </c>
      <c r="H1375" s="12" t="s">
        <v>6084</v>
      </c>
      <c r="I1375" s="12" t="s">
        <v>7239</v>
      </c>
      <c r="J1375" s="12">
        <v>7381</v>
      </c>
      <c r="K1375" s="12" t="s">
        <v>6400</v>
      </c>
      <c r="L1375" s="12" t="s">
        <v>6087</v>
      </c>
      <c r="M1375" s="13">
        <v>41905</v>
      </c>
      <c r="N1375" s="12" t="s">
        <v>6401</v>
      </c>
      <c r="O1375" s="12" t="s">
        <v>6402</v>
      </c>
      <c r="P1375" s="12"/>
      <c r="Q1375" s="12">
        <v>1</v>
      </c>
    </row>
    <row r="1376" spans="1:17" ht="15.75" customHeight="1">
      <c r="A1376" s="12">
        <v>84</v>
      </c>
      <c r="B1376" s="12">
        <v>926</v>
      </c>
      <c r="C1376" s="12">
        <v>12261</v>
      </c>
      <c r="D1376" s="12" t="s">
        <v>6047</v>
      </c>
      <c r="E1376" s="12" t="s">
        <v>4086</v>
      </c>
      <c r="F1376" s="12" t="s">
        <v>11556</v>
      </c>
      <c r="G1376" s="12" t="s">
        <v>11557</v>
      </c>
      <c r="H1376" s="12" t="s">
        <v>6627</v>
      </c>
      <c r="I1376" s="12" t="s">
        <v>6628</v>
      </c>
      <c r="J1376" s="12">
        <v>12261</v>
      </c>
      <c r="K1376" s="12" t="s">
        <v>11558</v>
      </c>
      <c r="L1376" s="12" t="s">
        <v>6590</v>
      </c>
      <c r="M1376" s="13">
        <v>45969</v>
      </c>
      <c r="N1376" s="12" t="s">
        <v>11559</v>
      </c>
      <c r="O1376" s="12" t="s">
        <v>11560</v>
      </c>
      <c r="P1376" s="12"/>
      <c r="Q1376" s="12">
        <v>1</v>
      </c>
    </row>
    <row r="1377" spans="1:17" ht="15.75" customHeight="1">
      <c r="A1377" s="12">
        <v>394</v>
      </c>
      <c r="B1377" s="12">
        <v>755</v>
      </c>
      <c r="C1377" s="12">
        <v>9508</v>
      </c>
      <c r="D1377" s="12" t="s">
        <v>6047</v>
      </c>
      <c r="E1377" s="12" t="s">
        <v>11561</v>
      </c>
      <c r="F1377" s="12" t="s">
        <v>11562</v>
      </c>
      <c r="G1377" s="12" t="s">
        <v>11563</v>
      </c>
      <c r="H1377" s="12" t="s">
        <v>7330</v>
      </c>
      <c r="I1377" s="12" t="s">
        <v>7331</v>
      </c>
      <c r="J1377" s="12">
        <v>9508</v>
      </c>
      <c r="K1377" s="12" t="s">
        <v>8650</v>
      </c>
      <c r="L1377" s="12" t="s">
        <v>7020</v>
      </c>
      <c r="M1377" s="13">
        <v>44716</v>
      </c>
      <c r="N1377" s="12" t="s">
        <v>8651</v>
      </c>
      <c r="O1377" s="12" t="s">
        <v>8652</v>
      </c>
      <c r="P1377" s="12"/>
      <c r="Q1377" s="12">
        <v>1</v>
      </c>
    </row>
    <row r="1378" spans="1:17" ht="15.75" customHeight="1">
      <c r="A1378" s="12">
        <v>59</v>
      </c>
      <c r="B1378" s="12">
        <v>1399</v>
      </c>
      <c r="C1378" s="12">
        <v>20997</v>
      </c>
      <c r="D1378" s="12" t="s">
        <v>6047</v>
      </c>
      <c r="E1378" s="12" t="s">
        <v>11564</v>
      </c>
      <c r="F1378" s="12" t="s">
        <v>11565</v>
      </c>
      <c r="G1378" s="12" t="s">
        <v>11566</v>
      </c>
      <c r="H1378" s="12" t="s">
        <v>6051</v>
      </c>
      <c r="I1378" s="12" t="s">
        <v>6172</v>
      </c>
      <c r="J1378" s="12">
        <v>20997</v>
      </c>
      <c r="K1378" s="12" t="s">
        <v>8661</v>
      </c>
      <c r="L1378" s="12" t="s">
        <v>6590</v>
      </c>
      <c r="M1378" s="13">
        <v>45972</v>
      </c>
      <c r="N1378" s="12" t="s">
        <v>8662</v>
      </c>
      <c r="O1378" s="12" t="s">
        <v>8663</v>
      </c>
      <c r="P1378" s="12"/>
      <c r="Q1378" s="12">
        <v>1</v>
      </c>
    </row>
    <row r="1379" spans="1:17" ht="15.75" customHeight="1">
      <c r="A1379" s="12">
        <v>1442</v>
      </c>
      <c r="B1379" s="12">
        <v>1364</v>
      </c>
      <c r="C1379" s="12">
        <v>19920</v>
      </c>
      <c r="D1379" s="12" t="s">
        <v>6047</v>
      </c>
      <c r="E1379" s="12" t="s">
        <v>4094</v>
      </c>
      <c r="F1379" s="12" t="s">
        <v>11567</v>
      </c>
      <c r="G1379" s="12" t="s">
        <v>11568</v>
      </c>
      <c r="H1379" s="12" t="s">
        <v>6051</v>
      </c>
      <c r="I1379" s="12" t="s">
        <v>6523</v>
      </c>
      <c r="J1379" s="12">
        <v>19920</v>
      </c>
      <c r="K1379" s="12" t="s">
        <v>6069</v>
      </c>
      <c r="L1379" s="12" t="s">
        <v>6070</v>
      </c>
      <c r="M1379" s="13">
        <v>41908</v>
      </c>
      <c r="N1379" s="12" t="s">
        <v>6071</v>
      </c>
      <c r="O1379" s="12" t="s">
        <v>6901</v>
      </c>
      <c r="P1379" s="12"/>
      <c r="Q1379" s="12">
        <v>1</v>
      </c>
    </row>
    <row r="1380" spans="1:17" ht="15.75" customHeight="1">
      <c r="A1380" s="12">
        <v>1550</v>
      </c>
      <c r="B1380" s="12">
        <v>346</v>
      </c>
      <c r="C1380" s="12">
        <v>5256</v>
      </c>
      <c r="D1380" s="12" t="s">
        <v>6047</v>
      </c>
      <c r="E1380" s="12" t="s">
        <v>4096</v>
      </c>
      <c r="F1380" s="12" t="s">
        <v>11569</v>
      </c>
      <c r="G1380" s="12" t="s">
        <v>11570</v>
      </c>
      <c r="H1380" s="12" t="s">
        <v>6213</v>
      </c>
      <c r="I1380" s="12" t="s">
        <v>6214</v>
      </c>
      <c r="J1380" s="12">
        <v>5256</v>
      </c>
      <c r="K1380" s="12" t="s">
        <v>7914</v>
      </c>
      <c r="L1380" s="12" t="s">
        <v>6255</v>
      </c>
      <c r="M1380" s="13">
        <v>41563</v>
      </c>
      <c r="N1380" s="12" t="s">
        <v>7915</v>
      </c>
      <c r="O1380" s="12" t="s">
        <v>7916</v>
      </c>
      <c r="P1380" s="12"/>
      <c r="Q1380" s="12">
        <v>1</v>
      </c>
    </row>
    <row r="1381" spans="1:17" ht="15.75" customHeight="1">
      <c r="A1381" s="12">
        <v>1619</v>
      </c>
      <c r="B1381" s="12">
        <v>492</v>
      </c>
      <c r="C1381" s="12">
        <v>6521</v>
      </c>
      <c r="D1381" s="12" t="s">
        <v>6047</v>
      </c>
      <c r="E1381" s="12" t="s">
        <v>11571</v>
      </c>
      <c r="F1381" s="12" t="s">
        <v>11572</v>
      </c>
      <c r="G1381" s="12" t="s">
        <v>11573</v>
      </c>
      <c r="H1381" s="12" t="s">
        <v>6137</v>
      </c>
      <c r="I1381" s="12" t="s">
        <v>6200</v>
      </c>
      <c r="J1381" s="12">
        <v>6521</v>
      </c>
      <c r="K1381" s="12" t="s">
        <v>6300</v>
      </c>
      <c r="L1381" s="12" t="s">
        <v>6240</v>
      </c>
      <c r="M1381" s="13">
        <v>41396</v>
      </c>
      <c r="N1381" s="12" t="s">
        <v>6301</v>
      </c>
      <c r="O1381" s="12" t="s">
        <v>6302</v>
      </c>
      <c r="P1381" s="12"/>
      <c r="Q1381" s="12">
        <v>1</v>
      </c>
    </row>
    <row r="1382" spans="1:17" ht="15.75" customHeight="1">
      <c r="A1382" s="12">
        <v>1945</v>
      </c>
      <c r="B1382" s="12">
        <v>132</v>
      </c>
      <c r="C1382" s="12">
        <v>2051</v>
      </c>
      <c r="D1382" s="12" t="s">
        <v>6047</v>
      </c>
      <c r="E1382" s="12" t="s">
        <v>4104</v>
      </c>
      <c r="F1382" s="12" t="s">
        <v>11574</v>
      </c>
      <c r="G1382" s="12" t="s">
        <v>11575</v>
      </c>
      <c r="H1382" s="12" t="s">
        <v>6127</v>
      </c>
      <c r="I1382" s="12" t="s">
        <v>6128</v>
      </c>
      <c r="J1382" s="12">
        <v>2051</v>
      </c>
      <c r="K1382" s="12" t="s">
        <v>7276</v>
      </c>
      <c r="L1382" s="12" t="s">
        <v>7277</v>
      </c>
      <c r="M1382" s="13">
        <v>39234</v>
      </c>
      <c r="N1382" s="12" t="s">
        <v>7278</v>
      </c>
      <c r="O1382" s="12" t="s">
        <v>7279</v>
      </c>
      <c r="P1382" s="12"/>
      <c r="Q1382" s="12">
        <v>1</v>
      </c>
    </row>
    <row r="1383" spans="1:17" ht="15.75" customHeight="1">
      <c r="A1383" s="12">
        <v>1626</v>
      </c>
      <c r="B1383" s="12">
        <v>56</v>
      </c>
      <c r="C1383" s="12">
        <v>673</v>
      </c>
      <c r="D1383" s="12" t="s">
        <v>6047</v>
      </c>
      <c r="E1383" s="12" t="s">
        <v>4106</v>
      </c>
      <c r="F1383" s="12" t="s">
        <v>11576</v>
      </c>
      <c r="G1383" s="12" t="s">
        <v>11577</v>
      </c>
      <c r="H1383" s="12" t="s">
        <v>6289</v>
      </c>
      <c r="I1383" s="12" t="s">
        <v>6290</v>
      </c>
      <c r="J1383" s="12">
        <v>673</v>
      </c>
      <c r="K1383" s="12" t="s">
        <v>11578</v>
      </c>
      <c r="L1383" s="12" t="s">
        <v>6240</v>
      </c>
      <c r="M1383" s="13">
        <v>41381</v>
      </c>
      <c r="N1383" s="12" t="s">
        <v>11579</v>
      </c>
      <c r="O1383" s="12" t="s">
        <v>11580</v>
      </c>
      <c r="P1383" s="12"/>
      <c r="Q1383" s="12">
        <v>1</v>
      </c>
    </row>
    <row r="1384" spans="1:17" ht="15.75" customHeight="1">
      <c r="A1384" s="12">
        <v>646</v>
      </c>
      <c r="B1384" s="12">
        <v>101</v>
      </c>
      <c r="C1384" s="12">
        <v>1477</v>
      </c>
      <c r="D1384" s="12" t="s">
        <v>6047</v>
      </c>
      <c r="E1384" s="12" t="s">
        <v>11581</v>
      </c>
      <c r="F1384" s="12" t="s">
        <v>11582</v>
      </c>
      <c r="G1384" s="12" t="s">
        <v>11583</v>
      </c>
      <c r="H1384" s="12" t="s">
        <v>6435</v>
      </c>
      <c r="I1384" s="12" t="s">
        <v>6920</v>
      </c>
      <c r="J1384" s="12">
        <v>1477</v>
      </c>
      <c r="K1384" s="12" t="s">
        <v>6921</v>
      </c>
      <c r="L1384" s="12" t="s">
        <v>6193</v>
      </c>
      <c r="M1384" s="13">
        <v>43405</v>
      </c>
      <c r="N1384" s="12" t="s">
        <v>6922</v>
      </c>
      <c r="O1384" s="12" t="s">
        <v>6923</v>
      </c>
      <c r="P1384" s="12" t="s">
        <v>6196</v>
      </c>
      <c r="Q1384" s="12">
        <v>1</v>
      </c>
    </row>
    <row r="1385" spans="1:17" ht="15.75" customHeight="1">
      <c r="A1385" s="12">
        <v>1871</v>
      </c>
      <c r="B1385" s="12">
        <v>808</v>
      </c>
      <c r="C1385" s="12">
        <v>10301</v>
      </c>
      <c r="D1385" s="12" t="s">
        <v>6047</v>
      </c>
      <c r="E1385" s="12" t="s">
        <v>11584</v>
      </c>
      <c r="F1385" s="12" t="s">
        <v>11585</v>
      </c>
      <c r="G1385" s="12" t="s">
        <v>11586</v>
      </c>
      <c r="H1385" s="12" t="s">
        <v>6265</v>
      </c>
      <c r="I1385" s="12" t="s">
        <v>6266</v>
      </c>
      <c r="J1385" s="12">
        <v>10301</v>
      </c>
      <c r="K1385" s="12" t="s">
        <v>6769</v>
      </c>
      <c r="L1385" s="12" t="s">
        <v>6709</v>
      </c>
      <c r="M1385" s="13">
        <v>40176</v>
      </c>
      <c r="N1385" s="12" t="s">
        <v>6770</v>
      </c>
      <c r="O1385" s="12" t="s">
        <v>6771</v>
      </c>
      <c r="P1385" s="12"/>
      <c r="Q1385" s="12">
        <v>1</v>
      </c>
    </row>
    <row r="1386" spans="1:17" ht="15.75" customHeight="1">
      <c r="A1386" s="12">
        <v>323</v>
      </c>
      <c r="B1386" s="12">
        <v>1564</v>
      </c>
      <c r="C1386" s="12">
        <v>27540</v>
      </c>
      <c r="D1386" s="12" t="s">
        <v>6047</v>
      </c>
      <c r="E1386" s="12" t="s">
        <v>11587</v>
      </c>
      <c r="F1386" s="12" t="s">
        <v>11588</v>
      </c>
      <c r="G1386" s="12" t="s">
        <v>11589</v>
      </c>
      <c r="H1386" s="12" t="s">
        <v>6051</v>
      </c>
      <c r="I1386" s="12" t="s">
        <v>6704</v>
      </c>
      <c r="J1386" s="12">
        <v>27540</v>
      </c>
      <c r="K1386" s="12" t="s">
        <v>7339</v>
      </c>
      <c r="L1386" s="12" t="s">
        <v>6732</v>
      </c>
      <c r="M1386" s="13">
        <v>44727</v>
      </c>
      <c r="N1386" s="12" t="s">
        <v>7340</v>
      </c>
      <c r="O1386" s="12" t="s">
        <v>7341</v>
      </c>
      <c r="P1386" s="12"/>
      <c r="Q1386" s="12">
        <v>1</v>
      </c>
    </row>
    <row r="1387" spans="1:17" ht="15.75" customHeight="1">
      <c r="A1387" s="12">
        <v>1730</v>
      </c>
      <c r="B1387" s="12">
        <v>703</v>
      </c>
      <c r="C1387" s="12">
        <v>8430</v>
      </c>
      <c r="D1387" s="12" t="s">
        <v>6047</v>
      </c>
      <c r="E1387" s="12" t="s">
        <v>11590</v>
      </c>
      <c r="F1387" s="12" t="s">
        <v>11591</v>
      </c>
      <c r="G1387" s="12" t="s">
        <v>11592</v>
      </c>
      <c r="H1387" s="12" t="s">
        <v>6075</v>
      </c>
      <c r="I1387" s="12" t="s">
        <v>6076</v>
      </c>
      <c r="J1387" s="12">
        <v>8430</v>
      </c>
      <c r="K1387" s="12" t="s">
        <v>7000</v>
      </c>
      <c r="L1387" s="12" t="s">
        <v>7001</v>
      </c>
      <c r="M1387" s="13">
        <v>40875</v>
      </c>
      <c r="N1387" s="12" t="s">
        <v>7002</v>
      </c>
      <c r="O1387" s="12" t="s">
        <v>7003</v>
      </c>
      <c r="P1387" s="12"/>
      <c r="Q1387" s="12">
        <v>1</v>
      </c>
    </row>
    <row r="1388" spans="1:17" ht="15.75" customHeight="1">
      <c r="A1388" s="12">
        <v>1907</v>
      </c>
      <c r="B1388" s="12">
        <v>903</v>
      </c>
      <c r="C1388" s="12">
        <v>12009</v>
      </c>
      <c r="D1388" s="12" t="s">
        <v>6047</v>
      </c>
      <c r="E1388" s="12" t="s">
        <v>11593</v>
      </c>
      <c r="F1388" s="12" t="s">
        <v>11594</v>
      </c>
      <c r="G1388" s="12" t="s">
        <v>11595</v>
      </c>
      <c r="H1388" s="12" t="s">
        <v>6340</v>
      </c>
      <c r="I1388" s="12" t="s">
        <v>6341</v>
      </c>
      <c r="J1388" s="12">
        <v>12009</v>
      </c>
      <c r="K1388" s="12" t="s">
        <v>6120</v>
      </c>
      <c r="L1388" s="12" t="s">
        <v>6121</v>
      </c>
      <c r="M1388" s="13">
        <v>39245</v>
      </c>
      <c r="N1388" s="12" t="s">
        <v>6122</v>
      </c>
      <c r="O1388" s="12" t="s">
        <v>6123</v>
      </c>
      <c r="P1388" s="12"/>
      <c r="Q1388" s="12">
        <v>1</v>
      </c>
    </row>
    <row r="1389" spans="1:17" ht="15.75" customHeight="1">
      <c r="A1389" s="12">
        <v>1574</v>
      </c>
      <c r="B1389" s="12">
        <v>116</v>
      </c>
      <c r="C1389" s="12">
        <v>1853</v>
      </c>
      <c r="D1389" s="12" t="s">
        <v>6047</v>
      </c>
      <c r="E1389" s="12" t="s">
        <v>4125</v>
      </c>
      <c r="F1389" s="12" t="s">
        <v>11596</v>
      </c>
      <c r="G1389" s="12" t="s">
        <v>11597</v>
      </c>
      <c r="H1389" s="12" t="s">
        <v>6127</v>
      </c>
      <c r="I1389" s="12" t="s">
        <v>6128</v>
      </c>
      <c r="J1389" s="12">
        <v>1853</v>
      </c>
      <c r="K1389" s="12" t="s">
        <v>6967</v>
      </c>
      <c r="L1389" s="12" t="s">
        <v>6255</v>
      </c>
      <c r="M1389" s="13">
        <v>41560</v>
      </c>
      <c r="N1389" s="12" t="s">
        <v>6968</v>
      </c>
      <c r="O1389" s="12" t="s">
        <v>6969</v>
      </c>
      <c r="P1389" s="12" t="s">
        <v>6196</v>
      </c>
      <c r="Q1389" s="12">
        <v>1</v>
      </c>
    </row>
    <row r="1390" spans="1:17" ht="15.75" customHeight="1">
      <c r="A1390" s="12">
        <v>1340</v>
      </c>
      <c r="B1390" s="12">
        <v>469</v>
      </c>
      <c r="C1390" s="12">
        <v>6340</v>
      </c>
      <c r="D1390" s="12" t="s">
        <v>6047</v>
      </c>
      <c r="E1390" s="12" t="s">
        <v>11598</v>
      </c>
      <c r="F1390" s="12" t="s">
        <v>11599</v>
      </c>
      <c r="G1390" s="12" t="s">
        <v>11600</v>
      </c>
      <c r="H1390" s="12" t="s">
        <v>6137</v>
      </c>
      <c r="I1390" s="12" t="s">
        <v>6654</v>
      </c>
      <c r="J1390" s="12">
        <v>6340</v>
      </c>
      <c r="K1390" s="12" t="s">
        <v>7750</v>
      </c>
      <c r="L1390" s="12" t="s">
        <v>6106</v>
      </c>
      <c r="M1390" s="13">
        <v>41920</v>
      </c>
      <c r="N1390" s="12" t="s">
        <v>7751</v>
      </c>
      <c r="O1390" s="12" t="s">
        <v>7752</v>
      </c>
      <c r="P1390" s="12"/>
      <c r="Q1390" s="12">
        <v>1</v>
      </c>
    </row>
    <row r="1391" spans="1:17" ht="15.75" customHeight="1">
      <c r="A1391" s="12">
        <v>1590</v>
      </c>
      <c r="B1391" s="12">
        <v>1925</v>
      </c>
      <c r="C1391" s="12">
        <v>34557</v>
      </c>
      <c r="D1391" s="12" t="s">
        <v>6047</v>
      </c>
      <c r="E1391" s="12" t="s">
        <v>4132</v>
      </c>
      <c r="F1391" s="12" t="s">
        <v>11601</v>
      </c>
      <c r="G1391" s="12" t="s">
        <v>11602</v>
      </c>
      <c r="H1391" s="12" t="s">
        <v>6051</v>
      </c>
      <c r="I1391" s="12" t="s">
        <v>7034</v>
      </c>
      <c r="J1391" s="12">
        <v>34557</v>
      </c>
      <c r="K1391" s="12" t="s">
        <v>6300</v>
      </c>
      <c r="L1391" s="12" t="s">
        <v>6240</v>
      </c>
      <c r="M1391" s="13">
        <v>41397</v>
      </c>
      <c r="N1391" s="12" t="s">
        <v>6301</v>
      </c>
      <c r="O1391" s="12" t="s">
        <v>7449</v>
      </c>
      <c r="P1391" s="12"/>
      <c r="Q1391" s="12">
        <v>1</v>
      </c>
    </row>
    <row r="1392" spans="1:17" ht="15.75" customHeight="1">
      <c r="A1392" s="12">
        <v>1702</v>
      </c>
      <c r="B1392" s="12">
        <v>1117</v>
      </c>
      <c r="C1392" s="12">
        <v>16073</v>
      </c>
      <c r="D1392" s="12" t="s">
        <v>6047</v>
      </c>
      <c r="E1392" s="12" t="s">
        <v>11603</v>
      </c>
      <c r="F1392" s="12" t="s">
        <v>11604</v>
      </c>
      <c r="G1392" s="12" t="s">
        <v>11605</v>
      </c>
      <c r="H1392" s="12" t="s">
        <v>6051</v>
      </c>
      <c r="I1392" s="12" t="s">
        <v>6781</v>
      </c>
      <c r="J1392" s="12">
        <v>16073</v>
      </c>
      <c r="K1392" s="12" t="s">
        <v>8598</v>
      </c>
      <c r="L1392" s="12" t="s">
        <v>7333</v>
      </c>
      <c r="M1392" s="13">
        <v>40878</v>
      </c>
      <c r="N1392" s="12" t="s">
        <v>8599</v>
      </c>
      <c r="O1392" s="12" t="s">
        <v>8600</v>
      </c>
      <c r="P1392" s="12"/>
      <c r="Q1392" s="12">
        <v>1</v>
      </c>
    </row>
    <row r="1393" spans="1:17" ht="15.75" customHeight="1">
      <c r="A1393" s="12">
        <v>1845</v>
      </c>
      <c r="B1393" s="12">
        <v>590</v>
      </c>
      <c r="C1393" s="12">
        <v>7533</v>
      </c>
      <c r="D1393" s="12" t="s">
        <v>6047</v>
      </c>
      <c r="E1393" s="12" t="s">
        <v>11606</v>
      </c>
      <c r="F1393" s="12" t="s">
        <v>11607</v>
      </c>
      <c r="G1393" s="12" t="s">
        <v>11608</v>
      </c>
      <c r="H1393" s="12" t="s">
        <v>6187</v>
      </c>
      <c r="I1393" s="12" t="s">
        <v>6188</v>
      </c>
      <c r="J1393" s="12">
        <v>7533</v>
      </c>
      <c r="K1393" s="12" t="s">
        <v>6062</v>
      </c>
      <c r="L1393" s="12" t="s">
        <v>6063</v>
      </c>
      <c r="M1393" s="13">
        <v>40873</v>
      </c>
      <c r="N1393" s="12" t="s">
        <v>6064</v>
      </c>
      <c r="O1393" s="12" t="s">
        <v>6065</v>
      </c>
      <c r="P1393" s="12"/>
      <c r="Q1393" s="12">
        <v>1</v>
      </c>
    </row>
    <row r="1394" spans="1:17" ht="15.75" customHeight="1">
      <c r="A1394" s="12">
        <v>1033</v>
      </c>
      <c r="B1394" s="12">
        <v>1754</v>
      </c>
      <c r="C1394" s="12">
        <v>32684</v>
      </c>
      <c r="D1394" s="12" t="s">
        <v>6047</v>
      </c>
      <c r="E1394" s="12" t="s">
        <v>11609</v>
      </c>
      <c r="F1394" s="12" t="s">
        <v>11610</v>
      </c>
      <c r="G1394" s="12" t="s">
        <v>11611</v>
      </c>
      <c r="H1394" s="12" t="s">
        <v>6051</v>
      </c>
      <c r="I1394" s="12" t="s">
        <v>11612</v>
      </c>
      <c r="J1394" s="12">
        <v>32684</v>
      </c>
      <c r="K1394" s="12" t="s">
        <v>11613</v>
      </c>
      <c r="L1394" s="12" t="s">
        <v>6504</v>
      </c>
      <c r="M1394" s="13">
        <v>42689</v>
      </c>
      <c r="N1394" s="12" t="s">
        <v>11614</v>
      </c>
      <c r="O1394" s="12" t="s">
        <v>11615</v>
      </c>
      <c r="P1394" s="12"/>
      <c r="Q1394" s="12">
        <v>1</v>
      </c>
    </row>
    <row r="1395" spans="1:17" ht="15.75" customHeight="1">
      <c r="A1395" s="12">
        <v>1906</v>
      </c>
      <c r="B1395" s="12">
        <v>942</v>
      </c>
      <c r="C1395" s="12">
        <v>12744</v>
      </c>
      <c r="D1395" s="12" t="s">
        <v>6047</v>
      </c>
      <c r="E1395" s="12" t="s">
        <v>11616</v>
      </c>
      <c r="F1395" s="12" t="s">
        <v>11617</v>
      </c>
      <c r="G1395" s="12" t="s">
        <v>11618</v>
      </c>
      <c r="H1395" s="12" t="s">
        <v>6627</v>
      </c>
      <c r="I1395" s="12" t="s">
        <v>6628</v>
      </c>
      <c r="J1395" s="12">
        <v>12744</v>
      </c>
      <c r="K1395" s="12" t="s">
        <v>6120</v>
      </c>
      <c r="L1395" s="12" t="s">
        <v>6121</v>
      </c>
      <c r="M1395" s="13">
        <v>39245</v>
      </c>
      <c r="N1395" s="12" t="s">
        <v>6122</v>
      </c>
      <c r="O1395" s="12" t="s">
        <v>6123</v>
      </c>
      <c r="P1395" s="12"/>
      <c r="Q1395" s="12">
        <v>1</v>
      </c>
    </row>
    <row r="1396" spans="1:17" ht="15.75" customHeight="1">
      <c r="A1396" s="12">
        <v>1527</v>
      </c>
      <c r="B1396" s="12">
        <v>719</v>
      </c>
      <c r="C1396" s="12">
        <v>8528</v>
      </c>
      <c r="D1396" s="12" t="s">
        <v>6047</v>
      </c>
      <c r="E1396" s="12" t="s">
        <v>11619</v>
      </c>
      <c r="F1396" s="12" t="s">
        <v>11620</v>
      </c>
      <c r="G1396" s="12" t="s">
        <v>11621</v>
      </c>
      <c r="H1396" s="12" t="s">
        <v>6075</v>
      </c>
      <c r="I1396" s="12" t="s">
        <v>6076</v>
      </c>
      <c r="J1396" s="12">
        <v>8528</v>
      </c>
      <c r="K1396" s="12" t="s">
        <v>8766</v>
      </c>
      <c r="L1396" s="12" t="s">
        <v>6240</v>
      </c>
      <c r="M1396" s="13">
        <v>41662</v>
      </c>
      <c r="N1396" s="12" t="s">
        <v>8767</v>
      </c>
      <c r="O1396" s="12" t="s">
        <v>11622</v>
      </c>
      <c r="P1396" s="12"/>
      <c r="Q1396" s="12">
        <v>1</v>
      </c>
    </row>
    <row r="1397" spans="1:17" ht="15.75" customHeight="1">
      <c r="A1397" s="12">
        <v>807</v>
      </c>
      <c r="B1397" s="12">
        <v>587</v>
      </c>
      <c r="C1397" s="12">
        <v>7528</v>
      </c>
      <c r="D1397" s="12" t="s">
        <v>6047</v>
      </c>
      <c r="E1397" s="12" t="s">
        <v>11623</v>
      </c>
      <c r="F1397" s="12" t="s">
        <v>11624</v>
      </c>
      <c r="G1397" s="12" t="s">
        <v>11625</v>
      </c>
      <c r="H1397" s="12" t="s">
        <v>6187</v>
      </c>
      <c r="I1397" s="12" t="s">
        <v>6188</v>
      </c>
      <c r="J1397" s="12">
        <v>7528</v>
      </c>
      <c r="K1397" s="12" t="s">
        <v>11626</v>
      </c>
      <c r="L1397" s="12" t="s">
        <v>6590</v>
      </c>
      <c r="M1397" s="13">
        <v>43029</v>
      </c>
      <c r="N1397" s="12" t="s">
        <v>11627</v>
      </c>
      <c r="O1397" s="12" t="s">
        <v>11628</v>
      </c>
      <c r="P1397" s="12"/>
      <c r="Q1397" s="12">
        <v>1</v>
      </c>
    </row>
    <row r="1398" spans="1:17" ht="15.75" customHeight="1">
      <c r="A1398" s="12">
        <v>1877</v>
      </c>
      <c r="B1398" s="12">
        <v>514</v>
      </c>
      <c r="C1398" s="12">
        <v>6789</v>
      </c>
      <c r="D1398" s="12" t="s">
        <v>6047</v>
      </c>
      <c r="E1398" s="12" t="s">
        <v>11629</v>
      </c>
      <c r="F1398" s="12" t="s">
        <v>11630</v>
      </c>
      <c r="G1398" s="12" t="s">
        <v>11631</v>
      </c>
      <c r="H1398" s="12" t="s">
        <v>6137</v>
      </c>
      <c r="I1398" s="12" t="s">
        <v>6200</v>
      </c>
      <c r="J1398" s="12">
        <v>6789</v>
      </c>
      <c r="K1398" s="12" t="s">
        <v>6769</v>
      </c>
      <c r="L1398" s="12" t="s">
        <v>6709</v>
      </c>
      <c r="M1398" s="13">
        <v>40176</v>
      </c>
      <c r="N1398" s="12" t="s">
        <v>6770</v>
      </c>
      <c r="O1398" s="12" t="s">
        <v>6771</v>
      </c>
      <c r="P1398" s="12"/>
      <c r="Q1398" s="12">
        <v>1</v>
      </c>
    </row>
    <row r="1399" spans="1:17" ht="15.75" customHeight="1">
      <c r="A1399" s="12">
        <v>1607</v>
      </c>
      <c r="B1399" s="12">
        <v>1521</v>
      </c>
      <c r="C1399" s="12">
        <v>26844</v>
      </c>
      <c r="D1399" s="12" t="s">
        <v>6047</v>
      </c>
      <c r="E1399" s="12" t="s">
        <v>4174</v>
      </c>
      <c r="F1399" s="12" t="s">
        <v>11632</v>
      </c>
      <c r="G1399" s="12" t="s">
        <v>11633</v>
      </c>
      <c r="H1399" s="12" t="s">
        <v>6051</v>
      </c>
      <c r="I1399" s="12" t="s">
        <v>9221</v>
      </c>
      <c r="J1399" s="12">
        <v>26844</v>
      </c>
      <c r="K1399" s="12" t="s">
        <v>6300</v>
      </c>
      <c r="L1399" s="12" t="s">
        <v>6240</v>
      </c>
      <c r="M1399" s="13">
        <v>41396</v>
      </c>
      <c r="N1399" s="12" t="s">
        <v>6301</v>
      </c>
      <c r="O1399" s="12" t="s">
        <v>6302</v>
      </c>
      <c r="P1399" s="12"/>
      <c r="Q1399" s="12">
        <v>1</v>
      </c>
    </row>
    <row r="1400" spans="1:17" ht="15.75" customHeight="1">
      <c r="A1400" s="12">
        <v>1862</v>
      </c>
      <c r="B1400" s="12">
        <v>301</v>
      </c>
      <c r="C1400" s="12">
        <v>4802</v>
      </c>
      <c r="D1400" s="12" t="s">
        <v>6047</v>
      </c>
      <c r="E1400" s="12" t="s">
        <v>11634</v>
      </c>
      <c r="F1400" s="12" t="s">
        <v>11635</v>
      </c>
      <c r="G1400" s="12" t="s">
        <v>11636</v>
      </c>
      <c r="H1400" s="12" t="s">
        <v>6163</v>
      </c>
      <c r="I1400" s="12" t="s">
        <v>6253</v>
      </c>
      <c r="J1400" s="12">
        <v>4802</v>
      </c>
      <c r="K1400" s="12" t="s">
        <v>6375</v>
      </c>
      <c r="L1400" s="12" t="s">
        <v>6240</v>
      </c>
      <c r="M1400" s="13">
        <v>40776</v>
      </c>
      <c r="N1400" s="12" t="s">
        <v>6376</v>
      </c>
      <c r="O1400" s="12" t="s">
        <v>11637</v>
      </c>
      <c r="P1400" s="12"/>
      <c r="Q1400" s="12">
        <v>1</v>
      </c>
    </row>
    <row r="1401" spans="1:17" ht="15.75" customHeight="1">
      <c r="A1401" s="12">
        <v>715</v>
      </c>
      <c r="B1401" s="12">
        <v>245</v>
      </c>
      <c r="C1401" s="12">
        <v>4382</v>
      </c>
      <c r="D1401" s="12" t="s">
        <v>6047</v>
      </c>
      <c r="E1401" s="12" t="s">
        <v>11638</v>
      </c>
      <c r="F1401" s="12" t="s">
        <v>11639</v>
      </c>
      <c r="G1401" s="12" t="s">
        <v>11640</v>
      </c>
      <c r="H1401" s="12" t="s">
        <v>6163</v>
      </c>
      <c r="I1401" s="12" t="s">
        <v>6253</v>
      </c>
      <c r="J1401" s="12">
        <v>4382</v>
      </c>
      <c r="K1401" s="12" t="s">
        <v>10847</v>
      </c>
      <c r="L1401" s="12" t="s">
        <v>6839</v>
      </c>
      <c r="M1401" s="13">
        <v>43201</v>
      </c>
      <c r="N1401" s="12" t="s">
        <v>10848</v>
      </c>
      <c r="O1401" s="12" t="s">
        <v>10849</v>
      </c>
      <c r="P1401" s="12"/>
      <c r="Q1401" s="12">
        <v>1</v>
      </c>
    </row>
    <row r="1402" spans="1:17" ht="15.75" customHeight="1">
      <c r="A1402" s="12">
        <v>1543</v>
      </c>
      <c r="B1402" s="12">
        <v>73</v>
      </c>
      <c r="C1402" s="12">
        <v>778</v>
      </c>
      <c r="D1402" s="12" t="s">
        <v>6047</v>
      </c>
      <c r="E1402" s="12" t="s">
        <v>11641</v>
      </c>
      <c r="F1402" s="12" t="s">
        <v>11642</v>
      </c>
      <c r="G1402" s="12" t="s">
        <v>11643</v>
      </c>
      <c r="H1402" s="12" t="s">
        <v>6289</v>
      </c>
      <c r="I1402" s="12" t="s">
        <v>6290</v>
      </c>
      <c r="J1402" s="12">
        <v>778</v>
      </c>
      <c r="K1402" s="12" t="s">
        <v>6979</v>
      </c>
      <c r="L1402" s="12" t="s">
        <v>6255</v>
      </c>
      <c r="M1402" s="13">
        <v>41566</v>
      </c>
      <c r="N1402" s="12" t="s">
        <v>6980</v>
      </c>
      <c r="O1402" s="12" t="s">
        <v>6981</v>
      </c>
      <c r="P1402" s="12"/>
      <c r="Q1402" s="12">
        <v>1</v>
      </c>
    </row>
    <row r="1403" spans="1:17" ht="15.75" customHeight="1">
      <c r="A1403" s="12">
        <v>531</v>
      </c>
      <c r="B1403" s="12">
        <v>1064</v>
      </c>
      <c r="C1403" s="12">
        <v>15211</v>
      </c>
      <c r="D1403" s="12" t="s">
        <v>6047</v>
      </c>
      <c r="E1403" s="12" t="s">
        <v>11644</v>
      </c>
      <c r="F1403" s="12" t="s">
        <v>11645</v>
      </c>
      <c r="G1403" s="12" t="s">
        <v>11646</v>
      </c>
      <c r="H1403" s="12" t="s">
        <v>6051</v>
      </c>
      <c r="I1403" s="12" t="s">
        <v>6476</v>
      </c>
      <c r="J1403" s="12">
        <v>15211</v>
      </c>
      <c r="K1403" s="12" t="s">
        <v>7441</v>
      </c>
      <c r="L1403" s="12" t="s">
        <v>6408</v>
      </c>
      <c r="M1403" s="13">
        <v>43565</v>
      </c>
      <c r="N1403" s="12" t="s">
        <v>7442</v>
      </c>
      <c r="O1403" s="12" t="s">
        <v>10476</v>
      </c>
      <c r="P1403" s="12"/>
      <c r="Q1403" s="12">
        <v>1</v>
      </c>
    </row>
    <row r="1404" spans="1:17" ht="15.75" customHeight="1">
      <c r="A1404" s="12">
        <v>1744</v>
      </c>
      <c r="B1404" s="12">
        <v>145</v>
      </c>
      <c r="C1404" s="12">
        <v>2268</v>
      </c>
      <c r="D1404" s="12" t="s">
        <v>6047</v>
      </c>
      <c r="E1404" s="12" t="s">
        <v>4195</v>
      </c>
      <c r="F1404" s="12" t="s">
        <v>11647</v>
      </c>
      <c r="G1404" s="12" t="s">
        <v>11648</v>
      </c>
      <c r="H1404" s="12" t="s">
        <v>6127</v>
      </c>
      <c r="I1404" s="12" t="s">
        <v>6128</v>
      </c>
      <c r="J1404" s="12">
        <v>2268</v>
      </c>
      <c r="K1404" s="12" t="s">
        <v>7000</v>
      </c>
      <c r="L1404" s="12" t="s">
        <v>7001</v>
      </c>
      <c r="M1404" s="13">
        <v>40875</v>
      </c>
      <c r="N1404" s="12" t="s">
        <v>7002</v>
      </c>
      <c r="O1404" s="12" t="s">
        <v>7003</v>
      </c>
      <c r="P1404" s="12"/>
      <c r="Q1404" s="12">
        <v>1</v>
      </c>
    </row>
    <row r="1405" spans="1:17" ht="15.75" customHeight="1">
      <c r="A1405" s="12">
        <v>569</v>
      </c>
      <c r="B1405" s="12">
        <v>126</v>
      </c>
      <c r="C1405" s="12">
        <v>1987</v>
      </c>
      <c r="D1405" s="12" t="s">
        <v>6047</v>
      </c>
      <c r="E1405" s="12" t="s">
        <v>11649</v>
      </c>
      <c r="F1405" s="12" t="s">
        <v>11650</v>
      </c>
      <c r="G1405" s="12" t="s">
        <v>11651</v>
      </c>
      <c r="H1405" s="12" t="s">
        <v>6127</v>
      </c>
      <c r="I1405" s="12" t="s">
        <v>6128</v>
      </c>
      <c r="J1405" s="12">
        <v>1987</v>
      </c>
      <c r="K1405" s="12" t="s">
        <v>6464</v>
      </c>
      <c r="L1405" s="12" t="s">
        <v>6408</v>
      </c>
      <c r="M1405" s="13">
        <v>43562</v>
      </c>
      <c r="N1405" s="12" t="s">
        <v>6465</v>
      </c>
      <c r="O1405" s="12" t="s">
        <v>6466</v>
      </c>
      <c r="P1405" s="12"/>
      <c r="Q1405" s="12">
        <v>1</v>
      </c>
    </row>
    <row r="1406" spans="1:17" ht="15.75" customHeight="1">
      <c r="A1406" s="12">
        <v>419</v>
      </c>
      <c r="B1406" s="12">
        <v>1070</v>
      </c>
      <c r="C1406" s="12">
        <v>15300</v>
      </c>
      <c r="D1406" s="12" t="s">
        <v>6047</v>
      </c>
      <c r="E1406" s="12" t="s">
        <v>11652</v>
      </c>
      <c r="F1406" s="12" t="s">
        <v>11653</v>
      </c>
      <c r="G1406" s="12" t="s">
        <v>11654</v>
      </c>
      <c r="H1406" s="12" t="s">
        <v>6051</v>
      </c>
      <c r="I1406" s="12" t="s">
        <v>6476</v>
      </c>
      <c r="J1406" s="12">
        <v>15300</v>
      </c>
      <c r="K1406" s="12" t="s">
        <v>7019</v>
      </c>
      <c r="L1406" s="12" t="s">
        <v>7020</v>
      </c>
      <c r="M1406" s="13">
        <v>44715</v>
      </c>
      <c r="N1406" s="12" t="s">
        <v>7021</v>
      </c>
      <c r="O1406" s="12" t="s">
        <v>7022</v>
      </c>
      <c r="P1406" s="12"/>
      <c r="Q1406" s="12">
        <v>1</v>
      </c>
    </row>
    <row r="1407" spans="1:17" ht="15.75" customHeight="1">
      <c r="A1407" s="12">
        <v>1878</v>
      </c>
      <c r="B1407" s="12">
        <v>450</v>
      </c>
      <c r="C1407" s="12">
        <v>6161</v>
      </c>
      <c r="D1407" s="12" t="s">
        <v>6047</v>
      </c>
      <c r="E1407" s="12" t="s">
        <v>11655</v>
      </c>
      <c r="F1407" s="12" t="s">
        <v>11656</v>
      </c>
      <c r="G1407" s="12" t="s">
        <v>11657</v>
      </c>
      <c r="H1407" s="12" t="s">
        <v>6137</v>
      </c>
      <c r="I1407" s="12" t="s">
        <v>6391</v>
      </c>
      <c r="J1407" s="12">
        <v>6161</v>
      </c>
      <c r="K1407" s="12" t="s">
        <v>6769</v>
      </c>
      <c r="L1407" s="12" t="s">
        <v>6709</v>
      </c>
      <c r="M1407" s="13">
        <v>40176</v>
      </c>
      <c r="N1407" s="12" t="s">
        <v>6770</v>
      </c>
      <c r="O1407" s="12" t="s">
        <v>6771</v>
      </c>
      <c r="P1407" s="12"/>
      <c r="Q1407" s="12">
        <v>1</v>
      </c>
    </row>
    <row r="1408" spans="1:17" ht="15.75" customHeight="1">
      <c r="A1408" s="12">
        <v>1684</v>
      </c>
      <c r="B1408" s="12">
        <v>1036</v>
      </c>
      <c r="C1408" s="12">
        <v>14655</v>
      </c>
      <c r="D1408" s="12" t="s">
        <v>6047</v>
      </c>
      <c r="E1408" s="12" t="s">
        <v>11658</v>
      </c>
      <c r="F1408" s="12" t="s">
        <v>11659</v>
      </c>
      <c r="G1408" s="12" t="s">
        <v>11660</v>
      </c>
      <c r="H1408" s="12" t="s">
        <v>6051</v>
      </c>
      <c r="I1408" s="12" t="s">
        <v>6476</v>
      </c>
      <c r="J1408" s="12">
        <v>14655</v>
      </c>
      <c r="K1408" s="12" t="s">
        <v>7260</v>
      </c>
      <c r="L1408" s="12" t="s">
        <v>7261</v>
      </c>
      <c r="M1408" s="13">
        <v>40879</v>
      </c>
      <c r="N1408" s="12" t="s">
        <v>7262</v>
      </c>
      <c r="O1408" s="12" t="s">
        <v>7263</v>
      </c>
      <c r="P1408" s="12"/>
      <c r="Q1408" s="12">
        <v>1</v>
      </c>
    </row>
    <row r="1409" spans="1:17" ht="15.75" customHeight="1">
      <c r="A1409" s="12">
        <v>1279</v>
      </c>
      <c r="B1409" s="12">
        <v>2013</v>
      </c>
      <c r="C1409" s="12">
        <v>35531</v>
      </c>
      <c r="D1409" s="12" t="s">
        <v>6047</v>
      </c>
      <c r="E1409" s="12" t="s">
        <v>11661</v>
      </c>
      <c r="F1409" s="12" t="s">
        <v>11662</v>
      </c>
      <c r="G1409" s="12" t="s">
        <v>11663</v>
      </c>
      <c r="H1409" s="12" t="s">
        <v>6051</v>
      </c>
      <c r="I1409" s="12" t="s">
        <v>6700</v>
      </c>
      <c r="J1409" s="12">
        <v>35531</v>
      </c>
      <c r="K1409" s="12" t="s">
        <v>6422</v>
      </c>
      <c r="L1409" s="12" t="s">
        <v>6423</v>
      </c>
      <c r="M1409" s="13">
        <v>41989</v>
      </c>
      <c r="N1409" s="12" t="s">
        <v>6424</v>
      </c>
      <c r="O1409" s="12" t="s">
        <v>6425</v>
      </c>
      <c r="P1409" s="12"/>
      <c r="Q1409" s="12">
        <v>1</v>
      </c>
    </row>
    <row r="1410" spans="1:17" ht="15.75" customHeight="1">
      <c r="A1410" s="12">
        <v>401</v>
      </c>
      <c r="B1410" s="12">
        <v>1606</v>
      </c>
      <c r="C1410" s="12">
        <v>28294</v>
      </c>
      <c r="D1410" s="12" t="s">
        <v>6047</v>
      </c>
      <c r="E1410" s="12" t="s">
        <v>11664</v>
      </c>
      <c r="F1410" s="12" t="s">
        <v>11665</v>
      </c>
      <c r="G1410" s="12" t="s">
        <v>11666</v>
      </c>
      <c r="H1410" s="12" t="s">
        <v>6051</v>
      </c>
      <c r="I1410" s="12" t="s">
        <v>6366</v>
      </c>
      <c r="J1410" s="12">
        <v>28294</v>
      </c>
      <c r="K1410" s="12" t="s">
        <v>7267</v>
      </c>
      <c r="L1410" s="12" t="s">
        <v>7020</v>
      </c>
      <c r="M1410" s="13">
        <v>44716</v>
      </c>
      <c r="N1410" s="12" t="s">
        <v>7268</v>
      </c>
      <c r="O1410" s="12" t="s">
        <v>7269</v>
      </c>
      <c r="P1410" s="12"/>
      <c r="Q1410" s="12">
        <v>1</v>
      </c>
    </row>
    <row r="1411" spans="1:17" ht="15.75" customHeight="1">
      <c r="A1411" s="12">
        <v>1018</v>
      </c>
      <c r="B1411" s="12">
        <v>1120</v>
      </c>
      <c r="C1411" s="12">
        <v>16110</v>
      </c>
      <c r="D1411" s="12" t="s">
        <v>6047</v>
      </c>
      <c r="E1411" s="12" t="s">
        <v>11667</v>
      </c>
      <c r="F1411" s="12" t="s">
        <v>11668</v>
      </c>
      <c r="G1411" s="12" t="s">
        <v>11669</v>
      </c>
      <c r="H1411" s="12" t="s">
        <v>6051</v>
      </c>
      <c r="I1411" s="12" t="s">
        <v>7375</v>
      </c>
      <c r="J1411" s="12">
        <v>16110</v>
      </c>
      <c r="K1411" s="12" t="s">
        <v>6875</v>
      </c>
      <c r="L1411" s="12" t="s">
        <v>6357</v>
      </c>
      <c r="M1411" s="13">
        <v>42691</v>
      </c>
      <c r="N1411" s="12" t="s">
        <v>6876</v>
      </c>
      <c r="O1411" s="12" t="s">
        <v>6877</v>
      </c>
      <c r="P1411" s="12"/>
      <c r="Q1411" s="12">
        <v>1</v>
      </c>
    </row>
    <row r="1412" spans="1:17" ht="15.75" customHeight="1">
      <c r="A1412" s="12">
        <v>981</v>
      </c>
      <c r="B1412" s="12">
        <v>591</v>
      </c>
      <c r="C1412" s="12">
        <v>7537</v>
      </c>
      <c r="D1412" s="12" t="s">
        <v>6047</v>
      </c>
      <c r="E1412" s="12" t="s">
        <v>11670</v>
      </c>
      <c r="F1412" s="12" t="s">
        <v>11671</v>
      </c>
      <c r="G1412" s="12" t="s">
        <v>11672</v>
      </c>
      <c r="H1412" s="12" t="s">
        <v>6187</v>
      </c>
      <c r="I1412" s="12" t="s">
        <v>6224</v>
      </c>
      <c r="J1412" s="12">
        <v>7537</v>
      </c>
      <c r="K1412" s="12" t="s">
        <v>6356</v>
      </c>
      <c r="L1412" s="12" t="s">
        <v>6357</v>
      </c>
      <c r="M1412" s="13">
        <v>42697</v>
      </c>
      <c r="N1412" s="12" t="s">
        <v>6358</v>
      </c>
      <c r="O1412" s="12" t="s">
        <v>6359</v>
      </c>
      <c r="P1412" s="12"/>
      <c r="Q1412" s="12">
        <v>1</v>
      </c>
    </row>
    <row r="1413" spans="1:17" ht="15.75" customHeight="1">
      <c r="A1413" s="12">
        <v>1357</v>
      </c>
      <c r="B1413" s="12">
        <v>453</v>
      </c>
      <c r="C1413" s="12">
        <v>6177</v>
      </c>
      <c r="D1413" s="12" t="s">
        <v>6047</v>
      </c>
      <c r="E1413" s="12" t="s">
        <v>4224</v>
      </c>
      <c r="F1413" s="12" t="s">
        <v>11673</v>
      </c>
      <c r="G1413" s="12" t="s">
        <v>11674</v>
      </c>
      <c r="H1413" s="12" t="s">
        <v>6137</v>
      </c>
      <c r="I1413" s="12" t="s">
        <v>6391</v>
      </c>
      <c r="J1413" s="12">
        <v>6177</v>
      </c>
      <c r="K1413" s="12" t="s">
        <v>6077</v>
      </c>
      <c r="L1413" s="12" t="s">
        <v>6078</v>
      </c>
      <c r="M1413" s="13">
        <v>41916</v>
      </c>
      <c r="N1413" s="12" t="s">
        <v>6079</v>
      </c>
      <c r="O1413" s="12" t="s">
        <v>6080</v>
      </c>
      <c r="P1413" s="12"/>
      <c r="Q1413" s="12">
        <v>1</v>
      </c>
    </row>
    <row r="1414" spans="1:17" ht="15.75" customHeight="1">
      <c r="A1414" s="12">
        <v>1500</v>
      </c>
      <c r="B1414" s="12">
        <v>97</v>
      </c>
      <c r="C1414" s="12">
        <v>1283</v>
      </c>
      <c r="D1414" s="12" t="s">
        <v>6047</v>
      </c>
      <c r="E1414" s="12" t="s">
        <v>4226</v>
      </c>
      <c r="F1414" s="12" t="s">
        <v>11675</v>
      </c>
      <c r="G1414" s="12" t="s">
        <v>11676</v>
      </c>
      <c r="H1414" s="12" t="s">
        <v>6435</v>
      </c>
      <c r="I1414" s="12" t="s">
        <v>6920</v>
      </c>
      <c r="J1414" s="12">
        <v>1283</v>
      </c>
      <c r="K1414" s="12" t="s">
        <v>6825</v>
      </c>
      <c r="L1414" s="12" t="s">
        <v>6284</v>
      </c>
      <c r="M1414" s="13">
        <v>41784</v>
      </c>
      <c r="N1414" s="12" t="s">
        <v>6826</v>
      </c>
      <c r="O1414" s="12" t="s">
        <v>6827</v>
      </c>
      <c r="P1414" s="12"/>
      <c r="Q1414" s="12">
        <v>1</v>
      </c>
    </row>
    <row r="1415" spans="1:17" ht="15.75" customHeight="1">
      <c r="A1415" s="12">
        <v>800</v>
      </c>
      <c r="B1415" s="12">
        <v>1285</v>
      </c>
      <c r="C1415" s="12">
        <v>18222</v>
      </c>
      <c r="D1415" s="12" t="s">
        <v>6047</v>
      </c>
      <c r="E1415" s="12" t="s">
        <v>11677</v>
      </c>
      <c r="F1415" s="12" t="s">
        <v>11678</v>
      </c>
      <c r="G1415" s="12" t="s">
        <v>11679</v>
      </c>
      <c r="H1415" s="12" t="s">
        <v>6051</v>
      </c>
      <c r="I1415" s="12" t="s">
        <v>11680</v>
      </c>
      <c r="J1415" s="12">
        <v>18222</v>
      </c>
      <c r="K1415" s="12" t="s">
        <v>11681</v>
      </c>
      <c r="L1415" s="12" t="s">
        <v>6590</v>
      </c>
      <c r="M1415" s="13">
        <v>43031</v>
      </c>
      <c r="N1415" s="12" t="s">
        <v>11682</v>
      </c>
      <c r="O1415" s="12" t="s">
        <v>11683</v>
      </c>
      <c r="P1415" s="12"/>
      <c r="Q1415" s="12">
        <v>1</v>
      </c>
    </row>
    <row r="1416" spans="1:17" ht="15.75" customHeight="1">
      <c r="A1416" s="12">
        <v>127</v>
      </c>
      <c r="B1416" s="12">
        <v>1293</v>
      </c>
      <c r="C1416" s="12">
        <v>18271</v>
      </c>
      <c r="D1416" s="12" t="s">
        <v>6047</v>
      </c>
      <c r="E1416" s="12" t="s">
        <v>4231</v>
      </c>
      <c r="F1416" s="12" t="s">
        <v>11684</v>
      </c>
      <c r="G1416" s="12" t="s">
        <v>11685</v>
      </c>
      <c r="H1416" s="12" t="s">
        <v>6051</v>
      </c>
      <c r="I1416" s="12" t="s">
        <v>7763</v>
      </c>
      <c r="J1416" s="12">
        <v>18271</v>
      </c>
      <c r="K1416" s="12" t="s">
        <v>11686</v>
      </c>
      <c r="L1416" s="12" t="s">
        <v>6511</v>
      </c>
      <c r="M1416" s="13">
        <v>45965</v>
      </c>
      <c r="N1416" s="12" t="s">
        <v>11687</v>
      </c>
      <c r="O1416" s="12" t="s">
        <v>11688</v>
      </c>
      <c r="P1416" s="12"/>
      <c r="Q1416" s="12">
        <v>1</v>
      </c>
    </row>
    <row r="1417" spans="1:17" ht="15.75" customHeight="1">
      <c r="A1417" s="12">
        <v>1094</v>
      </c>
      <c r="B1417" s="12">
        <v>792</v>
      </c>
      <c r="C1417" s="12">
        <v>9883</v>
      </c>
      <c r="D1417" s="12" t="s">
        <v>6047</v>
      </c>
      <c r="E1417" s="12" t="s">
        <v>11689</v>
      </c>
      <c r="F1417" s="12" t="s">
        <v>11690</v>
      </c>
      <c r="G1417" s="12" t="s">
        <v>11691</v>
      </c>
      <c r="H1417" s="12" t="s">
        <v>6265</v>
      </c>
      <c r="I1417" s="12" t="s">
        <v>6449</v>
      </c>
      <c r="J1417" s="12">
        <v>9883</v>
      </c>
      <c r="K1417" s="12" t="s">
        <v>7166</v>
      </c>
      <c r="L1417" s="12" t="s">
        <v>6504</v>
      </c>
      <c r="M1417" s="13">
        <v>42685</v>
      </c>
      <c r="N1417" s="12" t="s">
        <v>7167</v>
      </c>
      <c r="O1417" s="12" t="s">
        <v>7168</v>
      </c>
      <c r="P1417" s="12"/>
      <c r="Q1417" s="12">
        <v>1</v>
      </c>
    </row>
    <row r="1418" spans="1:17" ht="15.75" customHeight="1">
      <c r="A1418" s="12">
        <v>342</v>
      </c>
      <c r="B1418" s="12">
        <v>1212</v>
      </c>
      <c r="C1418" s="12">
        <v>17271</v>
      </c>
      <c r="D1418" s="12" t="s">
        <v>6047</v>
      </c>
      <c r="E1418" s="12" t="s">
        <v>11692</v>
      </c>
      <c r="F1418" s="12" t="s">
        <v>11693</v>
      </c>
      <c r="G1418" s="12" t="s">
        <v>11694</v>
      </c>
      <c r="H1418" s="12" t="s">
        <v>6051</v>
      </c>
      <c r="I1418" s="12" t="s">
        <v>6052</v>
      </c>
      <c r="J1418" s="12">
        <v>17271</v>
      </c>
      <c r="K1418" s="12" t="s">
        <v>8817</v>
      </c>
      <c r="L1418" s="12" t="s">
        <v>6732</v>
      </c>
      <c r="M1418" s="13">
        <v>44725</v>
      </c>
      <c r="N1418" s="12" t="s">
        <v>8818</v>
      </c>
      <c r="O1418" s="12" t="s">
        <v>10254</v>
      </c>
      <c r="P1418" s="12"/>
      <c r="Q1418" s="12">
        <v>1</v>
      </c>
    </row>
    <row r="1419" spans="1:17" ht="15.75" customHeight="1">
      <c r="A1419" s="12">
        <v>120</v>
      </c>
      <c r="B1419" s="12">
        <v>1346</v>
      </c>
      <c r="C1419" s="12">
        <v>19558</v>
      </c>
      <c r="D1419" s="12" t="s">
        <v>6047</v>
      </c>
      <c r="E1419" s="12" t="s">
        <v>4239</v>
      </c>
      <c r="F1419" s="12" t="s">
        <v>11695</v>
      </c>
      <c r="G1419" s="12" t="s">
        <v>11696</v>
      </c>
      <c r="H1419" s="12" t="s">
        <v>6051</v>
      </c>
      <c r="I1419" s="12" t="s">
        <v>9190</v>
      </c>
      <c r="J1419" s="12">
        <v>19558</v>
      </c>
      <c r="K1419" s="12" t="s">
        <v>11697</v>
      </c>
      <c r="L1419" s="12" t="s">
        <v>6511</v>
      </c>
      <c r="M1419" s="13">
        <v>45966</v>
      </c>
      <c r="N1419" s="12" t="s">
        <v>11698</v>
      </c>
      <c r="O1419" s="12" t="s">
        <v>11699</v>
      </c>
      <c r="P1419" s="12"/>
      <c r="Q1419" s="12">
        <v>1</v>
      </c>
    </row>
    <row r="1420" spans="1:17" ht="15.75" customHeight="1">
      <c r="A1420" s="12">
        <v>597</v>
      </c>
      <c r="B1420" s="12">
        <v>1567</v>
      </c>
      <c r="C1420" s="12">
        <v>27572</v>
      </c>
      <c r="D1420" s="12" t="s">
        <v>6047</v>
      </c>
      <c r="E1420" s="12" t="s">
        <v>11700</v>
      </c>
      <c r="F1420" s="12" t="s">
        <v>11701</v>
      </c>
      <c r="G1420" s="12" t="s">
        <v>11702</v>
      </c>
      <c r="H1420" s="12" t="s">
        <v>6051</v>
      </c>
      <c r="I1420" s="12" t="s">
        <v>6704</v>
      </c>
      <c r="J1420" s="12">
        <v>27572</v>
      </c>
      <c r="K1420" s="12" t="s">
        <v>6437</v>
      </c>
      <c r="L1420" s="12" t="s">
        <v>6408</v>
      </c>
      <c r="M1420" s="13">
        <v>43559</v>
      </c>
      <c r="N1420" s="12" t="s">
        <v>6438</v>
      </c>
      <c r="O1420" s="12" t="s">
        <v>6439</v>
      </c>
      <c r="P1420" s="12"/>
      <c r="Q1420" s="12">
        <v>1</v>
      </c>
    </row>
    <row r="1421" spans="1:17" ht="15.75" customHeight="1">
      <c r="A1421" s="12">
        <v>1034</v>
      </c>
      <c r="B1421" s="12">
        <v>1558</v>
      </c>
      <c r="C1421" s="12">
        <v>27523</v>
      </c>
      <c r="D1421" s="12" t="s">
        <v>6047</v>
      </c>
      <c r="E1421" s="12" t="s">
        <v>11703</v>
      </c>
      <c r="F1421" s="12" t="s">
        <v>11704</v>
      </c>
      <c r="G1421" s="12" t="s">
        <v>11705</v>
      </c>
      <c r="H1421" s="12" t="s">
        <v>6051</v>
      </c>
      <c r="I1421" s="12" t="s">
        <v>6704</v>
      </c>
      <c r="J1421" s="12">
        <v>27523</v>
      </c>
      <c r="K1421" s="12" t="s">
        <v>11613</v>
      </c>
      <c r="L1421" s="12" t="s">
        <v>6504</v>
      </c>
      <c r="M1421" s="13">
        <v>42689</v>
      </c>
      <c r="N1421" s="12" t="s">
        <v>11614</v>
      </c>
      <c r="O1421" s="12" t="s">
        <v>11615</v>
      </c>
      <c r="P1421" s="12"/>
      <c r="Q1421" s="12">
        <v>1</v>
      </c>
    </row>
    <row r="1422" spans="1:17" ht="15.75" customHeight="1">
      <c r="A1422" s="12">
        <v>425</v>
      </c>
      <c r="B1422" s="12">
        <v>1548</v>
      </c>
      <c r="C1422" s="12">
        <v>27401</v>
      </c>
      <c r="D1422" s="12" t="s">
        <v>6047</v>
      </c>
      <c r="E1422" s="12" t="s">
        <v>11706</v>
      </c>
      <c r="F1422" s="12" t="s">
        <v>11707</v>
      </c>
      <c r="G1422" s="12" t="s">
        <v>11708</v>
      </c>
      <c r="H1422" s="12" t="s">
        <v>6051</v>
      </c>
      <c r="I1422" s="12" t="s">
        <v>6704</v>
      </c>
      <c r="J1422" s="12">
        <v>27401</v>
      </c>
      <c r="K1422" s="12" t="s">
        <v>8607</v>
      </c>
      <c r="L1422" s="12" t="s">
        <v>7983</v>
      </c>
      <c r="M1422" s="13">
        <v>44715</v>
      </c>
      <c r="N1422" s="12" t="s">
        <v>8608</v>
      </c>
      <c r="O1422" s="12" t="s">
        <v>8609</v>
      </c>
      <c r="P1422" s="12"/>
      <c r="Q1422" s="12">
        <v>1</v>
      </c>
    </row>
    <row r="1423" spans="1:17" ht="15.75" customHeight="1">
      <c r="A1423" s="12">
        <v>596</v>
      </c>
      <c r="B1423" s="12">
        <v>1207</v>
      </c>
      <c r="C1423" s="12">
        <v>17194</v>
      </c>
      <c r="D1423" s="12" t="s">
        <v>6047</v>
      </c>
      <c r="E1423" s="12" t="s">
        <v>4247</v>
      </c>
      <c r="F1423" s="12" t="s">
        <v>11709</v>
      </c>
      <c r="G1423" s="12" t="s">
        <v>11710</v>
      </c>
      <c r="H1423" s="12" t="s">
        <v>6051</v>
      </c>
      <c r="I1423" s="12" t="s">
        <v>6052</v>
      </c>
      <c r="J1423" s="12">
        <v>17194</v>
      </c>
      <c r="K1423" s="12" t="s">
        <v>11237</v>
      </c>
      <c r="L1423" s="12" t="s">
        <v>6408</v>
      </c>
      <c r="M1423" s="13">
        <v>43560</v>
      </c>
      <c r="N1423" s="12" t="s">
        <v>11238</v>
      </c>
      <c r="O1423" s="12" t="s">
        <v>11239</v>
      </c>
      <c r="P1423" s="12"/>
      <c r="Q1423" s="12">
        <v>1</v>
      </c>
    </row>
    <row r="1424" spans="1:17" ht="15.75" customHeight="1">
      <c r="A1424" s="12">
        <v>1219</v>
      </c>
      <c r="B1424" s="12">
        <v>1131</v>
      </c>
      <c r="C1424" s="12">
        <v>16244</v>
      </c>
      <c r="D1424" s="12" t="s">
        <v>6047</v>
      </c>
      <c r="E1424" s="12" t="s">
        <v>11711</v>
      </c>
      <c r="F1424" s="12" t="s">
        <v>11712</v>
      </c>
      <c r="G1424" s="12" t="s">
        <v>11713</v>
      </c>
      <c r="H1424" s="12" t="s">
        <v>6051</v>
      </c>
      <c r="I1424" s="12" t="s">
        <v>6052</v>
      </c>
      <c r="J1424" s="12">
        <v>16244</v>
      </c>
      <c r="K1424" s="12" t="s">
        <v>6429</v>
      </c>
      <c r="L1424" s="12" t="s">
        <v>6423</v>
      </c>
      <c r="M1424" s="13">
        <v>41991</v>
      </c>
      <c r="N1424" s="12" t="s">
        <v>6430</v>
      </c>
      <c r="O1424" s="12" t="s">
        <v>6431</v>
      </c>
      <c r="P1424" s="12"/>
      <c r="Q1424" s="12">
        <v>1</v>
      </c>
    </row>
    <row r="1425" spans="1:17" ht="15.75" customHeight="1">
      <c r="A1425" s="12">
        <v>701</v>
      </c>
      <c r="B1425" s="12">
        <v>232</v>
      </c>
      <c r="C1425" s="12">
        <v>4242</v>
      </c>
      <c r="D1425" s="12" t="s">
        <v>6047</v>
      </c>
      <c r="E1425" s="12" t="s">
        <v>11714</v>
      </c>
      <c r="F1425" s="12" t="s">
        <v>11715</v>
      </c>
      <c r="G1425" s="12" t="s">
        <v>11716</v>
      </c>
      <c r="H1425" s="12" t="s">
        <v>6163</v>
      </c>
      <c r="I1425" s="12" t="s">
        <v>6253</v>
      </c>
      <c r="J1425" s="12">
        <v>4242</v>
      </c>
      <c r="K1425" s="12" t="s">
        <v>8226</v>
      </c>
      <c r="L1425" s="12" t="s">
        <v>7254</v>
      </c>
      <c r="M1425" s="13">
        <v>43203</v>
      </c>
      <c r="N1425" s="12" t="s">
        <v>8227</v>
      </c>
      <c r="O1425" s="12" t="s">
        <v>8228</v>
      </c>
      <c r="P1425" s="12"/>
      <c r="Q1425" s="12">
        <v>1</v>
      </c>
    </row>
    <row r="1426" spans="1:17" ht="15.75" customHeight="1">
      <c r="A1426" s="12">
        <v>1053</v>
      </c>
      <c r="B1426" s="12">
        <v>1553</v>
      </c>
      <c r="C1426" s="12">
        <v>27483</v>
      </c>
      <c r="D1426" s="12" t="s">
        <v>6047</v>
      </c>
      <c r="E1426" s="12" t="s">
        <v>11717</v>
      </c>
      <c r="F1426" s="12" t="s">
        <v>11718</v>
      </c>
      <c r="G1426" s="12" t="s">
        <v>11719</v>
      </c>
      <c r="H1426" s="12" t="s">
        <v>6051</v>
      </c>
      <c r="I1426" s="12" t="s">
        <v>6704</v>
      </c>
      <c r="J1426" s="12">
        <v>27483</v>
      </c>
      <c r="K1426" s="12" t="s">
        <v>8630</v>
      </c>
      <c r="L1426" s="12" t="s">
        <v>6054</v>
      </c>
      <c r="M1426" s="13">
        <v>42687</v>
      </c>
      <c r="N1426" s="12" t="s">
        <v>8631</v>
      </c>
      <c r="O1426" s="12" t="s">
        <v>8632</v>
      </c>
      <c r="P1426" s="12"/>
      <c r="Q1426" s="12">
        <v>1</v>
      </c>
    </row>
    <row r="1427" spans="1:17" ht="15.75" customHeight="1">
      <c r="A1427" s="12">
        <v>483</v>
      </c>
      <c r="B1427" s="12">
        <v>2000</v>
      </c>
      <c r="C1427" s="12">
        <v>35264</v>
      </c>
      <c r="D1427" s="12" t="s">
        <v>6047</v>
      </c>
      <c r="E1427" s="12" t="s">
        <v>11720</v>
      </c>
      <c r="F1427" s="12" t="s">
        <v>11721</v>
      </c>
      <c r="G1427" s="12" t="s">
        <v>11722</v>
      </c>
      <c r="H1427" s="12" t="s">
        <v>6051</v>
      </c>
      <c r="I1427" s="12" t="s">
        <v>6700</v>
      </c>
      <c r="J1427" s="12">
        <v>35264</v>
      </c>
      <c r="K1427" s="12" t="s">
        <v>7035</v>
      </c>
      <c r="L1427" s="12" t="s">
        <v>6455</v>
      </c>
      <c r="M1427" s="13">
        <v>43785</v>
      </c>
      <c r="N1427" s="12" t="s">
        <v>7036</v>
      </c>
      <c r="O1427" s="12" t="s">
        <v>7037</v>
      </c>
      <c r="P1427" s="12"/>
      <c r="Q1427" s="12">
        <v>1</v>
      </c>
    </row>
    <row r="1428" spans="1:17" ht="15.75" customHeight="1">
      <c r="A1428" s="12">
        <v>1043</v>
      </c>
      <c r="B1428" s="12">
        <v>1322</v>
      </c>
      <c r="C1428" s="12">
        <v>19051</v>
      </c>
      <c r="D1428" s="12" t="s">
        <v>6047</v>
      </c>
      <c r="E1428" s="12" t="s">
        <v>11723</v>
      </c>
      <c r="F1428" s="12" t="s">
        <v>11724</v>
      </c>
      <c r="G1428" s="12" t="s">
        <v>11725</v>
      </c>
      <c r="H1428" s="12" t="s">
        <v>6051</v>
      </c>
      <c r="I1428" s="12" t="s">
        <v>7090</v>
      </c>
      <c r="J1428" s="12">
        <v>19051</v>
      </c>
      <c r="K1428" s="12" t="s">
        <v>11726</v>
      </c>
      <c r="L1428" s="12" t="s">
        <v>6504</v>
      </c>
      <c r="M1428" s="13">
        <v>42688</v>
      </c>
      <c r="N1428" s="12" t="s">
        <v>11727</v>
      </c>
      <c r="O1428" s="12" t="s">
        <v>11728</v>
      </c>
      <c r="P1428" s="12"/>
      <c r="Q1428" s="12">
        <v>1</v>
      </c>
    </row>
    <row r="1429" spans="1:17" ht="15.75" customHeight="1">
      <c r="A1429" s="12">
        <v>1070</v>
      </c>
      <c r="B1429" s="12">
        <v>1134</v>
      </c>
      <c r="C1429" s="12">
        <v>16272</v>
      </c>
      <c r="D1429" s="12" t="s">
        <v>6047</v>
      </c>
      <c r="E1429" s="12" t="s">
        <v>11729</v>
      </c>
      <c r="F1429" s="12" t="s">
        <v>11730</v>
      </c>
      <c r="G1429" s="12" t="s">
        <v>11731</v>
      </c>
      <c r="H1429" s="12" t="s">
        <v>6051</v>
      </c>
      <c r="I1429" s="12" t="s">
        <v>6052</v>
      </c>
      <c r="J1429" s="12">
        <v>16272</v>
      </c>
      <c r="K1429" s="12" t="s">
        <v>6927</v>
      </c>
      <c r="L1429" s="12" t="s">
        <v>6504</v>
      </c>
      <c r="M1429" s="13">
        <v>42686</v>
      </c>
      <c r="N1429" s="12" t="s">
        <v>6928</v>
      </c>
      <c r="O1429" s="12" t="s">
        <v>6929</v>
      </c>
      <c r="P1429" s="12"/>
      <c r="Q1429" s="12">
        <v>1</v>
      </c>
    </row>
    <row r="1430" spans="1:17" ht="15.75" customHeight="1">
      <c r="A1430" s="12">
        <v>1362</v>
      </c>
      <c r="B1430" s="12">
        <v>1504</v>
      </c>
      <c r="C1430" s="12">
        <v>24262</v>
      </c>
      <c r="D1430" s="12" t="s">
        <v>6047</v>
      </c>
      <c r="E1430" s="12" t="s">
        <v>11732</v>
      </c>
      <c r="F1430" s="12" t="s">
        <v>11733</v>
      </c>
      <c r="G1430" s="12" t="s">
        <v>11734</v>
      </c>
      <c r="H1430" s="12" t="s">
        <v>6051</v>
      </c>
      <c r="I1430" s="12" t="s">
        <v>6738</v>
      </c>
      <c r="J1430" s="12">
        <v>24262</v>
      </c>
      <c r="K1430" s="12" t="s">
        <v>6077</v>
      </c>
      <c r="L1430" s="12" t="s">
        <v>6078</v>
      </c>
      <c r="M1430" s="13">
        <v>41915</v>
      </c>
      <c r="N1430" s="12" t="s">
        <v>6079</v>
      </c>
      <c r="O1430" s="12" t="s">
        <v>7172</v>
      </c>
      <c r="P1430" s="12"/>
      <c r="Q1430" s="12">
        <v>1</v>
      </c>
    </row>
    <row r="1431" spans="1:17" ht="15.75" customHeight="1">
      <c r="A1431" s="12">
        <v>1255</v>
      </c>
      <c r="B1431" s="12">
        <v>1781</v>
      </c>
      <c r="C1431" s="12">
        <v>33158</v>
      </c>
      <c r="D1431" s="12" t="s">
        <v>6047</v>
      </c>
      <c r="E1431" s="12" t="s">
        <v>11735</v>
      </c>
      <c r="F1431" s="12" t="s">
        <v>11736</v>
      </c>
      <c r="G1431" s="12" t="s">
        <v>11737</v>
      </c>
      <c r="H1431" s="12" t="s">
        <v>6051</v>
      </c>
      <c r="I1431" s="12" t="s">
        <v>6374</v>
      </c>
      <c r="J1431" s="12">
        <v>33158</v>
      </c>
      <c r="K1431" s="12" t="s">
        <v>6470</v>
      </c>
      <c r="L1431" s="12" t="s">
        <v>6423</v>
      </c>
      <c r="M1431" s="13">
        <v>41990</v>
      </c>
      <c r="N1431" s="12" t="s">
        <v>6471</v>
      </c>
      <c r="O1431" s="12" t="s">
        <v>6472</v>
      </c>
      <c r="P1431" s="12"/>
      <c r="Q1431" s="12">
        <v>1</v>
      </c>
    </row>
    <row r="1432" spans="1:17" ht="15.75" customHeight="1">
      <c r="A1432" s="12">
        <v>1186</v>
      </c>
      <c r="B1432" s="12">
        <v>1141</v>
      </c>
      <c r="C1432" s="12">
        <v>16384</v>
      </c>
      <c r="D1432" s="12" t="s">
        <v>6047</v>
      </c>
      <c r="E1432" s="12" t="s">
        <v>11738</v>
      </c>
      <c r="F1432" s="12" t="s">
        <v>11739</v>
      </c>
      <c r="G1432" s="12" t="s">
        <v>11740</v>
      </c>
      <c r="H1432" s="12" t="s">
        <v>6051</v>
      </c>
      <c r="I1432" s="12" t="s">
        <v>6052</v>
      </c>
      <c r="J1432" s="12">
        <v>16384</v>
      </c>
      <c r="K1432" s="12" t="s">
        <v>6429</v>
      </c>
      <c r="L1432" s="12" t="s">
        <v>6423</v>
      </c>
      <c r="M1432" s="13">
        <v>41992</v>
      </c>
      <c r="N1432" s="12" t="s">
        <v>6430</v>
      </c>
      <c r="O1432" s="12" t="s">
        <v>7083</v>
      </c>
      <c r="P1432" s="12"/>
      <c r="Q1432" s="12">
        <v>1</v>
      </c>
    </row>
    <row r="1433" spans="1:17" ht="15.75" customHeight="1">
      <c r="A1433" s="12">
        <v>522</v>
      </c>
      <c r="B1433" s="12">
        <v>94</v>
      </c>
      <c r="C1433" s="12">
        <v>1154</v>
      </c>
      <c r="D1433" s="12" t="s">
        <v>6047</v>
      </c>
      <c r="E1433" s="12" t="s">
        <v>11741</v>
      </c>
      <c r="F1433" s="12" t="s">
        <v>11742</v>
      </c>
      <c r="G1433" s="12" t="s">
        <v>11743</v>
      </c>
      <c r="H1433" s="12" t="s">
        <v>6435</v>
      </c>
      <c r="I1433" s="12" t="s">
        <v>7403</v>
      </c>
      <c r="J1433" s="12">
        <v>1154</v>
      </c>
      <c r="K1433" s="12" t="s">
        <v>7441</v>
      </c>
      <c r="L1433" s="12" t="s">
        <v>6408</v>
      </c>
      <c r="M1433" s="13">
        <v>43565</v>
      </c>
      <c r="N1433" s="12" t="s">
        <v>7442</v>
      </c>
      <c r="O1433" s="12" t="s">
        <v>10778</v>
      </c>
      <c r="P1433" s="12"/>
      <c r="Q1433" s="12">
        <v>1</v>
      </c>
    </row>
    <row r="1434" spans="1:17" ht="15.75" customHeight="1">
      <c r="A1434" s="12">
        <v>273</v>
      </c>
      <c r="B1434" s="12">
        <v>821</v>
      </c>
      <c r="C1434" s="12">
        <v>10375</v>
      </c>
      <c r="D1434" s="12" t="s">
        <v>6047</v>
      </c>
      <c r="E1434" s="12" t="s">
        <v>11744</v>
      </c>
      <c r="F1434" s="12" t="s">
        <v>11745</v>
      </c>
      <c r="G1434" s="12" t="s">
        <v>11746</v>
      </c>
      <c r="H1434" s="12" t="s">
        <v>6265</v>
      </c>
      <c r="I1434" s="12" t="s">
        <v>10250</v>
      </c>
      <c r="J1434" s="12">
        <v>10375</v>
      </c>
      <c r="K1434" s="12" t="s">
        <v>8408</v>
      </c>
      <c r="L1434" s="12" t="s">
        <v>7469</v>
      </c>
      <c r="M1434" s="13">
        <v>45603</v>
      </c>
      <c r="N1434" s="12" t="s">
        <v>8409</v>
      </c>
      <c r="O1434" s="12" t="s">
        <v>8410</v>
      </c>
      <c r="P1434" s="12"/>
      <c r="Q1434" s="12">
        <v>1</v>
      </c>
    </row>
    <row r="1435" spans="1:17" ht="15.75" customHeight="1">
      <c r="A1435" s="12">
        <v>1980</v>
      </c>
      <c r="B1435" s="12">
        <v>1457</v>
      </c>
      <c r="C1435" s="12">
        <v>22558</v>
      </c>
      <c r="D1435" s="12" t="s">
        <v>6047</v>
      </c>
      <c r="E1435" s="12" t="s">
        <v>11747</v>
      </c>
      <c r="F1435" s="12" t="s">
        <v>11748</v>
      </c>
      <c r="G1435" s="12" t="s">
        <v>11749</v>
      </c>
      <c r="H1435" s="12" t="s">
        <v>6051</v>
      </c>
      <c r="I1435" s="12" t="s">
        <v>8716</v>
      </c>
      <c r="J1435" s="12">
        <v>22558</v>
      </c>
      <c r="K1435" s="12" t="s">
        <v>8445</v>
      </c>
      <c r="L1435" s="12" t="s">
        <v>8446</v>
      </c>
      <c r="M1435" s="13">
        <v>38576</v>
      </c>
      <c r="N1435" s="12" t="s">
        <v>8447</v>
      </c>
      <c r="O1435" s="12" t="s">
        <v>8448</v>
      </c>
      <c r="P1435" s="12"/>
      <c r="Q1435" s="12">
        <v>1</v>
      </c>
    </row>
    <row r="1436" spans="1:17" ht="15.75" customHeight="1">
      <c r="A1436" s="12">
        <v>1741</v>
      </c>
      <c r="B1436" s="12">
        <v>334</v>
      </c>
      <c r="C1436" s="12">
        <v>5111</v>
      </c>
      <c r="D1436" s="12" t="s">
        <v>6047</v>
      </c>
      <c r="E1436" s="12" t="s">
        <v>11750</v>
      </c>
      <c r="F1436" s="12" t="s">
        <v>11751</v>
      </c>
      <c r="G1436" s="12" t="s">
        <v>11752</v>
      </c>
      <c r="H1436" s="12" t="s">
        <v>6163</v>
      </c>
      <c r="I1436" s="12" t="s">
        <v>6253</v>
      </c>
      <c r="J1436" s="12">
        <v>5111</v>
      </c>
      <c r="K1436" s="12" t="s">
        <v>7000</v>
      </c>
      <c r="L1436" s="12" t="s">
        <v>7001</v>
      </c>
      <c r="M1436" s="13">
        <v>40875</v>
      </c>
      <c r="N1436" s="12" t="s">
        <v>7002</v>
      </c>
      <c r="O1436" s="12" t="s">
        <v>7003</v>
      </c>
      <c r="P1436" s="12"/>
      <c r="Q1436" s="12">
        <v>1</v>
      </c>
    </row>
    <row r="1437" spans="1:17" ht="15.75" customHeight="1">
      <c r="A1437" s="12">
        <v>1707</v>
      </c>
      <c r="B1437" s="12">
        <v>832</v>
      </c>
      <c r="C1437" s="12">
        <v>10499</v>
      </c>
      <c r="D1437" s="12" t="s">
        <v>6047</v>
      </c>
      <c r="E1437" s="12" t="s">
        <v>11753</v>
      </c>
      <c r="F1437" s="12" t="s">
        <v>11754</v>
      </c>
      <c r="G1437" s="12" t="s">
        <v>11755</v>
      </c>
      <c r="H1437" s="12" t="s">
        <v>6060</v>
      </c>
      <c r="I1437" s="12" t="s">
        <v>8738</v>
      </c>
      <c r="J1437" s="12">
        <v>10499</v>
      </c>
      <c r="K1437" s="12" t="s">
        <v>8598</v>
      </c>
      <c r="L1437" s="12" t="s">
        <v>7333</v>
      </c>
      <c r="M1437" s="13">
        <v>40878</v>
      </c>
      <c r="N1437" s="12" t="s">
        <v>8599</v>
      </c>
      <c r="O1437" s="12" t="s">
        <v>8600</v>
      </c>
      <c r="P1437" s="12"/>
      <c r="Q1437" s="12">
        <v>1</v>
      </c>
    </row>
    <row r="1438" spans="1:17" ht="15.75" customHeight="1">
      <c r="A1438" s="12">
        <v>556</v>
      </c>
      <c r="B1438" s="12">
        <v>1967</v>
      </c>
      <c r="C1438" s="12">
        <v>34965</v>
      </c>
      <c r="D1438" s="12" t="s">
        <v>6047</v>
      </c>
      <c r="E1438" s="12" t="s">
        <v>11756</v>
      </c>
      <c r="F1438" s="12" t="s">
        <v>11757</v>
      </c>
      <c r="G1438" s="12" t="s">
        <v>11758</v>
      </c>
      <c r="H1438" s="12" t="s">
        <v>6051</v>
      </c>
      <c r="I1438" s="12" t="s">
        <v>6700</v>
      </c>
      <c r="J1438" s="12">
        <v>34965</v>
      </c>
      <c r="K1438" s="12" t="s">
        <v>6464</v>
      </c>
      <c r="L1438" s="12" t="s">
        <v>6408</v>
      </c>
      <c r="M1438" s="13">
        <v>43562</v>
      </c>
      <c r="N1438" s="12" t="s">
        <v>6465</v>
      </c>
      <c r="O1438" s="12" t="s">
        <v>6466</v>
      </c>
      <c r="P1438" s="12"/>
      <c r="Q1438" s="12">
        <v>1</v>
      </c>
    </row>
    <row r="1439" spans="1:17" ht="15.75" customHeight="1">
      <c r="A1439" s="12">
        <v>707</v>
      </c>
      <c r="B1439" s="12">
        <v>89</v>
      </c>
      <c r="C1439" s="12">
        <v>971</v>
      </c>
      <c r="D1439" s="12" t="s">
        <v>6047</v>
      </c>
      <c r="E1439" s="12" t="s">
        <v>11759</v>
      </c>
      <c r="F1439" s="12" t="s">
        <v>11760</v>
      </c>
      <c r="G1439" s="12" t="s">
        <v>11761</v>
      </c>
      <c r="H1439" s="12" t="s">
        <v>6435</v>
      </c>
      <c r="I1439" s="12" t="s">
        <v>6436</v>
      </c>
      <c r="J1439" s="12">
        <v>971</v>
      </c>
      <c r="K1439" s="12" t="s">
        <v>7253</v>
      </c>
      <c r="L1439" s="12" t="s">
        <v>7254</v>
      </c>
      <c r="M1439" s="13">
        <v>43202</v>
      </c>
      <c r="N1439" s="12" t="s">
        <v>7255</v>
      </c>
      <c r="O1439" s="12" t="s">
        <v>7256</v>
      </c>
      <c r="P1439" s="12"/>
      <c r="Q1439" s="12">
        <v>1</v>
      </c>
    </row>
    <row r="1440" spans="1:17" ht="15.75" customHeight="1">
      <c r="A1440" s="12">
        <v>378</v>
      </c>
      <c r="B1440" s="12">
        <v>890</v>
      </c>
      <c r="C1440" s="12">
        <v>11835</v>
      </c>
      <c r="D1440" s="12" t="s">
        <v>6047</v>
      </c>
      <c r="E1440" s="12" t="s">
        <v>11762</v>
      </c>
      <c r="F1440" s="12" t="s">
        <v>11763</v>
      </c>
      <c r="G1440" s="12" t="s">
        <v>11764</v>
      </c>
      <c r="H1440" s="12" t="s">
        <v>6060</v>
      </c>
      <c r="I1440" s="12" t="s">
        <v>6061</v>
      </c>
      <c r="J1440" s="12">
        <v>11835</v>
      </c>
      <c r="K1440" s="12" t="s">
        <v>7982</v>
      </c>
      <c r="L1440" s="12" t="s">
        <v>7983</v>
      </c>
      <c r="M1440" s="13">
        <v>44719</v>
      </c>
      <c r="N1440" s="12" t="s">
        <v>7984</v>
      </c>
      <c r="O1440" s="12" t="s">
        <v>7985</v>
      </c>
      <c r="P1440" s="12"/>
      <c r="Q1440" s="12">
        <v>1</v>
      </c>
    </row>
    <row r="1441" spans="1:17" ht="15.75" customHeight="1">
      <c r="A1441" s="12">
        <v>224</v>
      </c>
      <c r="B1441" s="12">
        <v>188</v>
      </c>
      <c r="C1441" s="12">
        <v>3071</v>
      </c>
      <c r="D1441" s="12" t="s">
        <v>6047</v>
      </c>
      <c r="E1441" s="12" t="s">
        <v>11765</v>
      </c>
      <c r="F1441" s="12" t="s">
        <v>11766</v>
      </c>
      <c r="G1441" s="12" t="s">
        <v>11767</v>
      </c>
      <c r="H1441" s="12" t="s">
        <v>7069</v>
      </c>
      <c r="I1441" s="12" t="s">
        <v>7070</v>
      </c>
      <c r="J1441" s="12">
        <v>3071</v>
      </c>
      <c r="K1441" s="12" t="s">
        <v>6524</v>
      </c>
      <c r="L1441" s="12" t="s">
        <v>6518</v>
      </c>
      <c r="M1441" s="13">
        <v>45609</v>
      </c>
      <c r="N1441" s="12" t="s">
        <v>6525</v>
      </c>
      <c r="O1441" s="12" t="s">
        <v>6526</v>
      </c>
      <c r="P1441" s="12"/>
      <c r="Q1441" s="12">
        <v>1</v>
      </c>
    </row>
    <row r="1442" spans="1:17" ht="15.75" customHeight="1">
      <c r="A1442" s="12">
        <v>1954</v>
      </c>
      <c r="B1442" s="12">
        <v>658</v>
      </c>
      <c r="C1442" s="12">
        <v>7943</v>
      </c>
      <c r="D1442" s="12" t="s">
        <v>6047</v>
      </c>
      <c r="E1442" s="12" t="s">
        <v>11768</v>
      </c>
      <c r="F1442" s="12" t="s">
        <v>11769</v>
      </c>
      <c r="G1442" s="12" t="s">
        <v>11770</v>
      </c>
      <c r="H1442" s="12" t="s">
        <v>6075</v>
      </c>
      <c r="I1442" s="12" t="s">
        <v>6076</v>
      </c>
      <c r="J1442" s="12">
        <v>7943</v>
      </c>
      <c r="K1442" s="12" t="s">
        <v>6548</v>
      </c>
      <c r="L1442" s="12" t="s">
        <v>6549</v>
      </c>
      <c r="M1442" s="13">
        <v>38580</v>
      </c>
      <c r="N1442" s="12" t="s">
        <v>6550</v>
      </c>
      <c r="O1442" s="12" t="s">
        <v>6551</v>
      </c>
      <c r="P1442" s="12"/>
      <c r="Q1442" s="12">
        <v>1</v>
      </c>
    </row>
    <row r="1443" spans="1:17" ht="15.75" customHeight="1">
      <c r="A1443" s="12">
        <v>1976</v>
      </c>
      <c r="B1443" s="12">
        <v>1585</v>
      </c>
      <c r="C1443" s="12">
        <v>27949</v>
      </c>
      <c r="D1443" s="12" t="s">
        <v>6047</v>
      </c>
      <c r="E1443" s="12" t="s">
        <v>4296</v>
      </c>
      <c r="F1443" s="12" t="s">
        <v>11771</v>
      </c>
      <c r="G1443" s="12" t="s">
        <v>11772</v>
      </c>
      <c r="H1443" s="12" t="s">
        <v>6051</v>
      </c>
      <c r="I1443" s="12" t="s">
        <v>6547</v>
      </c>
      <c r="J1443" s="12">
        <v>27949</v>
      </c>
      <c r="K1443" s="12" t="s">
        <v>8445</v>
      </c>
      <c r="L1443" s="12" t="s">
        <v>8446</v>
      </c>
      <c r="M1443" s="13">
        <v>38576</v>
      </c>
      <c r="N1443" s="12" t="s">
        <v>8447</v>
      </c>
      <c r="O1443" s="12" t="s">
        <v>8448</v>
      </c>
      <c r="P1443" s="12"/>
      <c r="Q1443" s="12">
        <v>1</v>
      </c>
    </row>
    <row r="1444" spans="1:17" ht="15.75" customHeight="1">
      <c r="A1444" s="12">
        <v>363</v>
      </c>
      <c r="B1444" s="12">
        <v>993</v>
      </c>
      <c r="C1444" s="12">
        <v>13614</v>
      </c>
      <c r="D1444" s="12" t="s">
        <v>6047</v>
      </c>
      <c r="E1444" s="12" t="s">
        <v>11773</v>
      </c>
      <c r="F1444" s="12" t="s">
        <v>11774</v>
      </c>
      <c r="G1444" s="12" t="s">
        <v>11775</v>
      </c>
      <c r="H1444" s="12" t="s">
        <v>6051</v>
      </c>
      <c r="I1444" s="12" t="s">
        <v>6741</v>
      </c>
      <c r="J1444" s="12">
        <v>13614</v>
      </c>
      <c r="K1444" s="12" t="s">
        <v>7010</v>
      </c>
      <c r="L1444" s="12" t="s">
        <v>6226</v>
      </c>
      <c r="M1444" s="13">
        <v>44721</v>
      </c>
      <c r="N1444" s="12" t="s">
        <v>7011</v>
      </c>
      <c r="O1444" s="12" t="s">
        <v>7012</v>
      </c>
      <c r="P1444" s="12"/>
      <c r="Q1444" s="12">
        <v>1</v>
      </c>
    </row>
    <row r="1445" spans="1:17" ht="15.75" customHeight="1">
      <c r="A1445" s="12">
        <v>1207</v>
      </c>
      <c r="B1445" s="12">
        <v>1902</v>
      </c>
      <c r="C1445" s="12">
        <v>34334</v>
      </c>
      <c r="D1445" s="12" t="s">
        <v>6047</v>
      </c>
      <c r="E1445" s="12" t="s">
        <v>11776</v>
      </c>
      <c r="F1445" s="12" t="s">
        <v>11777</v>
      </c>
      <c r="G1445" s="12" t="s">
        <v>11778</v>
      </c>
      <c r="H1445" s="12" t="s">
        <v>6051</v>
      </c>
      <c r="I1445" s="12" t="s">
        <v>6362</v>
      </c>
      <c r="J1445" s="12">
        <v>34334</v>
      </c>
      <c r="K1445" s="12" t="s">
        <v>6429</v>
      </c>
      <c r="L1445" s="12" t="s">
        <v>6423</v>
      </c>
      <c r="M1445" s="13">
        <v>41991</v>
      </c>
      <c r="N1445" s="12" t="s">
        <v>6430</v>
      </c>
      <c r="O1445" s="12" t="s">
        <v>6431</v>
      </c>
      <c r="P1445" s="12"/>
      <c r="Q1445" s="12">
        <v>1</v>
      </c>
    </row>
    <row r="1446" spans="1:17" ht="15.75" customHeight="1">
      <c r="A1446" s="12">
        <v>1853</v>
      </c>
      <c r="B1446" s="12">
        <v>353</v>
      </c>
      <c r="C1446" s="12">
        <v>5440</v>
      </c>
      <c r="D1446" s="12" t="s">
        <v>6047</v>
      </c>
      <c r="E1446" s="12" t="s">
        <v>11779</v>
      </c>
      <c r="F1446" s="12" t="s">
        <v>11780</v>
      </c>
      <c r="G1446" s="12" t="s">
        <v>11781</v>
      </c>
      <c r="H1446" s="12" t="s">
        <v>6213</v>
      </c>
      <c r="I1446" s="12" t="s">
        <v>6214</v>
      </c>
      <c r="J1446" s="12">
        <v>5440</v>
      </c>
      <c r="K1446" s="12" t="s">
        <v>6062</v>
      </c>
      <c r="L1446" s="12" t="s">
        <v>6063</v>
      </c>
      <c r="M1446" s="13">
        <v>40873</v>
      </c>
      <c r="N1446" s="12" t="s">
        <v>6064</v>
      </c>
      <c r="O1446" s="12" t="s">
        <v>6065</v>
      </c>
      <c r="P1446" s="12"/>
      <c r="Q1446" s="12">
        <v>1</v>
      </c>
    </row>
    <row r="1447" spans="1:17" ht="15.75" customHeight="1">
      <c r="A1447" s="12">
        <v>202</v>
      </c>
      <c r="B1447" s="12">
        <v>826</v>
      </c>
      <c r="C1447" s="12">
        <v>10407</v>
      </c>
      <c r="D1447" s="12" t="s">
        <v>6047</v>
      </c>
      <c r="E1447" s="12" t="s">
        <v>11782</v>
      </c>
      <c r="F1447" s="12" t="s">
        <v>11783</v>
      </c>
      <c r="G1447" s="12" t="s">
        <v>11784</v>
      </c>
      <c r="H1447" s="12" t="s">
        <v>6060</v>
      </c>
      <c r="I1447" s="12" t="s">
        <v>6795</v>
      </c>
      <c r="J1447" s="12">
        <v>10407</v>
      </c>
      <c r="K1447" s="12" t="s">
        <v>9154</v>
      </c>
      <c r="L1447" s="12" t="s">
        <v>8066</v>
      </c>
      <c r="M1447" s="13">
        <v>45748</v>
      </c>
      <c r="N1447" s="12" t="s">
        <v>9155</v>
      </c>
      <c r="O1447" s="12" t="s">
        <v>9156</v>
      </c>
      <c r="P1447" s="12"/>
      <c r="Q1447" s="12">
        <v>1</v>
      </c>
    </row>
    <row r="1448" spans="1:17" ht="15.75" customHeight="1">
      <c r="A1448" s="12">
        <v>1584</v>
      </c>
      <c r="B1448" s="12">
        <v>1841</v>
      </c>
      <c r="C1448" s="12">
        <v>33848</v>
      </c>
      <c r="D1448" s="12" t="s">
        <v>6047</v>
      </c>
      <c r="E1448" s="12" t="s">
        <v>4307</v>
      </c>
      <c r="F1448" s="12" t="s">
        <v>11785</v>
      </c>
      <c r="G1448" s="12" t="s">
        <v>11786</v>
      </c>
      <c r="H1448" s="12" t="s">
        <v>6051</v>
      </c>
      <c r="I1448" s="12" t="s">
        <v>6261</v>
      </c>
      <c r="J1448" s="12">
        <v>33848</v>
      </c>
      <c r="K1448" s="12" t="s">
        <v>6291</v>
      </c>
      <c r="L1448" s="12" t="s">
        <v>6240</v>
      </c>
      <c r="M1448" s="13">
        <v>41548</v>
      </c>
      <c r="N1448" s="12" t="s">
        <v>6292</v>
      </c>
      <c r="O1448" s="12" t="s">
        <v>6293</v>
      </c>
      <c r="P1448" s="12"/>
      <c r="Q1448" s="12">
        <v>1</v>
      </c>
    </row>
    <row r="1449" spans="1:17" ht="15.75" customHeight="1">
      <c r="A1449" s="12">
        <v>488</v>
      </c>
      <c r="B1449" s="12">
        <v>2005</v>
      </c>
      <c r="C1449" s="12">
        <v>35313</v>
      </c>
      <c r="D1449" s="12" t="s">
        <v>6047</v>
      </c>
      <c r="E1449" s="12" t="s">
        <v>11787</v>
      </c>
      <c r="F1449" s="12" t="s">
        <v>11788</v>
      </c>
      <c r="G1449" s="12" t="s">
        <v>11789</v>
      </c>
      <c r="H1449" s="12" t="s">
        <v>6051</v>
      </c>
      <c r="I1449" s="12" t="s">
        <v>6700</v>
      </c>
      <c r="J1449" s="12">
        <v>35313</v>
      </c>
      <c r="K1449" s="12" t="s">
        <v>6541</v>
      </c>
      <c r="L1449" s="12" t="s">
        <v>6455</v>
      </c>
      <c r="M1449" s="13">
        <v>43784</v>
      </c>
      <c r="N1449" s="12" t="s">
        <v>6542</v>
      </c>
      <c r="O1449" s="12" t="s">
        <v>6543</v>
      </c>
      <c r="P1449" s="12"/>
      <c r="Q1449" s="12">
        <v>1</v>
      </c>
    </row>
    <row r="1450" spans="1:17" ht="15.75" customHeight="1">
      <c r="A1450" s="12">
        <v>1787</v>
      </c>
      <c r="B1450" s="12">
        <v>1796</v>
      </c>
      <c r="C1450" s="12">
        <v>33363</v>
      </c>
      <c r="D1450" s="12" t="s">
        <v>6047</v>
      </c>
      <c r="E1450" s="12" t="s">
        <v>11790</v>
      </c>
      <c r="F1450" s="12" t="s">
        <v>11791</v>
      </c>
      <c r="G1450" s="12" t="s">
        <v>11792</v>
      </c>
      <c r="H1450" s="12" t="s">
        <v>6051</v>
      </c>
      <c r="I1450" s="12" t="s">
        <v>6374</v>
      </c>
      <c r="J1450" s="12">
        <v>33363</v>
      </c>
      <c r="K1450" s="12" t="s">
        <v>6062</v>
      </c>
      <c r="L1450" s="12" t="s">
        <v>6063</v>
      </c>
      <c r="M1450" s="13">
        <v>40873</v>
      </c>
      <c r="N1450" s="12" t="s">
        <v>6064</v>
      </c>
      <c r="O1450" s="12" t="s">
        <v>6065</v>
      </c>
      <c r="P1450" s="12"/>
      <c r="Q1450" s="12">
        <v>1</v>
      </c>
    </row>
    <row r="1451" spans="1:17" ht="15.75" customHeight="1">
      <c r="A1451" s="12">
        <v>166</v>
      </c>
      <c r="B1451" s="12">
        <v>1086</v>
      </c>
      <c r="C1451" s="12">
        <v>15657</v>
      </c>
      <c r="D1451" s="12" t="s">
        <v>6047</v>
      </c>
      <c r="E1451" s="12" t="s">
        <v>11793</v>
      </c>
      <c r="F1451" s="12" t="s">
        <v>11794</v>
      </c>
      <c r="G1451" s="12" t="s">
        <v>11795</v>
      </c>
      <c r="H1451" s="12" t="s">
        <v>6051</v>
      </c>
      <c r="I1451" s="12" t="s">
        <v>6476</v>
      </c>
      <c r="J1451" s="12">
        <v>15657</v>
      </c>
      <c r="K1451" s="12" t="s">
        <v>11796</v>
      </c>
      <c r="L1451" s="12" t="s">
        <v>6709</v>
      </c>
      <c r="M1451" s="13">
        <v>45753</v>
      </c>
      <c r="N1451" s="12" t="s">
        <v>11797</v>
      </c>
      <c r="O1451" s="12" t="s">
        <v>11798</v>
      </c>
      <c r="P1451" s="12"/>
      <c r="Q1451" s="12">
        <v>1</v>
      </c>
    </row>
    <row r="1452" spans="1:17" ht="15.75" customHeight="1">
      <c r="A1452" s="12">
        <v>1285</v>
      </c>
      <c r="B1452" s="12">
        <v>1224</v>
      </c>
      <c r="C1452" s="12">
        <v>17387</v>
      </c>
      <c r="D1452" s="12" t="s">
        <v>6047</v>
      </c>
      <c r="E1452" s="12" t="s">
        <v>11799</v>
      </c>
      <c r="F1452" s="12" t="s">
        <v>11800</v>
      </c>
      <c r="G1452" s="12" t="s">
        <v>11801</v>
      </c>
      <c r="H1452" s="12" t="s">
        <v>6051</v>
      </c>
      <c r="I1452" s="12" t="s">
        <v>6052</v>
      </c>
      <c r="J1452" s="12">
        <v>17387</v>
      </c>
      <c r="K1452" s="12" t="s">
        <v>6422</v>
      </c>
      <c r="L1452" s="12" t="s">
        <v>6423</v>
      </c>
      <c r="M1452" s="13">
        <v>41989</v>
      </c>
      <c r="N1452" s="12" t="s">
        <v>6424</v>
      </c>
      <c r="O1452" s="12" t="s">
        <v>6425</v>
      </c>
      <c r="P1452" s="12"/>
      <c r="Q1452" s="12">
        <v>1</v>
      </c>
    </row>
    <row r="1453" spans="1:17" ht="15.75" customHeight="1">
      <c r="A1453" s="12">
        <v>905</v>
      </c>
      <c r="B1453" s="12">
        <v>1000</v>
      </c>
      <c r="C1453" s="12">
        <v>13812</v>
      </c>
      <c r="D1453" s="12" t="s">
        <v>6047</v>
      </c>
      <c r="E1453" s="12" t="s">
        <v>11802</v>
      </c>
      <c r="F1453" s="12" t="s">
        <v>11803</v>
      </c>
      <c r="G1453" s="12" t="s">
        <v>11804</v>
      </c>
      <c r="H1453" s="12" t="s">
        <v>6051</v>
      </c>
      <c r="I1453" s="12" t="s">
        <v>6741</v>
      </c>
      <c r="J1453" s="12">
        <v>13812</v>
      </c>
      <c r="K1453" s="12" t="s">
        <v>8564</v>
      </c>
      <c r="L1453" s="12" t="s">
        <v>6753</v>
      </c>
      <c r="M1453" s="13">
        <v>42831</v>
      </c>
      <c r="N1453" s="12" t="s">
        <v>8565</v>
      </c>
      <c r="O1453" s="12" t="s">
        <v>8566</v>
      </c>
      <c r="P1453" s="12"/>
      <c r="Q1453" s="12">
        <v>1</v>
      </c>
    </row>
    <row r="1454" spans="1:17" ht="15.75" customHeight="1">
      <c r="A1454" s="12">
        <v>853</v>
      </c>
      <c r="B1454" s="12">
        <v>806</v>
      </c>
      <c r="C1454" s="12">
        <v>10179</v>
      </c>
      <c r="D1454" s="12" t="s">
        <v>6047</v>
      </c>
      <c r="E1454" s="12" t="s">
        <v>11805</v>
      </c>
      <c r="F1454" s="12" t="s">
        <v>11806</v>
      </c>
      <c r="G1454" s="12" t="s">
        <v>11807</v>
      </c>
      <c r="H1454" s="12" t="s">
        <v>6265</v>
      </c>
      <c r="I1454" s="12" t="s">
        <v>6266</v>
      </c>
      <c r="J1454" s="12">
        <v>10179</v>
      </c>
      <c r="K1454" s="12" t="s">
        <v>6584</v>
      </c>
      <c r="L1454" s="12" t="s">
        <v>6564</v>
      </c>
      <c r="M1454" s="13">
        <v>43019</v>
      </c>
      <c r="N1454" s="12" t="s">
        <v>6585</v>
      </c>
      <c r="O1454" s="12" t="s">
        <v>6586</v>
      </c>
      <c r="P1454" s="12"/>
      <c r="Q1454" s="12">
        <v>1</v>
      </c>
    </row>
    <row r="1455" spans="1:17" ht="15.75" customHeight="1">
      <c r="A1455" s="12">
        <v>1480</v>
      </c>
      <c r="B1455" s="12">
        <v>546</v>
      </c>
      <c r="C1455" s="12">
        <v>7300</v>
      </c>
      <c r="D1455" s="12" t="s">
        <v>6047</v>
      </c>
      <c r="E1455" s="12" t="s">
        <v>4325</v>
      </c>
      <c r="F1455" s="12" t="s">
        <v>11808</v>
      </c>
      <c r="G1455" s="12" t="s">
        <v>11809</v>
      </c>
      <c r="H1455" s="12" t="s">
        <v>6150</v>
      </c>
      <c r="I1455" s="12" t="s">
        <v>6151</v>
      </c>
      <c r="J1455" s="12">
        <v>7300</v>
      </c>
      <c r="K1455" s="12" t="s">
        <v>6069</v>
      </c>
      <c r="L1455" s="12" t="s">
        <v>6070</v>
      </c>
      <c r="M1455" s="13">
        <v>41906</v>
      </c>
      <c r="N1455" s="12" t="s">
        <v>6071</v>
      </c>
      <c r="O1455" s="12" t="s">
        <v>6134</v>
      </c>
      <c r="P1455" s="12"/>
      <c r="Q1455" s="12">
        <v>1</v>
      </c>
    </row>
    <row r="1456" spans="1:17" ht="15.75" customHeight="1">
      <c r="A1456" s="12">
        <v>1307</v>
      </c>
      <c r="B1456" s="12">
        <v>2010</v>
      </c>
      <c r="C1456" s="12">
        <v>35477</v>
      </c>
      <c r="D1456" s="12" t="s">
        <v>6047</v>
      </c>
      <c r="E1456" s="12" t="s">
        <v>11810</v>
      </c>
      <c r="F1456" s="12" t="s">
        <v>11811</v>
      </c>
      <c r="G1456" s="12" t="s">
        <v>11812</v>
      </c>
      <c r="H1456" s="12" t="s">
        <v>6051</v>
      </c>
      <c r="I1456" s="12" t="s">
        <v>6700</v>
      </c>
      <c r="J1456" s="12">
        <v>35477</v>
      </c>
      <c r="K1456" s="12" t="s">
        <v>7097</v>
      </c>
      <c r="L1456" s="12" t="s">
        <v>6832</v>
      </c>
      <c r="M1456" s="13">
        <v>41988</v>
      </c>
      <c r="N1456" s="12" t="s">
        <v>7098</v>
      </c>
      <c r="O1456" s="12" t="s">
        <v>7099</v>
      </c>
      <c r="P1456" s="12"/>
      <c r="Q1456" s="12">
        <v>1</v>
      </c>
    </row>
    <row r="1457" spans="1:17" ht="15.75" customHeight="1">
      <c r="A1457" s="12">
        <v>836</v>
      </c>
      <c r="B1457" s="12">
        <v>1318</v>
      </c>
      <c r="C1457" s="12">
        <v>18940</v>
      </c>
      <c r="D1457" s="12" t="s">
        <v>6047</v>
      </c>
      <c r="E1457" s="12" t="s">
        <v>11813</v>
      </c>
      <c r="F1457" s="12" t="s">
        <v>11814</v>
      </c>
      <c r="G1457" s="12" t="s">
        <v>11815</v>
      </c>
      <c r="H1457" s="12" t="s">
        <v>6051</v>
      </c>
      <c r="I1457" s="12" t="s">
        <v>7246</v>
      </c>
      <c r="J1457" s="12">
        <v>18940</v>
      </c>
      <c r="K1457" s="12" t="s">
        <v>8758</v>
      </c>
      <c r="L1457" s="12" t="s">
        <v>6564</v>
      </c>
      <c r="M1457" s="13">
        <v>43021</v>
      </c>
      <c r="N1457" s="12" t="s">
        <v>8759</v>
      </c>
      <c r="O1457" s="12" t="s">
        <v>8760</v>
      </c>
      <c r="P1457" s="12"/>
      <c r="Q1457" s="12">
        <v>1</v>
      </c>
    </row>
    <row r="1458" spans="1:17" ht="15.75" customHeight="1">
      <c r="A1458" s="12">
        <v>220</v>
      </c>
      <c r="B1458" s="12">
        <v>1677</v>
      </c>
      <c r="C1458" s="12">
        <v>30896</v>
      </c>
      <c r="D1458" s="12" t="s">
        <v>6047</v>
      </c>
      <c r="E1458" s="12" t="s">
        <v>11816</v>
      </c>
      <c r="F1458" s="12" t="s">
        <v>11817</v>
      </c>
      <c r="G1458" s="12" t="s">
        <v>11818</v>
      </c>
      <c r="H1458" s="12" t="s">
        <v>6051</v>
      </c>
      <c r="I1458" s="12" t="s">
        <v>6100</v>
      </c>
      <c r="J1458" s="12">
        <v>30896</v>
      </c>
      <c r="K1458" s="12" t="s">
        <v>6524</v>
      </c>
      <c r="L1458" s="12" t="s">
        <v>6518</v>
      </c>
      <c r="M1458" s="13">
        <v>45609</v>
      </c>
      <c r="N1458" s="12" t="s">
        <v>6525</v>
      </c>
      <c r="O1458" s="12" t="s">
        <v>6526</v>
      </c>
      <c r="P1458" s="12"/>
      <c r="Q1458" s="12">
        <v>1</v>
      </c>
    </row>
    <row r="1459" spans="1:17" ht="15.75" customHeight="1">
      <c r="A1459" s="12">
        <v>1639</v>
      </c>
      <c r="B1459" s="12">
        <v>457</v>
      </c>
      <c r="C1459" s="12">
        <v>6189</v>
      </c>
      <c r="D1459" s="12" t="s">
        <v>6047</v>
      </c>
      <c r="E1459" s="12" t="s">
        <v>4347</v>
      </c>
      <c r="F1459" s="12" t="s">
        <v>11819</v>
      </c>
      <c r="G1459" s="12" t="s">
        <v>11820</v>
      </c>
      <c r="H1459" s="12" t="s">
        <v>6137</v>
      </c>
      <c r="I1459" s="12" t="s">
        <v>6391</v>
      </c>
      <c r="J1459" s="12">
        <v>6189</v>
      </c>
      <c r="K1459" s="12" t="s">
        <v>10223</v>
      </c>
      <c r="L1459" s="12" t="s">
        <v>6345</v>
      </c>
      <c r="M1459" s="13">
        <v>41274</v>
      </c>
      <c r="N1459" s="12" t="s">
        <v>10224</v>
      </c>
      <c r="O1459" s="12" t="s">
        <v>10225</v>
      </c>
      <c r="P1459" s="12"/>
      <c r="Q1459" s="12">
        <v>1</v>
      </c>
    </row>
    <row r="1460" spans="1:17" ht="15.75" customHeight="1">
      <c r="A1460" s="12">
        <v>1650</v>
      </c>
      <c r="B1460" s="12">
        <v>376</v>
      </c>
      <c r="C1460" s="12">
        <v>5697</v>
      </c>
      <c r="D1460" s="12" t="s">
        <v>6047</v>
      </c>
      <c r="E1460" s="12" t="s">
        <v>4349</v>
      </c>
      <c r="F1460" s="12" t="s">
        <v>11821</v>
      </c>
      <c r="G1460" s="12" t="s">
        <v>11822</v>
      </c>
      <c r="H1460" s="12" t="s">
        <v>6213</v>
      </c>
      <c r="I1460" s="12" t="s">
        <v>7475</v>
      </c>
      <c r="J1460" s="12">
        <v>5697</v>
      </c>
      <c r="K1460" s="12" t="s">
        <v>6381</v>
      </c>
      <c r="L1460" s="12" t="s">
        <v>6345</v>
      </c>
      <c r="M1460" s="13">
        <v>41260</v>
      </c>
      <c r="N1460" s="12" t="s">
        <v>6382</v>
      </c>
      <c r="O1460" s="12" t="s">
        <v>6383</v>
      </c>
      <c r="P1460" s="12"/>
      <c r="Q1460" s="12">
        <v>1</v>
      </c>
    </row>
    <row r="1461" spans="1:17" ht="15.75" customHeight="1">
      <c r="A1461" s="12">
        <v>1124</v>
      </c>
      <c r="B1461" s="12">
        <v>512</v>
      </c>
      <c r="C1461" s="12">
        <v>6775</v>
      </c>
      <c r="D1461" s="12" t="s">
        <v>6047</v>
      </c>
      <c r="E1461" s="12" t="s">
        <v>11823</v>
      </c>
      <c r="F1461" s="12" t="s">
        <v>11824</v>
      </c>
      <c r="G1461" s="12" t="s">
        <v>11825</v>
      </c>
      <c r="H1461" s="12" t="s">
        <v>6137</v>
      </c>
      <c r="I1461" s="12" t="s">
        <v>6200</v>
      </c>
      <c r="J1461" s="12">
        <v>6775</v>
      </c>
      <c r="K1461" s="12" t="s">
        <v>11826</v>
      </c>
      <c r="L1461" s="12" t="s">
        <v>6345</v>
      </c>
      <c r="M1461" s="13">
        <v>42324</v>
      </c>
      <c r="N1461" s="12" t="s">
        <v>11827</v>
      </c>
      <c r="O1461" s="12" t="s">
        <v>11828</v>
      </c>
      <c r="P1461" s="12"/>
      <c r="Q1461" s="12">
        <v>1</v>
      </c>
    </row>
    <row r="1462" spans="1:17" ht="15.75" customHeight="1">
      <c r="A1462" s="12">
        <v>183</v>
      </c>
      <c r="B1462" s="12">
        <v>1003</v>
      </c>
      <c r="C1462" s="12">
        <v>13873</v>
      </c>
      <c r="D1462" s="12" t="s">
        <v>6047</v>
      </c>
      <c r="E1462" s="12" t="s">
        <v>11829</v>
      </c>
      <c r="F1462" s="12" t="s">
        <v>11830</v>
      </c>
      <c r="G1462" s="12" t="s">
        <v>11831</v>
      </c>
      <c r="H1462" s="12" t="s">
        <v>6051</v>
      </c>
      <c r="I1462" s="12" t="s">
        <v>6741</v>
      </c>
      <c r="J1462" s="12">
        <v>13873</v>
      </c>
      <c r="K1462" s="12" t="s">
        <v>8503</v>
      </c>
      <c r="L1462" s="12" t="s">
        <v>6709</v>
      </c>
      <c r="M1462" s="13">
        <v>45752</v>
      </c>
      <c r="N1462" s="12" t="s">
        <v>8504</v>
      </c>
      <c r="O1462" s="12" t="s">
        <v>8694</v>
      </c>
      <c r="P1462" s="12"/>
      <c r="Q1462" s="12">
        <v>1</v>
      </c>
    </row>
    <row r="1463" spans="1:17" ht="15.75" customHeight="1">
      <c r="A1463" s="12">
        <v>174</v>
      </c>
      <c r="B1463" s="12">
        <v>1017</v>
      </c>
      <c r="C1463" s="12">
        <v>14243</v>
      </c>
      <c r="D1463" s="12" t="s">
        <v>6047</v>
      </c>
      <c r="E1463" s="12" t="s">
        <v>4368</v>
      </c>
      <c r="F1463" s="12" t="s">
        <v>11832</v>
      </c>
      <c r="G1463" s="12" t="s">
        <v>11833</v>
      </c>
      <c r="H1463" s="12" t="s">
        <v>6051</v>
      </c>
      <c r="I1463" s="12" t="s">
        <v>6881</v>
      </c>
      <c r="J1463" s="12">
        <v>14243</v>
      </c>
      <c r="K1463" s="12" t="s">
        <v>7145</v>
      </c>
      <c r="L1463" s="12" t="s">
        <v>6709</v>
      </c>
      <c r="M1463" s="13">
        <v>45753</v>
      </c>
      <c r="N1463" s="12" t="s">
        <v>7146</v>
      </c>
      <c r="O1463" s="12" t="s">
        <v>7147</v>
      </c>
      <c r="P1463" s="12"/>
      <c r="Q1463" s="12">
        <v>1</v>
      </c>
    </row>
    <row r="1464" spans="1:17" ht="15.75" customHeight="1">
      <c r="A1464" s="12">
        <v>179</v>
      </c>
      <c r="B1464" s="12">
        <v>314</v>
      </c>
      <c r="C1464" s="12">
        <v>4945</v>
      </c>
      <c r="D1464" s="12" t="s">
        <v>6047</v>
      </c>
      <c r="E1464" s="12" t="s">
        <v>11834</v>
      </c>
      <c r="F1464" s="12" t="s">
        <v>11835</v>
      </c>
      <c r="G1464" s="12" t="s">
        <v>11836</v>
      </c>
      <c r="H1464" s="12" t="s">
        <v>6163</v>
      </c>
      <c r="I1464" s="12" t="s">
        <v>6253</v>
      </c>
      <c r="J1464" s="12">
        <v>4945</v>
      </c>
      <c r="K1464" s="12" t="s">
        <v>8503</v>
      </c>
      <c r="L1464" s="12" t="s">
        <v>6709</v>
      </c>
      <c r="M1464" s="13">
        <v>45752</v>
      </c>
      <c r="N1464" s="12" t="s">
        <v>8504</v>
      </c>
      <c r="O1464" s="12" t="s">
        <v>11837</v>
      </c>
      <c r="P1464" s="12"/>
      <c r="Q1464" s="12">
        <v>1</v>
      </c>
    </row>
    <row r="1465" spans="1:17" ht="15.75" customHeight="1">
      <c r="A1465" s="12">
        <v>182</v>
      </c>
      <c r="B1465" s="12">
        <v>1802</v>
      </c>
      <c r="C1465" s="12">
        <v>33458</v>
      </c>
      <c r="D1465" s="12" t="s">
        <v>6047</v>
      </c>
      <c r="E1465" s="12" t="s">
        <v>4370</v>
      </c>
      <c r="F1465" s="12" t="s">
        <v>11838</v>
      </c>
      <c r="G1465" s="12" t="s">
        <v>11839</v>
      </c>
      <c r="H1465" s="12" t="s">
        <v>6051</v>
      </c>
      <c r="I1465" s="12" t="s">
        <v>6374</v>
      </c>
      <c r="J1465" s="12">
        <v>33458</v>
      </c>
      <c r="K1465" s="12" t="s">
        <v>8503</v>
      </c>
      <c r="L1465" s="12" t="s">
        <v>6709</v>
      </c>
      <c r="M1465" s="13">
        <v>45752</v>
      </c>
      <c r="N1465" s="12" t="s">
        <v>8504</v>
      </c>
      <c r="O1465" s="12" t="s">
        <v>8694</v>
      </c>
      <c r="P1465" s="12"/>
      <c r="Q1465" s="12">
        <v>1</v>
      </c>
    </row>
    <row r="1466" spans="1:17" ht="15.75" customHeight="1">
      <c r="A1466" s="12">
        <v>165</v>
      </c>
      <c r="B1466" s="12">
        <v>1200</v>
      </c>
      <c r="C1466" s="12">
        <v>17151</v>
      </c>
      <c r="D1466" s="12" t="s">
        <v>6047</v>
      </c>
      <c r="E1466" s="12" t="s">
        <v>4374</v>
      </c>
      <c r="F1466" s="12" t="s">
        <v>11840</v>
      </c>
      <c r="G1466" s="12" t="s">
        <v>11841</v>
      </c>
      <c r="H1466" s="12" t="s">
        <v>6051</v>
      </c>
      <c r="I1466" s="12" t="s">
        <v>6052</v>
      </c>
      <c r="J1466" s="12">
        <v>17151</v>
      </c>
      <c r="K1466" s="12" t="s">
        <v>11796</v>
      </c>
      <c r="L1466" s="12" t="s">
        <v>6709</v>
      </c>
      <c r="M1466" s="13">
        <v>45753</v>
      </c>
      <c r="N1466" s="12" t="s">
        <v>11797</v>
      </c>
      <c r="O1466" s="12" t="s">
        <v>11798</v>
      </c>
      <c r="P1466" s="12"/>
      <c r="Q1466" s="12">
        <v>1</v>
      </c>
    </row>
    <row r="1467" spans="1:17" ht="15.75" customHeight="1">
      <c r="A1467" s="12">
        <v>175</v>
      </c>
      <c r="B1467" s="12">
        <v>965</v>
      </c>
      <c r="C1467" s="12">
        <v>13051</v>
      </c>
      <c r="D1467" s="12" t="s">
        <v>6047</v>
      </c>
      <c r="E1467" s="12" t="s">
        <v>4376</v>
      </c>
      <c r="F1467" s="12" t="s">
        <v>11842</v>
      </c>
      <c r="G1467" s="12" t="s">
        <v>11843</v>
      </c>
      <c r="H1467" s="12" t="s">
        <v>6627</v>
      </c>
      <c r="I1467" s="12" t="s">
        <v>7504</v>
      </c>
      <c r="J1467" s="12">
        <v>13051</v>
      </c>
      <c r="K1467" s="12" t="s">
        <v>7145</v>
      </c>
      <c r="L1467" s="12" t="s">
        <v>6709</v>
      </c>
      <c r="M1467" s="13">
        <v>45753</v>
      </c>
      <c r="N1467" s="12" t="s">
        <v>7146</v>
      </c>
      <c r="O1467" s="12" t="s">
        <v>7147</v>
      </c>
      <c r="P1467" s="12"/>
      <c r="Q1467" s="12">
        <v>1</v>
      </c>
    </row>
    <row r="1468" spans="1:17" ht="15.75" customHeight="1">
      <c r="A1468" s="12">
        <v>161</v>
      </c>
      <c r="B1468" s="12">
        <v>1029</v>
      </c>
      <c r="C1468" s="12">
        <v>14427</v>
      </c>
      <c r="D1468" s="12" t="s">
        <v>6047</v>
      </c>
      <c r="E1468" s="12" t="s">
        <v>11844</v>
      </c>
      <c r="F1468" s="12" t="s">
        <v>11845</v>
      </c>
      <c r="G1468" s="12" t="s">
        <v>11846</v>
      </c>
      <c r="H1468" s="12" t="s">
        <v>6051</v>
      </c>
      <c r="I1468" s="12" t="s">
        <v>10822</v>
      </c>
      <c r="J1468" s="12">
        <v>14427</v>
      </c>
      <c r="K1468" s="12" t="s">
        <v>9466</v>
      </c>
      <c r="L1468" s="12" t="s">
        <v>6709</v>
      </c>
      <c r="M1468" s="13">
        <v>45754</v>
      </c>
      <c r="N1468" s="12" t="s">
        <v>9467</v>
      </c>
      <c r="O1468" s="12" t="s">
        <v>9468</v>
      </c>
      <c r="P1468" s="12"/>
      <c r="Q1468" s="12">
        <v>1</v>
      </c>
    </row>
    <row r="1469" spans="1:17" ht="15.75" customHeight="1">
      <c r="A1469" s="12">
        <v>170</v>
      </c>
      <c r="B1469" s="12">
        <v>1897</v>
      </c>
      <c r="C1469" s="12">
        <v>34290</v>
      </c>
      <c r="D1469" s="12" t="s">
        <v>6047</v>
      </c>
      <c r="E1469" s="12" t="s">
        <v>11847</v>
      </c>
      <c r="F1469" s="12" t="s">
        <v>11848</v>
      </c>
      <c r="G1469" s="12" t="s">
        <v>11849</v>
      </c>
      <c r="H1469" s="12" t="s">
        <v>6051</v>
      </c>
      <c r="I1469" s="12" t="s">
        <v>6362</v>
      </c>
      <c r="J1469" s="12">
        <v>34290</v>
      </c>
      <c r="K1469" s="12" t="s">
        <v>7145</v>
      </c>
      <c r="L1469" s="12" t="s">
        <v>6709</v>
      </c>
      <c r="M1469" s="13">
        <v>45753</v>
      </c>
      <c r="N1469" s="12" t="s">
        <v>7146</v>
      </c>
      <c r="O1469" s="12" t="s">
        <v>7147</v>
      </c>
      <c r="P1469" s="12"/>
      <c r="Q1469" s="12">
        <v>1</v>
      </c>
    </row>
    <row r="1470" spans="1:17" ht="15.75" customHeight="1">
      <c r="A1470" s="12">
        <v>954</v>
      </c>
      <c r="B1470" s="12">
        <v>982</v>
      </c>
      <c r="C1470" s="12">
        <v>13298</v>
      </c>
      <c r="D1470" s="12" t="s">
        <v>6047</v>
      </c>
      <c r="E1470" s="12" t="s">
        <v>11850</v>
      </c>
      <c r="F1470" s="12" t="s">
        <v>11851</v>
      </c>
      <c r="G1470" s="12" t="s">
        <v>11852</v>
      </c>
      <c r="H1470" s="12" t="s">
        <v>6051</v>
      </c>
      <c r="I1470" s="12" t="s">
        <v>11853</v>
      </c>
      <c r="J1470" s="12">
        <v>13298</v>
      </c>
      <c r="K1470" s="12" t="s">
        <v>7860</v>
      </c>
      <c r="L1470" s="12" t="s">
        <v>7861</v>
      </c>
      <c r="M1470" s="13">
        <v>42827</v>
      </c>
      <c r="N1470" s="12" t="s">
        <v>7862</v>
      </c>
      <c r="O1470" s="12" t="s">
        <v>7863</v>
      </c>
      <c r="P1470" s="12"/>
      <c r="Q1470" s="12">
        <v>1</v>
      </c>
    </row>
    <row r="1471" spans="1:17" ht="15.75" customHeight="1">
      <c r="A1471" s="12">
        <v>189</v>
      </c>
      <c r="B1471" s="12">
        <v>337</v>
      </c>
      <c r="C1471" s="12">
        <v>5156</v>
      </c>
      <c r="D1471" s="12" t="s">
        <v>6047</v>
      </c>
      <c r="E1471" s="12" t="s">
        <v>11854</v>
      </c>
      <c r="F1471" s="12" t="s">
        <v>11855</v>
      </c>
      <c r="G1471" s="12" t="s">
        <v>11856</v>
      </c>
      <c r="H1471" s="12" t="s">
        <v>6163</v>
      </c>
      <c r="I1471" s="12" t="s">
        <v>6253</v>
      </c>
      <c r="J1471" s="12">
        <v>5156</v>
      </c>
      <c r="K1471" s="12" t="s">
        <v>8131</v>
      </c>
      <c r="L1471" s="12" t="s">
        <v>6709</v>
      </c>
      <c r="M1471" s="13">
        <v>45751</v>
      </c>
      <c r="N1471" s="12" t="s">
        <v>8132</v>
      </c>
      <c r="O1471" s="12" t="s">
        <v>8133</v>
      </c>
      <c r="P1471" s="12"/>
      <c r="Q1471" s="12">
        <v>1</v>
      </c>
    </row>
    <row r="1472" spans="1:17" ht="15.75" customHeight="1">
      <c r="A1472" s="12">
        <v>1046</v>
      </c>
      <c r="B1472" s="12">
        <v>336</v>
      </c>
      <c r="C1472" s="12">
        <v>5152</v>
      </c>
      <c r="D1472" s="12" t="s">
        <v>6047</v>
      </c>
      <c r="E1472" s="12" t="s">
        <v>11857</v>
      </c>
      <c r="F1472" s="12" t="s">
        <v>11858</v>
      </c>
      <c r="G1472" s="12" t="s">
        <v>11859</v>
      </c>
      <c r="H1472" s="12" t="s">
        <v>6163</v>
      </c>
      <c r="I1472" s="12" t="s">
        <v>6253</v>
      </c>
      <c r="J1472" s="12">
        <v>5152</v>
      </c>
      <c r="K1472" s="12" t="s">
        <v>11860</v>
      </c>
      <c r="L1472" s="12" t="s">
        <v>6504</v>
      </c>
      <c r="M1472" s="13">
        <v>42688</v>
      </c>
      <c r="N1472" s="12" t="s">
        <v>11861</v>
      </c>
      <c r="O1472" s="12" t="s">
        <v>11862</v>
      </c>
      <c r="P1472" s="12"/>
      <c r="Q1472" s="12">
        <v>1</v>
      </c>
    </row>
    <row r="1473" spans="1:17" ht="15.75" customHeight="1">
      <c r="A1473" s="12">
        <v>602</v>
      </c>
      <c r="B1473" s="12">
        <v>268</v>
      </c>
      <c r="C1473" s="12">
        <v>4589</v>
      </c>
      <c r="D1473" s="12" t="s">
        <v>6047</v>
      </c>
      <c r="E1473" s="12" t="s">
        <v>11863</v>
      </c>
      <c r="F1473" s="12" t="s">
        <v>11864</v>
      </c>
      <c r="G1473" s="12" t="s">
        <v>11865</v>
      </c>
      <c r="H1473" s="12" t="s">
        <v>6163</v>
      </c>
      <c r="I1473" s="12" t="s">
        <v>6253</v>
      </c>
      <c r="J1473" s="12">
        <v>4589</v>
      </c>
      <c r="K1473" s="12" t="s">
        <v>6437</v>
      </c>
      <c r="L1473" s="12" t="s">
        <v>6408</v>
      </c>
      <c r="M1473" s="13">
        <v>43559</v>
      </c>
      <c r="N1473" s="12" t="s">
        <v>6438</v>
      </c>
      <c r="O1473" s="12" t="s">
        <v>6439</v>
      </c>
      <c r="P1473" s="12"/>
      <c r="Q1473" s="12">
        <v>1</v>
      </c>
    </row>
    <row r="1474" spans="1:17" ht="15.75" customHeight="1">
      <c r="A1474" s="12">
        <v>837</v>
      </c>
      <c r="B1474" s="12">
        <v>1241</v>
      </c>
      <c r="C1474" s="12">
        <v>17554</v>
      </c>
      <c r="D1474" s="12" t="s">
        <v>6047</v>
      </c>
      <c r="E1474" s="12" t="s">
        <v>11866</v>
      </c>
      <c r="F1474" s="12" t="s">
        <v>11867</v>
      </c>
      <c r="G1474" s="12" t="s">
        <v>11868</v>
      </c>
      <c r="H1474" s="12" t="s">
        <v>6051</v>
      </c>
      <c r="I1474" s="12" t="s">
        <v>9592</v>
      </c>
      <c r="J1474" s="12">
        <v>17554</v>
      </c>
      <c r="K1474" s="12" t="s">
        <v>8758</v>
      </c>
      <c r="L1474" s="12" t="s">
        <v>6564</v>
      </c>
      <c r="M1474" s="13">
        <v>43021</v>
      </c>
      <c r="N1474" s="12" t="s">
        <v>8759</v>
      </c>
      <c r="O1474" s="12" t="s">
        <v>8760</v>
      </c>
      <c r="P1474" s="12"/>
      <c r="Q1474" s="12">
        <v>1</v>
      </c>
    </row>
    <row r="1475" spans="1:17" ht="15.75" customHeight="1">
      <c r="A1475" s="12">
        <v>16</v>
      </c>
      <c r="B1475" s="12">
        <v>1398</v>
      </c>
      <c r="C1475" s="12">
        <v>20995</v>
      </c>
      <c r="D1475" s="12" t="s">
        <v>6047</v>
      </c>
      <c r="E1475" s="12" t="s">
        <v>4387</v>
      </c>
      <c r="F1475" s="12" t="s">
        <v>11869</v>
      </c>
      <c r="G1475" s="12" t="s">
        <v>11870</v>
      </c>
      <c r="H1475" s="12" t="s">
        <v>6051</v>
      </c>
      <c r="I1475" s="12" t="s">
        <v>6172</v>
      </c>
      <c r="J1475" s="12">
        <v>20995</v>
      </c>
      <c r="K1475" s="12" t="s">
        <v>8727</v>
      </c>
      <c r="L1475" s="12" t="s">
        <v>6905</v>
      </c>
      <c r="M1475" s="13">
        <v>45980</v>
      </c>
      <c r="N1475" s="12" t="s">
        <v>8728</v>
      </c>
      <c r="O1475" s="12" t="s">
        <v>8729</v>
      </c>
      <c r="P1475" s="12"/>
      <c r="Q1475" s="12">
        <v>1</v>
      </c>
    </row>
    <row r="1476" spans="1:17" ht="15.75" customHeight="1">
      <c r="A1476" s="12">
        <v>1039</v>
      </c>
      <c r="B1476" s="12">
        <v>701</v>
      </c>
      <c r="C1476" s="12">
        <v>8419</v>
      </c>
      <c r="D1476" s="12" t="s">
        <v>6047</v>
      </c>
      <c r="E1476" s="12" t="s">
        <v>11871</v>
      </c>
      <c r="F1476" s="12" t="s">
        <v>11872</v>
      </c>
      <c r="G1476" s="12" t="s">
        <v>11873</v>
      </c>
      <c r="H1476" s="12" t="s">
        <v>6075</v>
      </c>
      <c r="I1476" s="12" t="s">
        <v>6076</v>
      </c>
      <c r="J1476" s="12">
        <v>8419</v>
      </c>
      <c r="K1476" s="12" t="s">
        <v>8971</v>
      </c>
      <c r="L1476" s="12" t="s">
        <v>6504</v>
      </c>
      <c r="M1476" s="13">
        <v>42688</v>
      </c>
      <c r="N1476" s="12" t="s">
        <v>8972</v>
      </c>
      <c r="O1476" s="12" t="s">
        <v>8973</v>
      </c>
      <c r="P1476" s="12"/>
      <c r="Q1476" s="12">
        <v>1</v>
      </c>
    </row>
    <row r="1477" spans="1:17" ht="15.75" customHeight="1">
      <c r="A1477" s="12">
        <v>1566</v>
      </c>
      <c r="B1477" s="12">
        <v>1787</v>
      </c>
      <c r="C1477" s="12">
        <v>33244</v>
      </c>
      <c r="D1477" s="12" t="s">
        <v>6047</v>
      </c>
      <c r="E1477" s="12" t="s">
        <v>11874</v>
      </c>
      <c r="F1477" s="12" t="s">
        <v>11875</v>
      </c>
      <c r="G1477" s="12" t="s">
        <v>11876</v>
      </c>
      <c r="H1477" s="12" t="s">
        <v>6051</v>
      </c>
      <c r="I1477" s="12" t="s">
        <v>6374</v>
      </c>
      <c r="J1477" s="12">
        <v>33244</v>
      </c>
      <c r="K1477" s="12" t="s">
        <v>9859</v>
      </c>
      <c r="L1477" s="12" t="s">
        <v>6255</v>
      </c>
      <c r="M1477" s="13">
        <v>41561</v>
      </c>
      <c r="N1477" s="12" t="s">
        <v>9860</v>
      </c>
      <c r="O1477" s="12" t="s">
        <v>9861</v>
      </c>
      <c r="P1477" s="12"/>
      <c r="Q1477" s="12">
        <v>1</v>
      </c>
    </row>
    <row r="1478" spans="1:17" ht="15.75" customHeight="1">
      <c r="A1478" s="12">
        <v>1558</v>
      </c>
      <c r="B1478" s="12">
        <v>1194</v>
      </c>
      <c r="C1478" s="12">
        <v>17010</v>
      </c>
      <c r="D1478" s="12" t="s">
        <v>6047</v>
      </c>
      <c r="E1478" s="12" t="s">
        <v>4409</v>
      </c>
      <c r="F1478" s="12" t="s">
        <v>11877</v>
      </c>
      <c r="G1478" s="12" t="s">
        <v>11878</v>
      </c>
      <c r="H1478" s="12" t="s">
        <v>6051</v>
      </c>
      <c r="I1478" s="12" t="s">
        <v>6052</v>
      </c>
      <c r="J1478" s="12">
        <v>17010</v>
      </c>
      <c r="K1478" s="12" t="s">
        <v>7055</v>
      </c>
      <c r="L1478" s="12" t="s">
        <v>6255</v>
      </c>
      <c r="M1478" s="13">
        <v>41562</v>
      </c>
      <c r="N1478" s="12" t="s">
        <v>7056</v>
      </c>
      <c r="O1478" s="12" t="s">
        <v>7057</v>
      </c>
      <c r="P1478" s="12"/>
      <c r="Q1478" s="12">
        <v>1</v>
      </c>
    </row>
    <row r="1479" spans="1:17" ht="15.75" customHeight="1">
      <c r="A1479" s="12">
        <v>548</v>
      </c>
      <c r="B1479" s="12">
        <v>1136</v>
      </c>
      <c r="C1479" s="12">
        <v>16305</v>
      </c>
      <c r="D1479" s="12" t="s">
        <v>6047</v>
      </c>
      <c r="E1479" s="12" t="s">
        <v>11879</v>
      </c>
      <c r="F1479" s="12" t="s">
        <v>11880</v>
      </c>
      <c r="G1479" s="12" t="s">
        <v>11881</v>
      </c>
      <c r="H1479" s="12" t="s">
        <v>6051</v>
      </c>
      <c r="I1479" s="12" t="s">
        <v>6052</v>
      </c>
      <c r="J1479" s="12">
        <v>16305</v>
      </c>
      <c r="K1479" s="12" t="s">
        <v>8239</v>
      </c>
      <c r="L1479" s="12" t="s">
        <v>6408</v>
      </c>
      <c r="M1479" s="13">
        <v>43563</v>
      </c>
      <c r="N1479" s="12" t="s">
        <v>8240</v>
      </c>
      <c r="O1479" s="12" t="s">
        <v>8241</v>
      </c>
      <c r="P1479" s="12"/>
      <c r="Q1479" s="12">
        <v>1</v>
      </c>
    </row>
    <row r="1480" spans="1:17" ht="15.75" customHeight="1">
      <c r="A1480" s="12">
        <v>190</v>
      </c>
      <c r="B1480" s="12">
        <v>146</v>
      </c>
      <c r="C1480" s="12">
        <v>2278</v>
      </c>
      <c r="D1480" s="12" t="s">
        <v>6047</v>
      </c>
      <c r="E1480" s="12" t="s">
        <v>11882</v>
      </c>
      <c r="F1480" s="12" t="s">
        <v>11883</v>
      </c>
      <c r="G1480" s="12" t="s">
        <v>11884</v>
      </c>
      <c r="H1480" s="12" t="s">
        <v>6127</v>
      </c>
      <c r="I1480" s="12" t="s">
        <v>6128</v>
      </c>
      <c r="J1480" s="12">
        <v>2278</v>
      </c>
      <c r="K1480" s="12" t="s">
        <v>8131</v>
      </c>
      <c r="L1480" s="12" t="s">
        <v>6709</v>
      </c>
      <c r="M1480" s="13">
        <v>45751</v>
      </c>
      <c r="N1480" s="12" t="s">
        <v>8132</v>
      </c>
      <c r="O1480" s="12" t="s">
        <v>8133</v>
      </c>
      <c r="P1480" s="12"/>
      <c r="Q1480" s="12">
        <v>1</v>
      </c>
    </row>
    <row r="1481" spans="1:17" ht="15.75" customHeight="1">
      <c r="A1481" s="12">
        <v>590</v>
      </c>
      <c r="B1481" s="12">
        <v>1101</v>
      </c>
      <c r="C1481" s="12">
        <v>15881</v>
      </c>
      <c r="D1481" s="12" t="s">
        <v>6047</v>
      </c>
      <c r="E1481" s="12" t="s">
        <v>11885</v>
      </c>
      <c r="F1481" s="12" t="s">
        <v>11886</v>
      </c>
      <c r="G1481" s="12" t="s">
        <v>11887</v>
      </c>
      <c r="H1481" s="12" t="s">
        <v>6051</v>
      </c>
      <c r="I1481" s="12" t="s">
        <v>6406</v>
      </c>
      <c r="J1481" s="12">
        <v>15881</v>
      </c>
      <c r="K1481" s="12" t="s">
        <v>6407</v>
      </c>
      <c r="L1481" s="12" t="s">
        <v>6408</v>
      </c>
      <c r="M1481" s="13">
        <v>43560</v>
      </c>
      <c r="N1481" s="12" t="s">
        <v>6409</v>
      </c>
      <c r="O1481" s="12" t="s">
        <v>7139</v>
      </c>
      <c r="P1481" s="12"/>
      <c r="Q1481" s="12">
        <v>1</v>
      </c>
    </row>
    <row r="1482" spans="1:17" ht="15.75" customHeight="1">
      <c r="A1482" s="12">
        <v>1015</v>
      </c>
      <c r="B1482" s="12">
        <v>120</v>
      </c>
      <c r="C1482" s="12">
        <v>1947</v>
      </c>
      <c r="D1482" s="12" t="s">
        <v>6047</v>
      </c>
      <c r="E1482" s="12" t="s">
        <v>11888</v>
      </c>
      <c r="F1482" s="12" t="s">
        <v>11889</v>
      </c>
      <c r="G1482" s="12" t="s">
        <v>11890</v>
      </c>
      <c r="H1482" s="12" t="s">
        <v>6127</v>
      </c>
      <c r="I1482" s="12" t="s">
        <v>6128</v>
      </c>
      <c r="J1482" s="12">
        <v>1947</v>
      </c>
      <c r="K1482" s="12" t="s">
        <v>11222</v>
      </c>
      <c r="L1482" s="12" t="s">
        <v>6357</v>
      </c>
      <c r="M1482" s="13">
        <v>42691</v>
      </c>
      <c r="N1482" s="12" t="s">
        <v>11223</v>
      </c>
      <c r="O1482" s="12" t="s">
        <v>11224</v>
      </c>
      <c r="P1482" s="12"/>
      <c r="Q1482" s="12">
        <v>1</v>
      </c>
    </row>
    <row r="1483" spans="1:17" ht="15.75" customHeight="1">
      <c r="A1483" s="12">
        <v>243</v>
      </c>
      <c r="B1483" s="12">
        <v>818</v>
      </c>
      <c r="C1483" s="12">
        <v>10371</v>
      </c>
      <c r="D1483" s="12" t="s">
        <v>6047</v>
      </c>
      <c r="E1483" s="12" t="s">
        <v>4416</v>
      </c>
      <c r="F1483" s="12" t="s">
        <v>11891</v>
      </c>
      <c r="G1483" s="12" t="s">
        <v>11892</v>
      </c>
      <c r="H1483" s="12" t="s">
        <v>6265</v>
      </c>
      <c r="I1483" s="12" t="s">
        <v>10250</v>
      </c>
      <c r="J1483" s="12">
        <v>10371</v>
      </c>
      <c r="K1483" s="12" t="s">
        <v>11257</v>
      </c>
      <c r="L1483" s="12" t="s">
        <v>7739</v>
      </c>
      <c r="M1483" s="13">
        <v>45606</v>
      </c>
      <c r="N1483" s="12" t="s">
        <v>11258</v>
      </c>
      <c r="O1483" s="12" t="s">
        <v>11893</v>
      </c>
      <c r="P1483" s="12"/>
      <c r="Q1483" s="12">
        <v>1</v>
      </c>
    </row>
    <row r="1484" spans="1:17" ht="15.75" customHeight="1">
      <c r="A1484" s="12">
        <v>1935</v>
      </c>
      <c r="B1484" s="12">
        <v>1665</v>
      </c>
      <c r="C1484" s="12">
        <v>30715</v>
      </c>
      <c r="D1484" s="12" t="s">
        <v>6047</v>
      </c>
      <c r="E1484" s="12" t="s">
        <v>11894</v>
      </c>
      <c r="F1484" s="12" t="s">
        <v>11895</v>
      </c>
      <c r="G1484" s="12" t="s">
        <v>11896</v>
      </c>
      <c r="H1484" s="12" t="s">
        <v>6051</v>
      </c>
      <c r="I1484" s="12" t="s">
        <v>6100</v>
      </c>
      <c r="J1484" s="12">
        <v>30715</v>
      </c>
      <c r="K1484" s="12" t="s">
        <v>7276</v>
      </c>
      <c r="L1484" s="12" t="s">
        <v>7277</v>
      </c>
      <c r="M1484" s="13">
        <v>39234</v>
      </c>
      <c r="N1484" s="12" t="s">
        <v>7278</v>
      </c>
      <c r="O1484" s="12" t="s">
        <v>7279</v>
      </c>
      <c r="P1484" s="12"/>
      <c r="Q1484" s="12">
        <v>1</v>
      </c>
    </row>
    <row r="1485" spans="1:17" ht="15.75" customHeight="1">
      <c r="A1485" s="12">
        <v>949</v>
      </c>
      <c r="B1485" s="12">
        <v>325</v>
      </c>
      <c r="C1485" s="12">
        <v>5020</v>
      </c>
      <c r="D1485" s="12" t="s">
        <v>6047</v>
      </c>
      <c r="E1485" s="12" t="s">
        <v>11897</v>
      </c>
      <c r="F1485" s="12" t="s">
        <v>11898</v>
      </c>
      <c r="G1485" s="12" t="s">
        <v>11899</v>
      </c>
      <c r="H1485" s="12" t="s">
        <v>6163</v>
      </c>
      <c r="I1485" s="12" t="s">
        <v>6253</v>
      </c>
      <c r="J1485" s="12">
        <v>5020</v>
      </c>
      <c r="K1485" s="12" t="s">
        <v>7225</v>
      </c>
      <c r="L1485" s="12" t="s">
        <v>6054</v>
      </c>
      <c r="M1485" s="13">
        <v>42827</v>
      </c>
      <c r="N1485" s="12" t="s">
        <v>7226</v>
      </c>
      <c r="O1485" s="12" t="s">
        <v>7227</v>
      </c>
      <c r="P1485" s="12"/>
      <c r="Q1485" s="12">
        <v>1</v>
      </c>
    </row>
    <row r="1486" spans="1:17" ht="15.75" customHeight="1">
      <c r="A1486" s="12">
        <v>920</v>
      </c>
      <c r="B1486" s="12">
        <v>1533</v>
      </c>
      <c r="C1486" s="12">
        <v>27162</v>
      </c>
      <c r="D1486" s="12" t="s">
        <v>6047</v>
      </c>
      <c r="E1486" s="12" t="s">
        <v>11900</v>
      </c>
      <c r="F1486" s="12" t="s">
        <v>11901</v>
      </c>
      <c r="G1486" s="12" t="s">
        <v>11902</v>
      </c>
      <c r="H1486" s="12" t="s">
        <v>6051</v>
      </c>
      <c r="I1486" s="12" t="s">
        <v>6704</v>
      </c>
      <c r="J1486" s="12">
        <v>27162</v>
      </c>
      <c r="K1486" s="12" t="s">
        <v>7209</v>
      </c>
      <c r="L1486" s="12" t="s">
        <v>6955</v>
      </c>
      <c r="M1486" s="13">
        <v>42829</v>
      </c>
      <c r="N1486" s="12" t="s">
        <v>7210</v>
      </c>
      <c r="O1486" s="12" t="s">
        <v>7211</v>
      </c>
      <c r="P1486" s="12"/>
      <c r="Q1486" s="12">
        <v>1</v>
      </c>
    </row>
    <row r="1487" spans="1:17" ht="15.75" customHeight="1">
      <c r="A1487" s="12">
        <v>583</v>
      </c>
      <c r="B1487" s="12">
        <v>961</v>
      </c>
      <c r="C1487" s="12">
        <v>12974</v>
      </c>
      <c r="D1487" s="12" t="s">
        <v>6047</v>
      </c>
      <c r="E1487" s="12" t="s">
        <v>11903</v>
      </c>
      <c r="F1487" s="12" t="s">
        <v>11904</v>
      </c>
      <c r="G1487" s="12" t="s">
        <v>11905</v>
      </c>
      <c r="H1487" s="12" t="s">
        <v>6627</v>
      </c>
      <c r="I1487" s="12" t="s">
        <v>7504</v>
      </c>
      <c r="J1487" s="12">
        <v>12974</v>
      </c>
      <c r="K1487" s="12" t="s">
        <v>6407</v>
      </c>
      <c r="L1487" s="12" t="s">
        <v>6408</v>
      </c>
      <c r="M1487" s="13">
        <v>43560</v>
      </c>
      <c r="N1487" s="12" t="s">
        <v>6409</v>
      </c>
      <c r="O1487" s="12" t="s">
        <v>8232</v>
      </c>
      <c r="P1487" s="12"/>
      <c r="Q1487" s="12">
        <v>1</v>
      </c>
    </row>
    <row r="1488" spans="1:17" ht="15.75" customHeight="1">
      <c r="A1488" s="12">
        <v>692</v>
      </c>
      <c r="B1488" s="12">
        <v>121</v>
      </c>
      <c r="C1488" s="12">
        <v>1948</v>
      </c>
      <c r="D1488" s="12" t="s">
        <v>6047</v>
      </c>
      <c r="E1488" s="12" t="s">
        <v>11906</v>
      </c>
      <c r="F1488" s="12" t="s">
        <v>11907</v>
      </c>
      <c r="G1488" s="12" t="s">
        <v>11908</v>
      </c>
      <c r="H1488" s="12" t="s">
        <v>6127</v>
      </c>
      <c r="I1488" s="12" t="s">
        <v>6128</v>
      </c>
      <c r="J1488" s="12">
        <v>1948</v>
      </c>
      <c r="K1488" s="12" t="s">
        <v>7705</v>
      </c>
      <c r="L1488" s="12" t="s">
        <v>7254</v>
      </c>
      <c r="M1488" s="13">
        <v>43204</v>
      </c>
      <c r="N1488" s="12" t="s">
        <v>7706</v>
      </c>
      <c r="O1488" s="12" t="s">
        <v>7707</v>
      </c>
      <c r="P1488" s="12"/>
      <c r="Q1488" s="12">
        <v>1</v>
      </c>
    </row>
    <row r="1489" spans="1:17" ht="15.75" customHeight="1">
      <c r="A1489" s="12">
        <v>563</v>
      </c>
      <c r="B1489" s="12">
        <v>1060</v>
      </c>
      <c r="C1489" s="12">
        <v>15147</v>
      </c>
      <c r="D1489" s="12" t="s">
        <v>6047</v>
      </c>
      <c r="E1489" s="12" t="s">
        <v>11909</v>
      </c>
      <c r="F1489" s="12" t="s">
        <v>11910</v>
      </c>
      <c r="G1489" s="12" t="s">
        <v>11911</v>
      </c>
      <c r="H1489" s="12" t="s">
        <v>6051</v>
      </c>
      <c r="I1489" s="12" t="s">
        <v>6476</v>
      </c>
      <c r="J1489" s="12">
        <v>15147</v>
      </c>
      <c r="K1489" s="12" t="s">
        <v>6464</v>
      </c>
      <c r="L1489" s="12" t="s">
        <v>6408</v>
      </c>
      <c r="M1489" s="13">
        <v>43562</v>
      </c>
      <c r="N1489" s="12" t="s">
        <v>6465</v>
      </c>
      <c r="O1489" s="12" t="s">
        <v>6466</v>
      </c>
      <c r="P1489" s="12"/>
      <c r="Q1489" s="12">
        <v>1</v>
      </c>
    </row>
    <row r="1490" spans="1:17" ht="15.75" customHeight="1">
      <c r="A1490" s="12">
        <v>901</v>
      </c>
      <c r="B1490" s="12">
        <v>1032</v>
      </c>
      <c r="C1490" s="12">
        <v>14549</v>
      </c>
      <c r="D1490" s="12" t="s">
        <v>6047</v>
      </c>
      <c r="E1490" s="12" t="s">
        <v>11912</v>
      </c>
      <c r="F1490" s="12" t="s">
        <v>11913</v>
      </c>
      <c r="G1490" s="12" t="s">
        <v>11914</v>
      </c>
      <c r="H1490" s="12" t="s">
        <v>6051</v>
      </c>
      <c r="I1490" s="12" t="s">
        <v>6476</v>
      </c>
      <c r="J1490" s="12">
        <v>14549</v>
      </c>
      <c r="K1490" s="12" t="s">
        <v>9514</v>
      </c>
      <c r="L1490" s="12" t="s">
        <v>6054</v>
      </c>
      <c r="M1490" s="13">
        <v>42833</v>
      </c>
      <c r="N1490" s="12" t="s">
        <v>9515</v>
      </c>
      <c r="O1490" s="12" t="s">
        <v>9516</v>
      </c>
      <c r="P1490" s="12"/>
      <c r="Q1490" s="12">
        <v>1</v>
      </c>
    </row>
    <row r="1491" spans="1:17" ht="15.75" customHeight="1">
      <c r="A1491" s="12">
        <v>713</v>
      </c>
      <c r="B1491" s="12">
        <v>574</v>
      </c>
      <c r="C1491" s="12">
        <v>7465</v>
      </c>
      <c r="D1491" s="12" t="s">
        <v>6047</v>
      </c>
      <c r="E1491" s="12" t="s">
        <v>11915</v>
      </c>
      <c r="F1491" s="12" t="s">
        <v>11916</v>
      </c>
      <c r="G1491" s="12" t="s">
        <v>11917</v>
      </c>
      <c r="H1491" s="12" t="s">
        <v>6187</v>
      </c>
      <c r="I1491" s="12" t="s">
        <v>6188</v>
      </c>
      <c r="J1491" s="12">
        <v>7465</v>
      </c>
      <c r="K1491" s="12" t="s">
        <v>9663</v>
      </c>
      <c r="L1491" s="12" t="s">
        <v>9664</v>
      </c>
      <c r="M1491" s="13">
        <v>43201</v>
      </c>
      <c r="N1491" s="12" t="s">
        <v>9665</v>
      </c>
      <c r="O1491" s="12" t="s">
        <v>9666</v>
      </c>
      <c r="P1491" s="12"/>
      <c r="Q1491" s="12">
        <v>1</v>
      </c>
    </row>
    <row r="1492" spans="1:17" ht="15.75" customHeight="1">
      <c r="A1492" s="12">
        <v>332</v>
      </c>
      <c r="B1492" s="12">
        <v>976</v>
      </c>
      <c r="C1492" s="12">
        <v>13152</v>
      </c>
      <c r="D1492" s="12" t="s">
        <v>6047</v>
      </c>
      <c r="E1492" s="12" t="s">
        <v>11918</v>
      </c>
      <c r="F1492" s="12" t="s">
        <v>11919</v>
      </c>
      <c r="G1492" s="12" t="s">
        <v>11920</v>
      </c>
      <c r="H1492" s="12" t="s">
        <v>6627</v>
      </c>
      <c r="I1492" s="12" t="s">
        <v>7504</v>
      </c>
      <c r="J1492" s="12">
        <v>13152</v>
      </c>
      <c r="K1492" s="12" t="s">
        <v>8338</v>
      </c>
      <c r="L1492" s="12" t="s">
        <v>6732</v>
      </c>
      <c r="M1492" s="13">
        <v>44726</v>
      </c>
      <c r="N1492" s="12" t="s">
        <v>8339</v>
      </c>
      <c r="O1492" s="12" t="s">
        <v>8340</v>
      </c>
      <c r="P1492" s="12"/>
      <c r="Q1492" s="12">
        <v>1</v>
      </c>
    </row>
    <row r="1493" spans="1:17" ht="15.75" customHeight="1">
      <c r="A1493" s="12">
        <v>789</v>
      </c>
      <c r="B1493" s="12">
        <v>1439</v>
      </c>
      <c r="C1493" s="12">
        <v>21770</v>
      </c>
      <c r="D1493" s="12" t="s">
        <v>6047</v>
      </c>
      <c r="E1493" s="12" t="s">
        <v>11921</v>
      </c>
      <c r="F1493" s="12" t="s">
        <v>11922</v>
      </c>
      <c r="G1493" s="12" t="s">
        <v>11923</v>
      </c>
      <c r="H1493" s="12" t="s">
        <v>6051</v>
      </c>
      <c r="I1493" s="12" t="s">
        <v>8726</v>
      </c>
      <c r="J1493" s="12">
        <v>21770</v>
      </c>
      <c r="K1493" s="12" t="s">
        <v>8995</v>
      </c>
      <c r="L1493" s="12" t="s">
        <v>6590</v>
      </c>
      <c r="M1493" s="13">
        <v>43033</v>
      </c>
      <c r="N1493" s="12" t="s">
        <v>8996</v>
      </c>
      <c r="O1493" s="12" t="s">
        <v>8997</v>
      </c>
      <c r="P1493" s="12"/>
      <c r="Q1493" s="12">
        <v>1</v>
      </c>
    </row>
    <row r="1494" spans="1:17" ht="15.75" customHeight="1">
      <c r="A1494" s="12">
        <v>1595</v>
      </c>
      <c r="B1494" s="12">
        <v>1913</v>
      </c>
      <c r="C1494" s="12">
        <v>34436</v>
      </c>
      <c r="D1494" s="12" t="s">
        <v>6047</v>
      </c>
      <c r="E1494" s="12" t="s">
        <v>4427</v>
      </c>
      <c r="F1494" s="12" t="s">
        <v>11924</v>
      </c>
      <c r="G1494" s="12" t="s">
        <v>11925</v>
      </c>
      <c r="H1494" s="12" t="s">
        <v>6051</v>
      </c>
      <c r="I1494" s="12" t="s">
        <v>7034</v>
      </c>
      <c r="J1494" s="12">
        <v>34436</v>
      </c>
      <c r="K1494" s="12" t="s">
        <v>6300</v>
      </c>
      <c r="L1494" s="12" t="s">
        <v>6240</v>
      </c>
      <c r="M1494" s="13">
        <v>41396</v>
      </c>
      <c r="N1494" s="12" t="s">
        <v>6301</v>
      </c>
      <c r="O1494" s="12" t="s">
        <v>6302</v>
      </c>
      <c r="P1494" s="12"/>
      <c r="Q1494" s="12">
        <v>1</v>
      </c>
    </row>
    <row r="1495" spans="1:17" ht="15.75" customHeight="1">
      <c r="A1495" s="12">
        <v>605</v>
      </c>
      <c r="B1495" s="12">
        <v>1955</v>
      </c>
      <c r="C1495" s="12">
        <v>34883</v>
      </c>
      <c r="D1495" s="12" t="s">
        <v>6047</v>
      </c>
      <c r="E1495" s="12" t="s">
        <v>4452</v>
      </c>
      <c r="F1495" s="12" t="s">
        <v>11926</v>
      </c>
      <c r="G1495" s="12" t="s">
        <v>11927</v>
      </c>
      <c r="H1495" s="12" t="s">
        <v>6051</v>
      </c>
      <c r="I1495" s="12" t="s">
        <v>6700</v>
      </c>
      <c r="J1495" s="12">
        <v>34883</v>
      </c>
      <c r="K1495" s="12" t="s">
        <v>7160</v>
      </c>
      <c r="L1495" s="12" t="s">
        <v>6408</v>
      </c>
      <c r="M1495" s="13">
        <v>43558</v>
      </c>
      <c r="N1495" s="12" t="s">
        <v>7161</v>
      </c>
      <c r="O1495" s="12" t="s">
        <v>7162</v>
      </c>
      <c r="P1495" s="12"/>
      <c r="Q1495" s="12">
        <v>1</v>
      </c>
    </row>
    <row r="1496" spans="1:17" ht="15.75" customHeight="1">
      <c r="A1496" s="12">
        <v>1361</v>
      </c>
      <c r="B1496" s="12">
        <v>1655</v>
      </c>
      <c r="C1496" s="12">
        <v>30267</v>
      </c>
      <c r="D1496" s="12" t="s">
        <v>6047</v>
      </c>
      <c r="E1496" s="12" t="s">
        <v>4429</v>
      </c>
      <c r="F1496" s="12" t="s">
        <v>11928</v>
      </c>
      <c r="G1496" s="12" t="s">
        <v>11929</v>
      </c>
      <c r="H1496" s="12" t="s">
        <v>6051</v>
      </c>
      <c r="I1496" s="12" t="s">
        <v>6399</v>
      </c>
      <c r="J1496" s="12">
        <v>30267</v>
      </c>
      <c r="K1496" s="12" t="s">
        <v>6077</v>
      </c>
      <c r="L1496" s="12" t="s">
        <v>6078</v>
      </c>
      <c r="M1496" s="13">
        <v>41915</v>
      </c>
      <c r="N1496" s="12" t="s">
        <v>6079</v>
      </c>
      <c r="O1496" s="12" t="s">
        <v>7172</v>
      </c>
      <c r="P1496" s="12"/>
      <c r="Q1496" s="12">
        <v>1</v>
      </c>
    </row>
    <row r="1497" spans="1:17" ht="15.75" customHeight="1">
      <c r="A1497" s="12">
        <v>186</v>
      </c>
      <c r="B1497" s="12">
        <v>980</v>
      </c>
      <c r="C1497" s="12">
        <v>13189</v>
      </c>
      <c r="D1497" s="12" t="s">
        <v>6047</v>
      </c>
      <c r="E1497" s="12" t="s">
        <v>11930</v>
      </c>
      <c r="F1497" s="12" t="s">
        <v>11931</v>
      </c>
      <c r="G1497" s="12" t="s">
        <v>11932</v>
      </c>
      <c r="H1497" s="12" t="s">
        <v>6627</v>
      </c>
      <c r="I1497" s="12" t="s">
        <v>7504</v>
      </c>
      <c r="J1497" s="12">
        <v>13189</v>
      </c>
      <c r="K1497" s="12" t="s">
        <v>11933</v>
      </c>
      <c r="L1497" s="12" t="s">
        <v>6709</v>
      </c>
      <c r="M1497" s="13">
        <v>45752</v>
      </c>
      <c r="N1497" s="12" t="s">
        <v>11934</v>
      </c>
      <c r="O1497" s="12" t="s">
        <v>11935</v>
      </c>
      <c r="P1497" s="12"/>
      <c r="Q1497" s="12">
        <v>1</v>
      </c>
    </row>
    <row r="1498" spans="1:17" ht="15.75" customHeight="1">
      <c r="A1498" s="12">
        <v>1017</v>
      </c>
      <c r="B1498" s="12">
        <v>1820</v>
      </c>
      <c r="C1498" s="12">
        <v>33645</v>
      </c>
      <c r="D1498" s="12" t="s">
        <v>6047</v>
      </c>
      <c r="E1498" s="12" t="s">
        <v>11936</v>
      </c>
      <c r="F1498" s="12" t="s">
        <v>11937</v>
      </c>
      <c r="G1498" s="12" t="s">
        <v>11938</v>
      </c>
      <c r="H1498" s="12" t="s">
        <v>6051</v>
      </c>
      <c r="I1498" s="12" t="s">
        <v>6261</v>
      </c>
      <c r="J1498" s="12">
        <v>33645</v>
      </c>
      <c r="K1498" s="12" t="s">
        <v>6875</v>
      </c>
      <c r="L1498" s="12" t="s">
        <v>6357</v>
      </c>
      <c r="M1498" s="13">
        <v>42691</v>
      </c>
      <c r="N1498" s="12" t="s">
        <v>6876</v>
      </c>
      <c r="O1498" s="12" t="s">
        <v>6877</v>
      </c>
      <c r="P1498" s="12"/>
      <c r="Q1498" s="12">
        <v>1</v>
      </c>
    </row>
    <row r="1499" spans="1:17" ht="15.75" customHeight="1">
      <c r="A1499" s="12">
        <v>1693</v>
      </c>
      <c r="B1499" s="12">
        <v>1946</v>
      </c>
      <c r="C1499" s="12">
        <v>34800</v>
      </c>
      <c r="D1499" s="12" t="s">
        <v>6047</v>
      </c>
      <c r="E1499" s="12" t="s">
        <v>11939</v>
      </c>
      <c r="F1499" s="12" t="s">
        <v>11940</v>
      </c>
      <c r="G1499" s="12" t="s">
        <v>11941</v>
      </c>
      <c r="H1499" s="12" t="s">
        <v>6051</v>
      </c>
      <c r="I1499" s="12" t="s">
        <v>6700</v>
      </c>
      <c r="J1499" s="12">
        <v>34800</v>
      </c>
      <c r="K1499" s="12" t="s">
        <v>8598</v>
      </c>
      <c r="L1499" s="12" t="s">
        <v>7333</v>
      </c>
      <c r="M1499" s="13">
        <v>40878</v>
      </c>
      <c r="N1499" s="12" t="s">
        <v>8599</v>
      </c>
      <c r="O1499" s="12" t="s">
        <v>8600</v>
      </c>
      <c r="P1499" s="12"/>
      <c r="Q1499" s="12">
        <v>1</v>
      </c>
    </row>
    <row r="1500" spans="1:17" ht="15.75" customHeight="1">
      <c r="A1500" s="12">
        <v>496</v>
      </c>
      <c r="B1500" s="12">
        <v>1988</v>
      </c>
      <c r="C1500" s="12">
        <v>35149</v>
      </c>
      <c r="D1500" s="12" t="s">
        <v>6047</v>
      </c>
      <c r="E1500" s="12" t="s">
        <v>11942</v>
      </c>
      <c r="F1500" s="12" t="s">
        <v>11943</v>
      </c>
      <c r="G1500" s="12" t="s">
        <v>11944</v>
      </c>
      <c r="H1500" s="12" t="s">
        <v>6051</v>
      </c>
      <c r="I1500" s="12" t="s">
        <v>6700</v>
      </c>
      <c r="J1500" s="12">
        <v>35149</v>
      </c>
      <c r="K1500" s="12" t="s">
        <v>11945</v>
      </c>
      <c r="L1500" s="12" t="s">
        <v>6054</v>
      </c>
      <c r="M1500" s="13">
        <v>43781</v>
      </c>
      <c r="N1500" s="12" t="s">
        <v>11946</v>
      </c>
      <c r="O1500" s="12" t="s">
        <v>11947</v>
      </c>
      <c r="P1500" s="12"/>
      <c r="Q1500" s="12">
        <v>1</v>
      </c>
    </row>
    <row r="1501" spans="1:17" ht="15.75" customHeight="1">
      <c r="A1501" s="12">
        <v>395</v>
      </c>
      <c r="B1501" s="12">
        <v>304</v>
      </c>
      <c r="C1501" s="12">
        <v>4856</v>
      </c>
      <c r="D1501" s="12" t="s">
        <v>6047</v>
      </c>
      <c r="E1501" s="12" t="s">
        <v>11948</v>
      </c>
      <c r="F1501" s="12" t="s">
        <v>11949</v>
      </c>
      <c r="G1501" s="12" t="s">
        <v>11950</v>
      </c>
      <c r="H1501" s="12" t="s">
        <v>6163</v>
      </c>
      <c r="I1501" s="12" t="s">
        <v>6253</v>
      </c>
      <c r="J1501" s="12">
        <v>4856</v>
      </c>
      <c r="K1501" s="12" t="s">
        <v>8650</v>
      </c>
      <c r="L1501" s="12" t="s">
        <v>7020</v>
      </c>
      <c r="M1501" s="13">
        <v>44716</v>
      </c>
      <c r="N1501" s="12" t="s">
        <v>8651</v>
      </c>
      <c r="O1501" s="12" t="s">
        <v>8652</v>
      </c>
      <c r="P1501" s="12"/>
      <c r="Q1501" s="12">
        <v>1</v>
      </c>
    </row>
    <row r="1502" spans="1:17" ht="15.75" customHeight="1">
      <c r="A1502" s="12">
        <v>1803</v>
      </c>
      <c r="B1502" s="12">
        <v>1237</v>
      </c>
      <c r="C1502" s="12">
        <v>17489</v>
      </c>
      <c r="D1502" s="12" t="s">
        <v>6047</v>
      </c>
      <c r="E1502" s="12" t="s">
        <v>11951</v>
      </c>
      <c r="F1502" s="12" t="s">
        <v>11952</v>
      </c>
      <c r="G1502" s="12" t="s">
        <v>11953</v>
      </c>
      <c r="H1502" s="12" t="s">
        <v>6051</v>
      </c>
      <c r="I1502" s="12" t="s">
        <v>6052</v>
      </c>
      <c r="J1502" s="12">
        <v>17489</v>
      </c>
      <c r="K1502" s="12" t="s">
        <v>6062</v>
      </c>
      <c r="L1502" s="12" t="s">
        <v>6063</v>
      </c>
      <c r="M1502" s="13">
        <v>40873</v>
      </c>
      <c r="N1502" s="12" t="s">
        <v>6064</v>
      </c>
      <c r="O1502" s="12" t="s">
        <v>6065</v>
      </c>
      <c r="P1502" s="12"/>
      <c r="Q1502" s="12">
        <v>1</v>
      </c>
    </row>
    <row r="1503" spans="1:17" ht="15.75" customHeight="1">
      <c r="A1503" s="12">
        <v>545</v>
      </c>
      <c r="B1503" s="12">
        <v>1840</v>
      </c>
      <c r="C1503" s="12">
        <v>33844</v>
      </c>
      <c r="D1503" s="12" t="s">
        <v>6047</v>
      </c>
      <c r="E1503" s="12" t="s">
        <v>11954</v>
      </c>
      <c r="F1503" s="12" t="s">
        <v>11955</v>
      </c>
      <c r="G1503" s="12" t="s">
        <v>11956</v>
      </c>
      <c r="H1503" s="12" t="s">
        <v>6051</v>
      </c>
      <c r="I1503" s="12" t="s">
        <v>6261</v>
      </c>
      <c r="J1503" s="12">
        <v>33844</v>
      </c>
      <c r="K1503" s="12" t="s">
        <v>8239</v>
      </c>
      <c r="L1503" s="12" t="s">
        <v>6408</v>
      </c>
      <c r="M1503" s="13">
        <v>43563</v>
      </c>
      <c r="N1503" s="12" t="s">
        <v>8240</v>
      </c>
      <c r="O1503" s="12" t="s">
        <v>8241</v>
      </c>
      <c r="P1503" s="12"/>
      <c r="Q1503" s="12">
        <v>1</v>
      </c>
    </row>
    <row r="1504" spans="1:17" ht="15.75" customHeight="1">
      <c r="A1504" s="12">
        <v>979</v>
      </c>
      <c r="B1504" s="12">
        <v>1324</v>
      </c>
      <c r="C1504" s="12">
        <v>19085</v>
      </c>
      <c r="D1504" s="12" t="s">
        <v>6047</v>
      </c>
      <c r="E1504" s="12" t="s">
        <v>11957</v>
      </c>
      <c r="F1504" s="12" t="s">
        <v>11958</v>
      </c>
      <c r="G1504" s="12" t="s">
        <v>11959</v>
      </c>
      <c r="H1504" s="12" t="s">
        <v>6051</v>
      </c>
      <c r="I1504" s="12" t="s">
        <v>7090</v>
      </c>
      <c r="J1504" s="12">
        <v>19085</v>
      </c>
      <c r="K1504" s="12" t="s">
        <v>6356</v>
      </c>
      <c r="L1504" s="12" t="s">
        <v>6357</v>
      </c>
      <c r="M1504" s="13">
        <v>42697</v>
      </c>
      <c r="N1504" s="12" t="s">
        <v>6358</v>
      </c>
      <c r="O1504" s="12" t="s">
        <v>6359</v>
      </c>
      <c r="P1504" s="12"/>
      <c r="Q1504" s="12">
        <v>1</v>
      </c>
    </row>
    <row r="1505" spans="1:17" ht="15.75" customHeight="1">
      <c r="A1505" s="12">
        <v>1166</v>
      </c>
      <c r="B1505" s="12">
        <v>1972</v>
      </c>
      <c r="C1505" s="12">
        <v>35020</v>
      </c>
      <c r="D1505" s="12" t="s">
        <v>6047</v>
      </c>
      <c r="E1505" s="12" t="s">
        <v>11960</v>
      </c>
      <c r="F1505" s="12" t="s">
        <v>11961</v>
      </c>
      <c r="G1505" s="12" t="s">
        <v>11962</v>
      </c>
      <c r="H1505" s="12" t="s">
        <v>6051</v>
      </c>
      <c r="I1505" s="12" t="s">
        <v>6700</v>
      </c>
      <c r="J1505" s="12">
        <v>35020</v>
      </c>
      <c r="K1505" s="12" t="s">
        <v>7873</v>
      </c>
      <c r="L1505" s="12" t="s">
        <v>6832</v>
      </c>
      <c r="M1505" s="13">
        <v>41998</v>
      </c>
      <c r="N1505" s="12" t="s">
        <v>7874</v>
      </c>
      <c r="O1505" s="12" t="s">
        <v>7875</v>
      </c>
      <c r="P1505" s="12"/>
      <c r="Q1505" s="12">
        <v>1</v>
      </c>
    </row>
    <row r="1506" spans="1:17" ht="15.75" customHeight="1">
      <c r="A1506" s="12">
        <v>8</v>
      </c>
      <c r="B1506" s="12">
        <v>1297</v>
      </c>
      <c r="C1506" s="12">
        <v>18369</v>
      </c>
      <c r="D1506" s="12" t="s">
        <v>6047</v>
      </c>
      <c r="E1506" s="12" t="s">
        <v>11963</v>
      </c>
      <c r="F1506" s="12" t="s">
        <v>11964</v>
      </c>
      <c r="G1506" s="12" t="s">
        <v>11965</v>
      </c>
      <c r="H1506" s="12" t="s">
        <v>6051</v>
      </c>
      <c r="I1506" s="12" t="s">
        <v>7763</v>
      </c>
      <c r="J1506" s="12">
        <v>18369</v>
      </c>
      <c r="K1506" s="12" t="s">
        <v>11966</v>
      </c>
      <c r="L1506" s="12" t="s">
        <v>6905</v>
      </c>
      <c r="M1506" s="13">
        <v>45981</v>
      </c>
      <c r="N1506" s="12" t="s">
        <v>11967</v>
      </c>
      <c r="O1506" s="12" t="s">
        <v>11968</v>
      </c>
      <c r="P1506" s="12"/>
      <c r="Q1506" s="12">
        <v>1</v>
      </c>
    </row>
    <row r="1507" spans="1:17" ht="15.75" customHeight="1">
      <c r="A1507" s="12">
        <v>1987</v>
      </c>
      <c r="B1507" s="12">
        <v>638</v>
      </c>
      <c r="C1507" s="12">
        <v>7830</v>
      </c>
      <c r="D1507" s="12" t="s">
        <v>6047</v>
      </c>
      <c r="E1507" s="12" t="s">
        <v>11969</v>
      </c>
      <c r="F1507" s="12" t="s">
        <v>11970</v>
      </c>
      <c r="G1507" s="12" t="s">
        <v>11971</v>
      </c>
      <c r="H1507" s="12" t="s">
        <v>6075</v>
      </c>
      <c r="I1507" s="12" t="s">
        <v>11972</v>
      </c>
      <c r="J1507" s="12">
        <v>7830</v>
      </c>
      <c r="K1507" s="12" t="s">
        <v>8445</v>
      </c>
      <c r="L1507" s="12" t="s">
        <v>8446</v>
      </c>
      <c r="M1507" s="13">
        <v>38576</v>
      </c>
      <c r="N1507" s="12" t="s">
        <v>8447</v>
      </c>
      <c r="O1507" s="12" t="s">
        <v>8448</v>
      </c>
      <c r="P1507" s="12"/>
      <c r="Q1507" s="12">
        <v>1</v>
      </c>
    </row>
    <row r="1508" spans="1:17" ht="15.75" customHeight="1">
      <c r="A1508" s="12">
        <v>685</v>
      </c>
      <c r="B1508" s="12">
        <v>1541</v>
      </c>
      <c r="C1508" s="12">
        <v>27303</v>
      </c>
      <c r="D1508" s="12" t="s">
        <v>6047</v>
      </c>
      <c r="E1508" s="12" t="s">
        <v>4482</v>
      </c>
      <c r="F1508" s="12" t="s">
        <v>11973</v>
      </c>
      <c r="G1508" s="12" t="s">
        <v>11974</v>
      </c>
      <c r="H1508" s="12" t="s">
        <v>6051</v>
      </c>
      <c r="I1508" s="12" t="s">
        <v>6704</v>
      </c>
      <c r="J1508" s="12">
        <v>27303</v>
      </c>
      <c r="K1508" s="12" t="s">
        <v>7071</v>
      </c>
      <c r="L1508" s="12" t="s">
        <v>6240</v>
      </c>
      <c r="M1508" s="13">
        <v>43233</v>
      </c>
      <c r="N1508" s="12" t="s">
        <v>7072</v>
      </c>
      <c r="O1508" s="12" t="s">
        <v>11975</v>
      </c>
      <c r="P1508" s="12"/>
      <c r="Q1508" s="12">
        <v>1</v>
      </c>
    </row>
    <row r="1509" spans="1:17" ht="15.75" customHeight="1">
      <c r="A1509" s="12">
        <v>1881</v>
      </c>
      <c r="B1509" s="12">
        <v>400</v>
      </c>
      <c r="C1509" s="12">
        <v>5834</v>
      </c>
      <c r="D1509" s="12" t="s">
        <v>6047</v>
      </c>
      <c r="E1509" s="12" t="s">
        <v>11976</v>
      </c>
      <c r="F1509" s="12" t="s">
        <v>11977</v>
      </c>
      <c r="G1509" s="12" t="s">
        <v>11978</v>
      </c>
      <c r="H1509" s="12" t="s">
        <v>6137</v>
      </c>
      <c r="I1509" s="12" t="s">
        <v>6323</v>
      </c>
      <c r="J1509" s="12">
        <v>5834</v>
      </c>
      <c r="K1509" s="12" t="s">
        <v>6769</v>
      </c>
      <c r="L1509" s="12" t="s">
        <v>6709</v>
      </c>
      <c r="M1509" s="13">
        <v>40176</v>
      </c>
      <c r="N1509" s="12" t="s">
        <v>6770</v>
      </c>
      <c r="O1509" s="12" t="s">
        <v>6771</v>
      </c>
      <c r="P1509" s="12"/>
      <c r="Q1509" s="12">
        <v>1</v>
      </c>
    </row>
    <row r="1510" spans="1:17" ht="15.75" customHeight="1">
      <c r="A1510" s="12">
        <v>1140</v>
      </c>
      <c r="B1510" s="12">
        <v>464</v>
      </c>
      <c r="C1510" s="12">
        <v>6232</v>
      </c>
      <c r="D1510" s="12" t="s">
        <v>6047</v>
      </c>
      <c r="E1510" s="12" t="s">
        <v>11979</v>
      </c>
      <c r="F1510" s="12" t="s">
        <v>11980</v>
      </c>
      <c r="G1510" s="12" t="s">
        <v>11981</v>
      </c>
      <c r="H1510" s="12" t="s">
        <v>6137</v>
      </c>
      <c r="I1510" s="12" t="s">
        <v>6391</v>
      </c>
      <c r="J1510" s="12">
        <v>6232</v>
      </c>
      <c r="K1510" s="12" t="s">
        <v>6270</v>
      </c>
      <c r="L1510" s="12" t="s">
        <v>6240</v>
      </c>
      <c r="M1510" s="13">
        <v>42141</v>
      </c>
      <c r="N1510" s="12" t="s">
        <v>6271</v>
      </c>
      <c r="O1510" s="12" t="s">
        <v>11982</v>
      </c>
      <c r="P1510" s="12"/>
      <c r="Q1510" s="12">
        <v>1</v>
      </c>
    </row>
    <row r="1511" spans="1:17" ht="15.75" customHeight="1">
      <c r="A1511" s="12">
        <v>1060</v>
      </c>
      <c r="B1511" s="12">
        <v>1129</v>
      </c>
      <c r="C1511" s="12">
        <v>16233</v>
      </c>
      <c r="D1511" s="12" t="s">
        <v>6047</v>
      </c>
      <c r="E1511" s="12" t="s">
        <v>11983</v>
      </c>
      <c r="F1511" s="12" t="s">
        <v>11984</v>
      </c>
      <c r="G1511" s="12" t="s">
        <v>11985</v>
      </c>
      <c r="H1511" s="12" t="s">
        <v>6051</v>
      </c>
      <c r="I1511" s="12" t="s">
        <v>6052</v>
      </c>
      <c r="J1511" s="12">
        <v>16233</v>
      </c>
      <c r="K1511" s="12" t="s">
        <v>6053</v>
      </c>
      <c r="L1511" s="12" t="s">
        <v>6054</v>
      </c>
      <c r="M1511" s="13">
        <v>42687</v>
      </c>
      <c r="N1511" s="12" t="s">
        <v>6055</v>
      </c>
      <c r="O1511" s="12" t="s">
        <v>6056</v>
      </c>
      <c r="P1511" s="12"/>
      <c r="Q1511" s="12">
        <v>1</v>
      </c>
    </row>
    <row r="1512" spans="1:17" ht="15.75" customHeight="1">
      <c r="A1512" s="12">
        <v>1560</v>
      </c>
      <c r="B1512" s="12">
        <v>682</v>
      </c>
      <c r="C1512" s="12">
        <v>8256</v>
      </c>
      <c r="D1512" s="12" t="s">
        <v>6047</v>
      </c>
      <c r="E1512" s="12" t="s">
        <v>4506</v>
      </c>
      <c r="F1512" s="12" t="s">
        <v>11986</v>
      </c>
      <c r="G1512" s="12" t="s">
        <v>11987</v>
      </c>
      <c r="H1512" s="12" t="s">
        <v>6075</v>
      </c>
      <c r="I1512" s="12" t="s">
        <v>6076</v>
      </c>
      <c r="J1512" s="12">
        <v>8256</v>
      </c>
      <c r="K1512" s="12" t="s">
        <v>7055</v>
      </c>
      <c r="L1512" s="12" t="s">
        <v>6255</v>
      </c>
      <c r="M1512" s="13">
        <v>41562</v>
      </c>
      <c r="N1512" s="12" t="s">
        <v>7056</v>
      </c>
      <c r="O1512" s="12" t="s">
        <v>7057</v>
      </c>
      <c r="P1512" s="12"/>
      <c r="Q1512" s="12">
        <v>1</v>
      </c>
    </row>
    <row r="1513" spans="1:17" ht="15.75" customHeight="1">
      <c r="A1513" s="12">
        <v>33</v>
      </c>
      <c r="B1513" s="12">
        <v>454</v>
      </c>
      <c r="C1513" s="12">
        <v>6181</v>
      </c>
      <c r="D1513" s="12" t="s">
        <v>6047</v>
      </c>
      <c r="E1513" s="12" t="s">
        <v>11988</v>
      </c>
      <c r="F1513" s="12" t="s">
        <v>11989</v>
      </c>
      <c r="G1513" s="12" t="s">
        <v>11990</v>
      </c>
      <c r="H1513" s="12" t="s">
        <v>6137</v>
      </c>
      <c r="I1513" s="12" t="s">
        <v>6391</v>
      </c>
      <c r="J1513" s="12">
        <v>6181</v>
      </c>
      <c r="K1513" s="12" t="s">
        <v>9072</v>
      </c>
      <c r="L1513" s="12" t="s">
        <v>6590</v>
      </c>
      <c r="M1513" s="13">
        <v>45975</v>
      </c>
      <c r="N1513" s="12" t="s">
        <v>9073</v>
      </c>
      <c r="O1513" s="12" t="s">
        <v>9074</v>
      </c>
      <c r="P1513" s="12"/>
      <c r="Q1513" s="12">
        <v>1</v>
      </c>
    </row>
    <row r="1514" spans="1:17" ht="15.75" customHeight="1">
      <c r="A1514" s="12">
        <v>1212</v>
      </c>
      <c r="B1514" s="12">
        <v>1568</v>
      </c>
      <c r="C1514" s="12">
        <v>27576</v>
      </c>
      <c r="D1514" s="12" t="s">
        <v>6047</v>
      </c>
      <c r="E1514" s="12" t="s">
        <v>11991</v>
      </c>
      <c r="F1514" s="12" t="s">
        <v>11992</v>
      </c>
      <c r="G1514" s="12" t="s">
        <v>11993</v>
      </c>
      <c r="H1514" s="12" t="s">
        <v>6051</v>
      </c>
      <c r="I1514" s="12" t="s">
        <v>6704</v>
      </c>
      <c r="J1514" s="12">
        <v>27576</v>
      </c>
      <c r="K1514" s="12" t="s">
        <v>6429</v>
      </c>
      <c r="L1514" s="12" t="s">
        <v>6423</v>
      </c>
      <c r="M1514" s="13">
        <v>41991</v>
      </c>
      <c r="N1514" s="12" t="s">
        <v>6430</v>
      </c>
      <c r="O1514" s="12" t="s">
        <v>6431</v>
      </c>
      <c r="P1514" s="12"/>
      <c r="Q1514" s="12">
        <v>1</v>
      </c>
    </row>
    <row r="1515" spans="1:17" ht="15.75" customHeight="1">
      <c r="A1515" s="12">
        <v>1925</v>
      </c>
      <c r="B1515" s="12">
        <v>677</v>
      </c>
      <c r="C1515" s="12">
        <v>8164</v>
      </c>
      <c r="D1515" s="12" t="s">
        <v>6047</v>
      </c>
      <c r="E1515" s="12" t="s">
        <v>11994</v>
      </c>
      <c r="F1515" s="12" t="s">
        <v>11995</v>
      </c>
      <c r="G1515" s="12" t="s">
        <v>11996</v>
      </c>
      <c r="H1515" s="12" t="s">
        <v>6075</v>
      </c>
      <c r="I1515" s="12" t="s">
        <v>6076</v>
      </c>
      <c r="J1515" s="12">
        <v>8164</v>
      </c>
      <c r="K1515" s="12" t="s">
        <v>7476</v>
      </c>
      <c r="L1515" s="12" t="s">
        <v>7477</v>
      </c>
      <c r="M1515" s="13">
        <v>39237</v>
      </c>
      <c r="N1515" s="12" t="s">
        <v>7478</v>
      </c>
      <c r="O1515" s="12" t="s">
        <v>7479</v>
      </c>
      <c r="P1515" s="12"/>
      <c r="Q1515" s="12">
        <v>1</v>
      </c>
    </row>
    <row r="1516" spans="1:17" ht="15.75" customHeight="1">
      <c r="A1516" s="12">
        <v>75</v>
      </c>
      <c r="B1516" s="12">
        <v>201</v>
      </c>
      <c r="C1516" s="12">
        <v>3318</v>
      </c>
      <c r="D1516" s="12" t="s">
        <v>6047</v>
      </c>
      <c r="E1516" s="12" t="s">
        <v>11997</v>
      </c>
      <c r="F1516" s="12" t="s">
        <v>11998</v>
      </c>
      <c r="G1516" s="12" t="s">
        <v>11999</v>
      </c>
      <c r="H1516" s="12" t="s">
        <v>7069</v>
      </c>
      <c r="I1516" s="12" t="s">
        <v>7070</v>
      </c>
      <c r="J1516" s="12">
        <v>3318</v>
      </c>
      <c r="K1516" s="12" t="s">
        <v>7854</v>
      </c>
      <c r="L1516" s="12" t="s">
        <v>6564</v>
      </c>
      <c r="M1516" s="13">
        <v>45971</v>
      </c>
      <c r="N1516" s="12" t="s">
        <v>7855</v>
      </c>
      <c r="O1516" s="12" t="s">
        <v>7856</v>
      </c>
      <c r="P1516" s="12"/>
      <c r="Q1516" s="12">
        <v>1</v>
      </c>
    </row>
    <row r="1517" spans="1:17" ht="15.75" customHeight="1">
      <c r="A1517" s="12">
        <v>497</v>
      </c>
      <c r="B1517" s="12">
        <v>1990</v>
      </c>
      <c r="C1517" s="12">
        <v>35165</v>
      </c>
      <c r="D1517" s="12" t="s">
        <v>6047</v>
      </c>
      <c r="E1517" s="12" t="s">
        <v>12000</v>
      </c>
      <c r="F1517" s="12" t="s">
        <v>12001</v>
      </c>
      <c r="G1517" s="12" t="s">
        <v>12002</v>
      </c>
      <c r="H1517" s="12" t="s">
        <v>6051</v>
      </c>
      <c r="I1517" s="12" t="s">
        <v>6700</v>
      </c>
      <c r="J1517" s="12">
        <v>35165</v>
      </c>
      <c r="K1517" s="12" t="s">
        <v>8828</v>
      </c>
      <c r="L1517" s="12" t="s">
        <v>6054</v>
      </c>
      <c r="M1517" s="13">
        <v>43781</v>
      </c>
      <c r="N1517" s="12" t="s">
        <v>8829</v>
      </c>
      <c r="O1517" s="12" t="s">
        <v>8830</v>
      </c>
      <c r="P1517" s="12"/>
      <c r="Q1517" s="12">
        <v>1</v>
      </c>
    </row>
    <row r="1518" spans="1:17" ht="15.75" customHeight="1">
      <c r="A1518" s="12">
        <v>1269</v>
      </c>
      <c r="B1518" s="12">
        <v>270</v>
      </c>
      <c r="C1518" s="12">
        <v>4604</v>
      </c>
      <c r="D1518" s="12" t="s">
        <v>6047</v>
      </c>
      <c r="E1518" s="12" t="s">
        <v>12003</v>
      </c>
      <c r="F1518" s="12" t="s">
        <v>12004</v>
      </c>
      <c r="G1518" s="12" t="s">
        <v>12005</v>
      </c>
      <c r="H1518" s="12" t="s">
        <v>6163</v>
      </c>
      <c r="I1518" s="12" t="s">
        <v>6253</v>
      </c>
      <c r="J1518" s="12">
        <v>4604</v>
      </c>
      <c r="K1518" s="12" t="s">
        <v>6470</v>
      </c>
      <c r="L1518" s="12" t="s">
        <v>6423</v>
      </c>
      <c r="M1518" s="13">
        <v>41990</v>
      </c>
      <c r="N1518" s="12" t="s">
        <v>6471</v>
      </c>
      <c r="O1518" s="12" t="s">
        <v>6472</v>
      </c>
      <c r="P1518" s="12"/>
      <c r="Q1518" s="12">
        <v>1</v>
      </c>
    </row>
    <row r="1519" spans="1:17" ht="15.75" customHeight="1">
      <c r="A1519" s="12">
        <v>945</v>
      </c>
      <c r="B1519" s="12">
        <v>1835</v>
      </c>
      <c r="C1519" s="12">
        <v>33817</v>
      </c>
      <c r="D1519" s="12" t="s">
        <v>6047</v>
      </c>
      <c r="E1519" s="12" t="s">
        <v>12006</v>
      </c>
      <c r="F1519" s="12" t="s">
        <v>12007</v>
      </c>
      <c r="G1519" s="12" t="s">
        <v>12008</v>
      </c>
      <c r="H1519" s="12" t="s">
        <v>6051</v>
      </c>
      <c r="I1519" s="12" t="s">
        <v>6261</v>
      </c>
      <c r="J1519" s="12">
        <v>33817</v>
      </c>
      <c r="K1519" s="12" t="s">
        <v>7225</v>
      </c>
      <c r="L1519" s="12" t="s">
        <v>6054</v>
      </c>
      <c r="M1519" s="13">
        <v>42827</v>
      </c>
      <c r="N1519" s="12" t="s">
        <v>7226</v>
      </c>
      <c r="O1519" s="12" t="s">
        <v>7227</v>
      </c>
      <c r="P1519" s="12"/>
      <c r="Q1519" s="12">
        <v>1</v>
      </c>
    </row>
    <row r="1520" spans="1:17" ht="15.75" customHeight="1">
      <c r="A1520" s="12">
        <v>1148</v>
      </c>
      <c r="B1520" s="12">
        <v>434</v>
      </c>
      <c r="C1520" s="12">
        <v>6057</v>
      </c>
      <c r="D1520" s="12" t="s">
        <v>6047</v>
      </c>
      <c r="E1520" s="12" t="s">
        <v>4523</v>
      </c>
      <c r="F1520" s="12" t="s">
        <v>12009</v>
      </c>
      <c r="G1520" s="12" t="s">
        <v>12010</v>
      </c>
      <c r="H1520" s="12" t="s">
        <v>6137</v>
      </c>
      <c r="I1520" s="12" t="s">
        <v>6391</v>
      </c>
      <c r="J1520" s="12">
        <v>6057</v>
      </c>
      <c r="K1520" s="12" t="s">
        <v>6990</v>
      </c>
      <c r="L1520" s="12" t="s">
        <v>6393</v>
      </c>
      <c r="M1520" s="13">
        <v>42137</v>
      </c>
      <c r="N1520" s="12" t="s">
        <v>6991</v>
      </c>
      <c r="O1520" s="12" t="s">
        <v>6992</v>
      </c>
      <c r="P1520" s="12"/>
      <c r="Q1520" s="12">
        <v>1</v>
      </c>
    </row>
    <row r="1521" spans="1:17" ht="15.75" customHeight="1">
      <c r="A1521" s="12">
        <v>671</v>
      </c>
      <c r="B1521" s="12">
        <v>491</v>
      </c>
      <c r="C1521" s="12">
        <v>6519</v>
      </c>
      <c r="D1521" s="12" t="s">
        <v>6047</v>
      </c>
      <c r="E1521" s="12" t="s">
        <v>12011</v>
      </c>
      <c r="F1521" s="12" t="s">
        <v>12012</v>
      </c>
      <c r="G1521" s="12" t="s">
        <v>12013</v>
      </c>
      <c r="H1521" s="12" t="s">
        <v>6137</v>
      </c>
      <c r="I1521" s="12" t="s">
        <v>6200</v>
      </c>
      <c r="J1521" s="12">
        <v>6519</v>
      </c>
      <c r="K1521" s="12" t="s">
        <v>8149</v>
      </c>
      <c r="L1521" s="12" t="s">
        <v>6308</v>
      </c>
      <c r="M1521" s="13">
        <v>43391</v>
      </c>
      <c r="N1521" s="12" t="s">
        <v>8150</v>
      </c>
      <c r="O1521" s="12" t="s">
        <v>8151</v>
      </c>
      <c r="P1521" s="12"/>
      <c r="Q1521" s="12">
        <v>1</v>
      </c>
    </row>
    <row r="1522" spans="1:17" ht="15.75" customHeight="1">
      <c r="A1522" s="12">
        <v>1709</v>
      </c>
      <c r="B1522" s="12">
        <v>127</v>
      </c>
      <c r="C1522" s="12">
        <v>1999</v>
      </c>
      <c r="D1522" s="12" t="s">
        <v>6047</v>
      </c>
      <c r="E1522" s="12" t="s">
        <v>12014</v>
      </c>
      <c r="F1522" s="12" t="s">
        <v>12015</v>
      </c>
      <c r="G1522" s="12" t="s">
        <v>12016</v>
      </c>
      <c r="H1522" s="12" t="s">
        <v>6127</v>
      </c>
      <c r="I1522" s="12" t="s">
        <v>6128</v>
      </c>
      <c r="J1522" s="12">
        <v>1999</v>
      </c>
      <c r="K1522" s="12" t="s">
        <v>8598</v>
      </c>
      <c r="L1522" s="12" t="s">
        <v>7333</v>
      </c>
      <c r="M1522" s="13">
        <v>40878</v>
      </c>
      <c r="N1522" s="12" t="s">
        <v>8599</v>
      </c>
      <c r="O1522" s="12" t="s">
        <v>8600</v>
      </c>
      <c r="P1522" s="12"/>
      <c r="Q1522" s="12">
        <v>1</v>
      </c>
    </row>
    <row r="1523" spans="1:17" ht="15.75" customHeight="1">
      <c r="A1523" s="12">
        <v>644</v>
      </c>
      <c r="B1523" s="12">
        <v>749</v>
      </c>
      <c r="C1523" s="12">
        <v>9276</v>
      </c>
      <c r="D1523" s="12" t="s">
        <v>6047</v>
      </c>
      <c r="E1523" s="12" t="s">
        <v>12017</v>
      </c>
      <c r="F1523" s="12" t="s">
        <v>12018</v>
      </c>
      <c r="G1523" s="12" t="s">
        <v>12019</v>
      </c>
      <c r="H1523" s="12" t="s">
        <v>6275</v>
      </c>
      <c r="I1523" s="12" t="s">
        <v>6453</v>
      </c>
      <c r="J1523" s="12">
        <v>9276</v>
      </c>
      <c r="K1523" s="12" t="s">
        <v>6921</v>
      </c>
      <c r="L1523" s="12" t="s">
        <v>6193</v>
      </c>
      <c r="M1523" s="13">
        <v>43405</v>
      </c>
      <c r="N1523" s="12" t="s">
        <v>6922</v>
      </c>
      <c r="O1523" s="12" t="s">
        <v>6923</v>
      </c>
      <c r="P1523" s="12"/>
      <c r="Q1523" s="12">
        <v>1</v>
      </c>
    </row>
    <row r="1524" spans="1:17" ht="15.75" customHeight="1">
      <c r="A1524" s="12">
        <v>466</v>
      </c>
      <c r="B1524" s="12">
        <v>308</v>
      </c>
      <c r="C1524" s="12">
        <v>4905</v>
      </c>
      <c r="D1524" s="12" t="s">
        <v>6047</v>
      </c>
      <c r="E1524" s="12" t="s">
        <v>12020</v>
      </c>
      <c r="F1524" s="12" t="s">
        <v>12021</v>
      </c>
      <c r="G1524" s="12" t="s">
        <v>12022</v>
      </c>
      <c r="H1524" s="12" t="s">
        <v>6163</v>
      </c>
      <c r="I1524" s="12" t="s">
        <v>6253</v>
      </c>
      <c r="J1524" s="12">
        <v>4905</v>
      </c>
      <c r="K1524" s="12" t="s">
        <v>6945</v>
      </c>
      <c r="L1524" s="12" t="s">
        <v>6498</v>
      </c>
      <c r="M1524" s="13">
        <v>43788</v>
      </c>
      <c r="N1524" s="12" t="s">
        <v>6946</v>
      </c>
      <c r="O1524" s="12" t="s">
        <v>6947</v>
      </c>
      <c r="P1524" s="12"/>
      <c r="Q1524" s="12">
        <v>1</v>
      </c>
    </row>
    <row r="1525" spans="1:17" ht="15.75" customHeight="1">
      <c r="A1525" s="12">
        <v>1833</v>
      </c>
      <c r="B1525" s="12">
        <v>715</v>
      </c>
      <c r="C1525" s="12">
        <v>8501</v>
      </c>
      <c r="D1525" s="12" t="s">
        <v>6047</v>
      </c>
      <c r="E1525" s="12" t="s">
        <v>12023</v>
      </c>
      <c r="F1525" s="12" t="s">
        <v>12024</v>
      </c>
      <c r="G1525" s="12" t="s">
        <v>12025</v>
      </c>
      <c r="H1525" s="12" t="s">
        <v>6075</v>
      </c>
      <c r="I1525" s="12" t="s">
        <v>6076</v>
      </c>
      <c r="J1525" s="12">
        <v>8501</v>
      </c>
      <c r="K1525" s="12" t="s">
        <v>6062</v>
      </c>
      <c r="L1525" s="12" t="s">
        <v>6063</v>
      </c>
      <c r="M1525" s="13">
        <v>40873</v>
      </c>
      <c r="N1525" s="12" t="s">
        <v>6064</v>
      </c>
      <c r="O1525" s="12" t="s">
        <v>6065</v>
      </c>
      <c r="P1525" s="12"/>
      <c r="Q1525" s="12">
        <v>1</v>
      </c>
    </row>
    <row r="1526" spans="1:17" ht="15.75" customHeight="1">
      <c r="A1526" s="12">
        <v>729</v>
      </c>
      <c r="B1526" s="12">
        <v>206</v>
      </c>
      <c r="C1526" s="12">
        <v>3507</v>
      </c>
      <c r="D1526" s="12" t="s">
        <v>6047</v>
      </c>
      <c r="E1526" s="12" t="s">
        <v>12026</v>
      </c>
      <c r="F1526" s="12" t="s">
        <v>12027</v>
      </c>
      <c r="G1526" s="12" t="s">
        <v>12028</v>
      </c>
      <c r="H1526" s="12" t="s">
        <v>6718</v>
      </c>
      <c r="I1526" s="12" t="s">
        <v>6719</v>
      </c>
      <c r="J1526" s="12">
        <v>3507</v>
      </c>
      <c r="K1526" s="12" t="s">
        <v>6838</v>
      </c>
      <c r="L1526" s="12" t="s">
        <v>6839</v>
      </c>
      <c r="M1526" s="13">
        <v>43198</v>
      </c>
      <c r="N1526" s="12" t="s">
        <v>6840</v>
      </c>
      <c r="O1526" s="12" t="s">
        <v>12029</v>
      </c>
      <c r="P1526" s="12"/>
      <c r="Q1526" s="12">
        <v>1</v>
      </c>
    </row>
    <row r="1527" spans="1:17" ht="15.75" customHeight="1">
      <c r="A1527" s="12">
        <v>10</v>
      </c>
      <c r="B1527" s="12">
        <v>542</v>
      </c>
      <c r="C1527" s="12">
        <v>7214</v>
      </c>
      <c r="D1527" s="12" t="s">
        <v>6047</v>
      </c>
      <c r="E1527" s="12" t="s">
        <v>12030</v>
      </c>
      <c r="F1527" s="12" t="s">
        <v>12031</v>
      </c>
      <c r="G1527" s="12" t="s">
        <v>12032</v>
      </c>
      <c r="H1527" s="12" t="s">
        <v>7427</v>
      </c>
      <c r="I1527" s="12" t="s">
        <v>7428</v>
      </c>
      <c r="J1527" s="12">
        <v>7214</v>
      </c>
      <c r="K1527" s="12" t="s">
        <v>12033</v>
      </c>
      <c r="L1527" s="12" t="s">
        <v>6905</v>
      </c>
      <c r="M1527" s="13">
        <v>45980</v>
      </c>
      <c r="N1527" s="12" t="s">
        <v>12034</v>
      </c>
      <c r="O1527" s="12" t="s">
        <v>12035</v>
      </c>
      <c r="P1527" s="12"/>
      <c r="Q1527" s="12">
        <v>1</v>
      </c>
    </row>
    <row r="1528" spans="1:17" ht="15.75" customHeight="1">
      <c r="A1528" s="12">
        <v>999</v>
      </c>
      <c r="B1528" s="12">
        <v>223</v>
      </c>
      <c r="C1528" s="12">
        <v>3911</v>
      </c>
      <c r="D1528" s="12" t="s">
        <v>6047</v>
      </c>
      <c r="E1528" s="12" t="s">
        <v>12036</v>
      </c>
      <c r="F1528" s="12" t="s">
        <v>12037</v>
      </c>
      <c r="G1528" s="12" t="s">
        <v>12038</v>
      </c>
      <c r="H1528" s="12" t="s">
        <v>6163</v>
      </c>
      <c r="I1528" s="12" t="s">
        <v>6164</v>
      </c>
      <c r="J1528" s="12">
        <v>3911</v>
      </c>
      <c r="K1528" s="12" t="s">
        <v>7376</v>
      </c>
      <c r="L1528" s="12" t="s">
        <v>6054</v>
      </c>
      <c r="M1528" s="13">
        <v>42693</v>
      </c>
      <c r="N1528" s="12" t="s">
        <v>7377</v>
      </c>
      <c r="O1528" s="12" t="s">
        <v>9139</v>
      </c>
      <c r="P1528" s="12"/>
      <c r="Q1528" s="12">
        <v>1</v>
      </c>
    </row>
    <row r="1529" spans="1:17" ht="15.75" customHeight="1">
      <c r="A1529" s="12">
        <v>1936</v>
      </c>
      <c r="B1529" s="12">
        <v>1640</v>
      </c>
      <c r="C1529" s="12">
        <v>29640</v>
      </c>
      <c r="D1529" s="12" t="s">
        <v>6047</v>
      </c>
      <c r="E1529" s="12" t="s">
        <v>12039</v>
      </c>
      <c r="F1529" s="12" t="s">
        <v>12040</v>
      </c>
      <c r="G1529" s="12" t="s">
        <v>12041</v>
      </c>
      <c r="H1529" s="12" t="s">
        <v>6051</v>
      </c>
      <c r="I1529" s="12" t="s">
        <v>6111</v>
      </c>
      <c r="J1529" s="12">
        <v>29640</v>
      </c>
      <c r="K1529" s="12" t="s">
        <v>7276</v>
      </c>
      <c r="L1529" s="12" t="s">
        <v>7277</v>
      </c>
      <c r="M1529" s="13">
        <v>39234</v>
      </c>
      <c r="N1529" s="12" t="s">
        <v>7278</v>
      </c>
      <c r="O1529" s="12" t="s">
        <v>7279</v>
      </c>
      <c r="P1529" s="12"/>
      <c r="Q1529" s="12">
        <v>1</v>
      </c>
    </row>
    <row r="1530" spans="1:17" ht="15.75" customHeight="1">
      <c r="A1530" s="12">
        <v>92</v>
      </c>
      <c r="B1530" s="12">
        <v>1291</v>
      </c>
      <c r="C1530" s="12">
        <v>18257</v>
      </c>
      <c r="D1530" s="12" t="s">
        <v>6047</v>
      </c>
      <c r="E1530" s="12" t="s">
        <v>12042</v>
      </c>
      <c r="F1530" s="12" t="s">
        <v>12043</v>
      </c>
      <c r="G1530" s="12" t="s">
        <v>12044</v>
      </c>
      <c r="H1530" s="12" t="s">
        <v>6051</v>
      </c>
      <c r="I1530" s="12" t="s">
        <v>7763</v>
      </c>
      <c r="J1530" s="12">
        <v>18257</v>
      </c>
      <c r="K1530" s="12" t="s">
        <v>9191</v>
      </c>
      <c r="L1530" s="12" t="s">
        <v>6590</v>
      </c>
      <c r="M1530" s="13">
        <v>45968</v>
      </c>
      <c r="N1530" s="12" t="s">
        <v>9192</v>
      </c>
      <c r="O1530" s="12" t="s">
        <v>9193</v>
      </c>
      <c r="P1530" s="12"/>
      <c r="Q1530" s="12">
        <v>1</v>
      </c>
    </row>
    <row r="1531" spans="1:17" ht="15.75" customHeight="1">
      <c r="A1531" s="12">
        <v>230</v>
      </c>
      <c r="B1531" s="12">
        <v>1376</v>
      </c>
      <c r="C1531" s="12">
        <v>20000</v>
      </c>
      <c r="D1531" s="12" t="s">
        <v>6047</v>
      </c>
      <c r="E1531" s="12" t="s">
        <v>4545</v>
      </c>
      <c r="F1531" s="12" t="s">
        <v>12045</v>
      </c>
      <c r="G1531" s="12" t="s">
        <v>12046</v>
      </c>
      <c r="H1531" s="12" t="s">
        <v>6051</v>
      </c>
      <c r="I1531" s="12" t="s">
        <v>6523</v>
      </c>
      <c r="J1531" s="12">
        <v>20000</v>
      </c>
      <c r="K1531" s="12" t="s">
        <v>6517</v>
      </c>
      <c r="L1531" s="12" t="s">
        <v>6518</v>
      </c>
      <c r="M1531" s="13">
        <v>45608</v>
      </c>
      <c r="N1531" s="12" t="s">
        <v>6519</v>
      </c>
      <c r="O1531" s="12" t="s">
        <v>6520</v>
      </c>
      <c r="P1531" s="12"/>
      <c r="Q1531" s="12">
        <v>1</v>
      </c>
    </row>
    <row r="1532" spans="1:17" ht="15.75" customHeight="1">
      <c r="A1532" s="12">
        <v>1193</v>
      </c>
      <c r="B1532" s="12">
        <v>80</v>
      </c>
      <c r="C1532" s="12">
        <v>855</v>
      </c>
      <c r="D1532" s="12" t="s">
        <v>6047</v>
      </c>
      <c r="E1532" s="12" t="s">
        <v>12047</v>
      </c>
      <c r="F1532" s="12" t="s">
        <v>12048</v>
      </c>
      <c r="G1532" s="12" t="s">
        <v>12049</v>
      </c>
      <c r="H1532" s="12" t="s">
        <v>6435</v>
      </c>
      <c r="I1532" s="12" t="s">
        <v>6436</v>
      </c>
      <c r="J1532" s="12">
        <v>855</v>
      </c>
      <c r="K1532" s="12" t="s">
        <v>6429</v>
      </c>
      <c r="L1532" s="12" t="s">
        <v>6423</v>
      </c>
      <c r="M1532" s="13">
        <v>41992</v>
      </c>
      <c r="N1532" s="12" t="s">
        <v>6430</v>
      </c>
      <c r="O1532" s="12" t="s">
        <v>7083</v>
      </c>
      <c r="P1532" s="12"/>
      <c r="Q1532" s="12">
        <v>1</v>
      </c>
    </row>
    <row r="1533" spans="1:17" ht="15.75" customHeight="1">
      <c r="A1533" s="12">
        <v>159</v>
      </c>
      <c r="B1533" s="12">
        <v>1772</v>
      </c>
      <c r="C1533" s="12">
        <v>33034</v>
      </c>
      <c r="D1533" s="12" t="s">
        <v>6047</v>
      </c>
      <c r="E1533" s="12" t="s">
        <v>4555</v>
      </c>
      <c r="F1533" s="12" t="s">
        <v>12050</v>
      </c>
      <c r="G1533" s="12" t="s">
        <v>12051</v>
      </c>
      <c r="H1533" s="12" t="s">
        <v>6051</v>
      </c>
      <c r="I1533" s="12" t="s">
        <v>6374</v>
      </c>
      <c r="J1533" s="12">
        <v>33034</v>
      </c>
      <c r="K1533" s="12" t="s">
        <v>9466</v>
      </c>
      <c r="L1533" s="12" t="s">
        <v>6709</v>
      </c>
      <c r="M1533" s="13">
        <v>45754</v>
      </c>
      <c r="N1533" s="12" t="s">
        <v>9467</v>
      </c>
      <c r="O1533" s="12" t="s">
        <v>9468</v>
      </c>
      <c r="P1533" s="12"/>
      <c r="Q1533" s="12">
        <v>1</v>
      </c>
    </row>
    <row r="1534" spans="1:17" ht="15.75" customHeight="1">
      <c r="A1534" s="12">
        <v>570</v>
      </c>
      <c r="B1534" s="12">
        <v>1164</v>
      </c>
      <c r="C1534" s="12">
        <v>16721</v>
      </c>
      <c r="D1534" s="12" t="s">
        <v>6047</v>
      </c>
      <c r="E1534" s="12" t="s">
        <v>12052</v>
      </c>
      <c r="F1534" s="12" t="s">
        <v>12053</v>
      </c>
      <c r="G1534" s="12" t="s">
        <v>12054</v>
      </c>
      <c r="H1534" s="12" t="s">
        <v>6051</v>
      </c>
      <c r="I1534" s="12" t="s">
        <v>6052</v>
      </c>
      <c r="J1534" s="12">
        <v>16721</v>
      </c>
      <c r="K1534" s="12" t="s">
        <v>6407</v>
      </c>
      <c r="L1534" s="12" t="s">
        <v>6408</v>
      </c>
      <c r="M1534" s="13">
        <v>43561</v>
      </c>
      <c r="N1534" s="12" t="s">
        <v>6409</v>
      </c>
      <c r="O1534" s="12" t="s">
        <v>12055</v>
      </c>
      <c r="P1534" s="12"/>
      <c r="Q1534" s="12">
        <v>1</v>
      </c>
    </row>
    <row r="1535" spans="1:17" ht="15.75" customHeight="1">
      <c r="A1535" s="12">
        <v>889</v>
      </c>
      <c r="B1535" s="12">
        <v>483</v>
      </c>
      <c r="C1535" s="12">
        <v>6463</v>
      </c>
      <c r="D1535" s="12" t="s">
        <v>6047</v>
      </c>
      <c r="E1535" s="12" t="s">
        <v>4562</v>
      </c>
      <c r="F1535" s="12" t="s">
        <v>12056</v>
      </c>
      <c r="G1535" s="12" t="s">
        <v>12057</v>
      </c>
      <c r="H1535" s="12" t="s">
        <v>6137</v>
      </c>
      <c r="I1535" s="12" t="s">
        <v>6200</v>
      </c>
      <c r="J1535" s="12">
        <v>6463</v>
      </c>
      <c r="K1535" s="12" t="s">
        <v>6569</v>
      </c>
      <c r="L1535" s="12" t="s">
        <v>6564</v>
      </c>
      <c r="M1535" s="13">
        <v>43015</v>
      </c>
      <c r="N1535" s="12" t="s">
        <v>6570</v>
      </c>
      <c r="O1535" s="12" t="s">
        <v>6623</v>
      </c>
      <c r="P1535" s="12"/>
      <c r="Q1535" s="12">
        <v>1</v>
      </c>
    </row>
    <row r="1536" spans="1:17" ht="15.75" customHeight="1">
      <c r="A1536" s="12">
        <v>741</v>
      </c>
      <c r="B1536" s="12">
        <v>1947</v>
      </c>
      <c r="C1536" s="12">
        <v>34810</v>
      </c>
      <c r="D1536" s="12" t="s">
        <v>6047</v>
      </c>
      <c r="E1536" s="12" t="s">
        <v>12058</v>
      </c>
      <c r="F1536" s="12" t="s">
        <v>12059</v>
      </c>
      <c r="G1536" s="12" t="s">
        <v>12060</v>
      </c>
      <c r="H1536" s="12" t="s">
        <v>6051</v>
      </c>
      <c r="I1536" s="12" t="s">
        <v>6700</v>
      </c>
      <c r="J1536" s="12">
        <v>34810</v>
      </c>
      <c r="K1536" s="12" t="s">
        <v>6838</v>
      </c>
      <c r="L1536" s="12" t="s">
        <v>6839</v>
      </c>
      <c r="M1536" s="13">
        <v>43196</v>
      </c>
      <c r="N1536" s="12" t="s">
        <v>6840</v>
      </c>
      <c r="O1536" s="12" t="s">
        <v>7536</v>
      </c>
      <c r="P1536" s="12"/>
      <c r="Q1536" s="12">
        <v>1</v>
      </c>
    </row>
    <row r="1537" spans="1:17" ht="15.75" customHeight="1">
      <c r="A1537" s="12">
        <v>2021</v>
      </c>
      <c r="B1537" s="12">
        <v>1985</v>
      </c>
      <c r="C1537" s="12">
        <v>35130</v>
      </c>
      <c r="D1537" s="12" t="s">
        <v>6047</v>
      </c>
      <c r="E1537" s="12" t="s">
        <v>12061</v>
      </c>
      <c r="F1537" s="12" t="s">
        <v>12062</v>
      </c>
      <c r="G1537" s="12" t="s">
        <v>12063</v>
      </c>
      <c r="H1537" s="12" t="s">
        <v>6051</v>
      </c>
      <c r="I1537" s="12" t="s">
        <v>6700</v>
      </c>
      <c r="J1537" s="12">
        <v>35130</v>
      </c>
      <c r="K1537" s="12" t="s">
        <v>7483</v>
      </c>
      <c r="L1537" s="12" t="s">
        <v>7484</v>
      </c>
      <c r="M1537" s="13">
        <v>38178</v>
      </c>
      <c r="N1537" s="12" t="s">
        <v>7485</v>
      </c>
      <c r="O1537" s="12" t="s">
        <v>7486</v>
      </c>
      <c r="P1537" s="12"/>
      <c r="Q1537" s="12">
        <v>1</v>
      </c>
    </row>
    <row r="1538" spans="1:17" ht="15.75" customHeight="1">
      <c r="A1538" s="12">
        <v>816</v>
      </c>
      <c r="B1538" s="12">
        <v>1517</v>
      </c>
      <c r="C1538" s="12">
        <v>25769</v>
      </c>
      <c r="D1538" s="12" t="s">
        <v>6047</v>
      </c>
      <c r="E1538" s="12" t="s">
        <v>12064</v>
      </c>
      <c r="F1538" s="12" t="s">
        <v>12065</v>
      </c>
      <c r="G1538" s="12" t="s">
        <v>12066</v>
      </c>
      <c r="H1538" s="12" t="s">
        <v>6051</v>
      </c>
      <c r="I1538" s="12" t="s">
        <v>8043</v>
      </c>
      <c r="J1538" s="12">
        <v>25769</v>
      </c>
      <c r="K1538" s="12" t="s">
        <v>11051</v>
      </c>
      <c r="L1538" s="12" t="s">
        <v>6590</v>
      </c>
      <c r="M1538" s="13">
        <v>43027</v>
      </c>
      <c r="N1538" s="12" t="s">
        <v>11052</v>
      </c>
      <c r="O1538" s="12" t="s">
        <v>11053</v>
      </c>
      <c r="P1538" s="12"/>
      <c r="Q1538" s="12">
        <v>1</v>
      </c>
    </row>
    <row r="1539" spans="1:17" ht="15.75" customHeight="1">
      <c r="A1539" s="12">
        <v>512</v>
      </c>
      <c r="B1539" s="12">
        <v>527</v>
      </c>
      <c r="C1539" s="12">
        <v>6882</v>
      </c>
      <c r="D1539" s="12" t="s">
        <v>6047</v>
      </c>
      <c r="E1539" s="12" t="s">
        <v>4578</v>
      </c>
      <c r="F1539" s="12" t="s">
        <v>12067</v>
      </c>
      <c r="G1539" s="12" t="s">
        <v>12068</v>
      </c>
      <c r="H1539" s="12" t="s">
        <v>6582</v>
      </c>
      <c r="I1539" s="12" t="s">
        <v>6583</v>
      </c>
      <c r="J1539" s="12">
        <v>6882</v>
      </c>
      <c r="K1539" s="12" t="s">
        <v>6416</v>
      </c>
      <c r="L1539" s="12" t="s">
        <v>6417</v>
      </c>
      <c r="M1539" s="13">
        <v>43567</v>
      </c>
      <c r="N1539" s="12" t="s">
        <v>6418</v>
      </c>
      <c r="O1539" s="12" t="s">
        <v>6419</v>
      </c>
      <c r="P1539" s="12"/>
      <c r="Q1539" s="12">
        <v>1</v>
      </c>
    </row>
    <row r="1540" spans="1:17" ht="15.75" customHeight="1">
      <c r="A1540" s="12">
        <v>2003</v>
      </c>
      <c r="B1540" s="12">
        <v>778</v>
      </c>
      <c r="C1540" s="12">
        <v>9698</v>
      </c>
      <c r="D1540" s="12" t="s">
        <v>6047</v>
      </c>
      <c r="E1540" s="12" t="s">
        <v>12069</v>
      </c>
      <c r="F1540" s="12" t="s">
        <v>12070</v>
      </c>
      <c r="G1540" s="12" t="s">
        <v>12071</v>
      </c>
      <c r="H1540" s="12" t="s">
        <v>6118</v>
      </c>
      <c r="I1540" s="12" t="s">
        <v>6119</v>
      </c>
      <c r="J1540" s="12">
        <v>9698</v>
      </c>
      <c r="K1540" s="12" t="s">
        <v>6112</v>
      </c>
      <c r="L1540" s="12" t="s">
        <v>6113</v>
      </c>
      <c r="M1540" s="13">
        <v>38573</v>
      </c>
      <c r="N1540" s="12" t="s">
        <v>6114</v>
      </c>
      <c r="O1540" s="12" t="s">
        <v>6115</v>
      </c>
      <c r="P1540" s="12"/>
      <c r="Q1540" s="12">
        <v>1</v>
      </c>
    </row>
    <row r="1541" spans="1:17" ht="15.75" customHeight="1">
      <c r="A1541" s="12">
        <v>486</v>
      </c>
      <c r="B1541" s="12">
        <v>1082</v>
      </c>
      <c r="C1541" s="12">
        <v>15597</v>
      </c>
      <c r="D1541" s="12" t="s">
        <v>6047</v>
      </c>
      <c r="E1541" s="12" t="s">
        <v>12072</v>
      </c>
      <c r="F1541" s="12" t="s">
        <v>12073</v>
      </c>
      <c r="G1541" s="12" t="s">
        <v>12074</v>
      </c>
      <c r="H1541" s="12" t="s">
        <v>6051</v>
      </c>
      <c r="I1541" s="12" t="s">
        <v>6476</v>
      </c>
      <c r="J1541" s="12">
        <v>15597</v>
      </c>
      <c r="K1541" s="12" t="s">
        <v>7035</v>
      </c>
      <c r="L1541" s="12" t="s">
        <v>6455</v>
      </c>
      <c r="M1541" s="13">
        <v>43785</v>
      </c>
      <c r="N1541" s="12" t="s">
        <v>7036</v>
      </c>
      <c r="O1541" s="12" t="s">
        <v>7037</v>
      </c>
      <c r="P1541" s="12"/>
      <c r="Q1541" s="12">
        <v>1</v>
      </c>
    </row>
    <row r="1542" spans="1:17" ht="15.75" customHeight="1">
      <c r="A1542" s="12">
        <v>802</v>
      </c>
      <c r="B1542" s="12">
        <v>1264</v>
      </c>
      <c r="C1542" s="12">
        <v>17877</v>
      </c>
      <c r="D1542" s="12" t="s">
        <v>6047</v>
      </c>
      <c r="E1542" s="12" t="s">
        <v>12075</v>
      </c>
      <c r="F1542" s="12" t="s">
        <v>12076</v>
      </c>
      <c r="G1542" s="12" t="s">
        <v>12077</v>
      </c>
      <c r="H1542" s="12" t="s">
        <v>6051</v>
      </c>
      <c r="I1542" s="12" t="s">
        <v>6857</v>
      </c>
      <c r="J1542" s="12">
        <v>17877</v>
      </c>
      <c r="K1542" s="12" t="s">
        <v>10207</v>
      </c>
      <c r="L1542" s="12" t="s">
        <v>6590</v>
      </c>
      <c r="M1542" s="13">
        <v>43031</v>
      </c>
      <c r="N1542" s="12" t="s">
        <v>10208</v>
      </c>
      <c r="O1542" s="12" t="s">
        <v>12078</v>
      </c>
      <c r="P1542" s="12"/>
      <c r="Q1542" s="12">
        <v>1</v>
      </c>
    </row>
    <row r="1543" spans="1:17" ht="15.75" customHeight="1">
      <c r="A1543" s="12">
        <v>514</v>
      </c>
      <c r="B1543" s="12">
        <v>366</v>
      </c>
      <c r="C1543" s="12">
        <v>5506</v>
      </c>
      <c r="D1543" s="12" t="s">
        <v>6047</v>
      </c>
      <c r="E1543" s="12" t="s">
        <v>12079</v>
      </c>
      <c r="F1543" s="12" t="s">
        <v>12080</v>
      </c>
      <c r="G1543" s="12" t="s">
        <v>12081</v>
      </c>
      <c r="H1543" s="12" t="s">
        <v>6213</v>
      </c>
      <c r="I1543" s="12" t="s">
        <v>6214</v>
      </c>
      <c r="J1543" s="12">
        <v>5506</v>
      </c>
      <c r="K1543" s="12" t="s">
        <v>6416</v>
      </c>
      <c r="L1543" s="12" t="s">
        <v>6417</v>
      </c>
      <c r="M1543" s="13">
        <v>43567</v>
      </c>
      <c r="N1543" s="12" t="s">
        <v>6418</v>
      </c>
      <c r="O1543" s="12" t="s">
        <v>6419</v>
      </c>
      <c r="P1543" s="12"/>
      <c r="Q1543" s="12">
        <v>1</v>
      </c>
    </row>
    <row r="1544" spans="1:17" ht="15.75" customHeight="1">
      <c r="A1544" s="12">
        <v>538</v>
      </c>
      <c r="B1544" s="12">
        <v>2035</v>
      </c>
      <c r="C1544" s="12">
        <v>35846</v>
      </c>
      <c r="D1544" s="12" t="s">
        <v>6047</v>
      </c>
      <c r="E1544" s="12" t="s">
        <v>12082</v>
      </c>
      <c r="F1544" s="12" t="s">
        <v>12083</v>
      </c>
      <c r="G1544" s="12" t="s">
        <v>12084</v>
      </c>
      <c r="H1544" s="12" t="s">
        <v>6051</v>
      </c>
      <c r="I1544" s="12" t="s">
        <v>6700</v>
      </c>
      <c r="J1544" s="12">
        <v>35846</v>
      </c>
      <c r="K1544" s="12" t="s">
        <v>12085</v>
      </c>
      <c r="L1544" s="12" t="s">
        <v>6408</v>
      </c>
      <c r="M1544" s="13">
        <v>43564</v>
      </c>
      <c r="N1544" s="12" t="s">
        <v>12086</v>
      </c>
      <c r="O1544" s="12" t="s">
        <v>12087</v>
      </c>
      <c r="P1544" s="12"/>
      <c r="Q1544" s="12">
        <v>1</v>
      </c>
    </row>
    <row r="1545" spans="1:17" ht="15.75" customHeight="1">
      <c r="A1545" s="12">
        <v>1277</v>
      </c>
      <c r="B1545" s="12">
        <v>2019</v>
      </c>
      <c r="C1545" s="12">
        <v>35593</v>
      </c>
      <c r="D1545" s="12" t="s">
        <v>6047</v>
      </c>
      <c r="E1545" s="12" t="s">
        <v>12088</v>
      </c>
      <c r="F1545" s="12" t="s">
        <v>12089</v>
      </c>
      <c r="G1545" s="12" t="s">
        <v>12090</v>
      </c>
      <c r="H1545" s="12" t="s">
        <v>6051</v>
      </c>
      <c r="I1545" s="12" t="s">
        <v>6700</v>
      </c>
      <c r="J1545" s="12">
        <v>35593</v>
      </c>
      <c r="K1545" s="12" t="s">
        <v>6422</v>
      </c>
      <c r="L1545" s="12" t="s">
        <v>6423</v>
      </c>
      <c r="M1545" s="13">
        <v>41989</v>
      </c>
      <c r="N1545" s="12" t="s">
        <v>6424</v>
      </c>
      <c r="O1545" s="12" t="s">
        <v>6425</v>
      </c>
      <c r="P1545" s="12"/>
      <c r="Q1545" s="12">
        <v>1</v>
      </c>
    </row>
    <row r="1546" spans="1:17" ht="15.75" customHeight="1">
      <c r="A1546" s="12">
        <v>1229</v>
      </c>
      <c r="B1546" s="12">
        <v>1026</v>
      </c>
      <c r="C1546" s="12">
        <v>14352</v>
      </c>
      <c r="D1546" s="12" t="s">
        <v>6047</v>
      </c>
      <c r="E1546" s="12" t="s">
        <v>12091</v>
      </c>
      <c r="F1546" s="12" t="s">
        <v>12092</v>
      </c>
      <c r="G1546" s="12" t="s">
        <v>12093</v>
      </c>
      <c r="H1546" s="12" t="s">
        <v>6051</v>
      </c>
      <c r="I1546" s="12" t="s">
        <v>6881</v>
      </c>
      <c r="J1546" s="12">
        <v>14352</v>
      </c>
      <c r="K1546" s="12" t="s">
        <v>6429</v>
      </c>
      <c r="L1546" s="12" t="s">
        <v>6423</v>
      </c>
      <c r="M1546" s="13">
        <v>41991</v>
      </c>
      <c r="N1546" s="12" t="s">
        <v>6430</v>
      </c>
      <c r="O1546" s="12" t="s">
        <v>6431</v>
      </c>
      <c r="P1546" s="12"/>
      <c r="Q1546" s="12">
        <v>1</v>
      </c>
    </row>
    <row r="1547" spans="1:17" ht="15.75" customHeight="1">
      <c r="A1547" s="12">
        <v>1813</v>
      </c>
      <c r="B1547" s="12">
        <v>1142</v>
      </c>
      <c r="C1547" s="12">
        <v>16410</v>
      </c>
      <c r="D1547" s="12" t="s">
        <v>6047</v>
      </c>
      <c r="E1547" s="12" t="s">
        <v>12094</v>
      </c>
      <c r="F1547" s="12" t="s">
        <v>12095</v>
      </c>
      <c r="G1547" s="12" t="s">
        <v>12096</v>
      </c>
      <c r="H1547" s="12" t="s">
        <v>6051</v>
      </c>
      <c r="I1547" s="12" t="s">
        <v>6052</v>
      </c>
      <c r="J1547" s="12">
        <v>16410</v>
      </c>
      <c r="K1547" s="12" t="s">
        <v>6062</v>
      </c>
      <c r="L1547" s="12" t="s">
        <v>6063</v>
      </c>
      <c r="M1547" s="13">
        <v>40873</v>
      </c>
      <c r="N1547" s="12" t="s">
        <v>6064</v>
      </c>
      <c r="O1547" s="12" t="s">
        <v>6065</v>
      </c>
      <c r="P1547" s="12"/>
      <c r="Q1547" s="12">
        <v>1</v>
      </c>
    </row>
    <row r="1548" spans="1:17" ht="15.75" customHeight="1">
      <c r="A1548" s="12">
        <v>1179</v>
      </c>
      <c r="B1548" s="12">
        <v>1905</v>
      </c>
      <c r="C1548" s="12">
        <v>34360</v>
      </c>
      <c r="D1548" s="12" t="s">
        <v>6047</v>
      </c>
      <c r="E1548" s="12" t="s">
        <v>12097</v>
      </c>
      <c r="F1548" s="12" t="s">
        <v>12098</v>
      </c>
      <c r="G1548" s="12" t="s">
        <v>12099</v>
      </c>
      <c r="H1548" s="12" t="s">
        <v>6051</v>
      </c>
      <c r="I1548" s="12" t="s">
        <v>6362</v>
      </c>
      <c r="J1548" s="12">
        <v>34360</v>
      </c>
      <c r="K1548" s="12" t="s">
        <v>6429</v>
      </c>
      <c r="L1548" s="12" t="s">
        <v>6423</v>
      </c>
      <c r="M1548" s="13">
        <v>41992</v>
      </c>
      <c r="N1548" s="12" t="s">
        <v>6430</v>
      </c>
      <c r="O1548" s="12" t="s">
        <v>7083</v>
      </c>
      <c r="P1548" s="12"/>
      <c r="Q1548" s="12">
        <v>1</v>
      </c>
    </row>
    <row r="1549" spans="1:17" ht="15.75" customHeight="1">
      <c r="A1549" s="12">
        <v>327</v>
      </c>
      <c r="B1549" s="12">
        <v>999</v>
      </c>
      <c r="C1549" s="12">
        <v>13740</v>
      </c>
      <c r="D1549" s="12" t="s">
        <v>6047</v>
      </c>
      <c r="E1549" s="12" t="s">
        <v>12100</v>
      </c>
      <c r="F1549" s="12" t="s">
        <v>12101</v>
      </c>
      <c r="G1549" s="12" t="s">
        <v>12102</v>
      </c>
      <c r="H1549" s="12" t="s">
        <v>6051</v>
      </c>
      <c r="I1549" s="12" t="s">
        <v>6741</v>
      </c>
      <c r="J1549" s="12">
        <v>13740</v>
      </c>
      <c r="K1549" s="12" t="s">
        <v>7339</v>
      </c>
      <c r="L1549" s="12" t="s">
        <v>6732</v>
      </c>
      <c r="M1549" s="13">
        <v>44727</v>
      </c>
      <c r="N1549" s="12" t="s">
        <v>7340</v>
      </c>
      <c r="O1549" s="12" t="s">
        <v>7341</v>
      </c>
      <c r="P1549" s="12"/>
      <c r="Q1549" s="12">
        <v>1</v>
      </c>
    </row>
    <row r="1550" spans="1:17" ht="15.75" customHeight="1">
      <c r="A1550" s="12">
        <v>1323</v>
      </c>
      <c r="B1550" s="12">
        <v>605</v>
      </c>
      <c r="C1550" s="12">
        <v>7638</v>
      </c>
      <c r="D1550" s="12" t="s">
        <v>6047</v>
      </c>
      <c r="E1550" s="12" t="s">
        <v>12103</v>
      </c>
      <c r="F1550" s="12" t="s">
        <v>12104</v>
      </c>
      <c r="G1550" s="12" t="s">
        <v>12105</v>
      </c>
      <c r="H1550" s="12" t="s">
        <v>6187</v>
      </c>
      <c r="I1550" s="12" t="s">
        <v>6224</v>
      </c>
      <c r="J1550" s="12">
        <v>7638</v>
      </c>
      <c r="K1550" s="12" t="s">
        <v>6105</v>
      </c>
      <c r="L1550" s="12" t="s">
        <v>6106</v>
      </c>
      <c r="M1550" s="13">
        <v>41924</v>
      </c>
      <c r="N1550" s="12" t="s">
        <v>6107</v>
      </c>
      <c r="O1550" s="12" t="s">
        <v>7676</v>
      </c>
      <c r="P1550" s="12"/>
      <c r="Q1550" s="12">
        <v>1</v>
      </c>
    </row>
    <row r="1551" spans="1:17" ht="15.75" customHeight="1">
      <c r="A1551" s="12">
        <v>411</v>
      </c>
      <c r="B1551" s="12">
        <v>2004</v>
      </c>
      <c r="C1551" s="12">
        <v>35310</v>
      </c>
      <c r="D1551" s="12" t="s">
        <v>6047</v>
      </c>
      <c r="E1551" s="12" t="s">
        <v>12106</v>
      </c>
      <c r="F1551" s="12" t="s">
        <v>12107</v>
      </c>
      <c r="G1551" s="12" t="s">
        <v>12108</v>
      </c>
      <c r="H1551" s="12" t="s">
        <v>6051</v>
      </c>
      <c r="I1551" s="12" t="s">
        <v>6700</v>
      </c>
      <c r="J1551" s="12">
        <v>35310</v>
      </c>
      <c r="K1551" s="12" t="s">
        <v>7019</v>
      </c>
      <c r="L1551" s="12" t="s">
        <v>7020</v>
      </c>
      <c r="M1551" s="13">
        <v>44715</v>
      </c>
      <c r="N1551" s="12" t="s">
        <v>7021</v>
      </c>
      <c r="O1551" s="12" t="s">
        <v>7022</v>
      </c>
      <c r="P1551" s="12"/>
      <c r="Q1551" s="12">
        <v>1</v>
      </c>
    </row>
    <row r="1552" spans="1:17" ht="15.75" customHeight="1">
      <c r="A1552" s="12">
        <v>1291</v>
      </c>
      <c r="B1552" s="12">
        <v>1081</v>
      </c>
      <c r="C1552" s="12">
        <v>15592</v>
      </c>
      <c r="D1552" s="12" t="s">
        <v>6047</v>
      </c>
      <c r="E1552" s="12" t="s">
        <v>12109</v>
      </c>
      <c r="F1552" s="12" t="s">
        <v>12110</v>
      </c>
      <c r="G1552" s="12" t="s">
        <v>12111</v>
      </c>
      <c r="H1552" s="12" t="s">
        <v>6051</v>
      </c>
      <c r="I1552" s="12" t="s">
        <v>6476</v>
      </c>
      <c r="J1552" s="12">
        <v>15592</v>
      </c>
      <c r="K1552" s="12" t="s">
        <v>6422</v>
      </c>
      <c r="L1552" s="12" t="s">
        <v>6423</v>
      </c>
      <c r="M1552" s="13">
        <v>41989</v>
      </c>
      <c r="N1552" s="12" t="s">
        <v>6424</v>
      </c>
      <c r="O1552" s="12" t="s">
        <v>6425</v>
      </c>
      <c r="P1552" s="12"/>
      <c r="Q1552" s="12">
        <v>1</v>
      </c>
    </row>
    <row r="1553" spans="1:17" ht="15.75" customHeight="1">
      <c r="A1553" s="12">
        <v>340</v>
      </c>
      <c r="B1553" s="12">
        <v>1605</v>
      </c>
      <c r="C1553" s="12">
        <v>28274</v>
      </c>
      <c r="D1553" s="12" t="s">
        <v>6047</v>
      </c>
      <c r="E1553" s="12" t="s">
        <v>12112</v>
      </c>
      <c r="F1553" s="12" t="s">
        <v>12113</v>
      </c>
      <c r="G1553" s="12" t="s">
        <v>12114</v>
      </c>
      <c r="H1553" s="12" t="s">
        <v>6051</v>
      </c>
      <c r="I1553" s="12" t="s">
        <v>6366</v>
      </c>
      <c r="J1553" s="12">
        <v>28274</v>
      </c>
      <c r="K1553" s="12" t="s">
        <v>8519</v>
      </c>
      <c r="L1553" s="12" t="s">
        <v>6732</v>
      </c>
      <c r="M1553" s="13">
        <v>44726</v>
      </c>
      <c r="N1553" s="12" t="s">
        <v>8520</v>
      </c>
      <c r="O1553" s="12" t="s">
        <v>8521</v>
      </c>
      <c r="P1553" s="12"/>
      <c r="Q1553" s="12">
        <v>1</v>
      </c>
    </row>
    <row r="1554" spans="1:17" ht="15.75" customHeight="1">
      <c r="A1554" s="12">
        <v>720</v>
      </c>
      <c r="B1554" s="12">
        <v>1130</v>
      </c>
      <c r="C1554" s="12">
        <v>16240</v>
      </c>
      <c r="D1554" s="12" t="s">
        <v>6047</v>
      </c>
      <c r="E1554" s="12" t="s">
        <v>12115</v>
      </c>
      <c r="F1554" s="12" t="s">
        <v>12116</v>
      </c>
      <c r="G1554" s="12" t="s">
        <v>12117</v>
      </c>
      <c r="H1554" s="12" t="s">
        <v>6051</v>
      </c>
      <c r="I1554" s="12" t="s">
        <v>6052</v>
      </c>
      <c r="J1554" s="12">
        <v>16240</v>
      </c>
      <c r="K1554" s="12" t="s">
        <v>8856</v>
      </c>
      <c r="L1554" s="12" t="s">
        <v>8857</v>
      </c>
      <c r="M1554" s="13">
        <v>43200</v>
      </c>
      <c r="N1554" s="12" t="s">
        <v>8858</v>
      </c>
      <c r="O1554" s="12" t="s">
        <v>8859</v>
      </c>
      <c r="P1554" s="12"/>
      <c r="Q1554" s="12">
        <v>1</v>
      </c>
    </row>
    <row r="1555" spans="1:17" ht="15.75" customHeight="1">
      <c r="A1555" s="12">
        <v>535</v>
      </c>
      <c r="B1555" s="12">
        <v>1326</v>
      </c>
      <c r="C1555" s="12">
        <v>19116</v>
      </c>
      <c r="D1555" s="12" t="s">
        <v>6047</v>
      </c>
      <c r="E1555" s="12" t="s">
        <v>12118</v>
      </c>
      <c r="F1555" s="12" t="s">
        <v>12119</v>
      </c>
      <c r="G1555" s="12" t="s">
        <v>12120</v>
      </c>
      <c r="H1555" s="12" t="s">
        <v>6051</v>
      </c>
      <c r="I1555" s="12" t="s">
        <v>7090</v>
      </c>
      <c r="J1555" s="12">
        <v>19116</v>
      </c>
      <c r="K1555" s="12" t="s">
        <v>7133</v>
      </c>
      <c r="L1555" s="12" t="s">
        <v>6408</v>
      </c>
      <c r="M1555" s="13">
        <v>43564</v>
      </c>
      <c r="N1555" s="12" t="s">
        <v>7134</v>
      </c>
      <c r="O1555" s="12" t="s">
        <v>12121</v>
      </c>
      <c r="P1555" s="12"/>
      <c r="Q1555" s="12">
        <v>1</v>
      </c>
    </row>
    <row r="1556" spans="1:17" ht="15.75" customHeight="1">
      <c r="A1556" s="12">
        <v>1715</v>
      </c>
      <c r="B1556" s="12">
        <v>757</v>
      </c>
      <c r="C1556" s="12">
        <v>9522</v>
      </c>
      <c r="D1556" s="12" t="s">
        <v>6047</v>
      </c>
      <c r="E1556" s="12" t="s">
        <v>12122</v>
      </c>
      <c r="F1556" s="12" t="s">
        <v>12123</v>
      </c>
      <c r="G1556" s="12" t="s">
        <v>12124</v>
      </c>
      <c r="H1556" s="12" t="s">
        <v>7330</v>
      </c>
      <c r="I1556" s="12" t="s">
        <v>7331</v>
      </c>
      <c r="J1556" s="12">
        <v>9522</v>
      </c>
      <c r="K1556" s="12" t="s">
        <v>7332</v>
      </c>
      <c r="L1556" s="12" t="s">
        <v>7333</v>
      </c>
      <c r="M1556" s="13">
        <v>40877</v>
      </c>
      <c r="N1556" s="12" t="s">
        <v>7334</v>
      </c>
      <c r="O1556" s="12" t="s">
        <v>7335</v>
      </c>
      <c r="P1556" s="12"/>
      <c r="Q1556" s="12">
        <v>1</v>
      </c>
    </row>
    <row r="1557" spans="1:17" ht="15.75" customHeight="1">
      <c r="A1557" s="12">
        <v>139</v>
      </c>
      <c r="B1557" s="12">
        <v>1305</v>
      </c>
      <c r="C1557" s="12">
        <v>18411</v>
      </c>
      <c r="D1557" s="12" t="s">
        <v>6047</v>
      </c>
      <c r="E1557" s="12" t="s">
        <v>4604</v>
      </c>
      <c r="F1557" s="12" t="s">
        <v>12125</v>
      </c>
      <c r="G1557" s="12" t="s">
        <v>12126</v>
      </c>
      <c r="H1557" s="12" t="s">
        <v>6051</v>
      </c>
      <c r="I1557" s="12" t="s">
        <v>7763</v>
      </c>
      <c r="J1557" s="12">
        <v>18411</v>
      </c>
      <c r="K1557" s="12" t="s">
        <v>6612</v>
      </c>
      <c r="L1557" s="12" t="s">
        <v>6511</v>
      </c>
      <c r="M1557" s="13">
        <v>45964</v>
      </c>
      <c r="N1557" s="12" t="s">
        <v>6613</v>
      </c>
      <c r="O1557" s="12" t="s">
        <v>6614</v>
      </c>
      <c r="P1557" s="12"/>
      <c r="Q1557" s="12">
        <v>1</v>
      </c>
    </row>
    <row r="1558" spans="1:17" ht="15.75" customHeight="1">
      <c r="A1558" s="12">
        <v>153</v>
      </c>
      <c r="B1558" s="12">
        <v>1173</v>
      </c>
      <c r="C1558" s="12">
        <v>16836</v>
      </c>
      <c r="D1558" s="12" t="s">
        <v>6047</v>
      </c>
      <c r="E1558" s="12" t="s">
        <v>12127</v>
      </c>
      <c r="F1558" s="12" t="s">
        <v>12128</v>
      </c>
      <c r="G1558" s="12" t="s">
        <v>12129</v>
      </c>
      <c r="H1558" s="12" t="s">
        <v>6051</v>
      </c>
      <c r="I1558" s="12" t="s">
        <v>6052</v>
      </c>
      <c r="J1558" s="12">
        <v>16836</v>
      </c>
      <c r="K1558" s="12" t="s">
        <v>6759</v>
      </c>
      <c r="L1558" s="12" t="s">
        <v>6760</v>
      </c>
      <c r="M1558" s="13">
        <v>45756</v>
      </c>
      <c r="N1558" s="12" t="s">
        <v>6761</v>
      </c>
      <c r="O1558" s="12" t="s">
        <v>6762</v>
      </c>
      <c r="P1558" s="12"/>
      <c r="Q1558" s="12">
        <v>1</v>
      </c>
    </row>
    <row r="1559" spans="1:17" ht="15.75" customHeight="1">
      <c r="A1559" s="12">
        <v>1173</v>
      </c>
      <c r="B1559" s="12">
        <v>1180</v>
      </c>
      <c r="C1559" s="12">
        <v>16896</v>
      </c>
      <c r="D1559" s="12" t="s">
        <v>6047</v>
      </c>
      <c r="E1559" s="12" t="s">
        <v>12130</v>
      </c>
      <c r="F1559" s="12" t="s">
        <v>12131</v>
      </c>
      <c r="G1559" s="12" t="s">
        <v>12132</v>
      </c>
      <c r="H1559" s="12" t="s">
        <v>6051</v>
      </c>
      <c r="I1559" s="12" t="s">
        <v>6052</v>
      </c>
      <c r="J1559" s="12">
        <v>16896</v>
      </c>
      <c r="K1559" s="12" t="s">
        <v>6429</v>
      </c>
      <c r="L1559" s="12" t="s">
        <v>6423</v>
      </c>
      <c r="M1559" s="13">
        <v>41993</v>
      </c>
      <c r="N1559" s="12" t="s">
        <v>6430</v>
      </c>
      <c r="O1559" s="12" t="s">
        <v>6714</v>
      </c>
      <c r="P1559" s="12"/>
      <c r="Q1559" s="12">
        <v>1</v>
      </c>
    </row>
    <row r="1560" spans="1:17" ht="15.75" customHeight="1">
      <c r="A1560" s="12">
        <v>471</v>
      </c>
      <c r="B1560" s="12">
        <v>1201</v>
      </c>
      <c r="C1560" s="12">
        <v>17152</v>
      </c>
      <c r="D1560" s="12" t="s">
        <v>6047</v>
      </c>
      <c r="E1560" s="12" t="s">
        <v>12133</v>
      </c>
      <c r="F1560" s="12" t="s">
        <v>12134</v>
      </c>
      <c r="G1560" s="12" t="s">
        <v>12135</v>
      </c>
      <c r="H1560" s="12" t="s">
        <v>6051</v>
      </c>
      <c r="I1560" s="12" t="s">
        <v>6052</v>
      </c>
      <c r="J1560" s="12">
        <v>17152</v>
      </c>
      <c r="K1560" s="12" t="s">
        <v>6454</v>
      </c>
      <c r="L1560" s="12" t="s">
        <v>6455</v>
      </c>
      <c r="M1560" s="13">
        <v>43786</v>
      </c>
      <c r="N1560" s="12" t="s">
        <v>6456</v>
      </c>
      <c r="O1560" s="12" t="s">
        <v>6457</v>
      </c>
      <c r="P1560" s="12"/>
      <c r="Q1560" s="12">
        <v>1</v>
      </c>
    </row>
    <row r="1561" spans="1:17" ht="15.75" customHeight="1">
      <c r="A1561" s="12">
        <v>1706</v>
      </c>
      <c r="B1561" s="12">
        <v>879</v>
      </c>
      <c r="C1561" s="12">
        <v>11455</v>
      </c>
      <c r="D1561" s="12" t="s">
        <v>6047</v>
      </c>
      <c r="E1561" s="12" t="s">
        <v>12136</v>
      </c>
      <c r="F1561" s="12" t="s">
        <v>12137</v>
      </c>
      <c r="G1561" s="12" t="s">
        <v>12138</v>
      </c>
      <c r="H1561" s="12" t="s">
        <v>6060</v>
      </c>
      <c r="I1561" s="12" t="s">
        <v>6061</v>
      </c>
      <c r="J1561" s="12">
        <v>11455</v>
      </c>
      <c r="K1561" s="12" t="s">
        <v>8598</v>
      </c>
      <c r="L1561" s="12" t="s">
        <v>7333</v>
      </c>
      <c r="M1561" s="13">
        <v>40878</v>
      </c>
      <c r="N1561" s="12" t="s">
        <v>8599</v>
      </c>
      <c r="O1561" s="12" t="s">
        <v>8600</v>
      </c>
      <c r="P1561" s="12"/>
      <c r="Q1561" s="12">
        <v>1</v>
      </c>
    </row>
    <row r="1562" spans="1:17" ht="15.75" customHeight="1">
      <c r="A1562" s="12">
        <v>1304</v>
      </c>
      <c r="B1562" s="12">
        <v>176</v>
      </c>
      <c r="C1562" s="12">
        <v>3026</v>
      </c>
      <c r="D1562" s="12" t="s">
        <v>6047</v>
      </c>
      <c r="E1562" s="12" t="s">
        <v>12139</v>
      </c>
      <c r="F1562" s="12" t="s">
        <v>12140</v>
      </c>
      <c r="G1562" s="12" t="s">
        <v>12141</v>
      </c>
      <c r="H1562" s="12" t="s">
        <v>7069</v>
      </c>
      <c r="I1562" s="12" t="s">
        <v>7070</v>
      </c>
      <c r="J1562" s="12">
        <v>3026</v>
      </c>
      <c r="K1562" s="12" t="s">
        <v>6422</v>
      </c>
      <c r="L1562" s="12" t="s">
        <v>6423</v>
      </c>
      <c r="M1562" s="13">
        <v>41989</v>
      </c>
      <c r="N1562" s="12" t="s">
        <v>6424</v>
      </c>
      <c r="O1562" s="12" t="s">
        <v>6425</v>
      </c>
      <c r="P1562" s="12"/>
      <c r="Q1562" s="12">
        <v>1</v>
      </c>
    </row>
    <row r="1563" spans="1:17" ht="15.75" customHeight="1">
      <c r="A1563" s="12">
        <v>1749</v>
      </c>
      <c r="B1563" s="12">
        <v>698</v>
      </c>
      <c r="C1563" s="12">
        <v>8403</v>
      </c>
      <c r="D1563" s="12" t="s">
        <v>6047</v>
      </c>
      <c r="E1563" s="12" t="s">
        <v>12142</v>
      </c>
      <c r="F1563" s="12" t="s">
        <v>12143</v>
      </c>
      <c r="G1563" s="12" t="s">
        <v>12144</v>
      </c>
      <c r="H1563" s="12" t="s">
        <v>6075</v>
      </c>
      <c r="I1563" s="12" t="s">
        <v>6076</v>
      </c>
      <c r="J1563" s="12">
        <v>8403</v>
      </c>
      <c r="K1563" s="12" t="s">
        <v>6480</v>
      </c>
      <c r="L1563" s="12" t="s">
        <v>6063</v>
      </c>
      <c r="M1563" s="13">
        <v>40874</v>
      </c>
      <c r="N1563" s="12" t="s">
        <v>6481</v>
      </c>
      <c r="O1563" s="12" t="s">
        <v>6482</v>
      </c>
      <c r="P1563" s="12"/>
      <c r="Q1563" s="12">
        <v>1</v>
      </c>
    </row>
    <row r="1564" spans="1:17" ht="15.75" customHeight="1">
      <c r="A1564" s="12">
        <v>1526</v>
      </c>
      <c r="B1564" s="12">
        <v>1753</v>
      </c>
      <c r="C1564" s="12">
        <v>32674</v>
      </c>
      <c r="D1564" s="12" t="s">
        <v>6047</v>
      </c>
      <c r="E1564" s="12" t="s">
        <v>12145</v>
      </c>
      <c r="F1564" s="12" t="s">
        <v>12146</v>
      </c>
      <c r="G1564" s="12" t="s">
        <v>12147</v>
      </c>
      <c r="H1564" s="12" t="s">
        <v>6051</v>
      </c>
      <c r="I1564" s="12" t="s">
        <v>9972</v>
      </c>
      <c r="J1564" s="12">
        <v>32674</v>
      </c>
      <c r="K1564" s="12" t="s">
        <v>12148</v>
      </c>
      <c r="L1564" s="12" t="s">
        <v>6240</v>
      </c>
      <c r="M1564" s="13">
        <v>41686</v>
      </c>
      <c r="N1564" s="12" t="s">
        <v>12149</v>
      </c>
      <c r="O1564" s="12" t="s">
        <v>12150</v>
      </c>
      <c r="P1564" s="12"/>
      <c r="Q1564" s="12">
        <v>1</v>
      </c>
    </row>
    <row r="1565" spans="1:17" ht="15.75" customHeight="1">
      <c r="A1565" s="12">
        <v>1629</v>
      </c>
      <c r="B1565" s="12">
        <v>10</v>
      </c>
      <c r="C1565" s="12">
        <v>267</v>
      </c>
      <c r="D1565" s="12" t="s">
        <v>6047</v>
      </c>
      <c r="E1565" s="12" t="s">
        <v>12151</v>
      </c>
      <c r="F1565" s="12" t="s">
        <v>12152</v>
      </c>
      <c r="G1565" s="12" t="s">
        <v>12153</v>
      </c>
      <c r="H1565" s="12" t="s">
        <v>6289</v>
      </c>
      <c r="I1565" s="12" t="s">
        <v>6290</v>
      </c>
      <c r="J1565" s="12">
        <v>267</v>
      </c>
      <c r="K1565" s="12" t="s">
        <v>6283</v>
      </c>
      <c r="L1565" s="12" t="s">
        <v>6284</v>
      </c>
      <c r="M1565" s="13">
        <v>41369</v>
      </c>
      <c r="N1565" s="12" t="s">
        <v>6285</v>
      </c>
      <c r="O1565" s="12" t="s">
        <v>6286</v>
      </c>
      <c r="P1565" s="12"/>
      <c r="Q1565" s="12">
        <v>1</v>
      </c>
    </row>
    <row r="1566" spans="1:17" ht="15.75" customHeight="1">
      <c r="A1566" s="12">
        <v>388</v>
      </c>
      <c r="B1566" s="12">
        <v>321</v>
      </c>
      <c r="C1566" s="12">
        <v>5005</v>
      </c>
      <c r="D1566" s="12" t="s">
        <v>6047</v>
      </c>
      <c r="E1566" s="12" t="s">
        <v>12154</v>
      </c>
      <c r="F1566" s="12" t="s">
        <v>12155</v>
      </c>
      <c r="G1566" s="12" t="s">
        <v>12156</v>
      </c>
      <c r="H1566" s="12" t="s">
        <v>6163</v>
      </c>
      <c r="I1566" s="12" t="s">
        <v>6253</v>
      </c>
      <c r="J1566" s="12">
        <v>5005</v>
      </c>
      <c r="K1566" s="12" t="s">
        <v>8698</v>
      </c>
      <c r="L1566" s="12" t="s">
        <v>7311</v>
      </c>
      <c r="M1566" s="13">
        <v>44717</v>
      </c>
      <c r="N1566" s="12" t="s">
        <v>8699</v>
      </c>
      <c r="O1566" s="12" t="s">
        <v>12157</v>
      </c>
      <c r="P1566" s="12"/>
      <c r="Q1566" s="12">
        <v>1</v>
      </c>
    </row>
    <row r="1567" spans="1:17" ht="15.75" customHeight="1">
      <c r="A1567" s="12">
        <v>374</v>
      </c>
      <c r="B1567" s="12">
        <v>1109</v>
      </c>
      <c r="C1567" s="12">
        <v>15951</v>
      </c>
      <c r="D1567" s="12" t="s">
        <v>6047</v>
      </c>
      <c r="E1567" s="12" t="s">
        <v>12158</v>
      </c>
      <c r="F1567" s="12" t="s">
        <v>12159</v>
      </c>
      <c r="G1567" s="12" t="s">
        <v>12160</v>
      </c>
      <c r="H1567" s="12" t="s">
        <v>6051</v>
      </c>
      <c r="I1567" s="12" t="s">
        <v>6406</v>
      </c>
      <c r="J1567" s="12">
        <v>15951</v>
      </c>
      <c r="K1567" s="12" t="s">
        <v>8167</v>
      </c>
      <c r="L1567" s="12" t="s">
        <v>7983</v>
      </c>
      <c r="M1567" s="13">
        <v>44720</v>
      </c>
      <c r="N1567" s="12" t="s">
        <v>8168</v>
      </c>
      <c r="O1567" s="12" t="s">
        <v>8573</v>
      </c>
      <c r="P1567" s="12"/>
      <c r="Q1567" s="12">
        <v>1</v>
      </c>
    </row>
    <row r="1568" spans="1:17" ht="15.75" customHeight="1">
      <c r="A1568" s="12">
        <v>1888</v>
      </c>
      <c r="B1568" s="12">
        <v>607</v>
      </c>
      <c r="C1568" s="12">
        <v>7645</v>
      </c>
      <c r="D1568" s="12" t="s">
        <v>6047</v>
      </c>
      <c r="E1568" s="12" t="s">
        <v>12161</v>
      </c>
      <c r="F1568" s="12" t="s">
        <v>12162</v>
      </c>
      <c r="G1568" s="12" t="s">
        <v>12163</v>
      </c>
      <c r="H1568" s="12" t="s">
        <v>6187</v>
      </c>
      <c r="I1568" s="12" t="s">
        <v>6224</v>
      </c>
      <c r="J1568" s="12">
        <v>7645</v>
      </c>
      <c r="K1568" s="12" t="s">
        <v>7357</v>
      </c>
      <c r="L1568" s="12" t="s">
        <v>6709</v>
      </c>
      <c r="M1568" s="13">
        <v>40174</v>
      </c>
      <c r="N1568" s="12" t="s">
        <v>7358</v>
      </c>
      <c r="O1568" s="12" t="s">
        <v>7359</v>
      </c>
      <c r="P1568" s="12"/>
      <c r="Q1568" s="12">
        <v>1</v>
      </c>
    </row>
    <row r="1569" spans="1:17" ht="15.75" customHeight="1">
      <c r="A1569" s="12">
        <v>1528</v>
      </c>
      <c r="B1569" s="12">
        <v>732</v>
      </c>
      <c r="C1569" s="12">
        <v>8909</v>
      </c>
      <c r="D1569" s="12" t="s">
        <v>6047</v>
      </c>
      <c r="E1569" s="12" t="s">
        <v>12164</v>
      </c>
      <c r="F1569" s="12" t="s">
        <v>12165</v>
      </c>
      <c r="G1569" s="12" t="s">
        <v>12166</v>
      </c>
      <c r="H1569" s="12" t="s">
        <v>6275</v>
      </c>
      <c r="I1569" s="12" t="s">
        <v>6453</v>
      </c>
      <c r="J1569" s="12">
        <v>8909</v>
      </c>
      <c r="K1569" s="12" t="s">
        <v>12167</v>
      </c>
      <c r="L1569" s="12" t="s">
        <v>6240</v>
      </c>
      <c r="M1569" s="13">
        <v>41632</v>
      </c>
      <c r="N1569" s="12" t="s">
        <v>12168</v>
      </c>
      <c r="O1569" s="12" t="s">
        <v>12169</v>
      </c>
      <c r="P1569" s="12"/>
      <c r="Q1569" s="12">
        <v>1</v>
      </c>
    </row>
    <row r="1570" spans="1:17" ht="15.75" customHeight="1">
      <c r="A1570" s="12">
        <v>1568</v>
      </c>
      <c r="B1570" s="12">
        <v>418</v>
      </c>
      <c r="C1570" s="12">
        <v>5941</v>
      </c>
      <c r="D1570" s="12" t="s">
        <v>6047</v>
      </c>
      <c r="E1570" s="12" t="s">
        <v>12170</v>
      </c>
      <c r="F1570" s="12" t="s">
        <v>12171</v>
      </c>
      <c r="G1570" s="12" t="s">
        <v>12172</v>
      </c>
      <c r="H1570" s="12" t="s">
        <v>6137</v>
      </c>
      <c r="I1570" s="12" t="s">
        <v>6323</v>
      </c>
      <c r="J1570" s="12">
        <v>5941</v>
      </c>
      <c r="K1570" s="12" t="s">
        <v>9859</v>
      </c>
      <c r="L1570" s="12" t="s">
        <v>6255</v>
      </c>
      <c r="M1570" s="13">
        <v>41561</v>
      </c>
      <c r="N1570" s="12" t="s">
        <v>9860</v>
      </c>
      <c r="O1570" s="12" t="s">
        <v>9861</v>
      </c>
      <c r="P1570" s="12"/>
      <c r="Q1570" s="12">
        <v>1</v>
      </c>
    </row>
    <row r="1571" spans="1:17" ht="15.75" customHeight="1">
      <c r="A1571" s="12">
        <v>1103</v>
      </c>
      <c r="B1571" s="12">
        <v>328</v>
      </c>
      <c r="C1571" s="12">
        <v>5071</v>
      </c>
      <c r="D1571" s="12" t="s">
        <v>6047</v>
      </c>
      <c r="E1571" s="12" t="s">
        <v>4669</v>
      </c>
      <c r="F1571" s="12" t="s">
        <v>12173</v>
      </c>
      <c r="G1571" s="12" t="s">
        <v>12174</v>
      </c>
      <c r="H1571" s="12" t="s">
        <v>6163</v>
      </c>
      <c r="I1571" s="12" t="s">
        <v>6253</v>
      </c>
      <c r="J1571" s="12">
        <v>5071</v>
      </c>
      <c r="K1571" s="12" t="s">
        <v>8161</v>
      </c>
      <c r="L1571" s="12" t="s">
        <v>6054</v>
      </c>
      <c r="M1571" s="13">
        <v>42684</v>
      </c>
      <c r="N1571" s="12" t="s">
        <v>8162</v>
      </c>
      <c r="O1571" s="12" t="s">
        <v>8163</v>
      </c>
      <c r="P1571" s="12"/>
      <c r="Q1571" s="12">
        <v>1</v>
      </c>
    </row>
    <row r="1572" spans="1:17" ht="15.75" customHeight="1">
      <c r="A1572" s="12">
        <v>1806</v>
      </c>
      <c r="B1572" s="12">
        <v>1225</v>
      </c>
      <c r="C1572" s="12">
        <v>17392</v>
      </c>
      <c r="D1572" s="12" t="s">
        <v>6047</v>
      </c>
      <c r="E1572" s="12" t="s">
        <v>12175</v>
      </c>
      <c r="F1572" s="12" t="s">
        <v>12176</v>
      </c>
      <c r="G1572" s="12" t="s">
        <v>12177</v>
      </c>
      <c r="H1572" s="12" t="s">
        <v>6051</v>
      </c>
      <c r="I1572" s="12" t="s">
        <v>6052</v>
      </c>
      <c r="J1572" s="12">
        <v>17392</v>
      </c>
      <c r="K1572" s="12" t="s">
        <v>6062</v>
      </c>
      <c r="L1572" s="12" t="s">
        <v>6063</v>
      </c>
      <c r="M1572" s="13">
        <v>40873</v>
      </c>
      <c r="N1572" s="12" t="s">
        <v>6064</v>
      </c>
      <c r="O1572" s="12" t="s">
        <v>6065</v>
      </c>
      <c r="P1572" s="12"/>
      <c r="Q1572" s="12">
        <v>1</v>
      </c>
    </row>
    <row r="1573" spans="1:17" ht="15.75" customHeight="1">
      <c r="A1573" s="12">
        <v>1506</v>
      </c>
      <c r="B1573" s="12">
        <v>443</v>
      </c>
      <c r="C1573" s="12">
        <v>6129</v>
      </c>
      <c r="D1573" s="12" t="s">
        <v>6047</v>
      </c>
      <c r="E1573" s="12" t="s">
        <v>12178</v>
      </c>
      <c r="F1573" s="12" t="s">
        <v>12179</v>
      </c>
      <c r="G1573" s="12" t="s">
        <v>12180</v>
      </c>
      <c r="H1573" s="12" t="s">
        <v>6137</v>
      </c>
      <c r="I1573" s="12" t="s">
        <v>6391</v>
      </c>
      <c r="J1573" s="12">
        <v>6129</v>
      </c>
      <c r="K1573" s="12" t="s">
        <v>7397</v>
      </c>
      <c r="L1573" s="12" t="s">
        <v>6284</v>
      </c>
      <c r="M1573" s="13">
        <v>41782</v>
      </c>
      <c r="N1573" s="12" t="s">
        <v>7398</v>
      </c>
      <c r="O1573" s="12" t="s">
        <v>7399</v>
      </c>
      <c r="P1573" s="12"/>
      <c r="Q1573" s="12">
        <v>1</v>
      </c>
    </row>
    <row r="1574" spans="1:17" ht="15.75" customHeight="1">
      <c r="A1574" s="12"/>
      <c r="B1574" s="12"/>
      <c r="C1574" s="17">
        <v>24307</v>
      </c>
      <c r="D1574" s="12" t="s">
        <v>6047</v>
      </c>
      <c r="E1574" s="12" t="s">
        <v>4692</v>
      </c>
      <c r="F1574" s="12" t="s">
        <v>12181</v>
      </c>
      <c r="G1574" s="17" t="s">
        <v>12182</v>
      </c>
      <c r="H1574" s="11" t="s">
        <v>6051</v>
      </c>
      <c r="I1574" s="11" t="s">
        <v>12183</v>
      </c>
      <c r="J1574" s="11">
        <v>24307</v>
      </c>
      <c r="K1574" s="17" t="s">
        <v>6077</v>
      </c>
      <c r="L1574" s="17" t="s">
        <v>6078</v>
      </c>
      <c r="M1574" s="18">
        <v>41915</v>
      </c>
      <c r="N1574" s="19" t="s">
        <v>6079</v>
      </c>
      <c r="O1574" s="19" t="s">
        <v>7172</v>
      </c>
      <c r="P1574" s="20"/>
      <c r="Q1574" s="19">
        <v>1</v>
      </c>
    </row>
    <row r="1575" spans="1:17" ht="15.75" customHeight="1">
      <c r="A1575" s="12">
        <v>1599</v>
      </c>
      <c r="B1575" s="12">
        <v>1789</v>
      </c>
      <c r="C1575" s="12">
        <v>33277</v>
      </c>
      <c r="D1575" s="12" t="s">
        <v>6047</v>
      </c>
      <c r="E1575" s="12" t="s">
        <v>12184</v>
      </c>
      <c r="F1575" s="12" t="s">
        <v>12185</v>
      </c>
      <c r="G1575" s="12" t="s">
        <v>12186</v>
      </c>
      <c r="H1575" s="12" t="s">
        <v>6051</v>
      </c>
      <c r="I1575" s="12" t="s">
        <v>6374</v>
      </c>
      <c r="J1575" s="12">
        <v>33277</v>
      </c>
      <c r="K1575" s="12" t="s">
        <v>6300</v>
      </c>
      <c r="L1575" s="12" t="s">
        <v>6240</v>
      </c>
      <c r="M1575" s="13">
        <v>41396</v>
      </c>
      <c r="N1575" s="12" t="s">
        <v>6301</v>
      </c>
      <c r="O1575" s="12" t="s">
        <v>6302</v>
      </c>
      <c r="P1575" s="12"/>
      <c r="Q1575" s="12">
        <v>1</v>
      </c>
    </row>
    <row r="1576" spans="1:17" ht="15.75" customHeight="1">
      <c r="A1576" s="12">
        <v>961</v>
      </c>
      <c r="B1576" s="12">
        <v>1572</v>
      </c>
      <c r="C1576" s="12">
        <v>27633</v>
      </c>
      <c r="D1576" s="12" t="s">
        <v>6047</v>
      </c>
      <c r="E1576" s="12" t="s">
        <v>12187</v>
      </c>
      <c r="F1576" s="12" t="s">
        <v>12188</v>
      </c>
      <c r="G1576" s="12" t="s">
        <v>12189</v>
      </c>
      <c r="H1576" s="12" t="s">
        <v>6051</v>
      </c>
      <c r="I1576" s="12" t="s">
        <v>6704</v>
      </c>
      <c r="J1576" s="12">
        <v>27633</v>
      </c>
      <c r="K1576" s="12" t="s">
        <v>9526</v>
      </c>
      <c r="L1576" s="12" t="s">
        <v>6357</v>
      </c>
      <c r="M1576" s="13">
        <v>42826</v>
      </c>
      <c r="N1576" s="12" t="s">
        <v>9527</v>
      </c>
      <c r="O1576" s="12" t="s">
        <v>9528</v>
      </c>
      <c r="P1576" s="12"/>
      <c r="Q1576" s="12">
        <v>1</v>
      </c>
    </row>
    <row r="1577" spans="1:17" ht="15.75" customHeight="1">
      <c r="A1577" s="12">
        <v>821</v>
      </c>
      <c r="B1577" s="12">
        <v>391</v>
      </c>
      <c r="C1577" s="12">
        <v>5796</v>
      </c>
      <c r="D1577" s="12" t="s">
        <v>6047</v>
      </c>
      <c r="E1577" s="12" t="s">
        <v>12190</v>
      </c>
      <c r="F1577" s="12" t="s">
        <v>12191</v>
      </c>
      <c r="G1577" s="12" t="s">
        <v>12192</v>
      </c>
      <c r="H1577" s="12" t="s">
        <v>6137</v>
      </c>
      <c r="I1577" s="12" t="s">
        <v>6155</v>
      </c>
      <c r="J1577" s="12">
        <v>5796</v>
      </c>
      <c r="K1577" s="12" t="s">
        <v>10975</v>
      </c>
      <c r="L1577" s="12" t="s">
        <v>6590</v>
      </c>
      <c r="M1577" s="13">
        <v>43026</v>
      </c>
      <c r="N1577" s="12" t="s">
        <v>10976</v>
      </c>
      <c r="O1577" s="12" t="s">
        <v>10977</v>
      </c>
      <c r="P1577" s="12"/>
      <c r="Q1577" s="12">
        <v>1</v>
      </c>
    </row>
    <row r="1578" spans="1:17" ht="15.75" customHeight="1">
      <c r="A1578" s="12">
        <v>1536</v>
      </c>
      <c r="B1578" s="12">
        <v>541</v>
      </c>
      <c r="C1578" s="12">
        <v>7213</v>
      </c>
      <c r="D1578" s="12" t="s">
        <v>6047</v>
      </c>
      <c r="E1578" s="12" t="s">
        <v>12193</v>
      </c>
      <c r="F1578" s="12" t="s">
        <v>12194</v>
      </c>
      <c r="G1578" s="12" t="s">
        <v>12195</v>
      </c>
      <c r="H1578" s="12" t="s">
        <v>7427</v>
      </c>
      <c r="I1578" s="12" t="s">
        <v>7428</v>
      </c>
      <c r="J1578" s="12">
        <v>7213</v>
      </c>
      <c r="K1578" s="12" t="s">
        <v>7429</v>
      </c>
      <c r="L1578" s="12" t="s">
        <v>6255</v>
      </c>
      <c r="M1578" s="13">
        <v>41568</v>
      </c>
      <c r="N1578" s="12" t="s">
        <v>7430</v>
      </c>
      <c r="O1578" s="12" t="s">
        <v>7431</v>
      </c>
      <c r="P1578" s="12"/>
      <c r="Q1578" s="12">
        <v>1</v>
      </c>
    </row>
    <row r="1579" spans="1:17" ht="15.75" customHeight="1">
      <c r="A1579" s="12">
        <v>209</v>
      </c>
      <c r="B1579" s="12">
        <v>503</v>
      </c>
      <c r="C1579" s="12">
        <v>6665</v>
      </c>
      <c r="D1579" s="12" t="s">
        <v>6047</v>
      </c>
      <c r="E1579" s="12" t="s">
        <v>12196</v>
      </c>
      <c r="F1579" s="12" t="s">
        <v>12197</v>
      </c>
      <c r="G1579" s="12" t="s">
        <v>12198</v>
      </c>
      <c r="H1579" s="12" t="s">
        <v>6137</v>
      </c>
      <c r="I1579" s="12" t="s">
        <v>6200</v>
      </c>
      <c r="J1579" s="12">
        <v>6665</v>
      </c>
      <c r="K1579" s="12" t="s">
        <v>8534</v>
      </c>
      <c r="L1579" s="12" t="s">
        <v>6518</v>
      </c>
      <c r="M1579" s="13">
        <v>45611</v>
      </c>
      <c r="N1579" s="12" t="s">
        <v>8535</v>
      </c>
      <c r="O1579" s="12" t="s">
        <v>8536</v>
      </c>
      <c r="P1579" s="12"/>
      <c r="Q1579" s="12">
        <v>1</v>
      </c>
    </row>
    <row r="1580" spans="1:17" ht="15.75" customHeight="1">
      <c r="A1580" s="12">
        <v>409</v>
      </c>
      <c r="B1580" s="12">
        <v>1617</v>
      </c>
      <c r="C1580" s="12">
        <v>28631</v>
      </c>
      <c r="D1580" s="12" t="s">
        <v>6047</v>
      </c>
      <c r="E1580" s="12" t="s">
        <v>12199</v>
      </c>
      <c r="F1580" s="12" t="s">
        <v>12200</v>
      </c>
      <c r="G1580" s="12" t="s">
        <v>12201</v>
      </c>
      <c r="H1580" s="12" t="s">
        <v>6051</v>
      </c>
      <c r="I1580" s="12" t="s">
        <v>6366</v>
      </c>
      <c r="J1580" s="12">
        <v>28631</v>
      </c>
      <c r="K1580" s="12" t="s">
        <v>12202</v>
      </c>
      <c r="L1580" s="12" t="s">
        <v>7020</v>
      </c>
      <c r="M1580" s="13">
        <v>44715</v>
      </c>
      <c r="N1580" s="12" t="s">
        <v>12203</v>
      </c>
      <c r="O1580" s="12" t="s">
        <v>12204</v>
      </c>
      <c r="P1580" s="12"/>
      <c r="Q1580" s="12">
        <v>1</v>
      </c>
    </row>
    <row r="1581" spans="1:17" ht="15.75" customHeight="1">
      <c r="A1581" s="12">
        <v>414</v>
      </c>
      <c r="B1581" s="12">
        <v>1759</v>
      </c>
      <c r="C1581" s="12">
        <v>32864</v>
      </c>
      <c r="D1581" s="12" t="s">
        <v>6047</v>
      </c>
      <c r="E1581" s="12" t="s">
        <v>12205</v>
      </c>
      <c r="F1581" s="12" t="s">
        <v>12206</v>
      </c>
      <c r="G1581" s="12" t="s">
        <v>12207</v>
      </c>
      <c r="H1581" s="12" t="s">
        <v>6051</v>
      </c>
      <c r="I1581" s="12" t="s">
        <v>6374</v>
      </c>
      <c r="J1581" s="12">
        <v>32864</v>
      </c>
      <c r="K1581" s="12" t="s">
        <v>7019</v>
      </c>
      <c r="L1581" s="12" t="s">
        <v>7020</v>
      </c>
      <c r="M1581" s="13">
        <v>44715</v>
      </c>
      <c r="N1581" s="12" t="s">
        <v>7021</v>
      </c>
      <c r="O1581" s="12" t="s">
        <v>7022</v>
      </c>
      <c r="P1581" s="12"/>
      <c r="Q1581" s="12">
        <v>1</v>
      </c>
    </row>
    <row r="1582" spans="1:17" ht="15.75" customHeight="1">
      <c r="A1582" s="12">
        <v>930</v>
      </c>
      <c r="B1582" s="12">
        <v>1167</v>
      </c>
      <c r="C1582" s="12">
        <v>16773</v>
      </c>
      <c r="D1582" s="12" t="s">
        <v>6047</v>
      </c>
      <c r="E1582" s="12" t="s">
        <v>12208</v>
      </c>
      <c r="F1582" s="12" t="s">
        <v>12209</v>
      </c>
      <c r="G1582" s="12" t="s">
        <v>12210</v>
      </c>
      <c r="H1582" s="12" t="s">
        <v>6051</v>
      </c>
      <c r="I1582" s="12" t="s">
        <v>6052</v>
      </c>
      <c r="J1582" s="12">
        <v>16773</v>
      </c>
      <c r="K1582" s="12" t="s">
        <v>10922</v>
      </c>
      <c r="L1582" s="12" t="s">
        <v>6955</v>
      </c>
      <c r="M1582" s="13">
        <v>42828</v>
      </c>
      <c r="N1582" s="12" t="s">
        <v>10923</v>
      </c>
      <c r="O1582" s="12" t="s">
        <v>10924</v>
      </c>
      <c r="P1582" s="12"/>
      <c r="Q1582" s="12">
        <v>1</v>
      </c>
    </row>
    <row r="1583" spans="1:17" ht="15.75" customHeight="1">
      <c r="A1583" s="12">
        <v>1501</v>
      </c>
      <c r="B1583" s="12">
        <v>357</v>
      </c>
      <c r="C1583" s="12">
        <v>5455</v>
      </c>
      <c r="D1583" s="12" t="s">
        <v>6047</v>
      </c>
      <c r="E1583" s="12" t="s">
        <v>12211</v>
      </c>
      <c r="F1583" s="12" t="s">
        <v>12212</v>
      </c>
      <c r="G1583" s="12" t="s">
        <v>12213</v>
      </c>
      <c r="H1583" s="12" t="s">
        <v>6213</v>
      </c>
      <c r="I1583" s="12" t="s">
        <v>6214</v>
      </c>
      <c r="J1583" s="12">
        <v>5455</v>
      </c>
      <c r="K1583" s="12" t="s">
        <v>12214</v>
      </c>
      <c r="L1583" s="12" t="s">
        <v>6284</v>
      </c>
      <c r="M1583" s="13">
        <v>41783</v>
      </c>
      <c r="N1583" s="12" t="s">
        <v>12215</v>
      </c>
      <c r="O1583" s="12" t="s">
        <v>12216</v>
      </c>
      <c r="P1583" s="12"/>
      <c r="Q1583" s="12">
        <v>1</v>
      </c>
    </row>
    <row r="1584" spans="1:17" ht="15.75" customHeight="1">
      <c r="A1584" s="12">
        <v>289</v>
      </c>
      <c r="B1584" s="12">
        <v>1660</v>
      </c>
      <c r="C1584" s="12">
        <v>30484</v>
      </c>
      <c r="D1584" s="12" t="s">
        <v>6047</v>
      </c>
      <c r="E1584" s="12" t="s">
        <v>12217</v>
      </c>
      <c r="F1584" s="12" t="s">
        <v>12218</v>
      </c>
      <c r="G1584" s="12" t="s">
        <v>12219</v>
      </c>
      <c r="H1584" s="12" t="s">
        <v>6051</v>
      </c>
      <c r="I1584" s="12" t="s">
        <v>6399</v>
      </c>
      <c r="J1584" s="12">
        <v>30484</v>
      </c>
      <c r="K1584" s="12" t="s">
        <v>7468</v>
      </c>
      <c r="L1584" s="12" t="s">
        <v>7469</v>
      </c>
      <c r="M1584" s="13">
        <v>45602</v>
      </c>
      <c r="N1584" s="12" t="s">
        <v>7470</v>
      </c>
      <c r="O1584" s="12" t="s">
        <v>7471</v>
      </c>
      <c r="P1584" s="12"/>
      <c r="Q1584" s="12">
        <v>1</v>
      </c>
    </row>
    <row r="1585" spans="1:17" ht="15.75" customHeight="1">
      <c r="A1585" s="12">
        <v>1931</v>
      </c>
      <c r="B1585" s="12">
        <v>24</v>
      </c>
      <c r="C1585" s="12">
        <v>423</v>
      </c>
      <c r="D1585" s="12" t="s">
        <v>6047</v>
      </c>
      <c r="E1585" s="12" t="s">
        <v>4749</v>
      </c>
      <c r="F1585" s="12" t="s">
        <v>12220</v>
      </c>
      <c r="G1585" s="12" t="s">
        <v>12221</v>
      </c>
      <c r="H1585" s="12" t="s">
        <v>6289</v>
      </c>
      <c r="I1585" s="12" t="s">
        <v>6290</v>
      </c>
      <c r="J1585" s="12">
        <v>423</v>
      </c>
      <c r="K1585" s="12" t="s">
        <v>7476</v>
      </c>
      <c r="L1585" s="12" t="s">
        <v>7477</v>
      </c>
      <c r="M1585" s="13">
        <v>39237</v>
      </c>
      <c r="N1585" s="12" t="s">
        <v>7478</v>
      </c>
      <c r="O1585" s="12" t="s">
        <v>7479</v>
      </c>
      <c r="P1585" s="12"/>
      <c r="Q1585" s="12">
        <v>1</v>
      </c>
    </row>
    <row r="1586" spans="1:17" ht="15.75" customHeight="1">
      <c r="A1586" s="12">
        <v>1395</v>
      </c>
      <c r="B1586" s="12">
        <v>585</v>
      </c>
      <c r="C1586" s="12">
        <v>7507</v>
      </c>
      <c r="D1586" s="12" t="s">
        <v>6047</v>
      </c>
      <c r="E1586" s="12" t="s">
        <v>4765</v>
      </c>
      <c r="F1586" s="12" t="s">
        <v>12222</v>
      </c>
      <c r="G1586" s="12" t="s">
        <v>12223</v>
      </c>
      <c r="H1586" s="12" t="s">
        <v>6187</v>
      </c>
      <c r="I1586" s="12" t="s">
        <v>6188</v>
      </c>
      <c r="J1586" s="12">
        <v>7507</v>
      </c>
      <c r="K1586" s="12" t="s">
        <v>6144</v>
      </c>
      <c r="L1586" s="12" t="s">
        <v>6078</v>
      </c>
      <c r="M1586" s="13">
        <v>41913</v>
      </c>
      <c r="N1586" s="12" t="s">
        <v>6145</v>
      </c>
      <c r="O1586" s="12" t="s">
        <v>6146</v>
      </c>
      <c r="P1586" s="12"/>
      <c r="Q1586" s="12">
        <v>1</v>
      </c>
    </row>
    <row r="1587" spans="1:17" ht="15.75" customHeight="1">
      <c r="A1587" s="12">
        <v>1059</v>
      </c>
      <c r="B1587" s="12">
        <v>1153</v>
      </c>
      <c r="C1587" s="12">
        <v>16554</v>
      </c>
      <c r="D1587" s="12" t="s">
        <v>6047</v>
      </c>
      <c r="E1587" s="12" t="s">
        <v>12224</v>
      </c>
      <c r="F1587" s="12" t="s">
        <v>12225</v>
      </c>
      <c r="G1587" s="12" t="s">
        <v>12226</v>
      </c>
      <c r="H1587" s="12" t="s">
        <v>6051</v>
      </c>
      <c r="I1587" s="12" t="s">
        <v>6052</v>
      </c>
      <c r="J1587" s="12">
        <v>16554</v>
      </c>
      <c r="K1587" s="12" t="s">
        <v>6053</v>
      </c>
      <c r="L1587" s="12" t="s">
        <v>6054</v>
      </c>
      <c r="M1587" s="13">
        <v>42687</v>
      </c>
      <c r="N1587" s="12" t="s">
        <v>6055</v>
      </c>
      <c r="O1587" s="12" t="s">
        <v>6056</v>
      </c>
      <c r="P1587" s="12"/>
      <c r="Q1587" s="12">
        <v>1</v>
      </c>
    </row>
    <row r="1588" spans="1:17" ht="15.75" customHeight="1">
      <c r="A1588" s="12">
        <v>985</v>
      </c>
      <c r="B1588" s="12">
        <v>1139</v>
      </c>
      <c r="C1588" s="12">
        <v>16325</v>
      </c>
      <c r="D1588" s="12" t="s">
        <v>6047</v>
      </c>
      <c r="E1588" s="12" t="s">
        <v>12227</v>
      </c>
      <c r="F1588" s="12" t="s">
        <v>12228</v>
      </c>
      <c r="G1588" s="12" t="s">
        <v>12229</v>
      </c>
      <c r="H1588" s="12" t="s">
        <v>6051</v>
      </c>
      <c r="I1588" s="12" t="s">
        <v>6052</v>
      </c>
      <c r="J1588" s="12">
        <v>16325</v>
      </c>
      <c r="K1588" s="12" t="s">
        <v>7215</v>
      </c>
      <c r="L1588" s="12" t="s">
        <v>6054</v>
      </c>
      <c r="M1588" s="13">
        <v>42694</v>
      </c>
      <c r="N1588" s="12" t="s">
        <v>7216</v>
      </c>
      <c r="O1588" s="12" t="s">
        <v>7217</v>
      </c>
      <c r="P1588" s="12"/>
      <c r="Q1588" s="12">
        <v>1</v>
      </c>
    </row>
    <row r="1589" spans="1:17" ht="15.75" customHeight="1">
      <c r="A1589" s="12">
        <v>1402</v>
      </c>
      <c r="B1589" s="12">
        <v>1634</v>
      </c>
      <c r="C1589" s="12">
        <v>28923</v>
      </c>
      <c r="D1589" s="12" t="s">
        <v>6047</v>
      </c>
      <c r="E1589" s="12" t="s">
        <v>12230</v>
      </c>
      <c r="F1589" s="12" t="s">
        <v>12231</v>
      </c>
      <c r="G1589" s="12" t="s">
        <v>12232</v>
      </c>
      <c r="H1589" s="12" t="s">
        <v>6051</v>
      </c>
      <c r="I1589" s="12" t="s">
        <v>6111</v>
      </c>
      <c r="J1589" s="12">
        <v>28923</v>
      </c>
      <c r="K1589" s="12" t="s">
        <v>8017</v>
      </c>
      <c r="L1589" s="12" t="s">
        <v>8018</v>
      </c>
      <c r="M1589" s="13">
        <v>41911</v>
      </c>
      <c r="N1589" s="12" t="s">
        <v>8019</v>
      </c>
      <c r="O1589" s="12" t="s">
        <v>8020</v>
      </c>
      <c r="P1589" s="12"/>
      <c r="Q1589" s="12">
        <v>1</v>
      </c>
    </row>
    <row r="1590" spans="1:17" ht="15.75" customHeight="1">
      <c r="A1590" s="12">
        <v>1412</v>
      </c>
      <c r="B1590" s="12">
        <v>1453</v>
      </c>
      <c r="C1590" s="12">
        <v>22240</v>
      </c>
      <c r="D1590" s="12" t="s">
        <v>6047</v>
      </c>
      <c r="E1590" s="12" t="s">
        <v>4751</v>
      </c>
      <c r="F1590" s="12" t="s">
        <v>12233</v>
      </c>
      <c r="G1590" s="12" t="s">
        <v>12234</v>
      </c>
      <c r="H1590" s="12" t="s">
        <v>6051</v>
      </c>
      <c r="I1590" s="12" t="s">
        <v>7114</v>
      </c>
      <c r="J1590" s="12">
        <v>22240</v>
      </c>
      <c r="K1590" s="12" t="s">
        <v>6086</v>
      </c>
      <c r="L1590" s="12" t="s">
        <v>6087</v>
      </c>
      <c r="M1590" s="13">
        <v>41910</v>
      </c>
      <c r="N1590" s="12" t="s">
        <v>6088</v>
      </c>
      <c r="O1590" s="12" t="s">
        <v>6089</v>
      </c>
      <c r="P1590" s="12"/>
      <c r="Q1590" s="12">
        <v>1</v>
      </c>
    </row>
    <row r="1591" spans="1:17" ht="15.75" customHeight="1">
      <c r="A1591" s="12">
        <v>1360</v>
      </c>
      <c r="B1591" s="12">
        <v>1671</v>
      </c>
      <c r="C1591" s="12">
        <v>30808</v>
      </c>
      <c r="D1591" s="12" t="s">
        <v>6047</v>
      </c>
      <c r="E1591" s="12" t="s">
        <v>4753</v>
      </c>
      <c r="F1591" s="12" t="s">
        <v>12235</v>
      </c>
      <c r="G1591" s="12" t="s">
        <v>12236</v>
      </c>
      <c r="H1591" s="12" t="s">
        <v>6051</v>
      </c>
      <c r="I1591" s="12" t="s">
        <v>6100</v>
      </c>
      <c r="J1591" s="12">
        <v>30808</v>
      </c>
      <c r="K1591" s="12" t="s">
        <v>6077</v>
      </c>
      <c r="L1591" s="12" t="s">
        <v>6078</v>
      </c>
      <c r="M1591" s="13">
        <v>41915</v>
      </c>
      <c r="N1591" s="12" t="s">
        <v>6079</v>
      </c>
      <c r="O1591" s="12" t="s">
        <v>7172</v>
      </c>
      <c r="P1591" s="12"/>
      <c r="Q1591" s="12">
        <v>1</v>
      </c>
    </row>
    <row r="1592" spans="1:17" ht="15.75" customHeight="1">
      <c r="A1592" s="12">
        <v>1329</v>
      </c>
      <c r="B1592" s="12">
        <v>786</v>
      </c>
      <c r="C1592" s="12">
        <v>9836</v>
      </c>
      <c r="D1592" s="12" t="s">
        <v>6047</v>
      </c>
      <c r="E1592" s="12" t="s">
        <v>4769</v>
      </c>
      <c r="F1592" s="12" t="s">
        <v>12237</v>
      </c>
      <c r="G1592" s="12" t="s">
        <v>12238</v>
      </c>
      <c r="H1592" s="12" t="s">
        <v>6265</v>
      </c>
      <c r="I1592" s="12" t="s">
        <v>8292</v>
      </c>
      <c r="J1592" s="12">
        <v>9836</v>
      </c>
      <c r="K1592" s="12" t="s">
        <v>6201</v>
      </c>
      <c r="L1592" s="12" t="s">
        <v>6106</v>
      </c>
      <c r="M1592" s="13">
        <v>41921</v>
      </c>
      <c r="N1592" s="12" t="s">
        <v>6202</v>
      </c>
      <c r="O1592" s="12" t="s">
        <v>6203</v>
      </c>
      <c r="P1592" s="12"/>
      <c r="Q1592" s="12">
        <v>1</v>
      </c>
    </row>
    <row r="1593" spans="1:17" ht="15.75" customHeight="1">
      <c r="A1593" s="12">
        <v>1433</v>
      </c>
      <c r="B1593" s="12">
        <v>1694</v>
      </c>
      <c r="C1593" s="12">
        <v>31359</v>
      </c>
      <c r="D1593" s="12" t="s">
        <v>6047</v>
      </c>
      <c r="E1593" s="12" t="s">
        <v>12239</v>
      </c>
      <c r="F1593" s="12" t="s">
        <v>12240</v>
      </c>
      <c r="G1593" s="12" t="s">
        <v>12241</v>
      </c>
      <c r="H1593" s="12" t="s">
        <v>6051</v>
      </c>
      <c r="I1593" s="12" t="s">
        <v>6093</v>
      </c>
      <c r="J1593" s="12">
        <v>31359</v>
      </c>
      <c r="K1593" s="12" t="s">
        <v>6069</v>
      </c>
      <c r="L1593" s="12" t="s">
        <v>6070</v>
      </c>
      <c r="M1593" s="13">
        <v>41908</v>
      </c>
      <c r="N1593" s="12" t="s">
        <v>6071</v>
      </c>
      <c r="O1593" s="12" t="s">
        <v>6901</v>
      </c>
      <c r="P1593" s="12"/>
      <c r="Q1593" s="12">
        <v>1</v>
      </c>
    </row>
    <row r="1594" spans="1:17" ht="15.75" customHeight="1">
      <c r="A1594" s="12">
        <v>1410</v>
      </c>
      <c r="B1594" s="12">
        <v>1498</v>
      </c>
      <c r="C1594" s="12">
        <v>24157</v>
      </c>
      <c r="D1594" s="12" t="s">
        <v>6047</v>
      </c>
      <c r="E1594" s="12" t="s">
        <v>12242</v>
      </c>
      <c r="F1594" s="12" t="s">
        <v>12243</v>
      </c>
      <c r="G1594" s="12" t="s">
        <v>12244</v>
      </c>
      <c r="H1594" s="12" t="s">
        <v>6051</v>
      </c>
      <c r="I1594" s="12" t="s">
        <v>6738</v>
      </c>
      <c r="J1594" s="12">
        <v>24157</v>
      </c>
      <c r="K1594" s="12" t="s">
        <v>6086</v>
      </c>
      <c r="L1594" s="12" t="s">
        <v>6087</v>
      </c>
      <c r="M1594" s="13">
        <v>41910</v>
      </c>
      <c r="N1594" s="12" t="s">
        <v>6088</v>
      </c>
      <c r="O1594" s="12" t="s">
        <v>6089</v>
      </c>
      <c r="P1594" s="12"/>
      <c r="Q1594" s="12">
        <v>1</v>
      </c>
    </row>
    <row r="1595" spans="1:17" ht="15.75" customHeight="1">
      <c r="A1595" s="12">
        <v>1371</v>
      </c>
      <c r="B1595" s="12">
        <v>91</v>
      </c>
      <c r="C1595" s="12">
        <v>1000</v>
      </c>
      <c r="D1595" s="12" t="s">
        <v>6047</v>
      </c>
      <c r="E1595" s="12" t="s">
        <v>4755</v>
      </c>
      <c r="F1595" s="12" t="s">
        <v>12245</v>
      </c>
      <c r="G1595" s="12" t="s">
        <v>12246</v>
      </c>
      <c r="H1595" s="12" t="s">
        <v>6435</v>
      </c>
      <c r="I1595" s="12" t="s">
        <v>9759</v>
      </c>
      <c r="J1595" s="12">
        <v>1000</v>
      </c>
      <c r="K1595" s="12" t="s">
        <v>6077</v>
      </c>
      <c r="L1595" s="12" t="s">
        <v>6078</v>
      </c>
      <c r="M1595" s="13">
        <v>41915</v>
      </c>
      <c r="N1595" s="12" t="s">
        <v>6079</v>
      </c>
      <c r="O1595" s="12" t="s">
        <v>7172</v>
      </c>
      <c r="P1595" s="12"/>
      <c r="Q1595" s="12">
        <v>1</v>
      </c>
    </row>
    <row r="1596" spans="1:17" ht="15.75" customHeight="1">
      <c r="A1596" s="12">
        <v>176</v>
      </c>
      <c r="B1596" s="12">
        <v>846</v>
      </c>
      <c r="C1596" s="12">
        <v>10845</v>
      </c>
      <c r="D1596" s="12" t="s">
        <v>6047</v>
      </c>
      <c r="E1596" s="12" t="s">
        <v>12247</v>
      </c>
      <c r="F1596" s="12" t="s">
        <v>12248</v>
      </c>
      <c r="G1596" s="12" t="s">
        <v>12249</v>
      </c>
      <c r="H1596" s="12" t="s">
        <v>6060</v>
      </c>
      <c r="I1596" s="12" t="s">
        <v>7082</v>
      </c>
      <c r="J1596" s="12">
        <v>10845</v>
      </c>
      <c r="K1596" s="12" t="s">
        <v>7145</v>
      </c>
      <c r="L1596" s="12" t="s">
        <v>6709</v>
      </c>
      <c r="M1596" s="13">
        <v>45753</v>
      </c>
      <c r="N1596" s="12" t="s">
        <v>7146</v>
      </c>
      <c r="O1596" s="12" t="s">
        <v>7147</v>
      </c>
      <c r="P1596" s="12"/>
      <c r="Q1596" s="12">
        <v>1</v>
      </c>
    </row>
    <row r="1597" spans="1:17" ht="15.75" customHeight="1">
      <c r="A1597" s="12">
        <v>31</v>
      </c>
      <c r="B1597" s="12">
        <v>1247</v>
      </c>
      <c r="C1597" s="12">
        <v>17628</v>
      </c>
      <c r="D1597" s="12" t="s">
        <v>6047</v>
      </c>
      <c r="E1597" s="12" t="s">
        <v>12250</v>
      </c>
      <c r="F1597" s="12" t="s">
        <v>12251</v>
      </c>
      <c r="G1597" s="12" t="s">
        <v>12252</v>
      </c>
      <c r="H1597" s="12" t="s">
        <v>6051</v>
      </c>
      <c r="I1597" s="12" t="s">
        <v>11297</v>
      </c>
      <c r="J1597" s="12">
        <v>17628</v>
      </c>
      <c r="K1597" s="12" t="s">
        <v>12253</v>
      </c>
      <c r="L1597" s="12" t="s">
        <v>6590</v>
      </c>
      <c r="M1597" s="13">
        <v>45976</v>
      </c>
      <c r="N1597" s="12" t="s">
        <v>12254</v>
      </c>
      <c r="O1597" s="12" t="s">
        <v>12255</v>
      </c>
      <c r="P1597" s="12"/>
      <c r="Q1597" s="12">
        <v>1</v>
      </c>
    </row>
    <row r="1598" spans="1:17" ht="15.75" customHeight="1">
      <c r="A1598" s="12">
        <v>1485</v>
      </c>
      <c r="B1598" s="12">
        <v>1407</v>
      </c>
      <c r="C1598" s="12">
        <v>21146</v>
      </c>
      <c r="D1598" s="12" t="s">
        <v>6047</v>
      </c>
      <c r="E1598" s="12" t="s">
        <v>12256</v>
      </c>
      <c r="F1598" s="12" t="s">
        <v>12257</v>
      </c>
      <c r="G1598" s="12" t="s">
        <v>12258</v>
      </c>
      <c r="H1598" s="12" t="s">
        <v>6051</v>
      </c>
      <c r="I1598" s="12" t="s">
        <v>9376</v>
      </c>
      <c r="J1598" s="12">
        <v>21146</v>
      </c>
      <c r="K1598" s="12" t="s">
        <v>6400</v>
      </c>
      <c r="L1598" s="12" t="s">
        <v>6087</v>
      </c>
      <c r="M1598" s="13">
        <v>41905</v>
      </c>
      <c r="N1598" s="12" t="s">
        <v>6401</v>
      </c>
      <c r="O1598" s="12" t="s">
        <v>6402</v>
      </c>
      <c r="P1598" s="12"/>
      <c r="Q1598" s="12">
        <v>1</v>
      </c>
    </row>
    <row r="1599" spans="1:17" ht="15.75" customHeight="1">
      <c r="A1599" s="12">
        <v>1914</v>
      </c>
      <c r="B1599" s="12">
        <v>1704</v>
      </c>
      <c r="C1599" s="12">
        <v>31593</v>
      </c>
      <c r="D1599" s="12" t="s">
        <v>6047</v>
      </c>
      <c r="E1599" s="12" t="s">
        <v>4757</v>
      </c>
      <c r="F1599" s="12" t="s">
        <v>12259</v>
      </c>
      <c r="G1599" s="12" t="s">
        <v>12260</v>
      </c>
      <c r="H1599" s="12" t="s">
        <v>6051</v>
      </c>
      <c r="I1599" s="12" t="s">
        <v>8027</v>
      </c>
      <c r="J1599" s="12">
        <v>31593</v>
      </c>
      <c r="K1599" s="12" t="s">
        <v>7476</v>
      </c>
      <c r="L1599" s="12" t="s">
        <v>7477</v>
      </c>
      <c r="M1599" s="13">
        <v>39237</v>
      </c>
      <c r="N1599" s="12" t="s">
        <v>7478</v>
      </c>
      <c r="O1599" s="12" t="s">
        <v>7479</v>
      </c>
      <c r="P1599" s="12"/>
      <c r="Q1599" s="12">
        <v>1</v>
      </c>
    </row>
    <row r="1600" spans="1:17" ht="15.75" customHeight="1">
      <c r="A1600" s="12">
        <v>1950</v>
      </c>
      <c r="B1600" s="12">
        <v>771</v>
      </c>
      <c r="C1600" s="12">
        <v>9655</v>
      </c>
      <c r="D1600" s="12" t="s">
        <v>6047</v>
      </c>
      <c r="E1600" s="12" t="s">
        <v>12261</v>
      </c>
      <c r="F1600" s="12" t="s">
        <v>12262</v>
      </c>
      <c r="G1600" s="12" t="s">
        <v>12263</v>
      </c>
      <c r="H1600" s="12" t="s">
        <v>6118</v>
      </c>
      <c r="I1600" s="12" t="s">
        <v>6119</v>
      </c>
      <c r="J1600" s="12">
        <v>9655</v>
      </c>
      <c r="K1600" s="12" t="s">
        <v>6548</v>
      </c>
      <c r="L1600" s="12" t="s">
        <v>6549</v>
      </c>
      <c r="M1600" s="13">
        <v>38580</v>
      </c>
      <c r="N1600" s="12" t="s">
        <v>6550</v>
      </c>
      <c r="O1600" s="12" t="s">
        <v>6551</v>
      </c>
      <c r="P1600" s="12"/>
      <c r="Q1600" s="12">
        <v>1</v>
      </c>
    </row>
    <row r="1601" spans="1:17" ht="15.75" customHeight="1">
      <c r="A1601" s="12">
        <v>1284</v>
      </c>
      <c r="B1601" s="12">
        <v>1535</v>
      </c>
      <c r="C1601" s="12">
        <v>27209</v>
      </c>
      <c r="D1601" s="12" t="s">
        <v>6047</v>
      </c>
      <c r="E1601" s="12" t="s">
        <v>4786</v>
      </c>
      <c r="F1601" s="12" t="s">
        <v>12264</v>
      </c>
      <c r="G1601" s="12" t="s">
        <v>12265</v>
      </c>
      <c r="H1601" s="12" t="s">
        <v>6051</v>
      </c>
      <c r="I1601" s="12" t="s">
        <v>6704</v>
      </c>
      <c r="J1601" s="12">
        <v>27209</v>
      </c>
      <c r="K1601" s="12" t="s">
        <v>6422</v>
      </c>
      <c r="L1601" s="12" t="s">
        <v>6423</v>
      </c>
      <c r="M1601" s="13">
        <v>41989</v>
      </c>
      <c r="N1601" s="12" t="s">
        <v>6424</v>
      </c>
      <c r="O1601" s="12" t="s">
        <v>6425</v>
      </c>
      <c r="P1601" s="12"/>
      <c r="Q1601" s="12">
        <v>1</v>
      </c>
    </row>
    <row r="1602" spans="1:17" ht="15.75" customHeight="1">
      <c r="A1602" s="12">
        <v>1301</v>
      </c>
      <c r="B1602" s="12">
        <v>413</v>
      </c>
      <c r="C1602" s="12">
        <v>5896</v>
      </c>
      <c r="D1602" s="12" t="s">
        <v>6047</v>
      </c>
      <c r="E1602" s="12" t="s">
        <v>12266</v>
      </c>
      <c r="F1602" s="12" t="s">
        <v>12267</v>
      </c>
      <c r="G1602" s="12" t="s">
        <v>12268</v>
      </c>
      <c r="H1602" s="12" t="s">
        <v>6137</v>
      </c>
      <c r="I1602" s="12" t="s">
        <v>6323</v>
      </c>
      <c r="J1602" s="12">
        <v>5896</v>
      </c>
      <c r="K1602" s="12" t="s">
        <v>6422</v>
      </c>
      <c r="L1602" s="12" t="s">
        <v>6423</v>
      </c>
      <c r="M1602" s="13">
        <v>41989</v>
      </c>
      <c r="N1602" s="12" t="s">
        <v>6424</v>
      </c>
      <c r="O1602" s="12" t="s">
        <v>6425</v>
      </c>
      <c r="P1602" s="12"/>
      <c r="Q1602" s="12">
        <v>1</v>
      </c>
    </row>
    <row r="1603" spans="1:17" ht="15.75" customHeight="1">
      <c r="A1603" s="12">
        <v>1934</v>
      </c>
      <c r="B1603" s="12">
        <v>1673</v>
      </c>
      <c r="C1603" s="12">
        <v>30821</v>
      </c>
      <c r="D1603" s="12" t="s">
        <v>6047</v>
      </c>
      <c r="E1603" s="12" t="s">
        <v>4759</v>
      </c>
      <c r="F1603" s="12" t="s">
        <v>12269</v>
      </c>
      <c r="G1603" s="12" t="s">
        <v>12270</v>
      </c>
      <c r="H1603" s="12" t="s">
        <v>6051</v>
      </c>
      <c r="I1603" s="12" t="s">
        <v>6100</v>
      </c>
      <c r="J1603" s="12">
        <v>30821</v>
      </c>
      <c r="K1603" s="12" t="s">
        <v>7276</v>
      </c>
      <c r="L1603" s="12" t="s">
        <v>7277</v>
      </c>
      <c r="M1603" s="13">
        <v>39234</v>
      </c>
      <c r="N1603" s="12" t="s">
        <v>7278</v>
      </c>
      <c r="O1603" s="12" t="s">
        <v>7279</v>
      </c>
      <c r="P1603" s="12"/>
      <c r="Q1603" s="12">
        <v>1</v>
      </c>
    </row>
    <row r="1604" spans="1:17" ht="15.75" customHeight="1">
      <c r="A1604" s="12">
        <v>1350</v>
      </c>
      <c r="B1604" s="12">
        <v>53</v>
      </c>
      <c r="C1604" s="12">
        <v>662</v>
      </c>
      <c r="D1604" s="12" t="s">
        <v>6047</v>
      </c>
      <c r="E1604" s="12" t="s">
        <v>4761</v>
      </c>
      <c r="F1604" s="12" t="s">
        <v>12271</v>
      </c>
      <c r="G1604" s="12" t="s">
        <v>12272</v>
      </c>
      <c r="H1604" s="12" t="s">
        <v>6289</v>
      </c>
      <c r="I1604" s="12" t="s">
        <v>6290</v>
      </c>
      <c r="J1604" s="12">
        <v>662</v>
      </c>
      <c r="K1604" s="12" t="s">
        <v>6215</v>
      </c>
      <c r="L1604" s="12" t="s">
        <v>6216</v>
      </c>
      <c r="M1604" s="13">
        <v>41918</v>
      </c>
      <c r="N1604" s="12" t="s">
        <v>6217</v>
      </c>
      <c r="O1604" s="12" t="s">
        <v>6218</v>
      </c>
      <c r="P1604" s="12"/>
      <c r="Q1604" s="12">
        <v>1</v>
      </c>
    </row>
    <row r="1605" spans="1:17" ht="15.75" customHeight="1">
      <c r="A1605" s="12">
        <v>1345</v>
      </c>
      <c r="B1605" s="12">
        <v>1681</v>
      </c>
      <c r="C1605" s="12">
        <v>30944</v>
      </c>
      <c r="D1605" s="12" t="s">
        <v>6047</v>
      </c>
      <c r="E1605" s="12" t="s">
        <v>4763</v>
      </c>
      <c r="F1605" s="12" t="s">
        <v>12273</v>
      </c>
      <c r="G1605" s="12" t="s">
        <v>12274</v>
      </c>
      <c r="H1605" s="12" t="s">
        <v>6051</v>
      </c>
      <c r="I1605" s="12" t="s">
        <v>6100</v>
      </c>
      <c r="J1605" s="12">
        <v>30944</v>
      </c>
      <c r="K1605" s="12" t="s">
        <v>6215</v>
      </c>
      <c r="L1605" s="12" t="s">
        <v>6216</v>
      </c>
      <c r="M1605" s="13">
        <v>41918</v>
      </c>
      <c r="N1605" s="12" t="s">
        <v>6217</v>
      </c>
      <c r="O1605" s="12" t="s">
        <v>6218</v>
      </c>
      <c r="P1605" s="12"/>
      <c r="Q1605" s="12">
        <v>1</v>
      </c>
    </row>
    <row r="1606" spans="1:17" ht="15.75" customHeight="1">
      <c r="A1606" s="12">
        <v>1477</v>
      </c>
      <c r="B1606" s="12">
        <v>777</v>
      </c>
      <c r="C1606" s="12">
        <v>9678</v>
      </c>
      <c r="D1606" s="12" t="s">
        <v>6047</v>
      </c>
      <c r="E1606" s="12" t="s">
        <v>4796</v>
      </c>
      <c r="F1606" s="12" t="s">
        <v>12275</v>
      </c>
      <c r="G1606" s="12" t="s">
        <v>12276</v>
      </c>
      <c r="H1606" s="12" t="s">
        <v>6118</v>
      </c>
      <c r="I1606" s="12" t="s">
        <v>6119</v>
      </c>
      <c r="J1606" s="12">
        <v>9678</v>
      </c>
      <c r="K1606" s="12" t="s">
        <v>6069</v>
      </c>
      <c r="L1606" s="12" t="s">
        <v>6070</v>
      </c>
      <c r="M1606" s="13">
        <v>41906</v>
      </c>
      <c r="N1606" s="12" t="s">
        <v>6071</v>
      </c>
      <c r="O1606" s="12" t="s">
        <v>6134</v>
      </c>
      <c r="P1606" s="12"/>
      <c r="Q1606" s="12">
        <v>1</v>
      </c>
    </row>
    <row r="1607" spans="1:17" ht="15.75" customHeight="1">
      <c r="A1607" s="12">
        <v>1883</v>
      </c>
      <c r="B1607" s="12">
        <v>1494</v>
      </c>
      <c r="C1607" s="12">
        <v>24116</v>
      </c>
      <c r="D1607" s="12" t="s">
        <v>6047</v>
      </c>
      <c r="E1607" s="12" t="s">
        <v>4798</v>
      </c>
      <c r="F1607" s="12" t="s">
        <v>12277</v>
      </c>
      <c r="G1607" s="12" t="s">
        <v>12278</v>
      </c>
      <c r="H1607" s="12" t="s">
        <v>6051</v>
      </c>
      <c r="I1607" s="12" t="s">
        <v>6738</v>
      </c>
      <c r="J1607" s="12">
        <v>24116</v>
      </c>
      <c r="K1607" s="12" t="s">
        <v>8329</v>
      </c>
      <c r="L1607" s="12" t="s">
        <v>6709</v>
      </c>
      <c r="M1607" s="13">
        <v>40175</v>
      </c>
      <c r="N1607" s="12" t="s">
        <v>8330</v>
      </c>
      <c r="O1607" s="12" t="s">
        <v>8331</v>
      </c>
      <c r="P1607" s="12"/>
      <c r="Q1607" s="12">
        <v>1</v>
      </c>
    </row>
    <row r="1608" spans="1:17" ht="15.75" customHeight="1">
      <c r="A1608" s="12">
        <v>106</v>
      </c>
      <c r="B1608" s="12">
        <v>1441</v>
      </c>
      <c r="C1608" s="12">
        <v>21804</v>
      </c>
      <c r="D1608" s="12" t="s">
        <v>6047</v>
      </c>
      <c r="E1608" s="12" t="s">
        <v>4800</v>
      </c>
      <c r="F1608" s="12" t="s">
        <v>12279</v>
      </c>
      <c r="G1608" s="12" t="s">
        <v>12280</v>
      </c>
      <c r="H1608" s="12" t="s">
        <v>6051</v>
      </c>
      <c r="I1608" s="12" t="s">
        <v>8726</v>
      </c>
      <c r="J1608" s="12">
        <v>21804</v>
      </c>
      <c r="K1608" s="12" t="s">
        <v>12281</v>
      </c>
      <c r="L1608" s="12" t="s">
        <v>6511</v>
      </c>
      <c r="M1608" s="13">
        <v>45967</v>
      </c>
      <c r="N1608" s="12" t="s">
        <v>12282</v>
      </c>
      <c r="O1608" s="12" t="s">
        <v>12283</v>
      </c>
      <c r="P1608" s="12"/>
      <c r="Q1608" s="12">
        <v>1</v>
      </c>
    </row>
    <row r="1609" spans="1:17" ht="15.75" customHeight="1">
      <c r="A1609" s="12">
        <v>101</v>
      </c>
      <c r="B1609" s="12">
        <v>1298</v>
      </c>
      <c r="C1609" s="12">
        <v>18372</v>
      </c>
      <c r="D1609" s="12" t="s">
        <v>6047</v>
      </c>
      <c r="E1609" s="12" t="s">
        <v>4802</v>
      </c>
      <c r="F1609" s="12" t="s">
        <v>12284</v>
      </c>
      <c r="G1609" s="12" t="s">
        <v>12285</v>
      </c>
      <c r="H1609" s="12" t="s">
        <v>6051</v>
      </c>
      <c r="I1609" s="12" t="s">
        <v>7763</v>
      </c>
      <c r="J1609" s="12">
        <v>18372</v>
      </c>
      <c r="K1609" s="12" t="s">
        <v>8550</v>
      </c>
      <c r="L1609" s="12" t="s">
        <v>6511</v>
      </c>
      <c r="M1609" s="13">
        <v>45967</v>
      </c>
      <c r="N1609" s="12" t="s">
        <v>8551</v>
      </c>
      <c r="O1609" s="12" t="s">
        <v>8552</v>
      </c>
      <c r="P1609" s="12"/>
      <c r="Q1609" s="12">
        <v>1</v>
      </c>
    </row>
    <row r="1610" spans="1:17" ht="15.75" customHeight="1">
      <c r="A1610" s="12">
        <v>1942</v>
      </c>
      <c r="B1610" s="12">
        <v>775</v>
      </c>
      <c r="C1610" s="12">
        <v>9672</v>
      </c>
      <c r="D1610" s="12" t="s">
        <v>6047</v>
      </c>
      <c r="E1610" s="12" t="s">
        <v>4805</v>
      </c>
      <c r="F1610" s="12" t="s">
        <v>12286</v>
      </c>
      <c r="G1610" s="12" t="s">
        <v>12287</v>
      </c>
      <c r="H1610" s="12" t="s">
        <v>6118</v>
      </c>
      <c r="I1610" s="12" t="s">
        <v>6119</v>
      </c>
      <c r="J1610" s="12">
        <v>9672</v>
      </c>
      <c r="K1610" s="12" t="s">
        <v>7276</v>
      </c>
      <c r="L1610" s="12" t="s">
        <v>7277</v>
      </c>
      <c r="M1610" s="13">
        <v>39234</v>
      </c>
      <c r="N1610" s="12" t="s">
        <v>7278</v>
      </c>
      <c r="O1610" s="12" t="s">
        <v>7279</v>
      </c>
      <c r="P1610" s="12"/>
      <c r="Q1610" s="12">
        <v>1</v>
      </c>
    </row>
    <row r="1611" spans="1:17" ht="15.75" customHeight="1">
      <c r="A1611" s="12">
        <v>392</v>
      </c>
      <c r="B1611" s="12">
        <v>1977</v>
      </c>
      <c r="C1611" s="12">
        <v>35046</v>
      </c>
      <c r="D1611" s="12" t="s">
        <v>6047</v>
      </c>
      <c r="E1611" s="12" t="s">
        <v>12288</v>
      </c>
      <c r="F1611" s="12" t="s">
        <v>12289</v>
      </c>
      <c r="G1611" s="12" t="s">
        <v>12290</v>
      </c>
      <c r="H1611" s="12" t="s">
        <v>6051</v>
      </c>
      <c r="I1611" s="12" t="s">
        <v>6700</v>
      </c>
      <c r="J1611" s="12">
        <v>35046</v>
      </c>
      <c r="K1611" s="12" t="s">
        <v>8650</v>
      </c>
      <c r="L1611" s="12" t="s">
        <v>7020</v>
      </c>
      <c r="M1611" s="13">
        <v>44716</v>
      </c>
      <c r="N1611" s="12" t="s">
        <v>8651</v>
      </c>
      <c r="O1611" s="12" t="s">
        <v>8652</v>
      </c>
      <c r="P1611" s="12"/>
      <c r="Q1611" s="12">
        <v>1</v>
      </c>
    </row>
    <row r="1612" spans="1:17" ht="15.75" customHeight="1">
      <c r="A1612" s="12">
        <v>2051</v>
      </c>
      <c r="B1612" s="12">
        <v>241</v>
      </c>
      <c r="C1612" s="12">
        <v>4354</v>
      </c>
      <c r="D1612" s="12" t="s">
        <v>6047</v>
      </c>
      <c r="E1612" s="12" t="s">
        <v>12291</v>
      </c>
      <c r="F1612" s="12" t="s">
        <v>12292</v>
      </c>
      <c r="G1612" s="12" t="s">
        <v>12293</v>
      </c>
      <c r="H1612" s="12" t="s">
        <v>6163</v>
      </c>
      <c r="I1612" s="12" t="s">
        <v>6253</v>
      </c>
      <c r="J1612" s="12">
        <v>4354</v>
      </c>
      <c r="K1612" s="12" t="s">
        <v>7867</v>
      </c>
      <c r="L1612" s="12" t="s">
        <v>6408</v>
      </c>
      <c r="M1612" s="13">
        <v>38170</v>
      </c>
      <c r="N1612" s="12" t="s">
        <v>7868</v>
      </c>
      <c r="O1612" s="12" t="s">
        <v>7869</v>
      </c>
      <c r="P1612" s="12"/>
      <c r="Q1612" s="12">
        <v>1</v>
      </c>
    </row>
    <row r="1613" spans="1:17" ht="15.75" customHeight="1">
      <c r="A1613" s="12">
        <v>491</v>
      </c>
      <c r="B1613" s="12">
        <v>1555</v>
      </c>
      <c r="C1613" s="12">
        <v>27498</v>
      </c>
      <c r="D1613" s="12" t="s">
        <v>6047</v>
      </c>
      <c r="E1613" s="12" t="s">
        <v>12294</v>
      </c>
      <c r="F1613" s="12" t="s">
        <v>12295</v>
      </c>
      <c r="G1613" s="12" t="s">
        <v>12296</v>
      </c>
      <c r="H1613" s="12" t="s">
        <v>6051</v>
      </c>
      <c r="I1613" s="12" t="s">
        <v>6704</v>
      </c>
      <c r="J1613" s="12">
        <v>27498</v>
      </c>
      <c r="K1613" s="12" t="s">
        <v>6541</v>
      </c>
      <c r="L1613" s="12" t="s">
        <v>6455</v>
      </c>
      <c r="M1613" s="13">
        <v>43784</v>
      </c>
      <c r="N1613" s="12" t="s">
        <v>6542</v>
      </c>
      <c r="O1613" s="12" t="s">
        <v>6543</v>
      </c>
      <c r="P1613" s="12"/>
      <c r="Q1613" s="12">
        <v>1</v>
      </c>
    </row>
    <row r="1614" spans="1:17" ht="15.75" customHeight="1">
      <c r="A1614" s="12">
        <v>1973</v>
      </c>
      <c r="B1614" s="12">
        <v>1664</v>
      </c>
      <c r="C1614" s="12">
        <v>30712</v>
      </c>
      <c r="D1614" s="12" t="s">
        <v>6047</v>
      </c>
      <c r="E1614" s="12" t="s">
        <v>12297</v>
      </c>
      <c r="F1614" s="12" t="s">
        <v>12298</v>
      </c>
      <c r="G1614" s="12" t="s">
        <v>12299</v>
      </c>
      <c r="H1614" s="12" t="s">
        <v>6051</v>
      </c>
      <c r="I1614" s="12" t="s">
        <v>6100</v>
      </c>
      <c r="J1614" s="12">
        <v>30712</v>
      </c>
      <c r="K1614" s="12" t="s">
        <v>8445</v>
      </c>
      <c r="L1614" s="12" t="s">
        <v>8446</v>
      </c>
      <c r="M1614" s="13">
        <v>38576</v>
      </c>
      <c r="N1614" s="12" t="s">
        <v>8447</v>
      </c>
      <c r="O1614" s="12" t="s">
        <v>8448</v>
      </c>
      <c r="P1614" s="12"/>
      <c r="Q1614" s="12">
        <v>1</v>
      </c>
    </row>
    <row r="1615" spans="1:17" ht="15.75" customHeight="1">
      <c r="A1615" s="12">
        <v>2050</v>
      </c>
      <c r="B1615" s="12">
        <v>256</v>
      </c>
      <c r="C1615" s="12">
        <v>4460</v>
      </c>
      <c r="D1615" s="12" t="s">
        <v>6047</v>
      </c>
      <c r="E1615" s="12" t="s">
        <v>4819</v>
      </c>
      <c r="F1615" s="12" t="s">
        <v>12300</v>
      </c>
      <c r="G1615" s="12" t="s">
        <v>12301</v>
      </c>
      <c r="H1615" s="12" t="s">
        <v>6163</v>
      </c>
      <c r="I1615" s="12" t="s">
        <v>6253</v>
      </c>
      <c r="J1615" s="12">
        <v>4460</v>
      </c>
      <c r="K1615" s="12" t="s">
        <v>7867</v>
      </c>
      <c r="L1615" s="12" t="s">
        <v>6408</v>
      </c>
      <c r="M1615" s="13">
        <v>38170</v>
      </c>
      <c r="N1615" s="12" t="s">
        <v>7868</v>
      </c>
      <c r="O1615" s="12" t="s">
        <v>7869</v>
      </c>
      <c r="P1615" s="12"/>
      <c r="Q1615" s="12">
        <v>1</v>
      </c>
    </row>
    <row r="1616" spans="1:17" ht="15.75" customHeight="1">
      <c r="A1616" s="12">
        <v>1486</v>
      </c>
      <c r="B1616" s="12">
        <v>752</v>
      </c>
      <c r="C1616" s="12">
        <v>9403</v>
      </c>
      <c r="D1616" s="12" t="s">
        <v>6047</v>
      </c>
      <c r="E1616" s="12" t="s">
        <v>12302</v>
      </c>
      <c r="F1616" s="12" t="s">
        <v>12303</v>
      </c>
      <c r="G1616" s="12" t="s">
        <v>12304</v>
      </c>
      <c r="H1616" s="12" t="s">
        <v>12305</v>
      </c>
      <c r="I1616" s="12" t="s">
        <v>12306</v>
      </c>
      <c r="J1616" s="12">
        <v>9403</v>
      </c>
      <c r="K1616" s="12" t="s">
        <v>6400</v>
      </c>
      <c r="L1616" s="12" t="s">
        <v>6087</v>
      </c>
      <c r="M1616" s="13">
        <v>41905</v>
      </c>
      <c r="N1616" s="12" t="s">
        <v>6401</v>
      </c>
      <c r="O1616" s="12" t="s">
        <v>6402</v>
      </c>
      <c r="P1616" s="12"/>
      <c r="Q1616" s="12">
        <v>1</v>
      </c>
    </row>
    <row r="1617" spans="1:17" ht="15.75" customHeight="1">
      <c r="A1617" s="12">
        <v>529</v>
      </c>
      <c r="B1617" s="12">
        <v>1608</v>
      </c>
      <c r="C1617" s="12">
        <v>28310</v>
      </c>
      <c r="D1617" s="12" t="s">
        <v>6047</v>
      </c>
      <c r="E1617" s="12" t="s">
        <v>12307</v>
      </c>
      <c r="F1617" s="12" t="s">
        <v>12308</v>
      </c>
      <c r="G1617" s="12" t="s">
        <v>12309</v>
      </c>
      <c r="H1617" s="12" t="s">
        <v>6051</v>
      </c>
      <c r="I1617" s="12" t="s">
        <v>6366</v>
      </c>
      <c r="J1617" s="12">
        <v>28310</v>
      </c>
      <c r="K1617" s="12" t="s">
        <v>7441</v>
      </c>
      <c r="L1617" s="12" t="s">
        <v>6408</v>
      </c>
      <c r="M1617" s="13">
        <v>43565</v>
      </c>
      <c r="N1617" s="12" t="s">
        <v>7442</v>
      </c>
      <c r="O1617" s="12" t="s">
        <v>10476</v>
      </c>
      <c r="P1617" s="12"/>
      <c r="Q1617" s="12">
        <v>1</v>
      </c>
    </row>
    <row r="1618" spans="1:17" ht="15.75" customHeight="1">
      <c r="A1618" s="12">
        <v>1909</v>
      </c>
      <c r="B1618" s="12">
        <v>117</v>
      </c>
      <c r="C1618" s="12">
        <v>1876</v>
      </c>
      <c r="D1618" s="12" t="s">
        <v>6047</v>
      </c>
      <c r="E1618" s="12" t="s">
        <v>12310</v>
      </c>
      <c r="F1618" s="12" t="s">
        <v>12311</v>
      </c>
      <c r="G1618" s="12" t="s">
        <v>12312</v>
      </c>
      <c r="H1618" s="12" t="s">
        <v>6127</v>
      </c>
      <c r="I1618" s="12" t="s">
        <v>6128</v>
      </c>
      <c r="J1618" s="12">
        <v>1876</v>
      </c>
      <c r="K1618" s="12" t="s">
        <v>6120</v>
      </c>
      <c r="L1618" s="12" t="s">
        <v>6121</v>
      </c>
      <c r="M1618" s="13">
        <v>39245</v>
      </c>
      <c r="N1618" s="12" t="s">
        <v>6122</v>
      </c>
      <c r="O1618" s="12" t="s">
        <v>6123</v>
      </c>
      <c r="P1618" s="12"/>
      <c r="Q1618" s="12">
        <v>1</v>
      </c>
    </row>
    <row r="1619" spans="1:17" ht="15.75" customHeight="1">
      <c r="A1619" s="12">
        <v>384</v>
      </c>
      <c r="B1619" s="12">
        <v>1968</v>
      </c>
      <c r="C1619" s="12">
        <v>34966</v>
      </c>
      <c r="D1619" s="12" t="s">
        <v>6047</v>
      </c>
      <c r="E1619" s="12" t="s">
        <v>12313</v>
      </c>
      <c r="F1619" s="12" t="s">
        <v>12314</v>
      </c>
      <c r="G1619" s="12" t="s">
        <v>12315</v>
      </c>
      <c r="H1619" s="12" t="s">
        <v>6051</v>
      </c>
      <c r="I1619" s="12" t="s">
        <v>6700</v>
      </c>
      <c r="J1619" s="12">
        <v>34966</v>
      </c>
      <c r="K1619" s="12" t="s">
        <v>7310</v>
      </c>
      <c r="L1619" s="12" t="s">
        <v>7311</v>
      </c>
      <c r="M1619" s="13">
        <v>44718</v>
      </c>
      <c r="N1619" s="12" t="s">
        <v>7312</v>
      </c>
      <c r="O1619" s="12" t="s">
        <v>7313</v>
      </c>
      <c r="P1619" s="12"/>
      <c r="Q1619" s="12">
        <v>1</v>
      </c>
    </row>
    <row r="1620" spans="1:17" ht="15.75" customHeight="1">
      <c r="A1620" s="12">
        <v>998</v>
      </c>
      <c r="B1620" s="12">
        <v>731</v>
      </c>
      <c r="C1620" s="12">
        <v>8897</v>
      </c>
      <c r="D1620" s="12" t="s">
        <v>6047</v>
      </c>
      <c r="E1620" s="12" t="s">
        <v>12316</v>
      </c>
      <c r="F1620" s="12" t="s">
        <v>12317</v>
      </c>
      <c r="G1620" s="12" t="s">
        <v>12318</v>
      </c>
      <c r="H1620" s="12" t="s">
        <v>6275</v>
      </c>
      <c r="I1620" s="12" t="s">
        <v>6453</v>
      </c>
      <c r="J1620" s="12">
        <v>8897</v>
      </c>
      <c r="K1620" s="12" t="s">
        <v>7376</v>
      </c>
      <c r="L1620" s="12" t="s">
        <v>6054</v>
      </c>
      <c r="M1620" s="13">
        <v>42693</v>
      </c>
      <c r="N1620" s="12" t="s">
        <v>7377</v>
      </c>
      <c r="O1620" s="12" t="s">
        <v>9139</v>
      </c>
      <c r="P1620" s="12"/>
      <c r="Q1620" s="12">
        <v>1</v>
      </c>
    </row>
    <row r="1621" spans="1:17" ht="15.75" customHeight="1">
      <c r="A1621" s="12">
        <v>910</v>
      </c>
      <c r="B1621" s="12">
        <v>964</v>
      </c>
      <c r="C1621" s="12">
        <v>12996</v>
      </c>
      <c r="D1621" s="12" t="s">
        <v>6047</v>
      </c>
      <c r="E1621" s="12" t="s">
        <v>12319</v>
      </c>
      <c r="F1621" s="12" t="s">
        <v>12320</v>
      </c>
      <c r="G1621" s="12" t="s">
        <v>12321</v>
      </c>
      <c r="H1621" s="12" t="s">
        <v>6627</v>
      </c>
      <c r="I1621" s="12" t="s">
        <v>7504</v>
      </c>
      <c r="J1621" s="12">
        <v>12996</v>
      </c>
      <c r="K1621" s="12" t="s">
        <v>7209</v>
      </c>
      <c r="L1621" s="12" t="s">
        <v>6955</v>
      </c>
      <c r="M1621" s="13">
        <v>42830</v>
      </c>
      <c r="N1621" s="12" t="s">
        <v>7210</v>
      </c>
      <c r="O1621" s="12" t="s">
        <v>12322</v>
      </c>
      <c r="P1621" s="12"/>
      <c r="Q1621" s="12">
        <v>1</v>
      </c>
    </row>
    <row r="1622" spans="1:17" ht="15.75" customHeight="1">
      <c r="A1622" s="12">
        <v>594</v>
      </c>
      <c r="B1622" s="12">
        <v>1909</v>
      </c>
      <c r="C1622" s="12">
        <v>34387</v>
      </c>
      <c r="D1622" s="12" t="s">
        <v>6047</v>
      </c>
      <c r="E1622" s="12" t="s">
        <v>12323</v>
      </c>
      <c r="F1622" s="12" t="s">
        <v>12324</v>
      </c>
      <c r="G1622" s="12" t="s">
        <v>12325</v>
      </c>
      <c r="H1622" s="12" t="s">
        <v>6051</v>
      </c>
      <c r="I1622" s="12" t="s">
        <v>6362</v>
      </c>
      <c r="J1622" s="12">
        <v>34387</v>
      </c>
      <c r="K1622" s="12" t="s">
        <v>11237</v>
      </c>
      <c r="L1622" s="12" t="s">
        <v>6408</v>
      </c>
      <c r="M1622" s="13">
        <v>43560</v>
      </c>
      <c r="N1622" s="12" t="s">
        <v>11238</v>
      </c>
      <c r="O1622" s="12" t="s">
        <v>11239</v>
      </c>
      <c r="P1622" s="12"/>
      <c r="Q1622" s="12">
        <v>1</v>
      </c>
    </row>
    <row r="1623" spans="1:17" ht="15.75" customHeight="1">
      <c r="A1623" s="12">
        <v>743</v>
      </c>
      <c r="B1623" s="12">
        <v>1629</v>
      </c>
      <c r="C1623" s="12">
        <v>28761</v>
      </c>
      <c r="D1623" s="12" t="s">
        <v>6047</v>
      </c>
      <c r="E1623" s="12" t="s">
        <v>12326</v>
      </c>
      <c r="F1623" s="12" t="s">
        <v>12327</v>
      </c>
      <c r="G1623" s="12" t="s">
        <v>12328</v>
      </c>
      <c r="H1623" s="12" t="s">
        <v>6051</v>
      </c>
      <c r="I1623" s="12" t="s">
        <v>6366</v>
      </c>
      <c r="J1623" s="12">
        <v>28761</v>
      </c>
      <c r="K1623" s="12" t="s">
        <v>6838</v>
      </c>
      <c r="L1623" s="12" t="s">
        <v>6839</v>
      </c>
      <c r="M1623" s="13">
        <v>43196</v>
      </c>
      <c r="N1623" s="12" t="s">
        <v>6840</v>
      </c>
      <c r="O1623" s="12" t="s">
        <v>7536</v>
      </c>
      <c r="P1623" s="12"/>
      <c r="Q1623" s="12">
        <v>1</v>
      </c>
    </row>
    <row r="1624" spans="1:17" ht="15.75" customHeight="1">
      <c r="A1624" s="12">
        <v>163</v>
      </c>
      <c r="B1624" s="12">
        <v>1171</v>
      </c>
      <c r="C1624" s="12">
        <v>16803</v>
      </c>
      <c r="D1624" s="12" t="s">
        <v>6047</v>
      </c>
      <c r="E1624" s="12" t="s">
        <v>12329</v>
      </c>
      <c r="F1624" s="12" t="s">
        <v>12330</v>
      </c>
      <c r="G1624" s="12" t="s">
        <v>12331</v>
      </c>
      <c r="H1624" s="12" t="s">
        <v>6051</v>
      </c>
      <c r="I1624" s="12" t="s">
        <v>6052</v>
      </c>
      <c r="J1624" s="12">
        <v>16803</v>
      </c>
      <c r="K1624" s="12" t="s">
        <v>11031</v>
      </c>
      <c r="L1624" s="12" t="s">
        <v>6709</v>
      </c>
      <c r="M1624" s="13">
        <v>45754</v>
      </c>
      <c r="N1624" s="12" t="s">
        <v>11032</v>
      </c>
      <c r="O1624" s="12" t="s">
        <v>12332</v>
      </c>
      <c r="P1624" s="12"/>
      <c r="Q1624" s="12">
        <v>1</v>
      </c>
    </row>
    <row r="1625" spans="1:17" ht="15.75" customHeight="1">
      <c r="A1625" s="12">
        <v>1473</v>
      </c>
      <c r="B1625" s="12">
        <v>1667</v>
      </c>
      <c r="C1625" s="12">
        <v>30786</v>
      </c>
      <c r="D1625" s="12" t="s">
        <v>6047</v>
      </c>
      <c r="E1625" s="12" t="s">
        <v>4839</v>
      </c>
      <c r="F1625" s="12" t="s">
        <v>12333</v>
      </c>
      <c r="G1625" s="12" t="s">
        <v>12334</v>
      </c>
      <c r="H1625" s="12" t="s">
        <v>6051</v>
      </c>
      <c r="I1625" s="12" t="s">
        <v>6100</v>
      </c>
      <c r="J1625" s="12">
        <v>30786</v>
      </c>
      <c r="K1625" s="12" t="s">
        <v>6069</v>
      </c>
      <c r="L1625" s="12" t="s">
        <v>6070</v>
      </c>
      <c r="M1625" s="13">
        <v>41906</v>
      </c>
      <c r="N1625" s="12" t="s">
        <v>6071</v>
      </c>
      <c r="O1625" s="12" t="s">
        <v>6134</v>
      </c>
      <c r="P1625" s="12"/>
      <c r="Q1625" s="12">
        <v>1</v>
      </c>
    </row>
    <row r="1626" spans="1:17" ht="15.75" customHeight="1">
      <c r="A1626" s="12">
        <v>134</v>
      </c>
      <c r="B1626" s="12">
        <v>1260</v>
      </c>
      <c r="C1626" s="12">
        <v>17858</v>
      </c>
      <c r="D1626" s="12" t="s">
        <v>6047</v>
      </c>
      <c r="E1626" s="12" t="s">
        <v>4841</v>
      </c>
      <c r="F1626" s="12" t="s">
        <v>12335</v>
      </c>
      <c r="G1626" s="12" t="s">
        <v>12336</v>
      </c>
      <c r="H1626" s="12" t="s">
        <v>6051</v>
      </c>
      <c r="I1626" s="12" t="s">
        <v>6857</v>
      </c>
      <c r="J1626" s="12">
        <v>17858</v>
      </c>
      <c r="K1626" s="12" t="s">
        <v>8220</v>
      </c>
      <c r="L1626" s="12" t="s">
        <v>6511</v>
      </c>
      <c r="M1626" s="13">
        <v>45965</v>
      </c>
      <c r="N1626" s="12" t="s">
        <v>8221</v>
      </c>
      <c r="O1626" s="12" t="s">
        <v>8222</v>
      </c>
      <c r="P1626" s="12"/>
      <c r="Q1626" s="12">
        <v>1</v>
      </c>
    </row>
    <row r="1627" spans="1:17" ht="15.75" customHeight="1">
      <c r="A1627" s="12">
        <v>102</v>
      </c>
      <c r="B1627" s="12">
        <v>1249</v>
      </c>
      <c r="C1627" s="12">
        <v>17664</v>
      </c>
      <c r="D1627" s="12" t="s">
        <v>6047</v>
      </c>
      <c r="E1627" s="12" t="s">
        <v>4843</v>
      </c>
      <c r="F1627" s="12" t="s">
        <v>12337</v>
      </c>
      <c r="G1627" s="12" t="s">
        <v>12338</v>
      </c>
      <c r="H1627" s="12" t="s">
        <v>6051</v>
      </c>
      <c r="I1627" s="12" t="s">
        <v>11297</v>
      </c>
      <c r="J1627" s="12">
        <v>17664</v>
      </c>
      <c r="K1627" s="12" t="s">
        <v>8550</v>
      </c>
      <c r="L1627" s="12" t="s">
        <v>6511</v>
      </c>
      <c r="M1627" s="13">
        <v>45967</v>
      </c>
      <c r="N1627" s="12" t="s">
        <v>8551</v>
      </c>
      <c r="O1627" s="12" t="s">
        <v>8552</v>
      </c>
      <c r="P1627" s="12"/>
      <c r="Q1627" s="12">
        <v>1</v>
      </c>
    </row>
    <row r="1628" spans="1:17" ht="15.75" customHeight="1">
      <c r="A1628" s="12">
        <v>434</v>
      </c>
      <c r="B1628" s="12">
        <v>1831</v>
      </c>
      <c r="C1628" s="12">
        <v>33750</v>
      </c>
      <c r="D1628" s="12" t="s">
        <v>6047</v>
      </c>
      <c r="E1628" s="12" t="s">
        <v>12339</v>
      </c>
      <c r="F1628" s="12" t="s">
        <v>12340</v>
      </c>
      <c r="G1628" s="12" t="s">
        <v>12341</v>
      </c>
      <c r="H1628" s="12" t="s">
        <v>6051</v>
      </c>
      <c r="I1628" s="12" t="s">
        <v>6261</v>
      </c>
      <c r="J1628" s="12">
        <v>33750</v>
      </c>
      <c r="K1628" s="12" t="s">
        <v>12342</v>
      </c>
      <c r="L1628" s="12" t="s">
        <v>6345</v>
      </c>
      <c r="M1628" s="13">
        <v>44645</v>
      </c>
      <c r="N1628" s="12" t="s">
        <v>12343</v>
      </c>
      <c r="O1628" s="12" t="s">
        <v>12344</v>
      </c>
      <c r="P1628" s="12" t="s">
        <v>6196</v>
      </c>
      <c r="Q1628" s="12">
        <v>1</v>
      </c>
    </row>
    <row r="1629" spans="1:17" ht="15.75" customHeight="1">
      <c r="A1629" s="12">
        <v>948</v>
      </c>
      <c r="B1629" s="12">
        <v>894</v>
      </c>
      <c r="C1629" s="12">
        <v>11885</v>
      </c>
      <c r="D1629" s="12" t="s">
        <v>6047</v>
      </c>
      <c r="E1629" s="12" t="s">
        <v>12345</v>
      </c>
      <c r="F1629" s="12" t="s">
        <v>12346</v>
      </c>
      <c r="G1629" s="12" t="s">
        <v>12347</v>
      </c>
      <c r="H1629" s="12" t="s">
        <v>6060</v>
      </c>
      <c r="I1629" s="12" t="s">
        <v>6061</v>
      </c>
      <c r="J1629" s="12">
        <v>11885</v>
      </c>
      <c r="K1629" s="12" t="s">
        <v>7225</v>
      </c>
      <c r="L1629" s="12" t="s">
        <v>6054</v>
      </c>
      <c r="M1629" s="13">
        <v>42827</v>
      </c>
      <c r="N1629" s="12" t="s">
        <v>7226</v>
      </c>
      <c r="O1629" s="12" t="s">
        <v>7227</v>
      </c>
      <c r="P1629" s="12"/>
      <c r="Q1629" s="12">
        <v>1</v>
      </c>
    </row>
    <row r="1630" spans="1:17" ht="15.75" customHeight="1">
      <c r="A1630" s="12">
        <v>1681</v>
      </c>
      <c r="B1630" s="12">
        <v>1554</v>
      </c>
      <c r="C1630" s="12">
        <v>27491</v>
      </c>
      <c r="D1630" s="12" t="s">
        <v>6047</v>
      </c>
      <c r="E1630" s="12" t="s">
        <v>12348</v>
      </c>
      <c r="F1630" s="12" t="s">
        <v>12349</v>
      </c>
      <c r="G1630" s="12" t="s">
        <v>12350</v>
      </c>
      <c r="H1630" s="12" t="s">
        <v>6051</v>
      </c>
      <c r="I1630" s="12" t="s">
        <v>6704</v>
      </c>
      <c r="J1630" s="12">
        <v>27491</v>
      </c>
      <c r="K1630" s="12" t="s">
        <v>7260</v>
      </c>
      <c r="L1630" s="12" t="s">
        <v>7261</v>
      </c>
      <c r="M1630" s="13">
        <v>40879</v>
      </c>
      <c r="N1630" s="12" t="s">
        <v>7262</v>
      </c>
      <c r="O1630" s="12" t="s">
        <v>7263</v>
      </c>
      <c r="P1630" s="12"/>
      <c r="Q1630" s="12">
        <v>1</v>
      </c>
    </row>
    <row r="1631" spans="1:17" ht="15.75" customHeight="1">
      <c r="A1631" s="12">
        <v>1052</v>
      </c>
      <c r="B1631" s="12">
        <v>840</v>
      </c>
      <c r="C1631" s="12">
        <v>10787</v>
      </c>
      <c r="D1631" s="12" t="s">
        <v>6047</v>
      </c>
      <c r="E1631" s="12" t="s">
        <v>12351</v>
      </c>
      <c r="F1631" s="12" t="s">
        <v>12352</v>
      </c>
      <c r="G1631" s="12" t="s">
        <v>12353</v>
      </c>
      <c r="H1631" s="12" t="s">
        <v>6060</v>
      </c>
      <c r="I1631" s="12" t="s">
        <v>10931</v>
      </c>
      <c r="J1631" s="12">
        <v>10787</v>
      </c>
      <c r="K1631" s="12" t="s">
        <v>6927</v>
      </c>
      <c r="L1631" s="12" t="s">
        <v>6504</v>
      </c>
      <c r="M1631" s="13">
        <v>42687</v>
      </c>
      <c r="N1631" s="12" t="s">
        <v>6928</v>
      </c>
      <c r="O1631" s="12" t="s">
        <v>12354</v>
      </c>
      <c r="P1631" s="12"/>
      <c r="Q1631" s="12">
        <v>1</v>
      </c>
    </row>
    <row r="1632" spans="1:17" ht="15.75" customHeight="1">
      <c r="A1632" s="12">
        <v>405</v>
      </c>
      <c r="B1632" s="12">
        <v>1050</v>
      </c>
      <c r="C1632" s="12">
        <v>14941</v>
      </c>
      <c r="D1632" s="12" t="s">
        <v>6047</v>
      </c>
      <c r="E1632" s="12" t="s">
        <v>12355</v>
      </c>
      <c r="F1632" s="12" t="s">
        <v>12356</v>
      </c>
      <c r="G1632" s="12" t="s">
        <v>12357</v>
      </c>
      <c r="H1632" s="12" t="s">
        <v>6051</v>
      </c>
      <c r="I1632" s="12" t="s">
        <v>6476</v>
      </c>
      <c r="J1632" s="12">
        <v>14941</v>
      </c>
      <c r="K1632" s="12" t="s">
        <v>7267</v>
      </c>
      <c r="L1632" s="12" t="s">
        <v>7020</v>
      </c>
      <c r="M1632" s="13">
        <v>44715</v>
      </c>
      <c r="N1632" s="12" t="s">
        <v>7268</v>
      </c>
      <c r="O1632" s="12" t="s">
        <v>12358</v>
      </c>
      <c r="P1632" s="12"/>
      <c r="Q1632" s="12">
        <v>1</v>
      </c>
    </row>
    <row r="1633" spans="1:17" ht="15.75" customHeight="1">
      <c r="A1633" s="12">
        <v>1090</v>
      </c>
      <c r="B1633" s="12">
        <v>1013</v>
      </c>
      <c r="C1633" s="12">
        <v>14104</v>
      </c>
      <c r="D1633" s="12" t="s">
        <v>6047</v>
      </c>
      <c r="E1633" s="12" t="s">
        <v>12359</v>
      </c>
      <c r="F1633" s="12" t="s">
        <v>12360</v>
      </c>
      <c r="G1633" s="12" t="s">
        <v>12361</v>
      </c>
      <c r="H1633" s="12" t="s">
        <v>6051</v>
      </c>
      <c r="I1633" s="12" t="s">
        <v>6741</v>
      </c>
      <c r="J1633" s="12">
        <v>14104</v>
      </c>
      <c r="K1633" s="12" t="s">
        <v>7166</v>
      </c>
      <c r="L1633" s="12" t="s">
        <v>6504</v>
      </c>
      <c r="M1633" s="13">
        <v>42685</v>
      </c>
      <c r="N1633" s="12" t="s">
        <v>7167</v>
      </c>
      <c r="O1633" s="12" t="s">
        <v>7168</v>
      </c>
      <c r="P1633" s="12"/>
      <c r="Q1633" s="12">
        <v>1</v>
      </c>
    </row>
    <row r="1634" spans="1:17" ht="15.75" customHeight="1">
      <c r="A1634" s="12">
        <v>1075</v>
      </c>
      <c r="B1634" s="12">
        <v>1069</v>
      </c>
      <c r="C1634" s="12">
        <v>15287</v>
      </c>
      <c r="D1634" s="12" t="s">
        <v>6047</v>
      </c>
      <c r="E1634" s="12" t="s">
        <v>12362</v>
      </c>
      <c r="F1634" s="12" t="s">
        <v>12363</v>
      </c>
      <c r="G1634" s="12" t="s">
        <v>12364</v>
      </c>
      <c r="H1634" s="12" t="s">
        <v>6051</v>
      </c>
      <c r="I1634" s="12" t="s">
        <v>6476</v>
      </c>
      <c r="J1634" s="12">
        <v>15287</v>
      </c>
      <c r="K1634" s="12" t="s">
        <v>6927</v>
      </c>
      <c r="L1634" s="12" t="s">
        <v>6504</v>
      </c>
      <c r="M1634" s="13">
        <v>42686</v>
      </c>
      <c r="N1634" s="12" t="s">
        <v>6928</v>
      </c>
      <c r="O1634" s="12" t="s">
        <v>6929</v>
      </c>
      <c r="P1634" s="12"/>
      <c r="Q1634" s="12">
        <v>1</v>
      </c>
    </row>
    <row r="1635" spans="1:17" ht="15.75" customHeight="1">
      <c r="A1635" s="12">
        <v>877</v>
      </c>
      <c r="B1635" s="12">
        <v>133</v>
      </c>
      <c r="C1635" s="12">
        <v>2064</v>
      </c>
      <c r="D1635" s="12" t="s">
        <v>6047</v>
      </c>
      <c r="E1635" s="12" t="s">
        <v>12365</v>
      </c>
      <c r="F1635" s="12" t="s">
        <v>12366</v>
      </c>
      <c r="G1635" s="12" t="s">
        <v>12367</v>
      </c>
      <c r="H1635" s="12" t="s">
        <v>6127</v>
      </c>
      <c r="I1635" s="12" t="s">
        <v>6128</v>
      </c>
      <c r="J1635" s="12">
        <v>2064</v>
      </c>
      <c r="K1635" s="12" t="s">
        <v>10706</v>
      </c>
      <c r="L1635" s="12" t="s">
        <v>6564</v>
      </c>
      <c r="M1635" s="13">
        <v>43016</v>
      </c>
      <c r="N1635" s="12" t="s">
        <v>10707</v>
      </c>
      <c r="O1635" s="12" t="s">
        <v>10708</v>
      </c>
      <c r="P1635" s="12" t="s">
        <v>6196</v>
      </c>
      <c r="Q1635" s="12">
        <v>1</v>
      </c>
    </row>
    <row r="1636" spans="1:17" ht="15.75" customHeight="1">
      <c r="A1636" s="12">
        <v>1924</v>
      </c>
      <c r="B1636" s="12">
        <v>734</v>
      </c>
      <c r="C1636" s="12">
        <v>8932</v>
      </c>
      <c r="D1636" s="12" t="s">
        <v>6047</v>
      </c>
      <c r="E1636" s="12" t="s">
        <v>12368</v>
      </c>
      <c r="F1636" s="12" t="s">
        <v>12369</v>
      </c>
      <c r="G1636" s="12" t="s">
        <v>12370</v>
      </c>
      <c r="H1636" s="12" t="s">
        <v>6275</v>
      </c>
      <c r="I1636" s="12" t="s">
        <v>6453</v>
      </c>
      <c r="J1636" s="12">
        <v>8932</v>
      </c>
      <c r="K1636" s="12" t="s">
        <v>7476</v>
      </c>
      <c r="L1636" s="12" t="s">
        <v>7477</v>
      </c>
      <c r="M1636" s="13">
        <v>39237</v>
      </c>
      <c r="N1636" s="12" t="s">
        <v>7478</v>
      </c>
      <c r="O1636" s="12" t="s">
        <v>7479</v>
      </c>
      <c r="P1636" s="12"/>
      <c r="Q1636" s="12">
        <v>1</v>
      </c>
    </row>
    <row r="1637" spans="1:17" ht="15.75" customHeight="1">
      <c r="A1637" s="12">
        <v>832</v>
      </c>
      <c r="B1637" s="12">
        <v>1286</v>
      </c>
      <c r="C1637" s="12">
        <v>18227</v>
      </c>
      <c r="D1637" s="12" t="s">
        <v>6047</v>
      </c>
      <c r="E1637" s="12" t="s">
        <v>12371</v>
      </c>
      <c r="F1637" s="12" t="s">
        <v>12372</v>
      </c>
      <c r="G1637" s="12" t="s">
        <v>12373</v>
      </c>
      <c r="H1637" s="12" t="s">
        <v>6051</v>
      </c>
      <c r="I1637" s="12" t="s">
        <v>9056</v>
      </c>
      <c r="J1637" s="12">
        <v>18227</v>
      </c>
      <c r="K1637" s="12" t="s">
        <v>12374</v>
      </c>
      <c r="L1637" s="12" t="s">
        <v>6564</v>
      </c>
      <c r="M1637" s="13">
        <v>43022</v>
      </c>
      <c r="N1637" s="12" t="s">
        <v>12375</v>
      </c>
      <c r="O1637" s="12" t="s">
        <v>12376</v>
      </c>
      <c r="P1637" s="12"/>
      <c r="Q1637" s="12">
        <v>1</v>
      </c>
    </row>
    <row r="1638" spans="1:17" ht="15.75" customHeight="1">
      <c r="A1638" s="12">
        <v>1738</v>
      </c>
      <c r="B1638" s="12">
        <v>442</v>
      </c>
      <c r="C1638" s="12">
        <v>6126</v>
      </c>
      <c r="D1638" s="12" t="s">
        <v>6047</v>
      </c>
      <c r="E1638" s="12" t="s">
        <v>4865</v>
      </c>
      <c r="F1638" s="12" t="s">
        <v>12377</v>
      </c>
      <c r="G1638" s="12" t="s">
        <v>12378</v>
      </c>
      <c r="H1638" s="12" t="s">
        <v>6137</v>
      </c>
      <c r="I1638" s="12" t="s">
        <v>6391</v>
      </c>
      <c r="J1638" s="12">
        <v>6126</v>
      </c>
      <c r="K1638" s="12" t="s">
        <v>7000</v>
      </c>
      <c r="L1638" s="12" t="s">
        <v>7001</v>
      </c>
      <c r="M1638" s="13">
        <v>40875</v>
      </c>
      <c r="N1638" s="12" t="s">
        <v>7002</v>
      </c>
      <c r="O1638" s="12" t="s">
        <v>7003</v>
      </c>
      <c r="P1638" s="12"/>
      <c r="Q1638" s="12">
        <v>1</v>
      </c>
    </row>
    <row r="1639" spans="1:17" ht="15.75" customHeight="1">
      <c r="A1639" s="12">
        <v>1540</v>
      </c>
      <c r="B1639" s="12">
        <v>1797</v>
      </c>
      <c r="C1639" s="12">
        <v>33386</v>
      </c>
      <c r="D1639" s="12" t="s">
        <v>6047</v>
      </c>
      <c r="E1639" s="12" t="s">
        <v>12379</v>
      </c>
      <c r="F1639" s="12" t="s">
        <v>12380</v>
      </c>
      <c r="G1639" s="12" t="s">
        <v>12381</v>
      </c>
      <c r="H1639" s="12" t="s">
        <v>6051</v>
      </c>
      <c r="I1639" s="12" t="s">
        <v>6374</v>
      </c>
      <c r="J1639" s="12">
        <v>33386</v>
      </c>
      <c r="K1639" s="12" t="s">
        <v>9769</v>
      </c>
      <c r="L1639" s="12" t="s">
        <v>6255</v>
      </c>
      <c r="M1639" s="13">
        <v>41567</v>
      </c>
      <c r="N1639" s="12" t="s">
        <v>9770</v>
      </c>
      <c r="O1639" s="12" t="s">
        <v>9771</v>
      </c>
      <c r="P1639" s="12"/>
      <c r="Q1639" s="12">
        <v>1</v>
      </c>
    </row>
    <row r="1640" spans="1:17" ht="15.75" customHeight="1">
      <c r="A1640" s="12">
        <v>391</v>
      </c>
      <c r="B1640" s="12">
        <v>95</v>
      </c>
      <c r="C1640" s="12">
        <v>1170</v>
      </c>
      <c r="D1640" s="12" t="s">
        <v>6047</v>
      </c>
      <c r="E1640" s="12" t="s">
        <v>12382</v>
      </c>
      <c r="F1640" s="12" t="s">
        <v>12383</v>
      </c>
      <c r="G1640" s="12" t="s">
        <v>12384</v>
      </c>
      <c r="H1640" s="12" t="s">
        <v>6435</v>
      </c>
      <c r="I1640" s="12" t="s">
        <v>7403</v>
      </c>
      <c r="J1640" s="12">
        <v>1170</v>
      </c>
      <c r="K1640" s="12" t="s">
        <v>7846</v>
      </c>
      <c r="L1640" s="12" t="s">
        <v>7020</v>
      </c>
      <c r="M1640" s="13">
        <v>44717</v>
      </c>
      <c r="N1640" s="12" t="s">
        <v>7847</v>
      </c>
      <c r="O1640" s="12" t="s">
        <v>12385</v>
      </c>
      <c r="P1640" s="12"/>
      <c r="Q1640" s="12">
        <v>1</v>
      </c>
    </row>
    <row r="1641" spans="1:17" ht="15.75" customHeight="1">
      <c r="A1641" s="12">
        <v>1088</v>
      </c>
      <c r="B1641" s="12">
        <v>1045</v>
      </c>
      <c r="C1641" s="12">
        <v>14857</v>
      </c>
      <c r="D1641" s="12" t="s">
        <v>6047</v>
      </c>
      <c r="E1641" s="12" t="s">
        <v>12386</v>
      </c>
      <c r="F1641" s="12" t="s">
        <v>12387</v>
      </c>
      <c r="G1641" s="12" t="s">
        <v>12388</v>
      </c>
      <c r="H1641" s="12" t="s">
        <v>6051</v>
      </c>
      <c r="I1641" s="12" t="s">
        <v>6476</v>
      </c>
      <c r="J1641" s="12">
        <v>14857</v>
      </c>
      <c r="K1641" s="12" t="s">
        <v>7166</v>
      </c>
      <c r="L1641" s="12" t="s">
        <v>6504</v>
      </c>
      <c r="M1641" s="13">
        <v>42685</v>
      </c>
      <c r="N1641" s="12" t="s">
        <v>7167</v>
      </c>
      <c r="O1641" s="12" t="s">
        <v>7168</v>
      </c>
      <c r="P1641" s="12"/>
      <c r="Q1641" s="12">
        <v>1</v>
      </c>
    </row>
    <row r="1642" spans="1:17" ht="15.75" customHeight="1">
      <c r="A1642" s="12">
        <v>674</v>
      </c>
      <c r="B1642" s="12">
        <v>99</v>
      </c>
      <c r="C1642" s="12">
        <v>1406</v>
      </c>
      <c r="D1642" s="12" t="s">
        <v>6047</v>
      </c>
      <c r="E1642" s="12" t="s">
        <v>12389</v>
      </c>
      <c r="F1642" s="12" t="s">
        <v>12390</v>
      </c>
      <c r="G1642" s="12" t="s">
        <v>12391</v>
      </c>
      <c r="H1642" s="12" t="s">
        <v>6435</v>
      </c>
      <c r="I1642" s="12" t="s">
        <v>6920</v>
      </c>
      <c r="J1642" s="12">
        <v>1406</v>
      </c>
      <c r="K1642" s="12" t="s">
        <v>12392</v>
      </c>
      <c r="L1642" s="12" t="s">
        <v>6240</v>
      </c>
      <c r="M1642" s="13">
        <v>43370</v>
      </c>
      <c r="N1642" s="12" t="s">
        <v>12393</v>
      </c>
      <c r="O1642" s="12" t="s">
        <v>12394</v>
      </c>
      <c r="P1642" s="12"/>
      <c r="Q1642" s="12">
        <v>1</v>
      </c>
    </row>
    <row r="1643" spans="1:17" ht="15.75" customHeight="1">
      <c r="A1643" s="12">
        <v>1372</v>
      </c>
      <c r="B1643" s="12">
        <v>26</v>
      </c>
      <c r="C1643" s="12">
        <v>429</v>
      </c>
      <c r="D1643" s="12" t="s">
        <v>6047</v>
      </c>
      <c r="E1643" s="12" t="s">
        <v>12395</v>
      </c>
      <c r="F1643" s="12" t="s">
        <v>12396</v>
      </c>
      <c r="G1643" s="12" t="s">
        <v>12397</v>
      </c>
      <c r="H1643" s="12" t="s">
        <v>6289</v>
      </c>
      <c r="I1643" s="12" t="s">
        <v>6290</v>
      </c>
      <c r="J1643" s="12">
        <v>429</v>
      </c>
      <c r="K1643" s="12" t="s">
        <v>6077</v>
      </c>
      <c r="L1643" s="12" t="s">
        <v>6078</v>
      </c>
      <c r="M1643" s="13">
        <v>41915</v>
      </c>
      <c r="N1643" s="12" t="s">
        <v>6079</v>
      </c>
      <c r="O1643" s="12" t="s">
        <v>7172</v>
      </c>
      <c r="P1643" s="12"/>
      <c r="Q1643" s="12">
        <v>1</v>
      </c>
    </row>
    <row r="1644" spans="1:17" ht="15.75" customHeight="1">
      <c r="A1644" s="12">
        <v>2014</v>
      </c>
      <c r="B1644" s="12">
        <v>407</v>
      </c>
      <c r="C1644" s="12">
        <v>5861</v>
      </c>
      <c r="D1644" s="12" t="s">
        <v>6047</v>
      </c>
      <c r="E1644" s="12" t="s">
        <v>12398</v>
      </c>
      <c r="F1644" s="12" t="s">
        <v>12399</v>
      </c>
      <c r="G1644" s="12" t="s">
        <v>12400</v>
      </c>
      <c r="H1644" s="12" t="s">
        <v>6137</v>
      </c>
      <c r="I1644" s="12" t="s">
        <v>6323</v>
      </c>
      <c r="J1644" s="12">
        <v>5861</v>
      </c>
      <c r="K1644" s="12" t="s">
        <v>6112</v>
      </c>
      <c r="L1644" s="12" t="s">
        <v>6113</v>
      </c>
      <c r="M1644" s="13">
        <v>38573</v>
      </c>
      <c r="N1644" s="12" t="s">
        <v>6114</v>
      </c>
      <c r="O1644" s="12" t="s">
        <v>6115</v>
      </c>
      <c r="P1644" s="12"/>
      <c r="Q1644" s="12">
        <v>1</v>
      </c>
    </row>
    <row r="1645" spans="1:17" ht="15.75" customHeight="1">
      <c r="A1645" s="12">
        <v>2008</v>
      </c>
      <c r="B1645" s="12">
        <v>614</v>
      </c>
      <c r="C1645" s="12">
        <v>7714</v>
      </c>
      <c r="D1645" s="12" t="s">
        <v>6047</v>
      </c>
      <c r="E1645" s="12" t="s">
        <v>12401</v>
      </c>
      <c r="F1645" s="12" t="s">
        <v>12402</v>
      </c>
      <c r="G1645" s="12" t="s">
        <v>12403</v>
      </c>
      <c r="H1645" s="12" t="s">
        <v>6187</v>
      </c>
      <c r="I1645" s="12" t="s">
        <v>6224</v>
      </c>
      <c r="J1645" s="12">
        <v>7714</v>
      </c>
      <c r="K1645" s="12" t="s">
        <v>6112</v>
      </c>
      <c r="L1645" s="12" t="s">
        <v>6113</v>
      </c>
      <c r="M1645" s="13">
        <v>38573</v>
      </c>
      <c r="N1645" s="12" t="s">
        <v>6114</v>
      </c>
      <c r="O1645" s="12" t="s">
        <v>6115</v>
      </c>
      <c r="P1645" s="12"/>
      <c r="Q1645" s="12">
        <v>1</v>
      </c>
    </row>
    <row r="1646" spans="1:17" ht="15.75" customHeight="1">
      <c r="A1646" s="12">
        <v>1379</v>
      </c>
      <c r="B1646" s="12">
        <v>1391</v>
      </c>
      <c r="C1646" s="12">
        <v>20408</v>
      </c>
      <c r="D1646" s="12" t="s">
        <v>6047</v>
      </c>
      <c r="E1646" s="12" t="s">
        <v>4926</v>
      </c>
      <c r="F1646" s="12" t="s">
        <v>12404</v>
      </c>
      <c r="G1646" s="12" t="s">
        <v>12405</v>
      </c>
      <c r="H1646" s="12" t="s">
        <v>6051</v>
      </c>
      <c r="I1646" s="12" t="s">
        <v>8560</v>
      </c>
      <c r="J1646" s="12">
        <v>20408</v>
      </c>
      <c r="K1646" s="12" t="s">
        <v>6077</v>
      </c>
      <c r="L1646" s="12" t="s">
        <v>6078</v>
      </c>
      <c r="M1646" s="13">
        <v>41914</v>
      </c>
      <c r="N1646" s="12" t="s">
        <v>6079</v>
      </c>
      <c r="O1646" s="12" t="s">
        <v>6101</v>
      </c>
      <c r="P1646" s="12"/>
      <c r="Q1646" s="12">
        <v>1</v>
      </c>
    </row>
    <row r="1647" spans="1:17" ht="15.75" customHeight="1">
      <c r="A1647" s="12">
        <v>69</v>
      </c>
      <c r="B1647" s="12">
        <v>653</v>
      </c>
      <c r="C1647" s="12">
        <v>7925</v>
      </c>
      <c r="D1647" s="12" t="s">
        <v>6047</v>
      </c>
      <c r="E1647" s="12" t="s">
        <v>4928</v>
      </c>
      <c r="F1647" s="12" t="s">
        <v>12406</v>
      </c>
      <c r="G1647" s="12" t="s">
        <v>12407</v>
      </c>
      <c r="H1647" s="12" t="s">
        <v>6075</v>
      </c>
      <c r="I1647" s="12" t="s">
        <v>6076</v>
      </c>
      <c r="J1647" s="12">
        <v>7925</v>
      </c>
      <c r="K1647" s="12" t="s">
        <v>8782</v>
      </c>
      <c r="L1647" s="12" t="s">
        <v>6564</v>
      </c>
      <c r="M1647" s="13">
        <v>45971</v>
      </c>
      <c r="N1647" s="12" t="s">
        <v>8783</v>
      </c>
      <c r="O1647" s="12" t="s">
        <v>8784</v>
      </c>
      <c r="P1647" s="12"/>
      <c r="Q1647" s="12">
        <v>1</v>
      </c>
    </row>
    <row r="1648" spans="1:17" ht="15.75" customHeight="1">
      <c r="A1648" s="12">
        <v>1303</v>
      </c>
      <c r="B1648" s="12">
        <v>329</v>
      </c>
      <c r="C1648" s="12">
        <v>5076</v>
      </c>
      <c r="D1648" s="12" t="s">
        <v>6047</v>
      </c>
      <c r="E1648" s="12" t="s">
        <v>12408</v>
      </c>
      <c r="F1648" s="12" t="s">
        <v>12409</v>
      </c>
      <c r="G1648" s="12" t="s">
        <v>12410</v>
      </c>
      <c r="H1648" s="12" t="s">
        <v>6163</v>
      </c>
      <c r="I1648" s="12" t="s">
        <v>6253</v>
      </c>
      <c r="J1648" s="12">
        <v>5076</v>
      </c>
      <c r="K1648" s="12" t="s">
        <v>6422</v>
      </c>
      <c r="L1648" s="12" t="s">
        <v>6423</v>
      </c>
      <c r="M1648" s="13">
        <v>41989</v>
      </c>
      <c r="N1648" s="12" t="s">
        <v>6424</v>
      </c>
      <c r="O1648" s="12" t="s">
        <v>6425</v>
      </c>
      <c r="P1648" s="12"/>
      <c r="Q1648" s="12">
        <v>1</v>
      </c>
    </row>
    <row r="1649" spans="1:17" ht="15.75" customHeight="1">
      <c r="A1649" s="12">
        <v>1662</v>
      </c>
      <c r="B1649" s="12">
        <v>1416</v>
      </c>
      <c r="C1649" s="12">
        <v>21274</v>
      </c>
      <c r="D1649" s="12" t="s">
        <v>6047</v>
      </c>
      <c r="E1649" s="12" t="s">
        <v>4933</v>
      </c>
      <c r="F1649" s="12" t="s">
        <v>12411</v>
      </c>
      <c r="G1649" s="12" t="s">
        <v>12412</v>
      </c>
      <c r="H1649" s="12" t="s">
        <v>6051</v>
      </c>
      <c r="I1649" s="12" t="s">
        <v>6299</v>
      </c>
      <c r="J1649" s="12">
        <v>21274</v>
      </c>
      <c r="K1649" s="12" t="s">
        <v>7410</v>
      </c>
      <c r="L1649" s="12" t="s">
        <v>7411</v>
      </c>
      <c r="M1649" s="13">
        <v>41059</v>
      </c>
      <c r="N1649" s="12" t="s">
        <v>7412</v>
      </c>
      <c r="O1649" s="12" t="s">
        <v>7413</v>
      </c>
      <c r="P1649" s="12"/>
      <c r="Q1649" s="12">
        <v>1</v>
      </c>
    </row>
    <row r="1650" spans="1:17" ht="15.75" customHeight="1">
      <c r="A1650" s="12">
        <v>1264</v>
      </c>
      <c r="B1650" s="12">
        <v>1059</v>
      </c>
      <c r="C1650" s="12">
        <v>15108</v>
      </c>
      <c r="D1650" s="12" t="s">
        <v>6047</v>
      </c>
      <c r="E1650" s="12" t="s">
        <v>12413</v>
      </c>
      <c r="F1650" s="12" t="s">
        <v>12414</v>
      </c>
      <c r="G1650" s="12" t="s">
        <v>12415</v>
      </c>
      <c r="H1650" s="12" t="s">
        <v>6051</v>
      </c>
      <c r="I1650" s="12" t="s">
        <v>6476</v>
      </c>
      <c r="J1650" s="12">
        <v>15108</v>
      </c>
      <c r="K1650" s="12" t="s">
        <v>6470</v>
      </c>
      <c r="L1650" s="12" t="s">
        <v>6423</v>
      </c>
      <c r="M1650" s="13">
        <v>41990</v>
      </c>
      <c r="N1650" s="12" t="s">
        <v>6471</v>
      </c>
      <c r="O1650" s="12" t="s">
        <v>6472</v>
      </c>
      <c r="P1650" s="12"/>
      <c r="Q1650" s="12">
        <v>1</v>
      </c>
    </row>
    <row r="1651" spans="1:17" ht="15.75" customHeight="1">
      <c r="A1651" s="12">
        <v>1040</v>
      </c>
      <c r="B1651" s="12">
        <v>1046</v>
      </c>
      <c r="C1651" s="12">
        <v>14871</v>
      </c>
      <c r="D1651" s="12" t="s">
        <v>6047</v>
      </c>
      <c r="E1651" s="12" t="s">
        <v>12416</v>
      </c>
      <c r="F1651" s="12" t="s">
        <v>12417</v>
      </c>
      <c r="G1651" s="12" t="s">
        <v>12418</v>
      </c>
      <c r="H1651" s="12" t="s">
        <v>6051</v>
      </c>
      <c r="I1651" s="12" t="s">
        <v>6476</v>
      </c>
      <c r="J1651" s="12">
        <v>14871</v>
      </c>
      <c r="K1651" s="12" t="s">
        <v>9893</v>
      </c>
      <c r="L1651" s="12" t="s">
        <v>6504</v>
      </c>
      <c r="M1651" s="13">
        <v>42688</v>
      </c>
      <c r="N1651" s="12" t="s">
        <v>9894</v>
      </c>
      <c r="O1651" s="12" t="s">
        <v>12419</v>
      </c>
      <c r="P1651" s="12"/>
      <c r="Q1651" s="12">
        <v>1</v>
      </c>
    </row>
    <row r="1652" spans="1:17" ht="15.75" customHeight="1">
      <c r="A1652" s="12">
        <v>814</v>
      </c>
      <c r="B1652" s="12">
        <v>584</v>
      </c>
      <c r="C1652" s="12">
        <v>7501</v>
      </c>
      <c r="D1652" s="12" t="s">
        <v>6047</v>
      </c>
      <c r="E1652" s="12" t="s">
        <v>12420</v>
      </c>
      <c r="F1652" s="12" t="s">
        <v>12421</v>
      </c>
      <c r="G1652" s="12" t="s">
        <v>12422</v>
      </c>
      <c r="H1652" s="12" t="s">
        <v>6187</v>
      </c>
      <c r="I1652" s="12" t="s">
        <v>6188</v>
      </c>
      <c r="J1652" s="12">
        <v>7501</v>
      </c>
      <c r="K1652" s="12" t="s">
        <v>9782</v>
      </c>
      <c r="L1652" s="12" t="s">
        <v>6590</v>
      </c>
      <c r="M1652" s="13">
        <v>43028</v>
      </c>
      <c r="N1652" s="12" t="s">
        <v>9783</v>
      </c>
      <c r="O1652" s="12" t="s">
        <v>9784</v>
      </c>
      <c r="P1652" s="12"/>
      <c r="Q1652" s="12">
        <v>1</v>
      </c>
    </row>
    <row r="1653" spans="1:17" ht="15.75" customHeight="1">
      <c r="A1653" s="12">
        <v>454</v>
      </c>
      <c r="B1653" s="12">
        <v>1074</v>
      </c>
      <c r="C1653" s="12">
        <v>15403</v>
      </c>
      <c r="D1653" s="12" t="s">
        <v>6047</v>
      </c>
      <c r="E1653" s="12" t="s">
        <v>12423</v>
      </c>
      <c r="F1653" s="12" t="s">
        <v>12424</v>
      </c>
      <c r="G1653" s="12" t="s">
        <v>12425</v>
      </c>
      <c r="H1653" s="12" t="s">
        <v>6051</v>
      </c>
      <c r="I1653" s="12" t="s">
        <v>6476</v>
      </c>
      <c r="J1653" s="12">
        <v>15403</v>
      </c>
      <c r="K1653" s="12" t="s">
        <v>12426</v>
      </c>
      <c r="L1653" s="12" t="s">
        <v>6498</v>
      </c>
      <c r="M1653" s="13">
        <v>43791</v>
      </c>
      <c r="N1653" s="12" t="s">
        <v>12427</v>
      </c>
      <c r="O1653" s="12" t="s">
        <v>12428</v>
      </c>
      <c r="P1653" s="12"/>
      <c r="Q1653" s="12">
        <v>1</v>
      </c>
    </row>
    <row r="1654" spans="1:17" ht="15.75" customHeight="1">
      <c r="A1654" s="12">
        <v>337</v>
      </c>
      <c r="B1654" s="12">
        <v>1829</v>
      </c>
      <c r="C1654" s="12">
        <v>33724</v>
      </c>
      <c r="D1654" s="12" t="s">
        <v>6047</v>
      </c>
      <c r="E1654" s="12" t="s">
        <v>12429</v>
      </c>
      <c r="F1654" s="12" t="s">
        <v>12430</v>
      </c>
      <c r="G1654" s="12" t="s">
        <v>12431</v>
      </c>
      <c r="H1654" s="12" t="s">
        <v>6051</v>
      </c>
      <c r="I1654" s="12" t="s">
        <v>6261</v>
      </c>
      <c r="J1654" s="12">
        <v>33724</v>
      </c>
      <c r="K1654" s="12" t="s">
        <v>9875</v>
      </c>
      <c r="L1654" s="12" t="s">
        <v>6732</v>
      </c>
      <c r="M1654" s="13">
        <v>44726</v>
      </c>
      <c r="N1654" s="12" t="s">
        <v>9876</v>
      </c>
      <c r="O1654" s="12" t="s">
        <v>12432</v>
      </c>
      <c r="P1654" s="12"/>
      <c r="Q1654" s="12">
        <v>1</v>
      </c>
    </row>
    <row r="1655" spans="1:17" ht="15.75" customHeight="1">
      <c r="A1655" s="12">
        <v>173</v>
      </c>
      <c r="B1655" s="12">
        <v>1078</v>
      </c>
      <c r="C1655" s="12">
        <v>15521</v>
      </c>
      <c r="D1655" s="12" t="s">
        <v>6047</v>
      </c>
      <c r="E1655" s="12" t="s">
        <v>12433</v>
      </c>
      <c r="F1655" s="12" t="s">
        <v>12434</v>
      </c>
      <c r="G1655" s="12" t="s">
        <v>12435</v>
      </c>
      <c r="H1655" s="12" t="s">
        <v>6051</v>
      </c>
      <c r="I1655" s="12" t="s">
        <v>6476</v>
      </c>
      <c r="J1655" s="12">
        <v>15521</v>
      </c>
      <c r="K1655" s="12" t="s">
        <v>7145</v>
      </c>
      <c r="L1655" s="12" t="s">
        <v>6709</v>
      </c>
      <c r="M1655" s="13">
        <v>45753</v>
      </c>
      <c r="N1655" s="12" t="s">
        <v>7146</v>
      </c>
      <c r="O1655" s="12" t="s">
        <v>7147</v>
      </c>
      <c r="P1655" s="12"/>
      <c r="Q1655" s="12">
        <v>1</v>
      </c>
    </row>
    <row r="1656" spans="1:17" ht="15.75" customHeight="1">
      <c r="A1656" s="12">
        <v>578</v>
      </c>
      <c r="B1656" s="12">
        <v>1065</v>
      </c>
      <c r="C1656" s="12">
        <v>15240</v>
      </c>
      <c r="D1656" s="12" t="s">
        <v>6047</v>
      </c>
      <c r="E1656" s="12" t="s">
        <v>12436</v>
      </c>
      <c r="F1656" s="12" t="s">
        <v>12437</v>
      </c>
      <c r="G1656" s="12" t="s">
        <v>12438</v>
      </c>
      <c r="H1656" s="12" t="s">
        <v>6051</v>
      </c>
      <c r="I1656" s="12" t="s">
        <v>6476</v>
      </c>
      <c r="J1656" s="12">
        <v>15240</v>
      </c>
      <c r="K1656" s="12" t="s">
        <v>6407</v>
      </c>
      <c r="L1656" s="12" t="s">
        <v>6408</v>
      </c>
      <c r="M1656" s="13">
        <v>43561</v>
      </c>
      <c r="N1656" s="12" t="s">
        <v>6409</v>
      </c>
      <c r="O1656" s="12" t="s">
        <v>6410</v>
      </c>
      <c r="P1656" s="12"/>
      <c r="Q1656" s="12">
        <v>1</v>
      </c>
    </row>
    <row r="1657" spans="1:17" ht="15.75" customHeight="1">
      <c r="A1657" s="12">
        <v>326</v>
      </c>
      <c r="B1657" s="12">
        <v>1024</v>
      </c>
      <c r="C1657" s="12">
        <v>14296</v>
      </c>
      <c r="D1657" s="12" t="s">
        <v>6047</v>
      </c>
      <c r="E1657" s="12" t="s">
        <v>12439</v>
      </c>
      <c r="F1657" s="12" t="s">
        <v>12440</v>
      </c>
      <c r="G1657" s="12" t="s">
        <v>12441</v>
      </c>
      <c r="H1657" s="12" t="s">
        <v>6051</v>
      </c>
      <c r="I1657" s="12" t="s">
        <v>6881</v>
      </c>
      <c r="J1657" s="12">
        <v>14296</v>
      </c>
      <c r="K1657" s="12" t="s">
        <v>7339</v>
      </c>
      <c r="L1657" s="12" t="s">
        <v>6732</v>
      </c>
      <c r="M1657" s="13">
        <v>44727</v>
      </c>
      <c r="N1657" s="12" t="s">
        <v>7340</v>
      </c>
      <c r="O1657" s="12" t="s">
        <v>7341</v>
      </c>
      <c r="P1657" s="12"/>
      <c r="Q1657" s="12">
        <v>1</v>
      </c>
    </row>
    <row r="1658" spans="1:17" ht="15.75" customHeight="1">
      <c r="A1658" s="12">
        <v>1234</v>
      </c>
      <c r="B1658" s="12">
        <v>1004</v>
      </c>
      <c r="C1658" s="12">
        <v>13874</v>
      </c>
      <c r="D1658" s="12" t="s">
        <v>6047</v>
      </c>
      <c r="E1658" s="12" t="s">
        <v>12442</v>
      </c>
      <c r="F1658" s="12" t="s">
        <v>12443</v>
      </c>
      <c r="G1658" s="12" t="s">
        <v>12444</v>
      </c>
      <c r="H1658" s="12" t="s">
        <v>6051</v>
      </c>
      <c r="I1658" s="12" t="s">
        <v>6741</v>
      </c>
      <c r="J1658" s="12">
        <v>13874</v>
      </c>
      <c r="K1658" s="12" t="s">
        <v>6429</v>
      </c>
      <c r="L1658" s="12" t="s">
        <v>6423</v>
      </c>
      <c r="M1658" s="13">
        <v>41991</v>
      </c>
      <c r="N1658" s="12" t="s">
        <v>6430</v>
      </c>
      <c r="O1658" s="12" t="s">
        <v>6431</v>
      </c>
      <c r="P1658" s="12"/>
      <c r="Q1658" s="12">
        <v>1</v>
      </c>
    </row>
    <row r="1659" spans="1:17" ht="15.75" customHeight="1">
      <c r="A1659" s="12">
        <v>947</v>
      </c>
      <c r="B1659" s="12">
        <v>1049</v>
      </c>
      <c r="C1659" s="12">
        <v>14921</v>
      </c>
      <c r="D1659" s="12" t="s">
        <v>6047</v>
      </c>
      <c r="E1659" s="12" t="s">
        <v>12445</v>
      </c>
      <c r="F1659" s="12" t="s">
        <v>12446</v>
      </c>
      <c r="G1659" s="12" t="s">
        <v>12447</v>
      </c>
      <c r="H1659" s="12" t="s">
        <v>6051</v>
      </c>
      <c r="I1659" s="12" t="s">
        <v>6476</v>
      </c>
      <c r="J1659" s="12">
        <v>14921</v>
      </c>
      <c r="K1659" s="12" t="s">
        <v>7225</v>
      </c>
      <c r="L1659" s="12" t="s">
        <v>6054</v>
      </c>
      <c r="M1659" s="13">
        <v>42827</v>
      </c>
      <c r="N1659" s="12" t="s">
        <v>7226</v>
      </c>
      <c r="O1659" s="12" t="s">
        <v>7227</v>
      </c>
      <c r="P1659" s="12"/>
      <c r="Q1659" s="12">
        <v>1</v>
      </c>
    </row>
    <row r="1660" spans="1:17" ht="15.75" customHeight="1">
      <c r="A1660" s="12">
        <v>1220</v>
      </c>
      <c r="B1660" s="12">
        <v>1126</v>
      </c>
      <c r="C1660" s="12">
        <v>16201</v>
      </c>
      <c r="D1660" s="12" t="s">
        <v>6047</v>
      </c>
      <c r="E1660" s="12" t="s">
        <v>12448</v>
      </c>
      <c r="F1660" s="12" t="s">
        <v>12449</v>
      </c>
      <c r="G1660" s="12" t="s">
        <v>12450</v>
      </c>
      <c r="H1660" s="12" t="s">
        <v>6051</v>
      </c>
      <c r="I1660" s="12" t="s">
        <v>6052</v>
      </c>
      <c r="J1660" s="12">
        <v>16201</v>
      </c>
      <c r="K1660" s="12" t="s">
        <v>6429</v>
      </c>
      <c r="L1660" s="12" t="s">
        <v>6423</v>
      </c>
      <c r="M1660" s="13">
        <v>41991</v>
      </c>
      <c r="N1660" s="12" t="s">
        <v>6430</v>
      </c>
      <c r="O1660" s="12" t="s">
        <v>6431</v>
      </c>
      <c r="P1660" s="12"/>
      <c r="Q1660" s="12">
        <v>1</v>
      </c>
    </row>
    <row r="1661" spans="1:17" ht="15.75" customHeight="1">
      <c r="A1661" s="12">
        <v>617</v>
      </c>
      <c r="B1661" s="12">
        <v>1199</v>
      </c>
      <c r="C1661" s="12">
        <v>17148</v>
      </c>
      <c r="D1661" s="12" t="s">
        <v>6047</v>
      </c>
      <c r="E1661" s="12" t="s">
        <v>12451</v>
      </c>
      <c r="F1661" s="12" t="s">
        <v>12452</v>
      </c>
      <c r="G1661" s="12" t="s">
        <v>12453</v>
      </c>
      <c r="H1661" s="12" t="s">
        <v>6051</v>
      </c>
      <c r="I1661" s="12" t="s">
        <v>6052</v>
      </c>
      <c r="J1661" s="12">
        <v>17148</v>
      </c>
      <c r="K1661" s="12" t="s">
        <v>7160</v>
      </c>
      <c r="L1661" s="12" t="s">
        <v>6408</v>
      </c>
      <c r="M1661" s="13">
        <v>43558</v>
      </c>
      <c r="N1661" s="12" t="s">
        <v>7161</v>
      </c>
      <c r="O1661" s="12" t="s">
        <v>7384</v>
      </c>
      <c r="P1661" s="12"/>
      <c r="Q1661" s="12">
        <v>1</v>
      </c>
    </row>
    <row r="1662" spans="1:17" ht="15.75" customHeight="1">
      <c r="A1662" s="12">
        <v>1101</v>
      </c>
      <c r="B1662" s="12">
        <v>1228</v>
      </c>
      <c r="C1662" s="12">
        <v>17429</v>
      </c>
      <c r="D1662" s="12" t="s">
        <v>6047</v>
      </c>
      <c r="E1662" s="12" t="s">
        <v>12454</v>
      </c>
      <c r="F1662" s="12" t="s">
        <v>12455</v>
      </c>
      <c r="G1662" s="12" t="s">
        <v>12456</v>
      </c>
      <c r="H1662" s="12" t="s">
        <v>6051</v>
      </c>
      <c r="I1662" s="12" t="s">
        <v>6052</v>
      </c>
      <c r="J1662" s="12">
        <v>17429</v>
      </c>
      <c r="K1662" s="12" t="s">
        <v>8161</v>
      </c>
      <c r="L1662" s="12" t="s">
        <v>6054</v>
      </c>
      <c r="M1662" s="13">
        <v>42684</v>
      </c>
      <c r="N1662" s="12" t="s">
        <v>8162</v>
      </c>
      <c r="O1662" s="12" t="s">
        <v>8163</v>
      </c>
      <c r="P1662" s="12"/>
      <c r="Q1662" s="12">
        <v>1</v>
      </c>
    </row>
    <row r="1663" spans="1:17" ht="15.75" customHeight="1">
      <c r="A1663" s="12">
        <v>975</v>
      </c>
      <c r="B1663" s="12">
        <v>2034</v>
      </c>
      <c r="C1663" s="12">
        <v>35819</v>
      </c>
      <c r="D1663" s="12" t="s">
        <v>6047</v>
      </c>
      <c r="E1663" s="12" t="s">
        <v>12457</v>
      </c>
      <c r="F1663" s="12" t="s">
        <v>12458</v>
      </c>
      <c r="G1663" s="12" t="s">
        <v>12459</v>
      </c>
      <c r="H1663" s="12" t="s">
        <v>6051</v>
      </c>
      <c r="I1663" s="12" t="s">
        <v>6700</v>
      </c>
      <c r="J1663" s="12">
        <v>35819</v>
      </c>
      <c r="K1663" s="12" t="s">
        <v>7376</v>
      </c>
      <c r="L1663" s="12" t="s">
        <v>6054</v>
      </c>
      <c r="M1663" s="13">
        <v>42697</v>
      </c>
      <c r="N1663" s="12" t="s">
        <v>7377</v>
      </c>
      <c r="O1663" s="12" t="s">
        <v>12460</v>
      </c>
      <c r="P1663" s="12"/>
      <c r="Q1663" s="12">
        <v>1</v>
      </c>
    </row>
    <row r="1664" spans="1:17" ht="15.75" customHeight="1">
      <c r="A1664" s="12">
        <v>600</v>
      </c>
      <c r="B1664" s="12">
        <v>1055</v>
      </c>
      <c r="C1664" s="12">
        <v>15014</v>
      </c>
      <c r="D1664" s="12" t="s">
        <v>6047</v>
      </c>
      <c r="E1664" s="12" t="s">
        <v>12461</v>
      </c>
      <c r="F1664" s="12" t="s">
        <v>12462</v>
      </c>
      <c r="G1664" s="12" t="s">
        <v>12463</v>
      </c>
      <c r="H1664" s="12" t="s">
        <v>6051</v>
      </c>
      <c r="I1664" s="12" t="s">
        <v>6476</v>
      </c>
      <c r="J1664" s="12">
        <v>15014</v>
      </c>
      <c r="K1664" s="12" t="s">
        <v>6437</v>
      </c>
      <c r="L1664" s="12" t="s">
        <v>6408</v>
      </c>
      <c r="M1664" s="13">
        <v>43559</v>
      </c>
      <c r="N1664" s="12" t="s">
        <v>6438</v>
      </c>
      <c r="O1664" s="12" t="s">
        <v>6439</v>
      </c>
      <c r="P1664" s="12"/>
      <c r="Q1664" s="12">
        <v>1</v>
      </c>
    </row>
    <row r="1665" spans="1:17" ht="15.75" customHeight="1">
      <c r="A1665" s="12">
        <v>1187</v>
      </c>
      <c r="B1665" s="12">
        <v>1053</v>
      </c>
      <c r="C1665" s="12">
        <v>14986</v>
      </c>
      <c r="D1665" s="12" t="s">
        <v>6047</v>
      </c>
      <c r="E1665" s="12" t="s">
        <v>12464</v>
      </c>
      <c r="F1665" s="12" t="s">
        <v>12465</v>
      </c>
      <c r="G1665" s="12" t="s">
        <v>12466</v>
      </c>
      <c r="H1665" s="12" t="s">
        <v>6051</v>
      </c>
      <c r="I1665" s="12" t="s">
        <v>6476</v>
      </c>
      <c r="J1665" s="12">
        <v>14986</v>
      </c>
      <c r="K1665" s="12" t="s">
        <v>6429</v>
      </c>
      <c r="L1665" s="12" t="s">
        <v>6423</v>
      </c>
      <c r="M1665" s="13">
        <v>41992</v>
      </c>
      <c r="N1665" s="12" t="s">
        <v>6430</v>
      </c>
      <c r="O1665" s="12" t="s">
        <v>7083</v>
      </c>
      <c r="P1665" s="12"/>
      <c r="Q1665" s="12">
        <v>1</v>
      </c>
    </row>
    <row r="1666" spans="1:17" ht="15.75" customHeight="1">
      <c r="A1666" s="12">
        <v>1385</v>
      </c>
      <c r="B1666" s="12">
        <v>1741</v>
      </c>
      <c r="C1666" s="12">
        <v>32449</v>
      </c>
      <c r="D1666" s="12" t="s">
        <v>6047</v>
      </c>
      <c r="E1666" s="12" t="s">
        <v>12467</v>
      </c>
      <c r="F1666" s="12" t="s">
        <v>12468</v>
      </c>
      <c r="G1666" s="12" t="s">
        <v>12469</v>
      </c>
      <c r="H1666" s="12" t="s">
        <v>6051</v>
      </c>
      <c r="I1666" s="12" t="s">
        <v>6232</v>
      </c>
      <c r="J1666" s="12">
        <v>32449</v>
      </c>
      <c r="K1666" s="12" t="s">
        <v>6144</v>
      </c>
      <c r="L1666" s="12" t="s">
        <v>6078</v>
      </c>
      <c r="M1666" s="13">
        <v>41913</v>
      </c>
      <c r="N1666" s="12" t="s">
        <v>6145</v>
      </c>
      <c r="O1666" s="12" t="s">
        <v>6146</v>
      </c>
      <c r="P1666" s="12"/>
      <c r="Q1666" s="12">
        <v>1</v>
      </c>
    </row>
    <row r="1667" spans="1:17" ht="15.75" customHeight="1">
      <c r="A1667" s="12">
        <v>35</v>
      </c>
      <c r="B1667" s="12">
        <v>1292</v>
      </c>
      <c r="C1667" s="12">
        <v>18266</v>
      </c>
      <c r="D1667" s="12" t="s">
        <v>6047</v>
      </c>
      <c r="E1667" s="12" t="s">
        <v>12470</v>
      </c>
      <c r="F1667" s="12" t="s">
        <v>12471</v>
      </c>
      <c r="G1667" s="12" t="s">
        <v>12472</v>
      </c>
      <c r="H1667" s="12" t="s">
        <v>6051</v>
      </c>
      <c r="I1667" s="12" t="s">
        <v>7763</v>
      </c>
      <c r="J1667" s="12">
        <v>18266</v>
      </c>
      <c r="K1667" s="12" t="s">
        <v>12473</v>
      </c>
      <c r="L1667" s="12" t="s">
        <v>6590</v>
      </c>
      <c r="M1667" s="13">
        <v>45975</v>
      </c>
      <c r="N1667" s="12" t="s">
        <v>12474</v>
      </c>
      <c r="O1667" s="12" t="s">
        <v>12475</v>
      </c>
      <c r="P1667" s="12"/>
      <c r="Q1667" s="12">
        <v>1</v>
      </c>
    </row>
    <row r="1668" spans="1:17" ht="15.75" customHeight="1">
      <c r="A1668" s="12">
        <v>83</v>
      </c>
      <c r="B1668" s="12">
        <v>1245</v>
      </c>
      <c r="C1668" s="12">
        <v>17607</v>
      </c>
      <c r="D1668" s="12" t="s">
        <v>6047</v>
      </c>
      <c r="E1668" s="12" t="s">
        <v>4967</v>
      </c>
      <c r="F1668" s="12" t="s">
        <v>12476</v>
      </c>
      <c r="G1668" s="12" t="s">
        <v>12477</v>
      </c>
      <c r="H1668" s="12" t="s">
        <v>6051</v>
      </c>
      <c r="I1668" s="12" t="s">
        <v>11297</v>
      </c>
      <c r="J1668" s="12">
        <v>17607</v>
      </c>
      <c r="K1668" s="12" t="s">
        <v>12478</v>
      </c>
      <c r="L1668" s="12" t="s">
        <v>6590</v>
      </c>
      <c r="M1668" s="13">
        <v>45970</v>
      </c>
      <c r="N1668" s="12" t="s">
        <v>12479</v>
      </c>
      <c r="O1668" s="12" t="s">
        <v>12480</v>
      </c>
      <c r="P1668" s="12"/>
      <c r="Q1668" s="12">
        <v>1</v>
      </c>
    </row>
    <row r="1669" spans="1:17" ht="15.75" customHeight="1">
      <c r="A1669" s="12">
        <v>1874</v>
      </c>
      <c r="B1669" s="12">
        <v>610</v>
      </c>
      <c r="C1669" s="12">
        <v>7669</v>
      </c>
      <c r="D1669" s="12" t="s">
        <v>6047</v>
      </c>
      <c r="E1669" s="12" t="s">
        <v>12481</v>
      </c>
      <c r="F1669" s="12" t="s">
        <v>12482</v>
      </c>
      <c r="G1669" s="12" t="s">
        <v>12483</v>
      </c>
      <c r="H1669" s="12" t="s">
        <v>6187</v>
      </c>
      <c r="I1669" s="12" t="s">
        <v>6224</v>
      </c>
      <c r="J1669" s="12">
        <v>7669</v>
      </c>
      <c r="K1669" s="12" t="s">
        <v>6769</v>
      </c>
      <c r="L1669" s="12" t="s">
        <v>6709</v>
      </c>
      <c r="M1669" s="13">
        <v>40176</v>
      </c>
      <c r="N1669" s="12" t="s">
        <v>6770</v>
      </c>
      <c r="O1669" s="12" t="s">
        <v>6771</v>
      </c>
      <c r="P1669" s="12"/>
      <c r="Q1669" s="12">
        <v>1</v>
      </c>
    </row>
    <row r="1670" spans="1:17" ht="15.75" customHeight="1">
      <c r="A1670" s="12">
        <v>110</v>
      </c>
      <c r="B1670" s="12">
        <v>1288</v>
      </c>
      <c r="C1670" s="12">
        <v>18235</v>
      </c>
      <c r="D1670" s="12" t="s">
        <v>6047</v>
      </c>
      <c r="E1670" s="12" t="s">
        <v>4973</v>
      </c>
      <c r="F1670" s="12" t="s">
        <v>12484</v>
      </c>
      <c r="G1670" s="12" t="s">
        <v>12485</v>
      </c>
      <c r="H1670" s="12" t="s">
        <v>6051</v>
      </c>
      <c r="I1670" s="12" t="s">
        <v>9056</v>
      </c>
      <c r="J1670" s="12">
        <v>18235</v>
      </c>
      <c r="K1670" s="12" t="s">
        <v>12486</v>
      </c>
      <c r="L1670" s="12" t="s">
        <v>6511</v>
      </c>
      <c r="M1670" s="13">
        <v>45966</v>
      </c>
      <c r="N1670" s="12" t="s">
        <v>12487</v>
      </c>
      <c r="O1670" s="12" t="s">
        <v>12488</v>
      </c>
      <c r="P1670" s="12"/>
      <c r="Q1670" s="12">
        <v>1</v>
      </c>
    </row>
    <row r="1671" spans="1:17" ht="15.75" customHeight="1">
      <c r="A1671" s="12">
        <v>49</v>
      </c>
      <c r="B1671" s="12">
        <v>1301</v>
      </c>
      <c r="C1671" s="12">
        <v>18388</v>
      </c>
      <c r="D1671" s="12" t="s">
        <v>6047</v>
      </c>
      <c r="E1671" s="12" t="s">
        <v>4962</v>
      </c>
      <c r="F1671" s="12" t="s">
        <v>12489</v>
      </c>
      <c r="G1671" s="12" t="s">
        <v>12490</v>
      </c>
      <c r="H1671" s="12" t="s">
        <v>6051</v>
      </c>
      <c r="I1671" s="12" t="s">
        <v>7763</v>
      </c>
      <c r="J1671" s="12">
        <v>18388</v>
      </c>
      <c r="K1671" s="12" t="s">
        <v>12491</v>
      </c>
      <c r="L1671" s="12" t="s">
        <v>6590</v>
      </c>
      <c r="M1671" s="13">
        <v>45973</v>
      </c>
      <c r="N1671" s="12" t="s">
        <v>12492</v>
      </c>
      <c r="O1671" s="12" t="s">
        <v>12493</v>
      </c>
      <c r="P1671" s="12"/>
      <c r="Q1671" s="12">
        <v>1</v>
      </c>
    </row>
    <row r="1672" spans="1:17" ht="15.75" customHeight="1">
      <c r="A1672" s="12">
        <v>200</v>
      </c>
      <c r="B1672" s="12">
        <v>1549</v>
      </c>
      <c r="C1672" s="12">
        <v>27422</v>
      </c>
      <c r="D1672" s="12" t="s">
        <v>6047</v>
      </c>
      <c r="E1672" s="12" t="s">
        <v>12494</v>
      </c>
      <c r="F1672" s="12" t="s">
        <v>12495</v>
      </c>
      <c r="G1672" s="12" t="s">
        <v>12496</v>
      </c>
      <c r="H1672" s="12" t="s">
        <v>6051</v>
      </c>
      <c r="I1672" s="12" t="s">
        <v>6704</v>
      </c>
      <c r="J1672" s="12">
        <v>27422</v>
      </c>
      <c r="K1672" s="12" t="s">
        <v>9154</v>
      </c>
      <c r="L1672" s="12" t="s">
        <v>8066</v>
      </c>
      <c r="M1672" s="13">
        <v>45748</v>
      </c>
      <c r="N1672" s="12" t="s">
        <v>9155</v>
      </c>
      <c r="O1672" s="12" t="s">
        <v>9156</v>
      </c>
      <c r="P1672" s="12"/>
      <c r="Q1672" s="12">
        <v>1</v>
      </c>
    </row>
    <row r="1673" spans="1:17" ht="15.75" customHeight="1">
      <c r="A1673" s="12">
        <v>696</v>
      </c>
      <c r="B1673" s="12">
        <v>1087</v>
      </c>
      <c r="C1673" s="12">
        <v>15664</v>
      </c>
      <c r="D1673" s="12" t="s">
        <v>6047</v>
      </c>
      <c r="E1673" s="12" t="s">
        <v>12497</v>
      </c>
      <c r="F1673" s="12" t="s">
        <v>12498</v>
      </c>
      <c r="G1673" s="12" t="s">
        <v>12499</v>
      </c>
      <c r="H1673" s="12" t="s">
        <v>6051</v>
      </c>
      <c r="I1673" s="12" t="s">
        <v>6476</v>
      </c>
      <c r="J1673" s="12">
        <v>15664</v>
      </c>
      <c r="K1673" s="12" t="s">
        <v>7512</v>
      </c>
      <c r="L1673" s="12" t="s">
        <v>7254</v>
      </c>
      <c r="M1673" s="13">
        <v>43204</v>
      </c>
      <c r="N1673" s="12" t="s">
        <v>7513</v>
      </c>
      <c r="O1673" s="12" t="s">
        <v>7514</v>
      </c>
      <c r="P1673" s="12"/>
      <c r="Q1673" s="12">
        <v>1</v>
      </c>
    </row>
    <row r="1674" spans="1:17" ht="15.75" customHeight="1">
      <c r="A1674" s="12">
        <v>372</v>
      </c>
      <c r="B1674" s="12">
        <v>1560</v>
      </c>
      <c r="C1674" s="12">
        <v>27531</v>
      </c>
      <c r="D1674" s="12" t="s">
        <v>6047</v>
      </c>
      <c r="E1674" s="12" t="s">
        <v>12500</v>
      </c>
      <c r="F1674" s="12" t="s">
        <v>12501</v>
      </c>
      <c r="G1674" s="12" t="s">
        <v>12502</v>
      </c>
      <c r="H1674" s="12" t="s">
        <v>6051</v>
      </c>
      <c r="I1674" s="12" t="s">
        <v>6704</v>
      </c>
      <c r="J1674" s="12">
        <v>27531</v>
      </c>
      <c r="K1674" s="12" t="s">
        <v>8167</v>
      </c>
      <c r="L1674" s="12" t="s">
        <v>7983</v>
      </c>
      <c r="M1674" s="13">
        <v>44720</v>
      </c>
      <c r="N1674" s="12" t="s">
        <v>8168</v>
      </c>
      <c r="O1674" s="12" t="s">
        <v>8169</v>
      </c>
      <c r="P1674" s="12"/>
      <c r="Q1674" s="12">
        <v>1</v>
      </c>
    </row>
    <row r="1675" spans="1:17" ht="15.75" customHeight="1">
      <c r="A1675" s="12">
        <v>338</v>
      </c>
      <c r="B1675" s="12">
        <v>1762</v>
      </c>
      <c r="C1675" s="12">
        <v>32915</v>
      </c>
      <c r="D1675" s="12" t="s">
        <v>6047</v>
      </c>
      <c r="E1675" s="12" t="s">
        <v>12503</v>
      </c>
      <c r="F1675" s="12" t="s">
        <v>12504</v>
      </c>
      <c r="G1675" s="12" t="s">
        <v>12505</v>
      </c>
      <c r="H1675" s="12" t="s">
        <v>6051</v>
      </c>
      <c r="I1675" s="12" t="s">
        <v>6374</v>
      </c>
      <c r="J1675" s="12">
        <v>32915</v>
      </c>
      <c r="K1675" s="12" t="s">
        <v>10935</v>
      </c>
      <c r="L1675" s="12" t="s">
        <v>6732</v>
      </c>
      <c r="M1675" s="13">
        <v>44726</v>
      </c>
      <c r="N1675" s="12" t="s">
        <v>10936</v>
      </c>
      <c r="O1675" s="12" t="s">
        <v>12506</v>
      </c>
      <c r="P1675" s="12"/>
      <c r="Q1675" s="12">
        <v>1</v>
      </c>
    </row>
    <row r="1676" spans="1:17" ht="15.75" customHeight="1">
      <c r="A1676" s="12">
        <v>406</v>
      </c>
      <c r="B1676" s="12">
        <v>323</v>
      </c>
      <c r="C1676" s="12">
        <v>5015</v>
      </c>
      <c r="D1676" s="12" t="s">
        <v>6047</v>
      </c>
      <c r="E1676" s="12" t="s">
        <v>12507</v>
      </c>
      <c r="F1676" s="12" t="s">
        <v>12508</v>
      </c>
      <c r="G1676" s="12" t="s">
        <v>12509</v>
      </c>
      <c r="H1676" s="12" t="s">
        <v>6163</v>
      </c>
      <c r="I1676" s="12" t="s">
        <v>6253</v>
      </c>
      <c r="J1676" s="12">
        <v>5015</v>
      </c>
      <c r="K1676" s="12" t="s">
        <v>7267</v>
      </c>
      <c r="L1676" s="12" t="s">
        <v>7020</v>
      </c>
      <c r="M1676" s="13">
        <v>44715</v>
      </c>
      <c r="N1676" s="12" t="s">
        <v>7268</v>
      </c>
      <c r="O1676" s="12" t="s">
        <v>12358</v>
      </c>
      <c r="P1676" s="12"/>
      <c r="Q1676" s="12">
        <v>1</v>
      </c>
    </row>
    <row r="1677" spans="1:17" ht="15.75" customHeight="1">
      <c r="A1677" s="12">
        <v>1690</v>
      </c>
      <c r="B1677" s="12">
        <v>238</v>
      </c>
      <c r="C1677" s="12">
        <v>4310</v>
      </c>
      <c r="D1677" s="12" t="s">
        <v>6047</v>
      </c>
      <c r="E1677" s="12" t="s">
        <v>12510</v>
      </c>
      <c r="F1677" s="12" t="s">
        <v>12511</v>
      </c>
      <c r="G1677" s="12" t="s">
        <v>12512</v>
      </c>
      <c r="H1677" s="12" t="s">
        <v>6163</v>
      </c>
      <c r="I1677" s="12" t="s">
        <v>6253</v>
      </c>
      <c r="J1677" s="12">
        <v>4310</v>
      </c>
      <c r="K1677" s="12" t="s">
        <v>7260</v>
      </c>
      <c r="L1677" s="12" t="s">
        <v>7261</v>
      </c>
      <c r="M1677" s="13">
        <v>40879</v>
      </c>
      <c r="N1677" s="12" t="s">
        <v>7262</v>
      </c>
      <c r="O1677" s="12" t="s">
        <v>7263</v>
      </c>
      <c r="P1677" s="12"/>
      <c r="Q1677" s="12">
        <v>1</v>
      </c>
    </row>
    <row r="1678" spans="1:17" ht="15.75" customHeight="1">
      <c r="A1678" s="12">
        <v>286</v>
      </c>
      <c r="B1678" s="12">
        <v>1464</v>
      </c>
      <c r="C1678" s="12">
        <v>22925</v>
      </c>
      <c r="D1678" s="12" t="s">
        <v>6047</v>
      </c>
      <c r="E1678" s="12" t="s">
        <v>12513</v>
      </c>
      <c r="F1678" s="12" t="s">
        <v>12514</v>
      </c>
      <c r="G1678" s="12" t="s">
        <v>12515</v>
      </c>
      <c r="H1678" s="12" t="s">
        <v>6051</v>
      </c>
      <c r="I1678" s="12" t="s">
        <v>6748</v>
      </c>
      <c r="J1678" s="12">
        <v>22925</v>
      </c>
      <c r="K1678" s="12" t="s">
        <v>7468</v>
      </c>
      <c r="L1678" s="12" t="s">
        <v>7469</v>
      </c>
      <c r="M1678" s="13">
        <v>45602</v>
      </c>
      <c r="N1678" s="12" t="s">
        <v>7470</v>
      </c>
      <c r="O1678" s="12" t="s">
        <v>10294</v>
      </c>
      <c r="P1678" s="12"/>
      <c r="Q1678" s="12">
        <v>1</v>
      </c>
    </row>
    <row r="1679" spans="1:17" ht="15.75" customHeight="1">
      <c r="A1679" s="12">
        <v>951</v>
      </c>
      <c r="B1679" s="12">
        <v>178</v>
      </c>
      <c r="C1679" s="12">
        <v>3029</v>
      </c>
      <c r="D1679" s="12" t="s">
        <v>6047</v>
      </c>
      <c r="E1679" s="12" t="s">
        <v>12516</v>
      </c>
      <c r="F1679" s="12" t="s">
        <v>12517</v>
      </c>
      <c r="G1679" s="12" t="s">
        <v>12518</v>
      </c>
      <c r="H1679" s="12" t="s">
        <v>7069</v>
      </c>
      <c r="I1679" s="12" t="s">
        <v>7070</v>
      </c>
      <c r="J1679" s="12">
        <v>3029</v>
      </c>
      <c r="K1679" s="12" t="s">
        <v>7225</v>
      </c>
      <c r="L1679" s="12" t="s">
        <v>6054</v>
      </c>
      <c r="M1679" s="13">
        <v>42827</v>
      </c>
      <c r="N1679" s="12" t="s">
        <v>7226</v>
      </c>
      <c r="O1679" s="12" t="s">
        <v>7227</v>
      </c>
      <c r="P1679" s="12"/>
      <c r="Q1679" s="12">
        <v>1</v>
      </c>
    </row>
    <row r="1680" spans="1:17" ht="15.75" customHeight="1">
      <c r="A1680" s="12">
        <v>82</v>
      </c>
      <c r="B1680" s="12">
        <v>1281</v>
      </c>
      <c r="C1680" s="12">
        <v>18178</v>
      </c>
      <c r="D1680" s="12" t="s">
        <v>6047</v>
      </c>
      <c r="E1680" s="12" t="s">
        <v>4997</v>
      </c>
      <c r="F1680" s="12" t="s">
        <v>12519</v>
      </c>
      <c r="G1680" s="12" t="s">
        <v>12520</v>
      </c>
      <c r="H1680" s="12" t="s">
        <v>6051</v>
      </c>
      <c r="I1680" s="12" t="s">
        <v>6857</v>
      </c>
      <c r="J1680" s="12">
        <v>18178</v>
      </c>
      <c r="K1680" s="12" t="s">
        <v>11119</v>
      </c>
      <c r="L1680" s="12" t="s">
        <v>6590</v>
      </c>
      <c r="M1680" s="13">
        <v>45970</v>
      </c>
      <c r="N1680" s="12" t="s">
        <v>11120</v>
      </c>
      <c r="O1680" s="12" t="s">
        <v>11121</v>
      </c>
      <c r="P1680" s="12"/>
      <c r="Q1680" s="12">
        <v>1</v>
      </c>
    </row>
    <row r="1681" spans="1:17" ht="15.75" customHeight="1">
      <c r="A1681" s="12">
        <v>1315</v>
      </c>
      <c r="B1681" s="12">
        <v>804</v>
      </c>
      <c r="C1681" s="12">
        <v>10108</v>
      </c>
      <c r="D1681" s="12" t="s">
        <v>6047</v>
      </c>
      <c r="E1681" s="12" t="s">
        <v>12521</v>
      </c>
      <c r="F1681" s="12" t="s">
        <v>12522</v>
      </c>
      <c r="G1681" s="12" t="s">
        <v>12523</v>
      </c>
      <c r="H1681" s="12" t="s">
        <v>6265</v>
      </c>
      <c r="I1681" s="12" t="s">
        <v>6266</v>
      </c>
      <c r="J1681" s="12">
        <v>10108</v>
      </c>
      <c r="K1681" s="12" t="s">
        <v>6851</v>
      </c>
      <c r="L1681" s="12" t="s">
        <v>6106</v>
      </c>
      <c r="M1681" s="13">
        <v>41926</v>
      </c>
      <c r="N1681" s="12" t="s">
        <v>6852</v>
      </c>
      <c r="O1681" s="12" t="s">
        <v>6853</v>
      </c>
      <c r="P1681" s="12"/>
      <c r="Q1681" s="12">
        <v>1</v>
      </c>
    </row>
    <row r="1682" spans="1:17" ht="15.75" customHeight="1">
      <c r="A1682" s="12">
        <v>9</v>
      </c>
      <c r="B1682" s="12">
        <v>1280</v>
      </c>
      <c r="C1682" s="12">
        <v>18141</v>
      </c>
      <c r="D1682" s="12" t="s">
        <v>6047</v>
      </c>
      <c r="E1682" s="12" t="s">
        <v>4999</v>
      </c>
      <c r="F1682" s="12" t="s">
        <v>12524</v>
      </c>
      <c r="G1682" s="12" t="s">
        <v>12525</v>
      </c>
      <c r="H1682" s="12" t="s">
        <v>6051</v>
      </c>
      <c r="I1682" s="12" t="s">
        <v>6857</v>
      </c>
      <c r="J1682" s="12">
        <v>18141</v>
      </c>
      <c r="K1682" s="12" t="s">
        <v>11966</v>
      </c>
      <c r="L1682" s="12" t="s">
        <v>6905</v>
      </c>
      <c r="M1682" s="13">
        <v>45981</v>
      </c>
      <c r="N1682" s="12" t="s">
        <v>11967</v>
      </c>
      <c r="O1682" s="12" t="s">
        <v>11968</v>
      </c>
      <c r="P1682" s="12"/>
      <c r="Q1682" s="12">
        <v>1</v>
      </c>
    </row>
    <row r="1683" spans="1:17" ht="15.75" customHeight="1">
      <c r="A1683" s="12">
        <v>1227</v>
      </c>
      <c r="B1683" s="12">
        <v>1041</v>
      </c>
      <c r="C1683" s="12">
        <v>14749</v>
      </c>
      <c r="D1683" s="12" t="s">
        <v>6047</v>
      </c>
      <c r="E1683" s="12" t="s">
        <v>12526</v>
      </c>
      <c r="F1683" s="12" t="s">
        <v>12527</v>
      </c>
      <c r="G1683" s="12" t="s">
        <v>12528</v>
      </c>
      <c r="H1683" s="12" t="s">
        <v>6051</v>
      </c>
      <c r="I1683" s="12" t="s">
        <v>6476</v>
      </c>
      <c r="J1683" s="12">
        <v>14749</v>
      </c>
      <c r="K1683" s="12" t="s">
        <v>6429</v>
      </c>
      <c r="L1683" s="12" t="s">
        <v>6423</v>
      </c>
      <c r="M1683" s="13">
        <v>41991</v>
      </c>
      <c r="N1683" s="12" t="s">
        <v>6430</v>
      </c>
      <c r="O1683" s="12" t="s">
        <v>6431</v>
      </c>
      <c r="P1683" s="12"/>
      <c r="Q1683" s="12">
        <v>1</v>
      </c>
    </row>
    <row r="1684" spans="1:17" ht="15.75" customHeight="1">
      <c r="A1684" s="12">
        <v>1815</v>
      </c>
      <c r="B1684" s="12">
        <v>1123</v>
      </c>
      <c r="C1684" s="12">
        <v>16164</v>
      </c>
      <c r="D1684" s="12" t="s">
        <v>6047</v>
      </c>
      <c r="E1684" s="12" t="s">
        <v>12529</v>
      </c>
      <c r="F1684" s="12" t="s">
        <v>12530</v>
      </c>
      <c r="G1684" s="12" t="s">
        <v>12531</v>
      </c>
      <c r="H1684" s="12" t="s">
        <v>6051</v>
      </c>
      <c r="I1684" s="12" t="s">
        <v>6052</v>
      </c>
      <c r="J1684" s="12">
        <v>16164</v>
      </c>
      <c r="K1684" s="12" t="s">
        <v>6062</v>
      </c>
      <c r="L1684" s="12" t="s">
        <v>6063</v>
      </c>
      <c r="M1684" s="13">
        <v>40873</v>
      </c>
      <c r="N1684" s="12" t="s">
        <v>6064</v>
      </c>
      <c r="O1684" s="12" t="s">
        <v>6065</v>
      </c>
      <c r="P1684" s="12"/>
      <c r="Q1684" s="12">
        <v>1</v>
      </c>
    </row>
    <row r="1685" spans="1:17" ht="15.75" customHeight="1">
      <c r="A1685" s="12">
        <v>1716</v>
      </c>
      <c r="B1685" s="12">
        <v>748</v>
      </c>
      <c r="C1685" s="12">
        <v>9269</v>
      </c>
      <c r="D1685" s="12" t="s">
        <v>6047</v>
      </c>
      <c r="E1685" s="12" t="s">
        <v>12532</v>
      </c>
      <c r="F1685" s="12" t="s">
        <v>12533</v>
      </c>
      <c r="G1685" s="12" t="s">
        <v>12534</v>
      </c>
      <c r="H1685" s="12" t="s">
        <v>6275</v>
      </c>
      <c r="I1685" s="12" t="s">
        <v>6453</v>
      </c>
      <c r="J1685" s="12">
        <v>9269</v>
      </c>
      <c r="K1685" s="12" t="s">
        <v>7332</v>
      </c>
      <c r="L1685" s="12" t="s">
        <v>7333</v>
      </c>
      <c r="M1685" s="13">
        <v>40877</v>
      </c>
      <c r="N1685" s="12" t="s">
        <v>7334</v>
      </c>
      <c r="O1685" s="12" t="s">
        <v>7335</v>
      </c>
      <c r="P1685" s="12"/>
      <c r="Q1685" s="12">
        <v>1</v>
      </c>
    </row>
    <row r="1686" spans="1:17" ht="15.75" customHeight="1">
      <c r="A1686" s="12">
        <v>213</v>
      </c>
      <c r="B1686" s="12">
        <v>1473</v>
      </c>
      <c r="C1686" s="12">
        <v>23622</v>
      </c>
      <c r="D1686" s="12" t="s">
        <v>6047</v>
      </c>
      <c r="E1686" s="12" t="s">
        <v>12535</v>
      </c>
      <c r="F1686" s="12" t="s">
        <v>12536</v>
      </c>
      <c r="G1686" s="12" t="s">
        <v>12537</v>
      </c>
      <c r="H1686" s="12" t="s">
        <v>6051</v>
      </c>
      <c r="I1686" s="12" t="s">
        <v>6665</v>
      </c>
      <c r="J1686" s="12">
        <v>23622</v>
      </c>
      <c r="K1686" s="12" t="s">
        <v>11511</v>
      </c>
      <c r="L1686" s="12" t="s">
        <v>6518</v>
      </c>
      <c r="M1686" s="13">
        <v>45610</v>
      </c>
      <c r="N1686" s="12" t="s">
        <v>11512</v>
      </c>
      <c r="O1686" s="12" t="s">
        <v>11513</v>
      </c>
      <c r="P1686" s="12"/>
      <c r="Q1686" s="12">
        <v>1</v>
      </c>
    </row>
    <row r="1687" spans="1:17" ht="15.75" customHeight="1">
      <c r="A1687" s="12">
        <v>227</v>
      </c>
      <c r="B1687" s="12">
        <v>165</v>
      </c>
      <c r="C1687" s="12">
        <v>2860</v>
      </c>
      <c r="D1687" s="12" t="s">
        <v>6047</v>
      </c>
      <c r="E1687" s="12" t="s">
        <v>12538</v>
      </c>
      <c r="F1687" s="12" t="s">
        <v>12539</v>
      </c>
      <c r="G1687" s="12" t="s">
        <v>12540</v>
      </c>
      <c r="H1687" s="12" t="s">
        <v>7736</v>
      </c>
      <c r="I1687" s="12" t="s">
        <v>7737</v>
      </c>
      <c r="J1687" s="12">
        <v>2860</v>
      </c>
      <c r="K1687" s="12" t="s">
        <v>6524</v>
      </c>
      <c r="L1687" s="12" t="s">
        <v>6518</v>
      </c>
      <c r="M1687" s="13">
        <v>45609</v>
      </c>
      <c r="N1687" s="12" t="s">
        <v>6525</v>
      </c>
      <c r="O1687" s="12" t="s">
        <v>6526</v>
      </c>
      <c r="P1687" s="12"/>
      <c r="Q1687" s="12">
        <v>1</v>
      </c>
    </row>
    <row r="1688" spans="1:17" ht="15.75" customHeight="1">
      <c r="A1688" s="12">
        <v>382</v>
      </c>
      <c r="B1688" s="12">
        <v>1229</v>
      </c>
      <c r="C1688" s="12">
        <v>17438</v>
      </c>
      <c r="D1688" s="12" t="s">
        <v>6047</v>
      </c>
      <c r="E1688" s="12" t="s">
        <v>12541</v>
      </c>
      <c r="F1688" s="12" t="s">
        <v>12542</v>
      </c>
      <c r="G1688" s="12" t="s">
        <v>12543</v>
      </c>
      <c r="H1688" s="12" t="s">
        <v>6051</v>
      </c>
      <c r="I1688" s="12" t="s">
        <v>6052</v>
      </c>
      <c r="J1688" s="12">
        <v>17438</v>
      </c>
      <c r="K1688" s="12" t="s">
        <v>9605</v>
      </c>
      <c r="L1688" s="12" t="s">
        <v>7311</v>
      </c>
      <c r="M1688" s="13">
        <v>44718</v>
      </c>
      <c r="N1688" s="12" t="s">
        <v>9606</v>
      </c>
      <c r="O1688" s="12" t="s">
        <v>9607</v>
      </c>
      <c r="P1688" s="12"/>
      <c r="Q1688" s="12">
        <v>1</v>
      </c>
    </row>
    <row r="1689" spans="1:17" ht="15.75" customHeight="1">
      <c r="A1689" s="12">
        <v>1392</v>
      </c>
      <c r="B1689" s="12">
        <v>1386</v>
      </c>
      <c r="C1689" s="12">
        <v>20169</v>
      </c>
      <c r="D1689" s="12" t="s">
        <v>6047</v>
      </c>
      <c r="E1689" s="12" t="s">
        <v>12544</v>
      </c>
      <c r="F1689" s="12" t="s">
        <v>12545</v>
      </c>
      <c r="G1689" s="12" t="s">
        <v>12546</v>
      </c>
      <c r="H1689" s="12" t="s">
        <v>6051</v>
      </c>
      <c r="I1689" s="12" t="s">
        <v>7041</v>
      </c>
      <c r="J1689" s="12">
        <v>20169</v>
      </c>
      <c r="K1689" s="12" t="s">
        <v>6144</v>
      </c>
      <c r="L1689" s="12" t="s">
        <v>6078</v>
      </c>
      <c r="M1689" s="13">
        <v>41913</v>
      </c>
      <c r="N1689" s="12" t="s">
        <v>6145</v>
      </c>
      <c r="O1689" s="12" t="s">
        <v>6146</v>
      </c>
      <c r="P1689" s="12"/>
      <c r="Q1689" s="12">
        <v>1</v>
      </c>
    </row>
    <row r="1690" spans="1:17" ht="15.75" customHeight="1">
      <c r="A1690" s="12">
        <v>884</v>
      </c>
      <c r="B1690" s="12">
        <v>922</v>
      </c>
      <c r="C1690" s="12">
        <v>12212</v>
      </c>
      <c r="D1690" s="12" t="s">
        <v>6047</v>
      </c>
      <c r="E1690" s="12" t="s">
        <v>12547</v>
      </c>
      <c r="F1690" s="12" t="s">
        <v>12548</v>
      </c>
      <c r="G1690" s="12" t="s">
        <v>12549</v>
      </c>
      <c r="H1690" s="12" t="s">
        <v>6627</v>
      </c>
      <c r="I1690" s="12" t="s">
        <v>9110</v>
      </c>
      <c r="J1690" s="12">
        <v>12212</v>
      </c>
      <c r="K1690" s="12" t="s">
        <v>6569</v>
      </c>
      <c r="L1690" s="12" t="s">
        <v>6564</v>
      </c>
      <c r="M1690" s="13">
        <v>43015</v>
      </c>
      <c r="N1690" s="12" t="s">
        <v>6570</v>
      </c>
      <c r="O1690" s="12" t="s">
        <v>6623</v>
      </c>
      <c r="P1690" s="12"/>
      <c r="Q1690" s="12">
        <v>1</v>
      </c>
    </row>
    <row r="1691" spans="1:17" ht="15.75" customHeight="1">
      <c r="A1691" s="12">
        <v>1701</v>
      </c>
      <c r="B1691" s="12">
        <v>1121</v>
      </c>
      <c r="C1691" s="12">
        <v>16124</v>
      </c>
      <c r="D1691" s="12" t="s">
        <v>6047</v>
      </c>
      <c r="E1691" s="12" t="s">
        <v>12550</v>
      </c>
      <c r="F1691" s="12" t="s">
        <v>12551</v>
      </c>
      <c r="G1691" s="12" t="s">
        <v>12552</v>
      </c>
      <c r="H1691" s="12" t="s">
        <v>6051</v>
      </c>
      <c r="I1691" s="12" t="s">
        <v>7375</v>
      </c>
      <c r="J1691" s="12">
        <v>16124</v>
      </c>
      <c r="K1691" s="12" t="s">
        <v>8598</v>
      </c>
      <c r="L1691" s="12" t="s">
        <v>7333</v>
      </c>
      <c r="M1691" s="13">
        <v>40878</v>
      </c>
      <c r="N1691" s="12" t="s">
        <v>8599</v>
      </c>
      <c r="O1691" s="12" t="s">
        <v>8600</v>
      </c>
      <c r="P1691" s="12"/>
      <c r="Q1691" s="12">
        <v>1</v>
      </c>
    </row>
    <row r="1692" spans="1:17" ht="15.75" customHeight="1">
      <c r="A1692" s="12">
        <v>404</v>
      </c>
      <c r="B1692" s="12">
        <v>968</v>
      </c>
      <c r="C1692" s="12">
        <v>13072</v>
      </c>
      <c r="D1692" s="12" t="s">
        <v>6047</v>
      </c>
      <c r="E1692" s="12" t="s">
        <v>12553</v>
      </c>
      <c r="F1692" s="12" t="s">
        <v>12554</v>
      </c>
      <c r="G1692" s="12" t="s">
        <v>12555</v>
      </c>
      <c r="H1692" s="12" t="s">
        <v>6627</v>
      </c>
      <c r="I1692" s="12" t="s">
        <v>7504</v>
      </c>
      <c r="J1692" s="12">
        <v>13072</v>
      </c>
      <c r="K1692" s="12" t="s">
        <v>7267</v>
      </c>
      <c r="L1692" s="12" t="s">
        <v>7020</v>
      </c>
      <c r="M1692" s="13">
        <v>44716</v>
      </c>
      <c r="N1692" s="12" t="s">
        <v>7268</v>
      </c>
      <c r="O1692" s="12" t="s">
        <v>7269</v>
      </c>
      <c r="P1692" s="12"/>
      <c r="Q1692" s="12">
        <v>1</v>
      </c>
    </row>
    <row r="1693" spans="1:17" ht="15.75" customHeight="1">
      <c r="A1693" s="12">
        <v>1696</v>
      </c>
      <c r="B1693" s="12">
        <v>1912</v>
      </c>
      <c r="C1693" s="12">
        <v>34432</v>
      </c>
      <c r="D1693" s="12" t="s">
        <v>6047</v>
      </c>
      <c r="E1693" s="12" t="s">
        <v>12556</v>
      </c>
      <c r="F1693" s="12" t="s">
        <v>12557</v>
      </c>
      <c r="G1693" s="12" t="s">
        <v>12558</v>
      </c>
      <c r="H1693" s="12" t="s">
        <v>6051</v>
      </c>
      <c r="I1693" s="12" t="s">
        <v>7034</v>
      </c>
      <c r="J1693" s="12">
        <v>34432</v>
      </c>
      <c r="K1693" s="12" t="s">
        <v>8598</v>
      </c>
      <c r="L1693" s="12" t="s">
        <v>7333</v>
      </c>
      <c r="M1693" s="13">
        <v>40878</v>
      </c>
      <c r="N1693" s="12" t="s">
        <v>8599</v>
      </c>
      <c r="O1693" s="12" t="s">
        <v>8600</v>
      </c>
      <c r="P1693" s="12"/>
      <c r="Q1693" s="12">
        <v>1</v>
      </c>
    </row>
    <row r="1694" spans="1:17" ht="15.75" customHeight="1">
      <c r="A1694" s="12">
        <v>970</v>
      </c>
      <c r="B1694" s="12">
        <v>529</v>
      </c>
      <c r="C1694" s="12">
        <v>6902</v>
      </c>
      <c r="D1694" s="12" t="s">
        <v>6047</v>
      </c>
      <c r="E1694" s="12" t="s">
        <v>12559</v>
      </c>
      <c r="F1694" s="12" t="s">
        <v>12560</v>
      </c>
      <c r="G1694" s="12" t="s">
        <v>12561</v>
      </c>
      <c r="H1694" s="12" t="s">
        <v>12562</v>
      </c>
      <c r="I1694" s="12" t="s">
        <v>12563</v>
      </c>
      <c r="J1694" s="12">
        <v>6902</v>
      </c>
      <c r="K1694" s="12" t="s">
        <v>7666</v>
      </c>
      <c r="L1694" s="12" t="s">
        <v>6054</v>
      </c>
      <c r="M1694" s="13">
        <v>42825</v>
      </c>
      <c r="N1694" s="12" t="s">
        <v>7667</v>
      </c>
      <c r="O1694" s="12" t="s">
        <v>7668</v>
      </c>
      <c r="P1694" s="12"/>
      <c r="Q1694" s="12">
        <v>1</v>
      </c>
    </row>
    <row r="1695" spans="1:17" ht="15.75" customHeight="1">
      <c r="A1695" s="12">
        <v>876</v>
      </c>
      <c r="B1695" s="12">
        <v>1250</v>
      </c>
      <c r="C1695" s="12">
        <v>17670</v>
      </c>
      <c r="D1695" s="12" t="s">
        <v>6047</v>
      </c>
      <c r="E1695" s="12" t="s">
        <v>12564</v>
      </c>
      <c r="F1695" s="12" t="s">
        <v>12565</v>
      </c>
      <c r="G1695" s="12" t="s">
        <v>12566</v>
      </c>
      <c r="H1695" s="12" t="s">
        <v>6051</v>
      </c>
      <c r="I1695" s="12" t="s">
        <v>11297</v>
      </c>
      <c r="J1695" s="12">
        <v>17670</v>
      </c>
      <c r="K1695" s="12" t="s">
        <v>10706</v>
      </c>
      <c r="L1695" s="12" t="s">
        <v>6564</v>
      </c>
      <c r="M1695" s="13">
        <v>43016</v>
      </c>
      <c r="N1695" s="12" t="s">
        <v>10707</v>
      </c>
      <c r="O1695" s="12" t="s">
        <v>10708</v>
      </c>
      <c r="P1695" s="12"/>
      <c r="Q1695" s="12">
        <v>1</v>
      </c>
    </row>
    <row r="1696" spans="1:17" ht="15.75" customHeight="1">
      <c r="A1696" s="12">
        <v>44</v>
      </c>
      <c r="B1696" s="12">
        <v>1239</v>
      </c>
      <c r="C1696" s="12">
        <v>17504</v>
      </c>
      <c r="D1696" s="12" t="s">
        <v>6047</v>
      </c>
      <c r="E1696" s="12" t="s">
        <v>5039</v>
      </c>
      <c r="F1696" s="12" t="s">
        <v>12567</v>
      </c>
      <c r="G1696" s="12" t="s">
        <v>12568</v>
      </c>
      <c r="H1696" s="12" t="s">
        <v>6051</v>
      </c>
      <c r="I1696" s="12" t="s">
        <v>12569</v>
      </c>
      <c r="J1696" s="12">
        <v>17504</v>
      </c>
      <c r="K1696" s="12" t="s">
        <v>10864</v>
      </c>
      <c r="L1696" s="12" t="s">
        <v>6590</v>
      </c>
      <c r="M1696" s="13">
        <v>45974</v>
      </c>
      <c r="N1696" s="12" t="s">
        <v>10865</v>
      </c>
      <c r="O1696" s="12" t="s">
        <v>12570</v>
      </c>
      <c r="P1696" s="12"/>
      <c r="Q1696" s="12">
        <v>1</v>
      </c>
    </row>
    <row r="1697" spans="1:17" ht="15.75" customHeight="1">
      <c r="A1697" s="12">
        <v>78</v>
      </c>
      <c r="B1697" s="12">
        <v>925</v>
      </c>
      <c r="C1697" s="12">
        <v>12260</v>
      </c>
      <c r="D1697" s="12" t="s">
        <v>6047</v>
      </c>
      <c r="E1697" s="12" t="s">
        <v>5041</v>
      </c>
      <c r="F1697" s="12" t="s">
        <v>12571</v>
      </c>
      <c r="G1697" s="12" t="s">
        <v>12572</v>
      </c>
      <c r="H1697" s="12" t="s">
        <v>6627</v>
      </c>
      <c r="I1697" s="12" t="s">
        <v>6628</v>
      </c>
      <c r="J1697" s="12">
        <v>12260</v>
      </c>
      <c r="K1697" s="12" t="s">
        <v>10145</v>
      </c>
      <c r="L1697" s="12" t="s">
        <v>6564</v>
      </c>
      <c r="M1697" s="13">
        <v>45970</v>
      </c>
      <c r="N1697" s="12" t="s">
        <v>10146</v>
      </c>
      <c r="O1697" s="12" t="s">
        <v>10147</v>
      </c>
      <c r="P1697" s="12"/>
      <c r="Q1697" s="12">
        <v>1</v>
      </c>
    </row>
    <row r="1698" spans="1:17" ht="15.75" customHeight="1">
      <c r="A1698" s="12">
        <v>1975</v>
      </c>
      <c r="B1698" s="12">
        <v>1588</v>
      </c>
      <c r="C1698" s="12">
        <v>27965</v>
      </c>
      <c r="D1698" s="12" t="s">
        <v>6047</v>
      </c>
      <c r="E1698" s="12" t="s">
        <v>12573</v>
      </c>
      <c r="F1698" s="12" t="s">
        <v>12574</v>
      </c>
      <c r="G1698" s="12" t="s">
        <v>12575</v>
      </c>
      <c r="H1698" s="12" t="s">
        <v>6051</v>
      </c>
      <c r="I1698" s="12" t="s">
        <v>6547</v>
      </c>
      <c r="J1698" s="12">
        <v>27965</v>
      </c>
      <c r="K1698" s="12" t="s">
        <v>8445</v>
      </c>
      <c r="L1698" s="12" t="s">
        <v>8446</v>
      </c>
      <c r="M1698" s="13">
        <v>38576</v>
      </c>
      <c r="N1698" s="12" t="s">
        <v>8447</v>
      </c>
      <c r="O1698" s="12" t="s">
        <v>8448</v>
      </c>
      <c r="P1698" s="12"/>
      <c r="Q1698" s="12">
        <v>1</v>
      </c>
    </row>
    <row r="1699" spans="1:17" ht="15.75" customHeight="1">
      <c r="A1699" s="12">
        <v>1204</v>
      </c>
      <c r="B1699" s="12">
        <v>1937</v>
      </c>
      <c r="C1699" s="12">
        <v>34708</v>
      </c>
      <c r="D1699" s="12" t="s">
        <v>6047</v>
      </c>
      <c r="E1699" s="12" t="s">
        <v>12576</v>
      </c>
      <c r="F1699" s="12" t="s">
        <v>12577</v>
      </c>
      <c r="G1699" s="12" t="s">
        <v>12578</v>
      </c>
      <c r="H1699" s="12" t="s">
        <v>6051</v>
      </c>
      <c r="I1699" s="12" t="s">
        <v>6700</v>
      </c>
      <c r="J1699" s="12">
        <v>34708</v>
      </c>
      <c r="K1699" s="12" t="s">
        <v>6429</v>
      </c>
      <c r="L1699" s="12" t="s">
        <v>6423</v>
      </c>
      <c r="M1699" s="13">
        <v>41991</v>
      </c>
      <c r="N1699" s="12" t="s">
        <v>6430</v>
      </c>
      <c r="O1699" s="12" t="s">
        <v>6431</v>
      </c>
      <c r="P1699" s="12"/>
      <c r="Q1699" s="12">
        <v>1</v>
      </c>
    </row>
    <row r="1700" spans="1:17" ht="15.75" customHeight="1">
      <c r="A1700" s="12">
        <v>1512</v>
      </c>
      <c r="B1700" s="12">
        <v>63</v>
      </c>
      <c r="C1700" s="12">
        <v>728</v>
      </c>
      <c r="D1700" s="12" t="s">
        <v>6047</v>
      </c>
      <c r="E1700" s="12" t="s">
        <v>12579</v>
      </c>
      <c r="F1700" s="12" t="s">
        <v>12580</v>
      </c>
      <c r="G1700" s="12" t="s">
        <v>12581</v>
      </c>
      <c r="H1700" s="12" t="s">
        <v>6289</v>
      </c>
      <c r="I1700" s="12" t="s">
        <v>6290</v>
      </c>
      <c r="J1700" s="12">
        <v>728</v>
      </c>
      <c r="K1700" s="12" t="s">
        <v>7071</v>
      </c>
      <c r="L1700" s="12" t="s">
        <v>6240</v>
      </c>
      <c r="M1700" s="13">
        <v>41762</v>
      </c>
      <c r="N1700" s="12" t="s">
        <v>7072</v>
      </c>
      <c r="O1700" s="12" t="s">
        <v>12582</v>
      </c>
      <c r="P1700" s="12"/>
      <c r="Q1700" s="12">
        <v>1</v>
      </c>
    </row>
    <row r="1701" spans="1:17" ht="15.75" customHeight="1">
      <c r="A1701" s="12">
        <v>1045</v>
      </c>
      <c r="B1701" s="12">
        <v>716</v>
      </c>
      <c r="C1701" s="12">
        <v>8504</v>
      </c>
      <c r="D1701" s="12" t="s">
        <v>6047</v>
      </c>
      <c r="E1701" s="12" t="s">
        <v>12583</v>
      </c>
      <c r="F1701" s="12" t="s">
        <v>12584</v>
      </c>
      <c r="G1701" s="12" t="s">
        <v>12585</v>
      </c>
      <c r="H1701" s="12" t="s">
        <v>6075</v>
      </c>
      <c r="I1701" s="12" t="s">
        <v>6076</v>
      </c>
      <c r="J1701" s="12">
        <v>8504</v>
      </c>
      <c r="K1701" s="12" t="s">
        <v>11860</v>
      </c>
      <c r="L1701" s="12" t="s">
        <v>6504</v>
      </c>
      <c r="M1701" s="13">
        <v>42688</v>
      </c>
      <c r="N1701" s="12" t="s">
        <v>11861</v>
      </c>
      <c r="O1701" s="12" t="s">
        <v>11862</v>
      </c>
      <c r="P1701" s="12"/>
      <c r="Q1701" s="12">
        <v>1</v>
      </c>
    </row>
    <row r="1702" spans="1:17" ht="15.75" customHeight="1">
      <c r="A1702" s="12">
        <v>1471</v>
      </c>
      <c r="B1702" s="12">
        <v>113</v>
      </c>
      <c r="C1702" s="12">
        <v>1836</v>
      </c>
      <c r="D1702" s="12" t="s">
        <v>6047</v>
      </c>
      <c r="E1702" s="12" t="s">
        <v>5056</v>
      </c>
      <c r="F1702" s="12" t="s">
        <v>12586</v>
      </c>
      <c r="G1702" s="12" t="s">
        <v>12587</v>
      </c>
      <c r="H1702" s="12" t="s">
        <v>6435</v>
      </c>
      <c r="I1702" s="12" t="s">
        <v>6920</v>
      </c>
      <c r="J1702" s="12">
        <v>1836</v>
      </c>
      <c r="K1702" s="12" t="s">
        <v>6069</v>
      </c>
      <c r="L1702" s="12" t="s">
        <v>6070</v>
      </c>
      <c r="M1702" s="13">
        <v>41907</v>
      </c>
      <c r="N1702" s="12" t="s">
        <v>6071</v>
      </c>
      <c r="O1702" s="12" t="s">
        <v>6072</v>
      </c>
      <c r="P1702" s="12"/>
      <c r="Q1702" s="12">
        <v>1</v>
      </c>
    </row>
    <row r="1703" spans="1:17" ht="15.75" customHeight="1">
      <c r="A1703" s="12">
        <v>1145</v>
      </c>
      <c r="B1703" s="12">
        <v>1611</v>
      </c>
      <c r="C1703" s="12">
        <v>28324</v>
      </c>
      <c r="D1703" s="12" t="s">
        <v>6047</v>
      </c>
      <c r="E1703" s="12" t="s">
        <v>5054</v>
      </c>
      <c r="F1703" s="12" t="s">
        <v>12588</v>
      </c>
      <c r="G1703" s="12" t="s">
        <v>12589</v>
      </c>
      <c r="H1703" s="12" t="s">
        <v>6051</v>
      </c>
      <c r="I1703" s="12" t="s">
        <v>6366</v>
      </c>
      <c r="J1703" s="12">
        <v>28324</v>
      </c>
      <c r="K1703" s="12" t="s">
        <v>9404</v>
      </c>
      <c r="L1703" s="12" t="s">
        <v>6393</v>
      </c>
      <c r="M1703" s="13">
        <v>42137</v>
      </c>
      <c r="N1703" s="12" t="s">
        <v>9405</v>
      </c>
      <c r="O1703" s="12" t="s">
        <v>9406</v>
      </c>
      <c r="P1703" s="12"/>
      <c r="Q1703" s="12">
        <v>1</v>
      </c>
    </row>
    <row r="1704" spans="1:17" ht="15.75" customHeight="1">
      <c r="A1704" s="12">
        <v>730</v>
      </c>
      <c r="B1704" s="12">
        <v>1986</v>
      </c>
      <c r="C1704" s="12">
        <v>35137</v>
      </c>
      <c r="D1704" s="12" t="s">
        <v>6047</v>
      </c>
      <c r="E1704" s="12" t="s">
        <v>12590</v>
      </c>
      <c r="F1704" s="12" t="s">
        <v>12591</v>
      </c>
      <c r="G1704" s="12" t="s">
        <v>12592</v>
      </c>
      <c r="H1704" s="12" t="s">
        <v>6051</v>
      </c>
      <c r="I1704" s="12" t="s">
        <v>6700</v>
      </c>
      <c r="J1704" s="12">
        <v>35137</v>
      </c>
      <c r="K1704" s="12" t="s">
        <v>8059</v>
      </c>
      <c r="L1704" s="12" t="s">
        <v>6839</v>
      </c>
      <c r="M1704" s="13">
        <v>43198</v>
      </c>
      <c r="N1704" s="12" t="s">
        <v>8060</v>
      </c>
      <c r="O1704" s="12" t="s">
        <v>8061</v>
      </c>
      <c r="P1704" s="12"/>
      <c r="Q1704" s="12">
        <v>1</v>
      </c>
    </row>
    <row r="1705" spans="1:17" ht="15.75" customHeight="1">
      <c r="A1705" s="12">
        <v>2036</v>
      </c>
      <c r="B1705" s="12">
        <v>479</v>
      </c>
      <c r="C1705" s="12">
        <v>6446</v>
      </c>
      <c r="D1705" s="12" t="s">
        <v>6047</v>
      </c>
      <c r="E1705" s="12" t="s">
        <v>12593</v>
      </c>
      <c r="F1705" s="12" t="s">
        <v>12594</v>
      </c>
      <c r="G1705" s="12" t="s">
        <v>12595</v>
      </c>
      <c r="H1705" s="12" t="s">
        <v>6137</v>
      </c>
      <c r="I1705" s="12" t="s">
        <v>6200</v>
      </c>
      <c r="J1705" s="12">
        <v>6446</v>
      </c>
      <c r="K1705" s="12" t="s">
        <v>7553</v>
      </c>
      <c r="L1705" s="12" t="s">
        <v>6278</v>
      </c>
      <c r="M1705" s="13">
        <v>38174</v>
      </c>
      <c r="N1705" s="12" t="s">
        <v>7554</v>
      </c>
      <c r="O1705" s="12" t="s">
        <v>7555</v>
      </c>
      <c r="P1705" s="12"/>
      <c r="Q1705" s="12">
        <v>1</v>
      </c>
    </row>
    <row r="1706" spans="1:17" ht="15.75" customHeight="1">
      <c r="A1706" s="12">
        <v>939</v>
      </c>
      <c r="B1706" s="12">
        <v>651</v>
      </c>
      <c r="C1706" s="12">
        <v>7921</v>
      </c>
      <c r="D1706" s="12" t="s">
        <v>6047</v>
      </c>
      <c r="E1706" s="12" t="s">
        <v>12596</v>
      </c>
      <c r="F1706" s="12" t="s">
        <v>12597</v>
      </c>
      <c r="G1706" s="12" t="s">
        <v>12598</v>
      </c>
      <c r="H1706" s="12" t="s">
        <v>6075</v>
      </c>
      <c r="I1706" s="12" t="s">
        <v>6076</v>
      </c>
      <c r="J1706" s="12">
        <v>7921</v>
      </c>
      <c r="K1706" s="12" t="s">
        <v>6752</v>
      </c>
      <c r="L1706" s="12" t="s">
        <v>6753</v>
      </c>
      <c r="M1706" s="13">
        <v>42828</v>
      </c>
      <c r="N1706" s="12" t="s">
        <v>6754</v>
      </c>
      <c r="O1706" s="12" t="s">
        <v>6891</v>
      </c>
      <c r="P1706" s="12"/>
      <c r="Q1706" s="12">
        <v>1</v>
      </c>
    </row>
    <row r="1707" spans="1:17" ht="15.75" customHeight="1">
      <c r="A1707" s="12">
        <v>805</v>
      </c>
      <c r="B1707" s="12">
        <v>685</v>
      </c>
      <c r="C1707" s="12">
        <v>8315</v>
      </c>
      <c r="D1707" s="12" t="s">
        <v>6047</v>
      </c>
      <c r="E1707" s="12" t="s">
        <v>12599</v>
      </c>
      <c r="F1707" s="12" t="s">
        <v>12600</v>
      </c>
      <c r="G1707" s="12" t="s">
        <v>12601</v>
      </c>
      <c r="H1707" s="12" t="s">
        <v>6075</v>
      </c>
      <c r="I1707" s="12" t="s">
        <v>6076</v>
      </c>
      <c r="J1707" s="12">
        <v>8315</v>
      </c>
      <c r="K1707" s="12" t="s">
        <v>6683</v>
      </c>
      <c r="L1707" s="12" t="s">
        <v>6590</v>
      </c>
      <c r="M1707" s="13">
        <v>43030</v>
      </c>
      <c r="N1707" s="12" t="s">
        <v>6684</v>
      </c>
      <c r="O1707" s="12" t="s">
        <v>6685</v>
      </c>
      <c r="P1707" s="12"/>
      <c r="Q1707" s="12">
        <v>1</v>
      </c>
    </row>
    <row r="1708" spans="1:17" ht="15.75" customHeight="1">
      <c r="A1708" s="12">
        <v>1129</v>
      </c>
      <c r="B1708" s="12">
        <v>1791</v>
      </c>
      <c r="C1708" s="12">
        <v>33315</v>
      </c>
      <c r="D1708" s="12" t="s">
        <v>6047</v>
      </c>
      <c r="E1708" s="12" t="s">
        <v>5084</v>
      </c>
      <c r="F1708" s="12" t="s">
        <v>12602</v>
      </c>
      <c r="G1708" s="12" t="s">
        <v>12603</v>
      </c>
      <c r="H1708" s="12" t="s">
        <v>6051</v>
      </c>
      <c r="I1708" s="12" t="s">
        <v>6374</v>
      </c>
      <c r="J1708" s="12">
        <v>33315</v>
      </c>
      <c r="K1708" s="12" t="s">
        <v>12604</v>
      </c>
      <c r="L1708" s="12" t="s">
        <v>6345</v>
      </c>
      <c r="M1708" s="13">
        <v>42321</v>
      </c>
      <c r="N1708" s="12" t="s">
        <v>12605</v>
      </c>
      <c r="O1708" s="12" t="s">
        <v>12606</v>
      </c>
      <c r="P1708" s="12"/>
      <c r="Q1708" s="12">
        <v>1</v>
      </c>
    </row>
    <row r="1709" spans="1:17" ht="15.75" customHeight="1">
      <c r="A1709" s="12">
        <v>13</v>
      </c>
      <c r="B1709" s="12">
        <v>931</v>
      </c>
      <c r="C1709" s="12">
        <v>12445</v>
      </c>
      <c r="D1709" s="12" t="s">
        <v>6047</v>
      </c>
      <c r="E1709" s="12" t="s">
        <v>5102</v>
      </c>
      <c r="F1709" s="12" t="s">
        <v>12607</v>
      </c>
      <c r="G1709" s="12" t="s">
        <v>12608</v>
      </c>
      <c r="H1709" s="12" t="s">
        <v>6627</v>
      </c>
      <c r="I1709" s="12" t="s">
        <v>6628</v>
      </c>
      <c r="J1709" s="12">
        <v>12445</v>
      </c>
      <c r="K1709" s="12" t="s">
        <v>12609</v>
      </c>
      <c r="L1709" s="12" t="s">
        <v>6905</v>
      </c>
      <c r="M1709" s="13">
        <v>45980</v>
      </c>
      <c r="N1709" s="12" t="s">
        <v>12610</v>
      </c>
      <c r="O1709" s="12" t="s">
        <v>12611</v>
      </c>
      <c r="P1709" s="12"/>
      <c r="Q1709" s="12">
        <v>1</v>
      </c>
    </row>
    <row r="1710" spans="1:17" ht="15.75" customHeight="1">
      <c r="A1710" s="12">
        <v>611</v>
      </c>
      <c r="B1710" s="12">
        <v>280</v>
      </c>
      <c r="C1710" s="12">
        <v>4667</v>
      </c>
      <c r="D1710" s="12" t="s">
        <v>6047</v>
      </c>
      <c r="E1710" s="12" t="s">
        <v>12612</v>
      </c>
      <c r="F1710" s="12" t="s">
        <v>12613</v>
      </c>
      <c r="G1710" s="12" t="s">
        <v>12614</v>
      </c>
      <c r="H1710" s="12" t="s">
        <v>6163</v>
      </c>
      <c r="I1710" s="12" t="s">
        <v>6253</v>
      </c>
      <c r="J1710" s="12">
        <v>4667</v>
      </c>
      <c r="K1710" s="12" t="s">
        <v>7160</v>
      </c>
      <c r="L1710" s="12" t="s">
        <v>6408</v>
      </c>
      <c r="M1710" s="13">
        <v>43558</v>
      </c>
      <c r="N1710" s="12" t="s">
        <v>7161</v>
      </c>
      <c r="O1710" s="12" t="s">
        <v>7162</v>
      </c>
      <c r="P1710" s="12"/>
      <c r="Q1710" s="12">
        <v>1</v>
      </c>
    </row>
    <row r="1711" spans="1:17" ht="15.75" customHeight="1">
      <c r="A1711" s="12">
        <v>424</v>
      </c>
      <c r="B1711" s="12">
        <v>290</v>
      </c>
      <c r="C1711" s="12">
        <v>4724</v>
      </c>
      <c r="D1711" s="12" t="s">
        <v>6047</v>
      </c>
      <c r="E1711" s="12" t="s">
        <v>12615</v>
      </c>
      <c r="F1711" s="12" t="s">
        <v>12616</v>
      </c>
      <c r="G1711" s="12" t="s">
        <v>12617</v>
      </c>
      <c r="H1711" s="12" t="s">
        <v>6163</v>
      </c>
      <c r="I1711" s="12" t="s">
        <v>6253</v>
      </c>
      <c r="J1711" s="12">
        <v>4724</v>
      </c>
      <c r="K1711" s="12" t="s">
        <v>7019</v>
      </c>
      <c r="L1711" s="12" t="s">
        <v>7020</v>
      </c>
      <c r="M1711" s="13">
        <v>44715</v>
      </c>
      <c r="N1711" s="12" t="s">
        <v>7021</v>
      </c>
      <c r="O1711" s="12" t="s">
        <v>7022</v>
      </c>
      <c r="P1711" s="12"/>
      <c r="Q1711" s="12">
        <v>1</v>
      </c>
    </row>
    <row r="1712" spans="1:17" ht="15.75" customHeight="1">
      <c r="A1712" s="12">
        <v>25</v>
      </c>
      <c r="B1712" s="12">
        <v>356</v>
      </c>
      <c r="C1712" s="12">
        <v>5450</v>
      </c>
      <c r="D1712" s="12" t="s">
        <v>6047</v>
      </c>
      <c r="E1712" s="12" t="s">
        <v>12618</v>
      </c>
      <c r="F1712" s="12" t="s">
        <v>12619</v>
      </c>
      <c r="G1712" s="12" t="s">
        <v>12620</v>
      </c>
      <c r="H1712" s="12" t="s">
        <v>6213</v>
      </c>
      <c r="I1712" s="12" t="s">
        <v>6214</v>
      </c>
      <c r="J1712" s="12">
        <v>5450</v>
      </c>
      <c r="K1712" s="12" t="s">
        <v>12621</v>
      </c>
      <c r="L1712" s="12" t="s">
        <v>6905</v>
      </c>
      <c r="M1712" s="13">
        <v>45979</v>
      </c>
      <c r="N1712" s="12" t="s">
        <v>12622</v>
      </c>
      <c r="O1712" s="12" t="s">
        <v>12623</v>
      </c>
      <c r="P1712" s="12"/>
      <c r="Q1712" s="12">
        <v>1</v>
      </c>
    </row>
    <row r="1713" spans="1:17" ht="15.75" customHeight="1">
      <c r="A1713" s="12">
        <v>18</v>
      </c>
      <c r="B1713" s="12">
        <v>1295</v>
      </c>
      <c r="C1713" s="12">
        <v>18306</v>
      </c>
      <c r="D1713" s="12" t="s">
        <v>6047</v>
      </c>
      <c r="E1713" s="12" t="s">
        <v>5113</v>
      </c>
      <c r="F1713" s="12" t="s">
        <v>12624</v>
      </c>
      <c r="G1713" s="12" t="s">
        <v>12625</v>
      </c>
      <c r="H1713" s="12" t="s">
        <v>6051</v>
      </c>
      <c r="I1713" s="12" t="s">
        <v>7763</v>
      </c>
      <c r="J1713" s="12">
        <v>18306</v>
      </c>
      <c r="K1713" s="12" t="s">
        <v>8727</v>
      </c>
      <c r="L1713" s="12" t="s">
        <v>6905</v>
      </c>
      <c r="M1713" s="13">
        <v>45980</v>
      </c>
      <c r="N1713" s="12" t="s">
        <v>8728</v>
      </c>
      <c r="O1713" s="12" t="s">
        <v>8729</v>
      </c>
      <c r="P1713" s="12"/>
      <c r="Q1713" s="12">
        <v>1</v>
      </c>
    </row>
    <row r="1714" spans="1:17" ht="15.75" customHeight="1">
      <c r="A1714" s="12">
        <v>17</v>
      </c>
      <c r="B1714" s="12">
        <v>1303</v>
      </c>
      <c r="C1714" s="12">
        <v>18398</v>
      </c>
      <c r="D1714" s="12" t="s">
        <v>6047</v>
      </c>
      <c r="E1714" s="12" t="s">
        <v>12626</v>
      </c>
      <c r="F1714" s="12" t="s">
        <v>12627</v>
      </c>
      <c r="G1714" s="12" t="s">
        <v>12628</v>
      </c>
      <c r="H1714" s="12" t="s">
        <v>6051</v>
      </c>
      <c r="I1714" s="12" t="s">
        <v>7763</v>
      </c>
      <c r="J1714" s="12">
        <v>18398</v>
      </c>
      <c r="K1714" s="12" t="s">
        <v>8727</v>
      </c>
      <c r="L1714" s="12" t="s">
        <v>6905</v>
      </c>
      <c r="M1714" s="13">
        <v>45980</v>
      </c>
      <c r="N1714" s="12" t="s">
        <v>8728</v>
      </c>
      <c r="O1714" s="12" t="s">
        <v>8729</v>
      </c>
      <c r="P1714" s="12"/>
      <c r="Q1714" s="12">
        <v>1</v>
      </c>
    </row>
    <row r="1715" spans="1:17" ht="15.75" customHeight="1">
      <c r="A1715" s="12">
        <v>609</v>
      </c>
      <c r="B1715" s="12">
        <v>1022</v>
      </c>
      <c r="C1715" s="12">
        <v>14286</v>
      </c>
      <c r="D1715" s="12" t="s">
        <v>6047</v>
      </c>
      <c r="E1715" s="12" t="s">
        <v>5118</v>
      </c>
      <c r="F1715" s="12" t="s">
        <v>12629</v>
      </c>
      <c r="G1715" s="12" t="s">
        <v>12630</v>
      </c>
      <c r="H1715" s="12" t="s">
        <v>6051</v>
      </c>
      <c r="I1715" s="12" t="s">
        <v>6881</v>
      </c>
      <c r="J1715" s="12">
        <v>14286</v>
      </c>
      <c r="K1715" s="12" t="s">
        <v>7160</v>
      </c>
      <c r="L1715" s="12" t="s">
        <v>6408</v>
      </c>
      <c r="M1715" s="13">
        <v>43558</v>
      </c>
      <c r="N1715" s="12" t="s">
        <v>7161</v>
      </c>
      <c r="O1715" s="12" t="s">
        <v>7162</v>
      </c>
      <c r="P1715" s="12"/>
      <c r="Q1715" s="12">
        <v>1</v>
      </c>
    </row>
    <row r="1716" spans="1:17" ht="15.75" customHeight="1">
      <c r="A1716" s="12">
        <v>1330</v>
      </c>
      <c r="B1716" s="12">
        <v>669</v>
      </c>
      <c r="C1716" s="12">
        <v>8054</v>
      </c>
      <c r="D1716" s="12" t="s">
        <v>6047</v>
      </c>
      <c r="E1716" s="12" t="s">
        <v>12631</v>
      </c>
      <c r="F1716" s="12" t="s">
        <v>12632</v>
      </c>
      <c r="G1716" s="12" t="s">
        <v>12633</v>
      </c>
      <c r="H1716" s="12" t="s">
        <v>6075</v>
      </c>
      <c r="I1716" s="12" t="s">
        <v>6076</v>
      </c>
      <c r="J1716" s="12">
        <v>8054</v>
      </c>
      <c r="K1716" s="12" t="s">
        <v>6201</v>
      </c>
      <c r="L1716" s="12" t="s">
        <v>6106</v>
      </c>
      <c r="M1716" s="13">
        <v>41921</v>
      </c>
      <c r="N1716" s="12" t="s">
        <v>6202</v>
      </c>
      <c r="O1716" s="12" t="s">
        <v>6203</v>
      </c>
      <c r="P1716" s="12"/>
      <c r="Q1716" s="12">
        <v>1</v>
      </c>
    </row>
    <row r="1717" spans="1:17" ht="15.75" customHeight="1">
      <c r="A1717" s="12">
        <v>7</v>
      </c>
      <c r="B1717" s="12">
        <v>216</v>
      </c>
      <c r="C1717" s="12">
        <v>3768</v>
      </c>
      <c r="D1717" s="12" t="s">
        <v>6047</v>
      </c>
      <c r="E1717" s="12" t="s">
        <v>12634</v>
      </c>
      <c r="F1717" s="12" t="s">
        <v>12635</v>
      </c>
      <c r="G1717" s="12" t="s">
        <v>12636</v>
      </c>
      <c r="H1717" s="12" t="s">
        <v>12637</v>
      </c>
      <c r="I1717" s="12" t="s">
        <v>12638</v>
      </c>
      <c r="J1717" s="12">
        <v>3768</v>
      </c>
      <c r="K1717" s="12" t="s">
        <v>12639</v>
      </c>
      <c r="L1717" s="12" t="s">
        <v>6905</v>
      </c>
      <c r="M1717" s="13">
        <v>45983</v>
      </c>
      <c r="N1717" s="12" t="s">
        <v>12640</v>
      </c>
      <c r="O1717" s="12" t="s">
        <v>12641</v>
      </c>
      <c r="P1717" s="12"/>
      <c r="Q1717" s="12">
        <v>1</v>
      </c>
    </row>
    <row r="1718" spans="1:17" ht="15.75" customHeight="1">
      <c r="A1718" s="12">
        <v>1084</v>
      </c>
      <c r="B1718" s="12">
        <v>1727</v>
      </c>
      <c r="C1718" s="12">
        <v>32049</v>
      </c>
      <c r="D1718" s="12" t="s">
        <v>6047</v>
      </c>
      <c r="E1718" s="12" t="s">
        <v>12642</v>
      </c>
      <c r="F1718" s="12" t="s">
        <v>12643</v>
      </c>
      <c r="G1718" s="12" t="s">
        <v>12644</v>
      </c>
      <c r="H1718" s="12" t="s">
        <v>6051</v>
      </c>
      <c r="I1718" s="12" t="s">
        <v>6232</v>
      </c>
      <c r="J1718" s="12">
        <v>32049</v>
      </c>
      <c r="K1718" s="12" t="s">
        <v>7166</v>
      </c>
      <c r="L1718" s="12" t="s">
        <v>6504</v>
      </c>
      <c r="M1718" s="13">
        <v>42685</v>
      </c>
      <c r="N1718" s="12" t="s">
        <v>7167</v>
      </c>
      <c r="O1718" s="12" t="s">
        <v>7168</v>
      </c>
      <c r="P1718" s="12"/>
      <c r="Q1718" s="12">
        <v>1</v>
      </c>
    </row>
    <row r="1719" spans="1:17" ht="15.75" customHeight="1">
      <c r="A1719" s="12">
        <v>1083</v>
      </c>
      <c r="B1719" s="12">
        <v>1940</v>
      </c>
      <c r="C1719" s="12">
        <v>34775</v>
      </c>
      <c r="D1719" s="12" t="s">
        <v>6047</v>
      </c>
      <c r="E1719" s="12" t="s">
        <v>12645</v>
      </c>
      <c r="F1719" s="12" t="s">
        <v>12646</v>
      </c>
      <c r="G1719" s="12" t="s">
        <v>12647</v>
      </c>
      <c r="H1719" s="12" t="s">
        <v>6051</v>
      </c>
      <c r="I1719" s="12" t="s">
        <v>6700</v>
      </c>
      <c r="J1719" s="12">
        <v>34775</v>
      </c>
      <c r="K1719" s="12" t="s">
        <v>7166</v>
      </c>
      <c r="L1719" s="12" t="s">
        <v>6504</v>
      </c>
      <c r="M1719" s="13">
        <v>42685</v>
      </c>
      <c r="N1719" s="12" t="s">
        <v>7167</v>
      </c>
      <c r="O1719" s="12" t="s">
        <v>7168</v>
      </c>
      <c r="P1719" s="12"/>
      <c r="Q1719" s="12">
        <v>1</v>
      </c>
    </row>
    <row r="1720" spans="1:17" ht="15.75" customHeight="1">
      <c r="A1720" s="12">
        <v>1051</v>
      </c>
      <c r="B1720" s="12">
        <v>1527</v>
      </c>
      <c r="C1720" s="12">
        <v>27069</v>
      </c>
      <c r="D1720" s="12" t="s">
        <v>6047</v>
      </c>
      <c r="E1720" s="12" t="s">
        <v>12648</v>
      </c>
      <c r="F1720" s="12" t="s">
        <v>12649</v>
      </c>
      <c r="G1720" s="12" t="s">
        <v>12650</v>
      </c>
      <c r="H1720" s="12" t="s">
        <v>6051</v>
      </c>
      <c r="I1720" s="12" t="s">
        <v>7563</v>
      </c>
      <c r="J1720" s="12">
        <v>27069</v>
      </c>
      <c r="K1720" s="12" t="s">
        <v>6819</v>
      </c>
      <c r="L1720" s="12" t="s">
        <v>6504</v>
      </c>
      <c r="M1720" s="13">
        <v>42687</v>
      </c>
      <c r="N1720" s="12" t="s">
        <v>6820</v>
      </c>
      <c r="O1720" s="12" t="s">
        <v>6821</v>
      </c>
      <c r="P1720" s="12"/>
      <c r="Q1720" s="12">
        <v>1</v>
      </c>
    </row>
    <row r="1721" spans="1:17" ht="15.75" customHeight="1">
      <c r="A1721" s="12">
        <v>1411</v>
      </c>
      <c r="B1721" s="12">
        <v>1468</v>
      </c>
      <c r="C1721" s="12">
        <v>23278</v>
      </c>
      <c r="D1721" s="12" t="s">
        <v>6047</v>
      </c>
      <c r="E1721" s="12" t="s">
        <v>12651</v>
      </c>
      <c r="F1721" s="12" t="s">
        <v>12652</v>
      </c>
      <c r="G1721" s="12" t="s">
        <v>12653</v>
      </c>
      <c r="H1721" s="12" t="s">
        <v>6051</v>
      </c>
      <c r="I1721" s="12" t="s">
        <v>6748</v>
      </c>
      <c r="J1721" s="12">
        <v>23278</v>
      </c>
      <c r="K1721" s="12" t="s">
        <v>6086</v>
      </c>
      <c r="L1721" s="12" t="s">
        <v>6087</v>
      </c>
      <c r="M1721" s="13">
        <v>41910</v>
      </c>
      <c r="N1721" s="12" t="s">
        <v>6088</v>
      </c>
      <c r="O1721" s="12" t="s">
        <v>6089</v>
      </c>
      <c r="P1721" s="12"/>
      <c r="Q1721" s="12">
        <v>1</v>
      </c>
    </row>
    <row r="1722" spans="1:17" ht="15.75" customHeight="1">
      <c r="A1722" s="12">
        <v>1683</v>
      </c>
      <c r="B1722" s="12">
        <v>1037</v>
      </c>
      <c r="C1722" s="12">
        <v>14660</v>
      </c>
      <c r="D1722" s="12" t="s">
        <v>6047</v>
      </c>
      <c r="E1722" s="12" t="s">
        <v>12654</v>
      </c>
      <c r="F1722" s="12" t="s">
        <v>12655</v>
      </c>
      <c r="G1722" s="12" t="s">
        <v>12656</v>
      </c>
      <c r="H1722" s="12" t="s">
        <v>6051</v>
      </c>
      <c r="I1722" s="12" t="s">
        <v>6476</v>
      </c>
      <c r="J1722" s="12">
        <v>14660</v>
      </c>
      <c r="K1722" s="12" t="s">
        <v>7260</v>
      </c>
      <c r="L1722" s="12" t="s">
        <v>7261</v>
      </c>
      <c r="M1722" s="13">
        <v>40879</v>
      </c>
      <c r="N1722" s="12" t="s">
        <v>7262</v>
      </c>
      <c r="O1722" s="12" t="s">
        <v>7263</v>
      </c>
      <c r="P1722" s="12"/>
      <c r="Q1722" s="12">
        <v>1</v>
      </c>
    </row>
    <row r="1723" spans="1:17" ht="15.75" customHeight="1">
      <c r="A1723" s="12">
        <v>1324</v>
      </c>
      <c r="B1723" s="12">
        <v>468</v>
      </c>
      <c r="C1723" s="12">
        <v>6325</v>
      </c>
      <c r="D1723" s="12" t="s">
        <v>6047</v>
      </c>
      <c r="E1723" s="12" t="s">
        <v>12657</v>
      </c>
      <c r="F1723" s="12" t="s">
        <v>12658</v>
      </c>
      <c r="G1723" s="12" t="s">
        <v>12659</v>
      </c>
      <c r="H1723" s="12" t="s">
        <v>6137</v>
      </c>
      <c r="I1723" s="12" t="s">
        <v>6654</v>
      </c>
      <c r="J1723" s="12">
        <v>6325</v>
      </c>
      <c r="K1723" s="12" t="s">
        <v>6105</v>
      </c>
      <c r="L1723" s="12" t="s">
        <v>6106</v>
      </c>
      <c r="M1723" s="13">
        <v>41924</v>
      </c>
      <c r="N1723" s="12" t="s">
        <v>6107</v>
      </c>
      <c r="O1723" s="12" t="s">
        <v>7676</v>
      </c>
      <c r="P1723" s="12"/>
      <c r="Q1723" s="12">
        <v>1</v>
      </c>
    </row>
    <row r="1724" spans="1:17" ht="15.75" customHeight="1">
      <c r="A1724" s="12">
        <v>1490</v>
      </c>
      <c r="B1724" s="12">
        <v>1859</v>
      </c>
      <c r="C1724" s="12">
        <v>33972</v>
      </c>
      <c r="D1724" s="12" t="s">
        <v>6047</v>
      </c>
      <c r="E1724" s="12" t="s">
        <v>12660</v>
      </c>
      <c r="F1724" s="12" t="s">
        <v>12661</v>
      </c>
      <c r="G1724" s="12" t="s">
        <v>12662</v>
      </c>
      <c r="H1724" s="12" t="s">
        <v>6051</v>
      </c>
      <c r="I1724" s="12" t="s">
        <v>6362</v>
      </c>
      <c r="J1724" s="12">
        <v>33972</v>
      </c>
      <c r="K1724" s="12" t="s">
        <v>8388</v>
      </c>
      <c r="L1724" s="12" t="s">
        <v>6240</v>
      </c>
      <c r="M1724" s="13">
        <v>41883</v>
      </c>
      <c r="N1724" s="12" t="s">
        <v>8389</v>
      </c>
      <c r="O1724" s="12" t="s">
        <v>8802</v>
      </c>
      <c r="P1724" s="12"/>
      <c r="Q1724" s="12">
        <v>1</v>
      </c>
    </row>
    <row r="1725" spans="1:17" ht="15.75" customHeight="1">
      <c r="A1725" s="12">
        <v>1283</v>
      </c>
      <c r="B1725" s="12">
        <v>1724</v>
      </c>
      <c r="C1725" s="12">
        <v>32033</v>
      </c>
      <c r="D1725" s="12" t="s">
        <v>6047</v>
      </c>
      <c r="E1725" s="12" t="s">
        <v>12663</v>
      </c>
      <c r="F1725" s="12" t="s">
        <v>12664</v>
      </c>
      <c r="G1725" s="12" t="s">
        <v>12665</v>
      </c>
      <c r="H1725" s="12" t="s">
        <v>6051</v>
      </c>
      <c r="I1725" s="12" t="s">
        <v>6232</v>
      </c>
      <c r="J1725" s="12">
        <v>32033</v>
      </c>
      <c r="K1725" s="12" t="s">
        <v>6422</v>
      </c>
      <c r="L1725" s="12" t="s">
        <v>6423</v>
      </c>
      <c r="M1725" s="13">
        <v>41989</v>
      </c>
      <c r="N1725" s="12" t="s">
        <v>6424</v>
      </c>
      <c r="O1725" s="12" t="s">
        <v>6425</v>
      </c>
      <c r="P1725" s="12"/>
      <c r="Q1725" s="12">
        <v>1</v>
      </c>
    </row>
    <row r="1726" spans="1:17" ht="15.75" customHeight="1">
      <c r="A1726" s="12">
        <v>128</v>
      </c>
      <c r="B1726" s="12">
        <v>1246</v>
      </c>
      <c r="C1726" s="12">
        <v>17616</v>
      </c>
      <c r="D1726" s="12" t="s">
        <v>6047</v>
      </c>
      <c r="E1726" s="12" t="s">
        <v>12666</v>
      </c>
      <c r="F1726" s="12" t="s">
        <v>12667</v>
      </c>
      <c r="G1726" s="12" t="s">
        <v>12668</v>
      </c>
      <c r="H1726" s="12" t="s">
        <v>6051</v>
      </c>
      <c r="I1726" s="12" t="s">
        <v>11297</v>
      </c>
      <c r="J1726" s="12">
        <v>17616</v>
      </c>
      <c r="K1726" s="12" t="s">
        <v>11686</v>
      </c>
      <c r="L1726" s="12" t="s">
        <v>6511</v>
      </c>
      <c r="M1726" s="13">
        <v>45965</v>
      </c>
      <c r="N1726" s="12" t="s">
        <v>11687</v>
      </c>
      <c r="O1726" s="12" t="s">
        <v>11688</v>
      </c>
      <c r="P1726" s="12"/>
      <c r="Q1726" s="12">
        <v>1</v>
      </c>
    </row>
    <row r="1727" spans="1:17" ht="15.75" customHeight="1">
      <c r="A1727" s="12">
        <v>1753</v>
      </c>
      <c r="B1727" s="12">
        <v>2014</v>
      </c>
      <c r="C1727" s="12">
        <v>35546</v>
      </c>
      <c r="D1727" s="12" t="s">
        <v>6047</v>
      </c>
      <c r="E1727" s="12" t="s">
        <v>12669</v>
      </c>
      <c r="F1727" s="12" t="s">
        <v>12670</v>
      </c>
      <c r="G1727" s="12" t="s">
        <v>12671</v>
      </c>
      <c r="H1727" s="12" t="s">
        <v>6051</v>
      </c>
      <c r="I1727" s="12" t="s">
        <v>6700</v>
      </c>
      <c r="J1727" s="12">
        <v>35546</v>
      </c>
      <c r="K1727" s="12" t="s">
        <v>6062</v>
      </c>
      <c r="L1727" s="12" t="s">
        <v>6063</v>
      </c>
      <c r="M1727" s="13">
        <v>40873</v>
      </c>
      <c r="N1727" s="12" t="s">
        <v>6064</v>
      </c>
      <c r="O1727" s="12" t="s">
        <v>6065</v>
      </c>
      <c r="P1727" s="12"/>
      <c r="Q1727" s="12">
        <v>1</v>
      </c>
    </row>
    <row r="1728" spans="1:17" ht="15.75" customHeight="1">
      <c r="A1728" s="12">
        <v>358</v>
      </c>
      <c r="B1728" s="12">
        <v>1025</v>
      </c>
      <c r="C1728" s="12">
        <v>14315</v>
      </c>
      <c r="D1728" s="12" t="s">
        <v>6047</v>
      </c>
      <c r="E1728" s="12" t="s">
        <v>12672</v>
      </c>
      <c r="F1728" s="12" t="s">
        <v>12673</v>
      </c>
      <c r="G1728" s="12" t="s">
        <v>12674</v>
      </c>
      <c r="H1728" s="12" t="s">
        <v>6051</v>
      </c>
      <c r="I1728" s="12" t="s">
        <v>6881</v>
      </c>
      <c r="J1728" s="12">
        <v>14315</v>
      </c>
      <c r="K1728" s="12" t="s">
        <v>7200</v>
      </c>
      <c r="L1728" s="12" t="s">
        <v>6226</v>
      </c>
      <c r="M1728" s="13">
        <v>44722</v>
      </c>
      <c r="N1728" s="12" t="s">
        <v>7201</v>
      </c>
      <c r="O1728" s="12" t="s">
        <v>7593</v>
      </c>
      <c r="P1728" s="12"/>
      <c r="Q1728" s="12">
        <v>1</v>
      </c>
    </row>
    <row r="1729" spans="1:17" ht="15.75" customHeight="1">
      <c r="A1729" s="12">
        <v>1993</v>
      </c>
      <c r="B1729" s="12">
        <v>404</v>
      </c>
      <c r="C1729" s="12">
        <v>5845</v>
      </c>
      <c r="D1729" s="12" t="s">
        <v>6047</v>
      </c>
      <c r="E1729" s="12" t="s">
        <v>12675</v>
      </c>
      <c r="F1729" s="12" t="s">
        <v>12676</v>
      </c>
      <c r="G1729" s="12" t="s">
        <v>12677</v>
      </c>
      <c r="H1729" s="12" t="s">
        <v>6137</v>
      </c>
      <c r="I1729" s="12" t="s">
        <v>6323</v>
      </c>
      <c r="J1729" s="12">
        <v>5845</v>
      </c>
      <c r="K1729" s="12" t="s">
        <v>6179</v>
      </c>
      <c r="L1729" s="12" t="s">
        <v>6113</v>
      </c>
      <c r="M1729" s="13">
        <v>38574</v>
      </c>
      <c r="N1729" s="12" t="s">
        <v>6180</v>
      </c>
      <c r="O1729" s="12" t="s">
        <v>6181</v>
      </c>
      <c r="P1729" s="12"/>
      <c r="Q1729" s="12">
        <v>1</v>
      </c>
    </row>
    <row r="1730" spans="1:17" ht="15.75" customHeight="1">
      <c r="A1730" s="12">
        <v>574</v>
      </c>
      <c r="B1730" s="12">
        <v>1896</v>
      </c>
      <c r="C1730" s="12">
        <v>34270</v>
      </c>
      <c r="D1730" s="12" t="s">
        <v>6047</v>
      </c>
      <c r="E1730" s="12" t="s">
        <v>12678</v>
      </c>
      <c r="F1730" s="12" t="s">
        <v>12679</v>
      </c>
      <c r="G1730" s="12" t="s">
        <v>12680</v>
      </c>
      <c r="H1730" s="12" t="s">
        <v>6051</v>
      </c>
      <c r="I1730" s="12" t="s">
        <v>6362</v>
      </c>
      <c r="J1730" s="12">
        <v>34270</v>
      </c>
      <c r="K1730" s="12" t="s">
        <v>6407</v>
      </c>
      <c r="L1730" s="12" t="s">
        <v>6408</v>
      </c>
      <c r="M1730" s="13">
        <v>43561</v>
      </c>
      <c r="N1730" s="12" t="s">
        <v>6409</v>
      </c>
      <c r="O1730" s="12" t="s">
        <v>6410</v>
      </c>
      <c r="P1730" s="12"/>
      <c r="Q1730" s="12">
        <v>1</v>
      </c>
    </row>
    <row r="1731" spans="1:17" ht="15.75" customHeight="1">
      <c r="A1731" s="12">
        <v>348</v>
      </c>
      <c r="B1731" s="12">
        <v>1107</v>
      </c>
      <c r="C1731" s="12">
        <v>15940</v>
      </c>
      <c r="D1731" s="12" t="s">
        <v>6047</v>
      </c>
      <c r="E1731" s="12" t="s">
        <v>12681</v>
      </c>
      <c r="F1731" s="12" t="s">
        <v>12682</v>
      </c>
      <c r="G1731" s="12" t="s">
        <v>12683</v>
      </c>
      <c r="H1731" s="12" t="s">
        <v>6051</v>
      </c>
      <c r="I1731" s="12" t="s">
        <v>6406</v>
      </c>
      <c r="J1731" s="12">
        <v>15940</v>
      </c>
      <c r="K1731" s="12" t="s">
        <v>7926</v>
      </c>
      <c r="L1731" s="12" t="s">
        <v>6732</v>
      </c>
      <c r="M1731" s="13">
        <v>44724</v>
      </c>
      <c r="N1731" s="12" t="s">
        <v>7927</v>
      </c>
      <c r="O1731" s="12" t="s">
        <v>7928</v>
      </c>
      <c r="P1731" s="12"/>
      <c r="Q1731" s="12">
        <v>1</v>
      </c>
    </row>
    <row r="1732" spans="1:17" ht="15.75" customHeight="1">
      <c r="A1732" s="12">
        <v>410</v>
      </c>
      <c r="B1732" s="12">
        <v>1540</v>
      </c>
      <c r="C1732" s="12">
        <v>27299</v>
      </c>
      <c r="D1732" s="12" t="s">
        <v>6047</v>
      </c>
      <c r="E1732" s="12" t="s">
        <v>12684</v>
      </c>
      <c r="F1732" s="12" t="s">
        <v>12685</v>
      </c>
      <c r="G1732" s="12" t="s">
        <v>12686</v>
      </c>
      <c r="H1732" s="12" t="s">
        <v>6051</v>
      </c>
      <c r="I1732" s="12" t="s">
        <v>6704</v>
      </c>
      <c r="J1732" s="12">
        <v>27299</v>
      </c>
      <c r="K1732" s="12" t="s">
        <v>12202</v>
      </c>
      <c r="L1732" s="12" t="s">
        <v>7020</v>
      </c>
      <c r="M1732" s="13">
        <v>44715</v>
      </c>
      <c r="N1732" s="12" t="s">
        <v>12203</v>
      </c>
      <c r="O1732" s="12" t="s">
        <v>12204</v>
      </c>
      <c r="P1732" s="12"/>
      <c r="Q1732" s="12">
        <v>1</v>
      </c>
    </row>
    <row r="1733" spans="1:17" ht="15.75" customHeight="1">
      <c r="A1733" s="12">
        <v>925</v>
      </c>
      <c r="B1733" s="12">
        <v>688</v>
      </c>
      <c r="C1733" s="12">
        <v>8334</v>
      </c>
      <c r="D1733" s="12" t="s">
        <v>6047</v>
      </c>
      <c r="E1733" s="12" t="s">
        <v>12687</v>
      </c>
      <c r="F1733" s="12" t="s">
        <v>12688</v>
      </c>
      <c r="G1733" s="12" t="s">
        <v>12689</v>
      </c>
      <c r="H1733" s="12" t="s">
        <v>6075</v>
      </c>
      <c r="I1733" s="12" t="s">
        <v>6076</v>
      </c>
      <c r="J1733" s="12">
        <v>8334</v>
      </c>
      <c r="K1733" s="12" t="s">
        <v>7209</v>
      </c>
      <c r="L1733" s="12" t="s">
        <v>6955</v>
      </c>
      <c r="M1733" s="13">
        <v>42829</v>
      </c>
      <c r="N1733" s="12" t="s">
        <v>7210</v>
      </c>
      <c r="O1733" s="12" t="s">
        <v>7211</v>
      </c>
      <c r="P1733" s="12"/>
      <c r="Q1733" s="12">
        <v>1</v>
      </c>
    </row>
    <row r="1734" spans="1:17" ht="15.75" customHeight="1">
      <c r="A1734" s="12">
        <v>143</v>
      </c>
      <c r="B1734" s="12">
        <v>1767</v>
      </c>
      <c r="C1734" s="12">
        <v>32989</v>
      </c>
      <c r="D1734" s="12" t="s">
        <v>6047</v>
      </c>
      <c r="E1734" s="12" t="s">
        <v>12690</v>
      </c>
      <c r="F1734" s="12" t="s">
        <v>12691</v>
      </c>
      <c r="G1734" s="12" t="s">
        <v>12692</v>
      </c>
      <c r="H1734" s="12" t="s">
        <v>6051</v>
      </c>
      <c r="I1734" s="12" t="s">
        <v>6374</v>
      </c>
      <c r="J1734" s="12">
        <v>32989</v>
      </c>
      <c r="K1734" s="12" t="s">
        <v>7028</v>
      </c>
      <c r="L1734" s="12" t="s">
        <v>6760</v>
      </c>
      <c r="M1734" s="13">
        <v>45756</v>
      </c>
      <c r="N1734" s="12" t="s">
        <v>7029</v>
      </c>
      <c r="O1734" s="12" t="s">
        <v>7030</v>
      </c>
      <c r="P1734" s="12"/>
      <c r="Q1734" s="12">
        <v>1</v>
      </c>
    </row>
    <row r="1735" spans="1:17" ht="15.75" customHeight="1">
      <c r="A1735" s="12">
        <v>1061</v>
      </c>
      <c r="B1735" s="12">
        <v>787</v>
      </c>
      <c r="C1735" s="12">
        <v>9846</v>
      </c>
      <c r="D1735" s="12" t="s">
        <v>6047</v>
      </c>
      <c r="E1735" s="12" t="s">
        <v>12693</v>
      </c>
      <c r="F1735" s="12" t="s">
        <v>12694</v>
      </c>
      <c r="G1735" s="12" t="s">
        <v>12695</v>
      </c>
      <c r="H1735" s="12" t="s">
        <v>6265</v>
      </c>
      <c r="I1735" s="12" t="s">
        <v>6449</v>
      </c>
      <c r="J1735" s="12">
        <v>9846</v>
      </c>
      <c r="K1735" s="12" t="s">
        <v>6053</v>
      </c>
      <c r="L1735" s="12" t="s">
        <v>6054</v>
      </c>
      <c r="M1735" s="13">
        <v>42687</v>
      </c>
      <c r="N1735" s="12" t="s">
        <v>6055</v>
      </c>
      <c r="O1735" s="12" t="s">
        <v>6056</v>
      </c>
      <c r="P1735" s="12"/>
      <c r="Q1735" s="12">
        <v>1</v>
      </c>
    </row>
    <row r="1736" spans="1:17" ht="15.75" customHeight="1">
      <c r="A1736" s="12">
        <v>831</v>
      </c>
      <c r="B1736" s="12">
        <v>163</v>
      </c>
      <c r="C1736" s="12">
        <v>2844</v>
      </c>
      <c r="D1736" s="12" t="s">
        <v>6047</v>
      </c>
      <c r="E1736" s="12" t="s">
        <v>12696</v>
      </c>
      <c r="F1736" s="12" t="s">
        <v>12697</v>
      </c>
      <c r="G1736" s="12" t="s">
        <v>12698</v>
      </c>
      <c r="H1736" s="12" t="s">
        <v>6127</v>
      </c>
      <c r="I1736" s="12" t="s">
        <v>6128</v>
      </c>
      <c r="J1736" s="12">
        <v>2844</v>
      </c>
      <c r="K1736" s="12" t="s">
        <v>6807</v>
      </c>
      <c r="L1736" s="12" t="s">
        <v>6564</v>
      </c>
      <c r="M1736" s="13">
        <v>43022</v>
      </c>
      <c r="N1736" s="12" t="s">
        <v>6808</v>
      </c>
      <c r="O1736" s="12" t="s">
        <v>6809</v>
      </c>
      <c r="P1736" s="12"/>
      <c r="Q1736" s="12">
        <v>1</v>
      </c>
    </row>
    <row r="1737" spans="1:17" ht="15.75" customHeight="1">
      <c r="A1737" s="12">
        <v>2026</v>
      </c>
      <c r="B1737" s="12">
        <v>30</v>
      </c>
      <c r="C1737" s="12">
        <v>468</v>
      </c>
      <c r="D1737" s="12" t="s">
        <v>6047</v>
      </c>
      <c r="E1737" s="12" t="s">
        <v>12699</v>
      </c>
      <c r="F1737" s="12" t="s">
        <v>12700</v>
      </c>
      <c r="G1737" s="12" t="s">
        <v>12701</v>
      </c>
      <c r="H1737" s="12" t="s">
        <v>6289</v>
      </c>
      <c r="I1737" s="12" t="s">
        <v>6290</v>
      </c>
      <c r="J1737" s="12">
        <v>468</v>
      </c>
      <c r="K1737" s="12" t="s">
        <v>7483</v>
      </c>
      <c r="L1737" s="12" t="s">
        <v>7484</v>
      </c>
      <c r="M1737" s="13">
        <v>38178</v>
      </c>
      <c r="N1737" s="12" t="s">
        <v>7485</v>
      </c>
      <c r="O1737" s="12" t="s">
        <v>7486</v>
      </c>
      <c r="P1737" s="12"/>
      <c r="Q1737" s="12">
        <v>1</v>
      </c>
    </row>
    <row r="1738" spans="1:17" ht="15.75" customHeight="1">
      <c r="A1738" s="12">
        <v>1288</v>
      </c>
      <c r="B1738" s="12">
        <v>1166</v>
      </c>
      <c r="C1738" s="12">
        <v>16746</v>
      </c>
      <c r="D1738" s="12" t="s">
        <v>6047</v>
      </c>
      <c r="E1738" s="12" t="s">
        <v>12702</v>
      </c>
      <c r="F1738" s="12" t="s">
        <v>12703</v>
      </c>
      <c r="G1738" s="12" t="s">
        <v>12704</v>
      </c>
      <c r="H1738" s="12" t="s">
        <v>6051</v>
      </c>
      <c r="I1738" s="12" t="s">
        <v>6052</v>
      </c>
      <c r="J1738" s="12">
        <v>16746</v>
      </c>
      <c r="K1738" s="12" t="s">
        <v>6422</v>
      </c>
      <c r="L1738" s="12" t="s">
        <v>6423</v>
      </c>
      <c r="M1738" s="13">
        <v>41989</v>
      </c>
      <c r="N1738" s="12" t="s">
        <v>6424</v>
      </c>
      <c r="O1738" s="12" t="s">
        <v>6425</v>
      </c>
      <c r="P1738" s="12"/>
      <c r="Q1738" s="12">
        <v>1</v>
      </c>
    </row>
    <row r="1739" spans="1:17" ht="15.75" customHeight="1">
      <c r="A1739" s="12">
        <v>572</v>
      </c>
      <c r="B1739" s="12">
        <v>844</v>
      </c>
      <c r="C1739" s="12">
        <v>10832</v>
      </c>
      <c r="D1739" s="12" t="s">
        <v>6047</v>
      </c>
      <c r="E1739" s="12" t="s">
        <v>12705</v>
      </c>
      <c r="F1739" s="12" t="s">
        <v>12706</v>
      </c>
      <c r="G1739" s="12" t="s">
        <v>12707</v>
      </c>
      <c r="H1739" s="12" t="s">
        <v>6060</v>
      </c>
      <c r="I1739" s="12" t="s">
        <v>11275</v>
      </c>
      <c r="J1739" s="12">
        <v>10832</v>
      </c>
      <c r="K1739" s="12" t="s">
        <v>6407</v>
      </c>
      <c r="L1739" s="12" t="s">
        <v>6408</v>
      </c>
      <c r="M1739" s="13">
        <v>43561</v>
      </c>
      <c r="N1739" s="12" t="s">
        <v>6409</v>
      </c>
      <c r="O1739" s="12" t="s">
        <v>6785</v>
      </c>
      <c r="P1739" s="12"/>
      <c r="Q1739" s="12">
        <v>1</v>
      </c>
    </row>
    <row r="1740" spans="1:17" ht="15.75" customHeight="1">
      <c r="A1740" s="12">
        <v>1274</v>
      </c>
      <c r="B1740" s="12">
        <v>252</v>
      </c>
      <c r="C1740" s="12">
        <v>4414</v>
      </c>
      <c r="D1740" s="12" t="s">
        <v>6047</v>
      </c>
      <c r="E1740" s="12" t="s">
        <v>12708</v>
      </c>
      <c r="F1740" s="12" t="s">
        <v>12709</v>
      </c>
      <c r="G1740" s="12" t="s">
        <v>12710</v>
      </c>
      <c r="H1740" s="12" t="s">
        <v>6163</v>
      </c>
      <c r="I1740" s="12" t="s">
        <v>6253</v>
      </c>
      <c r="J1740" s="12">
        <v>4414</v>
      </c>
      <c r="K1740" s="12" t="s">
        <v>6470</v>
      </c>
      <c r="L1740" s="12" t="s">
        <v>6423</v>
      </c>
      <c r="M1740" s="13">
        <v>41990</v>
      </c>
      <c r="N1740" s="12" t="s">
        <v>6471</v>
      </c>
      <c r="O1740" s="12" t="s">
        <v>6472</v>
      </c>
      <c r="P1740" s="12"/>
      <c r="Q1740" s="12">
        <v>1</v>
      </c>
    </row>
    <row r="1741" spans="1:17" ht="15.75" customHeight="1">
      <c r="A1741" s="12">
        <v>1563</v>
      </c>
      <c r="B1741" s="12">
        <v>1890</v>
      </c>
      <c r="C1741" s="12">
        <v>34206</v>
      </c>
      <c r="D1741" s="12" t="s">
        <v>6047</v>
      </c>
      <c r="E1741" s="12" t="s">
        <v>5175</v>
      </c>
      <c r="F1741" s="12" t="s">
        <v>12711</v>
      </c>
      <c r="G1741" s="12" t="s">
        <v>12712</v>
      </c>
      <c r="H1741" s="12" t="s">
        <v>6051</v>
      </c>
      <c r="I1741" s="12" t="s">
        <v>6362</v>
      </c>
      <c r="J1741" s="12">
        <v>34206</v>
      </c>
      <c r="K1741" s="12" t="s">
        <v>6869</v>
      </c>
      <c r="L1741" s="12" t="s">
        <v>6255</v>
      </c>
      <c r="M1741" s="13">
        <v>41561</v>
      </c>
      <c r="N1741" s="12" t="s">
        <v>6870</v>
      </c>
      <c r="O1741" s="12" t="s">
        <v>6871</v>
      </c>
      <c r="P1741" s="12"/>
      <c r="Q1741" s="12">
        <v>1</v>
      </c>
    </row>
    <row r="1742" spans="1:17" ht="15.75" customHeight="1">
      <c r="A1742" s="12">
        <v>809</v>
      </c>
      <c r="B1742" s="12">
        <v>1506</v>
      </c>
      <c r="C1742" s="12">
        <v>24276</v>
      </c>
      <c r="D1742" s="12" t="s">
        <v>6047</v>
      </c>
      <c r="E1742" s="12" t="s">
        <v>12713</v>
      </c>
      <c r="F1742" s="12" t="s">
        <v>12714</v>
      </c>
      <c r="G1742" s="12" t="s">
        <v>12715</v>
      </c>
      <c r="H1742" s="12" t="s">
        <v>6051</v>
      </c>
      <c r="I1742" s="12" t="s">
        <v>6738</v>
      </c>
      <c r="J1742" s="12">
        <v>24276</v>
      </c>
      <c r="K1742" s="12" t="s">
        <v>6649</v>
      </c>
      <c r="L1742" s="12" t="s">
        <v>6590</v>
      </c>
      <c r="M1742" s="13">
        <v>43029</v>
      </c>
      <c r="N1742" s="12" t="s">
        <v>6650</v>
      </c>
      <c r="O1742" s="12" t="s">
        <v>6651</v>
      </c>
      <c r="P1742" s="12"/>
      <c r="Q1742" s="12">
        <v>1</v>
      </c>
    </row>
    <row r="1743" spans="1:17" ht="15.75" customHeight="1">
      <c r="A1743" s="12">
        <v>1609</v>
      </c>
      <c r="B1743" s="12">
        <v>1487</v>
      </c>
      <c r="C1743" s="12">
        <v>24064</v>
      </c>
      <c r="D1743" s="12" t="s">
        <v>6047</v>
      </c>
      <c r="E1743" s="12" t="s">
        <v>5177</v>
      </c>
      <c r="F1743" s="12" t="s">
        <v>12716</v>
      </c>
      <c r="G1743" s="12" t="s">
        <v>12717</v>
      </c>
      <c r="H1743" s="12" t="s">
        <v>6051</v>
      </c>
      <c r="I1743" s="12" t="s">
        <v>6738</v>
      </c>
      <c r="J1743" s="12">
        <v>24064</v>
      </c>
      <c r="K1743" s="12" t="s">
        <v>6300</v>
      </c>
      <c r="L1743" s="12" t="s">
        <v>6240</v>
      </c>
      <c r="M1743" s="13">
        <v>41396</v>
      </c>
      <c r="N1743" s="12" t="s">
        <v>6301</v>
      </c>
      <c r="O1743" s="12" t="s">
        <v>6302</v>
      </c>
      <c r="P1743" s="12"/>
      <c r="Q1743" s="12">
        <v>1</v>
      </c>
    </row>
    <row r="1744" spans="1:17" ht="15.75" customHeight="1">
      <c r="A1744" s="12">
        <v>1890</v>
      </c>
      <c r="B1744" s="12">
        <v>603</v>
      </c>
      <c r="C1744" s="12">
        <v>7630</v>
      </c>
      <c r="D1744" s="12" t="s">
        <v>6047</v>
      </c>
      <c r="E1744" s="12" t="s">
        <v>12718</v>
      </c>
      <c r="F1744" s="12" t="s">
        <v>12719</v>
      </c>
      <c r="G1744" s="12" t="s">
        <v>12720</v>
      </c>
      <c r="H1744" s="12" t="s">
        <v>6187</v>
      </c>
      <c r="I1744" s="12" t="s">
        <v>6224</v>
      </c>
      <c r="J1744" s="12">
        <v>7630</v>
      </c>
      <c r="K1744" s="12" t="s">
        <v>7357</v>
      </c>
      <c r="L1744" s="12" t="s">
        <v>6709</v>
      </c>
      <c r="M1744" s="13">
        <v>40174</v>
      </c>
      <c r="N1744" s="12" t="s">
        <v>7358</v>
      </c>
      <c r="O1744" s="12" t="s">
        <v>7359</v>
      </c>
      <c r="P1744" s="12"/>
      <c r="Q1744" s="12">
        <v>1</v>
      </c>
    </row>
    <row r="1745" spans="1:17" ht="15.75" customHeight="1">
      <c r="A1745" s="12">
        <v>199</v>
      </c>
      <c r="B1745" s="12">
        <v>1719</v>
      </c>
      <c r="C1745" s="12">
        <v>32011</v>
      </c>
      <c r="D1745" s="12" t="s">
        <v>6047</v>
      </c>
      <c r="E1745" s="12" t="s">
        <v>12721</v>
      </c>
      <c r="F1745" s="12" t="s">
        <v>12722</v>
      </c>
      <c r="G1745" s="12" t="s">
        <v>12723</v>
      </c>
      <c r="H1745" s="12" t="s">
        <v>6051</v>
      </c>
      <c r="I1745" s="12" t="s">
        <v>6232</v>
      </c>
      <c r="J1745" s="12">
        <v>32011</v>
      </c>
      <c r="K1745" s="12" t="s">
        <v>9154</v>
      </c>
      <c r="L1745" s="12" t="s">
        <v>8066</v>
      </c>
      <c r="M1745" s="13">
        <v>45748</v>
      </c>
      <c r="N1745" s="12" t="s">
        <v>9155</v>
      </c>
      <c r="O1745" s="12" t="s">
        <v>9156</v>
      </c>
      <c r="P1745" s="12"/>
      <c r="Q1745" s="12">
        <v>1</v>
      </c>
    </row>
    <row r="1746" spans="1:17" ht="15.75" customHeight="1">
      <c r="A1746" s="12">
        <v>752</v>
      </c>
      <c r="B1746" s="12">
        <v>790</v>
      </c>
      <c r="C1746" s="12">
        <v>9869</v>
      </c>
      <c r="D1746" s="12" t="s">
        <v>6047</v>
      </c>
      <c r="E1746" s="12" t="s">
        <v>12724</v>
      </c>
      <c r="F1746" s="12" t="s">
        <v>12725</v>
      </c>
      <c r="G1746" s="12" t="s">
        <v>12726</v>
      </c>
      <c r="H1746" s="12" t="s">
        <v>6265</v>
      </c>
      <c r="I1746" s="12" t="s">
        <v>6449</v>
      </c>
      <c r="J1746" s="12">
        <v>9869</v>
      </c>
      <c r="K1746" s="12" t="s">
        <v>9241</v>
      </c>
      <c r="L1746" s="12" t="s">
        <v>6839</v>
      </c>
      <c r="M1746" s="13">
        <v>43196</v>
      </c>
      <c r="N1746" s="12" t="s">
        <v>9242</v>
      </c>
      <c r="O1746" s="12" t="s">
        <v>9243</v>
      </c>
      <c r="P1746" s="12"/>
      <c r="Q1746" s="12">
        <v>1</v>
      </c>
    </row>
    <row r="1747" spans="1:17" ht="15.75" customHeight="1">
      <c r="A1747" s="12">
        <v>201</v>
      </c>
      <c r="B1747" s="12">
        <v>1529</v>
      </c>
      <c r="C1747" s="12">
        <v>27107</v>
      </c>
      <c r="D1747" s="12" t="s">
        <v>6047</v>
      </c>
      <c r="E1747" s="12" t="s">
        <v>12727</v>
      </c>
      <c r="F1747" s="12" t="s">
        <v>12728</v>
      </c>
      <c r="G1747" s="12" t="s">
        <v>12729</v>
      </c>
      <c r="H1747" s="12" t="s">
        <v>6051</v>
      </c>
      <c r="I1747" s="12" t="s">
        <v>7563</v>
      </c>
      <c r="J1747" s="12">
        <v>27107</v>
      </c>
      <c r="K1747" s="12" t="s">
        <v>9154</v>
      </c>
      <c r="L1747" s="12" t="s">
        <v>8066</v>
      </c>
      <c r="M1747" s="13">
        <v>45748</v>
      </c>
      <c r="N1747" s="12" t="s">
        <v>9155</v>
      </c>
      <c r="O1747" s="12" t="s">
        <v>9156</v>
      </c>
      <c r="P1747" s="12"/>
      <c r="Q1747" s="12">
        <v>1</v>
      </c>
    </row>
    <row r="1748" spans="1:17" ht="15.75" customHeight="1">
      <c r="A1748" s="12">
        <v>1725</v>
      </c>
      <c r="B1748" s="12">
        <v>1231</v>
      </c>
      <c r="C1748" s="12">
        <v>17452</v>
      </c>
      <c r="D1748" s="12" t="s">
        <v>6047</v>
      </c>
      <c r="E1748" s="12" t="s">
        <v>12730</v>
      </c>
      <c r="F1748" s="12" t="s">
        <v>12731</v>
      </c>
      <c r="G1748" s="12" t="s">
        <v>12732</v>
      </c>
      <c r="H1748" s="12" t="s">
        <v>6051</v>
      </c>
      <c r="I1748" s="12" t="s">
        <v>6052</v>
      </c>
      <c r="J1748" s="12">
        <v>17452</v>
      </c>
      <c r="K1748" s="12" t="s">
        <v>7000</v>
      </c>
      <c r="L1748" s="12" t="s">
        <v>7001</v>
      </c>
      <c r="M1748" s="13">
        <v>40875</v>
      </c>
      <c r="N1748" s="12" t="s">
        <v>7002</v>
      </c>
      <c r="O1748" s="12" t="s">
        <v>7003</v>
      </c>
      <c r="P1748" s="12"/>
      <c r="Q1748" s="12">
        <v>1</v>
      </c>
    </row>
    <row r="1749" spans="1:17" ht="15.75" customHeight="1">
      <c r="A1749" s="12">
        <v>1792</v>
      </c>
      <c r="B1749" s="12">
        <v>1595</v>
      </c>
      <c r="C1749" s="12">
        <v>28101</v>
      </c>
      <c r="D1749" s="12" t="s">
        <v>6047</v>
      </c>
      <c r="E1749" s="12" t="s">
        <v>12733</v>
      </c>
      <c r="F1749" s="12" t="s">
        <v>12734</v>
      </c>
      <c r="G1749" s="12" t="s">
        <v>12735</v>
      </c>
      <c r="H1749" s="12" t="s">
        <v>6051</v>
      </c>
      <c r="I1749" s="12" t="s">
        <v>6894</v>
      </c>
      <c r="J1749" s="12">
        <v>28101</v>
      </c>
      <c r="K1749" s="12" t="s">
        <v>6062</v>
      </c>
      <c r="L1749" s="12" t="s">
        <v>6063</v>
      </c>
      <c r="M1749" s="13">
        <v>40873</v>
      </c>
      <c r="N1749" s="12" t="s">
        <v>6064</v>
      </c>
      <c r="O1749" s="12" t="s">
        <v>6065</v>
      </c>
      <c r="P1749" s="12"/>
      <c r="Q1749" s="12">
        <v>1</v>
      </c>
    </row>
    <row r="1750" spans="1:17" ht="15.75" customHeight="1">
      <c r="A1750" s="12">
        <v>575</v>
      </c>
      <c r="B1750" s="12">
        <v>1874</v>
      </c>
      <c r="C1750" s="12">
        <v>34066</v>
      </c>
      <c r="D1750" s="12" t="s">
        <v>6047</v>
      </c>
      <c r="E1750" s="12" t="s">
        <v>12736</v>
      </c>
      <c r="F1750" s="12" t="s">
        <v>12737</v>
      </c>
      <c r="G1750" s="12" t="s">
        <v>12738</v>
      </c>
      <c r="H1750" s="12" t="s">
        <v>6051</v>
      </c>
      <c r="I1750" s="12" t="s">
        <v>6362</v>
      </c>
      <c r="J1750" s="12">
        <v>34066</v>
      </c>
      <c r="K1750" s="12" t="s">
        <v>6407</v>
      </c>
      <c r="L1750" s="12" t="s">
        <v>6408</v>
      </c>
      <c r="M1750" s="13">
        <v>43561</v>
      </c>
      <c r="N1750" s="12" t="s">
        <v>6409</v>
      </c>
      <c r="O1750" s="12" t="s">
        <v>6410</v>
      </c>
      <c r="P1750" s="12"/>
      <c r="Q1750" s="12">
        <v>1</v>
      </c>
    </row>
    <row r="1751" spans="1:17" ht="15.75" customHeight="1">
      <c r="A1751" s="12">
        <v>977</v>
      </c>
      <c r="B1751" s="12">
        <v>1119</v>
      </c>
      <c r="C1751" s="12">
        <v>16101</v>
      </c>
      <c r="D1751" s="12" t="s">
        <v>6047</v>
      </c>
      <c r="E1751" s="12" t="s">
        <v>5228</v>
      </c>
      <c r="F1751" s="12" t="s">
        <v>12739</v>
      </c>
      <c r="G1751" s="12" t="s">
        <v>12740</v>
      </c>
      <c r="H1751" s="12" t="s">
        <v>6051</v>
      </c>
      <c r="I1751" s="12" t="s">
        <v>7375</v>
      </c>
      <c r="J1751" s="12">
        <v>16101</v>
      </c>
      <c r="K1751" s="12" t="s">
        <v>7376</v>
      </c>
      <c r="L1751" s="12" t="s">
        <v>6054</v>
      </c>
      <c r="M1751" s="13">
        <v>42697</v>
      </c>
      <c r="N1751" s="12" t="s">
        <v>7377</v>
      </c>
      <c r="O1751" s="12" t="s">
        <v>12460</v>
      </c>
      <c r="P1751" s="12"/>
      <c r="Q1751" s="12">
        <v>1</v>
      </c>
    </row>
    <row r="1752" spans="1:17" ht="15.75" customHeight="1">
      <c r="A1752" s="12">
        <v>1095</v>
      </c>
      <c r="B1752" s="12">
        <v>727</v>
      </c>
      <c r="C1752" s="12">
        <v>8810</v>
      </c>
      <c r="D1752" s="12" t="s">
        <v>6047</v>
      </c>
      <c r="E1752" s="12" t="s">
        <v>12741</v>
      </c>
      <c r="F1752" s="12" t="s">
        <v>12742</v>
      </c>
      <c r="G1752" s="12" t="s">
        <v>12743</v>
      </c>
      <c r="H1752" s="12" t="s">
        <v>6275</v>
      </c>
      <c r="I1752" s="12" t="s">
        <v>6453</v>
      </c>
      <c r="J1752" s="12">
        <v>8810</v>
      </c>
      <c r="K1752" s="12" t="s">
        <v>7166</v>
      </c>
      <c r="L1752" s="12" t="s">
        <v>6504</v>
      </c>
      <c r="M1752" s="13">
        <v>42685</v>
      </c>
      <c r="N1752" s="12" t="s">
        <v>7167</v>
      </c>
      <c r="O1752" s="12" t="s">
        <v>7168</v>
      </c>
      <c r="P1752" s="12"/>
      <c r="Q1752" s="12">
        <v>1</v>
      </c>
    </row>
    <row r="1753" spans="1:17" ht="15.75" customHeight="1">
      <c r="A1753" s="12">
        <v>1425</v>
      </c>
      <c r="B1753" s="12">
        <v>779</v>
      </c>
      <c r="C1753" s="12">
        <v>9704</v>
      </c>
      <c r="D1753" s="12" t="s">
        <v>6047</v>
      </c>
      <c r="E1753" s="12" t="s">
        <v>5234</v>
      </c>
      <c r="F1753" s="12" t="s">
        <v>12744</v>
      </c>
      <c r="G1753" s="12" t="s">
        <v>12745</v>
      </c>
      <c r="H1753" s="12" t="s">
        <v>6118</v>
      </c>
      <c r="I1753" s="12" t="s">
        <v>6119</v>
      </c>
      <c r="J1753" s="12">
        <v>9704</v>
      </c>
      <c r="K1753" s="12" t="s">
        <v>6139</v>
      </c>
      <c r="L1753" s="12" t="s">
        <v>6087</v>
      </c>
      <c r="M1753" s="13">
        <v>41909</v>
      </c>
      <c r="N1753" s="12" t="s">
        <v>6140</v>
      </c>
      <c r="O1753" s="12" t="s">
        <v>6141</v>
      </c>
      <c r="P1753" s="12"/>
      <c r="Q1753" s="12">
        <v>1</v>
      </c>
    </row>
    <row r="1754" spans="1:17" ht="15.75" customHeight="1">
      <c r="A1754" s="12">
        <v>1507</v>
      </c>
      <c r="B1754" s="12">
        <v>20</v>
      </c>
      <c r="C1754" s="12">
        <v>382</v>
      </c>
      <c r="D1754" s="12" t="s">
        <v>6047</v>
      </c>
      <c r="E1754" s="12" t="s">
        <v>12746</v>
      </c>
      <c r="F1754" s="12" t="s">
        <v>12747</v>
      </c>
      <c r="G1754" s="12" t="s">
        <v>12748</v>
      </c>
      <c r="H1754" s="12" t="s">
        <v>6289</v>
      </c>
      <c r="I1754" s="12" t="s">
        <v>6290</v>
      </c>
      <c r="J1754" s="12">
        <v>382</v>
      </c>
      <c r="K1754" s="12" t="s">
        <v>12749</v>
      </c>
      <c r="L1754" s="12" t="s">
        <v>6240</v>
      </c>
      <c r="M1754" s="13">
        <v>41764</v>
      </c>
      <c r="N1754" s="12" t="s">
        <v>12750</v>
      </c>
      <c r="O1754" s="12" t="s">
        <v>12751</v>
      </c>
      <c r="P1754" s="12"/>
      <c r="Q1754" s="12">
        <v>1</v>
      </c>
    </row>
    <row r="1755" spans="1:17" ht="15.75" customHeight="1">
      <c r="A1755" s="12">
        <v>747</v>
      </c>
      <c r="B1755" s="12">
        <v>254</v>
      </c>
      <c r="C1755" s="12">
        <v>4440</v>
      </c>
      <c r="D1755" s="12" t="s">
        <v>6047</v>
      </c>
      <c r="E1755" s="12" t="s">
        <v>12752</v>
      </c>
      <c r="F1755" s="12" t="s">
        <v>12753</v>
      </c>
      <c r="G1755" s="12" t="s">
        <v>12754</v>
      </c>
      <c r="H1755" s="12" t="s">
        <v>6163</v>
      </c>
      <c r="I1755" s="12" t="s">
        <v>6253</v>
      </c>
      <c r="J1755" s="12">
        <v>4440</v>
      </c>
      <c r="K1755" s="12" t="s">
        <v>6838</v>
      </c>
      <c r="L1755" s="12" t="s">
        <v>6839</v>
      </c>
      <c r="M1755" s="13">
        <v>43196</v>
      </c>
      <c r="N1755" s="12" t="s">
        <v>6840</v>
      </c>
      <c r="O1755" s="12" t="s">
        <v>7536</v>
      </c>
      <c r="P1755" s="12"/>
      <c r="Q1755" s="12">
        <v>1</v>
      </c>
    </row>
    <row r="1756" spans="1:17" ht="15.75" customHeight="1">
      <c r="A1756" s="12">
        <v>622</v>
      </c>
      <c r="B1756" s="12">
        <v>58</v>
      </c>
      <c r="C1756" s="12">
        <v>687</v>
      </c>
      <c r="D1756" s="12" t="s">
        <v>6047</v>
      </c>
      <c r="E1756" s="12" t="s">
        <v>12755</v>
      </c>
      <c r="F1756" s="12" t="s">
        <v>12756</v>
      </c>
      <c r="G1756" s="12" t="s">
        <v>12757</v>
      </c>
      <c r="H1756" s="12" t="s">
        <v>6289</v>
      </c>
      <c r="I1756" s="12" t="s">
        <v>6290</v>
      </c>
      <c r="J1756" s="12">
        <v>687</v>
      </c>
      <c r="K1756" s="12" t="s">
        <v>8489</v>
      </c>
      <c r="L1756" s="12" t="s">
        <v>8091</v>
      </c>
      <c r="M1756" s="13">
        <v>43498</v>
      </c>
      <c r="N1756" s="12" t="s">
        <v>8490</v>
      </c>
      <c r="O1756" s="12" t="s">
        <v>12758</v>
      </c>
      <c r="P1756" s="12"/>
      <c r="Q1756" s="12">
        <v>1</v>
      </c>
    </row>
    <row r="1757" spans="1:17" ht="15.75" customHeight="1">
      <c r="A1757" s="12">
        <v>1069</v>
      </c>
      <c r="B1757" s="12">
        <v>1177</v>
      </c>
      <c r="C1757" s="12">
        <v>16883</v>
      </c>
      <c r="D1757" s="12" t="s">
        <v>6047</v>
      </c>
      <c r="E1757" s="12" t="s">
        <v>12759</v>
      </c>
      <c r="F1757" s="12" t="s">
        <v>12760</v>
      </c>
      <c r="G1757" s="12" t="s">
        <v>12761</v>
      </c>
      <c r="H1757" s="12" t="s">
        <v>6051</v>
      </c>
      <c r="I1757" s="12" t="s">
        <v>6052</v>
      </c>
      <c r="J1757" s="12">
        <v>16883</v>
      </c>
      <c r="K1757" s="12" t="s">
        <v>6927</v>
      </c>
      <c r="L1757" s="12" t="s">
        <v>6504</v>
      </c>
      <c r="M1757" s="13">
        <v>42686</v>
      </c>
      <c r="N1757" s="12" t="s">
        <v>6928</v>
      </c>
      <c r="O1757" s="12" t="s">
        <v>6929</v>
      </c>
      <c r="P1757" s="12"/>
      <c r="Q1757" s="12">
        <v>1</v>
      </c>
    </row>
    <row r="1758" spans="1:17" ht="15.75" customHeight="1">
      <c r="A1758" s="12">
        <v>608</v>
      </c>
      <c r="B1758" s="12">
        <v>1157</v>
      </c>
      <c r="C1758" s="12">
        <v>16609</v>
      </c>
      <c r="D1758" s="12" t="s">
        <v>6047</v>
      </c>
      <c r="E1758" s="12" t="s">
        <v>12762</v>
      </c>
      <c r="F1758" s="12" t="s">
        <v>12763</v>
      </c>
      <c r="G1758" s="12" t="s">
        <v>12764</v>
      </c>
      <c r="H1758" s="12" t="s">
        <v>6051</v>
      </c>
      <c r="I1758" s="12" t="s">
        <v>6052</v>
      </c>
      <c r="J1758" s="12">
        <v>16609</v>
      </c>
      <c r="K1758" s="12" t="s">
        <v>7160</v>
      </c>
      <c r="L1758" s="12" t="s">
        <v>6408</v>
      </c>
      <c r="M1758" s="13">
        <v>43558</v>
      </c>
      <c r="N1758" s="12" t="s">
        <v>7161</v>
      </c>
      <c r="O1758" s="12" t="s">
        <v>7162</v>
      </c>
      <c r="P1758" s="12"/>
      <c r="Q1758" s="12">
        <v>1</v>
      </c>
    </row>
    <row r="1759" spans="1:17" ht="15.75" customHeight="1">
      <c r="A1759" s="12">
        <v>898</v>
      </c>
      <c r="B1759" s="12">
        <v>1451</v>
      </c>
      <c r="C1759" s="12">
        <v>22160</v>
      </c>
      <c r="D1759" s="12" t="s">
        <v>6047</v>
      </c>
      <c r="E1759" s="12" t="s">
        <v>12765</v>
      </c>
      <c r="F1759" s="12" t="s">
        <v>12766</v>
      </c>
      <c r="G1759" s="12" t="s">
        <v>12767</v>
      </c>
      <c r="H1759" s="12" t="s">
        <v>6051</v>
      </c>
      <c r="I1759" s="12" t="s">
        <v>7114</v>
      </c>
      <c r="J1759" s="12">
        <v>22160</v>
      </c>
      <c r="K1759" s="12" t="s">
        <v>6392</v>
      </c>
      <c r="L1759" s="12" t="s">
        <v>6393</v>
      </c>
      <c r="M1759" s="13">
        <v>42857</v>
      </c>
      <c r="N1759" s="12" t="s">
        <v>6394</v>
      </c>
      <c r="O1759" s="12" t="s">
        <v>12768</v>
      </c>
      <c r="P1759" s="12"/>
      <c r="Q1759" s="12">
        <v>1</v>
      </c>
    </row>
    <row r="1760" spans="1:17" ht="15.75" customHeight="1">
      <c r="A1760" s="12">
        <v>1132</v>
      </c>
      <c r="B1760" s="12">
        <v>21</v>
      </c>
      <c r="C1760" s="12">
        <v>384</v>
      </c>
      <c r="D1760" s="12" t="s">
        <v>6047</v>
      </c>
      <c r="E1760" s="12" t="s">
        <v>5250</v>
      </c>
      <c r="F1760" s="12" t="s">
        <v>12769</v>
      </c>
      <c r="G1760" s="12" t="s">
        <v>12770</v>
      </c>
      <c r="H1760" s="12" t="s">
        <v>6289</v>
      </c>
      <c r="I1760" s="12" t="s">
        <v>6290</v>
      </c>
      <c r="J1760" s="12">
        <v>384</v>
      </c>
      <c r="K1760" s="12" t="s">
        <v>12771</v>
      </c>
      <c r="L1760" s="12" t="s">
        <v>7933</v>
      </c>
      <c r="M1760" s="13">
        <v>42290</v>
      </c>
      <c r="N1760" s="12" t="s">
        <v>12772</v>
      </c>
      <c r="O1760" s="12" t="s">
        <v>12773</v>
      </c>
      <c r="P1760" s="12"/>
      <c r="Q1760" s="12">
        <v>1</v>
      </c>
    </row>
    <row r="1761" spans="1:17" ht="15.75" customHeight="1">
      <c r="A1761" s="12">
        <v>1841</v>
      </c>
      <c r="B1761" s="12">
        <v>636</v>
      </c>
      <c r="C1761" s="12">
        <v>7815</v>
      </c>
      <c r="D1761" s="12" t="s">
        <v>6047</v>
      </c>
      <c r="E1761" s="12" t="s">
        <v>12774</v>
      </c>
      <c r="F1761" s="12" t="s">
        <v>12775</v>
      </c>
      <c r="G1761" s="12" t="s">
        <v>12776</v>
      </c>
      <c r="H1761" s="12" t="s">
        <v>6414</v>
      </c>
      <c r="I1761" s="12" t="s">
        <v>6415</v>
      </c>
      <c r="J1761" s="12">
        <v>7815</v>
      </c>
      <c r="K1761" s="12" t="s">
        <v>6062</v>
      </c>
      <c r="L1761" s="12" t="s">
        <v>6063</v>
      </c>
      <c r="M1761" s="13">
        <v>40873</v>
      </c>
      <c r="N1761" s="12" t="s">
        <v>6064</v>
      </c>
      <c r="O1761" s="12" t="s">
        <v>6065</v>
      </c>
      <c r="P1761" s="12"/>
      <c r="Q1761" s="12">
        <v>1</v>
      </c>
    </row>
    <row r="1762" spans="1:17" ht="15.75" customHeight="1">
      <c r="A1762" s="12">
        <v>489</v>
      </c>
      <c r="B1762" s="12">
        <v>1987</v>
      </c>
      <c r="C1762" s="12">
        <v>35147</v>
      </c>
      <c r="D1762" s="12" t="s">
        <v>6047</v>
      </c>
      <c r="E1762" s="12" t="s">
        <v>12777</v>
      </c>
      <c r="F1762" s="12" t="s">
        <v>12778</v>
      </c>
      <c r="G1762" s="12" t="s">
        <v>12779</v>
      </c>
      <c r="H1762" s="12" t="s">
        <v>6051</v>
      </c>
      <c r="I1762" s="12" t="s">
        <v>6700</v>
      </c>
      <c r="J1762" s="12">
        <v>35147</v>
      </c>
      <c r="K1762" s="12" t="s">
        <v>6541</v>
      </c>
      <c r="L1762" s="12" t="s">
        <v>6455</v>
      </c>
      <c r="M1762" s="13">
        <v>43784</v>
      </c>
      <c r="N1762" s="12" t="s">
        <v>6542</v>
      </c>
      <c r="O1762" s="12" t="s">
        <v>6543</v>
      </c>
      <c r="P1762" s="12"/>
      <c r="Q1762" s="12">
        <v>1</v>
      </c>
    </row>
    <row r="1763" spans="1:17" ht="15.75" customHeight="1">
      <c r="A1763" s="12">
        <v>2041</v>
      </c>
      <c r="B1763" s="12">
        <v>1411</v>
      </c>
      <c r="C1763" s="12">
        <v>21210</v>
      </c>
      <c r="D1763" s="12" t="s">
        <v>6047</v>
      </c>
      <c r="E1763" s="12" t="s">
        <v>12780</v>
      </c>
      <c r="F1763" s="12" t="s">
        <v>12781</v>
      </c>
      <c r="G1763" s="12" t="s">
        <v>12782</v>
      </c>
      <c r="H1763" s="12" t="s">
        <v>6051</v>
      </c>
      <c r="I1763" s="12" t="s">
        <v>6299</v>
      </c>
      <c r="J1763" s="12">
        <v>21210</v>
      </c>
      <c r="K1763" s="12" t="s">
        <v>7867</v>
      </c>
      <c r="L1763" s="12" t="s">
        <v>6408</v>
      </c>
      <c r="M1763" s="13">
        <v>38170</v>
      </c>
      <c r="N1763" s="12" t="s">
        <v>7868</v>
      </c>
      <c r="O1763" s="12" t="s">
        <v>7869</v>
      </c>
      <c r="P1763" s="12"/>
      <c r="Q1763" s="12">
        <v>1</v>
      </c>
    </row>
    <row r="1764" spans="1:17" ht="15.75" customHeight="1">
      <c r="A1764" s="12">
        <v>61</v>
      </c>
      <c r="B1764" s="12">
        <v>930</v>
      </c>
      <c r="C1764" s="12">
        <v>12442</v>
      </c>
      <c r="D1764" s="12" t="s">
        <v>6047</v>
      </c>
      <c r="E1764" s="12" t="s">
        <v>5262</v>
      </c>
      <c r="F1764" s="12" t="s">
        <v>12783</v>
      </c>
      <c r="G1764" s="12" t="s">
        <v>12784</v>
      </c>
      <c r="H1764" s="12" t="s">
        <v>6627</v>
      </c>
      <c r="I1764" s="12" t="s">
        <v>6628</v>
      </c>
      <c r="J1764" s="12">
        <v>12442</v>
      </c>
      <c r="K1764" s="12" t="s">
        <v>8661</v>
      </c>
      <c r="L1764" s="12" t="s">
        <v>6590</v>
      </c>
      <c r="M1764" s="13">
        <v>45972</v>
      </c>
      <c r="N1764" s="12" t="s">
        <v>8662</v>
      </c>
      <c r="O1764" s="12" t="s">
        <v>8663</v>
      </c>
      <c r="P1764" s="12"/>
      <c r="Q1764" s="12">
        <v>1</v>
      </c>
    </row>
    <row r="1765" spans="1:17" ht="15.75" customHeight="1">
      <c r="A1765" s="12">
        <v>717</v>
      </c>
      <c r="B1765" s="12">
        <v>1980</v>
      </c>
      <c r="C1765" s="12">
        <v>35058</v>
      </c>
      <c r="D1765" s="12" t="s">
        <v>6047</v>
      </c>
      <c r="E1765" s="12" t="s">
        <v>12785</v>
      </c>
      <c r="F1765" s="12" t="s">
        <v>12786</v>
      </c>
      <c r="G1765" s="12" t="s">
        <v>12787</v>
      </c>
      <c r="H1765" s="12" t="s">
        <v>6051</v>
      </c>
      <c r="I1765" s="12" t="s">
        <v>6700</v>
      </c>
      <c r="J1765" s="12">
        <v>35058</v>
      </c>
      <c r="K1765" s="12" t="s">
        <v>8856</v>
      </c>
      <c r="L1765" s="12" t="s">
        <v>8857</v>
      </c>
      <c r="M1765" s="13">
        <v>43200</v>
      </c>
      <c r="N1765" s="12" t="s">
        <v>8858</v>
      </c>
      <c r="O1765" s="12" t="s">
        <v>8859</v>
      </c>
      <c r="P1765" s="12"/>
      <c r="Q1765" s="12">
        <v>1</v>
      </c>
    </row>
    <row r="1766" spans="1:17" ht="15.75" customHeight="1">
      <c r="A1766" s="12">
        <v>757</v>
      </c>
      <c r="B1766" s="12">
        <v>795</v>
      </c>
      <c r="C1766" s="12">
        <v>9901</v>
      </c>
      <c r="D1766" s="12" t="s">
        <v>6047</v>
      </c>
      <c r="E1766" s="12" t="s">
        <v>12788</v>
      </c>
      <c r="F1766" s="12" t="s">
        <v>12789</v>
      </c>
      <c r="G1766" s="12" t="s">
        <v>12790</v>
      </c>
      <c r="H1766" s="12" t="s">
        <v>6265</v>
      </c>
      <c r="I1766" s="12" t="s">
        <v>6449</v>
      </c>
      <c r="J1766" s="12">
        <v>9901</v>
      </c>
      <c r="K1766" s="12" t="s">
        <v>7404</v>
      </c>
      <c r="L1766" s="12" t="s">
        <v>7405</v>
      </c>
      <c r="M1766" s="13">
        <v>43090</v>
      </c>
      <c r="N1766" s="12" t="s">
        <v>7406</v>
      </c>
      <c r="O1766" s="12" t="s">
        <v>7407</v>
      </c>
      <c r="P1766" s="12"/>
      <c r="Q1766" s="12">
        <v>1</v>
      </c>
    </row>
    <row r="1767" spans="1:17" ht="15.75" customHeight="1">
      <c r="A1767" s="12">
        <v>194</v>
      </c>
      <c r="B1767" s="12">
        <v>962</v>
      </c>
      <c r="C1767" s="12">
        <v>12984</v>
      </c>
      <c r="D1767" s="12" t="s">
        <v>6047</v>
      </c>
      <c r="E1767" s="12" t="s">
        <v>12791</v>
      </c>
      <c r="F1767" s="12" t="s">
        <v>12792</v>
      </c>
      <c r="G1767" s="12" t="s">
        <v>12793</v>
      </c>
      <c r="H1767" s="12" t="s">
        <v>6627</v>
      </c>
      <c r="I1767" s="12" t="s">
        <v>7504</v>
      </c>
      <c r="J1767" s="12">
        <v>12984</v>
      </c>
      <c r="K1767" s="12" t="s">
        <v>8199</v>
      </c>
      <c r="L1767" s="12" t="s">
        <v>8066</v>
      </c>
      <c r="M1767" s="13">
        <v>45749</v>
      </c>
      <c r="N1767" s="12" t="s">
        <v>8200</v>
      </c>
      <c r="O1767" s="12" t="s">
        <v>8201</v>
      </c>
      <c r="P1767" s="12"/>
      <c r="Q1767" s="12">
        <v>1</v>
      </c>
    </row>
    <row r="1768" spans="1:17" ht="15.75" customHeight="1">
      <c r="A1768" s="12">
        <v>249</v>
      </c>
      <c r="B1768" s="12">
        <v>1368</v>
      </c>
      <c r="C1768" s="12">
        <v>19977</v>
      </c>
      <c r="D1768" s="12" t="s">
        <v>6047</v>
      </c>
      <c r="E1768" s="12" t="s">
        <v>12794</v>
      </c>
      <c r="F1768" s="12" t="s">
        <v>12795</v>
      </c>
      <c r="G1768" s="12" t="s">
        <v>12796</v>
      </c>
      <c r="H1768" s="12" t="s">
        <v>6051</v>
      </c>
      <c r="I1768" s="12" t="s">
        <v>6523</v>
      </c>
      <c r="J1768" s="12">
        <v>19977</v>
      </c>
      <c r="K1768" s="12" t="s">
        <v>9039</v>
      </c>
      <c r="L1768" s="12" t="s">
        <v>7739</v>
      </c>
      <c r="M1768" s="13">
        <v>45605</v>
      </c>
      <c r="N1768" s="12" t="s">
        <v>9040</v>
      </c>
      <c r="O1768" s="12" t="s">
        <v>9041</v>
      </c>
      <c r="P1768" s="12"/>
      <c r="Q1768" s="12">
        <v>1</v>
      </c>
    </row>
    <row r="1769" spans="1:17" ht="15.75" customHeight="1">
      <c r="A1769" s="12">
        <v>1228</v>
      </c>
      <c r="B1769" s="12">
        <v>1035</v>
      </c>
      <c r="C1769" s="12">
        <v>14642</v>
      </c>
      <c r="D1769" s="12" t="s">
        <v>6047</v>
      </c>
      <c r="E1769" s="12" t="s">
        <v>12797</v>
      </c>
      <c r="F1769" s="12" t="s">
        <v>12798</v>
      </c>
      <c r="G1769" s="12" t="s">
        <v>12799</v>
      </c>
      <c r="H1769" s="12" t="s">
        <v>6051</v>
      </c>
      <c r="I1769" s="12" t="s">
        <v>6476</v>
      </c>
      <c r="J1769" s="12">
        <v>14642</v>
      </c>
      <c r="K1769" s="12" t="s">
        <v>6429</v>
      </c>
      <c r="L1769" s="12" t="s">
        <v>6423</v>
      </c>
      <c r="M1769" s="13">
        <v>41991</v>
      </c>
      <c r="N1769" s="12" t="s">
        <v>6430</v>
      </c>
      <c r="O1769" s="12" t="s">
        <v>6431</v>
      </c>
      <c r="P1769" s="12"/>
      <c r="Q1769" s="12">
        <v>1</v>
      </c>
    </row>
    <row r="1770" spans="1:17" ht="15.75" customHeight="1">
      <c r="A1770" s="12">
        <v>612</v>
      </c>
      <c r="B1770" s="12">
        <v>264</v>
      </c>
      <c r="C1770" s="12">
        <v>4542</v>
      </c>
      <c r="D1770" s="12" t="s">
        <v>6047</v>
      </c>
      <c r="E1770" s="12" t="s">
        <v>12800</v>
      </c>
      <c r="F1770" s="12" t="s">
        <v>12801</v>
      </c>
      <c r="G1770" s="12" t="s">
        <v>12802</v>
      </c>
      <c r="H1770" s="12" t="s">
        <v>6163</v>
      </c>
      <c r="I1770" s="12" t="s">
        <v>6253</v>
      </c>
      <c r="J1770" s="12">
        <v>4542</v>
      </c>
      <c r="K1770" s="12" t="s">
        <v>7160</v>
      </c>
      <c r="L1770" s="12" t="s">
        <v>6408</v>
      </c>
      <c r="M1770" s="13">
        <v>43558</v>
      </c>
      <c r="N1770" s="12" t="s">
        <v>7161</v>
      </c>
      <c r="O1770" s="12" t="s">
        <v>7162</v>
      </c>
      <c r="P1770" s="12"/>
      <c r="Q1770" s="12">
        <v>1</v>
      </c>
    </row>
    <row r="1771" spans="1:17" ht="15.75" customHeight="1">
      <c r="A1771" s="12">
        <v>365</v>
      </c>
      <c r="B1771" s="12">
        <v>352</v>
      </c>
      <c r="C1771" s="12">
        <v>5432</v>
      </c>
      <c r="D1771" s="12" t="s">
        <v>6047</v>
      </c>
      <c r="E1771" s="12" t="s">
        <v>12803</v>
      </c>
      <c r="F1771" s="12" t="s">
        <v>12804</v>
      </c>
      <c r="G1771" s="12" t="s">
        <v>12805</v>
      </c>
      <c r="H1771" s="12" t="s">
        <v>6213</v>
      </c>
      <c r="I1771" s="12" t="s">
        <v>6214</v>
      </c>
      <c r="J1771" s="12">
        <v>5432</v>
      </c>
      <c r="K1771" s="12" t="s">
        <v>7010</v>
      </c>
      <c r="L1771" s="12" t="s">
        <v>6226</v>
      </c>
      <c r="M1771" s="13">
        <v>44721</v>
      </c>
      <c r="N1771" s="12" t="s">
        <v>7011</v>
      </c>
      <c r="O1771" s="12" t="s">
        <v>7012</v>
      </c>
      <c r="P1771" s="12"/>
      <c r="Q1771" s="12">
        <v>1</v>
      </c>
    </row>
    <row r="1772" spans="1:17" ht="15.75" customHeight="1">
      <c r="A1772" s="12">
        <v>681</v>
      </c>
      <c r="B1772" s="12">
        <v>426</v>
      </c>
      <c r="C1772" s="12">
        <v>6009</v>
      </c>
      <c r="D1772" s="12" t="s">
        <v>6047</v>
      </c>
      <c r="E1772" s="12" t="s">
        <v>5275</v>
      </c>
      <c r="F1772" s="12" t="s">
        <v>12806</v>
      </c>
      <c r="G1772" s="12" t="s">
        <v>12807</v>
      </c>
      <c r="H1772" s="12" t="s">
        <v>6137</v>
      </c>
      <c r="I1772" s="12" t="s">
        <v>6391</v>
      </c>
      <c r="J1772" s="12">
        <v>6009</v>
      </c>
      <c r="K1772" s="12" t="s">
        <v>12808</v>
      </c>
      <c r="L1772" s="12" t="s">
        <v>6531</v>
      </c>
      <c r="M1772" s="13">
        <v>43278</v>
      </c>
      <c r="N1772" s="12" t="s">
        <v>12809</v>
      </c>
      <c r="O1772" s="12" t="s">
        <v>12810</v>
      </c>
      <c r="P1772" s="12"/>
      <c r="Q1772" s="12">
        <v>1</v>
      </c>
    </row>
    <row r="1773" spans="1:17" ht="15.75" customHeight="1">
      <c r="A1773" s="12">
        <v>1692</v>
      </c>
      <c r="B1773" s="12">
        <v>2016</v>
      </c>
      <c r="C1773" s="12">
        <v>35560</v>
      </c>
      <c r="D1773" s="12" t="s">
        <v>6047</v>
      </c>
      <c r="E1773" s="12" t="s">
        <v>12811</v>
      </c>
      <c r="F1773" s="12" t="s">
        <v>12812</v>
      </c>
      <c r="G1773" s="12" t="s">
        <v>12813</v>
      </c>
      <c r="H1773" s="12" t="s">
        <v>6051</v>
      </c>
      <c r="I1773" s="12" t="s">
        <v>6700</v>
      </c>
      <c r="J1773" s="12">
        <v>35560</v>
      </c>
      <c r="K1773" s="12" t="s">
        <v>8598</v>
      </c>
      <c r="L1773" s="12" t="s">
        <v>7333</v>
      </c>
      <c r="M1773" s="13">
        <v>40878</v>
      </c>
      <c r="N1773" s="12" t="s">
        <v>8599</v>
      </c>
      <c r="O1773" s="12" t="s">
        <v>8600</v>
      </c>
      <c r="P1773" s="12"/>
      <c r="Q1773" s="12">
        <v>1</v>
      </c>
    </row>
    <row r="1774" spans="1:17" ht="15.75" customHeight="1">
      <c r="A1774" s="12">
        <v>765</v>
      </c>
      <c r="B1774" s="12">
        <v>222</v>
      </c>
      <c r="C1774" s="12">
        <v>3897</v>
      </c>
      <c r="D1774" s="12" t="s">
        <v>6047</v>
      </c>
      <c r="E1774" s="12" t="s">
        <v>12814</v>
      </c>
      <c r="F1774" s="12" t="s">
        <v>12815</v>
      </c>
      <c r="G1774" s="12" t="s">
        <v>12816</v>
      </c>
      <c r="H1774" s="12" t="s">
        <v>6163</v>
      </c>
      <c r="I1774" s="12" t="s">
        <v>6164</v>
      </c>
      <c r="J1774" s="12">
        <v>3897</v>
      </c>
      <c r="K1774" s="12" t="s">
        <v>6316</v>
      </c>
      <c r="L1774" s="12" t="s">
        <v>6317</v>
      </c>
      <c r="M1774" s="13">
        <v>43085</v>
      </c>
      <c r="N1774" s="12" t="s">
        <v>6318</v>
      </c>
      <c r="O1774" s="12" t="s">
        <v>6319</v>
      </c>
      <c r="P1774" s="12"/>
      <c r="Q1774" s="12">
        <v>1</v>
      </c>
    </row>
    <row r="1775" spans="1:17" ht="15.75" customHeight="1">
      <c r="A1775" s="12">
        <v>1603</v>
      </c>
      <c r="B1775" s="12">
        <v>1609</v>
      </c>
      <c r="C1775" s="12">
        <v>28313</v>
      </c>
      <c r="D1775" s="12" t="s">
        <v>6047</v>
      </c>
      <c r="E1775" s="12" t="s">
        <v>12817</v>
      </c>
      <c r="F1775" s="12" t="s">
        <v>12818</v>
      </c>
      <c r="G1775" s="12" t="s">
        <v>12819</v>
      </c>
      <c r="H1775" s="12" t="s">
        <v>6051</v>
      </c>
      <c r="I1775" s="12" t="s">
        <v>6366</v>
      </c>
      <c r="J1775" s="12">
        <v>28313</v>
      </c>
      <c r="K1775" s="12" t="s">
        <v>6300</v>
      </c>
      <c r="L1775" s="12" t="s">
        <v>6240</v>
      </c>
      <c r="M1775" s="13">
        <v>41396</v>
      </c>
      <c r="N1775" s="12" t="s">
        <v>6301</v>
      </c>
      <c r="O1775" s="12" t="s">
        <v>6302</v>
      </c>
      <c r="P1775" s="12"/>
      <c r="Q1775" s="12">
        <v>1</v>
      </c>
    </row>
    <row r="1776" spans="1:17" ht="15.75" customHeight="1">
      <c r="A1776" s="12">
        <v>242</v>
      </c>
      <c r="B1776" s="12">
        <v>983</v>
      </c>
      <c r="C1776" s="12">
        <v>13300</v>
      </c>
      <c r="D1776" s="12" t="s">
        <v>6047</v>
      </c>
      <c r="E1776" s="12" t="s">
        <v>12820</v>
      </c>
      <c r="F1776" s="12" t="s">
        <v>12821</v>
      </c>
      <c r="G1776" s="12" t="s">
        <v>12822</v>
      </c>
      <c r="H1776" s="12" t="s">
        <v>6051</v>
      </c>
      <c r="I1776" s="12" t="s">
        <v>12823</v>
      </c>
      <c r="J1776" s="12">
        <v>13300</v>
      </c>
      <c r="K1776" s="12" t="s">
        <v>11257</v>
      </c>
      <c r="L1776" s="12" t="s">
        <v>7739</v>
      </c>
      <c r="M1776" s="13">
        <v>45606</v>
      </c>
      <c r="N1776" s="12" t="s">
        <v>11258</v>
      </c>
      <c r="O1776" s="12" t="s">
        <v>11893</v>
      </c>
      <c r="P1776" s="12"/>
      <c r="Q1776" s="12">
        <v>1</v>
      </c>
    </row>
    <row r="1777" spans="1:17" ht="15.75" customHeight="1">
      <c r="A1777" s="12">
        <v>565</v>
      </c>
      <c r="B1777" s="12">
        <v>283</v>
      </c>
      <c r="C1777" s="12">
        <v>4676</v>
      </c>
      <c r="D1777" s="12" t="s">
        <v>6047</v>
      </c>
      <c r="E1777" s="12" t="s">
        <v>12824</v>
      </c>
      <c r="F1777" s="12" t="s">
        <v>12825</v>
      </c>
      <c r="G1777" s="12" t="s">
        <v>12826</v>
      </c>
      <c r="H1777" s="12" t="s">
        <v>6163</v>
      </c>
      <c r="I1777" s="12" t="s">
        <v>6253</v>
      </c>
      <c r="J1777" s="12">
        <v>4676</v>
      </c>
      <c r="K1777" s="12" t="s">
        <v>6464</v>
      </c>
      <c r="L1777" s="12" t="s">
        <v>6408</v>
      </c>
      <c r="M1777" s="13">
        <v>43562</v>
      </c>
      <c r="N1777" s="12" t="s">
        <v>6465</v>
      </c>
      <c r="O1777" s="12" t="s">
        <v>6466</v>
      </c>
      <c r="P1777" s="12"/>
      <c r="Q1777" s="12">
        <v>1</v>
      </c>
    </row>
    <row r="1778" spans="1:17" ht="15.75" customHeight="1">
      <c r="A1778" s="12">
        <v>1020</v>
      </c>
      <c r="B1778" s="12">
        <v>1093</v>
      </c>
      <c r="C1778" s="12">
        <v>15733</v>
      </c>
      <c r="D1778" s="12" t="s">
        <v>6047</v>
      </c>
      <c r="E1778" s="12" t="s">
        <v>12827</v>
      </c>
      <c r="F1778" s="12" t="s">
        <v>12828</v>
      </c>
      <c r="G1778" s="12" t="s">
        <v>12829</v>
      </c>
      <c r="H1778" s="12" t="s">
        <v>6051</v>
      </c>
      <c r="I1778" s="12" t="s">
        <v>7511</v>
      </c>
      <c r="J1778" s="12">
        <v>15733</v>
      </c>
      <c r="K1778" s="12" t="s">
        <v>6875</v>
      </c>
      <c r="L1778" s="12" t="s">
        <v>6357</v>
      </c>
      <c r="M1778" s="13">
        <v>42691</v>
      </c>
      <c r="N1778" s="12" t="s">
        <v>6876</v>
      </c>
      <c r="O1778" s="12" t="s">
        <v>6877</v>
      </c>
      <c r="P1778" s="12"/>
      <c r="Q1778" s="12">
        <v>1</v>
      </c>
    </row>
    <row r="1779" spans="1:17" ht="15.75" customHeight="1">
      <c r="A1779" s="12">
        <v>699</v>
      </c>
      <c r="B1779" s="12">
        <v>1214</v>
      </c>
      <c r="C1779" s="12">
        <v>17307</v>
      </c>
      <c r="D1779" s="12" t="s">
        <v>6047</v>
      </c>
      <c r="E1779" s="12" t="s">
        <v>12830</v>
      </c>
      <c r="F1779" s="12" t="s">
        <v>12831</v>
      </c>
      <c r="G1779" s="12" t="s">
        <v>12832</v>
      </c>
      <c r="H1779" s="12" t="s">
        <v>6051</v>
      </c>
      <c r="I1779" s="12" t="s">
        <v>6052</v>
      </c>
      <c r="J1779" s="12">
        <v>17307</v>
      </c>
      <c r="K1779" s="12" t="s">
        <v>8226</v>
      </c>
      <c r="L1779" s="12" t="s">
        <v>7254</v>
      </c>
      <c r="M1779" s="13">
        <v>43203</v>
      </c>
      <c r="N1779" s="12" t="s">
        <v>8227</v>
      </c>
      <c r="O1779" s="12" t="s">
        <v>8228</v>
      </c>
      <c r="P1779" s="12"/>
      <c r="Q1779" s="12">
        <v>1</v>
      </c>
    </row>
    <row r="1780" spans="1:17" ht="15.75" customHeight="1">
      <c r="A1780" s="12">
        <v>1041</v>
      </c>
      <c r="B1780" s="12">
        <v>249</v>
      </c>
      <c r="C1780" s="12">
        <v>4393</v>
      </c>
      <c r="D1780" s="12" t="s">
        <v>6047</v>
      </c>
      <c r="E1780" s="12" t="s">
        <v>5302</v>
      </c>
      <c r="F1780" s="12" t="s">
        <v>12833</v>
      </c>
      <c r="G1780" s="12" t="s">
        <v>12834</v>
      </c>
      <c r="H1780" s="12" t="s">
        <v>6163</v>
      </c>
      <c r="I1780" s="12" t="s">
        <v>6253</v>
      </c>
      <c r="J1780" s="12">
        <v>4393</v>
      </c>
      <c r="K1780" s="12" t="s">
        <v>9893</v>
      </c>
      <c r="L1780" s="12" t="s">
        <v>6504</v>
      </c>
      <c r="M1780" s="13">
        <v>42688</v>
      </c>
      <c r="N1780" s="12" t="s">
        <v>9894</v>
      </c>
      <c r="O1780" s="12" t="s">
        <v>12419</v>
      </c>
      <c r="P1780" s="12"/>
      <c r="Q1780" s="12">
        <v>1</v>
      </c>
    </row>
    <row r="1781" spans="1:17" ht="15.75" customHeight="1">
      <c r="A1781" s="12">
        <v>152</v>
      </c>
      <c r="B1781" s="12">
        <v>1920</v>
      </c>
      <c r="C1781" s="12">
        <v>34514</v>
      </c>
      <c r="D1781" s="12" t="s">
        <v>6047</v>
      </c>
      <c r="E1781" s="12" t="s">
        <v>12835</v>
      </c>
      <c r="F1781" s="12" t="s">
        <v>12836</v>
      </c>
      <c r="G1781" s="12" t="s">
        <v>12837</v>
      </c>
      <c r="H1781" s="12" t="s">
        <v>6051</v>
      </c>
      <c r="I1781" s="12" t="s">
        <v>7034</v>
      </c>
      <c r="J1781" s="12">
        <v>34514</v>
      </c>
      <c r="K1781" s="12" t="s">
        <v>6759</v>
      </c>
      <c r="L1781" s="12" t="s">
        <v>6760</v>
      </c>
      <c r="M1781" s="13">
        <v>45756</v>
      </c>
      <c r="N1781" s="12" t="s">
        <v>6761</v>
      </c>
      <c r="O1781" s="12" t="s">
        <v>6762</v>
      </c>
      <c r="P1781" s="12"/>
      <c r="Q1781" s="12">
        <v>1</v>
      </c>
    </row>
    <row r="1782" spans="1:17" ht="15.75" customHeight="1">
      <c r="A1782" s="12">
        <v>1810</v>
      </c>
      <c r="B1782" s="12">
        <v>1196</v>
      </c>
      <c r="C1782" s="12">
        <v>17029</v>
      </c>
      <c r="D1782" s="12" t="s">
        <v>6047</v>
      </c>
      <c r="E1782" s="12" t="s">
        <v>12838</v>
      </c>
      <c r="F1782" s="12" t="s">
        <v>12839</v>
      </c>
      <c r="G1782" s="12" t="s">
        <v>12840</v>
      </c>
      <c r="H1782" s="12" t="s">
        <v>6051</v>
      </c>
      <c r="I1782" s="12" t="s">
        <v>6052</v>
      </c>
      <c r="J1782" s="12">
        <v>17029</v>
      </c>
      <c r="K1782" s="12" t="s">
        <v>6062</v>
      </c>
      <c r="L1782" s="12" t="s">
        <v>6063</v>
      </c>
      <c r="M1782" s="13">
        <v>40873</v>
      </c>
      <c r="N1782" s="12" t="s">
        <v>6064</v>
      </c>
      <c r="O1782" s="12" t="s">
        <v>6065</v>
      </c>
      <c r="P1782" s="12"/>
      <c r="Q1782" s="12">
        <v>1</v>
      </c>
    </row>
    <row r="1783" spans="1:17" ht="15.75" customHeight="1">
      <c r="A1783" s="12">
        <v>215</v>
      </c>
      <c r="B1783" s="12">
        <v>183</v>
      </c>
      <c r="C1783" s="12">
        <v>3065</v>
      </c>
      <c r="D1783" s="12" t="s">
        <v>6047</v>
      </c>
      <c r="E1783" s="12" t="s">
        <v>5319</v>
      </c>
      <c r="F1783" s="12" t="s">
        <v>12841</v>
      </c>
      <c r="G1783" s="12" t="s">
        <v>12842</v>
      </c>
      <c r="H1783" s="12" t="s">
        <v>7069</v>
      </c>
      <c r="I1783" s="12" t="s">
        <v>7070</v>
      </c>
      <c r="J1783" s="12">
        <v>3065</v>
      </c>
      <c r="K1783" s="12" t="s">
        <v>11511</v>
      </c>
      <c r="L1783" s="12" t="s">
        <v>6518</v>
      </c>
      <c r="M1783" s="13">
        <v>45610</v>
      </c>
      <c r="N1783" s="12" t="s">
        <v>11512</v>
      </c>
      <c r="O1783" s="12" t="s">
        <v>11513</v>
      </c>
      <c r="P1783" s="12"/>
      <c r="Q1783" s="12">
        <v>1</v>
      </c>
    </row>
    <row r="1784" spans="1:17" ht="15.75" customHeight="1">
      <c r="A1784" s="12">
        <v>1912</v>
      </c>
      <c r="B1784" s="12">
        <v>735</v>
      </c>
      <c r="C1784" s="12">
        <v>8966</v>
      </c>
      <c r="D1784" s="12" t="s">
        <v>6047</v>
      </c>
      <c r="E1784" s="12" t="s">
        <v>5322</v>
      </c>
      <c r="F1784" s="12" t="s">
        <v>12843</v>
      </c>
      <c r="G1784" s="12" t="s">
        <v>12844</v>
      </c>
      <c r="H1784" s="12" t="s">
        <v>6275</v>
      </c>
      <c r="I1784" s="12" t="s">
        <v>6453</v>
      </c>
      <c r="J1784" s="12">
        <v>8966</v>
      </c>
      <c r="K1784" s="12" t="s">
        <v>7476</v>
      </c>
      <c r="L1784" s="12" t="s">
        <v>7477</v>
      </c>
      <c r="M1784" s="13">
        <v>39237</v>
      </c>
      <c r="N1784" s="12" t="s">
        <v>7478</v>
      </c>
      <c r="O1784" s="12" t="s">
        <v>12845</v>
      </c>
      <c r="P1784" s="12"/>
      <c r="Q1784" s="12">
        <v>1</v>
      </c>
    </row>
    <row r="1785" spans="1:17" ht="15.75" customHeight="1">
      <c r="A1785" s="12">
        <v>1510</v>
      </c>
      <c r="B1785" s="12">
        <v>1786</v>
      </c>
      <c r="C1785" s="12">
        <v>33217</v>
      </c>
      <c r="D1785" s="12" t="s">
        <v>6047</v>
      </c>
      <c r="E1785" s="12" t="s">
        <v>5324</v>
      </c>
      <c r="F1785" s="12" t="s">
        <v>12846</v>
      </c>
      <c r="G1785" s="12" t="s">
        <v>12847</v>
      </c>
      <c r="H1785" s="12" t="s">
        <v>6051</v>
      </c>
      <c r="I1785" s="12" t="s">
        <v>6374</v>
      </c>
      <c r="J1785" s="12">
        <v>33217</v>
      </c>
      <c r="K1785" s="12" t="s">
        <v>8977</v>
      </c>
      <c r="L1785" s="12" t="s">
        <v>6240</v>
      </c>
      <c r="M1785" s="13">
        <v>41763</v>
      </c>
      <c r="N1785" s="12" t="s">
        <v>8978</v>
      </c>
      <c r="O1785" s="12" t="s">
        <v>9843</v>
      </c>
      <c r="P1785" s="12"/>
      <c r="Q1785" s="12">
        <v>1</v>
      </c>
    </row>
    <row r="1786" spans="1:17" ht="15.75" customHeight="1">
      <c r="A1786" s="12">
        <v>1373</v>
      </c>
      <c r="B1786" s="12">
        <v>1699</v>
      </c>
      <c r="C1786" s="12">
        <v>31454</v>
      </c>
      <c r="D1786" s="12" t="s">
        <v>6047</v>
      </c>
      <c r="E1786" s="12" t="s">
        <v>12848</v>
      </c>
      <c r="F1786" s="12" t="s">
        <v>12849</v>
      </c>
      <c r="G1786" s="12" t="s">
        <v>12850</v>
      </c>
      <c r="H1786" s="12" t="s">
        <v>6051</v>
      </c>
      <c r="I1786" s="12" t="s">
        <v>11168</v>
      </c>
      <c r="J1786" s="12">
        <v>31454</v>
      </c>
      <c r="K1786" s="12" t="s">
        <v>6077</v>
      </c>
      <c r="L1786" s="12" t="s">
        <v>6078</v>
      </c>
      <c r="M1786" s="13">
        <v>41914</v>
      </c>
      <c r="N1786" s="12" t="s">
        <v>6079</v>
      </c>
      <c r="O1786" s="12" t="s">
        <v>6101</v>
      </c>
      <c r="P1786" s="12"/>
      <c r="Q1786" s="12">
        <v>1</v>
      </c>
    </row>
    <row r="1787" spans="1:17" ht="15.75" customHeight="1">
      <c r="A1787" s="12">
        <v>1396</v>
      </c>
      <c r="B1787" s="12">
        <v>1674</v>
      </c>
      <c r="C1787" s="12">
        <v>30843</v>
      </c>
      <c r="D1787" s="12" t="s">
        <v>6047</v>
      </c>
      <c r="E1787" s="12" t="s">
        <v>12851</v>
      </c>
      <c r="F1787" s="12" t="s">
        <v>12852</v>
      </c>
      <c r="G1787" s="12" t="s">
        <v>12853</v>
      </c>
      <c r="H1787" s="12" t="s">
        <v>6051</v>
      </c>
      <c r="I1787" s="12" t="s">
        <v>6100</v>
      </c>
      <c r="J1787" s="12">
        <v>30843</v>
      </c>
      <c r="K1787" s="12" t="s">
        <v>6165</v>
      </c>
      <c r="L1787" s="12" t="s">
        <v>6166</v>
      </c>
      <c r="M1787" s="13">
        <v>41912</v>
      </c>
      <c r="N1787" s="12" t="s">
        <v>6167</v>
      </c>
      <c r="O1787" s="12" t="s">
        <v>6168</v>
      </c>
      <c r="P1787" s="12"/>
      <c r="Q1787" s="12">
        <v>1</v>
      </c>
    </row>
    <row r="1788" spans="1:17" ht="15.75" customHeight="1">
      <c r="A1788" s="12">
        <v>742</v>
      </c>
      <c r="B1788" s="12">
        <v>1722</v>
      </c>
      <c r="C1788" s="12">
        <v>32026</v>
      </c>
      <c r="D1788" s="12" t="s">
        <v>6047</v>
      </c>
      <c r="E1788" s="12" t="s">
        <v>12854</v>
      </c>
      <c r="F1788" s="12" t="s">
        <v>12855</v>
      </c>
      <c r="G1788" s="12" t="s">
        <v>12856</v>
      </c>
      <c r="H1788" s="12" t="s">
        <v>6051</v>
      </c>
      <c r="I1788" s="12" t="s">
        <v>6232</v>
      </c>
      <c r="J1788" s="12">
        <v>32026</v>
      </c>
      <c r="K1788" s="12" t="s">
        <v>6838</v>
      </c>
      <c r="L1788" s="12" t="s">
        <v>6839</v>
      </c>
      <c r="M1788" s="13">
        <v>43196</v>
      </c>
      <c r="N1788" s="12" t="s">
        <v>6840</v>
      </c>
      <c r="O1788" s="12" t="s">
        <v>7536</v>
      </c>
      <c r="P1788" s="12"/>
      <c r="Q1788" s="12">
        <v>1</v>
      </c>
    </row>
    <row r="1789" spans="1:17" ht="15.75" customHeight="1">
      <c r="A1789" s="12">
        <v>2057</v>
      </c>
      <c r="B1789" s="12">
        <v>315</v>
      </c>
      <c r="C1789" s="12">
        <v>4952</v>
      </c>
      <c r="D1789" s="12" t="s">
        <v>6047</v>
      </c>
      <c r="E1789" s="12" t="s">
        <v>12857</v>
      </c>
      <c r="F1789" s="12" t="s">
        <v>12858</v>
      </c>
      <c r="G1789" s="12" t="s">
        <v>12859</v>
      </c>
      <c r="H1789" s="12" t="s">
        <v>6163</v>
      </c>
      <c r="I1789" s="12" t="s">
        <v>6253</v>
      </c>
      <c r="J1789" s="12">
        <v>4952</v>
      </c>
      <c r="K1789" s="12" t="s">
        <v>12860</v>
      </c>
      <c r="L1789" s="12" t="s">
        <v>7983</v>
      </c>
      <c r="M1789" s="13">
        <v>37822</v>
      </c>
      <c r="N1789" s="12" t="s">
        <v>12861</v>
      </c>
      <c r="O1789" s="12" t="s">
        <v>12862</v>
      </c>
      <c r="P1789" s="12"/>
      <c r="Q1789" s="12">
        <v>1</v>
      </c>
    </row>
    <row r="1790" spans="1:17" ht="15.75" customHeight="1">
      <c r="A1790" s="12">
        <v>1007</v>
      </c>
      <c r="B1790" s="12">
        <v>343</v>
      </c>
      <c r="C1790" s="12">
        <v>5205</v>
      </c>
      <c r="D1790" s="12" t="s">
        <v>6047</v>
      </c>
      <c r="E1790" s="12" t="s">
        <v>12863</v>
      </c>
      <c r="F1790" s="12" t="s">
        <v>12864</v>
      </c>
      <c r="G1790" s="12" t="s">
        <v>12865</v>
      </c>
      <c r="H1790" s="12" t="s">
        <v>6163</v>
      </c>
      <c r="I1790" s="12" t="s">
        <v>6253</v>
      </c>
      <c r="J1790" s="12">
        <v>5205</v>
      </c>
      <c r="K1790" s="12" t="s">
        <v>7108</v>
      </c>
      <c r="L1790" s="12" t="s">
        <v>6054</v>
      </c>
      <c r="M1790" s="13">
        <v>42692</v>
      </c>
      <c r="N1790" s="12" t="s">
        <v>7109</v>
      </c>
      <c r="O1790" s="12" t="s">
        <v>12866</v>
      </c>
      <c r="P1790" s="12"/>
      <c r="Q1790" s="12">
        <v>1</v>
      </c>
    </row>
    <row r="1791" spans="1:17" ht="15.75" customHeight="1">
      <c r="A1791" s="12">
        <v>1917</v>
      </c>
      <c r="B1791" s="12">
        <v>1693</v>
      </c>
      <c r="C1791" s="12">
        <v>31358</v>
      </c>
      <c r="D1791" s="12" t="s">
        <v>6047</v>
      </c>
      <c r="E1791" s="12" t="s">
        <v>12867</v>
      </c>
      <c r="F1791" s="12" t="s">
        <v>12868</v>
      </c>
      <c r="G1791" s="12" t="s">
        <v>12869</v>
      </c>
      <c r="H1791" s="12" t="s">
        <v>6051</v>
      </c>
      <c r="I1791" s="12" t="s">
        <v>6093</v>
      </c>
      <c r="J1791" s="12">
        <v>31358</v>
      </c>
      <c r="K1791" s="12" t="s">
        <v>7476</v>
      </c>
      <c r="L1791" s="12" t="s">
        <v>7477</v>
      </c>
      <c r="M1791" s="13">
        <v>39237</v>
      </c>
      <c r="N1791" s="12" t="s">
        <v>7478</v>
      </c>
      <c r="O1791" s="12" t="s">
        <v>7479</v>
      </c>
      <c r="P1791" s="12"/>
      <c r="Q1791" s="12">
        <v>1</v>
      </c>
    </row>
    <row r="1792" spans="1:17" ht="15.75" customHeight="1">
      <c r="A1792" s="12">
        <v>1096</v>
      </c>
      <c r="B1792" s="12">
        <v>313</v>
      </c>
      <c r="C1792" s="12">
        <v>4931</v>
      </c>
      <c r="D1792" s="12" t="s">
        <v>6047</v>
      </c>
      <c r="E1792" s="12" t="s">
        <v>12870</v>
      </c>
      <c r="F1792" s="12" t="s">
        <v>12871</v>
      </c>
      <c r="G1792" s="12" t="s">
        <v>12872</v>
      </c>
      <c r="H1792" s="12" t="s">
        <v>6163</v>
      </c>
      <c r="I1792" s="12" t="s">
        <v>6253</v>
      </c>
      <c r="J1792" s="12">
        <v>4931</v>
      </c>
      <c r="K1792" s="12" t="s">
        <v>7166</v>
      </c>
      <c r="L1792" s="12" t="s">
        <v>6504</v>
      </c>
      <c r="M1792" s="13">
        <v>42685</v>
      </c>
      <c r="N1792" s="12" t="s">
        <v>7167</v>
      </c>
      <c r="O1792" s="12" t="s">
        <v>7168</v>
      </c>
      <c r="P1792" s="12"/>
      <c r="Q1792" s="12">
        <v>1</v>
      </c>
    </row>
    <row r="1793" spans="1:17" ht="15.75" customHeight="1">
      <c r="A1793" s="12">
        <v>2049</v>
      </c>
      <c r="B1793" s="12">
        <v>258</v>
      </c>
      <c r="C1793" s="12">
        <v>4478</v>
      </c>
      <c r="D1793" s="12" t="s">
        <v>6047</v>
      </c>
      <c r="E1793" s="12" t="s">
        <v>12873</v>
      </c>
      <c r="F1793" s="12" t="s">
        <v>12874</v>
      </c>
      <c r="G1793" s="12" t="s">
        <v>12875</v>
      </c>
      <c r="H1793" s="12" t="s">
        <v>6163</v>
      </c>
      <c r="I1793" s="12" t="s">
        <v>6253</v>
      </c>
      <c r="J1793" s="12">
        <v>4478</v>
      </c>
      <c r="K1793" s="12" t="s">
        <v>7867</v>
      </c>
      <c r="L1793" s="12" t="s">
        <v>6408</v>
      </c>
      <c r="M1793" s="13">
        <v>38170</v>
      </c>
      <c r="N1793" s="12" t="s">
        <v>7868</v>
      </c>
      <c r="O1793" s="12" t="s">
        <v>7869</v>
      </c>
      <c r="P1793" s="12"/>
      <c r="Q1793" s="12">
        <v>1</v>
      </c>
    </row>
    <row r="1794" spans="1:17" ht="15.75" customHeight="1">
      <c r="A1794" s="12">
        <v>688</v>
      </c>
      <c r="B1794" s="12">
        <v>347</v>
      </c>
      <c r="C1794" s="12">
        <v>5297</v>
      </c>
      <c r="D1794" s="12" t="s">
        <v>6047</v>
      </c>
      <c r="E1794" s="12" t="s">
        <v>12876</v>
      </c>
      <c r="F1794" s="12" t="s">
        <v>12877</v>
      </c>
      <c r="G1794" s="12" t="s">
        <v>12878</v>
      </c>
      <c r="H1794" s="12" t="s">
        <v>6213</v>
      </c>
      <c r="I1794" s="12" t="s">
        <v>6214</v>
      </c>
      <c r="J1794" s="12">
        <v>5297</v>
      </c>
      <c r="K1794" s="12" t="s">
        <v>12879</v>
      </c>
      <c r="L1794" s="12" t="s">
        <v>6240</v>
      </c>
      <c r="M1794" s="13">
        <v>43228</v>
      </c>
      <c r="N1794" s="12" t="s">
        <v>12880</v>
      </c>
      <c r="O1794" s="12" t="s">
        <v>12881</v>
      </c>
      <c r="P1794" s="12"/>
      <c r="Q1794" s="12">
        <v>1</v>
      </c>
    </row>
    <row r="1795" spans="1:17" ht="15.75" customHeight="1">
      <c r="A1795" s="12">
        <v>1272</v>
      </c>
      <c r="B1795" s="12">
        <v>265</v>
      </c>
      <c r="C1795" s="12">
        <v>4552</v>
      </c>
      <c r="D1795" s="12" t="s">
        <v>6047</v>
      </c>
      <c r="E1795" s="12" t="s">
        <v>12882</v>
      </c>
      <c r="F1795" s="12" t="s">
        <v>12883</v>
      </c>
      <c r="G1795" s="12" t="s">
        <v>12884</v>
      </c>
      <c r="H1795" s="12" t="s">
        <v>6163</v>
      </c>
      <c r="I1795" s="12" t="s">
        <v>6253</v>
      </c>
      <c r="J1795" s="12">
        <v>4552</v>
      </c>
      <c r="K1795" s="12" t="s">
        <v>6470</v>
      </c>
      <c r="L1795" s="12" t="s">
        <v>6423</v>
      </c>
      <c r="M1795" s="13">
        <v>41990</v>
      </c>
      <c r="N1795" s="12" t="s">
        <v>6471</v>
      </c>
      <c r="O1795" s="12" t="s">
        <v>6472</v>
      </c>
      <c r="P1795" s="12"/>
      <c r="Q1795" s="12">
        <v>1</v>
      </c>
    </row>
    <row r="1796" spans="1:17" ht="15.75" customHeight="1">
      <c r="A1796" s="12">
        <v>421</v>
      </c>
      <c r="B1796" s="12">
        <v>303</v>
      </c>
      <c r="C1796" s="12">
        <v>4852</v>
      </c>
      <c r="D1796" s="12" t="s">
        <v>6047</v>
      </c>
      <c r="E1796" s="12" t="s">
        <v>12885</v>
      </c>
      <c r="F1796" s="12" t="s">
        <v>12886</v>
      </c>
      <c r="G1796" s="12" t="s">
        <v>12887</v>
      </c>
      <c r="H1796" s="12" t="s">
        <v>6163</v>
      </c>
      <c r="I1796" s="12" t="s">
        <v>6253</v>
      </c>
      <c r="J1796" s="12">
        <v>4852</v>
      </c>
      <c r="K1796" s="12" t="s">
        <v>7019</v>
      </c>
      <c r="L1796" s="12" t="s">
        <v>7020</v>
      </c>
      <c r="M1796" s="13">
        <v>44715</v>
      </c>
      <c r="N1796" s="12" t="s">
        <v>7021</v>
      </c>
      <c r="O1796" s="12" t="s">
        <v>7022</v>
      </c>
      <c r="P1796" s="12"/>
      <c r="Q1796" s="12">
        <v>1</v>
      </c>
    </row>
    <row r="1797" spans="1:17" ht="15.75" customHeight="1">
      <c r="A1797" s="12">
        <v>408</v>
      </c>
      <c r="B1797" s="12">
        <v>1780</v>
      </c>
      <c r="C1797" s="12">
        <v>33157</v>
      </c>
      <c r="D1797" s="12" t="s">
        <v>6047</v>
      </c>
      <c r="E1797" s="12" t="s">
        <v>12888</v>
      </c>
      <c r="F1797" s="12" t="s">
        <v>12889</v>
      </c>
      <c r="G1797" s="12" t="s">
        <v>12890</v>
      </c>
      <c r="H1797" s="12" t="s">
        <v>6051</v>
      </c>
      <c r="I1797" s="12" t="s">
        <v>6374</v>
      </c>
      <c r="J1797" s="12">
        <v>33157</v>
      </c>
      <c r="K1797" s="12" t="s">
        <v>12202</v>
      </c>
      <c r="L1797" s="12" t="s">
        <v>7020</v>
      </c>
      <c r="M1797" s="13">
        <v>44715</v>
      </c>
      <c r="N1797" s="12" t="s">
        <v>12203</v>
      </c>
      <c r="O1797" s="12" t="s">
        <v>12204</v>
      </c>
      <c r="P1797" s="12"/>
      <c r="Q1797" s="12">
        <v>1</v>
      </c>
    </row>
    <row r="1798" spans="1:17" ht="15.75" customHeight="1">
      <c r="A1798" s="12">
        <v>1984</v>
      </c>
      <c r="B1798" s="12">
        <v>776</v>
      </c>
      <c r="C1798" s="12">
        <v>9676</v>
      </c>
      <c r="D1798" s="12" t="s">
        <v>6047</v>
      </c>
      <c r="E1798" s="12" t="s">
        <v>5372</v>
      </c>
      <c r="F1798" s="12" t="s">
        <v>12891</v>
      </c>
      <c r="G1798" s="12" t="s">
        <v>12892</v>
      </c>
      <c r="H1798" s="12" t="s">
        <v>6118</v>
      </c>
      <c r="I1798" s="12" t="s">
        <v>6119</v>
      </c>
      <c r="J1798" s="12">
        <v>9676</v>
      </c>
      <c r="K1798" s="12" t="s">
        <v>8445</v>
      </c>
      <c r="L1798" s="12" t="s">
        <v>8446</v>
      </c>
      <c r="M1798" s="13">
        <v>38576</v>
      </c>
      <c r="N1798" s="12" t="s">
        <v>8447</v>
      </c>
      <c r="O1798" s="12" t="s">
        <v>8448</v>
      </c>
      <c r="P1798" s="12"/>
      <c r="Q1798" s="12">
        <v>1</v>
      </c>
    </row>
    <row r="1799" spans="1:17" ht="15.75" customHeight="1">
      <c r="A1799" s="12">
        <v>1415</v>
      </c>
      <c r="B1799" s="12">
        <v>667</v>
      </c>
      <c r="C1799" s="12">
        <v>8044</v>
      </c>
      <c r="D1799" s="12" t="s">
        <v>6047</v>
      </c>
      <c r="E1799" s="12" t="s">
        <v>5374</v>
      </c>
      <c r="F1799" s="12" t="s">
        <v>12893</v>
      </c>
      <c r="G1799" s="12" t="s">
        <v>12894</v>
      </c>
      <c r="H1799" s="12" t="s">
        <v>6075</v>
      </c>
      <c r="I1799" s="12" t="s">
        <v>6076</v>
      </c>
      <c r="J1799" s="12">
        <v>8044</v>
      </c>
      <c r="K1799" s="12" t="s">
        <v>6086</v>
      </c>
      <c r="L1799" s="12" t="s">
        <v>6087</v>
      </c>
      <c r="M1799" s="13">
        <v>41910</v>
      </c>
      <c r="N1799" s="12" t="s">
        <v>6088</v>
      </c>
      <c r="O1799" s="12" t="s">
        <v>6089</v>
      </c>
      <c r="P1799" s="12"/>
      <c r="Q1799" s="12">
        <v>1</v>
      </c>
    </row>
    <row r="1800" spans="1:17" ht="15.75" customHeight="1">
      <c r="A1800" s="12">
        <v>655</v>
      </c>
      <c r="B1800" s="12">
        <v>444</v>
      </c>
      <c r="C1800" s="12">
        <v>6134</v>
      </c>
      <c r="D1800" s="12" t="s">
        <v>6047</v>
      </c>
      <c r="E1800" s="12" t="s">
        <v>12895</v>
      </c>
      <c r="F1800" s="12" t="s">
        <v>12896</v>
      </c>
      <c r="G1800" s="12" t="s">
        <v>12897</v>
      </c>
      <c r="H1800" s="12" t="s">
        <v>6137</v>
      </c>
      <c r="I1800" s="12" t="s">
        <v>6391</v>
      </c>
      <c r="J1800" s="12">
        <v>6134</v>
      </c>
      <c r="K1800" s="12" t="s">
        <v>12898</v>
      </c>
      <c r="L1800" s="12" t="s">
        <v>6193</v>
      </c>
      <c r="M1800" s="13">
        <v>43402</v>
      </c>
      <c r="N1800" s="12" t="s">
        <v>12899</v>
      </c>
      <c r="O1800" s="12" t="s">
        <v>12900</v>
      </c>
      <c r="P1800" s="12"/>
      <c r="Q1800" s="12">
        <v>1</v>
      </c>
    </row>
    <row r="1801" spans="1:17" ht="15.75" customHeight="1">
      <c r="A1801" s="12">
        <v>658</v>
      </c>
      <c r="B1801" s="12">
        <v>1514</v>
      </c>
      <c r="C1801" s="12">
        <v>25630</v>
      </c>
      <c r="D1801" s="12" t="s">
        <v>6047</v>
      </c>
      <c r="E1801" s="12" t="s">
        <v>12901</v>
      </c>
      <c r="F1801" s="12" t="s">
        <v>12902</v>
      </c>
      <c r="G1801" s="12" t="s">
        <v>12903</v>
      </c>
      <c r="H1801" s="12" t="s">
        <v>6051</v>
      </c>
      <c r="I1801" s="12" t="s">
        <v>8043</v>
      </c>
      <c r="J1801" s="12">
        <v>25630</v>
      </c>
      <c r="K1801" s="12" t="s">
        <v>9910</v>
      </c>
      <c r="L1801" s="12" t="s">
        <v>6193</v>
      </c>
      <c r="M1801" s="13">
        <v>43401</v>
      </c>
      <c r="N1801" s="12" t="s">
        <v>9911</v>
      </c>
      <c r="O1801" s="12" t="s">
        <v>9912</v>
      </c>
      <c r="P1801" s="12" t="s">
        <v>6196</v>
      </c>
      <c r="Q1801" s="12">
        <v>1</v>
      </c>
    </row>
    <row r="1802" spans="1:17" ht="15.75" customHeight="1">
      <c r="A1802" s="12">
        <v>1446</v>
      </c>
      <c r="B1802" s="12">
        <v>382</v>
      </c>
      <c r="C1802" s="12">
        <v>5747</v>
      </c>
      <c r="D1802" s="12" t="s">
        <v>6047</v>
      </c>
      <c r="E1802" s="12" t="s">
        <v>12904</v>
      </c>
      <c r="F1802" s="12" t="s">
        <v>12905</v>
      </c>
      <c r="G1802" s="12" t="s">
        <v>12906</v>
      </c>
      <c r="H1802" s="12" t="s">
        <v>6137</v>
      </c>
      <c r="I1802" s="12" t="s">
        <v>8687</v>
      </c>
      <c r="J1802" s="12">
        <v>5747</v>
      </c>
      <c r="K1802" s="12" t="s">
        <v>6069</v>
      </c>
      <c r="L1802" s="12" t="s">
        <v>6070</v>
      </c>
      <c r="M1802" s="13">
        <v>41908</v>
      </c>
      <c r="N1802" s="12" t="s">
        <v>6071</v>
      </c>
      <c r="O1802" s="12" t="s">
        <v>6901</v>
      </c>
      <c r="P1802" s="12"/>
      <c r="Q1802" s="12">
        <v>1</v>
      </c>
    </row>
    <row r="1803" spans="1:17" ht="15.75" customHeight="1">
      <c r="A1803" s="12">
        <v>1319</v>
      </c>
      <c r="B1803" s="12">
        <v>378</v>
      </c>
      <c r="C1803" s="12">
        <v>5712</v>
      </c>
      <c r="D1803" s="12" t="s">
        <v>6047</v>
      </c>
      <c r="E1803" s="12" t="s">
        <v>12907</v>
      </c>
      <c r="F1803" s="12" t="s">
        <v>12908</v>
      </c>
      <c r="G1803" s="12" t="s">
        <v>12909</v>
      </c>
      <c r="H1803" s="12" t="s">
        <v>6213</v>
      </c>
      <c r="I1803" s="12" t="s">
        <v>7475</v>
      </c>
      <c r="J1803" s="12">
        <v>5712</v>
      </c>
      <c r="K1803" s="12" t="s">
        <v>6105</v>
      </c>
      <c r="L1803" s="12" t="s">
        <v>6106</v>
      </c>
      <c r="M1803" s="13">
        <v>41925</v>
      </c>
      <c r="N1803" s="12" t="s">
        <v>6107</v>
      </c>
      <c r="O1803" s="12" t="s">
        <v>6108</v>
      </c>
      <c r="P1803" s="12"/>
      <c r="Q1803" s="12">
        <v>1</v>
      </c>
    </row>
    <row r="1804" spans="1:17" ht="15.75" customHeight="1">
      <c r="A1804" s="12">
        <v>1300</v>
      </c>
      <c r="B1804" s="12">
        <v>423</v>
      </c>
      <c r="C1804" s="12">
        <v>5989</v>
      </c>
      <c r="D1804" s="12" t="s">
        <v>6047</v>
      </c>
      <c r="E1804" s="12" t="s">
        <v>12910</v>
      </c>
      <c r="F1804" s="12" t="s">
        <v>12911</v>
      </c>
      <c r="G1804" s="12" t="s">
        <v>12912</v>
      </c>
      <c r="H1804" s="12" t="s">
        <v>6137</v>
      </c>
      <c r="I1804" s="12" t="s">
        <v>6138</v>
      </c>
      <c r="J1804" s="12">
        <v>5989</v>
      </c>
      <c r="K1804" s="12" t="s">
        <v>6422</v>
      </c>
      <c r="L1804" s="12" t="s">
        <v>6423</v>
      </c>
      <c r="M1804" s="13">
        <v>41989</v>
      </c>
      <c r="N1804" s="12" t="s">
        <v>6424</v>
      </c>
      <c r="O1804" s="12" t="s">
        <v>6425</v>
      </c>
      <c r="P1804" s="12"/>
      <c r="Q1804" s="12">
        <v>1</v>
      </c>
    </row>
    <row r="1805" spans="1:17" ht="15.75" customHeight="1">
      <c r="A1805" s="12">
        <v>1418</v>
      </c>
      <c r="B1805" s="12">
        <v>410</v>
      </c>
      <c r="C1805" s="12">
        <v>5876</v>
      </c>
      <c r="D1805" s="12" t="s">
        <v>6047</v>
      </c>
      <c r="E1805" s="12" t="s">
        <v>5384</v>
      </c>
      <c r="F1805" s="12" t="s">
        <v>12913</v>
      </c>
      <c r="G1805" s="12" t="s">
        <v>12914</v>
      </c>
      <c r="H1805" s="12" t="s">
        <v>6137</v>
      </c>
      <c r="I1805" s="12" t="s">
        <v>6323</v>
      </c>
      <c r="J1805" s="12">
        <v>5876</v>
      </c>
      <c r="K1805" s="12" t="s">
        <v>6086</v>
      </c>
      <c r="L1805" s="12" t="s">
        <v>6087</v>
      </c>
      <c r="M1805" s="13">
        <v>41910</v>
      </c>
      <c r="N1805" s="12" t="s">
        <v>6088</v>
      </c>
      <c r="O1805" s="12" t="s">
        <v>6089</v>
      </c>
      <c r="P1805" s="12"/>
      <c r="Q1805" s="12">
        <v>1</v>
      </c>
    </row>
    <row r="1806" spans="1:17" ht="15.75" customHeight="1">
      <c r="A1806" s="12">
        <v>1978</v>
      </c>
      <c r="B1806" s="12">
        <v>1578</v>
      </c>
      <c r="C1806" s="12">
        <v>27828</v>
      </c>
      <c r="D1806" s="12" t="s">
        <v>6047</v>
      </c>
      <c r="E1806" s="12" t="s">
        <v>12915</v>
      </c>
      <c r="F1806" s="12" t="s">
        <v>12916</v>
      </c>
      <c r="G1806" s="12" t="s">
        <v>12917</v>
      </c>
      <c r="H1806" s="12" t="s">
        <v>6051</v>
      </c>
      <c r="I1806" s="12" t="s">
        <v>6547</v>
      </c>
      <c r="J1806" s="12">
        <v>27828</v>
      </c>
      <c r="K1806" s="12" t="s">
        <v>8445</v>
      </c>
      <c r="L1806" s="12" t="s">
        <v>8446</v>
      </c>
      <c r="M1806" s="13">
        <v>38576</v>
      </c>
      <c r="N1806" s="12" t="s">
        <v>8447</v>
      </c>
      <c r="O1806" s="12" t="s">
        <v>8448</v>
      </c>
      <c r="P1806" s="12"/>
      <c r="Q1806" s="12">
        <v>1</v>
      </c>
    </row>
    <row r="1807" spans="1:17" ht="15.75" customHeight="1">
      <c r="A1807" s="12">
        <v>2035</v>
      </c>
      <c r="B1807" s="12">
        <v>538</v>
      </c>
      <c r="C1807" s="12">
        <v>6986</v>
      </c>
      <c r="D1807" s="12" t="s">
        <v>6047</v>
      </c>
      <c r="E1807" s="12" t="s">
        <v>12918</v>
      </c>
      <c r="F1807" s="12" t="s">
        <v>12919</v>
      </c>
      <c r="G1807" s="12" t="s">
        <v>12920</v>
      </c>
      <c r="H1807" s="12" t="s">
        <v>7427</v>
      </c>
      <c r="I1807" s="12" t="s">
        <v>12921</v>
      </c>
      <c r="J1807" s="12">
        <v>6986</v>
      </c>
      <c r="K1807" s="12" t="s">
        <v>7553</v>
      </c>
      <c r="L1807" s="12" t="s">
        <v>6278</v>
      </c>
      <c r="M1807" s="13">
        <v>38174</v>
      </c>
      <c r="N1807" s="12" t="s">
        <v>7554</v>
      </c>
      <c r="O1807" s="12" t="s">
        <v>7555</v>
      </c>
      <c r="P1807" s="12"/>
      <c r="Q1807" s="12">
        <v>1</v>
      </c>
    </row>
    <row r="1808" spans="1:17" ht="15.75" customHeight="1">
      <c r="A1808" s="12">
        <v>1089</v>
      </c>
      <c r="B1808" s="12">
        <v>1039</v>
      </c>
      <c r="C1808" s="12">
        <v>14683</v>
      </c>
      <c r="D1808" s="12" t="s">
        <v>6047</v>
      </c>
      <c r="E1808" s="12" t="s">
        <v>12922</v>
      </c>
      <c r="F1808" s="12" t="s">
        <v>12923</v>
      </c>
      <c r="G1808" s="12" t="s">
        <v>12924</v>
      </c>
      <c r="H1808" s="12" t="s">
        <v>6051</v>
      </c>
      <c r="I1808" s="12" t="s">
        <v>6476</v>
      </c>
      <c r="J1808" s="12">
        <v>14683</v>
      </c>
      <c r="K1808" s="12" t="s">
        <v>7166</v>
      </c>
      <c r="L1808" s="12" t="s">
        <v>6504</v>
      </c>
      <c r="M1808" s="13">
        <v>42685</v>
      </c>
      <c r="N1808" s="12" t="s">
        <v>7167</v>
      </c>
      <c r="O1808" s="12" t="s">
        <v>7168</v>
      </c>
      <c r="P1808" s="12"/>
      <c r="Q1808" s="12">
        <v>1</v>
      </c>
    </row>
    <row r="1809" spans="1:17" ht="15.75" customHeight="1">
      <c r="A1809" s="12">
        <v>811</v>
      </c>
      <c r="B1809" s="12">
        <v>670</v>
      </c>
      <c r="C1809" s="12">
        <v>8061</v>
      </c>
      <c r="D1809" s="12" t="s">
        <v>6047</v>
      </c>
      <c r="E1809" s="12" t="s">
        <v>12925</v>
      </c>
      <c r="F1809" s="12" t="s">
        <v>12926</v>
      </c>
      <c r="G1809" s="12" t="s">
        <v>12927</v>
      </c>
      <c r="H1809" s="12" t="s">
        <v>6075</v>
      </c>
      <c r="I1809" s="12" t="s">
        <v>6076</v>
      </c>
      <c r="J1809" s="12">
        <v>8061</v>
      </c>
      <c r="K1809" s="12" t="s">
        <v>6649</v>
      </c>
      <c r="L1809" s="12" t="s">
        <v>6590</v>
      </c>
      <c r="M1809" s="13">
        <v>43029</v>
      </c>
      <c r="N1809" s="12" t="s">
        <v>6650</v>
      </c>
      <c r="O1809" s="12" t="s">
        <v>6651</v>
      </c>
      <c r="P1809" s="12"/>
      <c r="Q1809" s="12">
        <v>1</v>
      </c>
    </row>
    <row r="1810" spans="1:17" ht="15.75" customHeight="1">
      <c r="A1810" s="12">
        <v>1855</v>
      </c>
      <c r="B1810" s="12">
        <v>312</v>
      </c>
      <c r="C1810" s="12">
        <v>4926</v>
      </c>
      <c r="D1810" s="12" t="s">
        <v>6047</v>
      </c>
      <c r="E1810" s="12" t="s">
        <v>12928</v>
      </c>
      <c r="F1810" s="12" t="s">
        <v>12929</v>
      </c>
      <c r="G1810" s="12" t="s">
        <v>12930</v>
      </c>
      <c r="H1810" s="12" t="s">
        <v>6163</v>
      </c>
      <c r="I1810" s="12" t="s">
        <v>6253</v>
      </c>
      <c r="J1810" s="12">
        <v>4926</v>
      </c>
      <c r="K1810" s="12" t="s">
        <v>6062</v>
      </c>
      <c r="L1810" s="12" t="s">
        <v>6063</v>
      </c>
      <c r="M1810" s="13">
        <v>40873</v>
      </c>
      <c r="N1810" s="12" t="s">
        <v>6064</v>
      </c>
      <c r="O1810" s="12" t="s">
        <v>6065</v>
      </c>
      <c r="P1810" s="12"/>
      <c r="Q1810" s="12">
        <v>1</v>
      </c>
    </row>
    <row r="1811" spans="1:17" ht="15.75" customHeight="1">
      <c r="A1811" s="12">
        <v>112</v>
      </c>
      <c r="B1811" s="12">
        <v>1294</v>
      </c>
      <c r="C1811" s="12">
        <v>18281</v>
      </c>
      <c r="D1811" s="12" t="s">
        <v>6047</v>
      </c>
      <c r="E1811" s="12" t="s">
        <v>5405</v>
      </c>
      <c r="F1811" s="12" t="s">
        <v>12931</v>
      </c>
      <c r="G1811" s="12" t="s">
        <v>12932</v>
      </c>
      <c r="H1811" s="12" t="s">
        <v>6051</v>
      </c>
      <c r="I1811" s="12" t="s">
        <v>7763</v>
      </c>
      <c r="J1811" s="12">
        <v>18281</v>
      </c>
      <c r="K1811" s="12" t="s">
        <v>6671</v>
      </c>
      <c r="L1811" s="12" t="s">
        <v>6511</v>
      </c>
      <c r="M1811" s="13">
        <v>45966</v>
      </c>
      <c r="N1811" s="12" t="s">
        <v>6672</v>
      </c>
      <c r="O1811" s="12" t="s">
        <v>6673</v>
      </c>
      <c r="P1811" s="12"/>
      <c r="Q1811" s="12">
        <v>1</v>
      </c>
    </row>
    <row r="1812" spans="1:17" ht="15.75" customHeight="1">
      <c r="A1812" s="12">
        <v>878</v>
      </c>
      <c r="B1812" s="12">
        <v>1499</v>
      </c>
      <c r="C1812" s="12">
        <v>24184</v>
      </c>
      <c r="D1812" s="12" t="s">
        <v>6047</v>
      </c>
      <c r="E1812" s="12" t="s">
        <v>12933</v>
      </c>
      <c r="F1812" s="12" t="s">
        <v>12934</v>
      </c>
      <c r="G1812" s="12" t="s">
        <v>12935</v>
      </c>
      <c r="H1812" s="12" t="s">
        <v>6051</v>
      </c>
      <c r="I1812" s="12" t="s">
        <v>6738</v>
      </c>
      <c r="J1812" s="12">
        <v>24184</v>
      </c>
      <c r="K1812" s="12" t="s">
        <v>6569</v>
      </c>
      <c r="L1812" s="12" t="s">
        <v>6564</v>
      </c>
      <c r="M1812" s="13">
        <v>43015</v>
      </c>
      <c r="N1812" s="12" t="s">
        <v>6570</v>
      </c>
      <c r="O1812" s="12" t="s">
        <v>6623</v>
      </c>
      <c r="P1812" s="12"/>
      <c r="Q1812" s="12">
        <v>1</v>
      </c>
    </row>
    <row r="1813" spans="1:17" ht="15.75" customHeight="1">
      <c r="A1813" s="12">
        <v>1577</v>
      </c>
      <c r="B1813" s="12">
        <v>1598</v>
      </c>
      <c r="C1813" s="12">
        <v>28136</v>
      </c>
      <c r="D1813" s="12" t="s">
        <v>6047</v>
      </c>
      <c r="E1813" s="12" t="s">
        <v>5410</v>
      </c>
      <c r="F1813" s="12" t="s">
        <v>12936</v>
      </c>
      <c r="G1813" s="12" t="s">
        <v>12937</v>
      </c>
      <c r="H1813" s="12" t="s">
        <v>6051</v>
      </c>
      <c r="I1813" s="12" t="s">
        <v>6366</v>
      </c>
      <c r="J1813" s="12">
        <v>28136</v>
      </c>
      <c r="K1813" s="12" t="s">
        <v>6485</v>
      </c>
      <c r="L1813" s="12" t="s">
        <v>6255</v>
      </c>
      <c r="M1813" s="13">
        <v>41560</v>
      </c>
      <c r="N1813" s="12" t="s">
        <v>6486</v>
      </c>
      <c r="O1813" s="12" t="s">
        <v>6487</v>
      </c>
      <c r="P1813" s="12"/>
      <c r="Q1813" s="12">
        <v>1</v>
      </c>
    </row>
    <row r="1814" spans="1:17" ht="15.75" customHeight="1">
      <c r="A1814" s="12">
        <v>2025</v>
      </c>
      <c r="B1814" s="12">
        <v>616</v>
      </c>
      <c r="C1814" s="12">
        <v>7724</v>
      </c>
      <c r="D1814" s="12" t="s">
        <v>6047</v>
      </c>
      <c r="E1814" s="12" t="s">
        <v>12938</v>
      </c>
      <c r="F1814" s="12" t="s">
        <v>12939</v>
      </c>
      <c r="G1814" s="12" t="s">
        <v>12940</v>
      </c>
      <c r="H1814" s="12" t="s">
        <v>6187</v>
      </c>
      <c r="I1814" s="12" t="s">
        <v>6224</v>
      </c>
      <c r="J1814" s="12">
        <v>7724</v>
      </c>
      <c r="K1814" s="12" t="s">
        <v>7483</v>
      </c>
      <c r="L1814" s="12" t="s">
        <v>7484</v>
      </c>
      <c r="M1814" s="13">
        <v>38178</v>
      </c>
      <c r="N1814" s="12" t="s">
        <v>7485</v>
      </c>
      <c r="O1814" s="12" t="s">
        <v>7486</v>
      </c>
      <c r="P1814" s="12"/>
      <c r="Q1814" s="12">
        <v>1</v>
      </c>
    </row>
    <row r="1815" spans="1:17" ht="15.75" customHeight="1">
      <c r="A1815" s="12">
        <v>1172</v>
      </c>
      <c r="B1815" s="12">
        <v>311</v>
      </c>
      <c r="C1815" s="12">
        <v>4914</v>
      </c>
      <c r="D1815" s="12" t="s">
        <v>6047</v>
      </c>
      <c r="E1815" s="12" t="s">
        <v>12941</v>
      </c>
      <c r="F1815" s="12" t="s">
        <v>12942</v>
      </c>
      <c r="G1815" s="12" t="s">
        <v>12943</v>
      </c>
      <c r="H1815" s="12" t="s">
        <v>6163</v>
      </c>
      <c r="I1815" s="12" t="s">
        <v>6253</v>
      </c>
      <c r="J1815" s="12">
        <v>4914</v>
      </c>
      <c r="K1815" s="12" t="s">
        <v>12944</v>
      </c>
      <c r="L1815" s="12" t="s">
        <v>6423</v>
      </c>
      <c r="M1815" s="13">
        <v>41993</v>
      </c>
      <c r="N1815" s="12" t="s">
        <v>12945</v>
      </c>
      <c r="O1815" s="12" t="s">
        <v>12946</v>
      </c>
      <c r="P1815" s="12"/>
      <c r="Q1815" s="12">
        <v>1</v>
      </c>
    </row>
    <row r="1816" spans="1:17" ht="15.75" customHeight="1">
      <c r="A1816" s="12">
        <v>71</v>
      </c>
      <c r="B1816" s="12">
        <v>1309</v>
      </c>
      <c r="C1816" s="12">
        <v>18488</v>
      </c>
      <c r="D1816" s="12" t="s">
        <v>6047</v>
      </c>
      <c r="E1816" s="12" t="s">
        <v>5422</v>
      </c>
      <c r="F1816" s="12" t="s">
        <v>12947</v>
      </c>
      <c r="G1816" s="12" t="s">
        <v>12948</v>
      </c>
      <c r="H1816" s="12" t="s">
        <v>6051</v>
      </c>
      <c r="I1816" s="12" t="s">
        <v>7763</v>
      </c>
      <c r="J1816" s="12">
        <v>18488</v>
      </c>
      <c r="K1816" s="12" t="s">
        <v>9415</v>
      </c>
      <c r="L1816" s="12" t="s">
        <v>6564</v>
      </c>
      <c r="M1816" s="13">
        <v>45971</v>
      </c>
      <c r="N1816" s="12" t="s">
        <v>9416</v>
      </c>
      <c r="O1816" s="12" t="s">
        <v>9417</v>
      </c>
      <c r="P1816" s="12"/>
      <c r="Q1816" s="12">
        <v>1</v>
      </c>
    </row>
    <row r="1817" spans="1:17" ht="15.75" customHeight="1">
      <c r="A1817" s="12">
        <v>1547</v>
      </c>
      <c r="B1817" s="12">
        <v>528</v>
      </c>
      <c r="C1817" s="12">
        <v>6888</v>
      </c>
      <c r="D1817" s="12" t="s">
        <v>6047</v>
      </c>
      <c r="E1817" s="12" t="s">
        <v>5412</v>
      </c>
      <c r="F1817" s="12" t="s">
        <v>12949</v>
      </c>
      <c r="G1817" s="12" t="s">
        <v>12950</v>
      </c>
      <c r="H1817" s="12" t="s">
        <v>6582</v>
      </c>
      <c r="I1817" s="12" t="s">
        <v>6583</v>
      </c>
      <c r="J1817" s="12">
        <v>6888</v>
      </c>
      <c r="K1817" s="12" t="s">
        <v>12951</v>
      </c>
      <c r="L1817" s="12" t="s">
        <v>6255</v>
      </c>
      <c r="M1817" s="13">
        <v>41564</v>
      </c>
      <c r="N1817" s="12" t="s">
        <v>12952</v>
      </c>
      <c r="O1817" s="12" t="s">
        <v>12953</v>
      </c>
      <c r="P1817" s="12"/>
      <c r="Q1817" s="12">
        <v>1</v>
      </c>
    </row>
    <row r="1818" spans="1:17" ht="15.75" customHeight="1">
      <c r="A1818" s="12">
        <v>1573</v>
      </c>
      <c r="B1818" s="12">
        <v>493</v>
      </c>
      <c r="C1818" s="12">
        <v>6528</v>
      </c>
      <c r="D1818" s="12" t="s">
        <v>6047</v>
      </c>
      <c r="E1818" s="12" t="s">
        <v>12954</v>
      </c>
      <c r="F1818" s="12" t="s">
        <v>12955</v>
      </c>
      <c r="G1818" s="12" t="s">
        <v>12956</v>
      </c>
      <c r="H1818" s="12" t="s">
        <v>6137</v>
      </c>
      <c r="I1818" s="12" t="s">
        <v>6200</v>
      </c>
      <c r="J1818" s="12">
        <v>6528</v>
      </c>
      <c r="K1818" s="12" t="s">
        <v>6967</v>
      </c>
      <c r="L1818" s="12" t="s">
        <v>6255</v>
      </c>
      <c r="M1818" s="13">
        <v>41560</v>
      </c>
      <c r="N1818" s="12" t="s">
        <v>6968</v>
      </c>
      <c r="O1818" s="12" t="s">
        <v>6969</v>
      </c>
      <c r="P1818" s="12"/>
      <c r="Q1818" s="12">
        <v>1</v>
      </c>
    </row>
    <row r="1819" spans="1:17" ht="15.75" customHeight="1">
      <c r="A1819" s="12">
        <v>1439</v>
      </c>
      <c r="B1819" s="12">
        <v>1501</v>
      </c>
      <c r="C1819" s="12">
        <v>24214</v>
      </c>
      <c r="D1819" s="12" t="s">
        <v>6047</v>
      </c>
      <c r="E1819" s="12" t="s">
        <v>12957</v>
      </c>
      <c r="F1819" s="12" t="s">
        <v>12958</v>
      </c>
      <c r="G1819" s="12" t="s">
        <v>12959</v>
      </c>
      <c r="H1819" s="12" t="s">
        <v>6051</v>
      </c>
      <c r="I1819" s="12" t="s">
        <v>6738</v>
      </c>
      <c r="J1819" s="12">
        <v>24214</v>
      </c>
      <c r="K1819" s="12" t="s">
        <v>6069</v>
      </c>
      <c r="L1819" s="12" t="s">
        <v>6070</v>
      </c>
      <c r="M1819" s="13">
        <v>41908</v>
      </c>
      <c r="N1819" s="12" t="s">
        <v>6071</v>
      </c>
      <c r="O1819" s="12" t="s">
        <v>6901</v>
      </c>
      <c r="P1819" s="12"/>
      <c r="Q1819" s="12">
        <v>1</v>
      </c>
    </row>
    <row r="1820" spans="1:17" ht="15.75" customHeight="1">
      <c r="A1820" s="12">
        <v>683</v>
      </c>
      <c r="B1820" s="12">
        <v>1234</v>
      </c>
      <c r="C1820" s="12">
        <v>17467</v>
      </c>
      <c r="D1820" s="12" t="s">
        <v>6047</v>
      </c>
      <c r="E1820" s="12" t="s">
        <v>12960</v>
      </c>
      <c r="F1820" s="12" t="s">
        <v>12961</v>
      </c>
      <c r="G1820" s="12" t="s">
        <v>12962</v>
      </c>
      <c r="H1820" s="12" t="s">
        <v>6051</v>
      </c>
      <c r="I1820" s="12" t="s">
        <v>6052</v>
      </c>
      <c r="J1820" s="12">
        <v>17467</v>
      </c>
      <c r="K1820" s="12" t="s">
        <v>12963</v>
      </c>
      <c r="L1820" s="12" t="s">
        <v>6531</v>
      </c>
      <c r="M1820" s="13">
        <v>43277</v>
      </c>
      <c r="N1820" s="12" t="s">
        <v>12964</v>
      </c>
      <c r="O1820" s="12" t="s">
        <v>12965</v>
      </c>
      <c r="P1820" s="12"/>
      <c r="Q1820" s="12">
        <v>1</v>
      </c>
    </row>
    <row r="1821" spans="1:17" ht="15.75" customHeight="1">
      <c r="A1821" s="12">
        <v>1557</v>
      </c>
      <c r="B1821" s="12">
        <v>1812</v>
      </c>
      <c r="C1821" s="12">
        <v>33565</v>
      </c>
      <c r="D1821" s="12" t="s">
        <v>6047</v>
      </c>
      <c r="E1821" s="12" t="s">
        <v>5414</v>
      </c>
      <c r="F1821" s="12" t="s">
        <v>12966</v>
      </c>
      <c r="G1821" s="12" t="s">
        <v>12967</v>
      </c>
      <c r="H1821" s="12" t="s">
        <v>6051</v>
      </c>
      <c r="I1821" s="12" t="s">
        <v>6261</v>
      </c>
      <c r="J1821" s="12">
        <v>33565</v>
      </c>
      <c r="K1821" s="12" t="s">
        <v>7055</v>
      </c>
      <c r="L1821" s="12" t="s">
        <v>6255</v>
      </c>
      <c r="M1821" s="13">
        <v>41562</v>
      </c>
      <c r="N1821" s="12" t="s">
        <v>7056</v>
      </c>
      <c r="O1821" s="12" t="s">
        <v>7057</v>
      </c>
      <c r="P1821" s="12"/>
      <c r="Q1821" s="12">
        <v>1</v>
      </c>
    </row>
    <row r="1822" spans="1:17" ht="15.75" customHeight="1">
      <c r="A1822" s="12">
        <v>921</v>
      </c>
      <c r="B1822" s="12">
        <v>1146</v>
      </c>
      <c r="C1822" s="12">
        <v>16457</v>
      </c>
      <c r="D1822" s="12" t="s">
        <v>6047</v>
      </c>
      <c r="E1822" s="12" t="s">
        <v>5431</v>
      </c>
      <c r="F1822" s="12" t="s">
        <v>12968</v>
      </c>
      <c r="G1822" s="12" t="s">
        <v>12969</v>
      </c>
      <c r="H1822" s="12" t="s">
        <v>6051</v>
      </c>
      <c r="I1822" s="12" t="s">
        <v>6052</v>
      </c>
      <c r="J1822" s="12">
        <v>16457</v>
      </c>
      <c r="K1822" s="12" t="s">
        <v>7209</v>
      </c>
      <c r="L1822" s="12" t="s">
        <v>6955</v>
      </c>
      <c r="M1822" s="13">
        <v>42829</v>
      </c>
      <c r="N1822" s="12" t="s">
        <v>7210</v>
      </c>
      <c r="O1822" s="12" t="s">
        <v>7211</v>
      </c>
      <c r="P1822" s="12"/>
      <c r="Q1822" s="12">
        <v>1</v>
      </c>
    </row>
    <row r="1823" spans="1:17" ht="15.75" customHeight="1">
      <c r="A1823" s="12">
        <v>430</v>
      </c>
      <c r="B1823" s="12">
        <v>463</v>
      </c>
      <c r="C1823" s="12">
        <v>6231</v>
      </c>
      <c r="D1823" s="12" t="s">
        <v>6047</v>
      </c>
      <c r="E1823" s="12" t="s">
        <v>12970</v>
      </c>
      <c r="F1823" s="12" t="s">
        <v>12971</v>
      </c>
      <c r="G1823" s="12" t="s">
        <v>12972</v>
      </c>
      <c r="H1823" s="12" t="s">
        <v>6137</v>
      </c>
      <c r="I1823" s="12" t="s">
        <v>6391</v>
      </c>
      <c r="J1823" s="12">
        <v>6231</v>
      </c>
      <c r="K1823" s="12" t="s">
        <v>12973</v>
      </c>
      <c r="L1823" s="12" t="s">
        <v>6345</v>
      </c>
      <c r="M1823" s="13">
        <v>44663</v>
      </c>
      <c r="N1823" s="12" t="s">
        <v>12974</v>
      </c>
      <c r="O1823" s="12" t="s">
        <v>12975</v>
      </c>
      <c r="P1823" s="12"/>
      <c r="Q1823" s="12">
        <v>1</v>
      </c>
    </row>
    <row r="1824" spans="1:17" ht="15.75" customHeight="1">
      <c r="A1824" s="12">
        <v>761</v>
      </c>
      <c r="B1824" s="12">
        <v>1808</v>
      </c>
      <c r="C1824" s="12">
        <v>33540</v>
      </c>
      <c r="D1824" s="12" t="s">
        <v>6047</v>
      </c>
      <c r="E1824" s="12" t="s">
        <v>5437</v>
      </c>
      <c r="F1824" s="12" t="s">
        <v>12976</v>
      </c>
      <c r="G1824" s="12" t="s">
        <v>12977</v>
      </c>
      <c r="H1824" s="12" t="s">
        <v>6051</v>
      </c>
      <c r="I1824" s="12" t="s">
        <v>12978</v>
      </c>
      <c r="J1824" s="12">
        <v>33540</v>
      </c>
      <c r="K1824" s="12" t="s">
        <v>6895</v>
      </c>
      <c r="L1824" s="12" t="s">
        <v>6317</v>
      </c>
      <c r="M1824" s="13">
        <v>43087</v>
      </c>
      <c r="N1824" s="12" t="s">
        <v>6896</v>
      </c>
      <c r="O1824" s="12" t="s">
        <v>6897</v>
      </c>
      <c r="P1824" s="12"/>
      <c r="Q1824" s="12">
        <v>1</v>
      </c>
    </row>
    <row r="1825" spans="1:17" ht="15.75" customHeight="1">
      <c r="A1825" s="12">
        <v>533</v>
      </c>
      <c r="B1825" s="12">
        <v>1181</v>
      </c>
      <c r="C1825" s="12">
        <v>16912</v>
      </c>
      <c r="D1825" s="12" t="s">
        <v>6047</v>
      </c>
      <c r="E1825" s="12" t="s">
        <v>12979</v>
      </c>
      <c r="F1825" s="12" t="s">
        <v>12980</v>
      </c>
      <c r="G1825" s="12" t="s">
        <v>12981</v>
      </c>
      <c r="H1825" s="12" t="s">
        <v>6051</v>
      </c>
      <c r="I1825" s="12" t="s">
        <v>6052</v>
      </c>
      <c r="J1825" s="12">
        <v>16912</v>
      </c>
      <c r="K1825" s="12" t="s">
        <v>7441</v>
      </c>
      <c r="L1825" s="12" t="s">
        <v>6408</v>
      </c>
      <c r="M1825" s="13">
        <v>43564</v>
      </c>
      <c r="N1825" s="12" t="s">
        <v>7442</v>
      </c>
      <c r="O1825" s="12" t="s">
        <v>10984</v>
      </c>
      <c r="P1825" s="12"/>
      <c r="Q1825" s="12">
        <v>1</v>
      </c>
    </row>
    <row r="1826" spans="1:17" ht="15.75" customHeight="1">
      <c r="A1826" s="12">
        <v>953</v>
      </c>
      <c r="B1826" s="12">
        <v>1068</v>
      </c>
      <c r="C1826" s="12">
        <v>15265</v>
      </c>
      <c r="D1826" s="12" t="s">
        <v>6047</v>
      </c>
      <c r="E1826" s="12" t="s">
        <v>12982</v>
      </c>
      <c r="F1826" s="12" t="s">
        <v>12983</v>
      </c>
      <c r="G1826" s="12" t="s">
        <v>12984</v>
      </c>
      <c r="H1826" s="12" t="s">
        <v>6051</v>
      </c>
      <c r="I1826" s="12" t="s">
        <v>6476</v>
      </c>
      <c r="J1826" s="12">
        <v>15265</v>
      </c>
      <c r="K1826" s="12" t="s">
        <v>7860</v>
      </c>
      <c r="L1826" s="12" t="s">
        <v>7861</v>
      </c>
      <c r="M1826" s="13">
        <v>42827</v>
      </c>
      <c r="N1826" s="12" t="s">
        <v>7862</v>
      </c>
      <c r="O1826" s="12" t="s">
        <v>7863</v>
      </c>
      <c r="P1826" s="12"/>
      <c r="Q1826" s="12">
        <v>1</v>
      </c>
    </row>
    <row r="1827" spans="1:17" ht="15.75" customHeight="1">
      <c r="A1827" s="12">
        <v>36</v>
      </c>
      <c r="B1827" s="12">
        <v>507</v>
      </c>
      <c r="C1827" s="12">
        <v>6720</v>
      </c>
      <c r="D1827" s="12" t="s">
        <v>6047</v>
      </c>
      <c r="E1827" s="12" t="s">
        <v>12985</v>
      </c>
      <c r="F1827" s="12" t="s">
        <v>12986</v>
      </c>
      <c r="G1827" s="12" t="s">
        <v>12987</v>
      </c>
      <c r="H1827" s="12" t="s">
        <v>6137</v>
      </c>
      <c r="I1827" s="12" t="s">
        <v>6200</v>
      </c>
      <c r="J1827" s="12">
        <v>6720</v>
      </c>
      <c r="K1827" s="12" t="s">
        <v>10184</v>
      </c>
      <c r="L1827" s="12" t="s">
        <v>6590</v>
      </c>
      <c r="M1827" s="13">
        <v>45975</v>
      </c>
      <c r="N1827" s="12" t="s">
        <v>10185</v>
      </c>
      <c r="O1827" s="12" t="s">
        <v>10186</v>
      </c>
      <c r="P1827" s="12"/>
      <c r="Q1827" s="12">
        <v>1</v>
      </c>
    </row>
    <row r="1828" spans="1:17" ht="15.75" customHeight="1">
      <c r="A1828" s="12">
        <v>464</v>
      </c>
      <c r="B1828" s="12">
        <v>601</v>
      </c>
      <c r="C1828" s="12">
        <v>7626</v>
      </c>
      <c r="D1828" s="12" t="s">
        <v>6047</v>
      </c>
      <c r="E1828" s="12" t="s">
        <v>12988</v>
      </c>
      <c r="F1828" s="12" t="s">
        <v>12989</v>
      </c>
      <c r="G1828" s="12" t="s">
        <v>12990</v>
      </c>
      <c r="H1828" s="12" t="s">
        <v>6187</v>
      </c>
      <c r="I1828" s="12" t="s">
        <v>6224</v>
      </c>
      <c r="J1828" s="12">
        <v>7626</v>
      </c>
      <c r="K1828" s="12" t="s">
        <v>6945</v>
      </c>
      <c r="L1828" s="12" t="s">
        <v>6498</v>
      </c>
      <c r="M1828" s="13">
        <v>43788</v>
      </c>
      <c r="N1828" s="12" t="s">
        <v>6946</v>
      </c>
      <c r="O1828" s="12" t="s">
        <v>6947</v>
      </c>
      <c r="P1828" s="12"/>
      <c r="Q1828" s="12">
        <v>1</v>
      </c>
    </row>
    <row r="1829" spans="1:17" ht="15.75" customHeight="1">
      <c r="A1829" s="12">
        <v>773</v>
      </c>
      <c r="B1829" s="12">
        <v>690</v>
      </c>
      <c r="C1829" s="12">
        <v>8363</v>
      </c>
      <c r="D1829" s="12" t="s">
        <v>6047</v>
      </c>
      <c r="E1829" s="12" t="s">
        <v>12991</v>
      </c>
      <c r="F1829" s="12" t="s">
        <v>12992</v>
      </c>
      <c r="G1829" s="12" t="s">
        <v>12993</v>
      </c>
      <c r="H1829" s="12" t="s">
        <v>6075</v>
      </c>
      <c r="I1829" s="12" t="s">
        <v>6076</v>
      </c>
      <c r="J1829" s="12">
        <v>8363</v>
      </c>
      <c r="K1829" s="12" t="s">
        <v>9368</v>
      </c>
      <c r="L1829" s="12" t="s">
        <v>6590</v>
      </c>
      <c r="M1829" s="13">
        <v>43035</v>
      </c>
      <c r="N1829" s="12" t="s">
        <v>9369</v>
      </c>
      <c r="O1829" s="12" t="s">
        <v>9370</v>
      </c>
      <c r="P1829" s="12"/>
      <c r="Q1829" s="12">
        <v>1</v>
      </c>
    </row>
    <row r="1830" spans="1:17" ht="15.75" customHeight="1">
      <c r="A1830" s="12">
        <v>1719</v>
      </c>
      <c r="B1830" s="12">
        <v>708</v>
      </c>
      <c r="C1830" s="12">
        <v>8463</v>
      </c>
      <c r="D1830" s="12" t="s">
        <v>6047</v>
      </c>
      <c r="E1830" s="12" t="s">
        <v>12994</v>
      </c>
      <c r="F1830" s="12" t="s">
        <v>12995</v>
      </c>
      <c r="G1830" s="12" t="s">
        <v>12996</v>
      </c>
      <c r="H1830" s="12" t="s">
        <v>6075</v>
      </c>
      <c r="I1830" s="12" t="s">
        <v>6076</v>
      </c>
      <c r="J1830" s="12">
        <v>8463</v>
      </c>
      <c r="K1830" s="12" t="s">
        <v>9520</v>
      </c>
      <c r="L1830" s="12" t="s">
        <v>7333</v>
      </c>
      <c r="M1830" s="13">
        <v>40876</v>
      </c>
      <c r="N1830" s="12" t="s">
        <v>9521</v>
      </c>
      <c r="O1830" s="12" t="s">
        <v>9522</v>
      </c>
      <c r="P1830" s="12"/>
      <c r="Q1830" s="12">
        <v>1</v>
      </c>
    </row>
    <row r="1831" spans="1:17" ht="15.75" customHeight="1">
      <c r="A1831" s="12">
        <v>1846</v>
      </c>
      <c r="B1831" s="12">
        <v>573</v>
      </c>
      <c r="C1831" s="12">
        <v>7462</v>
      </c>
      <c r="D1831" s="12" t="s">
        <v>6047</v>
      </c>
      <c r="E1831" s="12" t="s">
        <v>12997</v>
      </c>
      <c r="F1831" s="12" t="s">
        <v>12998</v>
      </c>
      <c r="G1831" s="12" t="s">
        <v>12999</v>
      </c>
      <c r="H1831" s="12" t="s">
        <v>6187</v>
      </c>
      <c r="I1831" s="12" t="s">
        <v>6188</v>
      </c>
      <c r="J1831" s="12">
        <v>7462</v>
      </c>
      <c r="K1831" s="12" t="s">
        <v>6062</v>
      </c>
      <c r="L1831" s="12" t="s">
        <v>6063</v>
      </c>
      <c r="M1831" s="13">
        <v>40873</v>
      </c>
      <c r="N1831" s="12" t="s">
        <v>6064</v>
      </c>
      <c r="O1831" s="12" t="s">
        <v>6065</v>
      </c>
      <c r="P1831" s="12"/>
      <c r="Q1831" s="12">
        <v>1</v>
      </c>
    </row>
    <row r="1832" spans="1:17" ht="15.75" customHeight="1">
      <c r="A1832" s="12">
        <v>121</v>
      </c>
      <c r="B1832" s="12">
        <v>1483</v>
      </c>
      <c r="C1832" s="12">
        <v>24026</v>
      </c>
      <c r="D1832" s="12" t="s">
        <v>6047</v>
      </c>
      <c r="E1832" s="12" t="s">
        <v>5465</v>
      </c>
      <c r="F1832" s="12" t="s">
        <v>13000</v>
      </c>
      <c r="G1832" s="12" t="s">
        <v>13001</v>
      </c>
      <c r="H1832" s="12" t="s">
        <v>6051</v>
      </c>
      <c r="I1832" s="12" t="s">
        <v>6738</v>
      </c>
      <c r="J1832" s="12">
        <v>24026</v>
      </c>
      <c r="K1832" s="12" t="s">
        <v>13002</v>
      </c>
      <c r="L1832" s="12" t="s">
        <v>6511</v>
      </c>
      <c r="M1832" s="13">
        <v>45965</v>
      </c>
      <c r="N1832" s="12" t="s">
        <v>13003</v>
      </c>
      <c r="O1832" s="12" t="s">
        <v>13004</v>
      </c>
      <c r="P1832" s="12"/>
      <c r="Q1832" s="12">
        <v>1</v>
      </c>
    </row>
    <row r="1833" spans="1:17" ht="15.75" customHeight="1">
      <c r="A1833" s="12">
        <v>1427</v>
      </c>
      <c r="B1833" s="12">
        <v>656</v>
      </c>
      <c r="C1833" s="12">
        <v>7938</v>
      </c>
      <c r="D1833" s="12" t="s">
        <v>6047</v>
      </c>
      <c r="E1833" s="12" t="s">
        <v>5462</v>
      </c>
      <c r="F1833" s="12" t="s">
        <v>13005</v>
      </c>
      <c r="G1833" s="12" t="s">
        <v>13006</v>
      </c>
      <c r="H1833" s="12" t="s">
        <v>6075</v>
      </c>
      <c r="I1833" s="12" t="s">
        <v>6076</v>
      </c>
      <c r="J1833" s="12">
        <v>7938</v>
      </c>
      <c r="K1833" s="12" t="s">
        <v>6139</v>
      </c>
      <c r="L1833" s="12" t="s">
        <v>6087</v>
      </c>
      <c r="M1833" s="13">
        <v>41909</v>
      </c>
      <c r="N1833" s="12" t="s">
        <v>6140</v>
      </c>
      <c r="O1833" s="12" t="s">
        <v>6141</v>
      </c>
      <c r="P1833" s="12"/>
      <c r="Q1833" s="12">
        <v>1</v>
      </c>
    </row>
    <row r="1834" spans="1:17" ht="15.75" customHeight="1">
      <c r="A1834" s="12">
        <v>472</v>
      </c>
      <c r="B1834" s="12">
        <v>1155</v>
      </c>
      <c r="C1834" s="12">
        <v>16578</v>
      </c>
      <c r="D1834" s="12" t="s">
        <v>6047</v>
      </c>
      <c r="E1834" s="12" t="s">
        <v>13007</v>
      </c>
      <c r="F1834" s="12" t="s">
        <v>13008</v>
      </c>
      <c r="G1834" s="12" t="s">
        <v>13009</v>
      </c>
      <c r="H1834" s="12" t="s">
        <v>6051</v>
      </c>
      <c r="I1834" s="12" t="s">
        <v>6052</v>
      </c>
      <c r="J1834" s="12">
        <v>16578</v>
      </c>
      <c r="K1834" s="12" t="s">
        <v>6454</v>
      </c>
      <c r="L1834" s="12" t="s">
        <v>6455</v>
      </c>
      <c r="M1834" s="13">
        <v>43786</v>
      </c>
      <c r="N1834" s="12" t="s">
        <v>6456</v>
      </c>
      <c r="O1834" s="12" t="s">
        <v>6457</v>
      </c>
      <c r="P1834" s="12"/>
      <c r="Q1834" s="12">
        <v>1</v>
      </c>
    </row>
    <row r="1835" spans="1:17" ht="15.75" customHeight="1">
      <c r="A1835" s="12">
        <v>736</v>
      </c>
      <c r="B1835" s="12">
        <v>1096</v>
      </c>
      <c r="C1835" s="12">
        <v>15772</v>
      </c>
      <c r="D1835" s="12" t="s">
        <v>6047</v>
      </c>
      <c r="E1835" s="12" t="s">
        <v>13010</v>
      </c>
      <c r="F1835" s="12" t="s">
        <v>13011</v>
      </c>
      <c r="G1835" s="12" t="s">
        <v>13012</v>
      </c>
      <c r="H1835" s="12" t="s">
        <v>6051</v>
      </c>
      <c r="I1835" s="12" t="s">
        <v>7511</v>
      </c>
      <c r="J1835" s="12">
        <v>15772</v>
      </c>
      <c r="K1835" s="12" t="s">
        <v>6838</v>
      </c>
      <c r="L1835" s="12" t="s">
        <v>6839</v>
      </c>
      <c r="M1835" s="13">
        <v>43197</v>
      </c>
      <c r="N1835" s="12" t="s">
        <v>6840</v>
      </c>
      <c r="O1835" s="12" t="s">
        <v>6841</v>
      </c>
      <c r="P1835" s="12"/>
      <c r="Q1835" s="12">
        <v>1</v>
      </c>
    </row>
    <row r="1836" spans="1:17" ht="15.75" customHeight="1">
      <c r="A1836" s="12">
        <v>958</v>
      </c>
      <c r="B1836" s="12">
        <v>1008</v>
      </c>
      <c r="C1836" s="12">
        <v>14015</v>
      </c>
      <c r="D1836" s="12" t="s">
        <v>6047</v>
      </c>
      <c r="E1836" s="12" t="s">
        <v>13013</v>
      </c>
      <c r="F1836" s="12" t="s">
        <v>13014</v>
      </c>
      <c r="G1836" s="12" t="s">
        <v>13015</v>
      </c>
      <c r="H1836" s="12" t="s">
        <v>6051</v>
      </c>
      <c r="I1836" s="12" t="s">
        <v>6741</v>
      </c>
      <c r="J1836" s="12">
        <v>14015</v>
      </c>
      <c r="K1836" s="12" t="s">
        <v>7376</v>
      </c>
      <c r="L1836" s="12" t="s">
        <v>6054</v>
      </c>
      <c r="M1836" s="13">
        <v>42826</v>
      </c>
      <c r="N1836" s="12" t="s">
        <v>7377</v>
      </c>
      <c r="O1836" s="12" t="s">
        <v>7378</v>
      </c>
      <c r="P1836" s="12"/>
      <c r="Q1836" s="12">
        <v>1</v>
      </c>
    </row>
    <row r="1837" spans="1:17" ht="15.75" customHeight="1">
      <c r="A1837" s="12">
        <v>1687</v>
      </c>
      <c r="B1837" s="12">
        <v>341</v>
      </c>
      <c r="C1837" s="12">
        <v>5192</v>
      </c>
      <c r="D1837" s="12" t="s">
        <v>6047</v>
      </c>
      <c r="E1837" s="12" t="s">
        <v>13016</v>
      </c>
      <c r="F1837" s="12" t="s">
        <v>13017</v>
      </c>
      <c r="G1837" s="12" t="s">
        <v>13018</v>
      </c>
      <c r="H1837" s="12" t="s">
        <v>6163</v>
      </c>
      <c r="I1837" s="12" t="s">
        <v>6253</v>
      </c>
      <c r="J1837" s="12">
        <v>5192</v>
      </c>
      <c r="K1837" s="12" t="s">
        <v>7260</v>
      </c>
      <c r="L1837" s="12" t="s">
        <v>7261</v>
      </c>
      <c r="M1837" s="13">
        <v>40879</v>
      </c>
      <c r="N1837" s="12" t="s">
        <v>7262</v>
      </c>
      <c r="O1837" s="12" t="s">
        <v>7263</v>
      </c>
      <c r="P1837" s="12"/>
      <c r="Q1837" s="12">
        <v>1</v>
      </c>
    </row>
    <row r="1838" spans="1:17" ht="15.75" customHeight="1">
      <c r="A1838" s="12">
        <v>1956</v>
      </c>
      <c r="B1838" s="12">
        <v>173</v>
      </c>
      <c r="C1838" s="12">
        <v>2978</v>
      </c>
      <c r="D1838" s="12" t="s">
        <v>6047</v>
      </c>
      <c r="E1838" s="12" t="s">
        <v>13019</v>
      </c>
      <c r="F1838" s="12" t="s">
        <v>13020</v>
      </c>
      <c r="G1838" s="12" t="s">
        <v>13021</v>
      </c>
      <c r="H1838" s="12" t="s">
        <v>9344</v>
      </c>
      <c r="I1838" s="12" t="s">
        <v>9345</v>
      </c>
      <c r="J1838" s="12">
        <v>2978</v>
      </c>
      <c r="K1838" s="12" t="s">
        <v>6548</v>
      </c>
      <c r="L1838" s="12" t="s">
        <v>6549</v>
      </c>
      <c r="M1838" s="13">
        <v>38580</v>
      </c>
      <c r="N1838" s="12" t="s">
        <v>6550</v>
      </c>
      <c r="O1838" s="12" t="s">
        <v>6551</v>
      </c>
      <c r="P1838" s="12"/>
      <c r="Q1838" s="12">
        <v>1</v>
      </c>
    </row>
    <row r="1839" spans="1:17" ht="15.75" customHeight="1">
      <c r="A1839" s="12">
        <v>370</v>
      </c>
      <c r="B1839" s="12">
        <v>293</v>
      </c>
      <c r="C1839" s="12">
        <v>4756</v>
      </c>
      <c r="D1839" s="12" t="s">
        <v>6047</v>
      </c>
      <c r="E1839" s="12" t="s">
        <v>13022</v>
      </c>
      <c r="F1839" s="12" t="s">
        <v>13023</v>
      </c>
      <c r="G1839" s="12" t="s">
        <v>13024</v>
      </c>
      <c r="H1839" s="12" t="s">
        <v>6163</v>
      </c>
      <c r="I1839" s="12" t="s">
        <v>6253</v>
      </c>
      <c r="J1839" s="12">
        <v>4756</v>
      </c>
      <c r="K1839" s="12" t="s">
        <v>7049</v>
      </c>
      <c r="L1839" s="12" t="s">
        <v>6226</v>
      </c>
      <c r="M1839" s="13">
        <v>44721</v>
      </c>
      <c r="N1839" s="12" t="s">
        <v>7050</v>
      </c>
      <c r="O1839" s="12" t="s">
        <v>7051</v>
      </c>
      <c r="P1839" s="12"/>
      <c r="Q1839" s="12">
        <v>1</v>
      </c>
    </row>
    <row r="1840" spans="1:17" ht="15.75" customHeight="1">
      <c r="A1840" s="12">
        <v>826</v>
      </c>
      <c r="B1840" s="12">
        <v>693</v>
      </c>
      <c r="C1840" s="12">
        <v>8376</v>
      </c>
      <c r="D1840" s="12" t="s">
        <v>6047</v>
      </c>
      <c r="E1840" s="12" t="s">
        <v>13025</v>
      </c>
      <c r="F1840" s="12" t="s">
        <v>13026</v>
      </c>
      <c r="G1840" s="12" t="s">
        <v>13027</v>
      </c>
      <c r="H1840" s="12" t="s">
        <v>6075</v>
      </c>
      <c r="I1840" s="12" t="s">
        <v>6076</v>
      </c>
      <c r="J1840" s="12">
        <v>8376</v>
      </c>
      <c r="K1840" s="12" t="s">
        <v>6985</v>
      </c>
      <c r="L1840" s="12" t="s">
        <v>6564</v>
      </c>
      <c r="M1840" s="13">
        <v>43023</v>
      </c>
      <c r="N1840" s="12" t="s">
        <v>6986</v>
      </c>
      <c r="O1840" s="12" t="s">
        <v>6987</v>
      </c>
      <c r="P1840" s="12"/>
      <c r="Q1840" s="12">
        <v>1</v>
      </c>
    </row>
    <row r="1841" spans="1:17" ht="15.75" customHeight="1">
      <c r="A1841" s="12">
        <v>1435</v>
      </c>
      <c r="B1841" s="12">
        <v>1659</v>
      </c>
      <c r="C1841" s="12">
        <v>30434</v>
      </c>
      <c r="D1841" s="12" t="s">
        <v>6047</v>
      </c>
      <c r="E1841" s="12" t="s">
        <v>13028</v>
      </c>
      <c r="F1841" s="12" t="s">
        <v>13029</v>
      </c>
      <c r="G1841" s="12" t="s">
        <v>13030</v>
      </c>
      <c r="H1841" s="12" t="s">
        <v>6051</v>
      </c>
      <c r="I1841" s="12" t="s">
        <v>6399</v>
      </c>
      <c r="J1841" s="12">
        <v>30434</v>
      </c>
      <c r="K1841" s="12" t="s">
        <v>6069</v>
      </c>
      <c r="L1841" s="12" t="s">
        <v>6070</v>
      </c>
      <c r="M1841" s="13">
        <v>41908</v>
      </c>
      <c r="N1841" s="12" t="s">
        <v>6071</v>
      </c>
      <c r="O1841" s="12" t="s">
        <v>6901</v>
      </c>
      <c r="P1841" s="12"/>
      <c r="Q1841" s="12">
        <v>1</v>
      </c>
    </row>
    <row r="1842" spans="1:17" ht="15.75" customHeight="1">
      <c r="A1842" s="12">
        <v>1242</v>
      </c>
      <c r="B1842" s="12">
        <v>296</v>
      </c>
      <c r="C1842" s="12">
        <v>4782</v>
      </c>
      <c r="D1842" s="12" t="s">
        <v>6047</v>
      </c>
      <c r="E1842" s="12" t="s">
        <v>13031</v>
      </c>
      <c r="F1842" s="12" t="s">
        <v>13032</v>
      </c>
      <c r="G1842" s="12" t="s">
        <v>13033</v>
      </c>
      <c r="H1842" s="12" t="s">
        <v>6163</v>
      </c>
      <c r="I1842" s="12" t="s">
        <v>6253</v>
      </c>
      <c r="J1842" s="12">
        <v>4782</v>
      </c>
      <c r="K1842" s="12" t="s">
        <v>6429</v>
      </c>
      <c r="L1842" s="12" t="s">
        <v>6423</v>
      </c>
      <c r="M1842" s="13">
        <v>41991</v>
      </c>
      <c r="N1842" s="12" t="s">
        <v>6430</v>
      </c>
      <c r="O1842" s="12" t="s">
        <v>6431</v>
      </c>
      <c r="P1842" s="12"/>
      <c r="Q1842" s="12">
        <v>1</v>
      </c>
    </row>
    <row r="1843" spans="1:17" ht="15.75" customHeight="1">
      <c r="A1843" s="12">
        <v>2046</v>
      </c>
      <c r="B1843" s="12">
        <v>284</v>
      </c>
      <c r="C1843" s="12">
        <v>4678</v>
      </c>
      <c r="D1843" s="12" t="s">
        <v>6047</v>
      </c>
      <c r="E1843" s="12" t="s">
        <v>13034</v>
      </c>
      <c r="F1843" s="12" t="s">
        <v>13035</v>
      </c>
      <c r="G1843" s="12" t="s">
        <v>13036</v>
      </c>
      <c r="H1843" s="12" t="s">
        <v>6163</v>
      </c>
      <c r="I1843" s="12" t="s">
        <v>6253</v>
      </c>
      <c r="J1843" s="12">
        <v>4678</v>
      </c>
      <c r="K1843" s="12" t="s">
        <v>7867</v>
      </c>
      <c r="L1843" s="12" t="s">
        <v>6408</v>
      </c>
      <c r="M1843" s="13">
        <v>38170</v>
      </c>
      <c r="N1843" s="12" t="s">
        <v>7868</v>
      </c>
      <c r="O1843" s="12" t="s">
        <v>7869</v>
      </c>
      <c r="P1843" s="12"/>
      <c r="Q1843" s="12">
        <v>1</v>
      </c>
    </row>
    <row r="1844" spans="1:17" ht="15.75" customHeight="1">
      <c r="A1844" s="12">
        <v>1586</v>
      </c>
      <c r="B1844" s="12">
        <v>1523</v>
      </c>
      <c r="C1844" s="12">
        <v>26889</v>
      </c>
      <c r="D1844" s="12" t="s">
        <v>6047</v>
      </c>
      <c r="E1844" s="12" t="s">
        <v>13037</v>
      </c>
      <c r="F1844" s="12" t="s">
        <v>13038</v>
      </c>
      <c r="G1844" s="12" t="s">
        <v>13039</v>
      </c>
      <c r="H1844" s="12" t="s">
        <v>6051</v>
      </c>
      <c r="I1844" s="12" t="s">
        <v>7812</v>
      </c>
      <c r="J1844" s="12">
        <v>26889</v>
      </c>
      <c r="K1844" s="12" t="s">
        <v>9698</v>
      </c>
      <c r="L1844" s="12" t="s">
        <v>6240</v>
      </c>
      <c r="M1844" s="13">
        <v>41542</v>
      </c>
      <c r="N1844" s="12" t="s">
        <v>9699</v>
      </c>
      <c r="O1844" s="12" t="s">
        <v>9700</v>
      </c>
      <c r="P1844" s="12"/>
      <c r="Q1844" s="12">
        <v>1</v>
      </c>
    </row>
    <row r="1845" spans="1:17" ht="15.75" customHeight="1">
      <c r="A1845" s="12">
        <v>1794</v>
      </c>
      <c r="B1845" s="12">
        <v>1569</v>
      </c>
      <c r="C1845" s="12">
        <v>27594</v>
      </c>
      <c r="D1845" s="12" t="s">
        <v>6047</v>
      </c>
      <c r="E1845" s="12" t="s">
        <v>13040</v>
      </c>
      <c r="F1845" s="12" t="s">
        <v>13041</v>
      </c>
      <c r="G1845" s="12" t="s">
        <v>13042</v>
      </c>
      <c r="H1845" s="12" t="s">
        <v>6051</v>
      </c>
      <c r="I1845" s="12" t="s">
        <v>6704</v>
      </c>
      <c r="J1845" s="12">
        <v>27594</v>
      </c>
      <c r="K1845" s="12" t="s">
        <v>6062</v>
      </c>
      <c r="L1845" s="12" t="s">
        <v>6063</v>
      </c>
      <c r="M1845" s="13">
        <v>40873</v>
      </c>
      <c r="N1845" s="12" t="s">
        <v>6064</v>
      </c>
      <c r="O1845" s="12" t="s">
        <v>6065</v>
      </c>
      <c r="P1845" s="12"/>
      <c r="Q1845" s="12">
        <v>1</v>
      </c>
    </row>
    <row r="1846" spans="1:17" ht="15.75" customHeight="1">
      <c r="A1846" s="12">
        <v>781</v>
      </c>
      <c r="B1846" s="12">
        <v>1350</v>
      </c>
      <c r="C1846" s="12">
        <v>19738</v>
      </c>
      <c r="D1846" s="12" t="s">
        <v>6047</v>
      </c>
      <c r="E1846" s="12" t="s">
        <v>5494</v>
      </c>
      <c r="F1846" s="12" t="s">
        <v>13043</v>
      </c>
      <c r="G1846" s="12" t="s">
        <v>13044</v>
      </c>
      <c r="H1846" s="12" t="s">
        <v>6051</v>
      </c>
      <c r="I1846" s="12" t="s">
        <v>6635</v>
      </c>
      <c r="J1846" s="12">
        <v>19738</v>
      </c>
      <c r="K1846" s="12" t="s">
        <v>7283</v>
      </c>
      <c r="L1846" s="12" t="s">
        <v>6590</v>
      </c>
      <c r="M1846" s="13">
        <v>43034</v>
      </c>
      <c r="N1846" s="12" t="s">
        <v>7284</v>
      </c>
      <c r="O1846" s="12" t="s">
        <v>7285</v>
      </c>
      <c r="P1846" s="12"/>
      <c r="Q1846" s="12">
        <v>1</v>
      </c>
    </row>
    <row r="1847" spans="1:17" ht="15.75" customHeight="1">
      <c r="A1847" s="12">
        <v>771</v>
      </c>
      <c r="B1847" s="12">
        <v>1311</v>
      </c>
      <c r="C1847" s="12">
        <v>18509</v>
      </c>
      <c r="D1847" s="12" t="s">
        <v>6047</v>
      </c>
      <c r="E1847" s="12" t="s">
        <v>5500</v>
      </c>
      <c r="F1847" s="12" t="s">
        <v>13045</v>
      </c>
      <c r="G1847" s="12" t="s">
        <v>13046</v>
      </c>
      <c r="H1847" s="12" t="s">
        <v>6051</v>
      </c>
      <c r="I1847" s="12" t="s">
        <v>8176</v>
      </c>
      <c r="J1847" s="12">
        <v>18509</v>
      </c>
      <c r="K1847" s="12" t="s">
        <v>10565</v>
      </c>
      <c r="L1847" s="12" t="s">
        <v>6590</v>
      </c>
      <c r="M1847" s="13">
        <v>43035</v>
      </c>
      <c r="N1847" s="12" t="s">
        <v>10566</v>
      </c>
      <c r="O1847" s="12" t="s">
        <v>10567</v>
      </c>
      <c r="P1847" s="12"/>
      <c r="Q1847" s="12">
        <v>1</v>
      </c>
    </row>
    <row r="1848" spans="1:17" ht="15.75" customHeight="1">
      <c r="A1848" s="12">
        <v>1955</v>
      </c>
      <c r="B1848" s="12">
        <v>192</v>
      </c>
      <c r="C1848" s="12">
        <v>3111</v>
      </c>
      <c r="D1848" s="12" t="s">
        <v>6047</v>
      </c>
      <c r="E1848" s="12" t="s">
        <v>13047</v>
      </c>
      <c r="F1848" s="12" t="s">
        <v>13048</v>
      </c>
      <c r="G1848" s="12" t="s">
        <v>13049</v>
      </c>
      <c r="H1848" s="12" t="s">
        <v>7069</v>
      </c>
      <c r="I1848" s="12" t="s">
        <v>7070</v>
      </c>
      <c r="J1848" s="12">
        <v>3111</v>
      </c>
      <c r="K1848" s="12" t="s">
        <v>6548</v>
      </c>
      <c r="L1848" s="12" t="s">
        <v>6549</v>
      </c>
      <c r="M1848" s="13">
        <v>38580</v>
      </c>
      <c r="N1848" s="12" t="s">
        <v>6550</v>
      </c>
      <c r="O1848" s="12" t="s">
        <v>6551</v>
      </c>
      <c r="P1848" s="12"/>
      <c r="Q1848" s="12">
        <v>1</v>
      </c>
    </row>
    <row r="1849" spans="1:17" ht="15.75" customHeight="1">
      <c r="A1849" s="12">
        <v>991</v>
      </c>
      <c r="B1849" s="12">
        <v>1530</v>
      </c>
      <c r="C1849" s="12">
        <v>27117</v>
      </c>
      <c r="D1849" s="12" t="s">
        <v>6047</v>
      </c>
      <c r="E1849" s="12" t="s">
        <v>13050</v>
      </c>
      <c r="F1849" s="12" t="s">
        <v>13051</v>
      </c>
      <c r="G1849" s="12" t="s">
        <v>13052</v>
      </c>
      <c r="H1849" s="12" t="s">
        <v>6051</v>
      </c>
      <c r="I1849" s="12" t="s">
        <v>7563</v>
      </c>
      <c r="J1849" s="12">
        <v>27117</v>
      </c>
      <c r="K1849" s="12" t="s">
        <v>7108</v>
      </c>
      <c r="L1849" s="12" t="s">
        <v>6054</v>
      </c>
      <c r="M1849" s="13">
        <v>42694</v>
      </c>
      <c r="N1849" s="12" t="s">
        <v>7109</v>
      </c>
      <c r="O1849" s="12" t="s">
        <v>7327</v>
      </c>
      <c r="P1849" s="12"/>
      <c r="Q1849" s="12">
        <v>1</v>
      </c>
    </row>
    <row r="1850" spans="1:17" ht="15.75" customHeight="1">
      <c r="A1850" s="12">
        <v>232</v>
      </c>
      <c r="B1850" s="12">
        <v>740</v>
      </c>
      <c r="C1850" s="12">
        <v>9132</v>
      </c>
      <c r="D1850" s="12" t="s">
        <v>6047</v>
      </c>
      <c r="E1850" s="12" t="s">
        <v>13053</v>
      </c>
      <c r="F1850" s="12" t="s">
        <v>13054</v>
      </c>
      <c r="G1850" s="12" t="s">
        <v>13055</v>
      </c>
      <c r="H1850" s="12" t="s">
        <v>6275</v>
      </c>
      <c r="I1850" s="12" t="s">
        <v>6453</v>
      </c>
      <c r="J1850" s="12">
        <v>9132</v>
      </c>
      <c r="K1850" s="12" t="s">
        <v>6517</v>
      </c>
      <c r="L1850" s="12" t="s">
        <v>6518</v>
      </c>
      <c r="M1850" s="13">
        <v>45608</v>
      </c>
      <c r="N1850" s="12" t="s">
        <v>6519</v>
      </c>
      <c r="O1850" s="12" t="s">
        <v>6520</v>
      </c>
      <c r="P1850" s="12"/>
      <c r="Q1850" s="12">
        <v>1</v>
      </c>
    </row>
    <row r="1851" spans="1:17" ht="15.75" customHeight="1">
      <c r="A1851" s="12">
        <v>1436</v>
      </c>
      <c r="B1851" s="12">
        <v>1638</v>
      </c>
      <c r="C1851" s="12">
        <v>29225</v>
      </c>
      <c r="D1851" s="12" t="s">
        <v>6047</v>
      </c>
      <c r="E1851" s="12" t="s">
        <v>13056</v>
      </c>
      <c r="F1851" s="12" t="s">
        <v>13057</v>
      </c>
      <c r="G1851" s="12" t="s">
        <v>13058</v>
      </c>
      <c r="H1851" s="12" t="s">
        <v>6051</v>
      </c>
      <c r="I1851" s="12" t="s">
        <v>6111</v>
      </c>
      <c r="J1851" s="12">
        <v>29225</v>
      </c>
      <c r="K1851" s="12" t="s">
        <v>6069</v>
      </c>
      <c r="L1851" s="12" t="s">
        <v>6070</v>
      </c>
      <c r="M1851" s="13">
        <v>41908</v>
      </c>
      <c r="N1851" s="12" t="s">
        <v>6071</v>
      </c>
      <c r="O1851" s="12" t="s">
        <v>6901</v>
      </c>
      <c r="P1851" s="12"/>
      <c r="Q1851" s="12">
        <v>1</v>
      </c>
    </row>
    <row r="1852" spans="1:17" ht="15.75" customHeight="1">
      <c r="A1852" s="12">
        <v>1408</v>
      </c>
      <c r="B1852" s="12">
        <v>1635</v>
      </c>
      <c r="C1852" s="12">
        <v>28978</v>
      </c>
      <c r="D1852" s="12" t="s">
        <v>6047</v>
      </c>
      <c r="E1852" s="12" t="s">
        <v>5496</v>
      </c>
      <c r="F1852" s="12" t="s">
        <v>13059</v>
      </c>
      <c r="G1852" s="12" t="s">
        <v>13060</v>
      </c>
      <c r="H1852" s="12" t="s">
        <v>6051</v>
      </c>
      <c r="I1852" s="12" t="s">
        <v>6111</v>
      </c>
      <c r="J1852" s="12">
        <v>28978</v>
      </c>
      <c r="K1852" s="12" t="s">
        <v>6086</v>
      </c>
      <c r="L1852" s="12" t="s">
        <v>6087</v>
      </c>
      <c r="M1852" s="13">
        <v>41910</v>
      </c>
      <c r="N1852" s="12" t="s">
        <v>6088</v>
      </c>
      <c r="O1852" s="12" t="s">
        <v>6089</v>
      </c>
      <c r="P1852" s="12"/>
      <c r="Q1852" s="12">
        <v>1</v>
      </c>
    </row>
    <row r="1853" spans="1:17" ht="15.75" customHeight="1">
      <c r="A1853" s="12">
        <v>867</v>
      </c>
      <c r="B1853" s="12">
        <v>1296</v>
      </c>
      <c r="C1853" s="12">
        <v>18309</v>
      </c>
      <c r="D1853" s="12" t="s">
        <v>6047</v>
      </c>
      <c r="E1853" s="12" t="s">
        <v>13061</v>
      </c>
      <c r="F1853" s="12" t="s">
        <v>13062</v>
      </c>
      <c r="G1853" s="12" t="s">
        <v>13063</v>
      </c>
      <c r="H1853" s="12" t="s">
        <v>6051</v>
      </c>
      <c r="I1853" s="12" t="s">
        <v>7763</v>
      </c>
      <c r="J1853" s="12">
        <v>18309</v>
      </c>
      <c r="K1853" s="12" t="s">
        <v>6606</v>
      </c>
      <c r="L1853" s="12" t="s">
        <v>6564</v>
      </c>
      <c r="M1853" s="13">
        <v>43017</v>
      </c>
      <c r="N1853" s="12" t="s">
        <v>6607</v>
      </c>
      <c r="O1853" s="12" t="s">
        <v>6608</v>
      </c>
      <c r="P1853" s="12"/>
      <c r="Q1853" s="12">
        <v>1</v>
      </c>
    </row>
    <row r="1854" spans="1:17" ht="15.75" customHeight="1">
      <c r="A1854" s="12">
        <v>599</v>
      </c>
      <c r="B1854" s="12">
        <v>1073</v>
      </c>
      <c r="C1854" s="12">
        <v>15366</v>
      </c>
      <c r="D1854" s="12" t="s">
        <v>6047</v>
      </c>
      <c r="E1854" s="12" t="s">
        <v>13064</v>
      </c>
      <c r="F1854" s="12" t="s">
        <v>13065</v>
      </c>
      <c r="G1854" s="12" t="s">
        <v>13066</v>
      </c>
      <c r="H1854" s="12" t="s">
        <v>6051</v>
      </c>
      <c r="I1854" s="12" t="s">
        <v>6476</v>
      </c>
      <c r="J1854" s="12">
        <v>15366</v>
      </c>
      <c r="K1854" s="12" t="s">
        <v>6437</v>
      </c>
      <c r="L1854" s="12" t="s">
        <v>6408</v>
      </c>
      <c r="M1854" s="13">
        <v>43559</v>
      </c>
      <c r="N1854" s="12" t="s">
        <v>6438</v>
      </c>
      <c r="O1854" s="12" t="s">
        <v>6439</v>
      </c>
      <c r="P1854" s="12"/>
      <c r="Q1854" s="12">
        <v>1</v>
      </c>
    </row>
    <row r="1855" spans="1:17" ht="15.75" customHeight="1">
      <c r="A1855" s="12">
        <v>88</v>
      </c>
      <c r="B1855" s="12">
        <v>1243</v>
      </c>
      <c r="C1855" s="12">
        <v>17582</v>
      </c>
      <c r="D1855" s="12" t="s">
        <v>6047</v>
      </c>
      <c r="E1855" s="12" t="s">
        <v>5498</v>
      </c>
      <c r="F1855" s="12" t="s">
        <v>13067</v>
      </c>
      <c r="G1855" s="12" t="s">
        <v>13068</v>
      </c>
      <c r="H1855" s="12" t="s">
        <v>6051</v>
      </c>
      <c r="I1855" s="12" t="s">
        <v>7769</v>
      </c>
      <c r="J1855" s="12">
        <v>17582</v>
      </c>
      <c r="K1855" s="12" t="s">
        <v>13069</v>
      </c>
      <c r="L1855" s="12" t="s">
        <v>6590</v>
      </c>
      <c r="M1855" s="13">
        <v>45969</v>
      </c>
      <c r="N1855" s="12" t="s">
        <v>13070</v>
      </c>
      <c r="O1855" s="12" t="s">
        <v>13071</v>
      </c>
      <c r="P1855" s="12"/>
      <c r="Q1855" s="12">
        <v>1</v>
      </c>
    </row>
    <row r="1856" spans="1:17" ht="15.75" customHeight="1">
      <c r="A1856" s="12">
        <v>85</v>
      </c>
      <c r="B1856" s="12">
        <v>1352</v>
      </c>
      <c r="C1856" s="12">
        <v>19750</v>
      </c>
      <c r="D1856" s="12" t="s">
        <v>6047</v>
      </c>
      <c r="E1856" s="12" t="s">
        <v>5513</v>
      </c>
      <c r="F1856" s="12" t="s">
        <v>13072</v>
      </c>
      <c r="G1856" s="12" t="s">
        <v>13073</v>
      </c>
      <c r="H1856" s="12" t="s">
        <v>6051</v>
      </c>
      <c r="I1856" s="12" t="s">
        <v>6635</v>
      </c>
      <c r="J1856" s="12">
        <v>19750</v>
      </c>
      <c r="K1856" s="12" t="s">
        <v>8177</v>
      </c>
      <c r="L1856" s="12" t="s">
        <v>6590</v>
      </c>
      <c r="M1856" s="13">
        <v>45969</v>
      </c>
      <c r="N1856" s="12" t="s">
        <v>8178</v>
      </c>
      <c r="O1856" s="12" t="s">
        <v>8179</v>
      </c>
      <c r="P1856" s="12"/>
      <c r="Q1856" s="12">
        <v>1</v>
      </c>
    </row>
    <row r="1857" spans="1:17" ht="15.75" customHeight="1">
      <c r="A1857" s="12">
        <v>21</v>
      </c>
      <c r="B1857" s="12">
        <v>539</v>
      </c>
      <c r="C1857" s="12">
        <v>7000</v>
      </c>
      <c r="D1857" s="12" t="s">
        <v>6047</v>
      </c>
      <c r="E1857" s="12" t="s">
        <v>13074</v>
      </c>
      <c r="F1857" s="12" t="s">
        <v>13075</v>
      </c>
      <c r="G1857" s="12" t="s">
        <v>13076</v>
      </c>
      <c r="H1857" s="12" t="s">
        <v>7427</v>
      </c>
      <c r="I1857" s="12" t="s">
        <v>12921</v>
      </c>
      <c r="J1857" s="12">
        <v>7000</v>
      </c>
      <c r="K1857" s="12" t="s">
        <v>12033</v>
      </c>
      <c r="L1857" s="12" t="s">
        <v>6905</v>
      </c>
      <c r="M1857" s="13">
        <v>45979</v>
      </c>
      <c r="N1857" s="12" t="s">
        <v>12034</v>
      </c>
      <c r="O1857" s="12" t="s">
        <v>13077</v>
      </c>
      <c r="P1857" s="12"/>
      <c r="Q1857" s="12">
        <v>1</v>
      </c>
    </row>
    <row r="1858" spans="1:17" ht="15.75" customHeight="1">
      <c r="A1858" s="12">
        <v>1210</v>
      </c>
      <c r="B1858" s="12">
        <v>1574</v>
      </c>
      <c r="C1858" s="12">
        <v>27674</v>
      </c>
      <c r="D1858" s="12" t="s">
        <v>6047</v>
      </c>
      <c r="E1858" s="12" t="s">
        <v>13078</v>
      </c>
      <c r="F1858" s="12" t="s">
        <v>13079</v>
      </c>
      <c r="G1858" s="12" t="s">
        <v>13080</v>
      </c>
      <c r="H1858" s="12" t="s">
        <v>6051</v>
      </c>
      <c r="I1858" s="12" t="s">
        <v>6306</v>
      </c>
      <c r="J1858" s="12">
        <v>27674</v>
      </c>
      <c r="K1858" s="12" t="s">
        <v>6429</v>
      </c>
      <c r="L1858" s="12" t="s">
        <v>6423</v>
      </c>
      <c r="M1858" s="13">
        <v>41991</v>
      </c>
      <c r="N1858" s="12" t="s">
        <v>6430</v>
      </c>
      <c r="O1858" s="12" t="s">
        <v>6431</v>
      </c>
      <c r="P1858" s="12"/>
      <c r="Q1858" s="12">
        <v>1</v>
      </c>
    </row>
    <row r="1859" spans="1:17" ht="15.75" customHeight="1">
      <c r="A1859" s="12">
        <v>1178</v>
      </c>
      <c r="B1859" s="12">
        <v>1933</v>
      </c>
      <c r="C1859" s="12">
        <v>34661</v>
      </c>
      <c r="D1859" s="12" t="s">
        <v>6047</v>
      </c>
      <c r="E1859" s="12" t="s">
        <v>13081</v>
      </c>
      <c r="F1859" s="12" t="s">
        <v>13082</v>
      </c>
      <c r="G1859" s="12" t="s">
        <v>13083</v>
      </c>
      <c r="H1859" s="12" t="s">
        <v>6051</v>
      </c>
      <c r="I1859" s="12" t="s">
        <v>6700</v>
      </c>
      <c r="J1859" s="12">
        <v>34661</v>
      </c>
      <c r="K1859" s="12" t="s">
        <v>6429</v>
      </c>
      <c r="L1859" s="12" t="s">
        <v>6423</v>
      </c>
      <c r="M1859" s="13">
        <v>41992</v>
      </c>
      <c r="N1859" s="12" t="s">
        <v>6430</v>
      </c>
      <c r="O1859" s="12" t="s">
        <v>7083</v>
      </c>
      <c r="P1859" s="12"/>
      <c r="Q1859" s="12">
        <v>1</v>
      </c>
    </row>
    <row r="1860" spans="1:17" ht="15.75" customHeight="1">
      <c r="A1860" s="12">
        <v>833</v>
      </c>
      <c r="B1860" s="12">
        <v>1272</v>
      </c>
      <c r="C1860" s="12">
        <v>18108</v>
      </c>
      <c r="D1860" s="12" t="s">
        <v>6047</v>
      </c>
      <c r="E1860" s="12" t="s">
        <v>5522</v>
      </c>
      <c r="F1860" s="12" t="s">
        <v>13084</v>
      </c>
      <c r="G1860" s="12" t="s">
        <v>13085</v>
      </c>
      <c r="H1860" s="12" t="s">
        <v>6051</v>
      </c>
      <c r="I1860" s="12" t="s">
        <v>6857</v>
      </c>
      <c r="J1860" s="12">
        <v>18108</v>
      </c>
      <c r="K1860" s="12" t="s">
        <v>12374</v>
      </c>
      <c r="L1860" s="12" t="s">
        <v>6564</v>
      </c>
      <c r="M1860" s="13">
        <v>43022</v>
      </c>
      <c r="N1860" s="12" t="s">
        <v>12375</v>
      </c>
      <c r="O1860" s="12" t="s">
        <v>12376</v>
      </c>
      <c r="P1860" s="12"/>
      <c r="Q1860" s="12">
        <v>1</v>
      </c>
    </row>
    <row r="1861" spans="1:17" ht="15.75" customHeight="1">
      <c r="A1861" s="12">
        <v>709</v>
      </c>
      <c r="B1861" s="12">
        <v>45</v>
      </c>
      <c r="C1861" s="12">
        <v>585</v>
      </c>
      <c r="D1861" s="12" t="s">
        <v>6047</v>
      </c>
      <c r="E1861" s="12" t="s">
        <v>13086</v>
      </c>
      <c r="F1861" s="12" t="s">
        <v>13087</v>
      </c>
      <c r="G1861" s="12" t="s">
        <v>13088</v>
      </c>
      <c r="H1861" s="12" t="s">
        <v>6289</v>
      </c>
      <c r="I1861" s="12" t="s">
        <v>6290</v>
      </c>
      <c r="J1861" s="12">
        <v>585</v>
      </c>
      <c r="K1861" s="12" t="s">
        <v>8072</v>
      </c>
      <c r="L1861" s="12" t="s">
        <v>7254</v>
      </c>
      <c r="M1861" s="13">
        <v>43202</v>
      </c>
      <c r="N1861" s="12" t="s">
        <v>8073</v>
      </c>
      <c r="O1861" s="12" t="s">
        <v>8074</v>
      </c>
      <c r="P1861" s="12"/>
      <c r="Q1861" s="12">
        <v>1</v>
      </c>
    </row>
    <row r="1862" spans="1:17" ht="15.75" customHeight="1">
      <c r="A1862" s="12">
        <v>745</v>
      </c>
      <c r="B1862" s="12">
        <v>338</v>
      </c>
      <c r="C1862" s="12">
        <v>5160</v>
      </c>
      <c r="D1862" s="12" t="s">
        <v>6047</v>
      </c>
      <c r="E1862" s="12" t="s">
        <v>13089</v>
      </c>
      <c r="F1862" s="12" t="s">
        <v>13090</v>
      </c>
      <c r="G1862" s="12" t="s">
        <v>13091</v>
      </c>
      <c r="H1862" s="12" t="s">
        <v>6163</v>
      </c>
      <c r="I1862" s="12" t="s">
        <v>6253</v>
      </c>
      <c r="J1862" s="12">
        <v>5160</v>
      </c>
      <c r="K1862" s="12" t="s">
        <v>6838</v>
      </c>
      <c r="L1862" s="12" t="s">
        <v>6839</v>
      </c>
      <c r="M1862" s="13">
        <v>43196</v>
      </c>
      <c r="N1862" s="12" t="s">
        <v>6840</v>
      </c>
      <c r="O1862" s="12" t="s">
        <v>7536</v>
      </c>
      <c r="P1862" s="12"/>
      <c r="Q1862" s="12">
        <v>1</v>
      </c>
    </row>
    <row r="1863" spans="1:17" ht="15.75" customHeight="1">
      <c r="A1863" s="12">
        <v>1262</v>
      </c>
      <c r="B1863" s="12">
        <v>1075</v>
      </c>
      <c r="C1863" s="12">
        <v>15451</v>
      </c>
      <c r="D1863" s="12" t="s">
        <v>6047</v>
      </c>
      <c r="E1863" s="12" t="s">
        <v>13092</v>
      </c>
      <c r="F1863" s="12" t="s">
        <v>13093</v>
      </c>
      <c r="G1863" s="12" t="s">
        <v>13094</v>
      </c>
      <c r="H1863" s="12" t="s">
        <v>6051</v>
      </c>
      <c r="I1863" s="12" t="s">
        <v>6476</v>
      </c>
      <c r="J1863" s="12">
        <v>15451</v>
      </c>
      <c r="K1863" s="12" t="s">
        <v>6470</v>
      </c>
      <c r="L1863" s="12" t="s">
        <v>6423</v>
      </c>
      <c r="M1863" s="13">
        <v>41990</v>
      </c>
      <c r="N1863" s="12" t="s">
        <v>6471</v>
      </c>
      <c r="O1863" s="12" t="s">
        <v>6472</v>
      </c>
      <c r="P1863" s="12"/>
      <c r="Q1863" s="12">
        <v>1</v>
      </c>
    </row>
    <row r="1864" spans="1:17" ht="15.75" customHeight="1">
      <c r="A1864" s="12">
        <v>1682</v>
      </c>
      <c r="B1864" s="12">
        <v>1094</v>
      </c>
      <c r="C1864" s="12">
        <v>15764</v>
      </c>
      <c r="D1864" s="12" t="s">
        <v>6047</v>
      </c>
      <c r="E1864" s="12" t="s">
        <v>13095</v>
      </c>
      <c r="F1864" s="12" t="s">
        <v>13096</v>
      </c>
      <c r="G1864" s="12" t="s">
        <v>13097</v>
      </c>
      <c r="H1864" s="12" t="s">
        <v>6051</v>
      </c>
      <c r="I1864" s="12" t="s">
        <v>7511</v>
      </c>
      <c r="J1864" s="12">
        <v>15764</v>
      </c>
      <c r="K1864" s="12" t="s">
        <v>7260</v>
      </c>
      <c r="L1864" s="12" t="s">
        <v>7261</v>
      </c>
      <c r="M1864" s="13">
        <v>40879</v>
      </c>
      <c r="N1864" s="12" t="s">
        <v>7262</v>
      </c>
      <c r="O1864" s="12" t="s">
        <v>7263</v>
      </c>
      <c r="P1864" s="12"/>
      <c r="Q1864" s="12">
        <v>1</v>
      </c>
    </row>
    <row r="1865" spans="1:17" ht="15.75" customHeight="1">
      <c r="A1865" s="12">
        <v>1192</v>
      </c>
      <c r="B1865" s="12">
        <v>218</v>
      </c>
      <c r="C1865" s="12">
        <v>3843</v>
      </c>
      <c r="D1865" s="12" t="s">
        <v>6047</v>
      </c>
      <c r="E1865" s="12" t="s">
        <v>13098</v>
      </c>
      <c r="F1865" s="12" t="s">
        <v>13099</v>
      </c>
      <c r="G1865" s="12" t="s">
        <v>13100</v>
      </c>
      <c r="H1865" s="12" t="s">
        <v>6163</v>
      </c>
      <c r="I1865" s="12" t="s">
        <v>6164</v>
      </c>
      <c r="J1865" s="12">
        <v>3843</v>
      </c>
      <c r="K1865" s="12" t="s">
        <v>6429</v>
      </c>
      <c r="L1865" s="12" t="s">
        <v>6423</v>
      </c>
      <c r="M1865" s="13">
        <v>41992</v>
      </c>
      <c r="N1865" s="12" t="s">
        <v>6430</v>
      </c>
      <c r="O1865" s="12" t="s">
        <v>7083</v>
      </c>
      <c r="P1865" s="12"/>
      <c r="Q1865" s="12">
        <v>1</v>
      </c>
    </row>
    <row r="1866" spans="1:17" ht="15.75" customHeight="1">
      <c r="A1866" s="12">
        <v>618</v>
      </c>
      <c r="B1866" s="12">
        <v>1163</v>
      </c>
      <c r="C1866" s="12">
        <v>16712</v>
      </c>
      <c r="D1866" s="12" t="s">
        <v>6047</v>
      </c>
      <c r="E1866" s="12" t="s">
        <v>13101</v>
      </c>
      <c r="F1866" s="12" t="s">
        <v>13102</v>
      </c>
      <c r="G1866" s="12" t="s">
        <v>13103</v>
      </c>
      <c r="H1866" s="12" t="s">
        <v>6051</v>
      </c>
      <c r="I1866" s="12" t="s">
        <v>6052</v>
      </c>
      <c r="J1866" s="12">
        <v>16712</v>
      </c>
      <c r="K1866" s="12" t="s">
        <v>7160</v>
      </c>
      <c r="L1866" s="12" t="s">
        <v>6408</v>
      </c>
      <c r="M1866" s="13">
        <v>43558</v>
      </c>
      <c r="N1866" s="12" t="s">
        <v>7161</v>
      </c>
      <c r="O1866" s="12" t="s">
        <v>7384</v>
      </c>
      <c r="P1866" s="12"/>
      <c r="Q1866" s="12">
        <v>1</v>
      </c>
    </row>
    <row r="1867" spans="1:17" ht="15.75" customHeight="1">
      <c r="A1867" s="12">
        <v>1455</v>
      </c>
      <c r="B1867" s="12">
        <v>1363</v>
      </c>
      <c r="C1867" s="12">
        <v>19905</v>
      </c>
      <c r="D1867" s="12" t="s">
        <v>6047</v>
      </c>
      <c r="E1867" s="12" t="s">
        <v>5534</v>
      </c>
      <c r="F1867" s="12" t="s">
        <v>13104</v>
      </c>
      <c r="G1867" s="12" t="s">
        <v>13105</v>
      </c>
      <c r="H1867" s="12" t="s">
        <v>6051</v>
      </c>
      <c r="I1867" s="12" t="s">
        <v>6523</v>
      </c>
      <c r="J1867" s="12">
        <v>19905</v>
      </c>
      <c r="K1867" s="12" t="s">
        <v>6069</v>
      </c>
      <c r="L1867" s="12" t="s">
        <v>6070</v>
      </c>
      <c r="M1867" s="13">
        <v>41907</v>
      </c>
      <c r="N1867" s="12" t="s">
        <v>6071</v>
      </c>
      <c r="O1867" s="12" t="s">
        <v>6072</v>
      </c>
      <c r="P1867" s="12"/>
      <c r="Q1867" s="12">
        <v>1</v>
      </c>
    </row>
    <row r="1868" spans="1:17" ht="15.75" customHeight="1">
      <c r="A1868" s="12">
        <v>1467</v>
      </c>
      <c r="B1868" s="12">
        <v>408</v>
      </c>
      <c r="C1868" s="12">
        <v>5867</v>
      </c>
      <c r="D1868" s="12" t="s">
        <v>6047</v>
      </c>
      <c r="E1868" s="12" t="s">
        <v>5538</v>
      </c>
      <c r="F1868" s="12" t="s">
        <v>13106</v>
      </c>
      <c r="G1868" s="12" t="s">
        <v>13107</v>
      </c>
      <c r="H1868" s="12" t="s">
        <v>6137</v>
      </c>
      <c r="I1868" s="12" t="s">
        <v>6323</v>
      </c>
      <c r="J1868" s="12">
        <v>5867</v>
      </c>
      <c r="K1868" s="12" t="s">
        <v>6069</v>
      </c>
      <c r="L1868" s="12" t="s">
        <v>6070</v>
      </c>
      <c r="M1868" s="13">
        <v>41907</v>
      </c>
      <c r="N1868" s="12" t="s">
        <v>6071</v>
      </c>
      <c r="O1868" s="12" t="s">
        <v>6072</v>
      </c>
      <c r="P1868" s="12"/>
      <c r="Q1868" s="12">
        <v>1</v>
      </c>
    </row>
    <row r="1869" spans="1:17" ht="15.75" customHeight="1">
      <c r="A1869" s="12">
        <v>1820</v>
      </c>
      <c r="B1869" s="12">
        <v>952</v>
      </c>
      <c r="C1869" s="12">
        <v>12894</v>
      </c>
      <c r="D1869" s="12" t="s">
        <v>6047</v>
      </c>
      <c r="E1869" s="12" t="s">
        <v>13108</v>
      </c>
      <c r="F1869" s="12" t="s">
        <v>13109</v>
      </c>
      <c r="G1869" s="12" t="s">
        <v>13110</v>
      </c>
      <c r="H1869" s="12" t="s">
        <v>6627</v>
      </c>
      <c r="I1869" s="12" t="s">
        <v>7504</v>
      </c>
      <c r="J1869" s="12">
        <v>12894</v>
      </c>
      <c r="K1869" s="12" t="s">
        <v>6062</v>
      </c>
      <c r="L1869" s="12" t="s">
        <v>6063</v>
      </c>
      <c r="M1869" s="13">
        <v>40873</v>
      </c>
      <c r="N1869" s="12" t="s">
        <v>6064</v>
      </c>
      <c r="O1869" s="12" t="s">
        <v>6065</v>
      </c>
      <c r="P1869" s="12"/>
      <c r="Q1869" s="12">
        <v>1</v>
      </c>
    </row>
    <row r="1870" spans="1:17" ht="15.75" customHeight="1">
      <c r="A1870" s="12">
        <v>1441</v>
      </c>
      <c r="B1870" s="12">
        <v>1409</v>
      </c>
      <c r="C1870" s="12">
        <v>21168</v>
      </c>
      <c r="D1870" s="12" t="s">
        <v>6047</v>
      </c>
      <c r="E1870" s="12" t="s">
        <v>13111</v>
      </c>
      <c r="F1870" s="12" t="s">
        <v>13112</v>
      </c>
      <c r="G1870" s="12" t="s">
        <v>13113</v>
      </c>
      <c r="H1870" s="12" t="s">
        <v>6051</v>
      </c>
      <c r="I1870" s="12" t="s">
        <v>9376</v>
      </c>
      <c r="J1870" s="12">
        <v>21168</v>
      </c>
      <c r="K1870" s="12" t="s">
        <v>6069</v>
      </c>
      <c r="L1870" s="12" t="s">
        <v>6070</v>
      </c>
      <c r="M1870" s="13">
        <v>41908</v>
      </c>
      <c r="N1870" s="12" t="s">
        <v>6071</v>
      </c>
      <c r="O1870" s="12" t="s">
        <v>6901</v>
      </c>
      <c r="P1870" s="12"/>
      <c r="Q1870" s="12">
        <v>1</v>
      </c>
    </row>
    <row r="1871" spans="1:17" ht="15.75" customHeight="1">
      <c r="A1871" s="12">
        <v>1601</v>
      </c>
      <c r="B1871" s="12">
        <v>1782</v>
      </c>
      <c r="C1871" s="12">
        <v>33187</v>
      </c>
      <c r="D1871" s="12" t="s">
        <v>6047</v>
      </c>
      <c r="E1871" s="12" t="s">
        <v>5536</v>
      </c>
      <c r="F1871" s="12" t="s">
        <v>13114</v>
      </c>
      <c r="G1871" s="12" t="s">
        <v>13115</v>
      </c>
      <c r="H1871" s="12" t="s">
        <v>6051</v>
      </c>
      <c r="I1871" s="12" t="s">
        <v>6374</v>
      </c>
      <c r="J1871" s="12">
        <v>33187</v>
      </c>
      <c r="K1871" s="12" t="s">
        <v>6300</v>
      </c>
      <c r="L1871" s="12" t="s">
        <v>6240</v>
      </c>
      <c r="M1871" s="13">
        <v>41396</v>
      </c>
      <c r="N1871" s="12" t="s">
        <v>6301</v>
      </c>
      <c r="O1871" s="12" t="s">
        <v>6302</v>
      </c>
      <c r="P1871" s="12"/>
      <c r="Q1871" s="12">
        <v>1</v>
      </c>
    </row>
    <row r="1872" spans="1:17" ht="15.75" customHeight="1">
      <c r="A1872" s="12">
        <v>1365</v>
      </c>
      <c r="B1872" s="12">
        <v>836</v>
      </c>
      <c r="C1872" s="12">
        <v>10567</v>
      </c>
      <c r="D1872" s="12" t="s">
        <v>6047</v>
      </c>
      <c r="E1872" s="12" t="s">
        <v>5553</v>
      </c>
      <c r="F1872" s="12" t="s">
        <v>13116</v>
      </c>
      <c r="G1872" s="12" t="s">
        <v>13117</v>
      </c>
      <c r="H1872" s="12" t="s">
        <v>6060</v>
      </c>
      <c r="I1872" s="12" t="s">
        <v>7183</v>
      </c>
      <c r="J1872" s="12">
        <v>10567</v>
      </c>
      <c r="K1872" s="12" t="s">
        <v>6077</v>
      </c>
      <c r="L1872" s="12" t="s">
        <v>6078</v>
      </c>
      <c r="M1872" s="13">
        <v>41915</v>
      </c>
      <c r="N1872" s="12" t="s">
        <v>6079</v>
      </c>
      <c r="O1872" s="12" t="s">
        <v>7172</v>
      </c>
      <c r="P1872" s="12"/>
      <c r="Q1872" s="12">
        <v>1</v>
      </c>
    </row>
    <row r="1873" spans="1:17" ht="15.75" customHeight="1">
      <c r="A1873" s="12">
        <v>931</v>
      </c>
      <c r="B1873" s="12">
        <v>1998</v>
      </c>
      <c r="C1873" s="12">
        <v>35244</v>
      </c>
      <c r="D1873" s="12" t="s">
        <v>6047</v>
      </c>
      <c r="E1873" s="12" t="s">
        <v>13118</v>
      </c>
      <c r="F1873" s="12" t="s">
        <v>13119</v>
      </c>
      <c r="G1873" s="12" t="s">
        <v>13120</v>
      </c>
      <c r="H1873" s="12" t="s">
        <v>6051</v>
      </c>
      <c r="I1873" s="12" t="s">
        <v>6700</v>
      </c>
      <c r="J1873" s="12">
        <v>35244</v>
      </c>
      <c r="K1873" s="12" t="s">
        <v>6752</v>
      </c>
      <c r="L1873" s="12" t="s">
        <v>6753</v>
      </c>
      <c r="M1873" s="13">
        <v>42828</v>
      </c>
      <c r="N1873" s="12" t="s">
        <v>6754</v>
      </c>
      <c r="O1873" s="12" t="s">
        <v>6891</v>
      </c>
      <c r="P1873" s="12"/>
      <c r="Q1873" s="12">
        <v>1</v>
      </c>
    </row>
    <row r="1874" spans="1:17" ht="15.75" customHeight="1">
      <c r="A1874" s="12">
        <v>346</v>
      </c>
      <c r="B1874" s="12">
        <v>1794</v>
      </c>
      <c r="C1874" s="12">
        <v>33358</v>
      </c>
      <c r="D1874" s="12" t="s">
        <v>6047</v>
      </c>
      <c r="E1874" s="12" t="s">
        <v>13121</v>
      </c>
      <c r="F1874" s="12" t="s">
        <v>13122</v>
      </c>
      <c r="G1874" s="12" t="s">
        <v>13123</v>
      </c>
      <c r="H1874" s="12" t="s">
        <v>6051</v>
      </c>
      <c r="I1874" s="12" t="s">
        <v>6374</v>
      </c>
      <c r="J1874" s="12">
        <v>33358</v>
      </c>
      <c r="K1874" s="12" t="s">
        <v>7926</v>
      </c>
      <c r="L1874" s="12" t="s">
        <v>6732</v>
      </c>
      <c r="M1874" s="13">
        <v>44724</v>
      </c>
      <c r="N1874" s="12" t="s">
        <v>7927</v>
      </c>
      <c r="O1874" s="12" t="s">
        <v>7928</v>
      </c>
      <c r="P1874" s="12"/>
      <c r="Q1874" s="12">
        <v>1</v>
      </c>
    </row>
    <row r="1875" spans="1:17" ht="15.75" customHeight="1">
      <c r="A1875" s="12">
        <v>93</v>
      </c>
      <c r="B1875" s="12">
        <v>1273</v>
      </c>
      <c r="C1875" s="12">
        <v>18113</v>
      </c>
      <c r="D1875" s="12" t="s">
        <v>6047</v>
      </c>
      <c r="E1875" s="12" t="s">
        <v>13124</v>
      </c>
      <c r="F1875" s="12" t="s">
        <v>13125</v>
      </c>
      <c r="G1875" s="12" t="s">
        <v>13126</v>
      </c>
      <c r="H1875" s="12" t="s">
        <v>6051</v>
      </c>
      <c r="I1875" s="12" t="s">
        <v>6857</v>
      </c>
      <c r="J1875" s="12">
        <v>18113</v>
      </c>
      <c r="K1875" s="12" t="s">
        <v>9191</v>
      </c>
      <c r="L1875" s="12" t="s">
        <v>6590</v>
      </c>
      <c r="M1875" s="13">
        <v>45968</v>
      </c>
      <c r="N1875" s="12" t="s">
        <v>9192</v>
      </c>
      <c r="O1875" s="12" t="s">
        <v>9193</v>
      </c>
      <c r="P1875" s="12"/>
      <c r="Q1875" s="12">
        <v>1</v>
      </c>
    </row>
    <row r="1876" spans="1:17" ht="15.75" customHeight="1">
      <c r="A1876" s="12">
        <v>1800</v>
      </c>
      <c r="B1876" s="12">
        <v>1330</v>
      </c>
      <c r="C1876" s="12">
        <v>19165</v>
      </c>
      <c r="D1876" s="12" t="s">
        <v>6047</v>
      </c>
      <c r="E1876" s="12" t="s">
        <v>13127</v>
      </c>
      <c r="F1876" s="12" t="s">
        <v>13128</v>
      </c>
      <c r="G1876" s="12" t="s">
        <v>13129</v>
      </c>
      <c r="H1876" s="12" t="s">
        <v>6051</v>
      </c>
      <c r="I1876" s="12" t="s">
        <v>7090</v>
      </c>
      <c r="J1876" s="12">
        <v>19165</v>
      </c>
      <c r="K1876" s="12" t="s">
        <v>6062</v>
      </c>
      <c r="L1876" s="12" t="s">
        <v>6063</v>
      </c>
      <c r="M1876" s="13">
        <v>40873</v>
      </c>
      <c r="N1876" s="12" t="s">
        <v>6064</v>
      </c>
      <c r="O1876" s="12" t="s">
        <v>6065</v>
      </c>
      <c r="P1876" s="12"/>
      <c r="Q1876" s="12">
        <v>1</v>
      </c>
    </row>
    <row r="1877" spans="1:17" ht="15.75" customHeight="1">
      <c r="A1877" s="12">
        <v>847</v>
      </c>
      <c r="B1877" s="12">
        <v>609</v>
      </c>
      <c r="C1877" s="12">
        <v>7661</v>
      </c>
      <c r="D1877" s="12" t="s">
        <v>6047</v>
      </c>
      <c r="E1877" s="12" t="s">
        <v>13130</v>
      </c>
      <c r="F1877" s="12" t="s">
        <v>13131</v>
      </c>
      <c r="G1877" s="12" t="s">
        <v>13132</v>
      </c>
      <c r="H1877" s="12" t="s">
        <v>6187</v>
      </c>
      <c r="I1877" s="12" t="s">
        <v>6224</v>
      </c>
      <c r="J1877" s="12">
        <v>7661</v>
      </c>
      <c r="K1877" s="12" t="s">
        <v>11135</v>
      </c>
      <c r="L1877" s="12" t="s">
        <v>6564</v>
      </c>
      <c r="M1877" s="13">
        <v>43020</v>
      </c>
      <c r="N1877" s="12" t="s">
        <v>11136</v>
      </c>
      <c r="O1877" s="12" t="s">
        <v>11137</v>
      </c>
      <c r="P1877" s="12"/>
      <c r="Q1877" s="12">
        <v>1</v>
      </c>
    </row>
    <row r="1878" spans="1:17" ht="15.75" customHeight="1">
      <c r="A1878" s="12">
        <v>1549</v>
      </c>
      <c r="B1878" s="12">
        <v>576</v>
      </c>
      <c r="C1878" s="12">
        <v>7468</v>
      </c>
      <c r="D1878" s="12" t="s">
        <v>6047</v>
      </c>
      <c r="E1878" s="12" t="s">
        <v>5569</v>
      </c>
      <c r="F1878" s="12" t="s">
        <v>13133</v>
      </c>
      <c r="G1878" s="12" t="s">
        <v>13134</v>
      </c>
      <c r="H1878" s="12" t="s">
        <v>6187</v>
      </c>
      <c r="I1878" s="12" t="s">
        <v>6188</v>
      </c>
      <c r="J1878" s="12">
        <v>7468</v>
      </c>
      <c r="K1878" s="12" t="s">
        <v>7914</v>
      </c>
      <c r="L1878" s="12" t="s">
        <v>6255</v>
      </c>
      <c r="M1878" s="13">
        <v>41563</v>
      </c>
      <c r="N1878" s="12" t="s">
        <v>7915</v>
      </c>
      <c r="O1878" s="12" t="s">
        <v>7916</v>
      </c>
      <c r="P1878" s="12"/>
      <c r="Q1878" s="12">
        <v>1</v>
      </c>
    </row>
    <row r="1879" spans="1:17" ht="15.75" customHeight="1">
      <c r="A1879" s="12">
        <v>1404</v>
      </c>
      <c r="B1879" s="12">
        <v>7</v>
      </c>
      <c r="C1879" s="12">
        <v>240</v>
      </c>
      <c r="D1879" s="12" t="s">
        <v>6047</v>
      </c>
      <c r="E1879" s="12" t="s">
        <v>13135</v>
      </c>
      <c r="F1879" s="12" t="s">
        <v>13136</v>
      </c>
      <c r="G1879" s="12" t="s">
        <v>13137</v>
      </c>
      <c r="H1879" s="12" t="s">
        <v>6289</v>
      </c>
      <c r="I1879" s="12" t="s">
        <v>6290</v>
      </c>
      <c r="J1879" s="12">
        <v>240</v>
      </c>
      <c r="K1879" s="12" t="s">
        <v>8044</v>
      </c>
      <c r="L1879" s="12" t="s">
        <v>6087</v>
      </c>
      <c r="M1879" s="13">
        <v>41911</v>
      </c>
      <c r="N1879" s="12" t="s">
        <v>8045</v>
      </c>
      <c r="O1879" s="12" t="s">
        <v>8046</v>
      </c>
      <c r="P1879" s="12"/>
      <c r="Q1879" s="12">
        <v>1</v>
      </c>
    </row>
    <row r="1880" spans="1:17" ht="15.75" customHeight="1">
      <c r="A1880" s="12">
        <v>1091</v>
      </c>
      <c r="B1880" s="12">
        <v>998</v>
      </c>
      <c r="C1880" s="12">
        <v>13731</v>
      </c>
      <c r="D1880" s="12" t="s">
        <v>6047</v>
      </c>
      <c r="E1880" s="12" t="s">
        <v>13138</v>
      </c>
      <c r="F1880" s="12" t="s">
        <v>13139</v>
      </c>
      <c r="G1880" s="12" t="s">
        <v>13140</v>
      </c>
      <c r="H1880" s="12" t="s">
        <v>6051</v>
      </c>
      <c r="I1880" s="12" t="s">
        <v>6741</v>
      </c>
      <c r="J1880" s="12">
        <v>13731</v>
      </c>
      <c r="K1880" s="12" t="s">
        <v>7166</v>
      </c>
      <c r="L1880" s="12" t="s">
        <v>6504</v>
      </c>
      <c r="M1880" s="13">
        <v>42685</v>
      </c>
      <c r="N1880" s="12" t="s">
        <v>7167</v>
      </c>
      <c r="O1880" s="12" t="s">
        <v>7168</v>
      </c>
      <c r="P1880" s="12"/>
      <c r="Q1880" s="12">
        <v>1</v>
      </c>
    </row>
    <row r="1881" spans="1:17" ht="15.75" customHeight="1">
      <c r="A1881" s="12">
        <v>1818</v>
      </c>
      <c r="B1881" s="12">
        <v>958</v>
      </c>
      <c r="C1881" s="12">
        <v>12943</v>
      </c>
      <c r="D1881" s="12" t="s">
        <v>6047</v>
      </c>
      <c r="E1881" s="12" t="s">
        <v>13141</v>
      </c>
      <c r="F1881" s="12" t="s">
        <v>13142</v>
      </c>
      <c r="G1881" s="12" t="s">
        <v>13143</v>
      </c>
      <c r="H1881" s="12" t="s">
        <v>6627</v>
      </c>
      <c r="I1881" s="12" t="s">
        <v>7504</v>
      </c>
      <c r="J1881" s="12">
        <v>12943</v>
      </c>
      <c r="K1881" s="12" t="s">
        <v>6062</v>
      </c>
      <c r="L1881" s="12" t="s">
        <v>6063</v>
      </c>
      <c r="M1881" s="13">
        <v>40873</v>
      </c>
      <c r="N1881" s="12" t="s">
        <v>6064</v>
      </c>
      <c r="O1881" s="12" t="s">
        <v>6065</v>
      </c>
      <c r="P1881" s="12"/>
      <c r="Q1881" s="12">
        <v>1</v>
      </c>
    </row>
    <row r="1882" spans="1:17" ht="15.75" customHeight="1">
      <c r="A1882" s="12">
        <v>1414</v>
      </c>
      <c r="B1882" s="12">
        <v>780</v>
      </c>
      <c r="C1882" s="12">
        <v>9780</v>
      </c>
      <c r="D1882" s="12" t="s">
        <v>6047</v>
      </c>
      <c r="E1882" s="12" t="s">
        <v>13144</v>
      </c>
      <c r="F1882" s="12" t="s">
        <v>13145</v>
      </c>
      <c r="G1882" s="12" t="s">
        <v>13146</v>
      </c>
      <c r="H1882" s="12" t="s">
        <v>6265</v>
      </c>
      <c r="I1882" s="12" t="s">
        <v>8292</v>
      </c>
      <c r="J1882" s="12">
        <v>9780</v>
      </c>
      <c r="K1882" s="12" t="s">
        <v>6086</v>
      </c>
      <c r="L1882" s="12" t="s">
        <v>6087</v>
      </c>
      <c r="M1882" s="13">
        <v>41910</v>
      </c>
      <c r="N1882" s="12" t="s">
        <v>6088</v>
      </c>
      <c r="O1882" s="12" t="s">
        <v>6089</v>
      </c>
      <c r="P1882" s="12"/>
      <c r="Q1882" s="12">
        <v>1</v>
      </c>
    </row>
    <row r="1883" spans="1:17" ht="15.75" customHeight="1">
      <c r="A1883" s="12">
        <v>782</v>
      </c>
      <c r="B1883" s="12">
        <v>1269</v>
      </c>
      <c r="C1883" s="12">
        <v>17915</v>
      </c>
      <c r="D1883" s="12" t="s">
        <v>6047</v>
      </c>
      <c r="E1883" s="12" t="s">
        <v>13147</v>
      </c>
      <c r="F1883" s="12" t="s">
        <v>13148</v>
      </c>
      <c r="G1883" s="12" t="s">
        <v>13149</v>
      </c>
      <c r="H1883" s="12" t="s">
        <v>6051</v>
      </c>
      <c r="I1883" s="12" t="s">
        <v>6857</v>
      </c>
      <c r="J1883" s="12">
        <v>17915</v>
      </c>
      <c r="K1883" s="12" t="s">
        <v>7283</v>
      </c>
      <c r="L1883" s="12" t="s">
        <v>6590</v>
      </c>
      <c r="M1883" s="13">
        <v>43034</v>
      </c>
      <c r="N1883" s="12" t="s">
        <v>7284</v>
      </c>
      <c r="O1883" s="12" t="s">
        <v>7285</v>
      </c>
      <c r="P1883" s="12"/>
      <c r="Q1883" s="12">
        <v>1</v>
      </c>
    </row>
    <row r="1884" spans="1:17" ht="15.75" customHeight="1">
      <c r="A1884" s="12">
        <v>94</v>
      </c>
      <c r="B1884" s="12">
        <v>1254</v>
      </c>
      <c r="C1884" s="12">
        <v>17786</v>
      </c>
      <c r="D1884" s="12" t="s">
        <v>6047</v>
      </c>
      <c r="E1884" s="12" t="s">
        <v>5587</v>
      </c>
      <c r="F1884" s="12" t="s">
        <v>13150</v>
      </c>
      <c r="G1884" s="12" t="s">
        <v>13151</v>
      </c>
      <c r="H1884" s="12" t="s">
        <v>6051</v>
      </c>
      <c r="I1884" s="12" t="s">
        <v>6857</v>
      </c>
      <c r="J1884" s="12">
        <v>17786</v>
      </c>
      <c r="K1884" s="12" t="s">
        <v>9191</v>
      </c>
      <c r="L1884" s="12" t="s">
        <v>6590</v>
      </c>
      <c r="M1884" s="13">
        <v>45968</v>
      </c>
      <c r="N1884" s="12" t="s">
        <v>9192</v>
      </c>
      <c r="O1884" s="12" t="s">
        <v>9193</v>
      </c>
      <c r="P1884" s="12"/>
      <c r="Q1884" s="12">
        <v>1</v>
      </c>
    </row>
    <row r="1885" spans="1:17" ht="15.75" customHeight="1">
      <c r="A1885" s="12">
        <v>924</v>
      </c>
      <c r="B1885" s="12">
        <v>830</v>
      </c>
      <c r="C1885" s="12">
        <v>10461</v>
      </c>
      <c r="D1885" s="12" t="s">
        <v>6047</v>
      </c>
      <c r="E1885" s="12" t="s">
        <v>13152</v>
      </c>
      <c r="F1885" s="12" t="s">
        <v>13153</v>
      </c>
      <c r="G1885" s="12" t="s">
        <v>13154</v>
      </c>
      <c r="H1885" s="12" t="s">
        <v>6060</v>
      </c>
      <c r="I1885" s="12" t="s">
        <v>6795</v>
      </c>
      <c r="J1885" s="12">
        <v>10461</v>
      </c>
      <c r="K1885" s="12" t="s">
        <v>7209</v>
      </c>
      <c r="L1885" s="12" t="s">
        <v>6955</v>
      </c>
      <c r="M1885" s="13">
        <v>42829</v>
      </c>
      <c r="N1885" s="12" t="s">
        <v>7210</v>
      </c>
      <c r="O1885" s="12" t="s">
        <v>7211</v>
      </c>
      <c r="P1885" s="12"/>
      <c r="Q1885" s="12">
        <v>1</v>
      </c>
    </row>
    <row r="1886" spans="1:17" ht="15.75" customHeight="1">
      <c r="A1886" s="12">
        <v>1370</v>
      </c>
      <c r="B1886" s="12">
        <v>419</v>
      </c>
      <c r="C1886" s="12">
        <v>5948</v>
      </c>
      <c r="D1886" s="12" t="s">
        <v>6047</v>
      </c>
      <c r="E1886" s="12" t="s">
        <v>13155</v>
      </c>
      <c r="F1886" s="12" t="s">
        <v>13156</v>
      </c>
      <c r="G1886" s="12" t="s">
        <v>13157</v>
      </c>
      <c r="H1886" s="12" t="s">
        <v>6137</v>
      </c>
      <c r="I1886" s="12" t="s">
        <v>6323</v>
      </c>
      <c r="J1886" s="12">
        <v>5948</v>
      </c>
      <c r="K1886" s="12" t="s">
        <v>6077</v>
      </c>
      <c r="L1886" s="12" t="s">
        <v>6078</v>
      </c>
      <c r="M1886" s="13">
        <v>41915</v>
      </c>
      <c r="N1886" s="12" t="s">
        <v>6079</v>
      </c>
      <c r="O1886" s="12" t="s">
        <v>7172</v>
      </c>
      <c r="P1886" s="12"/>
      <c r="Q1886" s="12">
        <v>1</v>
      </c>
    </row>
    <row r="1887" spans="1:17" ht="15.75" customHeight="1">
      <c r="A1887" s="12">
        <v>1946</v>
      </c>
      <c r="B1887" s="12">
        <v>1663</v>
      </c>
      <c r="C1887" s="12">
        <v>30709</v>
      </c>
      <c r="D1887" s="12" t="s">
        <v>6047</v>
      </c>
      <c r="E1887" s="12" t="s">
        <v>13158</v>
      </c>
      <c r="F1887" s="12" t="s">
        <v>13159</v>
      </c>
      <c r="G1887" s="12" t="s">
        <v>13160</v>
      </c>
      <c r="H1887" s="12" t="s">
        <v>6051</v>
      </c>
      <c r="I1887" s="12" t="s">
        <v>6100</v>
      </c>
      <c r="J1887" s="12">
        <v>30709</v>
      </c>
      <c r="K1887" s="12" t="s">
        <v>6548</v>
      </c>
      <c r="L1887" s="12" t="s">
        <v>6549</v>
      </c>
      <c r="M1887" s="13">
        <v>38580</v>
      </c>
      <c r="N1887" s="12" t="s">
        <v>6550</v>
      </c>
      <c r="O1887" s="12" t="s">
        <v>6551</v>
      </c>
      <c r="P1887" s="12"/>
      <c r="Q1887" s="12">
        <v>1</v>
      </c>
    </row>
    <row r="1888" spans="1:17" ht="15.75" customHeight="1">
      <c r="A1888" s="12">
        <v>722</v>
      </c>
      <c r="B1888" s="12">
        <v>1202</v>
      </c>
      <c r="C1888" s="12">
        <v>17159</v>
      </c>
      <c r="D1888" s="12" t="s">
        <v>6047</v>
      </c>
      <c r="E1888" s="12" t="s">
        <v>5594</v>
      </c>
      <c r="F1888" s="12" t="s">
        <v>13161</v>
      </c>
      <c r="G1888" s="12" t="s">
        <v>13162</v>
      </c>
      <c r="H1888" s="12" t="s">
        <v>6051</v>
      </c>
      <c r="I1888" s="12" t="s">
        <v>6052</v>
      </c>
      <c r="J1888" s="12">
        <v>17159</v>
      </c>
      <c r="K1888" s="12" t="s">
        <v>7193</v>
      </c>
      <c r="L1888" s="12" t="s">
        <v>7194</v>
      </c>
      <c r="M1888" s="13">
        <v>43199</v>
      </c>
      <c r="N1888" s="12" t="s">
        <v>7195</v>
      </c>
      <c r="O1888" s="12" t="s">
        <v>7196</v>
      </c>
      <c r="P1888" s="12"/>
      <c r="Q1888" s="12">
        <v>1</v>
      </c>
    </row>
    <row r="1889" spans="1:17" ht="15.75" customHeight="1">
      <c r="A1889" s="12">
        <v>246</v>
      </c>
      <c r="B1889" s="12">
        <v>1377</v>
      </c>
      <c r="C1889" s="12">
        <v>20001</v>
      </c>
      <c r="D1889" s="12" t="s">
        <v>6047</v>
      </c>
      <c r="E1889" s="12" t="s">
        <v>13163</v>
      </c>
      <c r="F1889" s="12" t="s">
        <v>13164</v>
      </c>
      <c r="G1889" s="12" t="s">
        <v>13165</v>
      </c>
      <c r="H1889" s="12" t="s">
        <v>6051</v>
      </c>
      <c r="I1889" s="12" t="s">
        <v>6523</v>
      </c>
      <c r="J1889" s="12">
        <v>20001</v>
      </c>
      <c r="K1889" s="12" t="s">
        <v>9834</v>
      </c>
      <c r="L1889" s="12" t="s">
        <v>7739</v>
      </c>
      <c r="M1889" s="13">
        <v>45606</v>
      </c>
      <c r="N1889" s="12" t="s">
        <v>9835</v>
      </c>
      <c r="O1889" s="12" t="s">
        <v>10700</v>
      </c>
      <c r="P1889" s="12"/>
      <c r="Q1889" s="12">
        <v>1</v>
      </c>
    </row>
    <row r="1890" spans="1:17" ht="15.75" customHeight="1">
      <c r="A1890" s="12">
        <v>916</v>
      </c>
      <c r="B1890" s="12">
        <v>1546</v>
      </c>
      <c r="C1890" s="12">
        <v>27380</v>
      </c>
      <c r="D1890" s="12" t="s">
        <v>6047</v>
      </c>
      <c r="E1890" s="12" t="s">
        <v>13166</v>
      </c>
      <c r="F1890" s="12" t="s">
        <v>13167</v>
      </c>
      <c r="G1890" s="12" t="s">
        <v>13168</v>
      </c>
      <c r="H1890" s="12" t="s">
        <v>6051</v>
      </c>
      <c r="I1890" s="12" t="s">
        <v>6704</v>
      </c>
      <c r="J1890" s="12">
        <v>27380</v>
      </c>
      <c r="K1890" s="12" t="s">
        <v>10902</v>
      </c>
      <c r="L1890" s="12" t="s">
        <v>6955</v>
      </c>
      <c r="M1890" s="13">
        <v>42830</v>
      </c>
      <c r="N1890" s="12" t="s">
        <v>10903</v>
      </c>
      <c r="O1890" s="12" t="s">
        <v>10904</v>
      </c>
      <c r="P1890" s="12"/>
      <c r="Q1890" s="12">
        <v>1</v>
      </c>
    </row>
    <row r="1891" spans="1:17" ht="15.75" customHeight="1">
      <c r="A1891" s="12">
        <v>976</v>
      </c>
      <c r="B1891" s="12">
        <v>1941</v>
      </c>
      <c r="C1891" s="12">
        <v>34777</v>
      </c>
      <c r="D1891" s="12" t="s">
        <v>6047</v>
      </c>
      <c r="E1891" s="12" t="s">
        <v>13169</v>
      </c>
      <c r="F1891" s="12" t="s">
        <v>13170</v>
      </c>
      <c r="G1891" s="12" t="s">
        <v>13171</v>
      </c>
      <c r="H1891" s="12" t="s">
        <v>6051</v>
      </c>
      <c r="I1891" s="12" t="s">
        <v>6700</v>
      </c>
      <c r="J1891" s="12">
        <v>34777</v>
      </c>
      <c r="K1891" s="12" t="s">
        <v>7376</v>
      </c>
      <c r="L1891" s="12" t="s">
        <v>6054</v>
      </c>
      <c r="M1891" s="13">
        <v>42697</v>
      </c>
      <c r="N1891" s="12" t="s">
        <v>7377</v>
      </c>
      <c r="O1891" s="12" t="s">
        <v>12460</v>
      </c>
      <c r="P1891" s="12"/>
      <c r="Q1891" s="12">
        <v>1</v>
      </c>
    </row>
    <row r="1892" spans="1:17" ht="15.75" customHeight="1">
      <c r="A1892" s="12">
        <v>181</v>
      </c>
      <c r="B1892" s="12">
        <v>1901</v>
      </c>
      <c r="C1892" s="12">
        <v>34330</v>
      </c>
      <c r="D1892" s="12" t="s">
        <v>6047</v>
      </c>
      <c r="E1892" s="12" t="s">
        <v>13172</v>
      </c>
      <c r="F1892" s="12" t="s">
        <v>13173</v>
      </c>
      <c r="G1892" s="12" t="s">
        <v>13174</v>
      </c>
      <c r="H1892" s="12" t="s">
        <v>6051</v>
      </c>
      <c r="I1892" s="12" t="s">
        <v>6362</v>
      </c>
      <c r="J1892" s="12">
        <v>34330</v>
      </c>
      <c r="K1892" s="12" t="s">
        <v>8503</v>
      </c>
      <c r="L1892" s="12" t="s">
        <v>6709</v>
      </c>
      <c r="M1892" s="13">
        <v>45752</v>
      </c>
      <c r="N1892" s="12" t="s">
        <v>8504</v>
      </c>
      <c r="O1892" s="12" t="s">
        <v>8694</v>
      </c>
      <c r="P1892" s="12"/>
      <c r="Q1892" s="12">
        <v>1</v>
      </c>
    </row>
    <row r="1893" spans="1:17" ht="15.75" customHeight="1">
      <c r="A1893" s="12">
        <v>1181</v>
      </c>
      <c r="B1893" s="12">
        <v>1799</v>
      </c>
      <c r="C1893" s="12">
        <v>33436</v>
      </c>
      <c r="D1893" s="12" t="s">
        <v>6047</v>
      </c>
      <c r="E1893" s="12" t="s">
        <v>13175</v>
      </c>
      <c r="F1893" s="12" t="s">
        <v>13176</v>
      </c>
      <c r="G1893" s="12" t="s">
        <v>13177</v>
      </c>
      <c r="H1893" s="12" t="s">
        <v>6051</v>
      </c>
      <c r="I1893" s="12" t="s">
        <v>6374</v>
      </c>
      <c r="J1893" s="12">
        <v>33436</v>
      </c>
      <c r="K1893" s="12" t="s">
        <v>6429</v>
      </c>
      <c r="L1893" s="12" t="s">
        <v>6423</v>
      </c>
      <c r="M1893" s="13">
        <v>41992</v>
      </c>
      <c r="N1893" s="12" t="s">
        <v>6430</v>
      </c>
      <c r="O1893" s="12" t="s">
        <v>7083</v>
      </c>
      <c r="P1893" s="12"/>
      <c r="Q1893" s="12">
        <v>1</v>
      </c>
    </row>
    <row r="1894" spans="1:17" ht="15.75" customHeight="1">
      <c r="A1894" s="12">
        <v>849</v>
      </c>
      <c r="B1894" s="12">
        <v>1276</v>
      </c>
      <c r="C1894" s="12">
        <v>18130</v>
      </c>
      <c r="D1894" s="12" t="s">
        <v>6047</v>
      </c>
      <c r="E1894" s="12" t="s">
        <v>13178</v>
      </c>
      <c r="F1894" s="12" t="s">
        <v>13179</v>
      </c>
      <c r="G1894" s="12" t="s">
        <v>13180</v>
      </c>
      <c r="H1894" s="12" t="s">
        <v>6051</v>
      </c>
      <c r="I1894" s="12" t="s">
        <v>6857</v>
      </c>
      <c r="J1894" s="12">
        <v>18130</v>
      </c>
      <c r="K1894" s="12" t="s">
        <v>6660</v>
      </c>
      <c r="L1894" s="12" t="s">
        <v>6564</v>
      </c>
      <c r="M1894" s="13">
        <v>43019</v>
      </c>
      <c r="N1894" s="12" t="s">
        <v>6661</v>
      </c>
      <c r="O1894" s="12" t="s">
        <v>13181</v>
      </c>
      <c r="P1894" s="12"/>
      <c r="Q1894" s="12">
        <v>1</v>
      </c>
    </row>
    <row r="1895" spans="1:17" ht="15.75" customHeight="1">
      <c r="A1895" s="12">
        <v>1691</v>
      </c>
      <c r="B1895" s="12">
        <v>230</v>
      </c>
      <c r="C1895" s="12">
        <v>4227</v>
      </c>
      <c r="D1895" s="12" t="s">
        <v>6047</v>
      </c>
      <c r="E1895" s="12" t="s">
        <v>13182</v>
      </c>
      <c r="F1895" s="12" t="s">
        <v>13183</v>
      </c>
      <c r="G1895" s="12" t="s">
        <v>13184</v>
      </c>
      <c r="H1895" s="12" t="s">
        <v>6163</v>
      </c>
      <c r="I1895" s="12" t="s">
        <v>6253</v>
      </c>
      <c r="J1895" s="12">
        <v>4227</v>
      </c>
      <c r="K1895" s="12" t="s">
        <v>7260</v>
      </c>
      <c r="L1895" s="12" t="s">
        <v>7261</v>
      </c>
      <c r="M1895" s="13">
        <v>40879</v>
      </c>
      <c r="N1895" s="12" t="s">
        <v>7262</v>
      </c>
      <c r="O1895" s="12" t="s">
        <v>7263</v>
      </c>
      <c r="P1895" s="12"/>
      <c r="Q1895" s="12">
        <v>1</v>
      </c>
    </row>
    <row r="1896" spans="1:17" ht="15.75" customHeight="1">
      <c r="A1896" s="12">
        <v>967</v>
      </c>
      <c r="B1896" s="12">
        <v>822</v>
      </c>
      <c r="C1896" s="12">
        <v>10377</v>
      </c>
      <c r="D1896" s="12" t="s">
        <v>6047</v>
      </c>
      <c r="E1896" s="12" t="s">
        <v>13185</v>
      </c>
      <c r="F1896" s="12" t="s">
        <v>13186</v>
      </c>
      <c r="G1896" s="12" t="s">
        <v>13187</v>
      </c>
      <c r="H1896" s="12" t="s">
        <v>6060</v>
      </c>
      <c r="I1896" s="12" t="s">
        <v>6795</v>
      </c>
      <c r="J1896" s="12">
        <v>10377</v>
      </c>
      <c r="K1896" s="12" t="s">
        <v>8272</v>
      </c>
      <c r="L1896" s="12" t="s">
        <v>6357</v>
      </c>
      <c r="M1896" s="13">
        <v>42825</v>
      </c>
      <c r="N1896" s="12" t="s">
        <v>8273</v>
      </c>
      <c r="O1896" s="12" t="s">
        <v>8274</v>
      </c>
      <c r="P1896" s="12"/>
      <c r="Q1896" s="12">
        <v>1</v>
      </c>
    </row>
    <row r="1897" spans="1:17" ht="15.75" customHeight="1">
      <c r="A1897" s="12">
        <v>693</v>
      </c>
      <c r="B1897" s="12">
        <v>1626</v>
      </c>
      <c r="C1897" s="12">
        <v>28735</v>
      </c>
      <c r="D1897" s="12" t="s">
        <v>6047</v>
      </c>
      <c r="E1897" s="12" t="s">
        <v>13188</v>
      </c>
      <c r="F1897" s="12" t="s">
        <v>13189</v>
      </c>
      <c r="G1897" s="12" t="s">
        <v>13190</v>
      </c>
      <c r="H1897" s="12" t="s">
        <v>6051</v>
      </c>
      <c r="I1897" s="12" t="s">
        <v>6366</v>
      </c>
      <c r="J1897" s="12">
        <v>28735</v>
      </c>
      <c r="K1897" s="12" t="s">
        <v>7512</v>
      </c>
      <c r="L1897" s="12" t="s">
        <v>7254</v>
      </c>
      <c r="M1897" s="13">
        <v>43204</v>
      </c>
      <c r="N1897" s="12" t="s">
        <v>7513</v>
      </c>
      <c r="O1897" s="12" t="s">
        <v>7514</v>
      </c>
      <c r="P1897" s="12"/>
      <c r="Q1897" s="12">
        <v>1</v>
      </c>
    </row>
    <row r="1898" spans="1:17" ht="15.75" customHeight="1">
      <c r="A1898" s="12">
        <v>776</v>
      </c>
      <c r="B1898" s="12">
        <v>1266</v>
      </c>
      <c r="C1898" s="12">
        <v>17884</v>
      </c>
      <c r="D1898" s="12" t="s">
        <v>6047</v>
      </c>
      <c r="E1898" s="12" t="s">
        <v>13191</v>
      </c>
      <c r="F1898" s="12" t="s">
        <v>13192</v>
      </c>
      <c r="G1898" s="12" t="s">
        <v>13193</v>
      </c>
      <c r="H1898" s="12" t="s">
        <v>6051</v>
      </c>
      <c r="I1898" s="12" t="s">
        <v>6857</v>
      </c>
      <c r="J1898" s="12">
        <v>17884</v>
      </c>
      <c r="K1898" s="12" t="s">
        <v>7283</v>
      </c>
      <c r="L1898" s="12" t="s">
        <v>6590</v>
      </c>
      <c r="M1898" s="13">
        <v>43035</v>
      </c>
      <c r="N1898" s="12" t="s">
        <v>7284</v>
      </c>
      <c r="O1898" s="12" t="s">
        <v>13194</v>
      </c>
      <c r="P1898" s="12"/>
      <c r="Q1898" s="12">
        <v>1</v>
      </c>
    </row>
    <row r="1899" spans="1:17" ht="15.75" customHeight="1">
      <c r="A1899" s="12">
        <v>1928</v>
      </c>
      <c r="B1899" s="12">
        <v>171</v>
      </c>
      <c r="C1899" s="12">
        <v>2954</v>
      </c>
      <c r="D1899" s="12" t="s">
        <v>6047</v>
      </c>
      <c r="E1899" s="12" t="s">
        <v>13195</v>
      </c>
      <c r="F1899" s="12" t="s">
        <v>13196</v>
      </c>
      <c r="G1899" s="12" t="s">
        <v>13197</v>
      </c>
      <c r="H1899" s="12" t="s">
        <v>9951</v>
      </c>
      <c r="I1899" s="12" t="s">
        <v>9952</v>
      </c>
      <c r="J1899" s="12">
        <v>2954</v>
      </c>
      <c r="K1899" s="12" t="s">
        <v>7476</v>
      </c>
      <c r="L1899" s="12" t="s">
        <v>7477</v>
      </c>
      <c r="M1899" s="13">
        <v>39237</v>
      </c>
      <c r="N1899" s="12" t="s">
        <v>7478</v>
      </c>
      <c r="O1899" s="12" t="s">
        <v>7479</v>
      </c>
      <c r="P1899" s="12"/>
      <c r="Q1899" s="12">
        <v>1</v>
      </c>
    </row>
    <row r="1900" spans="1:17" ht="15.75" customHeight="1">
      <c r="A1900" s="12">
        <v>1073</v>
      </c>
      <c r="B1900" s="12">
        <v>1092</v>
      </c>
      <c r="C1900" s="12">
        <v>15718</v>
      </c>
      <c r="D1900" s="12" t="s">
        <v>6047</v>
      </c>
      <c r="E1900" s="12" t="s">
        <v>13198</v>
      </c>
      <c r="F1900" s="12" t="s">
        <v>13199</v>
      </c>
      <c r="G1900" s="12" t="s">
        <v>13200</v>
      </c>
      <c r="H1900" s="12" t="s">
        <v>6051</v>
      </c>
      <c r="I1900" s="12" t="s">
        <v>7511</v>
      </c>
      <c r="J1900" s="12">
        <v>15718</v>
      </c>
      <c r="K1900" s="12" t="s">
        <v>6927</v>
      </c>
      <c r="L1900" s="12" t="s">
        <v>6504</v>
      </c>
      <c r="M1900" s="13">
        <v>42686</v>
      </c>
      <c r="N1900" s="12" t="s">
        <v>6928</v>
      </c>
      <c r="O1900" s="12" t="s">
        <v>6929</v>
      </c>
      <c r="P1900" s="12"/>
      <c r="Q1900" s="12">
        <v>1</v>
      </c>
    </row>
    <row r="1901" spans="1:17" ht="15.75" customHeight="1">
      <c r="A1901" s="12">
        <v>178</v>
      </c>
      <c r="B1901" s="12">
        <v>705</v>
      </c>
      <c r="C1901" s="12">
        <v>8448</v>
      </c>
      <c r="D1901" s="12" t="s">
        <v>6047</v>
      </c>
      <c r="E1901" s="12" t="s">
        <v>13201</v>
      </c>
      <c r="F1901" s="12" t="s">
        <v>13202</v>
      </c>
      <c r="G1901" s="12" t="s">
        <v>13203</v>
      </c>
      <c r="H1901" s="12" t="s">
        <v>6075</v>
      </c>
      <c r="I1901" s="12" t="s">
        <v>6076</v>
      </c>
      <c r="J1901" s="12">
        <v>8448</v>
      </c>
      <c r="K1901" s="12" t="s">
        <v>7145</v>
      </c>
      <c r="L1901" s="12" t="s">
        <v>6709</v>
      </c>
      <c r="M1901" s="13">
        <v>45753</v>
      </c>
      <c r="N1901" s="12" t="s">
        <v>7146</v>
      </c>
      <c r="O1901" s="12" t="s">
        <v>7147</v>
      </c>
      <c r="P1901" s="12"/>
      <c r="Q1901" s="12">
        <v>1</v>
      </c>
    </row>
    <row r="1902" spans="1:17" ht="15.75" customHeight="1">
      <c r="A1902" s="12">
        <v>895</v>
      </c>
      <c r="B1902" s="12">
        <v>460</v>
      </c>
      <c r="C1902" s="12">
        <v>6221</v>
      </c>
      <c r="D1902" s="12" t="s">
        <v>6047</v>
      </c>
      <c r="E1902" s="12" t="s">
        <v>13204</v>
      </c>
      <c r="F1902" s="12" t="s">
        <v>13205</v>
      </c>
      <c r="G1902" s="12" t="s">
        <v>13206</v>
      </c>
      <c r="H1902" s="12" t="s">
        <v>6137</v>
      </c>
      <c r="I1902" s="12" t="s">
        <v>6391</v>
      </c>
      <c r="J1902" s="12">
        <v>6221</v>
      </c>
      <c r="K1902" s="12" t="s">
        <v>6324</v>
      </c>
      <c r="L1902" s="12" t="s">
        <v>6240</v>
      </c>
      <c r="M1902" s="13">
        <v>42866</v>
      </c>
      <c r="N1902" s="12" t="s">
        <v>6325</v>
      </c>
      <c r="O1902" s="12" t="s">
        <v>13207</v>
      </c>
      <c r="P1902" s="12"/>
      <c r="Q1902" s="12">
        <v>1</v>
      </c>
    </row>
    <row r="1903" spans="1:17" ht="15.75" customHeight="1">
      <c r="A1903" s="12">
        <v>1948</v>
      </c>
      <c r="B1903" s="12">
        <v>1408</v>
      </c>
      <c r="C1903" s="12">
        <v>21167</v>
      </c>
      <c r="D1903" s="12" t="s">
        <v>6047</v>
      </c>
      <c r="E1903" s="12" t="s">
        <v>13208</v>
      </c>
      <c r="F1903" s="12" t="s">
        <v>13209</v>
      </c>
      <c r="G1903" s="12" t="s">
        <v>13210</v>
      </c>
      <c r="H1903" s="12" t="s">
        <v>6051</v>
      </c>
      <c r="I1903" s="12" t="s">
        <v>9376</v>
      </c>
      <c r="J1903" s="12">
        <v>21167</v>
      </c>
      <c r="K1903" s="12" t="s">
        <v>6548</v>
      </c>
      <c r="L1903" s="12" t="s">
        <v>6549</v>
      </c>
      <c r="M1903" s="13">
        <v>38580</v>
      </c>
      <c r="N1903" s="12" t="s">
        <v>6550</v>
      </c>
      <c r="O1903" s="12" t="s">
        <v>6551</v>
      </c>
      <c r="P1903" s="12"/>
      <c r="Q1903" s="12">
        <v>1</v>
      </c>
    </row>
    <row r="1904" spans="1:17" ht="15.75" customHeight="1">
      <c r="A1904" s="12">
        <v>1004</v>
      </c>
      <c r="B1904" s="12">
        <v>1939</v>
      </c>
      <c r="C1904" s="12">
        <v>34761</v>
      </c>
      <c r="D1904" s="12" t="s">
        <v>6047</v>
      </c>
      <c r="E1904" s="12" t="s">
        <v>13211</v>
      </c>
      <c r="F1904" s="12" t="s">
        <v>13212</v>
      </c>
      <c r="G1904" s="12" t="s">
        <v>13213</v>
      </c>
      <c r="H1904" s="12" t="s">
        <v>6051</v>
      </c>
      <c r="I1904" s="12" t="s">
        <v>6700</v>
      </c>
      <c r="J1904" s="12">
        <v>34761</v>
      </c>
      <c r="K1904" s="12" t="s">
        <v>7063</v>
      </c>
      <c r="L1904" s="12" t="s">
        <v>6054</v>
      </c>
      <c r="M1904" s="13">
        <v>42692</v>
      </c>
      <c r="N1904" s="12" t="s">
        <v>7064</v>
      </c>
      <c r="O1904" s="12" t="s">
        <v>7065</v>
      </c>
      <c r="P1904" s="12"/>
      <c r="Q1904" s="12">
        <v>1</v>
      </c>
    </row>
    <row r="1905" spans="1:17" ht="15.75" customHeight="1">
      <c r="A1905" s="12">
        <v>1196</v>
      </c>
      <c r="B1905" s="12">
        <v>2003</v>
      </c>
      <c r="C1905" s="12">
        <v>35291</v>
      </c>
      <c r="D1905" s="12" t="s">
        <v>6047</v>
      </c>
      <c r="E1905" s="12" t="s">
        <v>13214</v>
      </c>
      <c r="F1905" s="12" t="s">
        <v>13215</v>
      </c>
      <c r="G1905" s="12" t="s">
        <v>13216</v>
      </c>
      <c r="H1905" s="12" t="s">
        <v>6051</v>
      </c>
      <c r="I1905" s="12" t="s">
        <v>6700</v>
      </c>
      <c r="J1905" s="12">
        <v>35291</v>
      </c>
      <c r="K1905" s="12" t="s">
        <v>6429</v>
      </c>
      <c r="L1905" s="12" t="s">
        <v>6423</v>
      </c>
      <c r="M1905" s="13">
        <v>41991</v>
      </c>
      <c r="N1905" s="12" t="s">
        <v>6430</v>
      </c>
      <c r="O1905" s="12" t="s">
        <v>6431</v>
      </c>
      <c r="P1905" s="12"/>
      <c r="Q1905" s="12">
        <v>1</v>
      </c>
    </row>
    <row r="1906" spans="1:17" ht="15.75" customHeight="1">
      <c r="A1906" s="12">
        <v>1835</v>
      </c>
      <c r="B1906" s="12">
        <v>706</v>
      </c>
      <c r="C1906" s="12">
        <v>8449</v>
      </c>
      <c r="D1906" s="12" t="s">
        <v>6047</v>
      </c>
      <c r="E1906" s="12" t="s">
        <v>13217</v>
      </c>
      <c r="F1906" s="12" t="s">
        <v>13218</v>
      </c>
      <c r="G1906" s="12" t="s">
        <v>13219</v>
      </c>
      <c r="H1906" s="12" t="s">
        <v>6075</v>
      </c>
      <c r="I1906" s="12" t="s">
        <v>6076</v>
      </c>
      <c r="J1906" s="12">
        <v>8449</v>
      </c>
      <c r="K1906" s="12" t="s">
        <v>6062</v>
      </c>
      <c r="L1906" s="12" t="s">
        <v>6063</v>
      </c>
      <c r="M1906" s="13">
        <v>40873</v>
      </c>
      <c r="N1906" s="12" t="s">
        <v>6064</v>
      </c>
      <c r="O1906" s="12" t="s">
        <v>6065</v>
      </c>
      <c r="P1906" s="12"/>
      <c r="Q1906" s="12">
        <v>1</v>
      </c>
    </row>
    <row r="1907" spans="1:17" ht="15.75" customHeight="1">
      <c r="A1907" s="12">
        <v>1839</v>
      </c>
      <c r="B1907" s="12">
        <v>641</v>
      </c>
      <c r="C1907" s="12">
        <v>7843</v>
      </c>
      <c r="D1907" s="12" t="s">
        <v>6047</v>
      </c>
      <c r="E1907" s="12" t="s">
        <v>13220</v>
      </c>
      <c r="F1907" s="12" t="s">
        <v>13221</v>
      </c>
      <c r="G1907" s="12" t="s">
        <v>13222</v>
      </c>
      <c r="H1907" s="12" t="s">
        <v>6075</v>
      </c>
      <c r="I1907" s="12" t="s">
        <v>6076</v>
      </c>
      <c r="J1907" s="12">
        <v>7843</v>
      </c>
      <c r="K1907" s="12" t="s">
        <v>6062</v>
      </c>
      <c r="L1907" s="12" t="s">
        <v>6063</v>
      </c>
      <c r="M1907" s="13">
        <v>40873</v>
      </c>
      <c r="N1907" s="12" t="s">
        <v>6064</v>
      </c>
      <c r="O1907" s="12" t="s">
        <v>6065</v>
      </c>
      <c r="P1907" s="12"/>
      <c r="Q1907" s="12">
        <v>1</v>
      </c>
    </row>
    <row r="1908" spans="1:17" ht="15.75" customHeight="1">
      <c r="A1908" s="12">
        <v>706</v>
      </c>
      <c r="B1908" s="12">
        <v>209</v>
      </c>
      <c r="C1908" s="12">
        <v>3560</v>
      </c>
      <c r="D1908" s="12" t="s">
        <v>6047</v>
      </c>
      <c r="E1908" s="12" t="s">
        <v>13223</v>
      </c>
      <c r="F1908" s="12" t="s">
        <v>13224</v>
      </c>
      <c r="G1908" s="12" t="s">
        <v>13225</v>
      </c>
      <c r="H1908" s="12" t="s">
        <v>6718</v>
      </c>
      <c r="I1908" s="12" t="s">
        <v>6719</v>
      </c>
      <c r="J1908" s="12">
        <v>3560</v>
      </c>
      <c r="K1908" s="12" t="s">
        <v>7253</v>
      </c>
      <c r="L1908" s="12" t="s">
        <v>7254</v>
      </c>
      <c r="M1908" s="13">
        <v>43202</v>
      </c>
      <c r="N1908" s="12" t="s">
        <v>7255</v>
      </c>
      <c r="O1908" s="12" t="s">
        <v>7256</v>
      </c>
      <c r="P1908" s="12"/>
      <c r="Q1908" s="12">
        <v>1</v>
      </c>
    </row>
    <row r="1909" spans="1:17" ht="15.75" customHeight="1">
      <c r="A1909" s="12">
        <v>697</v>
      </c>
      <c r="B1909" s="12">
        <v>317</v>
      </c>
      <c r="C1909" s="12">
        <v>4962</v>
      </c>
      <c r="D1909" s="12" t="s">
        <v>6047</v>
      </c>
      <c r="E1909" s="12" t="s">
        <v>13226</v>
      </c>
      <c r="F1909" s="12" t="s">
        <v>13227</v>
      </c>
      <c r="G1909" s="12" t="s">
        <v>13228</v>
      </c>
      <c r="H1909" s="12" t="s">
        <v>6163</v>
      </c>
      <c r="I1909" s="12" t="s">
        <v>6253</v>
      </c>
      <c r="J1909" s="12">
        <v>4962</v>
      </c>
      <c r="K1909" s="12" t="s">
        <v>7512</v>
      </c>
      <c r="L1909" s="12" t="s">
        <v>7254</v>
      </c>
      <c r="M1909" s="13">
        <v>43204</v>
      </c>
      <c r="N1909" s="12" t="s">
        <v>7513</v>
      </c>
      <c r="O1909" s="12" t="s">
        <v>13229</v>
      </c>
      <c r="P1909" s="12"/>
      <c r="Q1909" s="12">
        <v>1</v>
      </c>
    </row>
    <row r="1910" spans="1:17" ht="15.75" customHeight="1">
      <c r="A1910" s="12">
        <v>1905</v>
      </c>
      <c r="B1910" s="12">
        <v>1361</v>
      </c>
      <c r="C1910" s="12">
        <v>19833</v>
      </c>
      <c r="D1910" s="12" t="s">
        <v>6047</v>
      </c>
      <c r="E1910" s="12" t="s">
        <v>13230</v>
      </c>
      <c r="F1910" s="12" t="s">
        <v>13231</v>
      </c>
      <c r="G1910" s="12" t="s">
        <v>13232</v>
      </c>
      <c r="H1910" s="12" t="s">
        <v>6051</v>
      </c>
      <c r="I1910" s="12" t="s">
        <v>8213</v>
      </c>
      <c r="J1910" s="12">
        <v>19833</v>
      </c>
      <c r="K1910" s="12" t="s">
        <v>6120</v>
      </c>
      <c r="L1910" s="12" t="s">
        <v>6121</v>
      </c>
      <c r="M1910" s="13">
        <v>39245</v>
      </c>
      <c r="N1910" s="12" t="s">
        <v>6122</v>
      </c>
      <c r="O1910" s="12" t="s">
        <v>6123</v>
      </c>
      <c r="P1910" s="12"/>
      <c r="Q1910" s="12">
        <v>1</v>
      </c>
    </row>
    <row r="1911" spans="1:17" ht="15.75" customHeight="1">
      <c r="A1911" s="12">
        <v>167</v>
      </c>
      <c r="B1911" s="12">
        <v>275</v>
      </c>
      <c r="C1911" s="12">
        <v>4646</v>
      </c>
      <c r="D1911" s="12" t="s">
        <v>6047</v>
      </c>
      <c r="E1911" s="12" t="s">
        <v>13233</v>
      </c>
      <c r="F1911" s="12" t="s">
        <v>13234</v>
      </c>
      <c r="G1911" s="12" t="s">
        <v>13235</v>
      </c>
      <c r="H1911" s="12" t="s">
        <v>6163</v>
      </c>
      <c r="I1911" s="12" t="s">
        <v>6253</v>
      </c>
      <c r="J1911" s="12">
        <v>4646</v>
      </c>
      <c r="K1911" s="12" t="s">
        <v>11796</v>
      </c>
      <c r="L1911" s="12" t="s">
        <v>6709</v>
      </c>
      <c r="M1911" s="13">
        <v>45753</v>
      </c>
      <c r="N1911" s="12" t="s">
        <v>11797</v>
      </c>
      <c r="O1911" s="12" t="s">
        <v>11798</v>
      </c>
      <c r="P1911" s="12"/>
      <c r="Q1911" s="12">
        <v>1</v>
      </c>
    </row>
    <row r="1912" spans="1:17" ht="15.75" customHeight="1">
      <c r="A1912" s="12">
        <v>1024</v>
      </c>
      <c r="B1912" s="12">
        <v>761</v>
      </c>
      <c r="C1912" s="12">
        <v>9540</v>
      </c>
      <c r="D1912" s="12" t="s">
        <v>6047</v>
      </c>
      <c r="E1912" s="12" t="s">
        <v>13236</v>
      </c>
      <c r="F1912" s="12" t="s">
        <v>13237</v>
      </c>
      <c r="G1912" s="12" t="s">
        <v>13238</v>
      </c>
      <c r="H1912" s="12" t="s">
        <v>7330</v>
      </c>
      <c r="I1912" s="12" t="s">
        <v>7331</v>
      </c>
      <c r="J1912" s="12">
        <v>9540</v>
      </c>
      <c r="K1912" s="12" t="s">
        <v>6875</v>
      </c>
      <c r="L1912" s="12" t="s">
        <v>6357</v>
      </c>
      <c r="M1912" s="13">
        <v>42691</v>
      </c>
      <c r="N1912" s="12" t="s">
        <v>6876</v>
      </c>
      <c r="O1912" s="12" t="s">
        <v>6877</v>
      </c>
      <c r="P1912" s="12"/>
      <c r="Q1912" s="12">
        <v>1</v>
      </c>
    </row>
    <row r="1913" spans="1:17" ht="15.75" customHeight="1">
      <c r="A1913" s="12">
        <v>652</v>
      </c>
      <c r="B1913" s="12">
        <v>530</v>
      </c>
      <c r="C1913" s="12">
        <v>6908</v>
      </c>
      <c r="D1913" s="12" t="s">
        <v>6047</v>
      </c>
      <c r="E1913" s="12" t="s">
        <v>13239</v>
      </c>
      <c r="F1913" s="12" t="s">
        <v>13240</v>
      </c>
      <c r="G1913" s="12" t="s">
        <v>13241</v>
      </c>
      <c r="H1913" s="12" t="s">
        <v>11388</v>
      </c>
      <c r="I1913" s="12" t="s">
        <v>11389</v>
      </c>
      <c r="J1913" s="12">
        <v>6908</v>
      </c>
      <c r="K1913" s="12" t="s">
        <v>6491</v>
      </c>
      <c r="L1913" s="12" t="s">
        <v>6193</v>
      </c>
      <c r="M1913" s="13">
        <v>43404</v>
      </c>
      <c r="N1913" s="12" t="s">
        <v>6492</v>
      </c>
      <c r="O1913" s="12" t="s">
        <v>6493</v>
      </c>
      <c r="P1913" s="12"/>
      <c r="Q1913" s="12">
        <v>1</v>
      </c>
    </row>
    <row r="1914" spans="1:17" ht="15.75" customHeight="1">
      <c r="A1914" s="12">
        <v>1185</v>
      </c>
      <c r="B1914" s="12">
        <v>1154</v>
      </c>
      <c r="C1914" s="12">
        <v>16576</v>
      </c>
      <c r="D1914" s="12" t="s">
        <v>6047</v>
      </c>
      <c r="E1914" s="12" t="s">
        <v>13242</v>
      </c>
      <c r="F1914" s="12" t="s">
        <v>13243</v>
      </c>
      <c r="G1914" s="12" t="s">
        <v>13244</v>
      </c>
      <c r="H1914" s="12" t="s">
        <v>6051</v>
      </c>
      <c r="I1914" s="12" t="s">
        <v>6052</v>
      </c>
      <c r="J1914" s="12">
        <v>16576</v>
      </c>
      <c r="K1914" s="12" t="s">
        <v>6429</v>
      </c>
      <c r="L1914" s="12" t="s">
        <v>6423</v>
      </c>
      <c r="M1914" s="13">
        <v>41992</v>
      </c>
      <c r="N1914" s="12" t="s">
        <v>6430</v>
      </c>
      <c r="O1914" s="12" t="s">
        <v>7083</v>
      </c>
      <c r="P1914" s="12"/>
      <c r="Q1914" s="12">
        <v>1</v>
      </c>
    </row>
    <row r="1915" spans="1:17" ht="15.75" customHeight="1">
      <c r="A1915" s="12">
        <v>539</v>
      </c>
      <c r="B1915" s="12">
        <v>1495</v>
      </c>
      <c r="C1915" s="12">
        <v>24123</v>
      </c>
      <c r="D1915" s="12" t="s">
        <v>6047</v>
      </c>
      <c r="E1915" s="12" t="s">
        <v>13245</v>
      </c>
      <c r="F1915" s="12" t="s">
        <v>13246</v>
      </c>
      <c r="G1915" s="12" t="s">
        <v>13247</v>
      </c>
      <c r="H1915" s="12" t="s">
        <v>6051</v>
      </c>
      <c r="I1915" s="12" t="s">
        <v>6738</v>
      </c>
      <c r="J1915" s="12">
        <v>24123</v>
      </c>
      <c r="K1915" s="12" t="s">
        <v>12085</v>
      </c>
      <c r="L1915" s="12" t="s">
        <v>6408</v>
      </c>
      <c r="M1915" s="13">
        <v>43564</v>
      </c>
      <c r="N1915" s="12" t="s">
        <v>12086</v>
      </c>
      <c r="O1915" s="12" t="s">
        <v>12087</v>
      </c>
      <c r="P1915" s="12"/>
      <c r="Q1915" s="12">
        <v>1</v>
      </c>
    </row>
    <row r="1916" spans="1:17" ht="15.75" customHeight="1">
      <c r="A1916" s="12">
        <v>982</v>
      </c>
      <c r="B1916" s="12">
        <v>373</v>
      </c>
      <c r="C1916" s="12">
        <v>5643</v>
      </c>
      <c r="D1916" s="12" t="s">
        <v>6047</v>
      </c>
      <c r="E1916" s="12" t="s">
        <v>13248</v>
      </c>
      <c r="F1916" s="12" t="s">
        <v>13249</v>
      </c>
      <c r="G1916" s="12" t="s">
        <v>13250</v>
      </c>
      <c r="H1916" s="12" t="s">
        <v>6213</v>
      </c>
      <c r="I1916" s="12" t="s">
        <v>6214</v>
      </c>
      <c r="J1916" s="12">
        <v>5643</v>
      </c>
      <c r="K1916" s="12" t="s">
        <v>6356</v>
      </c>
      <c r="L1916" s="12" t="s">
        <v>6357</v>
      </c>
      <c r="M1916" s="13">
        <v>42697</v>
      </c>
      <c r="N1916" s="12" t="s">
        <v>6358</v>
      </c>
      <c r="O1916" s="12" t="s">
        <v>6359</v>
      </c>
      <c r="P1916" s="12"/>
      <c r="Q1916" s="12">
        <v>1</v>
      </c>
    </row>
    <row r="1917" spans="1:17" ht="15.75" customHeight="1">
      <c r="A1917" s="12">
        <v>1247</v>
      </c>
      <c r="B1917" s="12">
        <v>240</v>
      </c>
      <c r="C1917" s="12">
        <v>4343</v>
      </c>
      <c r="D1917" s="12" t="s">
        <v>6047</v>
      </c>
      <c r="E1917" s="12" t="s">
        <v>13251</v>
      </c>
      <c r="F1917" s="12" t="s">
        <v>13252</v>
      </c>
      <c r="G1917" s="12" t="s">
        <v>13253</v>
      </c>
      <c r="H1917" s="12" t="s">
        <v>6163</v>
      </c>
      <c r="I1917" s="12" t="s">
        <v>6253</v>
      </c>
      <c r="J1917" s="12">
        <v>4343</v>
      </c>
      <c r="K1917" s="12" t="s">
        <v>6429</v>
      </c>
      <c r="L1917" s="12" t="s">
        <v>6423</v>
      </c>
      <c r="M1917" s="13">
        <v>41991</v>
      </c>
      <c r="N1917" s="12" t="s">
        <v>6430</v>
      </c>
      <c r="O1917" s="12" t="s">
        <v>6431</v>
      </c>
      <c r="P1917" s="12"/>
      <c r="Q1917" s="12">
        <v>1</v>
      </c>
    </row>
    <row r="1918" spans="1:17" ht="15.75" customHeight="1">
      <c r="A1918" s="12">
        <v>60</v>
      </c>
      <c r="B1918" s="12">
        <v>1308</v>
      </c>
      <c r="C1918" s="12">
        <v>18466</v>
      </c>
      <c r="D1918" s="12" t="s">
        <v>6047</v>
      </c>
      <c r="E1918" s="12" t="s">
        <v>5672</v>
      </c>
      <c r="F1918" s="12" t="s">
        <v>13254</v>
      </c>
      <c r="G1918" s="12" t="s">
        <v>13255</v>
      </c>
      <c r="H1918" s="12" t="s">
        <v>6051</v>
      </c>
      <c r="I1918" s="12" t="s">
        <v>7763</v>
      </c>
      <c r="J1918" s="12">
        <v>18466</v>
      </c>
      <c r="K1918" s="12" t="s">
        <v>8661</v>
      </c>
      <c r="L1918" s="12" t="s">
        <v>6590</v>
      </c>
      <c r="M1918" s="13">
        <v>45972</v>
      </c>
      <c r="N1918" s="12" t="s">
        <v>8662</v>
      </c>
      <c r="O1918" s="12" t="s">
        <v>8663</v>
      </c>
      <c r="P1918" s="12"/>
      <c r="Q1918" s="12">
        <v>1</v>
      </c>
    </row>
    <row r="1919" spans="1:17" ht="15.75" customHeight="1">
      <c r="A1919" s="12">
        <v>2058</v>
      </c>
      <c r="B1919" s="12">
        <v>1412</v>
      </c>
      <c r="C1919" s="12">
        <v>21216</v>
      </c>
      <c r="D1919" s="12" t="s">
        <v>6047</v>
      </c>
      <c r="E1919" s="12" t="s">
        <v>13256</v>
      </c>
      <c r="F1919" s="12" t="s">
        <v>13257</v>
      </c>
      <c r="G1919" s="12" t="s">
        <v>13258</v>
      </c>
      <c r="H1919" s="12" t="s">
        <v>6051</v>
      </c>
      <c r="I1919" s="12" t="s">
        <v>6299</v>
      </c>
      <c r="J1919" s="12">
        <v>21216</v>
      </c>
      <c r="K1919" s="12" t="s">
        <v>13259</v>
      </c>
      <c r="L1919" s="12" t="s">
        <v>6732</v>
      </c>
      <c r="M1919" s="13">
        <v>36945</v>
      </c>
      <c r="N1919" s="12" t="s">
        <v>13260</v>
      </c>
      <c r="O1919" s="12" t="s">
        <v>13261</v>
      </c>
      <c r="P1919" s="12"/>
      <c r="Q1919" s="12">
        <v>1</v>
      </c>
    </row>
    <row r="1920" spans="1:17" ht="15.75" customHeight="1">
      <c r="A1920" s="12">
        <v>422</v>
      </c>
      <c r="B1920" s="12">
        <v>295</v>
      </c>
      <c r="C1920" s="12">
        <v>4762</v>
      </c>
      <c r="D1920" s="12" t="s">
        <v>6047</v>
      </c>
      <c r="E1920" s="12" t="s">
        <v>13262</v>
      </c>
      <c r="F1920" s="12" t="s">
        <v>13263</v>
      </c>
      <c r="G1920" s="12" t="s">
        <v>13264</v>
      </c>
      <c r="H1920" s="12" t="s">
        <v>6163</v>
      </c>
      <c r="I1920" s="12" t="s">
        <v>6253</v>
      </c>
      <c r="J1920" s="12">
        <v>4762</v>
      </c>
      <c r="K1920" s="12" t="s">
        <v>7019</v>
      </c>
      <c r="L1920" s="12" t="s">
        <v>7020</v>
      </c>
      <c r="M1920" s="13">
        <v>44715</v>
      </c>
      <c r="N1920" s="12" t="s">
        <v>7021</v>
      </c>
      <c r="O1920" s="12" t="s">
        <v>7022</v>
      </c>
      <c r="P1920" s="12"/>
      <c r="Q1920" s="12">
        <v>1</v>
      </c>
    </row>
    <row r="1921" spans="1:17" ht="15.75" customHeight="1">
      <c r="A1921" s="12">
        <v>240</v>
      </c>
      <c r="B1921" s="12">
        <v>1479</v>
      </c>
      <c r="C1921" s="12">
        <v>23963</v>
      </c>
      <c r="D1921" s="12" t="s">
        <v>6047</v>
      </c>
      <c r="E1921" s="12" t="s">
        <v>13265</v>
      </c>
      <c r="F1921" s="12" t="s">
        <v>13266</v>
      </c>
      <c r="G1921" s="12" t="s">
        <v>13267</v>
      </c>
      <c r="H1921" s="12" t="s">
        <v>6051</v>
      </c>
      <c r="I1921" s="12" t="s">
        <v>6516</v>
      </c>
      <c r="J1921" s="12">
        <v>23963</v>
      </c>
      <c r="K1921" s="12" t="s">
        <v>11257</v>
      </c>
      <c r="L1921" s="12" t="s">
        <v>7739</v>
      </c>
      <c r="M1921" s="13">
        <v>45606</v>
      </c>
      <c r="N1921" s="12" t="s">
        <v>11258</v>
      </c>
      <c r="O1921" s="12" t="s">
        <v>11259</v>
      </c>
      <c r="P1921" s="12"/>
      <c r="Q1921" s="12">
        <v>1</v>
      </c>
    </row>
    <row r="1922" spans="1:17" ht="15.75" customHeight="1">
      <c r="A1922" s="12">
        <v>585</v>
      </c>
      <c r="B1922" s="12">
        <v>154</v>
      </c>
      <c r="C1922" s="12">
        <v>2375</v>
      </c>
      <c r="D1922" s="12" t="s">
        <v>6047</v>
      </c>
      <c r="E1922" s="12" t="s">
        <v>13268</v>
      </c>
      <c r="F1922" s="12" t="s">
        <v>13269</v>
      </c>
      <c r="G1922" s="12" t="s">
        <v>13270</v>
      </c>
      <c r="H1922" s="12" t="s">
        <v>6127</v>
      </c>
      <c r="I1922" s="12" t="s">
        <v>6128</v>
      </c>
      <c r="J1922" s="12">
        <v>2375</v>
      </c>
      <c r="K1922" s="12" t="s">
        <v>6407</v>
      </c>
      <c r="L1922" s="12" t="s">
        <v>6408</v>
      </c>
      <c r="M1922" s="13">
        <v>43560</v>
      </c>
      <c r="N1922" s="12" t="s">
        <v>6409</v>
      </c>
      <c r="O1922" s="12" t="s">
        <v>8232</v>
      </c>
      <c r="P1922" s="12"/>
      <c r="Q1922" s="12">
        <v>1</v>
      </c>
    </row>
    <row r="1923" spans="1:17" ht="15.75" customHeight="1">
      <c r="A1923" s="12">
        <v>205</v>
      </c>
      <c r="B1923" s="12">
        <v>349</v>
      </c>
      <c r="C1923" s="12">
        <v>5317</v>
      </c>
      <c r="D1923" s="12" t="s">
        <v>6047</v>
      </c>
      <c r="E1923" s="12" t="s">
        <v>13271</v>
      </c>
      <c r="F1923" s="12" t="s">
        <v>13272</v>
      </c>
      <c r="G1923" s="12" t="s">
        <v>13273</v>
      </c>
      <c r="H1923" s="12" t="s">
        <v>6213</v>
      </c>
      <c r="I1923" s="12" t="s">
        <v>6214</v>
      </c>
      <c r="J1923" s="12">
        <v>5317</v>
      </c>
      <c r="K1923" s="12" t="s">
        <v>6938</v>
      </c>
      <c r="L1923" s="12" t="s">
        <v>6939</v>
      </c>
      <c r="M1923" s="13">
        <v>45613</v>
      </c>
      <c r="N1923" s="12" t="s">
        <v>6940</v>
      </c>
      <c r="O1923" s="12" t="s">
        <v>6941</v>
      </c>
      <c r="P1923" s="12"/>
      <c r="Q1923" s="12">
        <v>1</v>
      </c>
    </row>
    <row r="1924" spans="1:17" ht="15.75" customHeight="1">
      <c r="A1924" s="12">
        <v>1240</v>
      </c>
      <c r="B1924" s="12">
        <v>726</v>
      </c>
      <c r="C1924" s="12">
        <v>8804</v>
      </c>
      <c r="D1924" s="12" t="s">
        <v>6047</v>
      </c>
      <c r="E1924" s="12" t="s">
        <v>13274</v>
      </c>
      <c r="F1924" s="12" t="s">
        <v>13275</v>
      </c>
      <c r="G1924" s="12" t="s">
        <v>13276</v>
      </c>
      <c r="H1924" s="12" t="s">
        <v>6275</v>
      </c>
      <c r="I1924" s="12" t="s">
        <v>6453</v>
      </c>
      <c r="J1924" s="12">
        <v>8804</v>
      </c>
      <c r="K1924" s="12" t="s">
        <v>6429</v>
      </c>
      <c r="L1924" s="12" t="s">
        <v>6423</v>
      </c>
      <c r="M1924" s="13">
        <v>41991</v>
      </c>
      <c r="N1924" s="12" t="s">
        <v>6430</v>
      </c>
      <c r="O1924" s="12" t="s">
        <v>6431</v>
      </c>
      <c r="P1924" s="12"/>
      <c r="Q1924" s="12">
        <v>1</v>
      </c>
    </row>
    <row r="1925" spans="1:17" ht="15.75" customHeight="1">
      <c r="A1925" s="12">
        <v>356</v>
      </c>
      <c r="B1925" s="12">
        <v>1943</v>
      </c>
      <c r="C1925" s="12">
        <v>34787</v>
      </c>
      <c r="D1925" s="12" t="s">
        <v>6047</v>
      </c>
      <c r="E1925" s="12" t="s">
        <v>13277</v>
      </c>
      <c r="F1925" s="12" t="s">
        <v>13278</v>
      </c>
      <c r="G1925" s="12" t="s">
        <v>13279</v>
      </c>
      <c r="H1925" s="12" t="s">
        <v>6051</v>
      </c>
      <c r="I1925" s="12" t="s">
        <v>6700</v>
      </c>
      <c r="J1925" s="12">
        <v>34787</v>
      </c>
      <c r="K1925" s="12" t="s">
        <v>7200</v>
      </c>
      <c r="L1925" s="12" t="s">
        <v>6226</v>
      </c>
      <c r="M1925" s="13">
        <v>44722</v>
      </c>
      <c r="N1925" s="12" t="s">
        <v>7201</v>
      </c>
      <c r="O1925" s="12" t="s">
        <v>7202</v>
      </c>
      <c r="P1925" s="12"/>
      <c r="Q1925" s="12">
        <v>1</v>
      </c>
    </row>
    <row r="1926" spans="1:17" ht="15.75" customHeight="1">
      <c r="A1926" s="12">
        <v>1072</v>
      </c>
      <c r="B1926" s="12">
        <v>1124</v>
      </c>
      <c r="C1926" s="12">
        <v>16165</v>
      </c>
      <c r="D1926" s="12" t="s">
        <v>6047</v>
      </c>
      <c r="E1926" s="12" t="s">
        <v>13280</v>
      </c>
      <c r="F1926" s="12" t="s">
        <v>13281</v>
      </c>
      <c r="G1926" s="12" t="s">
        <v>13282</v>
      </c>
      <c r="H1926" s="12" t="s">
        <v>6051</v>
      </c>
      <c r="I1926" s="12" t="s">
        <v>6052</v>
      </c>
      <c r="J1926" s="12">
        <v>16165</v>
      </c>
      <c r="K1926" s="12" t="s">
        <v>6927</v>
      </c>
      <c r="L1926" s="12" t="s">
        <v>6504</v>
      </c>
      <c r="M1926" s="13">
        <v>42686</v>
      </c>
      <c r="N1926" s="12" t="s">
        <v>6928</v>
      </c>
      <c r="O1926" s="12" t="s">
        <v>6929</v>
      </c>
      <c r="P1926" s="12"/>
      <c r="Q1926" s="12">
        <v>1</v>
      </c>
    </row>
    <row r="1927" spans="1:17" ht="15.75" customHeight="1">
      <c r="A1927" s="12">
        <v>1600</v>
      </c>
      <c r="B1927" s="12">
        <v>1785</v>
      </c>
      <c r="C1927" s="12">
        <v>33201</v>
      </c>
      <c r="D1927" s="12" t="s">
        <v>6047</v>
      </c>
      <c r="E1927" s="12" t="s">
        <v>5667</v>
      </c>
      <c r="F1927" s="12" t="s">
        <v>13283</v>
      </c>
      <c r="G1927" s="12" t="s">
        <v>13284</v>
      </c>
      <c r="H1927" s="12" t="s">
        <v>6051</v>
      </c>
      <c r="I1927" s="12" t="s">
        <v>6374</v>
      </c>
      <c r="J1927" s="12">
        <v>33201</v>
      </c>
      <c r="K1927" s="12" t="s">
        <v>6300</v>
      </c>
      <c r="L1927" s="12" t="s">
        <v>6240</v>
      </c>
      <c r="M1927" s="13">
        <v>41396</v>
      </c>
      <c r="N1927" s="12" t="s">
        <v>6301</v>
      </c>
      <c r="O1927" s="12" t="s">
        <v>6302</v>
      </c>
      <c r="P1927" s="12"/>
      <c r="Q1927" s="12">
        <v>1</v>
      </c>
    </row>
    <row r="1928" spans="1:17" ht="15.75" customHeight="1">
      <c r="A1928" s="12">
        <v>350</v>
      </c>
      <c r="B1928" s="12">
        <v>1625</v>
      </c>
      <c r="C1928" s="12">
        <v>28724</v>
      </c>
      <c r="D1928" s="12" t="s">
        <v>6047</v>
      </c>
      <c r="E1928" s="12" t="s">
        <v>13285</v>
      </c>
      <c r="F1928" s="12" t="s">
        <v>13286</v>
      </c>
      <c r="G1928" s="12" t="s">
        <v>13287</v>
      </c>
      <c r="H1928" s="12" t="s">
        <v>6051</v>
      </c>
      <c r="I1928" s="12" t="s">
        <v>6366</v>
      </c>
      <c r="J1928" s="12">
        <v>28724</v>
      </c>
      <c r="K1928" s="12" t="s">
        <v>7200</v>
      </c>
      <c r="L1928" s="12" t="s">
        <v>6226</v>
      </c>
      <c r="M1928" s="13">
        <v>44724</v>
      </c>
      <c r="N1928" s="12" t="s">
        <v>7201</v>
      </c>
      <c r="O1928" s="12" t="s">
        <v>13288</v>
      </c>
      <c r="P1928" s="12"/>
      <c r="Q1928" s="12">
        <v>1</v>
      </c>
    </row>
    <row r="1929" spans="1:17" ht="15.75" customHeight="1">
      <c r="A1929" s="12">
        <v>791</v>
      </c>
      <c r="B1929" s="12">
        <v>1242</v>
      </c>
      <c r="C1929" s="12">
        <v>17575</v>
      </c>
      <c r="D1929" s="12" t="s">
        <v>6047</v>
      </c>
      <c r="E1929" s="12" t="s">
        <v>5700</v>
      </c>
      <c r="F1929" s="12" t="s">
        <v>13289</v>
      </c>
      <c r="G1929" s="12" t="s">
        <v>13290</v>
      </c>
      <c r="H1929" s="12" t="s">
        <v>6051</v>
      </c>
      <c r="I1929" s="12" t="s">
        <v>7769</v>
      </c>
      <c r="J1929" s="12">
        <v>17575</v>
      </c>
      <c r="K1929" s="12" t="s">
        <v>8358</v>
      </c>
      <c r="L1929" s="12" t="s">
        <v>6590</v>
      </c>
      <c r="M1929" s="13">
        <v>43033</v>
      </c>
      <c r="N1929" s="12" t="s">
        <v>8359</v>
      </c>
      <c r="O1929" s="12" t="s">
        <v>13291</v>
      </c>
      <c r="P1929" s="12"/>
      <c r="Q1929" s="12">
        <v>1</v>
      </c>
    </row>
    <row r="1930" spans="1:17" ht="15.75" customHeight="1">
      <c r="A1930" s="12">
        <v>1260</v>
      </c>
      <c r="B1930" s="12">
        <v>1156</v>
      </c>
      <c r="C1930" s="12">
        <v>16582</v>
      </c>
      <c r="D1930" s="12" t="s">
        <v>6047</v>
      </c>
      <c r="E1930" s="12" t="s">
        <v>13292</v>
      </c>
      <c r="F1930" s="12" t="s">
        <v>13293</v>
      </c>
      <c r="G1930" s="12" t="s">
        <v>13294</v>
      </c>
      <c r="H1930" s="12" t="s">
        <v>6051</v>
      </c>
      <c r="I1930" s="12" t="s">
        <v>6052</v>
      </c>
      <c r="J1930" s="12">
        <v>16582</v>
      </c>
      <c r="K1930" s="12" t="s">
        <v>6470</v>
      </c>
      <c r="L1930" s="12" t="s">
        <v>6423</v>
      </c>
      <c r="M1930" s="13">
        <v>41990</v>
      </c>
      <c r="N1930" s="12" t="s">
        <v>6471</v>
      </c>
      <c r="O1930" s="12" t="s">
        <v>6472</v>
      </c>
      <c r="P1930" s="12"/>
      <c r="Q1930" s="12">
        <v>1</v>
      </c>
    </row>
    <row r="1931" spans="1:17" ht="15.75" customHeight="1">
      <c r="A1931" s="12">
        <v>1099</v>
      </c>
      <c r="B1931" s="12">
        <v>149</v>
      </c>
      <c r="C1931" s="12">
        <v>2325</v>
      </c>
      <c r="D1931" s="12" t="s">
        <v>6047</v>
      </c>
      <c r="E1931" s="12" t="s">
        <v>13295</v>
      </c>
      <c r="F1931" s="12" t="s">
        <v>13296</v>
      </c>
      <c r="G1931" s="12" t="s">
        <v>13297</v>
      </c>
      <c r="H1931" s="12" t="s">
        <v>6127</v>
      </c>
      <c r="I1931" s="12" t="s">
        <v>6128</v>
      </c>
      <c r="J1931" s="12">
        <v>2325</v>
      </c>
      <c r="K1931" s="12" t="s">
        <v>7166</v>
      </c>
      <c r="L1931" s="12" t="s">
        <v>6504</v>
      </c>
      <c r="M1931" s="13">
        <v>42685</v>
      </c>
      <c r="N1931" s="12" t="s">
        <v>7167</v>
      </c>
      <c r="O1931" s="12" t="s">
        <v>7168</v>
      </c>
      <c r="P1931" s="12"/>
      <c r="Q1931" s="12">
        <v>1</v>
      </c>
    </row>
    <row r="1932" spans="1:17" ht="15.75" customHeight="1">
      <c r="A1932" s="12">
        <v>177</v>
      </c>
      <c r="B1932" s="12">
        <v>756</v>
      </c>
      <c r="C1932" s="12">
        <v>9511</v>
      </c>
      <c r="D1932" s="12" t="s">
        <v>6047</v>
      </c>
      <c r="E1932" s="12" t="s">
        <v>13298</v>
      </c>
      <c r="F1932" s="12" t="s">
        <v>13299</v>
      </c>
      <c r="G1932" s="12" t="s">
        <v>13300</v>
      </c>
      <c r="H1932" s="12" t="s">
        <v>7330</v>
      </c>
      <c r="I1932" s="12" t="s">
        <v>7331</v>
      </c>
      <c r="J1932" s="12">
        <v>9511</v>
      </c>
      <c r="K1932" s="12" t="s">
        <v>7145</v>
      </c>
      <c r="L1932" s="12" t="s">
        <v>6709</v>
      </c>
      <c r="M1932" s="13">
        <v>45753</v>
      </c>
      <c r="N1932" s="12" t="s">
        <v>7146</v>
      </c>
      <c r="O1932" s="12" t="s">
        <v>7147</v>
      </c>
      <c r="P1932" s="12"/>
      <c r="Q1932" s="12">
        <v>1</v>
      </c>
    </row>
    <row r="1933" spans="1:17" ht="15.75" customHeight="1">
      <c r="A1933" s="12">
        <v>1098</v>
      </c>
      <c r="B1933" s="12">
        <v>231</v>
      </c>
      <c r="C1933" s="12">
        <v>4231</v>
      </c>
      <c r="D1933" s="12" t="s">
        <v>6047</v>
      </c>
      <c r="E1933" s="12" t="s">
        <v>13301</v>
      </c>
      <c r="F1933" s="12" t="s">
        <v>13302</v>
      </c>
      <c r="G1933" s="12" t="s">
        <v>13303</v>
      </c>
      <c r="H1933" s="12" t="s">
        <v>6163</v>
      </c>
      <c r="I1933" s="12" t="s">
        <v>6253</v>
      </c>
      <c r="J1933" s="12">
        <v>4231</v>
      </c>
      <c r="K1933" s="12" t="s">
        <v>7166</v>
      </c>
      <c r="L1933" s="12" t="s">
        <v>6504</v>
      </c>
      <c r="M1933" s="13">
        <v>42685</v>
      </c>
      <c r="N1933" s="12" t="s">
        <v>7167</v>
      </c>
      <c r="O1933" s="12" t="s">
        <v>7168</v>
      </c>
      <c r="P1933" s="12"/>
      <c r="Q1933" s="12">
        <v>1</v>
      </c>
    </row>
    <row r="1934" spans="1:17" ht="15.75" customHeight="1">
      <c r="A1934" s="12">
        <v>456</v>
      </c>
      <c r="B1934" s="12">
        <v>225</v>
      </c>
      <c r="C1934" s="12">
        <v>4161</v>
      </c>
      <c r="D1934" s="12" t="s">
        <v>6047</v>
      </c>
      <c r="E1934" s="12" t="s">
        <v>13304</v>
      </c>
      <c r="F1934" s="12" t="s">
        <v>13305</v>
      </c>
      <c r="G1934" s="12" t="s">
        <v>13306</v>
      </c>
      <c r="H1934" s="12" t="s">
        <v>6163</v>
      </c>
      <c r="I1934" s="12" t="s">
        <v>6164</v>
      </c>
      <c r="J1934" s="12">
        <v>4161</v>
      </c>
      <c r="K1934" s="12" t="s">
        <v>13307</v>
      </c>
      <c r="L1934" s="12" t="s">
        <v>6498</v>
      </c>
      <c r="M1934" s="13">
        <v>43790</v>
      </c>
      <c r="N1934" s="12" t="s">
        <v>13308</v>
      </c>
      <c r="O1934" s="12" t="s">
        <v>13309</v>
      </c>
      <c r="P1934" s="12"/>
      <c r="Q1934" s="12">
        <v>1</v>
      </c>
    </row>
    <row r="1935" spans="1:17" ht="15.75" customHeight="1">
      <c r="A1935" s="12">
        <v>1066</v>
      </c>
      <c r="B1935" s="12">
        <v>1721</v>
      </c>
      <c r="C1935" s="12">
        <v>32022</v>
      </c>
      <c r="D1935" s="12" t="s">
        <v>6047</v>
      </c>
      <c r="E1935" s="12" t="s">
        <v>13310</v>
      </c>
      <c r="F1935" s="12" t="s">
        <v>13311</v>
      </c>
      <c r="G1935" s="12" t="s">
        <v>13312</v>
      </c>
      <c r="H1935" s="12" t="s">
        <v>6051</v>
      </c>
      <c r="I1935" s="12" t="s">
        <v>6232</v>
      </c>
      <c r="J1935" s="12">
        <v>32022</v>
      </c>
      <c r="K1935" s="12" t="s">
        <v>6927</v>
      </c>
      <c r="L1935" s="12" t="s">
        <v>6504</v>
      </c>
      <c r="M1935" s="13">
        <v>42686</v>
      </c>
      <c r="N1935" s="12" t="s">
        <v>6928</v>
      </c>
      <c r="O1935" s="12" t="s">
        <v>6929</v>
      </c>
      <c r="P1935" s="12"/>
      <c r="Q1935" s="12">
        <v>1</v>
      </c>
    </row>
    <row r="1936" spans="1:17" ht="15.75" customHeight="1">
      <c r="A1936" s="12">
        <v>1031</v>
      </c>
      <c r="B1936" s="12">
        <v>319</v>
      </c>
      <c r="C1936" s="12">
        <v>4967</v>
      </c>
      <c r="D1936" s="12" t="s">
        <v>6047</v>
      </c>
      <c r="E1936" s="12" t="s">
        <v>13313</v>
      </c>
      <c r="F1936" s="12" t="s">
        <v>13314</v>
      </c>
      <c r="G1936" s="12" t="s">
        <v>13315</v>
      </c>
      <c r="H1936" s="12" t="s">
        <v>6163</v>
      </c>
      <c r="I1936" s="12" t="s">
        <v>6253</v>
      </c>
      <c r="J1936" s="12">
        <v>4967</v>
      </c>
      <c r="K1936" s="12" t="s">
        <v>8314</v>
      </c>
      <c r="L1936" s="12" t="s">
        <v>6504</v>
      </c>
      <c r="M1936" s="13">
        <v>42689</v>
      </c>
      <c r="N1936" s="12" t="s">
        <v>8315</v>
      </c>
      <c r="O1936" s="12" t="s">
        <v>8316</v>
      </c>
      <c r="P1936" s="12"/>
      <c r="Q1936" s="12">
        <v>1</v>
      </c>
    </row>
    <row r="1937" spans="1:17" ht="15.75" customHeight="1">
      <c r="A1937" s="12">
        <v>568</v>
      </c>
      <c r="B1937" s="12">
        <v>233</v>
      </c>
      <c r="C1937" s="12">
        <v>4259</v>
      </c>
      <c r="D1937" s="12" t="s">
        <v>6047</v>
      </c>
      <c r="E1937" s="12" t="s">
        <v>13316</v>
      </c>
      <c r="F1937" s="12" t="s">
        <v>13317</v>
      </c>
      <c r="G1937" s="12" t="s">
        <v>13318</v>
      </c>
      <c r="H1937" s="12" t="s">
        <v>6163</v>
      </c>
      <c r="I1937" s="12" t="s">
        <v>6253</v>
      </c>
      <c r="J1937" s="12">
        <v>4259</v>
      </c>
      <c r="K1937" s="12" t="s">
        <v>6464</v>
      </c>
      <c r="L1937" s="12" t="s">
        <v>6408</v>
      </c>
      <c r="M1937" s="13">
        <v>43562</v>
      </c>
      <c r="N1937" s="12" t="s">
        <v>6465</v>
      </c>
      <c r="O1937" s="12" t="s">
        <v>6466</v>
      </c>
      <c r="P1937" s="12"/>
      <c r="Q1937" s="12">
        <v>1</v>
      </c>
    </row>
    <row r="1938" spans="1:17" ht="15.75" customHeight="1">
      <c r="A1938" s="12">
        <v>1686</v>
      </c>
      <c r="B1938" s="12">
        <v>827</v>
      </c>
      <c r="C1938" s="12">
        <v>10424</v>
      </c>
      <c r="D1938" s="12" t="s">
        <v>6047</v>
      </c>
      <c r="E1938" s="12" t="s">
        <v>13319</v>
      </c>
      <c r="F1938" s="12" t="s">
        <v>13320</v>
      </c>
      <c r="G1938" s="12" t="s">
        <v>13321</v>
      </c>
      <c r="H1938" s="12" t="s">
        <v>6060</v>
      </c>
      <c r="I1938" s="12" t="s">
        <v>6795</v>
      </c>
      <c r="J1938" s="12">
        <v>10424</v>
      </c>
      <c r="K1938" s="12" t="s">
        <v>7260</v>
      </c>
      <c r="L1938" s="12" t="s">
        <v>7261</v>
      </c>
      <c r="M1938" s="13">
        <v>40879</v>
      </c>
      <c r="N1938" s="12" t="s">
        <v>7262</v>
      </c>
      <c r="O1938" s="12" t="s">
        <v>7263</v>
      </c>
      <c r="P1938" s="12"/>
      <c r="Q1938" s="12">
        <v>1</v>
      </c>
    </row>
    <row r="1939" spans="1:17" ht="15.75" customHeight="1">
      <c r="A1939" s="12">
        <v>148</v>
      </c>
      <c r="B1939" s="12">
        <v>1085</v>
      </c>
      <c r="C1939" s="12">
        <v>15652</v>
      </c>
      <c r="D1939" s="12" t="s">
        <v>6047</v>
      </c>
      <c r="E1939" s="12" t="s">
        <v>13322</v>
      </c>
      <c r="F1939" s="12" t="s">
        <v>13323</v>
      </c>
      <c r="G1939" s="12" t="s">
        <v>13324</v>
      </c>
      <c r="H1939" s="12" t="s">
        <v>6051</v>
      </c>
      <c r="I1939" s="12" t="s">
        <v>6476</v>
      </c>
      <c r="J1939" s="12">
        <v>15652</v>
      </c>
      <c r="K1939" s="12" t="s">
        <v>7891</v>
      </c>
      <c r="L1939" s="12" t="s">
        <v>6760</v>
      </c>
      <c r="M1939" s="13">
        <v>45756</v>
      </c>
      <c r="N1939" s="12" t="s">
        <v>7892</v>
      </c>
      <c r="O1939" s="12" t="s">
        <v>11090</v>
      </c>
      <c r="P1939" s="12"/>
      <c r="Q1939" s="12">
        <v>1</v>
      </c>
    </row>
    <row r="1940" spans="1:17" ht="15.75" customHeight="1">
      <c r="A1940" s="12">
        <v>1703</v>
      </c>
      <c r="B1940" s="12">
        <v>1116</v>
      </c>
      <c r="C1940" s="12">
        <v>16048</v>
      </c>
      <c r="D1940" s="12" t="s">
        <v>6047</v>
      </c>
      <c r="E1940" s="12" t="s">
        <v>5723</v>
      </c>
      <c r="F1940" s="12" t="s">
        <v>13325</v>
      </c>
      <c r="G1940" s="12" t="s">
        <v>13326</v>
      </c>
      <c r="H1940" s="12" t="s">
        <v>6051</v>
      </c>
      <c r="I1940" s="12" t="s">
        <v>6781</v>
      </c>
      <c r="J1940" s="12">
        <v>16048</v>
      </c>
      <c r="K1940" s="12" t="s">
        <v>8598</v>
      </c>
      <c r="L1940" s="12" t="s">
        <v>7333</v>
      </c>
      <c r="M1940" s="13">
        <v>40878</v>
      </c>
      <c r="N1940" s="12" t="s">
        <v>8599</v>
      </c>
      <c r="O1940" s="12" t="s">
        <v>8600</v>
      </c>
      <c r="P1940" s="12"/>
      <c r="Q1940" s="12">
        <v>1</v>
      </c>
    </row>
    <row r="1941" spans="1:17" ht="15.75" customHeight="1">
      <c r="A1941" s="12">
        <v>581</v>
      </c>
      <c r="B1941" s="12">
        <v>1807</v>
      </c>
      <c r="C1941" s="12">
        <v>33495</v>
      </c>
      <c r="D1941" s="12" t="s">
        <v>6047</v>
      </c>
      <c r="E1941" s="12" t="s">
        <v>13327</v>
      </c>
      <c r="F1941" s="12" t="s">
        <v>13328</v>
      </c>
      <c r="G1941" s="12" t="s">
        <v>13329</v>
      </c>
      <c r="H1941" s="12" t="s">
        <v>6051</v>
      </c>
      <c r="I1941" s="12" t="s">
        <v>6374</v>
      </c>
      <c r="J1941" s="12">
        <v>33495</v>
      </c>
      <c r="K1941" s="12" t="s">
        <v>6407</v>
      </c>
      <c r="L1941" s="12" t="s">
        <v>6408</v>
      </c>
      <c r="M1941" s="13">
        <v>43560</v>
      </c>
      <c r="N1941" s="12" t="s">
        <v>6409</v>
      </c>
      <c r="O1941" s="12" t="s">
        <v>8232</v>
      </c>
      <c r="P1941" s="12"/>
      <c r="Q1941" s="12">
        <v>1</v>
      </c>
    </row>
    <row r="1942" spans="1:17" ht="15.75" customHeight="1">
      <c r="A1942" s="12">
        <v>96</v>
      </c>
      <c r="B1942" s="12">
        <v>1400</v>
      </c>
      <c r="C1942" s="12">
        <v>21014</v>
      </c>
      <c r="D1942" s="12" t="s">
        <v>6047</v>
      </c>
      <c r="E1942" s="12" t="s">
        <v>5727</v>
      </c>
      <c r="F1942" s="12" t="s">
        <v>13330</v>
      </c>
      <c r="G1942" s="12" t="s">
        <v>13331</v>
      </c>
      <c r="H1942" s="12" t="s">
        <v>6051</v>
      </c>
      <c r="I1942" s="12" t="s">
        <v>6509</v>
      </c>
      <c r="J1942" s="12">
        <v>21014</v>
      </c>
      <c r="K1942" s="12" t="s">
        <v>8137</v>
      </c>
      <c r="L1942" s="12" t="s">
        <v>6590</v>
      </c>
      <c r="M1942" s="13">
        <v>45968</v>
      </c>
      <c r="N1942" s="12" t="s">
        <v>8138</v>
      </c>
      <c r="O1942" s="12" t="s">
        <v>8139</v>
      </c>
      <c r="P1942" s="12"/>
      <c r="Q1942" s="12">
        <v>1</v>
      </c>
    </row>
    <row r="1943" spans="1:17" ht="15.75" customHeight="1">
      <c r="A1943" s="12">
        <v>443</v>
      </c>
      <c r="B1943" s="12">
        <v>1743</v>
      </c>
      <c r="C1943" s="12">
        <v>32542</v>
      </c>
      <c r="D1943" s="12" t="s">
        <v>6047</v>
      </c>
      <c r="E1943" s="12" t="s">
        <v>13332</v>
      </c>
      <c r="F1943" s="12" t="s">
        <v>13333</v>
      </c>
      <c r="G1943" s="12" t="s">
        <v>13334</v>
      </c>
      <c r="H1943" s="12" t="s">
        <v>6051</v>
      </c>
      <c r="I1943" s="12" t="s">
        <v>6232</v>
      </c>
      <c r="J1943" s="12">
        <v>32542</v>
      </c>
      <c r="K1943" s="12" t="s">
        <v>13335</v>
      </c>
      <c r="L1943" s="12" t="s">
        <v>6284</v>
      </c>
      <c r="M1943" s="13">
        <v>43905</v>
      </c>
      <c r="N1943" s="12" t="s">
        <v>13336</v>
      </c>
      <c r="O1943" s="12" t="s">
        <v>13337</v>
      </c>
      <c r="P1943" s="12"/>
      <c r="Q1943" s="12">
        <v>1</v>
      </c>
    </row>
    <row r="1944" spans="1:17" ht="15.75" customHeight="1">
      <c r="A1944" s="12">
        <v>1858</v>
      </c>
      <c r="B1944" s="12">
        <v>156</v>
      </c>
      <c r="C1944" s="12">
        <v>2389</v>
      </c>
      <c r="D1944" s="12" t="s">
        <v>6047</v>
      </c>
      <c r="E1944" s="12" t="s">
        <v>13338</v>
      </c>
      <c r="F1944" s="12" t="s">
        <v>13339</v>
      </c>
      <c r="G1944" s="12" t="s">
        <v>13340</v>
      </c>
      <c r="H1944" s="12" t="s">
        <v>6127</v>
      </c>
      <c r="I1944" s="12" t="s">
        <v>6128</v>
      </c>
      <c r="J1944" s="12">
        <v>2389</v>
      </c>
      <c r="K1944" s="12" t="s">
        <v>6062</v>
      </c>
      <c r="L1944" s="12" t="s">
        <v>6063</v>
      </c>
      <c r="M1944" s="13">
        <v>40873</v>
      </c>
      <c r="N1944" s="12" t="s">
        <v>6064</v>
      </c>
      <c r="O1944" s="12" t="s">
        <v>6065</v>
      </c>
      <c r="P1944" s="12"/>
      <c r="Q1944" s="12">
        <v>1</v>
      </c>
    </row>
    <row r="1945" spans="1:17" ht="15.75" customHeight="1">
      <c r="A1945" s="12">
        <v>131</v>
      </c>
      <c r="B1945" s="12">
        <v>1251</v>
      </c>
      <c r="C1945" s="12">
        <v>17677</v>
      </c>
      <c r="D1945" s="12" t="s">
        <v>6047</v>
      </c>
      <c r="E1945" s="12" t="s">
        <v>5721</v>
      </c>
      <c r="F1945" s="12" t="s">
        <v>13341</v>
      </c>
      <c r="G1945" s="12" t="s">
        <v>13342</v>
      </c>
      <c r="H1945" s="12" t="s">
        <v>6051</v>
      </c>
      <c r="I1945" s="12" t="s">
        <v>11297</v>
      </c>
      <c r="J1945" s="12">
        <v>17677</v>
      </c>
      <c r="K1945" s="12" t="s">
        <v>6725</v>
      </c>
      <c r="L1945" s="12" t="s">
        <v>6511</v>
      </c>
      <c r="M1945" s="13">
        <v>45965</v>
      </c>
      <c r="N1945" s="12" t="s">
        <v>6726</v>
      </c>
      <c r="O1945" s="12" t="s">
        <v>6727</v>
      </c>
      <c r="P1945" s="12"/>
      <c r="Q1945" s="12">
        <v>1</v>
      </c>
    </row>
    <row r="1946" spans="1:17" ht="15.75" customHeight="1">
      <c r="A1946" s="12">
        <v>767</v>
      </c>
      <c r="B1946" s="12">
        <v>64</v>
      </c>
      <c r="C1946" s="12">
        <v>730</v>
      </c>
      <c r="D1946" s="12" t="s">
        <v>6047</v>
      </c>
      <c r="E1946" s="12" t="s">
        <v>13343</v>
      </c>
      <c r="F1946" s="12" t="s">
        <v>13344</v>
      </c>
      <c r="G1946" s="12" t="s">
        <v>13345</v>
      </c>
      <c r="H1946" s="12" t="s">
        <v>6289</v>
      </c>
      <c r="I1946" s="12" t="s">
        <v>6290</v>
      </c>
      <c r="J1946" s="12">
        <v>730</v>
      </c>
      <c r="K1946" s="12" t="s">
        <v>7882</v>
      </c>
      <c r="L1946" s="12" t="s">
        <v>6240</v>
      </c>
      <c r="M1946" s="13">
        <v>43052</v>
      </c>
      <c r="N1946" s="12" t="s">
        <v>7883</v>
      </c>
      <c r="O1946" s="12" t="s">
        <v>13346</v>
      </c>
      <c r="P1946" s="12"/>
      <c r="Q1946" s="12">
        <v>1</v>
      </c>
    </row>
    <row r="1947" spans="1:17" ht="15.75" customHeight="1">
      <c r="A1947" s="12">
        <v>1161</v>
      </c>
      <c r="B1947" s="12">
        <v>1706</v>
      </c>
      <c r="C1947" s="12">
        <v>31641</v>
      </c>
      <c r="D1947" s="12" t="s">
        <v>6047</v>
      </c>
      <c r="E1947" s="12" t="s">
        <v>5739</v>
      </c>
      <c r="F1947" s="12" t="s">
        <v>13347</v>
      </c>
      <c r="G1947" s="12" t="s">
        <v>13348</v>
      </c>
      <c r="H1947" s="12" t="s">
        <v>6051</v>
      </c>
      <c r="I1947" s="12" t="s">
        <v>8027</v>
      </c>
      <c r="J1947" s="12">
        <v>31641</v>
      </c>
      <c r="K1947" s="12" t="s">
        <v>6845</v>
      </c>
      <c r="L1947" s="12" t="s">
        <v>6248</v>
      </c>
      <c r="M1947" s="13">
        <v>42040</v>
      </c>
      <c r="N1947" s="12" t="s">
        <v>6846</v>
      </c>
      <c r="O1947" s="12" t="s">
        <v>6847</v>
      </c>
      <c r="P1947" s="12"/>
      <c r="Q1947" s="12">
        <v>1</v>
      </c>
    </row>
    <row r="1948" spans="1:17" ht="15.75" customHeight="1">
      <c r="A1948" s="12">
        <v>751</v>
      </c>
      <c r="B1948" s="12">
        <v>1488</v>
      </c>
      <c r="C1948" s="12">
        <v>24066</v>
      </c>
      <c r="D1948" s="12" t="s">
        <v>6047</v>
      </c>
      <c r="E1948" s="12" t="s">
        <v>13349</v>
      </c>
      <c r="F1948" s="12" t="s">
        <v>13350</v>
      </c>
      <c r="G1948" s="12" t="s">
        <v>13351</v>
      </c>
      <c r="H1948" s="12" t="s">
        <v>6051</v>
      </c>
      <c r="I1948" s="12" t="s">
        <v>6738</v>
      </c>
      <c r="J1948" s="12">
        <v>24066</v>
      </c>
      <c r="K1948" s="12" t="s">
        <v>9241</v>
      </c>
      <c r="L1948" s="12" t="s">
        <v>6839</v>
      </c>
      <c r="M1948" s="13">
        <v>43196</v>
      </c>
      <c r="N1948" s="12" t="s">
        <v>9242</v>
      </c>
      <c r="O1948" s="12" t="s">
        <v>9243</v>
      </c>
      <c r="P1948" s="12"/>
      <c r="Q1948" s="12">
        <v>1</v>
      </c>
    </row>
    <row r="1949" spans="1:17" ht="15.75" customHeight="1">
      <c r="A1949" s="12">
        <v>138</v>
      </c>
      <c r="B1949" s="12">
        <v>1317</v>
      </c>
      <c r="C1949" s="12">
        <v>18810</v>
      </c>
      <c r="D1949" s="12" t="s">
        <v>6047</v>
      </c>
      <c r="E1949" s="12" t="s">
        <v>5744</v>
      </c>
      <c r="F1949" s="12" t="s">
        <v>13352</v>
      </c>
      <c r="G1949" s="12" t="s">
        <v>13353</v>
      </c>
      <c r="H1949" s="12" t="s">
        <v>6051</v>
      </c>
      <c r="I1949" s="12" t="s">
        <v>7246</v>
      </c>
      <c r="J1949" s="12">
        <v>18810</v>
      </c>
      <c r="K1949" s="12" t="s">
        <v>6612</v>
      </c>
      <c r="L1949" s="12" t="s">
        <v>6511</v>
      </c>
      <c r="M1949" s="13">
        <v>45964</v>
      </c>
      <c r="N1949" s="12" t="s">
        <v>6613</v>
      </c>
      <c r="O1949" s="12" t="s">
        <v>6614</v>
      </c>
      <c r="P1949" s="12"/>
      <c r="Q1949" s="12">
        <v>1</v>
      </c>
    </row>
    <row r="1950" spans="1:17" ht="15.75" customHeight="1">
      <c r="A1950" s="12">
        <v>1135</v>
      </c>
      <c r="B1950" s="12">
        <v>380</v>
      </c>
      <c r="C1950" s="12">
        <v>5716</v>
      </c>
      <c r="D1950" s="12" t="s">
        <v>6047</v>
      </c>
      <c r="E1950" s="12" t="s">
        <v>5746</v>
      </c>
      <c r="F1950" s="12" t="s">
        <v>13354</v>
      </c>
      <c r="G1950" s="12" t="s">
        <v>13355</v>
      </c>
      <c r="H1950" s="12" t="s">
        <v>6213</v>
      </c>
      <c r="I1950" s="12" t="s">
        <v>7475</v>
      </c>
      <c r="J1950" s="12">
        <v>5716</v>
      </c>
      <c r="K1950" s="12" t="s">
        <v>13356</v>
      </c>
      <c r="L1950" s="12" t="s">
        <v>7933</v>
      </c>
      <c r="M1950" s="13">
        <v>42285</v>
      </c>
      <c r="N1950" s="12" t="s">
        <v>13357</v>
      </c>
      <c r="O1950" s="12" t="s">
        <v>13358</v>
      </c>
      <c r="P1950" s="12"/>
      <c r="Q1950" s="12">
        <v>1</v>
      </c>
    </row>
    <row r="1951" spans="1:17" ht="15.75" customHeight="1">
      <c r="A1951" s="12">
        <v>1169</v>
      </c>
      <c r="B1951" s="12">
        <v>789</v>
      </c>
      <c r="C1951" s="12">
        <v>9863</v>
      </c>
      <c r="D1951" s="12" t="s">
        <v>6047</v>
      </c>
      <c r="E1951" s="12" t="s">
        <v>13359</v>
      </c>
      <c r="F1951" s="12" t="s">
        <v>13360</v>
      </c>
      <c r="G1951" s="12" t="s">
        <v>13361</v>
      </c>
      <c r="H1951" s="12" t="s">
        <v>6265</v>
      </c>
      <c r="I1951" s="12" t="s">
        <v>6449</v>
      </c>
      <c r="J1951" s="12">
        <v>9863</v>
      </c>
      <c r="K1951" s="12" t="s">
        <v>7873</v>
      </c>
      <c r="L1951" s="12" t="s">
        <v>6832</v>
      </c>
      <c r="M1951" s="13">
        <v>41998</v>
      </c>
      <c r="N1951" s="12" t="s">
        <v>7874</v>
      </c>
      <c r="O1951" s="12" t="s">
        <v>7875</v>
      </c>
      <c r="P1951" s="12"/>
      <c r="Q1951" s="12">
        <v>1</v>
      </c>
    </row>
    <row r="1952" spans="1:17" ht="15.75" customHeight="1">
      <c r="A1952" s="12">
        <v>1622</v>
      </c>
      <c r="B1952" s="12">
        <v>96</v>
      </c>
      <c r="C1952" s="12">
        <v>1274</v>
      </c>
      <c r="D1952" s="12" t="s">
        <v>6047</v>
      </c>
      <c r="E1952" s="12" t="s">
        <v>13362</v>
      </c>
      <c r="F1952" s="12" t="s">
        <v>13363</v>
      </c>
      <c r="G1952" s="12" t="s">
        <v>13364</v>
      </c>
      <c r="H1952" s="12" t="s">
        <v>6435</v>
      </c>
      <c r="I1952" s="12" t="s">
        <v>6920</v>
      </c>
      <c r="J1952" s="12">
        <v>1274</v>
      </c>
      <c r="K1952" s="12" t="s">
        <v>6300</v>
      </c>
      <c r="L1952" s="12" t="s">
        <v>6240</v>
      </c>
      <c r="M1952" s="13">
        <v>41396</v>
      </c>
      <c r="N1952" s="12" t="s">
        <v>6301</v>
      </c>
      <c r="O1952" s="12" t="s">
        <v>6302</v>
      </c>
      <c r="P1952" s="12"/>
      <c r="Q1952" s="12">
        <v>1</v>
      </c>
    </row>
    <row r="1953" spans="1:17" ht="15.75" customHeight="1">
      <c r="A1953" s="12">
        <v>1879</v>
      </c>
      <c r="B1953" s="12">
        <v>447</v>
      </c>
      <c r="C1953" s="12">
        <v>6147</v>
      </c>
      <c r="D1953" s="12" t="s">
        <v>6047</v>
      </c>
      <c r="E1953" s="12" t="s">
        <v>5762</v>
      </c>
      <c r="F1953" s="12" t="s">
        <v>13365</v>
      </c>
      <c r="G1953" s="12" t="s">
        <v>13366</v>
      </c>
      <c r="H1953" s="12" t="s">
        <v>6137</v>
      </c>
      <c r="I1953" s="12" t="s">
        <v>6391</v>
      </c>
      <c r="J1953" s="12">
        <v>6147</v>
      </c>
      <c r="K1953" s="12" t="s">
        <v>6769</v>
      </c>
      <c r="L1953" s="12" t="s">
        <v>6709</v>
      </c>
      <c r="M1953" s="13">
        <v>40176</v>
      </c>
      <c r="N1953" s="12" t="s">
        <v>6770</v>
      </c>
      <c r="O1953" s="12" t="s">
        <v>6771</v>
      </c>
      <c r="P1953" s="12"/>
      <c r="Q1953" s="12">
        <v>1</v>
      </c>
    </row>
    <row r="1954" spans="1:17" ht="15.75" customHeight="1">
      <c r="A1954" s="12">
        <v>852</v>
      </c>
      <c r="B1954" s="12">
        <v>1388</v>
      </c>
      <c r="C1954" s="12">
        <v>20270</v>
      </c>
      <c r="D1954" s="12" t="s">
        <v>6047</v>
      </c>
      <c r="E1954" s="12" t="s">
        <v>13367</v>
      </c>
      <c r="F1954" s="12" t="s">
        <v>13368</v>
      </c>
      <c r="G1954" s="12" t="s">
        <v>13369</v>
      </c>
      <c r="H1954" s="12" t="s">
        <v>6051</v>
      </c>
      <c r="I1954" s="12" t="s">
        <v>6676</v>
      </c>
      <c r="J1954" s="12">
        <v>20270</v>
      </c>
      <c r="K1954" s="12" t="s">
        <v>6584</v>
      </c>
      <c r="L1954" s="12" t="s">
        <v>6564</v>
      </c>
      <c r="M1954" s="13">
        <v>43019</v>
      </c>
      <c r="N1954" s="12" t="s">
        <v>6585</v>
      </c>
      <c r="O1954" s="12" t="s">
        <v>6586</v>
      </c>
      <c r="P1954" s="12"/>
      <c r="Q1954" s="12">
        <v>1</v>
      </c>
    </row>
    <row r="1955" spans="1:17" ht="15.75" customHeight="1">
      <c r="A1955" s="12">
        <v>894</v>
      </c>
      <c r="B1955" s="12">
        <v>1188</v>
      </c>
      <c r="C1955" s="12">
        <v>16952</v>
      </c>
      <c r="D1955" s="12" t="s">
        <v>6047</v>
      </c>
      <c r="E1955" s="12" t="s">
        <v>13370</v>
      </c>
      <c r="F1955" s="12" t="s">
        <v>13371</v>
      </c>
      <c r="G1955" s="12" t="s">
        <v>13372</v>
      </c>
      <c r="H1955" s="12" t="s">
        <v>6051</v>
      </c>
      <c r="I1955" s="12" t="s">
        <v>6052</v>
      </c>
      <c r="J1955" s="12">
        <v>16952</v>
      </c>
      <c r="K1955" s="12" t="s">
        <v>7071</v>
      </c>
      <c r="L1955" s="12" t="s">
        <v>6240</v>
      </c>
      <c r="M1955" s="13">
        <v>42868</v>
      </c>
      <c r="N1955" s="12" t="s">
        <v>7072</v>
      </c>
      <c r="O1955" s="12" t="s">
        <v>13373</v>
      </c>
      <c r="P1955" s="12"/>
      <c r="Q1955" s="12">
        <v>1</v>
      </c>
    </row>
    <row r="1956" spans="1:17" ht="15.75" customHeight="1">
      <c r="A1956" s="12">
        <v>676</v>
      </c>
      <c r="B1956" s="12">
        <v>98</v>
      </c>
      <c r="C1956" s="12">
        <v>1354</v>
      </c>
      <c r="D1956" s="12" t="s">
        <v>6047</v>
      </c>
      <c r="E1956" s="12" t="s">
        <v>5768</v>
      </c>
      <c r="F1956" s="12" t="s">
        <v>13374</v>
      </c>
      <c r="G1956" s="12" t="s">
        <v>13375</v>
      </c>
      <c r="H1956" s="12" t="s">
        <v>6435</v>
      </c>
      <c r="I1956" s="12" t="s">
        <v>6920</v>
      </c>
      <c r="J1956" s="12">
        <v>1354</v>
      </c>
      <c r="K1956" s="12" t="s">
        <v>13376</v>
      </c>
      <c r="L1956" s="12" t="s">
        <v>6531</v>
      </c>
      <c r="M1956" s="13">
        <v>43282</v>
      </c>
      <c r="N1956" s="12" t="s">
        <v>13377</v>
      </c>
      <c r="O1956" s="12" t="s">
        <v>13378</v>
      </c>
      <c r="P1956" s="12"/>
      <c r="Q1956" s="12">
        <v>1</v>
      </c>
    </row>
    <row r="1957" spans="1:17" ht="15.75" customHeight="1">
      <c r="A1957" s="12">
        <v>442</v>
      </c>
      <c r="B1957" s="12">
        <v>439</v>
      </c>
      <c r="C1957" s="12">
        <v>6119</v>
      </c>
      <c r="D1957" s="12" t="s">
        <v>6047</v>
      </c>
      <c r="E1957" s="12" t="s">
        <v>5783</v>
      </c>
      <c r="F1957" s="12" t="s">
        <v>13379</v>
      </c>
      <c r="G1957" s="12" t="s">
        <v>13380</v>
      </c>
      <c r="H1957" s="12" t="s">
        <v>6137</v>
      </c>
      <c r="I1957" s="12" t="s">
        <v>6391</v>
      </c>
      <c r="J1957" s="12">
        <v>6119</v>
      </c>
      <c r="K1957" s="12" t="s">
        <v>13381</v>
      </c>
      <c r="L1957" s="12" t="s">
        <v>6240</v>
      </c>
      <c r="M1957" s="13">
        <v>43960</v>
      </c>
      <c r="N1957" s="12" t="s">
        <v>13382</v>
      </c>
      <c r="O1957" s="12" t="s">
        <v>13383</v>
      </c>
      <c r="P1957" s="12"/>
      <c r="Q1957" s="12">
        <v>1</v>
      </c>
    </row>
    <row r="1958" spans="1:17" ht="15.75" customHeight="1">
      <c r="A1958" s="12">
        <v>1880</v>
      </c>
      <c r="B1958" s="12">
        <v>414</v>
      </c>
      <c r="C1958" s="12">
        <v>5928</v>
      </c>
      <c r="D1958" s="12" t="s">
        <v>6047</v>
      </c>
      <c r="E1958" s="12" t="s">
        <v>5786</v>
      </c>
      <c r="F1958" s="12" t="s">
        <v>13384</v>
      </c>
      <c r="G1958" s="12" t="s">
        <v>13385</v>
      </c>
      <c r="H1958" s="12" t="s">
        <v>6137</v>
      </c>
      <c r="I1958" s="12" t="s">
        <v>6323</v>
      </c>
      <c r="J1958" s="12">
        <v>5928</v>
      </c>
      <c r="K1958" s="12" t="s">
        <v>6769</v>
      </c>
      <c r="L1958" s="12" t="s">
        <v>6709</v>
      </c>
      <c r="M1958" s="13">
        <v>40176</v>
      </c>
      <c r="N1958" s="12" t="s">
        <v>6770</v>
      </c>
      <c r="O1958" s="12" t="s">
        <v>6771</v>
      </c>
      <c r="P1958" s="12"/>
      <c r="Q1958" s="12">
        <v>1</v>
      </c>
    </row>
    <row r="1959" spans="1:17" ht="15.75" customHeight="1">
      <c r="A1959" s="12">
        <v>1649</v>
      </c>
      <c r="B1959" s="12">
        <v>438</v>
      </c>
      <c r="C1959" s="12">
        <v>6104</v>
      </c>
      <c r="D1959" s="12" t="s">
        <v>6047</v>
      </c>
      <c r="E1959" s="12" t="s">
        <v>5781</v>
      </c>
      <c r="F1959" s="12" t="s">
        <v>13386</v>
      </c>
      <c r="G1959" s="12" t="s">
        <v>13387</v>
      </c>
      <c r="H1959" s="12" t="s">
        <v>6137</v>
      </c>
      <c r="I1959" s="12" t="s">
        <v>6391</v>
      </c>
      <c r="J1959" s="12">
        <v>6104</v>
      </c>
      <c r="K1959" s="12" t="s">
        <v>6381</v>
      </c>
      <c r="L1959" s="12" t="s">
        <v>6345</v>
      </c>
      <c r="M1959" s="13">
        <v>41260</v>
      </c>
      <c r="N1959" s="12" t="s">
        <v>6382</v>
      </c>
      <c r="O1959" s="12" t="s">
        <v>6383</v>
      </c>
      <c r="P1959" s="12"/>
      <c r="Q1959" s="12">
        <v>1</v>
      </c>
    </row>
    <row r="1960" spans="1:17" ht="15.75" customHeight="1">
      <c r="A1960" s="12">
        <v>1760</v>
      </c>
      <c r="B1960" s="12">
        <v>1904</v>
      </c>
      <c r="C1960" s="12">
        <v>34346</v>
      </c>
      <c r="D1960" s="12" t="s">
        <v>6047</v>
      </c>
      <c r="E1960" s="12" t="s">
        <v>5792</v>
      </c>
      <c r="F1960" s="12" t="s">
        <v>13388</v>
      </c>
      <c r="G1960" s="12" t="s">
        <v>13389</v>
      </c>
      <c r="H1960" s="12" t="s">
        <v>6051</v>
      </c>
      <c r="I1960" s="12" t="s">
        <v>6362</v>
      </c>
      <c r="J1960" s="12">
        <v>34346</v>
      </c>
      <c r="K1960" s="12" t="s">
        <v>6062</v>
      </c>
      <c r="L1960" s="12" t="s">
        <v>6063</v>
      </c>
      <c r="M1960" s="13">
        <v>40873</v>
      </c>
      <c r="N1960" s="12" t="s">
        <v>6064</v>
      </c>
      <c r="O1960" s="12" t="s">
        <v>6065</v>
      </c>
      <c r="P1960" s="12"/>
      <c r="Q1960" s="12">
        <v>1</v>
      </c>
    </row>
    <row r="1961" spans="1:17" ht="15.75" customHeight="1">
      <c r="A1961" s="12">
        <v>1509</v>
      </c>
      <c r="B1961" s="12">
        <v>1539</v>
      </c>
      <c r="C1961" s="12">
        <v>27295</v>
      </c>
      <c r="D1961" s="12" t="s">
        <v>6047</v>
      </c>
      <c r="E1961" s="12" t="s">
        <v>5800</v>
      </c>
      <c r="F1961" s="12" t="s">
        <v>13390</v>
      </c>
      <c r="G1961" s="12" t="s">
        <v>13391</v>
      </c>
      <c r="H1961" s="12" t="s">
        <v>6051</v>
      </c>
      <c r="I1961" s="12" t="s">
        <v>6704</v>
      </c>
      <c r="J1961" s="12">
        <v>27295</v>
      </c>
      <c r="K1961" s="12" t="s">
        <v>7071</v>
      </c>
      <c r="L1961" s="12" t="s">
        <v>6240</v>
      </c>
      <c r="M1961" s="13">
        <v>41763</v>
      </c>
      <c r="N1961" s="12" t="s">
        <v>7072</v>
      </c>
      <c r="O1961" s="12" t="s">
        <v>9762</v>
      </c>
      <c r="P1961" s="12"/>
      <c r="Q1961" s="12">
        <v>1</v>
      </c>
    </row>
    <row r="1962" spans="1:17" ht="15.75" customHeight="1">
      <c r="A1962" s="12">
        <v>1623</v>
      </c>
      <c r="B1962" s="12">
        <v>28</v>
      </c>
      <c r="C1962" s="12">
        <v>455</v>
      </c>
      <c r="D1962" s="12" t="s">
        <v>6047</v>
      </c>
      <c r="E1962" s="12" t="s">
        <v>13392</v>
      </c>
      <c r="F1962" s="12" t="s">
        <v>13393</v>
      </c>
      <c r="G1962" s="12" t="s">
        <v>13394</v>
      </c>
      <c r="H1962" s="12" t="s">
        <v>6289</v>
      </c>
      <c r="I1962" s="12" t="s">
        <v>6290</v>
      </c>
      <c r="J1962" s="12">
        <v>455</v>
      </c>
      <c r="K1962" s="12" t="s">
        <v>6300</v>
      </c>
      <c r="L1962" s="12" t="s">
        <v>6240</v>
      </c>
      <c r="M1962" s="13">
        <v>41396</v>
      </c>
      <c r="N1962" s="12" t="s">
        <v>6301</v>
      </c>
      <c r="O1962" s="12" t="s">
        <v>6302</v>
      </c>
      <c r="P1962" s="12"/>
      <c r="Q1962" s="12">
        <v>1</v>
      </c>
    </row>
    <row r="1963" spans="1:17" ht="15.75" customHeight="1">
      <c r="A1963" s="12">
        <v>1847</v>
      </c>
      <c r="B1963" s="12">
        <v>549</v>
      </c>
      <c r="C1963" s="12">
        <v>7306</v>
      </c>
      <c r="D1963" s="12" t="s">
        <v>6047</v>
      </c>
      <c r="E1963" s="12" t="s">
        <v>13395</v>
      </c>
      <c r="F1963" s="12" t="s">
        <v>13396</v>
      </c>
      <c r="G1963" s="12" t="s">
        <v>13397</v>
      </c>
      <c r="H1963" s="12" t="s">
        <v>6150</v>
      </c>
      <c r="I1963" s="12" t="s">
        <v>6151</v>
      </c>
      <c r="J1963" s="12">
        <v>7306</v>
      </c>
      <c r="K1963" s="12" t="s">
        <v>6062</v>
      </c>
      <c r="L1963" s="12" t="s">
        <v>6063</v>
      </c>
      <c r="M1963" s="13">
        <v>40873</v>
      </c>
      <c r="N1963" s="12" t="s">
        <v>6064</v>
      </c>
      <c r="O1963" s="12" t="s">
        <v>6065</v>
      </c>
      <c r="P1963" s="12"/>
      <c r="Q1963" s="12">
        <v>1</v>
      </c>
    </row>
    <row r="1964" spans="1:17" ht="15.75" customHeight="1">
      <c r="A1964" s="12">
        <v>1791</v>
      </c>
      <c r="B1964" s="12">
        <v>1613</v>
      </c>
      <c r="C1964" s="12">
        <v>28347</v>
      </c>
      <c r="D1964" s="12" t="s">
        <v>6047</v>
      </c>
      <c r="E1964" s="12" t="s">
        <v>13398</v>
      </c>
      <c r="F1964" s="12" t="s">
        <v>13399</v>
      </c>
      <c r="G1964" s="12" t="s">
        <v>13400</v>
      </c>
      <c r="H1964" s="12" t="s">
        <v>6051</v>
      </c>
      <c r="I1964" s="12" t="s">
        <v>6366</v>
      </c>
      <c r="J1964" s="12">
        <v>28347</v>
      </c>
      <c r="K1964" s="12" t="s">
        <v>6062</v>
      </c>
      <c r="L1964" s="12" t="s">
        <v>6063</v>
      </c>
      <c r="M1964" s="13">
        <v>40873</v>
      </c>
      <c r="N1964" s="12" t="s">
        <v>6064</v>
      </c>
      <c r="O1964" s="12" t="s">
        <v>6065</v>
      </c>
      <c r="P1964" s="12"/>
      <c r="Q1964" s="12">
        <v>1</v>
      </c>
    </row>
    <row r="1965" spans="1:17" ht="15.75" customHeight="1">
      <c r="A1965" s="12">
        <v>1665</v>
      </c>
      <c r="B1965" s="12">
        <v>1420</v>
      </c>
      <c r="C1965" s="12">
        <v>21309</v>
      </c>
      <c r="D1965" s="12" t="s">
        <v>6047</v>
      </c>
      <c r="E1965" s="12" t="s">
        <v>13401</v>
      </c>
      <c r="F1965" s="12" t="s">
        <v>13402</v>
      </c>
      <c r="G1965" s="12" t="s">
        <v>13403</v>
      </c>
      <c r="H1965" s="12" t="s">
        <v>6051</v>
      </c>
      <c r="I1965" s="12" t="s">
        <v>6299</v>
      </c>
      <c r="J1965" s="12">
        <v>21309</v>
      </c>
      <c r="K1965" s="12" t="s">
        <v>7802</v>
      </c>
      <c r="L1965" s="12" t="s">
        <v>7411</v>
      </c>
      <c r="M1965" s="13">
        <v>41057</v>
      </c>
      <c r="N1965" s="12" t="s">
        <v>7803</v>
      </c>
      <c r="O1965" s="12" t="s">
        <v>7804</v>
      </c>
      <c r="P1965" s="12"/>
      <c r="Q1965" s="12">
        <v>1</v>
      </c>
    </row>
    <row r="1966" spans="1:17" ht="15.75" customHeight="1">
      <c r="A1966" s="12">
        <v>1777</v>
      </c>
      <c r="B1966" s="12">
        <v>1851</v>
      </c>
      <c r="C1966" s="12">
        <v>33950</v>
      </c>
      <c r="D1966" s="12" t="s">
        <v>6047</v>
      </c>
      <c r="E1966" s="12" t="s">
        <v>13404</v>
      </c>
      <c r="F1966" s="12" t="s">
        <v>13405</v>
      </c>
      <c r="G1966" s="12" t="s">
        <v>13406</v>
      </c>
      <c r="H1966" s="12" t="s">
        <v>6051</v>
      </c>
      <c r="I1966" s="12" t="s">
        <v>6362</v>
      </c>
      <c r="J1966" s="12">
        <v>33950</v>
      </c>
      <c r="K1966" s="12" t="s">
        <v>6062</v>
      </c>
      <c r="L1966" s="12" t="s">
        <v>6063</v>
      </c>
      <c r="M1966" s="13">
        <v>40873</v>
      </c>
      <c r="N1966" s="12" t="s">
        <v>6064</v>
      </c>
      <c r="O1966" s="12" t="s">
        <v>6065</v>
      </c>
      <c r="P1966" s="12"/>
      <c r="Q1966" s="12">
        <v>1</v>
      </c>
    </row>
    <row r="1967" spans="1:17" ht="15.75" customHeight="1">
      <c r="A1967" s="12">
        <v>663</v>
      </c>
      <c r="B1967" s="12">
        <v>1513</v>
      </c>
      <c r="C1967" s="12">
        <v>25431</v>
      </c>
      <c r="D1967" s="12" t="s">
        <v>6047</v>
      </c>
      <c r="E1967" s="12" t="s">
        <v>5829</v>
      </c>
      <c r="F1967" s="12" t="s">
        <v>13407</v>
      </c>
      <c r="G1967" s="12" t="s">
        <v>13408</v>
      </c>
      <c r="H1967" s="12" t="s">
        <v>6051</v>
      </c>
      <c r="I1967" s="12" t="s">
        <v>13409</v>
      </c>
      <c r="J1967" s="12">
        <v>25431</v>
      </c>
      <c r="K1967" s="12" t="s">
        <v>13410</v>
      </c>
      <c r="L1967" s="12" t="s">
        <v>6255</v>
      </c>
      <c r="M1967" s="13">
        <v>43399</v>
      </c>
      <c r="N1967" s="12" t="s">
        <v>13411</v>
      </c>
      <c r="O1967" s="12" t="s">
        <v>13412</v>
      </c>
      <c r="P1967" s="12"/>
      <c r="Q1967" s="12">
        <v>1</v>
      </c>
    </row>
    <row r="1968" spans="1:17" ht="15.75" customHeight="1">
      <c r="A1968" s="12">
        <v>750</v>
      </c>
      <c r="B1968" s="12">
        <v>1830</v>
      </c>
      <c r="C1968" s="12">
        <v>33745</v>
      </c>
      <c r="D1968" s="12" t="s">
        <v>6047</v>
      </c>
      <c r="E1968" s="12" t="s">
        <v>13413</v>
      </c>
      <c r="F1968" s="12" t="s">
        <v>13414</v>
      </c>
      <c r="G1968" s="12" t="s">
        <v>13415</v>
      </c>
      <c r="H1968" s="12" t="s">
        <v>6051</v>
      </c>
      <c r="I1968" s="12" t="s">
        <v>6261</v>
      </c>
      <c r="J1968" s="12">
        <v>33745</v>
      </c>
      <c r="K1968" s="12" t="s">
        <v>9241</v>
      </c>
      <c r="L1968" s="12" t="s">
        <v>6839</v>
      </c>
      <c r="M1968" s="13">
        <v>43196</v>
      </c>
      <c r="N1968" s="12" t="s">
        <v>9242</v>
      </c>
      <c r="O1968" s="12" t="s">
        <v>9243</v>
      </c>
      <c r="P1968" s="12"/>
      <c r="Q1968" s="12">
        <v>1</v>
      </c>
    </row>
    <row r="1969" spans="1:17" ht="15.75" customHeight="1">
      <c r="A1969" s="12">
        <v>74</v>
      </c>
      <c r="B1969" s="12">
        <v>1300</v>
      </c>
      <c r="C1969" s="12">
        <v>18384</v>
      </c>
      <c r="D1969" s="12" t="s">
        <v>6047</v>
      </c>
      <c r="E1969" s="12" t="s">
        <v>13416</v>
      </c>
      <c r="F1969" s="12" t="s">
        <v>13417</v>
      </c>
      <c r="G1969" s="12" t="s">
        <v>13418</v>
      </c>
      <c r="H1969" s="12" t="s">
        <v>6051</v>
      </c>
      <c r="I1969" s="12" t="s">
        <v>7763</v>
      </c>
      <c r="J1969" s="12">
        <v>18384</v>
      </c>
      <c r="K1969" s="12" t="s">
        <v>7854</v>
      </c>
      <c r="L1969" s="12" t="s">
        <v>6564</v>
      </c>
      <c r="M1969" s="13">
        <v>45971</v>
      </c>
      <c r="N1969" s="12" t="s">
        <v>7855</v>
      </c>
      <c r="O1969" s="12" t="s">
        <v>7856</v>
      </c>
      <c r="P1969" s="12"/>
      <c r="Q1969" s="12">
        <v>1</v>
      </c>
    </row>
    <row r="1970" spans="1:17" ht="15.75" customHeight="1">
      <c r="A1970" s="12">
        <v>501</v>
      </c>
      <c r="B1970" s="12">
        <v>1159</v>
      </c>
      <c r="C1970" s="12">
        <v>16634</v>
      </c>
      <c r="D1970" s="12" t="s">
        <v>6047</v>
      </c>
      <c r="E1970" s="12" t="s">
        <v>13419</v>
      </c>
      <c r="F1970" s="12" t="s">
        <v>13420</v>
      </c>
      <c r="G1970" s="12" t="s">
        <v>13421</v>
      </c>
      <c r="H1970" s="12" t="s">
        <v>6051</v>
      </c>
      <c r="I1970" s="12" t="s">
        <v>6052</v>
      </c>
      <c r="J1970" s="12">
        <v>16634</v>
      </c>
      <c r="K1970" s="12" t="s">
        <v>9893</v>
      </c>
      <c r="L1970" s="12" t="s">
        <v>6504</v>
      </c>
      <c r="M1970" s="13">
        <v>43779</v>
      </c>
      <c r="N1970" s="12" t="s">
        <v>9894</v>
      </c>
      <c r="O1970" s="12" t="s">
        <v>9895</v>
      </c>
      <c r="P1970" s="12"/>
      <c r="Q1970" s="12">
        <v>1</v>
      </c>
    </row>
    <row r="1971" spans="1:17" ht="15.75" customHeight="1">
      <c r="A1971" s="12">
        <v>24</v>
      </c>
      <c r="B1971" s="12">
        <v>1263</v>
      </c>
      <c r="C1971" s="12">
        <v>17869</v>
      </c>
      <c r="D1971" s="12" t="s">
        <v>6047</v>
      </c>
      <c r="E1971" s="12" t="s">
        <v>13422</v>
      </c>
      <c r="F1971" s="12" t="s">
        <v>13423</v>
      </c>
      <c r="G1971" s="12" t="s">
        <v>13424</v>
      </c>
      <c r="H1971" s="12" t="s">
        <v>6051</v>
      </c>
      <c r="I1971" s="12" t="s">
        <v>6857</v>
      </c>
      <c r="J1971" s="12">
        <v>17869</v>
      </c>
      <c r="K1971" s="12" t="s">
        <v>13425</v>
      </c>
      <c r="L1971" s="12" t="s">
        <v>6905</v>
      </c>
      <c r="M1971" s="13">
        <v>45979</v>
      </c>
      <c r="N1971" s="12" t="s">
        <v>13426</v>
      </c>
      <c r="O1971" s="12" t="s">
        <v>13427</v>
      </c>
      <c r="P1971" s="12"/>
      <c r="Q1971" s="12">
        <v>1</v>
      </c>
    </row>
    <row r="1972" spans="1:17" ht="15.75" customHeight="1">
      <c r="A1972" s="12">
        <v>1782</v>
      </c>
      <c r="B1972" s="12">
        <v>1826</v>
      </c>
      <c r="C1972" s="12">
        <v>33694</v>
      </c>
      <c r="D1972" s="12" t="s">
        <v>6047</v>
      </c>
      <c r="E1972" s="12" t="s">
        <v>13428</v>
      </c>
      <c r="F1972" s="12" t="s">
        <v>13429</v>
      </c>
      <c r="G1972" s="12" t="s">
        <v>13430</v>
      </c>
      <c r="H1972" s="12" t="s">
        <v>6051</v>
      </c>
      <c r="I1972" s="12" t="s">
        <v>6261</v>
      </c>
      <c r="J1972" s="12">
        <v>33694</v>
      </c>
      <c r="K1972" s="12" t="s">
        <v>6062</v>
      </c>
      <c r="L1972" s="12" t="s">
        <v>6063</v>
      </c>
      <c r="M1972" s="13">
        <v>40873</v>
      </c>
      <c r="N1972" s="12" t="s">
        <v>6064</v>
      </c>
      <c r="O1972" s="12" t="s">
        <v>6065</v>
      </c>
      <c r="P1972" s="12"/>
      <c r="Q1972" s="12">
        <v>1</v>
      </c>
    </row>
    <row r="1973" spans="1:17" ht="15.75" customHeight="1">
      <c r="A1973" s="12">
        <v>172</v>
      </c>
      <c r="B1973" s="12">
        <v>1206</v>
      </c>
      <c r="C1973" s="12">
        <v>17181</v>
      </c>
      <c r="D1973" s="12" t="s">
        <v>6047</v>
      </c>
      <c r="E1973" s="12" t="s">
        <v>13431</v>
      </c>
      <c r="F1973" s="12" t="s">
        <v>13432</v>
      </c>
      <c r="G1973" s="12" t="s">
        <v>13433</v>
      </c>
      <c r="H1973" s="12" t="s">
        <v>6051</v>
      </c>
      <c r="I1973" s="12" t="s">
        <v>6052</v>
      </c>
      <c r="J1973" s="12">
        <v>17181</v>
      </c>
      <c r="K1973" s="12" t="s">
        <v>7145</v>
      </c>
      <c r="L1973" s="12" t="s">
        <v>6709</v>
      </c>
      <c r="M1973" s="13">
        <v>45753</v>
      </c>
      <c r="N1973" s="12" t="s">
        <v>7146</v>
      </c>
      <c r="O1973" s="12" t="s">
        <v>7147</v>
      </c>
      <c r="P1973" s="12"/>
      <c r="Q1973" s="12">
        <v>1</v>
      </c>
    </row>
    <row r="1974" spans="1:17" ht="15.75" customHeight="1">
      <c r="A1974" s="12">
        <v>1044</v>
      </c>
      <c r="B1974" s="12">
        <v>1162</v>
      </c>
      <c r="C1974" s="12">
        <v>16698</v>
      </c>
      <c r="D1974" s="12" t="s">
        <v>6047</v>
      </c>
      <c r="E1974" s="12" t="s">
        <v>13434</v>
      </c>
      <c r="F1974" s="12" t="s">
        <v>13435</v>
      </c>
      <c r="G1974" s="12" t="s">
        <v>13436</v>
      </c>
      <c r="H1974" s="12" t="s">
        <v>6051</v>
      </c>
      <c r="I1974" s="12" t="s">
        <v>6052</v>
      </c>
      <c r="J1974" s="12">
        <v>16698</v>
      </c>
      <c r="K1974" s="12" t="s">
        <v>11726</v>
      </c>
      <c r="L1974" s="12" t="s">
        <v>6504</v>
      </c>
      <c r="M1974" s="13">
        <v>42688</v>
      </c>
      <c r="N1974" s="12" t="s">
        <v>11727</v>
      </c>
      <c r="O1974" s="12" t="s">
        <v>11728</v>
      </c>
      <c r="P1974" s="12"/>
      <c r="Q1974" s="12">
        <v>1</v>
      </c>
    </row>
    <row r="1975" spans="1:17" ht="15.75" customHeight="1">
      <c r="A1975" s="12">
        <v>1811</v>
      </c>
      <c r="B1975" s="12">
        <v>1185</v>
      </c>
      <c r="C1975" s="12">
        <v>16949</v>
      </c>
      <c r="D1975" s="12" t="s">
        <v>6047</v>
      </c>
      <c r="E1975" s="12" t="s">
        <v>13437</v>
      </c>
      <c r="F1975" s="12" t="s">
        <v>13438</v>
      </c>
      <c r="G1975" s="12" t="s">
        <v>13439</v>
      </c>
      <c r="H1975" s="12" t="s">
        <v>6051</v>
      </c>
      <c r="I1975" s="12" t="s">
        <v>6052</v>
      </c>
      <c r="J1975" s="12">
        <v>16949</v>
      </c>
      <c r="K1975" s="12" t="s">
        <v>6062</v>
      </c>
      <c r="L1975" s="12" t="s">
        <v>6063</v>
      </c>
      <c r="M1975" s="13">
        <v>40873</v>
      </c>
      <c r="N1975" s="12" t="s">
        <v>6064</v>
      </c>
      <c r="O1975" s="12" t="s">
        <v>6065</v>
      </c>
      <c r="P1975" s="12"/>
      <c r="Q1975" s="12">
        <v>1</v>
      </c>
    </row>
    <row r="1976" spans="1:17" ht="15.75" customHeight="1">
      <c r="A1976" s="12">
        <v>1353</v>
      </c>
      <c r="B1976" s="12">
        <v>1508</v>
      </c>
      <c r="C1976" s="12">
        <v>24339</v>
      </c>
      <c r="D1976" s="12" t="s">
        <v>6047</v>
      </c>
      <c r="E1976" s="12" t="s">
        <v>5844</v>
      </c>
      <c r="F1976" s="12" t="s">
        <v>13440</v>
      </c>
      <c r="G1976" s="12" t="s">
        <v>13441</v>
      </c>
      <c r="H1976" s="12" t="s">
        <v>6051</v>
      </c>
      <c r="I1976" s="12" t="s">
        <v>7275</v>
      </c>
      <c r="J1976" s="12">
        <v>24339</v>
      </c>
      <c r="K1976" s="12" t="s">
        <v>6077</v>
      </c>
      <c r="L1976" s="12" t="s">
        <v>6078</v>
      </c>
      <c r="M1976" s="13">
        <v>41916</v>
      </c>
      <c r="N1976" s="12" t="s">
        <v>6079</v>
      </c>
      <c r="O1976" s="12" t="s">
        <v>6080</v>
      </c>
      <c r="P1976" s="12"/>
      <c r="Q1976" s="12">
        <v>1</v>
      </c>
    </row>
    <row r="1977" spans="1:17" ht="15.75" customHeight="1">
      <c r="A1977" s="12">
        <v>1668</v>
      </c>
      <c r="B1977" s="12">
        <v>862</v>
      </c>
      <c r="C1977" s="12">
        <v>11126</v>
      </c>
      <c r="D1977" s="12" t="s">
        <v>6047</v>
      </c>
      <c r="E1977" s="12" t="s">
        <v>13442</v>
      </c>
      <c r="F1977" s="12" t="s">
        <v>13443</v>
      </c>
      <c r="G1977" s="12" t="s">
        <v>13444</v>
      </c>
      <c r="H1977" s="12" t="s">
        <v>6060</v>
      </c>
      <c r="I1977" s="12" t="s">
        <v>6061</v>
      </c>
      <c r="J1977" s="12">
        <v>11126</v>
      </c>
      <c r="K1977" s="12" t="s">
        <v>6375</v>
      </c>
      <c r="L1977" s="12" t="s">
        <v>6240</v>
      </c>
      <c r="M1977" s="13">
        <v>41043</v>
      </c>
      <c r="N1977" s="12" t="s">
        <v>6376</v>
      </c>
      <c r="O1977" s="12" t="s">
        <v>13445</v>
      </c>
      <c r="P1977" s="12"/>
      <c r="Q1977" s="12">
        <v>1</v>
      </c>
    </row>
    <row r="1978" spans="1:17" ht="15.75" customHeight="1">
      <c r="A1978" s="12">
        <v>1278</v>
      </c>
      <c r="B1978" s="12">
        <v>2018</v>
      </c>
      <c r="C1978" s="12">
        <v>35583</v>
      </c>
      <c r="D1978" s="12" t="s">
        <v>6047</v>
      </c>
      <c r="E1978" s="12" t="s">
        <v>13446</v>
      </c>
      <c r="F1978" s="12" t="s">
        <v>13447</v>
      </c>
      <c r="G1978" s="12" t="s">
        <v>13448</v>
      </c>
      <c r="H1978" s="12" t="s">
        <v>6051</v>
      </c>
      <c r="I1978" s="12" t="s">
        <v>6700</v>
      </c>
      <c r="J1978" s="12">
        <v>35583</v>
      </c>
      <c r="K1978" s="12" t="s">
        <v>6422</v>
      </c>
      <c r="L1978" s="12" t="s">
        <v>6423</v>
      </c>
      <c r="M1978" s="13">
        <v>41989</v>
      </c>
      <c r="N1978" s="12" t="s">
        <v>6424</v>
      </c>
      <c r="O1978" s="12" t="s">
        <v>6425</v>
      </c>
      <c r="P1978" s="12"/>
      <c r="Q1978" s="12">
        <v>1</v>
      </c>
    </row>
    <row r="1979" spans="1:17" ht="15.75" customHeight="1">
      <c r="A1979" s="12">
        <v>1282</v>
      </c>
      <c r="B1979" s="12">
        <v>1750</v>
      </c>
      <c r="C1979" s="12">
        <v>32631</v>
      </c>
      <c r="D1979" s="12" t="s">
        <v>6047</v>
      </c>
      <c r="E1979" s="12" t="s">
        <v>13449</v>
      </c>
      <c r="F1979" s="12" t="s">
        <v>13450</v>
      </c>
      <c r="G1979" s="12" t="s">
        <v>13451</v>
      </c>
      <c r="H1979" s="12" t="s">
        <v>6051</v>
      </c>
      <c r="I1979" s="12" t="s">
        <v>6232</v>
      </c>
      <c r="J1979" s="12">
        <v>32631</v>
      </c>
      <c r="K1979" s="12" t="s">
        <v>6422</v>
      </c>
      <c r="L1979" s="12" t="s">
        <v>6423</v>
      </c>
      <c r="M1979" s="13">
        <v>41989</v>
      </c>
      <c r="N1979" s="12" t="s">
        <v>6424</v>
      </c>
      <c r="O1979" s="12" t="s">
        <v>6425</v>
      </c>
      <c r="P1979" s="12"/>
      <c r="Q1979" s="12">
        <v>1</v>
      </c>
    </row>
    <row r="1980" spans="1:17" ht="15.75" customHeight="1">
      <c r="A1980" s="12">
        <v>1786</v>
      </c>
      <c r="B1980" s="12">
        <v>1815</v>
      </c>
      <c r="C1980" s="12">
        <v>33607</v>
      </c>
      <c r="D1980" s="12" t="s">
        <v>6047</v>
      </c>
      <c r="E1980" s="12" t="s">
        <v>13452</v>
      </c>
      <c r="F1980" s="12" t="s">
        <v>13453</v>
      </c>
      <c r="G1980" s="12" t="s">
        <v>13454</v>
      </c>
      <c r="H1980" s="12" t="s">
        <v>6051</v>
      </c>
      <c r="I1980" s="12" t="s">
        <v>6261</v>
      </c>
      <c r="J1980" s="12">
        <v>33607</v>
      </c>
      <c r="K1980" s="12" t="s">
        <v>6062</v>
      </c>
      <c r="L1980" s="12" t="s">
        <v>6063</v>
      </c>
      <c r="M1980" s="13">
        <v>40873</v>
      </c>
      <c r="N1980" s="12" t="s">
        <v>6064</v>
      </c>
      <c r="O1980" s="12" t="s">
        <v>6065</v>
      </c>
      <c r="P1980" s="12"/>
      <c r="Q1980" s="12">
        <v>1</v>
      </c>
    </row>
    <row r="1981" spans="1:17" ht="15.75" customHeight="1">
      <c r="A1981" s="12">
        <v>656</v>
      </c>
      <c r="B1981" s="12">
        <v>1932</v>
      </c>
      <c r="C1981" s="12">
        <v>34643</v>
      </c>
      <c r="D1981" s="12" t="s">
        <v>6047</v>
      </c>
      <c r="E1981" s="12" t="s">
        <v>13455</v>
      </c>
      <c r="F1981" s="12" t="s">
        <v>13456</v>
      </c>
      <c r="G1981" s="12" t="s">
        <v>13457</v>
      </c>
      <c r="H1981" s="12" t="s">
        <v>6051</v>
      </c>
      <c r="I1981" s="12" t="s">
        <v>6700</v>
      </c>
      <c r="J1981" s="12">
        <v>34643</v>
      </c>
      <c r="K1981" s="12" t="s">
        <v>9910</v>
      </c>
      <c r="L1981" s="12" t="s">
        <v>6193</v>
      </c>
      <c r="M1981" s="13">
        <v>43401</v>
      </c>
      <c r="N1981" s="12" t="s">
        <v>9911</v>
      </c>
      <c r="O1981" s="12" t="s">
        <v>9912</v>
      </c>
      <c r="P1981" s="12" t="s">
        <v>6196</v>
      </c>
      <c r="Q1981" s="12">
        <v>1</v>
      </c>
    </row>
    <row r="1982" spans="1:17" ht="15.75" customHeight="1">
      <c r="A1982" s="12">
        <v>1162</v>
      </c>
      <c r="B1982" s="12">
        <v>1424</v>
      </c>
      <c r="C1982" s="12">
        <v>21508</v>
      </c>
      <c r="D1982" s="12" t="s">
        <v>6047</v>
      </c>
      <c r="E1982" s="12" t="s">
        <v>13458</v>
      </c>
      <c r="F1982" s="12" t="s">
        <v>13459</v>
      </c>
      <c r="G1982" s="12" t="s">
        <v>13460</v>
      </c>
      <c r="H1982" s="12" t="s">
        <v>6051</v>
      </c>
      <c r="I1982" s="12" t="s">
        <v>6299</v>
      </c>
      <c r="J1982" s="12">
        <v>21508</v>
      </c>
      <c r="K1982" s="12" t="s">
        <v>6845</v>
      </c>
      <c r="L1982" s="12" t="s">
        <v>6248</v>
      </c>
      <c r="M1982" s="13">
        <v>42040</v>
      </c>
      <c r="N1982" s="12" t="s">
        <v>6846</v>
      </c>
      <c r="O1982" s="12" t="s">
        <v>6847</v>
      </c>
      <c r="P1982" s="12"/>
      <c r="Q1982" s="12">
        <v>1</v>
      </c>
    </row>
    <row r="1983" spans="1:17" ht="15.75" customHeight="1">
      <c r="A1983" s="12">
        <v>1109</v>
      </c>
      <c r="B1983" s="12">
        <v>196</v>
      </c>
      <c r="C1983" s="12">
        <v>3238</v>
      </c>
      <c r="D1983" s="12" t="s">
        <v>6047</v>
      </c>
      <c r="E1983" s="12" t="s">
        <v>13461</v>
      </c>
      <c r="F1983" s="12" t="s">
        <v>13462</v>
      </c>
      <c r="G1983" s="12" t="s">
        <v>13463</v>
      </c>
      <c r="H1983" s="12" t="s">
        <v>7069</v>
      </c>
      <c r="I1983" s="12" t="s">
        <v>7070</v>
      </c>
      <c r="J1983" s="12">
        <v>3238</v>
      </c>
      <c r="K1983" s="12" t="s">
        <v>7071</v>
      </c>
      <c r="L1983" s="12" t="s">
        <v>6240</v>
      </c>
      <c r="M1983" s="13">
        <v>42502</v>
      </c>
      <c r="N1983" s="12" t="s">
        <v>7072</v>
      </c>
      <c r="O1983" s="12" t="s">
        <v>8116</v>
      </c>
      <c r="P1983" s="12"/>
      <c r="Q1983" s="12">
        <v>1</v>
      </c>
    </row>
    <row r="1984" spans="1:17" ht="15.75" customHeight="1">
      <c r="A1984" s="12">
        <v>1351</v>
      </c>
      <c r="B1984" s="12">
        <v>38</v>
      </c>
      <c r="C1984" s="12">
        <v>530</v>
      </c>
      <c r="D1984" s="12" t="s">
        <v>6047</v>
      </c>
      <c r="E1984" s="12" t="s">
        <v>5874</v>
      </c>
      <c r="F1984" s="12" t="s">
        <v>13464</v>
      </c>
      <c r="G1984" s="12" t="s">
        <v>13465</v>
      </c>
      <c r="H1984" s="12" t="s">
        <v>6289</v>
      </c>
      <c r="I1984" s="12" t="s">
        <v>6290</v>
      </c>
      <c r="J1984" s="12">
        <v>530</v>
      </c>
      <c r="K1984" s="12" t="s">
        <v>6215</v>
      </c>
      <c r="L1984" s="12" t="s">
        <v>6216</v>
      </c>
      <c r="M1984" s="13">
        <v>41918</v>
      </c>
      <c r="N1984" s="12" t="s">
        <v>6217</v>
      </c>
      <c r="O1984" s="12" t="s">
        <v>6218</v>
      </c>
      <c r="P1984" s="12"/>
      <c r="Q1984" s="12">
        <v>1</v>
      </c>
    </row>
    <row r="1985" spans="1:17" ht="15.75" customHeight="1">
      <c r="A1985" s="12">
        <v>1979</v>
      </c>
      <c r="B1985" s="12">
        <v>1576</v>
      </c>
      <c r="C1985" s="12">
        <v>27681</v>
      </c>
      <c r="D1985" s="12" t="s">
        <v>6047</v>
      </c>
      <c r="E1985" s="12" t="s">
        <v>13466</v>
      </c>
      <c r="F1985" s="12" t="s">
        <v>13467</v>
      </c>
      <c r="G1985" s="12" t="s">
        <v>13468</v>
      </c>
      <c r="H1985" s="12" t="s">
        <v>6051</v>
      </c>
      <c r="I1985" s="12" t="s">
        <v>11370</v>
      </c>
      <c r="J1985" s="12">
        <v>27681</v>
      </c>
      <c r="K1985" s="12" t="s">
        <v>8445</v>
      </c>
      <c r="L1985" s="12" t="s">
        <v>8446</v>
      </c>
      <c r="M1985" s="13">
        <v>38576</v>
      </c>
      <c r="N1985" s="12" t="s">
        <v>8447</v>
      </c>
      <c r="O1985" s="12" t="s">
        <v>8448</v>
      </c>
      <c r="P1985" s="12"/>
      <c r="Q1985" s="12">
        <v>1</v>
      </c>
    </row>
    <row r="1986" spans="1:17" ht="15.75" customHeight="1">
      <c r="A1986" s="12">
        <v>774</v>
      </c>
      <c r="B1986" s="12">
        <v>589</v>
      </c>
      <c r="C1986" s="12">
        <v>7532</v>
      </c>
      <c r="D1986" s="12" t="s">
        <v>6047</v>
      </c>
      <c r="E1986" s="12" t="s">
        <v>13469</v>
      </c>
      <c r="F1986" s="12" t="s">
        <v>13470</v>
      </c>
      <c r="G1986" s="12" t="s">
        <v>13471</v>
      </c>
      <c r="H1986" s="12" t="s">
        <v>6187</v>
      </c>
      <c r="I1986" s="12" t="s">
        <v>6188</v>
      </c>
      <c r="J1986" s="12">
        <v>7532</v>
      </c>
      <c r="K1986" s="12" t="s">
        <v>9368</v>
      </c>
      <c r="L1986" s="12" t="s">
        <v>6590</v>
      </c>
      <c r="M1986" s="13">
        <v>43035</v>
      </c>
      <c r="N1986" s="12" t="s">
        <v>9369</v>
      </c>
      <c r="O1986" s="12" t="s">
        <v>9370</v>
      </c>
      <c r="P1986" s="12"/>
      <c r="Q1986" s="12">
        <v>1</v>
      </c>
    </row>
    <row r="1987" spans="1:17" ht="15.75" customHeight="1">
      <c r="A1987" s="12">
        <v>1479</v>
      </c>
      <c r="B1987" s="12">
        <v>550</v>
      </c>
      <c r="C1987" s="12">
        <v>7308</v>
      </c>
      <c r="D1987" s="12" t="s">
        <v>6047</v>
      </c>
      <c r="E1987" s="12" t="s">
        <v>13472</v>
      </c>
      <c r="F1987" s="12" t="s">
        <v>13473</v>
      </c>
      <c r="G1987" s="12" t="s">
        <v>13474</v>
      </c>
      <c r="H1987" s="12" t="s">
        <v>6150</v>
      </c>
      <c r="I1987" s="12" t="s">
        <v>6151</v>
      </c>
      <c r="J1987" s="12">
        <v>7308</v>
      </c>
      <c r="K1987" s="12" t="s">
        <v>6069</v>
      </c>
      <c r="L1987" s="12" t="s">
        <v>6070</v>
      </c>
      <c r="M1987" s="13">
        <v>41906</v>
      </c>
      <c r="N1987" s="12" t="s">
        <v>6071</v>
      </c>
      <c r="O1987" s="12" t="s">
        <v>6134</v>
      </c>
      <c r="P1987" s="12"/>
      <c r="Q1987" s="12">
        <v>1</v>
      </c>
    </row>
    <row r="1988" spans="1:17" ht="15.75" customHeight="1">
      <c r="A1988" s="12">
        <v>1363</v>
      </c>
      <c r="B1988" s="12">
        <v>1467</v>
      </c>
      <c r="C1988" s="12">
        <v>23086</v>
      </c>
      <c r="D1988" s="12" t="s">
        <v>6047</v>
      </c>
      <c r="E1988" s="12" t="s">
        <v>13475</v>
      </c>
      <c r="F1988" s="12" t="s">
        <v>13476</v>
      </c>
      <c r="G1988" s="12" t="s">
        <v>13477</v>
      </c>
      <c r="H1988" s="12" t="s">
        <v>6051</v>
      </c>
      <c r="I1988" s="12" t="s">
        <v>6748</v>
      </c>
      <c r="J1988" s="12">
        <v>23086</v>
      </c>
      <c r="K1988" s="12" t="s">
        <v>6077</v>
      </c>
      <c r="L1988" s="12" t="s">
        <v>6078</v>
      </c>
      <c r="M1988" s="13">
        <v>41915</v>
      </c>
      <c r="N1988" s="12" t="s">
        <v>6079</v>
      </c>
      <c r="O1988" s="12" t="s">
        <v>7172</v>
      </c>
      <c r="P1988" s="12"/>
      <c r="Q1988" s="12">
        <v>1</v>
      </c>
    </row>
    <row r="1989" spans="1:17" ht="15.75" customHeight="1">
      <c r="A1989" s="12">
        <v>616</v>
      </c>
      <c r="B1989" s="12">
        <v>1806</v>
      </c>
      <c r="C1989" s="12">
        <v>33486</v>
      </c>
      <c r="D1989" s="12" t="s">
        <v>6047</v>
      </c>
      <c r="E1989" s="12" t="s">
        <v>13478</v>
      </c>
      <c r="F1989" s="12" t="s">
        <v>13479</v>
      </c>
      <c r="G1989" s="12" t="s">
        <v>13480</v>
      </c>
      <c r="H1989" s="12" t="s">
        <v>6051</v>
      </c>
      <c r="I1989" s="12" t="s">
        <v>6374</v>
      </c>
      <c r="J1989" s="12">
        <v>33486</v>
      </c>
      <c r="K1989" s="12" t="s">
        <v>7160</v>
      </c>
      <c r="L1989" s="12" t="s">
        <v>6408</v>
      </c>
      <c r="M1989" s="13">
        <v>43558</v>
      </c>
      <c r="N1989" s="12" t="s">
        <v>7161</v>
      </c>
      <c r="O1989" s="12" t="s">
        <v>7384</v>
      </c>
      <c r="P1989" s="12"/>
      <c r="Q1989" s="12">
        <v>1</v>
      </c>
    </row>
    <row r="1990" spans="1:17" ht="15.75" customHeight="1">
      <c r="A1990" s="12">
        <v>1112</v>
      </c>
      <c r="B1990" s="12">
        <v>1809</v>
      </c>
      <c r="C1990" s="12">
        <v>33559</v>
      </c>
      <c r="D1990" s="12" t="s">
        <v>6047</v>
      </c>
      <c r="E1990" s="12" t="s">
        <v>13481</v>
      </c>
      <c r="F1990" s="12" t="s">
        <v>13482</v>
      </c>
      <c r="G1990" s="12" t="s">
        <v>13483</v>
      </c>
      <c r="H1990" s="12" t="s">
        <v>6051</v>
      </c>
      <c r="I1990" s="12" t="s">
        <v>13484</v>
      </c>
      <c r="J1990" s="12">
        <v>33559</v>
      </c>
      <c r="K1990" s="12" t="s">
        <v>6392</v>
      </c>
      <c r="L1990" s="12" t="s">
        <v>6393</v>
      </c>
      <c r="M1990" s="13">
        <v>42496</v>
      </c>
      <c r="N1990" s="12" t="s">
        <v>6394</v>
      </c>
      <c r="O1990" s="12" t="s">
        <v>13485</v>
      </c>
      <c r="P1990" s="12"/>
      <c r="Q1990" s="12">
        <v>1</v>
      </c>
    </row>
    <row r="1991" spans="1:17" ht="15.75" customHeight="1">
      <c r="A1991" s="12">
        <v>192</v>
      </c>
      <c r="B1991" s="12">
        <v>372</v>
      </c>
      <c r="C1991" s="12">
        <v>5631</v>
      </c>
      <c r="D1991" s="12" t="s">
        <v>6047</v>
      </c>
      <c r="E1991" s="12" t="s">
        <v>13486</v>
      </c>
      <c r="F1991" s="12" t="s">
        <v>13487</v>
      </c>
      <c r="G1991" s="12" t="s">
        <v>13488</v>
      </c>
      <c r="H1991" s="12" t="s">
        <v>6213</v>
      </c>
      <c r="I1991" s="12" t="s">
        <v>6214</v>
      </c>
      <c r="J1991" s="12">
        <v>5631</v>
      </c>
      <c r="K1991" s="12" t="s">
        <v>13489</v>
      </c>
      <c r="L1991" s="12" t="s">
        <v>8066</v>
      </c>
      <c r="M1991" s="13">
        <v>45750</v>
      </c>
      <c r="N1991" s="12" t="s">
        <v>13490</v>
      </c>
      <c r="O1991" s="12" t="s">
        <v>13491</v>
      </c>
      <c r="P1991" s="12"/>
      <c r="Q1991" s="12">
        <v>1</v>
      </c>
    </row>
    <row r="1992" spans="1:17" ht="15.75" customHeight="1">
      <c r="A1992" s="12">
        <v>724</v>
      </c>
      <c r="B1992" s="12">
        <v>1080</v>
      </c>
      <c r="C1992" s="12">
        <v>15554</v>
      </c>
      <c r="D1992" s="12" t="s">
        <v>6047</v>
      </c>
      <c r="E1992" s="12" t="s">
        <v>13492</v>
      </c>
      <c r="F1992" s="12" t="s">
        <v>13493</v>
      </c>
      <c r="G1992" s="12" t="s">
        <v>13494</v>
      </c>
      <c r="H1992" s="12" t="s">
        <v>6051</v>
      </c>
      <c r="I1992" s="12" t="s">
        <v>6476</v>
      </c>
      <c r="J1992" s="12">
        <v>15554</v>
      </c>
      <c r="K1992" s="12" t="s">
        <v>7193</v>
      </c>
      <c r="L1992" s="12" t="s">
        <v>7194</v>
      </c>
      <c r="M1992" s="13">
        <v>43199</v>
      </c>
      <c r="N1992" s="12" t="s">
        <v>7195</v>
      </c>
      <c r="O1992" s="12" t="s">
        <v>7196</v>
      </c>
      <c r="P1992" s="12"/>
      <c r="Q1992" s="12">
        <v>1</v>
      </c>
    </row>
    <row r="1993" spans="1:17" ht="15.75" customHeight="1">
      <c r="A1993" s="12">
        <v>1949</v>
      </c>
      <c r="B1993" s="12">
        <v>943</v>
      </c>
      <c r="C1993" s="12">
        <v>12750</v>
      </c>
      <c r="D1993" s="12" t="s">
        <v>6047</v>
      </c>
      <c r="E1993" s="12" t="s">
        <v>13495</v>
      </c>
      <c r="F1993" s="12" t="s">
        <v>13496</v>
      </c>
      <c r="G1993" s="12" t="s">
        <v>13497</v>
      </c>
      <c r="H1993" s="12" t="s">
        <v>6627</v>
      </c>
      <c r="I1993" s="12" t="s">
        <v>6628</v>
      </c>
      <c r="J1993" s="12">
        <v>12750</v>
      </c>
      <c r="K1993" s="12" t="s">
        <v>6548</v>
      </c>
      <c r="L1993" s="12" t="s">
        <v>6549</v>
      </c>
      <c r="M1993" s="13">
        <v>38580</v>
      </c>
      <c r="N1993" s="12" t="s">
        <v>6550</v>
      </c>
      <c r="O1993" s="12" t="s">
        <v>6551</v>
      </c>
      <c r="P1993" s="12"/>
      <c r="Q1993" s="12">
        <v>1</v>
      </c>
    </row>
    <row r="1994" spans="1:17" ht="15.75" customHeight="1">
      <c r="A1994" s="12">
        <v>727</v>
      </c>
      <c r="B1994" s="12">
        <v>957</v>
      </c>
      <c r="C1994" s="12">
        <v>12933</v>
      </c>
      <c r="D1994" s="12" t="s">
        <v>6047</v>
      </c>
      <c r="E1994" s="12" t="s">
        <v>13498</v>
      </c>
      <c r="F1994" s="12" t="s">
        <v>13499</v>
      </c>
      <c r="G1994" s="12" t="s">
        <v>13500</v>
      </c>
      <c r="H1994" s="12" t="s">
        <v>6627</v>
      </c>
      <c r="I1994" s="12" t="s">
        <v>7504</v>
      </c>
      <c r="J1994" s="12">
        <v>12933</v>
      </c>
      <c r="K1994" s="12" t="s">
        <v>7193</v>
      </c>
      <c r="L1994" s="12" t="s">
        <v>7194</v>
      </c>
      <c r="M1994" s="13">
        <v>43199</v>
      </c>
      <c r="N1994" s="12" t="s">
        <v>7195</v>
      </c>
      <c r="O1994" s="12" t="s">
        <v>7196</v>
      </c>
      <c r="P1994" s="12"/>
      <c r="Q1994" s="12">
        <v>1</v>
      </c>
    </row>
    <row r="1995" spans="1:17" ht="15.75" customHeight="1">
      <c r="A1995" s="12">
        <v>1067</v>
      </c>
      <c r="B1995" s="12">
        <v>1720</v>
      </c>
      <c r="C1995" s="12">
        <v>32018</v>
      </c>
      <c r="D1995" s="12" t="s">
        <v>6047</v>
      </c>
      <c r="E1995" s="12" t="s">
        <v>13501</v>
      </c>
      <c r="F1995" s="12" t="s">
        <v>13502</v>
      </c>
      <c r="G1995" s="12" t="s">
        <v>13503</v>
      </c>
      <c r="H1995" s="12" t="s">
        <v>6051</v>
      </c>
      <c r="I1995" s="12" t="s">
        <v>6232</v>
      </c>
      <c r="J1995" s="12">
        <v>32018</v>
      </c>
      <c r="K1995" s="12" t="s">
        <v>6927</v>
      </c>
      <c r="L1995" s="12" t="s">
        <v>6504</v>
      </c>
      <c r="M1995" s="13">
        <v>42686</v>
      </c>
      <c r="N1995" s="12" t="s">
        <v>6928</v>
      </c>
      <c r="O1995" s="12" t="s">
        <v>6929</v>
      </c>
      <c r="P1995" s="12"/>
      <c r="Q1995" s="12">
        <v>1</v>
      </c>
    </row>
    <row r="1996" spans="1:17" ht="15.75" customHeight="1">
      <c r="A1996" s="12">
        <v>1891</v>
      </c>
      <c r="B1996" s="12">
        <v>597</v>
      </c>
      <c r="C1996" s="12">
        <v>7591</v>
      </c>
      <c r="D1996" s="12" t="s">
        <v>6047</v>
      </c>
      <c r="E1996" s="12" t="s">
        <v>5909</v>
      </c>
      <c r="F1996" s="12" t="s">
        <v>13504</v>
      </c>
      <c r="G1996" s="12" t="s">
        <v>13505</v>
      </c>
      <c r="H1996" s="12" t="s">
        <v>6187</v>
      </c>
      <c r="I1996" s="12" t="s">
        <v>6224</v>
      </c>
      <c r="J1996" s="12">
        <v>7591</v>
      </c>
      <c r="K1996" s="12" t="s">
        <v>7357</v>
      </c>
      <c r="L1996" s="12" t="s">
        <v>6709</v>
      </c>
      <c r="M1996" s="13">
        <v>40174</v>
      </c>
      <c r="N1996" s="12" t="s">
        <v>7358</v>
      </c>
      <c r="O1996" s="12" t="s">
        <v>7359</v>
      </c>
      <c r="P1996" s="12"/>
      <c r="Q1996" s="12">
        <v>1</v>
      </c>
    </row>
    <row r="1997" spans="1:17" ht="15.75" customHeight="1">
      <c r="A1997" s="12">
        <v>169</v>
      </c>
      <c r="B1997" s="12">
        <v>1907</v>
      </c>
      <c r="C1997" s="12">
        <v>34383</v>
      </c>
      <c r="D1997" s="12" t="s">
        <v>6047</v>
      </c>
      <c r="E1997" s="12" t="s">
        <v>13506</v>
      </c>
      <c r="F1997" s="12" t="s">
        <v>13507</v>
      </c>
      <c r="G1997" s="12" t="s">
        <v>13508</v>
      </c>
      <c r="H1997" s="12" t="s">
        <v>6051</v>
      </c>
      <c r="I1997" s="12" t="s">
        <v>6362</v>
      </c>
      <c r="J1997" s="12">
        <v>34383</v>
      </c>
      <c r="K1997" s="12" t="s">
        <v>7145</v>
      </c>
      <c r="L1997" s="12" t="s">
        <v>6709</v>
      </c>
      <c r="M1997" s="13">
        <v>45753</v>
      </c>
      <c r="N1997" s="12" t="s">
        <v>7146</v>
      </c>
      <c r="O1997" s="12" t="s">
        <v>7147</v>
      </c>
      <c r="P1997" s="12"/>
      <c r="Q1997" s="12">
        <v>1</v>
      </c>
    </row>
    <row r="1998" spans="1:17" ht="15.75" customHeight="1">
      <c r="A1998" s="12">
        <v>983</v>
      </c>
      <c r="B1998" s="12">
        <v>1160</v>
      </c>
      <c r="C1998" s="12">
        <v>16653</v>
      </c>
      <c r="D1998" s="12" t="s">
        <v>6047</v>
      </c>
      <c r="E1998" s="12" t="s">
        <v>13509</v>
      </c>
      <c r="F1998" s="12" t="s">
        <v>13510</v>
      </c>
      <c r="G1998" s="12" t="s">
        <v>13511</v>
      </c>
      <c r="H1998" s="12" t="s">
        <v>6051</v>
      </c>
      <c r="I1998" s="12" t="s">
        <v>6052</v>
      </c>
      <c r="J1998" s="12">
        <v>16653</v>
      </c>
      <c r="K1998" s="12" t="s">
        <v>13512</v>
      </c>
      <c r="L1998" s="12" t="s">
        <v>6357</v>
      </c>
      <c r="M1998" s="13">
        <v>42694</v>
      </c>
      <c r="N1998" s="12" t="s">
        <v>13513</v>
      </c>
      <c r="O1998" s="12" t="s">
        <v>13514</v>
      </c>
      <c r="P1998" s="12"/>
      <c r="Q1998" s="12">
        <v>1</v>
      </c>
    </row>
    <row r="1999" spans="1:17" ht="15.75" customHeight="1">
      <c r="A1999" s="12">
        <v>1711</v>
      </c>
      <c r="B1999" s="12">
        <v>2024</v>
      </c>
      <c r="C1999" s="12">
        <v>35692</v>
      </c>
      <c r="D1999" s="12" t="s">
        <v>6047</v>
      </c>
      <c r="E1999" s="12" t="s">
        <v>13515</v>
      </c>
      <c r="F1999" s="12" t="s">
        <v>13516</v>
      </c>
      <c r="G1999" s="12" t="s">
        <v>13517</v>
      </c>
      <c r="H1999" s="12" t="s">
        <v>6051</v>
      </c>
      <c r="I1999" s="12" t="s">
        <v>6700</v>
      </c>
      <c r="J1999" s="12">
        <v>35692</v>
      </c>
      <c r="K1999" s="12" t="s">
        <v>7332</v>
      </c>
      <c r="L1999" s="12" t="s">
        <v>7333</v>
      </c>
      <c r="M1999" s="13">
        <v>40877</v>
      </c>
      <c r="N1999" s="12" t="s">
        <v>7334</v>
      </c>
      <c r="O1999" s="12" t="s">
        <v>7335</v>
      </c>
      <c r="P1999" s="12"/>
      <c r="Q1999" s="12">
        <v>1</v>
      </c>
    </row>
    <row r="2000" spans="1:17" ht="15.75" customHeight="1">
      <c r="A2000" s="12">
        <v>844</v>
      </c>
      <c r="B2000" s="12">
        <v>1255</v>
      </c>
      <c r="C2000" s="12">
        <v>17787</v>
      </c>
      <c r="D2000" s="12" t="s">
        <v>6047</v>
      </c>
      <c r="E2000" s="12" t="s">
        <v>13518</v>
      </c>
      <c r="F2000" s="12" t="s">
        <v>13519</v>
      </c>
      <c r="G2000" s="12" t="s">
        <v>13520</v>
      </c>
      <c r="H2000" s="12" t="s">
        <v>6051</v>
      </c>
      <c r="I2000" s="12" t="s">
        <v>6857</v>
      </c>
      <c r="J2000" s="12">
        <v>17787</v>
      </c>
      <c r="K2000" s="12" t="s">
        <v>9335</v>
      </c>
      <c r="L2000" s="12" t="s">
        <v>6564</v>
      </c>
      <c r="M2000" s="13">
        <v>43020</v>
      </c>
      <c r="N2000" s="12" t="s">
        <v>9336</v>
      </c>
      <c r="O2000" s="12" t="s">
        <v>9337</v>
      </c>
      <c r="P2000" s="12"/>
      <c r="Q2000" s="12">
        <v>1</v>
      </c>
    </row>
    <row r="2001" spans="1:17" ht="15.75" customHeight="1">
      <c r="A2001" s="12">
        <v>1472</v>
      </c>
      <c r="B2001" s="12">
        <v>1740</v>
      </c>
      <c r="C2001" s="12">
        <v>32368</v>
      </c>
      <c r="D2001" s="12" t="s">
        <v>6047</v>
      </c>
      <c r="E2001" s="12" t="s">
        <v>13521</v>
      </c>
      <c r="F2001" s="12" t="s">
        <v>13522</v>
      </c>
      <c r="G2001" s="12" t="s">
        <v>13523</v>
      </c>
      <c r="H2001" s="12" t="s">
        <v>6051</v>
      </c>
      <c r="I2001" s="12" t="s">
        <v>6232</v>
      </c>
      <c r="J2001" s="12">
        <v>32368</v>
      </c>
      <c r="K2001" s="12" t="s">
        <v>6069</v>
      </c>
      <c r="L2001" s="12" t="s">
        <v>6070</v>
      </c>
      <c r="M2001" s="13">
        <v>41906</v>
      </c>
      <c r="N2001" s="12" t="s">
        <v>6071</v>
      </c>
      <c r="O2001" s="12" t="s">
        <v>6134</v>
      </c>
      <c r="P2001" s="12"/>
      <c r="Q2001" s="12">
        <v>1</v>
      </c>
    </row>
    <row r="2002" spans="1:17" ht="15.75" customHeight="1">
      <c r="A2002" s="12">
        <v>899</v>
      </c>
      <c r="B2002" s="12">
        <v>1133</v>
      </c>
      <c r="C2002" s="12">
        <v>16261</v>
      </c>
      <c r="D2002" s="12" t="s">
        <v>6047</v>
      </c>
      <c r="E2002" s="12" t="s">
        <v>13524</v>
      </c>
      <c r="F2002" s="12" t="s">
        <v>13525</v>
      </c>
      <c r="G2002" s="12" t="s">
        <v>13526</v>
      </c>
      <c r="H2002" s="12" t="s">
        <v>6051</v>
      </c>
      <c r="I2002" s="12" t="s">
        <v>6052</v>
      </c>
      <c r="J2002" s="12">
        <v>16261</v>
      </c>
      <c r="K2002" s="12" t="s">
        <v>9514</v>
      </c>
      <c r="L2002" s="12" t="s">
        <v>6054</v>
      </c>
      <c r="M2002" s="13">
        <v>42833</v>
      </c>
      <c r="N2002" s="12" t="s">
        <v>9515</v>
      </c>
      <c r="O2002" s="12" t="s">
        <v>9516</v>
      </c>
      <c r="P2002" s="12"/>
      <c r="Q2002" s="12">
        <v>1</v>
      </c>
    </row>
    <row r="2003" spans="1:17" ht="15.75" customHeight="1">
      <c r="A2003" s="12">
        <v>381</v>
      </c>
      <c r="B2003" s="12">
        <v>1342</v>
      </c>
      <c r="C2003" s="12">
        <v>19287</v>
      </c>
      <c r="D2003" s="12" t="s">
        <v>6047</v>
      </c>
      <c r="E2003" s="12" t="s">
        <v>13527</v>
      </c>
      <c r="F2003" s="12" t="s">
        <v>13528</v>
      </c>
      <c r="G2003" s="12" t="s">
        <v>13529</v>
      </c>
      <c r="H2003" s="12" t="s">
        <v>6051</v>
      </c>
      <c r="I2003" s="12" t="s">
        <v>7090</v>
      </c>
      <c r="J2003" s="12">
        <v>19287</v>
      </c>
      <c r="K2003" s="12" t="s">
        <v>9605</v>
      </c>
      <c r="L2003" s="12" t="s">
        <v>7311</v>
      </c>
      <c r="M2003" s="13">
        <v>44718</v>
      </c>
      <c r="N2003" s="12" t="s">
        <v>9606</v>
      </c>
      <c r="O2003" s="12" t="s">
        <v>9607</v>
      </c>
      <c r="P2003" s="12"/>
      <c r="Q2003" s="12">
        <v>1</v>
      </c>
    </row>
    <row r="2004" spans="1:17" ht="15.75" customHeight="1">
      <c r="A2004" s="12">
        <v>1819</v>
      </c>
      <c r="B2004" s="12">
        <v>956</v>
      </c>
      <c r="C2004" s="12">
        <v>12925</v>
      </c>
      <c r="D2004" s="12" t="s">
        <v>6047</v>
      </c>
      <c r="E2004" s="12" t="s">
        <v>13530</v>
      </c>
      <c r="F2004" s="12" t="s">
        <v>13531</v>
      </c>
      <c r="G2004" s="12" t="s">
        <v>13532</v>
      </c>
      <c r="H2004" s="12" t="s">
        <v>6627</v>
      </c>
      <c r="I2004" s="12" t="s">
        <v>7504</v>
      </c>
      <c r="J2004" s="12">
        <v>12925</v>
      </c>
      <c r="K2004" s="12" t="s">
        <v>6062</v>
      </c>
      <c r="L2004" s="12" t="s">
        <v>6063</v>
      </c>
      <c r="M2004" s="13">
        <v>40873</v>
      </c>
      <c r="N2004" s="12" t="s">
        <v>6064</v>
      </c>
      <c r="O2004" s="12" t="s">
        <v>6065</v>
      </c>
      <c r="P2004" s="12"/>
      <c r="Q2004" s="12">
        <v>1</v>
      </c>
    </row>
    <row r="2005" spans="1:17" ht="15.75" customHeight="1">
      <c r="A2005" s="12">
        <v>682</v>
      </c>
      <c r="B2005" s="12">
        <v>1810</v>
      </c>
      <c r="C2005" s="12">
        <v>33563</v>
      </c>
      <c r="D2005" s="12" t="s">
        <v>6047</v>
      </c>
      <c r="E2005" s="12" t="s">
        <v>5935</v>
      </c>
      <c r="F2005" s="12" t="s">
        <v>13533</v>
      </c>
      <c r="G2005" s="12" t="s">
        <v>13534</v>
      </c>
      <c r="H2005" s="12" t="s">
        <v>6051</v>
      </c>
      <c r="I2005" s="12" t="s">
        <v>6261</v>
      </c>
      <c r="J2005" s="12">
        <v>33563</v>
      </c>
      <c r="K2005" s="12" t="s">
        <v>12963</v>
      </c>
      <c r="L2005" s="12" t="s">
        <v>6531</v>
      </c>
      <c r="M2005" s="13">
        <v>43277</v>
      </c>
      <c r="N2005" s="12" t="s">
        <v>12964</v>
      </c>
      <c r="O2005" s="12" t="s">
        <v>12965</v>
      </c>
      <c r="P2005" s="12"/>
      <c r="Q2005" s="12">
        <v>1</v>
      </c>
    </row>
    <row r="2006" spans="1:17" ht="15.75" customHeight="1">
      <c r="A2006" s="12">
        <v>1870</v>
      </c>
      <c r="B2006" s="12">
        <v>899</v>
      </c>
      <c r="C2006" s="12">
        <v>11966</v>
      </c>
      <c r="D2006" s="12" t="s">
        <v>6047</v>
      </c>
      <c r="E2006" s="12" t="s">
        <v>13535</v>
      </c>
      <c r="F2006" s="12" t="s">
        <v>13536</v>
      </c>
      <c r="G2006" s="12" t="s">
        <v>13537</v>
      </c>
      <c r="H2006" s="12" t="s">
        <v>6340</v>
      </c>
      <c r="I2006" s="12" t="s">
        <v>6341</v>
      </c>
      <c r="J2006" s="12">
        <v>11966</v>
      </c>
      <c r="K2006" s="12" t="s">
        <v>6769</v>
      </c>
      <c r="L2006" s="12" t="s">
        <v>6709</v>
      </c>
      <c r="M2006" s="13">
        <v>40176</v>
      </c>
      <c r="N2006" s="12" t="s">
        <v>6770</v>
      </c>
      <c r="O2006" s="12" t="s">
        <v>6771</v>
      </c>
      <c r="P2006" s="12"/>
      <c r="Q2006" s="12">
        <v>1</v>
      </c>
    </row>
    <row r="2007" spans="1:17" ht="15.75" customHeight="1">
      <c r="A2007" s="12">
        <v>710</v>
      </c>
      <c r="B2007" s="12">
        <v>1849</v>
      </c>
      <c r="C2007" s="12">
        <v>33938</v>
      </c>
      <c r="D2007" s="12" t="s">
        <v>6047</v>
      </c>
      <c r="E2007" s="12" t="s">
        <v>13538</v>
      </c>
      <c r="F2007" s="12" t="s">
        <v>13539</v>
      </c>
      <c r="G2007" s="12" t="s">
        <v>13540</v>
      </c>
      <c r="H2007" s="12" t="s">
        <v>6051</v>
      </c>
      <c r="I2007" s="12" t="s">
        <v>6261</v>
      </c>
      <c r="J2007" s="12">
        <v>33938</v>
      </c>
      <c r="K2007" s="12" t="s">
        <v>13541</v>
      </c>
      <c r="L2007" s="12" t="s">
        <v>6839</v>
      </c>
      <c r="M2007" s="13">
        <v>43201</v>
      </c>
      <c r="N2007" s="12" t="s">
        <v>13542</v>
      </c>
      <c r="O2007" s="12" t="s">
        <v>13543</v>
      </c>
      <c r="P2007" s="12"/>
      <c r="Q2007" s="12">
        <v>1</v>
      </c>
    </row>
    <row r="2008" spans="1:17" ht="15.75" customHeight="1">
      <c r="A2008" s="12">
        <v>694</v>
      </c>
      <c r="B2008" s="12">
        <v>1624</v>
      </c>
      <c r="C2008" s="12">
        <v>28710</v>
      </c>
      <c r="D2008" s="12" t="s">
        <v>6047</v>
      </c>
      <c r="E2008" s="12" t="s">
        <v>13544</v>
      </c>
      <c r="F2008" s="12" t="s">
        <v>13545</v>
      </c>
      <c r="G2008" s="12" t="s">
        <v>13546</v>
      </c>
      <c r="H2008" s="12" t="s">
        <v>6051</v>
      </c>
      <c r="I2008" s="12" t="s">
        <v>6366</v>
      </c>
      <c r="J2008" s="12">
        <v>28710</v>
      </c>
      <c r="K2008" s="12" t="s">
        <v>7512</v>
      </c>
      <c r="L2008" s="12" t="s">
        <v>7254</v>
      </c>
      <c r="M2008" s="13">
        <v>43204</v>
      </c>
      <c r="N2008" s="12" t="s">
        <v>7513</v>
      </c>
      <c r="O2008" s="12" t="s">
        <v>7514</v>
      </c>
      <c r="P2008" s="12"/>
      <c r="Q2008" s="12">
        <v>1</v>
      </c>
    </row>
    <row r="2009" spans="1:17" ht="15.75" customHeight="1">
      <c r="A2009" s="12">
        <v>333</v>
      </c>
      <c r="B2009" s="12">
        <v>955</v>
      </c>
      <c r="C2009" s="12">
        <v>12921</v>
      </c>
      <c r="D2009" s="12" t="s">
        <v>6047</v>
      </c>
      <c r="E2009" s="12" t="s">
        <v>13547</v>
      </c>
      <c r="F2009" s="12" t="s">
        <v>13548</v>
      </c>
      <c r="G2009" s="12" t="s">
        <v>13549</v>
      </c>
      <c r="H2009" s="12" t="s">
        <v>6627</v>
      </c>
      <c r="I2009" s="12" t="s">
        <v>7504</v>
      </c>
      <c r="J2009" s="12">
        <v>12921</v>
      </c>
      <c r="K2009" s="12" t="s">
        <v>8338</v>
      </c>
      <c r="L2009" s="12" t="s">
        <v>6732</v>
      </c>
      <c r="M2009" s="13">
        <v>44726</v>
      </c>
      <c r="N2009" s="12" t="s">
        <v>8339</v>
      </c>
      <c r="O2009" s="12" t="s">
        <v>8340</v>
      </c>
      <c r="P2009" s="12"/>
      <c r="Q2009" s="12">
        <v>1</v>
      </c>
    </row>
    <row r="2010" spans="1:17" ht="15.75" customHeight="1">
      <c r="A2010" s="12">
        <v>1958</v>
      </c>
      <c r="B2010" s="12">
        <v>114</v>
      </c>
      <c r="C2010" s="12">
        <v>1839</v>
      </c>
      <c r="D2010" s="12" t="s">
        <v>6047</v>
      </c>
      <c r="E2010" s="12" t="s">
        <v>13550</v>
      </c>
      <c r="F2010" s="12" t="s">
        <v>13551</v>
      </c>
      <c r="G2010" s="12" t="s">
        <v>13552</v>
      </c>
      <c r="H2010" s="12" t="s">
        <v>6435</v>
      </c>
      <c r="I2010" s="12" t="s">
        <v>6920</v>
      </c>
      <c r="J2010" s="12">
        <v>1839</v>
      </c>
      <c r="K2010" s="12" t="s">
        <v>6548</v>
      </c>
      <c r="L2010" s="12" t="s">
        <v>6549</v>
      </c>
      <c r="M2010" s="13">
        <v>38580</v>
      </c>
      <c r="N2010" s="12" t="s">
        <v>6550</v>
      </c>
      <c r="O2010" s="12" t="s">
        <v>6551</v>
      </c>
      <c r="P2010" s="12"/>
      <c r="Q2010" s="12">
        <v>1</v>
      </c>
    </row>
    <row r="2011" spans="1:17" ht="15.75" customHeight="1">
      <c r="A2011" s="12">
        <v>1700</v>
      </c>
      <c r="B2011" s="12">
        <v>1147</v>
      </c>
      <c r="C2011" s="12">
        <v>16475</v>
      </c>
      <c r="D2011" s="12" t="s">
        <v>6047</v>
      </c>
      <c r="E2011" s="12" t="s">
        <v>13553</v>
      </c>
      <c r="F2011" s="12" t="s">
        <v>13554</v>
      </c>
      <c r="G2011" s="12" t="s">
        <v>13555</v>
      </c>
      <c r="H2011" s="12" t="s">
        <v>6051</v>
      </c>
      <c r="I2011" s="12" t="s">
        <v>6052</v>
      </c>
      <c r="J2011" s="12">
        <v>16475</v>
      </c>
      <c r="K2011" s="12" t="s">
        <v>8598</v>
      </c>
      <c r="L2011" s="12" t="s">
        <v>7333</v>
      </c>
      <c r="M2011" s="13">
        <v>40878</v>
      </c>
      <c r="N2011" s="12" t="s">
        <v>8599</v>
      </c>
      <c r="O2011" s="12" t="s">
        <v>8600</v>
      </c>
      <c r="P2011" s="12"/>
      <c r="Q2011" s="12">
        <v>1</v>
      </c>
    </row>
    <row r="2012" spans="1:17" ht="15.75" customHeight="1">
      <c r="A2012" s="12">
        <v>89</v>
      </c>
      <c r="B2012" s="12">
        <v>1265</v>
      </c>
      <c r="C2012" s="12">
        <v>17883</v>
      </c>
      <c r="D2012" s="12" t="s">
        <v>6047</v>
      </c>
      <c r="E2012" s="12" t="s">
        <v>5955</v>
      </c>
      <c r="F2012" s="12" t="s">
        <v>13556</v>
      </c>
      <c r="G2012" s="12" t="s">
        <v>13557</v>
      </c>
      <c r="H2012" s="12" t="s">
        <v>6051</v>
      </c>
      <c r="I2012" s="12" t="s">
        <v>6857</v>
      </c>
      <c r="J2012" s="12">
        <v>17883</v>
      </c>
      <c r="K2012" s="12" t="s">
        <v>13558</v>
      </c>
      <c r="L2012" s="12" t="s">
        <v>6590</v>
      </c>
      <c r="M2012" s="13">
        <v>45968</v>
      </c>
      <c r="N2012" s="12" t="s">
        <v>13559</v>
      </c>
      <c r="O2012" s="12" t="s">
        <v>13560</v>
      </c>
      <c r="P2012" s="12"/>
      <c r="Q2012" s="12">
        <v>1</v>
      </c>
    </row>
    <row r="2013" spans="1:17" ht="15.75" customHeight="1">
      <c r="A2013" s="12">
        <v>1016</v>
      </c>
      <c r="B2013" s="12">
        <v>1821</v>
      </c>
      <c r="C2013" s="12">
        <v>33649</v>
      </c>
      <c r="D2013" s="12" t="s">
        <v>6047</v>
      </c>
      <c r="E2013" s="12" t="s">
        <v>13561</v>
      </c>
      <c r="F2013" s="12" t="s">
        <v>13562</v>
      </c>
      <c r="G2013" s="12" t="s">
        <v>13563</v>
      </c>
      <c r="H2013" s="12" t="s">
        <v>6051</v>
      </c>
      <c r="I2013" s="12" t="s">
        <v>6261</v>
      </c>
      <c r="J2013" s="12">
        <v>33649</v>
      </c>
      <c r="K2013" s="12" t="s">
        <v>6875</v>
      </c>
      <c r="L2013" s="12" t="s">
        <v>6357</v>
      </c>
      <c r="M2013" s="13">
        <v>42691</v>
      </c>
      <c r="N2013" s="12" t="s">
        <v>6876</v>
      </c>
      <c r="O2013" s="12" t="s">
        <v>6877</v>
      </c>
      <c r="P2013" s="12"/>
      <c r="Q2013" s="12">
        <v>1</v>
      </c>
    </row>
    <row r="2014" spans="1:17" ht="15.75" customHeight="1">
      <c r="A2014" s="12">
        <v>812</v>
      </c>
      <c r="B2014" s="12">
        <v>1299</v>
      </c>
      <c r="C2014" s="12">
        <v>18377</v>
      </c>
      <c r="D2014" s="12" t="s">
        <v>6047</v>
      </c>
      <c r="E2014" s="12" t="s">
        <v>13564</v>
      </c>
      <c r="F2014" s="12" t="s">
        <v>13565</v>
      </c>
      <c r="G2014" s="12" t="s">
        <v>13566</v>
      </c>
      <c r="H2014" s="12" t="s">
        <v>6051</v>
      </c>
      <c r="I2014" s="12" t="s">
        <v>7763</v>
      </c>
      <c r="J2014" s="12">
        <v>18377</v>
      </c>
      <c r="K2014" s="12" t="s">
        <v>13567</v>
      </c>
      <c r="L2014" s="12" t="s">
        <v>6590</v>
      </c>
      <c r="M2014" s="13">
        <v>43029</v>
      </c>
      <c r="N2014" s="12" t="s">
        <v>13568</v>
      </c>
      <c r="O2014" s="12" t="s">
        <v>13569</v>
      </c>
      <c r="P2014" s="12"/>
      <c r="Q2014" s="12">
        <v>1</v>
      </c>
    </row>
    <row r="2015" spans="1:17" ht="15.75" customHeight="1">
      <c r="A2015" s="12">
        <v>1364</v>
      </c>
      <c r="B2015" s="12">
        <v>837</v>
      </c>
      <c r="C2015" s="12">
        <v>10600</v>
      </c>
      <c r="D2015" s="12" t="s">
        <v>6047</v>
      </c>
      <c r="E2015" s="12" t="s">
        <v>5958</v>
      </c>
      <c r="F2015" s="12" t="s">
        <v>13570</v>
      </c>
      <c r="G2015" s="12" t="s">
        <v>13571</v>
      </c>
      <c r="H2015" s="12" t="s">
        <v>6060</v>
      </c>
      <c r="I2015" s="12" t="s">
        <v>7183</v>
      </c>
      <c r="J2015" s="12">
        <v>10600</v>
      </c>
      <c r="K2015" s="12" t="s">
        <v>6077</v>
      </c>
      <c r="L2015" s="12" t="s">
        <v>6078</v>
      </c>
      <c r="M2015" s="13">
        <v>41915</v>
      </c>
      <c r="N2015" s="12" t="s">
        <v>6079</v>
      </c>
      <c r="O2015" s="12" t="s">
        <v>7172</v>
      </c>
      <c r="P2015" s="12"/>
      <c r="Q2015" s="12">
        <v>1</v>
      </c>
    </row>
    <row r="2016" spans="1:17" ht="15.75" customHeight="1">
      <c r="A2016" s="12">
        <v>1764</v>
      </c>
      <c r="B2016" s="12">
        <v>1885</v>
      </c>
      <c r="C2016" s="12">
        <v>34159</v>
      </c>
      <c r="D2016" s="12" t="s">
        <v>6047</v>
      </c>
      <c r="E2016" s="12" t="s">
        <v>5960</v>
      </c>
      <c r="F2016" s="12" t="s">
        <v>13572</v>
      </c>
      <c r="G2016" s="12" t="s">
        <v>13573</v>
      </c>
      <c r="H2016" s="12" t="s">
        <v>6051</v>
      </c>
      <c r="I2016" s="12" t="s">
        <v>6362</v>
      </c>
      <c r="J2016" s="12">
        <v>34159</v>
      </c>
      <c r="K2016" s="12" t="s">
        <v>6062</v>
      </c>
      <c r="L2016" s="12" t="s">
        <v>6063</v>
      </c>
      <c r="M2016" s="13">
        <v>40873</v>
      </c>
      <c r="N2016" s="12" t="s">
        <v>6064</v>
      </c>
      <c r="O2016" s="12" t="s">
        <v>6065</v>
      </c>
      <c r="P2016" s="12"/>
      <c r="Q2016" s="12">
        <v>1</v>
      </c>
    </row>
    <row r="2017" spans="1:17" ht="15.75" customHeight="1">
      <c r="A2017" s="12">
        <v>842</v>
      </c>
      <c r="B2017" s="12">
        <v>916</v>
      </c>
      <c r="C2017" s="12">
        <v>12151</v>
      </c>
      <c r="D2017" s="12" t="s">
        <v>6047</v>
      </c>
      <c r="E2017" s="12" t="s">
        <v>13574</v>
      </c>
      <c r="F2017" s="12" t="s">
        <v>13575</v>
      </c>
      <c r="G2017" s="12" t="s">
        <v>13576</v>
      </c>
      <c r="H2017" s="12" t="s">
        <v>6627</v>
      </c>
      <c r="I2017" s="12" t="s">
        <v>9110</v>
      </c>
      <c r="J2017" s="12">
        <v>12151</v>
      </c>
      <c r="K2017" s="12" t="s">
        <v>13577</v>
      </c>
      <c r="L2017" s="12" t="s">
        <v>6564</v>
      </c>
      <c r="M2017" s="13">
        <v>43020</v>
      </c>
      <c r="N2017" s="12" t="s">
        <v>13578</v>
      </c>
      <c r="O2017" s="12" t="s">
        <v>13579</v>
      </c>
      <c r="P2017" s="12"/>
      <c r="Q2017" s="12">
        <v>1</v>
      </c>
    </row>
    <row r="2018" spans="1:17" ht="15.75" customHeight="1">
      <c r="A2018" s="12">
        <v>1781</v>
      </c>
      <c r="B2018" s="12">
        <v>1828</v>
      </c>
      <c r="C2018" s="12">
        <v>33700</v>
      </c>
      <c r="D2018" s="12" t="s">
        <v>6047</v>
      </c>
      <c r="E2018" s="12" t="s">
        <v>13580</v>
      </c>
      <c r="F2018" s="12" t="s">
        <v>13581</v>
      </c>
      <c r="G2018" s="12" t="s">
        <v>13582</v>
      </c>
      <c r="H2018" s="12" t="s">
        <v>6051</v>
      </c>
      <c r="I2018" s="12" t="s">
        <v>6261</v>
      </c>
      <c r="J2018" s="12">
        <v>33700</v>
      </c>
      <c r="K2018" s="12" t="s">
        <v>6062</v>
      </c>
      <c r="L2018" s="12" t="s">
        <v>6063</v>
      </c>
      <c r="M2018" s="13">
        <v>40873</v>
      </c>
      <c r="N2018" s="12" t="s">
        <v>6064</v>
      </c>
      <c r="O2018" s="12" t="s">
        <v>6065</v>
      </c>
      <c r="P2018" s="12"/>
      <c r="Q2018" s="12">
        <v>1</v>
      </c>
    </row>
    <row r="2019" spans="1:17" ht="15.75" customHeight="1">
      <c r="A2019" s="12">
        <v>397</v>
      </c>
      <c r="B2019" s="12">
        <v>1800</v>
      </c>
      <c r="C2019" s="12">
        <v>33446</v>
      </c>
      <c r="D2019" s="12" t="s">
        <v>6047</v>
      </c>
      <c r="E2019" s="12" t="s">
        <v>13583</v>
      </c>
      <c r="F2019" s="12" t="s">
        <v>13584</v>
      </c>
      <c r="G2019" s="12" t="s">
        <v>13585</v>
      </c>
      <c r="H2019" s="12" t="s">
        <v>6051</v>
      </c>
      <c r="I2019" s="12" t="s">
        <v>6374</v>
      </c>
      <c r="J2019" s="12">
        <v>33446</v>
      </c>
      <c r="K2019" s="12" t="s">
        <v>7846</v>
      </c>
      <c r="L2019" s="12" t="s">
        <v>7020</v>
      </c>
      <c r="M2019" s="13">
        <v>44716</v>
      </c>
      <c r="N2019" s="12" t="s">
        <v>7847</v>
      </c>
      <c r="O2019" s="12" t="s">
        <v>7848</v>
      </c>
      <c r="P2019" s="12"/>
      <c r="Q2019" s="12">
        <v>1</v>
      </c>
    </row>
    <row r="2020" spans="1:17" ht="15.75" customHeight="1">
      <c r="A2020" s="12">
        <v>544</v>
      </c>
      <c r="B2020" s="12">
        <v>1758</v>
      </c>
      <c r="C2020" s="12">
        <v>32847</v>
      </c>
      <c r="D2020" s="12" t="s">
        <v>6047</v>
      </c>
      <c r="E2020" s="12" t="s">
        <v>13586</v>
      </c>
      <c r="F2020" s="12" t="s">
        <v>13587</v>
      </c>
      <c r="G2020" s="12" t="s">
        <v>13588</v>
      </c>
      <c r="H2020" s="12" t="s">
        <v>6051</v>
      </c>
      <c r="I2020" s="12" t="s">
        <v>6374</v>
      </c>
      <c r="J2020" s="12">
        <v>32847</v>
      </c>
      <c r="K2020" s="12" t="s">
        <v>7441</v>
      </c>
      <c r="L2020" s="12" t="s">
        <v>6408</v>
      </c>
      <c r="M2020" s="13">
        <v>43563</v>
      </c>
      <c r="N2020" s="12" t="s">
        <v>7442</v>
      </c>
      <c r="O2020" s="12" t="s">
        <v>8248</v>
      </c>
      <c r="P2020" s="12"/>
      <c r="Q2020" s="12">
        <v>1</v>
      </c>
    </row>
    <row r="2021" spans="1:17" ht="15.75" customHeight="1">
      <c r="A2021" s="12">
        <v>361</v>
      </c>
      <c r="B2021" s="12">
        <v>1723</v>
      </c>
      <c r="C2021" s="12">
        <v>32030</v>
      </c>
      <c r="D2021" s="12" t="s">
        <v>6047</v>
      </c>
      <c r="E2021" s="12" t="s">
        <v>13589</v>
      </c>
      <c r="F2021" s="12" t="s">
        <v>13590</v>
      </c>
      <c r="G2021" s="12" t="s">
        <v>13591</v>
      </c>
      <c r="H2021" s="12" t="s">
        <v>6051</v>
      </c>
      <c r="I2021" s="12" t="s">
        <v>6232</v>
      </c>
      <c r="J2021" s="12">
        <v>32030</v>
      </c>
      <c r="K2021" s="12" t="s">
        <v>7010</v>
      </c>
      <c r="L2021" s="12" t="s">
        <v>6226</v>
      </c>
      <c r="M2021" s="13">
        <v>44721</v>
      </c>
      <c r="N2021" s="12" t="s">
        <v>7011</v>
      </c>
      <c r="O2021" s="12" t="s">
        <v>7012</v>
      </c>
      <c r="P2021" s="12"/>
      <c r="Q2021" s="12">
        <v>1</v>
      </c>
    </row>
    <row r="2022" spans="1:17" ht="15.75" customHeight="1">
      <c r="A2022" s="12">
        <v>23</v>
      </c>
      <c r="B2022" s="12">
        <v>1274</v>
      </c>
      <c r="C2022" s="12">
        <v>18119</v>
      </c>
      <c r="D2022" s="12" t="s">
        <v>6047</v>
      </c>
      <c r="E2022" s="12" t="s">
        <v>6003</v>
      </c>
      <c r="F2022" s="12" t="s">
        <v>13592</v>
      </c>
      <c r="G2022" s="12" t="s">
        <v>13593</v>
      </c>
      <c r="H2022" s="12" t="s">
        <v>6051</v>
      </c>
      <c r="I2022" s="12" t="s">
        <v>6857</v>
      </c>
      <c r="J2022" s="12">
        <v>18119</v>
      </c>
      <c r="K2022" s="12" t="s">
        <v>7304</v>
      </c>
      <c r="L2022" s="12" t="s">
        <v>6905</v>
      </c>
      <c r="M2022" s="13">
        <v>45979</v>
      </c>
      <c r="N2022" s="12" t="s">
        <v>7305</v>
      </c>
      <c r="O2022" s="12" t="s">
        <v>7306</v>
      </c>
      <c r="P2022" s="12"/>
      <c r="Q2022" s="12">
        <v>1</v>
      </c>
    </row>
    <row r="2023" spans="1:17" ht="15.75" customHeight="1">
      <c r="A2023" s="12">
        <v>1971</v>
      </c>
      <c r="B2023" s="12">
        <v>1714</v>
      </c>
      <c r="C2023" s="12">
        <v>31935</v>
      </c>
      <c r="D2023" s="12" t="s">
        <v>6047</v>
      </c>
      <c r="E2023" s="12" t="s">
        <v>13594</v>
      </c>
      <c r="F2023" s="12" t="s">
        <v>13595</v>
      </c>
      <c r="G2023" s="12" t="s">
        <v>13596</v>
      </c>
      <c r="H2023" s="12" t="s">
        <v>6051</v>
      </c>
      <c r="I2023" s="12" t="s">
        <v>6178</v>
      </c>
      <c r="J2023" s="12">
        <v>31935</v>
      </c>
      <c r="K2023" s="12" t="s">
        <v>8445</v>
      </c>
      <c r="L2023" s="12" t="s">
        <v>8446</v>
      </c>
      <c r="M2023" s="13">
        <v>38576</v>
      </c>
      <c r="N2023" s="12" t="s">
        <v>8447</v>
      </c>
      <c r="O2023" s="12" t="s">
        <v>8448</v>
      </c>
      <c r="P2023" s="12"/>
      <c r="Q2023" s="12">
        <v>1</v>
      </c>
    </row>
    <row r="2024" spans="1:17" ht="15.75" customHeight="1">
      <c r="A2024" s="12">
        <v>115</v>
      </c>
      <c r="B2024" s="12">
        <v>1259</v>
      </c>
      <c r="C2024" s="12">
        <v>17813</v>
      </c>
      <c r="D2024" s="12" t="s">
        <v>6047</v>
      </c>
      <c r="E2024" s="12" t="s">
        <v>5993</v>
      </c>
      <c r="F2024" s="12" t="s">
        <v>13597</v>
      </c>
      <c r="G2024" s="12" t="s">
        <v>13598</v>
      </c>
      <c r="H2024" s="12" t="s">
        <v>6051</v>
      </c>
      <c r="I2024" s="12" t="s">
        <v>6857</v>
      </c>
      <c r="J2024" s="12">
        <v>17813</v>
      </c>
      <c r="K2024" s="12" t="s">
        <v>6671</v>
      </c>
      <c r="L2024" s="12" t="s">
        <v>6511</v>
      </c>
      <c r="M2024" s="13">
        <v>45966</v>
      </c>
      <c r="N2024" s="12" t="s">
        <v>6672</v>
      </c>
      <c r="O2024" s="12" t="s">
        <v>6673</v>
      </c>
      <c r="P2024" s="12"/>
      <c r="Q2024" s="12">
        <v>1</v>
      </c>
    </row>
    <row r="2025" spans="1:17" ht="15.75" customHeight="1">
      <c r="A2025" s="12">
        <v>963</v>
      </c>
      <c r="B2025" s="12">
        <v>854</v>
      </c>
      <c r="C2025" s="12">
        <v>10926</v>
      </c>
      <c r="D2025" s="12" t="s">
        <v>6047</v>
      </c>
      <c r="E2025" s="12" t="s">
        <v>13599</v>
      </c>
      <c r="F2025" s="12" t="s">
        <v>13600</v>
      </c>
      <c r="G2025" s="12" t="s">
        <v>13601</v>
      </c>
      <c r="H2025" s="12" t="s">
        <v>6060</v>
      </c>
      <c r="I2025" s="12" t="s">
        <v>7082</v>
      </c>
      <c r="J2025" s="12">
        <v>10926</v>
      </c>
      <c r="K2025" s="12" t="s">
        <v>9526</v>
      </c>
      <c r="L2025" s="12" t="s">
        <v>6357</v>
      </c>
      <c r="M2025" s="13">
        <v>42826</v>
      </c>
      <c r="N2025" s="12" t="s">
        <v>9527</v>
      </c>
      <c r="O2025" s="12" t="s">
        <v>9528</v>
      </c>
      <c r="P2025" s="12"/>
      <c r="Q2025" s="12">
        <v>1</v>
      </c>
    </row>
    <row r="2026" spans="1:17" ht="15.75" customHeight="1">
      <c r="A2026" s="12">
        <v>1799</v>
      </c>
      <c r="B2026" s="12">
        <v>1334</v>
      </c>
      <c r="C2026" s="12">
        <v>19220</v>
      </c>
      <c r="D2026" s="12" t="s">
        <v>6047</v>
      </c>
      <c r="E2026" s="12" t="s">
        <v>5995</v>
      </c>
      <c r="F2026" s="12" t="s">
        <v>13602</v>
      </c>
      <c r="G2026" s="12" t="s">
        <v>13603</v>
      </c>
      <c r="H2026" s="12" t="s">
        <v>6051</v>
      </c>
      <c r="I2026" s="12" t="s">
        <v>7090</v>
      </c>
      <c r="J2026" s="12">
        <v>19220</v>
      </c>
      <c r="K2026" s="12" t="s">
        <v>6062</v>
      </c>
      <c r="L2026" s="12" t="s">
        <v>6063</v>
      </c>
      <c r="M2026" s="13">
        <v>40873</v>
      </c>
      <c r="N2026" s="12" t="s">
        <v>6064</v>
      </c>
      <c r="O2026" s="12" t="s">
        <v>6065</v>
      </c>
      <c r="P2026" s="12"/>
      <c r="Q2026" s="12">
        <v>1</v>
      </c>
    </row>
    <row r="2027" spans="1:17" ht="15.75" customHeight="1">
      <c r="A2027" s="12">
        <v>1763</v>
      </c>
      <c r="B2027" s="12">
        <v>1886</v>
      </c>
      <c r="C2027" s="12">
        <v>34171</v>
      </c>
      <c r="D2027" s="12" t="s">
        <v>6047</v>
      </c>
      <c r="E2027" s="12" t="s">
        <v>13604</v>
      </c>
      <c r="F2027" s="12" t="s">
        <v>13605</v>
      </c>
      <c r="G2027" s="12" t="s">
        <v>13606</v>
      </c>
      <c r="H2027" s="12" t="s">
        <v>6051</v>
      </c>
      <c r="I2027" s="12" t="s">
        <v>6362</v>
      </c>
      <c r="J2027" s="12">
        <v>34171</v>
      </c>
      <c r="K2027" s="12" t="s">
        <v>6062</v>
      </c>
      <c r="L2027" s="12" t="s">
        <v>6063</v>
      </c>
      <c r="M2027" s="13">
        <v>40873</v>
      </c>
      <c r="N2027" s="12" t="s">
        <v>6064</v>
      </c>
      <c r="O2027" s="12" t="s">
        <v>6065</v>
      </c>
      <c r="P2027" s="12"/>
      <c r="Q2027" s="12">
        <v>1</v>
      </c>
    </row>
    <row r="2028" spans="1:17" ht="15.75" customHeight="1">
      <c r="A2028" s="12">
        <v>56</v>
      </c>
      <c r="B2028" s="12">
        <v>1256</v>
      </c>
      <c r="C2028" s="12">
        <v>17799</v>
      </c>
      <c r="D2028" s="12" t="s">
        <v>6047</v>
      </c>
      <c r="E2028" s="12" t="s">
        <v>6023</v>
      </c>
      <c r="F2028" s="12" t="s">
        <v>13607</v>
      </c>
      <c r="G2028" s="12" t="s">
        <v>13608</v>
      </c>
      <c r="H2028" s="12" t="s">
        <v>6051</v>
      </c>
      <c r="I2028" s="12" t="s">
        <v>6857</v>
      </c>
      <c r="J2028" s="12">
        <v>17799</v>
      </c>
      <c r="K2028" s="12" t="s">
        <v>13609</v>
      </c>
      <c r="L2028" s="12" t="s">
        <v>6590</v>
      </c>
      <c r="M2028" s="13">
        <v>45972</v>
      </c>
      <c r="N2028" s="12" t="s">
        <v>13610</v>
      </c>
      <c r="O2028" s="12" t="s">
        <v>13611</v>
      </c>
      <c r="P2028" s="12"/>
      <c r="Q2028" s="12">
        <v>1</v>
      </c>
    </row>
    <row r="2029" spans="1:17" ht="15.75" customHeight="1">
      <c r="A2029" s="12">
        <v>1188</v>
      </c>
      <c r="B2029" s="12">
        <v>881</v>
      </c>
      <c r="C2029" s="12">
        <v>11499</v>
      </c>
      <c r="D2029" s="12" t="s">
        <v>6047</v>
      </c>
      <c r="E2029" s="12" t="s">
        <v>13612</v>
      </c>
      <c r="F2029" s="12" t="s">
        <v>13613</v>
      </c>
      <c r="G2029" s="12" t="s">
        <v>13614</v>
      </c>
      <c r="H2029" s="12" t="s">
        <v>6060</v>
      </c>
      <c r="I2029" s="12" t="s">
        <v>6061</v>
      </c>
      <c r="J2029" s="12">
        <v>11499</v>
      </c>
      <c r="K2029" s="12" t="s">
        <v>6429</v>
      </c>
      <c r="L2029" s="12" t="s">
        <v>6423</v>
      </c>
      <c r="M2029" s="13">
        <v>41992</v>
      </c>
      <c r="N2029" s="12" t="s">
        <v>6430</v>
      </c>
      <c r="O2029" s="12" t="s">
        <v>7083</v>
      </c>
      <c r="P2029" s="12"/>
      <c r="Q2029" s="12">
        <v>1</v>
      </c>
    </row>
    <row r="2030" spans="1:17" ht="15.75" customHeight="1">
      <c r="A2030" s="12">
        <v>1003</v>
      </c>
      <c r="B2030" s="12">
        <v>1148</v>
      </c>
      <c r="C2030" s="12">
        <v>16494</v>
      </c>
      <c r="D2030" s="12" t="s">
        <v>6047</v>
      </c>
      <c r="E2030" s="12" t="s">
        <v>13615</v>
      </c>
      <c r="F2030" s="12" t="s">
        <v>13616</v>
      </c>
      <c r="G2030" s="12" t="s">
        <v>13617</v>
      </c>
      <c r="H2030" s="12" t="s">
        <v>6051</v>
      </c>
      <c r="I2030" s="12" t="s">
        <v>6052</v>
      </c>
      <c r="J2030" s="12">
        <v>16494</v>
      </c>
      <c r="K2030" s="12" t="s">
        <v>9024</v>
      </c>
      <c r="L2030" s="12" t="s">
        <v>6054</v>
      </c>
      <c r="M2030" s="13">
        <v>42693</v>
      </c>
      <c r="N2030" s="12" t="s">
        <v>9025</v>
      </c>
      <c r="O2030" s="12" t="s">
        <v>9026</v>
      </c>
      <c r="P2030" s="12"/>
      <c r="Q2030" s="12">
        <v>1</v>
      </c>
    </row>
    <row r="2031" spans="1:17" ht="15.75" customHeight="1">
      <c r="A2031" s="12">
        <v>1755</v>
      </c>
      <c r="B2031" s="12">
        <v>1965</v>
      </c>
      <c r="C2031" s="12">
        <v>34956</v>
      </c>
      <c r="D2031" s="12" t="s">
        <v>6047</v>
      </c>
      <c r="E2031" s="12" t="s">
        <v>13618</v>
      </c>
      <c r="F2031" s="12" t="s">
        <v>13619</v>
      </c>
      <c r="G2031" s="12" t="s">
        <v>13620</v>
      </c>
      <c r="H2031" s="12" t="s">
        <v>6051</v>
      </c>
      <c r="I2031" s="12" t="s">
        <v>6700</v>
      </c>
      <c r="J2031" s="12">
        <v>34956</v>
      </c>
      <c r="K2031" s="12" t="s">
        <v>6062</v>
      </c>
      <c r="L2031" s="12" t="s">
        <v>6063</v>
      </c>
      <c r="M2031" s="13">
        <v>40873</v>
      </c>
      <c r="N2031" s="12" t="s">
        <v>6064</v>
      </c>
      <c r="O2031" s="12" t="s">
        <v>6065</v>
      </c>
      <c r="P2031" s="12"/>
      <c r="Q2031" s="12">
        <v>1</v>
      </c>
    </row>
    <row r="2032" spans="1:17" ht="15.75" customHeight="1">
      <c r="A2032" s="12">
        <v>403</v>
      </c>
      <c r="B2032" s="12">
        <v>1335</v>
      </c>
      <c r="C2032" s="12">
        <v>19221</v>
      </c>
      <c r="D2032" s="12" t="s">
        <v>6047</v>
      </c>
      <c r="E2032" s="12" t="s">
        <v>13621</v>
      </c>
      <c r="F2032" s="12" t="s">
        <v>13622</v>
      </c>
      <c r="G2032" s="12" t="s">
        <v>13623</v>
      </c>
      <c r="H2032" s="12" t="s">
        <v>6051</v>
      </c>
      <c r="I2032" s="12" t="s">
        <v>7090</v>
      </c>
      <c r="J2032" s="12">
        <v>19221</v>
      </c>
      <c r="K2032" s="12" t="s">
        <v>7267</v>
      </c>
      <c r="L2032" s="12" t="s">
        <v>7020</v>
      </c>
      <c r="M2032" s="13">
        <v>44716</v>
      </c>
      <c r="N2032" s="12" t="s">
        <v>7268</v>
      </c>
      <c r="O2032" s="12" t="s">
        <v>7269</v>
      </c>
      <c r="P2032" s="12"/>
      <c r="Q2032" s="12">
        <v>1</v>
      </c>
    </row>
    <row r="2033" spans="1:17" ht="15.75" customHeight="1">
      <c r="A2033" s="12">
        <v>343</v>
      </c>
      <c r="B2033" s="12">
        <v>1190</v>
      </c>
      <c r="C2033" s="12">
        <v>16984</v>
      </c>
      <c r="D2033" s="12" t="s">
        <v>6047</v>
      </c>
      <c r="E2033" s="12" t="s">
        <v>13624</v>
      </c>
      <c r="F2033" s="12" t="s">
        <v>13625</v>
      </c>
      <c r="G2033" s="12" t="s">
        <v>13626</v>
      </c>
      <c r="H2033" s="12" t="s">
        <v>6051</v>
      </c>
      <c r="I2033" s="12" t="s">
        <v>6052</v>
      </c>
      <c r="J2033" s="12">
        <v>16984</v>
      </c>
      <c r="K2033" s="12" t="s">
        <v>8817</v>
      </c>
      <c r="L2033" s="12" t="s">
        <v>6732</v>
      </c>
      <c r="M2033" s="13">
        <v>44725</v>
      </c>
      <c r="N2033" s="12" t="s">
        <v>8818</v>
      </c>
      <c r="O2033" s="12" t="s">
        <v>10254</v>
      </c>
      <c r="P2033" s="12"/>
      <c r="Q2033" s="12">
        <v>1</v>
      </c>
    </row>
    <row r="2034" spans="1:17" ht="15.75" customHeight="1">
      <c r="A2034" s="12">
        <v>1826</v>
      </c>
      <c r="B2034" s="12">
        <v>867</v>
      </c>
      <c r="C2034" s="12">
        <v>11167</v>
      </c>
      <c r="D2034" s="12" t="s">
        <v>6047</v>
      </c>
      <c r="E2034" s="12" t="s">
        <v>6029</v>
      </c>
      <c r="F2034" s="12" t="s">
        <v>13627</v>
      </c>
      <c r="G2034" s="12" t="s">
        <v>13628</v>
      </c>
      <c r="H2034" s="12" t="s">
        <v>6060</v>
      </c>
      <c r="I2034" s="12" t="s">
        <v>6061</v>
      </c>
      <c r="J2034" s="12">
        <v>11167</v>
      </c>
      <c r="K2034" s="12" t="s">
        <v>6062</v>
      </c>
      <c r="L2034" s="12" t="s">
        <v>6063</v>
      </c>
      <c r="M2034" s="13">
        <v>40873</v>
      </c>
      <c r="N2034" s="12" t="s">
        <v>6064</v>
      </c>
      <c r="O2034" s="12" t="s">
        <v>6065</v>
      </c>
      <c r="P2034" s="12"/>
      <c r="Q2034" s="12">
        <v>1</v>
      </c>
    </row>
    <row r="2035" spans="1:17" ht="15.75" customHeight="1">
      <c r="A2035" s="12">
        <v>661</v>
      </c>
      <c r="B2035" s="12">
        <v>140</v>
      </c>
      <c r="C2035" s="12">
        <v>2232</v>
      </c>
      <c r="D2035" s="12" t="s">
        <v>6047</v>
      </c>
      <c r="E2035" s="12" t="s">
        <v>13629</v>
      </c>
      <c r="F2035" s="12" t="s">
        <v>13630</v>
      </c>
      <c r="G2035" s="12" t="s">
        <v>13631</v>
      </c>
      <c r="H2035" s="12" t="s">
        <v>6127</v>
      </c>
      <c r="I2035" s="12" t="s">
        <v>6128</v>
      </c>
      <c r="J2035" s="12">
        <v>2232</v>
      </c>
      <c r="K2035" s="12" t="s">
        <v>6192</v>
      </c>
      <c r="L2035" s="12" t="s">
        <v>6193</v>
      </c>
      <c r="M2035" s="13">
        <v>43401</v>
      </c>
      <c r="N2035" s="12" t="s">
        <v>6194</v>
      </c>
      <c r="O2035" s="12" t="s">
        <v>6195</v>
      </c>
      <c r="P2035" s="12" t="s">
        <v>6196</v>
      </c>
      <c r="Q2035" s="12">
        <v>1</v>
      </c>
    </row>
    <row r="2036" spans="1:17" ht="15.75" customHeight="1">
      <c r="A2036" s="12">
        <v>119</v>
      </c>
      <c r="B2036" s="12">
        <v>1686</v>
      </c>
      <c r="C2036" s="12">
        <v>31035</v>
      </c>
      <c r="D2036" s="12" t="s">
        <v>6047</v>
      </c>
      <c r="E2036" s="12" t="s">
        <v>13632</v>
      </c>
      <c r="F2036" s="12" t="s">
        <v>13633</v>
      </c>
      <c r="G2036" s="12" t="s">
        <v>13634</v>
      </c>
      <c r="H2036" s="12" t="s">
        <v>6051</v>
      </c>
      <c r="I2036" s="12" t="s">
        <v>6093</v>
      </c>
      <c r="J2036" s="12">
        <v>31035</v>
      </c>
      <c r="K2036" s="12" t="s">
        <v>11697</v>
      </c>
      <c r="L2036" s="12" t="s">
        <v>6511</v>
      </c>
      <c r="M2036" s="13">
        <v>45966</v>
      </c>
      <c r="N2036" s="12" t="s">
        <v>11698</v>
      </c>
      <c r="O2036" s="12" t="s">
        <v>11699</v>
      </c>
      <c r="P2036" s="12"/>
      <c r="Q2036" s="12">
        <v>1</v>
      </c>
    </row>
    <row r="2037" spans="1:17" ht="15.75" customHeight="1">
      <c r="A2037" s="12">
        <v>532</v>
      </c>
      <c r="B2037" s="12">
        <v>1011</v>
      </c>
      <c r="C2037" s="12">
        <v>14055</v>
      </c>
      <c r="D2037" s="12" t="s">
        <v>6047</v>
      </c>
      <c r="E2037" s="12" t="s">
        <v>6033</v>
      </c>
      <c r="F2037" s="12" t="s">
        <v>13635</v>
      </c>
      <c r="G2037" s="12" t="s">
        <v>13636</v>
      </c>
      <c r="H2037" s="12" t="s">
        <v>6051</v>
      </c>
      <c r="I2037" s="12" t="s">
        <v>6741</v>
      </c>
      <c r="J2037" s="12">
        <v>14055</v>
      </c>
      <c r="K2037" s="12" t="s">
        <v>7441</v>
      </c>
      <c r="L2037" s="12" t="s">
        <v>6408</v>
      </c>
      <c r="M2037" s="13">
        <v>43565</v>
      </c>
      <c r="N2037" s="12" t="s">
        <v>7442</v>
      </c>
      <c r="O2037" s="12" t="s">
        <v>10476</v>
      </c>
      <c r="P2037" s="12"/>
      <c r="Q2037" s="12">
        <v>1</v>
      </c>
    </row>
    <row r="2038" spans="1:17" ht="15.75" customHeight="1">
      <c r="A2038" s="12">
        <v>973</v>
      </c>
      <c r="B2038" s="12">
        <v>713</v>
      </c>
      <c r="C2038" s="12">
        <v>8498</v>
      </c>
      <c r="D2038" s="12" t="s">
        <v>6047</v>
      </c>
      <c r="E2038" s="12" t="s">
        <v>13637</v>
      </c>
      <c r="F2038" s="12" t="s">
        <v>13638</v>
      </c>
      <c r="G2038" s="12" t="s">
        <v>13639</v>
      </c>
      <c r="H2038" s="12" t="s">
        <v>6075</v>
      </c>
      <c r="I2038" s="12" t="s">
        <v>6076</v>
      </c>
      <c r="J2038" s="12">
        <v>8498</v>
      </c>
      <c r="K2038" s="12" t="s">
        <v>7376</v>
      </c>
      <c r="L2038" s="12" t="s">
        <v>6054</v>
      </c>
      <c r="M2038" s="13">
        <v>42824</v>
      </c>
      <c r="N2038" s="12" t="s">
        <v>7377</v>
      </c>
      <c r="O2038" s="12" t="s">
        <v>10999</v>
      </c>
      <c r="P2038" s="12"/>
      <c r="Q2038" s="12">
        <v>1</v>
      </c>
    </row>
    <row r="2039" spans="1:17" ht="15.75" customHeight="1">
      <c r="A2039" s="12"/>
      <c r="B2039" s="12"/>
      <c r="C2039" s="12"/>
      <c r="D2039" s="12"/>
      <c r="E2039" s="12"/>
      <c r="F2039" s="12"/>
      <c r="G2039" s="12"/>
      <c r="H2039" s="12"/>
      <c r="I2039" s="12"/>
      <c r="J2039" s="12" t="s">
        <v>13640</v>
      </c>
      <c r="K2039" s="12"/>
      <c r="L2039" s="12"/>
      <c r="M2039" s="12"/>
      <c r="N2039" s="12"/>
      <c r="O2039" s="12"/>
      <c r="P2039" s="12"/>
      <c r="Q2039" s="1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BirdPhotos</vt:lpstr>
      <vt:lpstr>LifeList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Marie-France Tourigny-Rivard</cp:lastModifiedBy>
  <dcterms:modified xsi:type="dcterms:W3CDTF">2026-04-30T13:13:51Z</dcterms:modified>
</cp:coreProperties>
</file>